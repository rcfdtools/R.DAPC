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EF9B9650-F9B4-4230-936C-3B96F420EBF8}" xr6:coauthVersionLast="47" xr6:coauthVersionMax="47" xr10:uidLastSave="{00000000-0000-0000-0000-000000000000}"/>
  <bookViews>
    <workbookView xWindow="-108" yWindow="-108" windowWidth="30936" windowHeight="16776" xr2:uid="{87DBBC59-816D-4DC5-9548-7505E16364B5}"/>
  </bookViews>
  <sheets>
    <sheet name="GCS_MAGNA" sheetId="2" r:id="rId1"/>
    <sheet name="Origen" sheetId="1" r:id="rId2"/>
    <sheet name="{R}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/>
  <c r="C21" i="2" s="1"/>
  <c r="C22" i="2" s="1"/>
  <c r="C15" i="2"/>
  <c r="C9" i="2"/>
  <c r="F11" i="1"/>
  <c r="J11" i="1"/>
  <c r="F6" i="1"/>
  <c r="J10" i="1" l="1"/>
  <c r="J9" i="1"/>
  <c r="J8" i="1"/>
  <c r="J7" i="1"/>
  <c r="J6" i="1"/>
</calcChain>
</file>

<file path=xl/sharedStrings.xml><?xml version="1.0" encoding="utf-8"?>
<sst xmlns="http://schemas.openxmlformats.org/spreadsheetml/2006/main" count="53" uniqueCount="44">
  <si>
    <t>Grados</t>
  </si>
  <si>
    <t>Min</t>
  </si>
  <si>
    <t>Sec</t>
  </si>
  <si>
    <t>MAGNA_OrigenBogota</t>
  </si>
  <si>
    <t>MAGNA_OrigenEste</t>
  </si>
  <si>
    <t>MAGNA_OrigenEsteEste</t>
  </si>
  <si>
    <t>MAGNA_OrigenOeste</t>
  </si>
  <si>
    <t>MAGNA_OrigenOesteOeste</t>
  </si>
  <si>
    <t>Norte (m)</t>
  </si>
  <si>
    <t>Este (m)</t>
  </si>
  <si>
    <t xml:space="preserve">Greenwich 0,000000000000000000 Grados decimales </t>
  </si>
  <si>
    <t xml:space="preserve">MAGNA_SIRGAS* </t>
  </si>
  <si>
    <t xml:space="preserve">GRS 1980 </t>
  </si>
  <si>
    <t xml:space="preserve">ITRF </t>
  </si>
  <si>
    <t xml:space="preserve">Sistema de coordenadas geográficas: GCS_MAGNA </t>
  </si>
  <si>
    <t>Orígen</t>
  </si>
  <si>
    <t>Coordenadas elipsoidales</t>
  </si>
  <si>
    <t>Coordenadas GAUSS - KRÛGER</t>
  </si>
  <si>
    <t>Latitud (N)</t>
  </si>
  <si>
    <t>Longitud (W)</t>
  </si>
  <si>
    <t>Grados decimales</t>
  </si>
  <si>
    <t>Coordenadas MAGNA-SIRGAS de los orígenes GAUSS - KRÛGER en Colombia</t>
  </si>
  <si>
    <t>r.cfdtools@gmail.com</t>
  </si>
  <si>
    <t>https://github.com/rcfdtools</t>
  </si>
  <si>
    <t>Contenido creado por:</t>
  </si>
  <si>
    <t>Licencia, cláusulas y condiciones de uso en:</t>
  </si>
  <si>
    <t>https://github.com/rcfdtools/R.HydroTools/wiki/License</t>
  </si>
  <si>
    <t>Password: 1234</t>
  </si>
  <si>
    <t>Orígen nacional único</t>
  </si>
  <si>
    <t>Scale factor</t>
  </si>
  <si>
    <t>Semieje menor (b), metros</t>
  </si>
  <si>
    <t>Código EPSG</t>
  </si>
  <si>
    <t>Primer meridiano</t>
  </si>
  <si>
    <t>Datum geodésico</t>
  </si>
  <si>
    <t>Elipsoide</t>
  </si>
  <si>
    <t>Semieje mayor (a), metros</t>
  </si>
  <si>
    <t>Aplanamiento inverso o recíproco (1/f), f = (a - b) / a</t>
  </si>
  <si>
    <t xml:space="preserve">1994, Época 1995.4 </t>
  </si>
  <si>
    <t>Ejemplo cálculo del aplanamiento inverso:</t>
  </si>
  <si>
    <t>Perímetro ecuatorial, km</t>
  </si>
  <si>
    <t>Separación meridional ecuatorial, km</t>
  </si>
  <si>
    <t>v.20240130</t>
  </si>
  <si>
    <t>Ejemplo cálculo perímetro esférico ecuatorial y separación meridional:</t>
  </si>
  <si>
    <t>Aproximación radio esférico r = (2a + b)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</si>
</sst>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"/>
    <numFmt numFmtId="165" formatCode="0.0000000000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9"/>
      <color theme="1"/>
      <name val="Segoe UI Light"/>
      <family val="2"/>
    </font>
    <font>
      <sz val="9"/>
      <color rgb="FF0070C0"/>
      <name val="Segoe UI Light"/>
      <family val="2"/>
    </font>
    <font>
      <sz val="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7" fillId="0" borderId="0" xfId="2" applyFont="1" applyAlignment="1" applyProtection="1">
      <alignment horizontal="center" vertical="top" wrapText="1"/>
    </xf>
    <xf numFmtId="0" fontId="7" fillId="0" borderId="0" xfId="2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22" xfId="0" applyFont="1" applyFill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6" fontId="3" fillId="0" borderId="20" xfId="1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15740D59-314A-48C8-A5F0-4D7C16B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A512-FC0F-49B4-9C21-FFDBBF828F55}">
  <sheetPr codeName="Sheet1"/>
  <dimension ref="B1:C22"/>
  <sheetViews>
    <sheetView showGridLines="0" tabSelected="1" zoomScale="145" zoomScaleNormal="145" workbookViewId="0">
      <selection activeCell="E17" sqref="E17"/>
    </sheetView>
  </sheetViews>
  <sheetFormatPr defaultColWidth="11.44140625" defaultRowHeight="16.8" x14ac:dyDescent="0.3"/>
  <cols>
    <col min="1" max="1" width="2.6640625" style="28" customWidth="1"/>
    <col min="2" max="2" width="25.44140625" style="28" customWidth="1"/>
    <col min="3" max="3" width="47" style="28" customWidth="1"/>
    <col min="4" max="16384" width="11.44140625" style="28"/>
  </cols>
  <sheetData>
    <row r="1" spans="2:3" x14ac:dyDescent="0.3">
      <c r="C1" s="22" t="s">
        <v>41</v>
      </c>
    </row>
    <row r="2" spans="2:3" x14ac:dyDescent="0.3">
      <c r="B2" s="28" t="s">
        <v>14</v>
      </c>
    </row>
    <row r="3" spans="2:3" x14ac:dyDescent="0.3">
      <c r="B3" s="23" t="s">
        <v>31</v>
      </c>
      <c r="C3" s="31">
        <v>4686</v>
      </c>
    </row>
    <row r="4" spans="2:3" x14ac:dyDescent="0.3">
      <c r="B4" s="24" t="s">
        <v>32</v>
      </c>
      <c r="C4" s="32" t="s">
        <v>10</v>
      </c>
    </row>
    <row r="5" spans="2:3" x14ac:dyDescent="0.3">
      <c r="B5" s="24" t="s">
        <v>33</v>
      </c>
      <c r="C5" s="32" t="s">
        <v>11</v>
      </c>
    </row>
    <row r="6" spans="2:3" x14ac:dyDescent="0.3">
      <c r="B6" s="24" t="s">
        <v>34</v>
      </c>
      <c r="C6" s="32" t="s">
        <v>12</v>
      </c>
    </row>
    <row r="7" spans="2:3" x14ac:dyDescent="0.3">
      <c r="B7" s="24" t="s">
        <v>35</v>
      </c>
      <c r="C7" s="32">
        <v>6378137</v>
      </c>
    </row>
    <row r="8" spans="2:3" x14ac:dyDescent="0.3">
      <c r="B8" s="24" t="s">
        <v>30</v>
      </c>
      <c r="C8" s="32">
        <v>6356752.3140000002</v>
      </c>
    </row>
    <row r="9" spans="2:3" ht="33.6" x14ac:dyDescent="0.3">
      <c r="B9" s="24" t="s">
        <v>36</v>
      </c>
      <c r="C9" s="25">
        <f>1/((C7-C8)/C7)</f>
        <v>298.25722014342756</v>
      </c>
    </row>
    <row r="10" spans="2:3" x14ac:dyDescent="0.3">
      <c r="B10" s="26" t="s">
        <v>13</v>
      </c>
      <c r="C10" s="33" t="s">
        <v>37</v>
      </c>
    </row>
    <row r="12" spans="2:3" x14ac:dyDescent="0.3">
      <c r="B12" s="28" t="s">
        <v>38</v>
      </c>
    </row>
    <row r="13" spans="2:3" x14ac:dyDescent="0.3">
      <c r="B13" s="23" t="s">
        <v>35</v>
      </c>
      <c r="C13" s="31">
        <v>6238137</v>
      </c>
    </row>
    <row r="14" spans="2:3" x14ac:dyDescent="0.3">
      <c r="B14" s="24" t="s">
        <v>30</v>
      </c>
      <c r="C14" s="32">
        <v>6196752.8159999996</v>
      </c>
    </row>
    <row r="15" spans="2:3" ht="33.6" x14ac:dyDescent="0.3">
      <c r="B15" s="26" t="s">
        <v>36</v>
      </c>
      <c r="C15" s="27">
        <f>1/((C13-C14)/C13)</f>
        <v>150.73722366979487</v>
      </c>
    </row>
    <row r="17" spans="2:3" x14ac:dyDescent="0.3">
      <c r="B17" s="28" t="s">
        <v>42</v>
      </c>
    </row>
    <row r="18" spans="2:3" x14ac:dyDescent="0.3">
      <c r="B18" s="23" t="s">
        <v>35</v>
      </c>
      <c r="C18" s="31">
        <v>3398137</v>
      </c>
    </row>
    <row r="19" spans="2:3" x14ac:dyDescent="0.3">
      <c r="B19" s="24" t="s">
        <v>30</v>
      </c>
      <c r="C19" s="32">
        <v>6352752.3140000002</v>
      </c>
    </row>
    <row r="20" spans="2:3" ht="33.6" x14ac:dyDescent="0.3">
      <c r="B20" s="29" t="s">
        <v>43</v>
      </c>
      <c r="C20" s="30">
        <f>(2*C18+C19)/3</f>
        <v>4383008.7713333331</v>
      </c>
    </row>
    <row r="21" spans="2:3" x14ac:dyDescent="0.3">
      <c r="B21" s="29" t="s">
        <v>39</v>
      </c>
      <c r="C21" s="30">
        <f>2*PI()*C20/1000</f>
        <v>27539.25631328085</v>
      </c>
    </row>
    <row r="22" spans="2:3" ht="33.6" x14ac:dyDescent="0.3">
      <c r="B22" s="26" t="s">
        <v>40</v>
      </c>
      <c r="C22" s="27">
        <f>C21/360</f>
        <v>76.497934203557918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8339-09F2-46DC-B906-E7745A1F2844}">
  <sheetPr codeName="Sheet2"/>
  <dimension ref="B2:M15"/>
  <sheetViews>
    <sheetView showGridLines="0" zoomScale="175" zoomScaleNormal="175" workbookViewId="0">
      <selection activeCell="I18" sqref="I18"/>
    </sheetView>
  </sheetViews>
  <sheetFormatPr defaultColWidth="11.44140625" defaultRowHeight="13.2" x14ac:dyDescent="0.3"/>
  <cols>
    <col min="1" max="1" width="2.6640625" style="1" customWidth="1"/>
    <col min="2" max="2" width="21.5546875" style="1" customWidth="1"/>
    <col min="3" max="3" width="6.33203125" style="1" customWidth="1"/>
    <col min="4" max="4" width="4" style="1" bestFit="1" customWidth="1"/>
    <col min="5" max="5" width="9" style="1" customWidth="1"/>
    <col min="6" max="6" width="14.6640625" style="1" customWidth="1"/>
    <col min="7" max="7" width="6.6640625" style="1" bestFit="1" customWidth="1"/>
    <col min="8" max="8" width="4" style="1" bestFit="1" customWidth="1"/>
    <col min="9" max="9" width="9.109375" style="1" bestFit="1" customWidth="1"/>
    <col min="10" max="10" width="14.6640625" style="1" customWidth="1"/>
    <col min="11" max="12" width="9.6640625" style="1" customWidth="1"/>
    <col min="13" max="13" width="7.6640625" style="1" customWidth="1"/>
    <col min="14" max="16384" width="11.44140625" style="1"/>
  </cols>
  <sheetData>
    <row r="2" spans="2:13" x14ac:dyDescent="0.3">
      <c r="B2" s="1" t="s">
        <v>21</v>
      </c>
    </row>
    <row r="3" spans="2:13" ht="27" customHeight="1" x14ac:dyDescent="0.3">
      <c r="B3" s="40" t="s">
        <v>15</v>
      </c>
      <c r="C3" s="37" t="s">
        <v>16</v>
      </c>
      <c r="D3" s="38"/>
      <c r="E3" s="38"/>
      <c r="F3" s="38"/>
      <c r="G3" s="38"/>
      <c r="H3" s="38"/>
      <c r="I3" s="38"/>
      <c r="J3" s="39"/>
      <c r="K3" s="37" t="s">
        <v>17</v>
      </c>
      <c r="L3" s="39"/>
      <c r="M3" s="35" t="s">
        <v>29</v>
      </c>
    </row>
    <row r="4" spans="2:13" x14ac:dyDescent="0.3">
      <c r="B4" s="41"/>
      <c r="C4" s="47" t="s">
        <v>18</v>
      </c>
      <c r="D4" s="45"/>
      <c r="E4" s="45"/>
      <c r="F4" s="45"/>
      <c r="G4" s="45" t="s">
        <v>19</v>
      </c>
      <c r="H4" s="45"/>
      <c r="I4" s="45"/>
      <c r="J4" s="46"/>
      <c r="K4" s="47" t="s">
        <v>8</v>
      </c>
      <c r="L4" s="46" t="s">
        <v>9</v>
      </c>
      <c r="M4" s="36"/>
    </row>
    <row r="5" spans="2:13" x14ac:dyDescent="0.3">
      <c r="B5" s="41"/>
      <c r="C5" s="14" t="s">
        <v>0</v>
      </c>
      <c r="D5" s="8" t="s">
        <v>1</v>
      </c>
      <c r="E5" s="8" t="s">
        <v>2</v>
      </c>
      <c r="F5" s="8" t="s">
        <v>20</v>
      </c>
      <c r="G5" s="8" t="s">
        <v>0</v>
      </c>
      <c r="H5" s="8" t="s">
        <v>1</v>
      </c>
      <c r="I5" s="8" t="s">
        <v>2</v>
      </c>
      <c r="J5" s="15" t="s">
        <v>20</v>
      </c>
      <c r="K5" s="47"/>
      <c r="L5" s="46"/>
      <c r="M5" s="36"/>
    </row>
    <row r="6" spans="2:13" x14ac:dyDescent="0.3">
      <c r="B6" s="12" t="s">
        <v>3</v>
      </c>
      <c r="C6" s="42">
        <v>4</v>
      </c>
      <c r="D6" s="43">
        <v>35</v>
      </c>
      <c r="E6" s="43">
        <v>46.3215</v>
      </c>
      <c r="F6" s="44">
        <f>(C6+(D6/60)+(E6/3600))</f>
        <v>4.5962004166666661</v>
      </c>
      <c r="G6" s="9">
        <v>74</v>
      </c>
      <c r="H6" s="9">
        <v>4</v>
      </c>
      <c r="I6" s="9">
        <v>39.028499999782277</v>
      </c>
      <c r="J6" s="16">
        <f>-(G6+(H6/60)+(I6/3600))</f>
        <v>-74.077507916666605</v>
      </c>
      <c r="K6" s="48">
        <v>1000000</v>
      </c>
      <c r="L6" s="49">
        <v>1000000</v>
      </c>
      <c r="M6" s="34">
        <v>1</v>
      </c>
    </row>
    <row r="7" spans="2:13" x14ac:dyDescent="0.3">
      <c r="B7" s="12" t="s">
        <v>4</v>
      </c>
      <c r="C7" s="42"/>
      <c r="D7" s="43"/>
      <c r="E7" s="43"/>
      <c r="F7" s="44"/>
      <c r="G7" s="9">
        <v>71</v>
      </c>
      <c r="H7" s="9">
        <v>4</v>
      </c>
      <c r="I7" s="9">
        <v>39.028499999782277</v>
      </c>
      <c r="J7" s="16">
        <f t="shared" ref="J7:J11" si="0">-(G7+(H7/60)+(I7/3600))</f>
        <v>-71.077507916666605</v>
      </c>
      <c r="K7" s="48"/>
      <c r="L7" s="49"/>
      <c r="M7" s="34"/>
    </row>
    <row r="8" spans="2:13" x14ac:dyDescent="0.3">
      <c r="B8" s="12" t="s">
        <v>5</v>
      </c>
      <c r="C8" s="42"/>
      <c r="D8" s="43"/>
      <c r="E8" s="43"/>
      <c r="F8" s="44"/>
      <c r="G8" s="9">
        <v>68</v>
      </c>
      <c r="H8" s="9">
        <v>4</v>
      </c>
      <c r="I8" s="9">
        <v>39.028499999782277</v>
      </c>
      <c r="J8" s="16">
        <f t="shared" si="0"/>
        <v>-68.077507916666605</v>
      </c>
      <c r="K8" s="48"/>
      <c r="L8" s="49"/>
      <c r="M8" s="34"/>
    </row>
    <row r="9" spans="2:13" x14ac:dyDescent="0.3">
      <c r="B9" s="12" t="s">
        <v>6</v>
      </c>
      <c r="C9" s="42"/>
      <c r="D9" s="43"/>
      <c r="E9" s="43"/>
      <c r="F9" s="44"/>
      <c r="G9" s="9">
        <v>77</v>
      </c>
      <c r="H9" s="9">
        <v>4</v>
      </c>
      <c r="I9" s="9">
        <v>39.028499999782277</v>
      </c>
      <c r="J9" s="16">
        <f t="shared" si="0"/>
        <v>-77.077507916666605</v>
      </c>
      <c r="K9" s="48"/>
      <c r="L9" s="49"/>
      <c r="M9" s="34"/>
    </row>
    <row r="10" spans="2:13" x14ac:dyDescent="0.3">
      <c r="B10" s="12" t="s">
        <v>7</v>
      </c>
      <c r="C10" s="42"/>
      <c r="D10" s="43"/>
      <c r="E10" s="43"/>
      <c r="F10" s="44"/>
      <c r="G10" s="9">
        <v>80</v>
      </c>
      <c r="H10" s="9">
        <v>4</v>
      </c>
      <c r="I10" s="9">
        <v>39.028499999782277</v>
      </c>
      <c r="J10" s="16">
        <f t="shared" si="0"/>
        <v>-80.077507916666605</v>
      </c>
      <c r="K10" s="48"/>
      <c r="L10" s="49"/>
      <c r="M10" s="34"/>
    </row>
    <row r="11" spans="2:13" x14ac:dyDescent="0.3">
      <c r="B11" s="13" t="s">
        <v>28</v>
      </c>
      <c r="C11" s="17">
        <v>4</v>
      </c>
      <c r="D11" s="10">
        <v>0</v>
      </c>
      <c r="E11" s="10">
        <v>0</v>
      </c>
      <c r="F11" s="11">
        <f>(C11+(D11/60)+(E11/3600))</f>
        <v>4</v>
      </c>
      <c r="G11" s="10">
        <v>73</v>
      </c>
      <c r="H11" s="10">
        <v>0</v>
      </c>
      <c r="I11" s="10">
        <v>0</v>
      </c>
      <c r="J11" s="18">
        <f t="shared" si="0"/>
        <v>-73</v>
      </c>
      <c r="K11" s="20">
        <v>2000000</v>
      </c>
      <c r="L11" s="21">
        <v>5000000</v>
      </c>
      <c r="M11" s="19">
        <v>0.99919999999999998</v>
      </c>
    </row>
    <row r="14" spans="2:13" x14ac:dyDescent="0.3">
      <c r="D14" s="2"/>
      <c r="H14" s="2"/>
    </row>
    <row r="15" spans="2:13" x14ac:dyDescent="0.3">
      <c r="D15" s="2"/>
      <c r="H15" s="2"/>
    </row>
  </sheetData>
  <mergeCells count="15">
    <mergeCell ref="M6:M10"/>
    <mergeCell ref="M3:M5"/>
    <mergeCell ref="C3:J3"/>
    <mergeCell ref="B3:B5"/>
    <mergeCell ref="C6:C10"/>
    <mergeCell ref="D6:D10"/>
    <mergeCell ref="E6:E10"/>
    <mergeCell ref="F6:F10"/>
    <mergeCell ref="G4:J4"/>
    <mergeCell ref="C4:F4"/>
    <mergeCell ref="K4:K5"/>
    <mergeCell ref="L4:L5"/>
    <mergeCell ref="K3:L3"/>
    <mergeCell ref="K6:K10"/>
    <mergeCell ref="L6:L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C95A-45CF-409E-9856-5A9EF874A7A4}">
  <sheetPr codeName="Sheet3"/>
  <dimension ref="B2:B22"/>
  <sheetViews>
    <sheetView showGridLines="0" showRowColHeaders="0" zoomScale="115" zoomScaleNormal="115" workbookViewId="0">
      <selection activeCell="B7" sqref="B7"/>
    </sheetView>
  </sheetViews>
  <sheetFormatPr defaultColWidth="11.44140625" defaultRowHeight="16.8" x14ac:dyDescent="0.3"/>
  <cols>
    <col min="1" max="1" width="2.6640625" style="4" customWidth="1"/>
    <col min="2" max="2" width="63.88671875" style="4" customWidth="1"/>
    <col min="3" max="16384" width="11.44140625" style="4"/>
  </cols>
  <sheetData>
    <row r="2" spans="2:2" x14ac:dyDescent="0.3">
      <c r="B2" s="3" t="s">
        <v>24</v>
      </c>
    </row>
    <row r="3" spans="2:2" x14ac:dyDescent="0.3">
      <c r="B3" s="5" t="s">
        <v>22</v>
      </c>
    </row>
    <row r="4" spans="2:2" x14ac:dyDescent="0.3">
      <c r="B4" s="5" t="s">
        <v>23</v>
      </c>
    </row>
    <row r="5" spans="2:2" x14ac:dyDescent="0.3">
      <c r="B5" s="3"/>
    </row>
    <row r="6" spans="2:2" x14ac:dyDescent="0.3">
      <c r="B6" s="3" t="s">
        <v>25</v>
      </c>
    </row>
    <row r="7" spans="2:2" x14ac:dyDescent="0.3">
      <c r="B7" s="6" t="s">
        <v>26</v>
      </c>
    </row>
    <row r="22" spans="2:2" x14ac:dyDescent="0.3">
      <c r="B22" s="7" t="s">
        <v>27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38AF0BC0-FF90-441F-91AA-D7EE6A311102}"/>
    <hyperlink ref="B4" r:id="rId2" xr:uid="{9ACD35D2-3B73-40D5-B520-8B6DE29C7AFB}"/>
    <hyperlink ref="B7" r:id="rId3" xr:uid="{6B87C0FB-0035-426E-A5DB-F3765BEBEDF2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GCS_MAGNA</vt:lpstr>
      <vt:lpstr>Origen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TSIG_Taller0_Georreferenciacion</dc:title>
  <dc:creator>user</dc:creator>
  <cp:lastModifiedBy>WILLIAM RICARDO AGUILAR PIÑA</cp:lastModifiedBy>
  <dcterms:created xsi:type="dcterms:W3CDTF">2019-03-29T15:56:17Z</dcterms:created>
  <dcterms:modified xsi:type="dcterms:W3CDTF">2025-09-18T16:01:25Z</dcterms:modified>
</cp:coreProperties>
</file>