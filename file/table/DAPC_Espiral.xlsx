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CFE8258D-C505-47F5-8405-2F76A14A4FBE}" xr6:coauthVersionLast="47" xr6:coauthVersionMax="47" xr10:uidLastSave="{00000000-0000-0000-0000-000000000000}"/>
  <bookViews>
    <workbookView xWindow="-98" yWindow="-98" windowWidth="28996" windowHeight="15675" xr2:uid="{4FA0F644-0B27-48D7-AC0A-327E78D1DF86}"/>
  </bookViews>
  <sheets>
    <sheet name="Espiral2Centros" sheetId="2" r:id="rId1"/>
    <sheet name="Espiral3CentrosCircuInscrita" sheetId="3" r:id="rId2"/>
    <sheet name="Espiral3CentrosInscri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3" l="1"/>
  <c r="M9" i="3"/>
  <c r="W10" i="2"/>
  <c r="W11" i="2" s="1"/>
  <c r="W12" i="2" s="1"/>
  <c r="W13" i="2" s="1"/>
  <c r="O10" i="2"/>
  <c r="O11" i="2" s="1"/>
  <c r="O12" i="2" s="1"/>
  <c r="O13" i="2" s="1"/>
  <c r="G10" i="2"/>
  <c r="G11" i="2" s="1"/>
  <c r="G12" i="2" s="1"/>
  <c r="G13" i="2" s="1"/>
  <c r="W9" i="2"/>
  <c r="V9" i="2"/>
  <c r="V10" i="2" s="1"/>
  <c r="V11" i="2" s="1"/>
  <c r="V12" i="2" s="1"/>
  <c r="V13" i="2" s="1"/>
  <c r="R9" i="2"/>
  <c r="R10" i="2" s="1"/>
  <c r="R11" i="2" s="1"/>
  <c r="R12" i="2" s="1"/>
  <c r="R13" i="2" s="1"/>
  <c r="O9" i="2"/>
  <c r="N9" i="2"/>
  <c r="N10" i="2" s="1"/>
  <c r="N11" i="2" s="1"/>
  <c r="N12" i="2" s="1"/>
  <c r="N13" i="2" s="1"/>
  <c r="M9" i="2"/>
  <c r="M10" i="2" s="1"/>
  <c r="M11" i="2" s="1"/>
  <c r="M12" i="2" s="1"/>
  <c r="M13" i="2" s="1"/>
  <c r="G9" i="2"/>
  <c r="F9" i="2"/>
  <c r="F10" i="2" s="1"/>
  <c r="F11" i="2" s="1"/>
  <c r="F12" i="2" s="1"/>
  <c r="F13" i="2" s="1"/>
  <c r="Y8" i="2"/>
  <c r="Y9" i="2" s="1"/>
  <c r="Y10" i="2" s="1"/>
  <c r="Y11" i="2" s="1"/>
  <c r="Y12" i="2" s="1"/>
  <c r="Y13" i="2" s="1"/>
  <c r="X8" i="2"/>
  <c r="X9" i="2" s="1"/>
  <c r="X10" i="2" s="1"/>
  <c r="X11" i="2" s="1"/>
  <c r="X12" i="2" s="1"/>
  <c r="X13" i="2" s="1"/>
  <c r="W8" i="2"/>
  <c r="V8" i="2"/>
  <c r="U8" i="2"/>
  <c r="U9" i="2" s="1"/>
  <c r="U10" i="2" s="1"/>
  <c r="U11" i="2" s="1"/>
  <c r="U12" i="2" s="1"/>
  <c r="U13" i="2" s="1"/>
  <c r="T8" i="2"/>
  <c r="T9" i="2" s="1"/>
  <c r="T10" i="2" s="1"/>
  <c r="T11" i="2" s="1"/>
  <c r="T12" i="2" s="1"/>
  <c r="T13" i="2" s="1"/>
  <c r="S8" i="2"/>
  <c r="S9" i="2" s="1"/>
  <c r="S10" i="2" s="1"/>
  <c r="S11" i="2" s="1"/>
  <c r="S12" i="2" s="1"/>
  <c r="S13" i="2" s="1"/>
  <c r="R8" i="2"/>
  <c r="Q8" i="2"/>
  <c r="Q9" i="2" s="1"/>
  <c r="Q10" i="2" s="1"/>
  <c r="Q11" i="2" s="1"/>
  <c r="Q12" i="2" s="1"/>
  <c r="Q13" i="2" s="1"/>
  <c r="P8" i="2"/>
  <c r="P9" i="2" s="1"/>
  <c r="P10" i="2" s="1"/>
  <c r="P11" i="2" s="1"/>
  <c r="P12" i="2" s="1"/>
  <c r="P13" i="2" s="1"/>
  <c r="O8" i="2"/>
  <c r="N8" i="2"/>
  <c r="M8" i="2"/>
  <c r="L8" i="2"/>
  <c r="L9" i="2" s="1"/>
  <c r="L10" i="2" s="1"/>
  <c r="L11" i="2" s="1"/>
  <c r="L12" i="2" s="1"/>
  <c r="L13" i="2" s="1"/>
  <c r="K8" i="2"/>
  <c r="K9" i="2" s="1"/>
  <c r="K10" i="2" s="1"/>
  <c r="K11" i="2" s="1"/>
  <c r="K12" i="2" s="1"/>
  <c r="K13" i="2" s="1"/>
  <c r="J8" i="2"/>
  <c r="J9" i="2" s="1"/>
  <c r="J10" i="2" s="1"/>
  <c r="J11" i="2" s="1"/>
  <c r="J12" i="2" s="1"/>
  <c r="J13" i="2" s="1"/>
  <c r="I8" i="2"/>
  <c r="I9" i="2" s="1"/>
  <c r="I10" i="2" s="1"/>
  <c r="I11" i="2" s="1"/>
  <c r="I12" i="2" s="1"/>
  <c r="I13" i="2" s="1"/>
  <c r="H8" i="2"/>
  <c r="H9" i="2" s="1"/>
  <c r="H10" i="2" s="1"/>
  <c r="H11" i="2" s="1"/>
  <c r="H12" i="2" s="1"/>
  <c r="H13" i="2" s="1"/>
  <c r="G8" i="2"/>
  <c r="F8" i="2"/>
  <c r="E8" i="2"/>
  <c r="E9" i="2" s="1"/>
  <c r="E10" i="2" s="1"/>
  <c r="E11" i="2" s="1"/>
  <c r="E12" i="2" s="1"/>
  <c r="E13" i="2" s="1"/>
  <c r="D8" i="2"/>
  <c r="D9" i="2" s="1"/>
  <c r="D10" i="2" s="1"/>
  <c r="D11" i="2" s="1"/>
  <c r="D12" i="2" s="1"/>
  <c r="D13" i="2" s="1"/>
  <c r="C9" i="2"/>
  <c r="C10" i="2" s="1"/>
  <c r="C11" i="2" s="1"/>
  <c r="C12" i="2" s="1"/>
  <c r="C13" i="2" s="1"/>
  <c r="C8" i="2"/>
  <c r="H7" i="2"/>
  <c r="C7" i="2"/>
  <c r="O7" i="2" l="1"/>
  <c r="E7" i="2"/>
  <c r="Q13" i="4"/>
  <c r="D13" i="4"/>
  <c r="T12" i="4"/>
  <c r="S12" i="4"/>
  <c r="R11" i="4"/>
  <c r="Q11" i="4"/>
  <c r="P11" i="4"/>
  <c r="O11" i="4"/>
  <c r="N11" i="4"/>
  <c r="M11" i="4"/>
  <c r="J11" i="4"/>
  <c r="I11" i="4"/>
  <c r="F11" i="4"/>
  <c r="S10" i="4"/>
  <c r="R10" i="4"/>
  <c r="Q10" i="4"/>
  <c r="P10" i="4"/>
  <c r="D10" i="4"/>
  <c r="Y9" i="4"/>
  <c r="R9" i="4"/>
  <c r="T8" i="4"/>
  <c r="S8" i="4"/>
  <c r="R8" i="4"/>
  <c r="Q8" i="4"/>
  <c r="P8" i="4"/>
  <c r="O8" i="4"/>
  <c r="L8" i="4"/>
  <c r="K8" i="4"/>
  <c r="F8" i="4"/>
  <c r="T7" i="4"/>
  <c r="S7" i="4"/>
  <c r="R7" i="4"/>
  <c r="Q7" i="4"/>
  <c r="D7" i="4"/>
  <c r="Y5" i="4"/>
  <c r="Y7" i="4" s="1"/>
  <c r="X5" i="4"/>
  <c r="X11" i="4" s="1"/>
  <c r="W5" i="4"/>
  <c r="W8" i="4" s="1"/>
  <c r="V5" i="4"/>
  <c r="V13" i="4" s="1"/>
  <c r="U5" i="4"/>
  <c r="U13" i="4" s="1"/>
  <c r="T5" i="4"/>
  <c r="T9" i="4" s="1"/>
  <c r="S5" i="4"/>
  <c r="S9" i="4" s="1"/>
  <c r="R5" i="4"/>
  <c r="R12" i="4" s="1"/>
  <c r="Q5" i="4"/>
  <c r="Q12" i="4" s="1"/>
  <c r="P5" i="4"/>
  <c r="P7" i="4" s="1"/>
  <c r="O5" i="4"/>
  <c r="O12" i="4" s="1"/>
  <c r="N5" i="4"/>
  <c r="N10" i="4" s="1"/>
  <c r="M5" i="4"/>
  <c r="M7" i="4" s="1"/>
  <c r="L5" i="4"/>
  <c r="L13" i="4" s="1"/>
  <c r="K5" i="4"/>
  <c r="K13" i="4" s="1"/>
  <c r="J5" i="4"/>
  <c r="J8" i="4" s="1"/>
  <c r="I5" i="4"/>
  <c r="I8" i="4" s="1"/>
  <c r="H5" i="4"/>
  <c r="H11" i="4" s="1"/>
  <c r="G5" i="4"/>
  <c r="G7" i="4" s="1"/>
  <c r="F5" i="4"/>
  <c r="F12" i="4" s="1"/>
  <c r="E5" i="4"/>
  <c r="E11" i="4" s="1"/>
  <c r="D5" i="4"/>
  <c r="D9" i="4" s="1"/>
  <c r="C5" i="4"/>
  <c r="C12" i="4" s="1"/>
  <c r="T13" i="3"/>
  <c r="S13" i="3"/>
  <c r="Q13" i="3"/>
  <c r="L13" i="3"/>
  <c r="R12" i="3"/>
  <c r="Q12" i="3"/>
  <c r="T11" i="3"/>
  <c r="S11" i="3"/>
  <c r="R11" i="3"/>
  <c r="Q11" i="3"/>
  <c r="L11" i="3"/>
  <c r="T10" i="3"/>
  <c r="S10" i="3"/>
  <c r="R10" i="3"/>
  <c r="T9" i="3"/>
  <c r="Q9" i="3"/>
  <c r="P9" i="3"/>
  <c r="L9" i="3"/>
  <c r="Y8" i="3"/>
  <c r="T8" i="3"/>
  <c r="S8" i="3"/>
  <c r="R8" i="3"/>
  <c r="T7" i="3"/>
  <c r="Q7" i="3"/>
  <c r="L7" i="3"/>
  <c r="Y5" i="3"/>
  <c r="Y9" i="3" s="1"/>
  <c r="X5" i="3"/>
  <c r="X8" i="3" s="1"/>
  <c r="W5" i="3"/>
  <c r="W8" i="3" s="1"/>
  <c r="V5" i="3"/>
  <c r="V7" i="3" s="1"/>
  <c r="U5" i="3"/>
  <c r="U12" i="3" s="1"/>
  <c r="T5" i="3"/>
  <c r="T12" i="3" s="1"/>
  <c r="S5" i="3"/>
  <c r="S7" i="3" s="1"/>
  <c r="R5" i="3"/>
  <c r="R13" i="3" s="1"/>
  <c r="Q5" i="3"/>
  <c r="Q10" i="3" s="1"/>
  <c r="P5" i="3"/>
  <c r="P12" i="3" s="1"/>
  <c r="O5" i="3"/>
  <c r="O12" i="3" s="1"/>
  <c r="N5" i="3"/>
  <c r="N11" i="3" s="1"/>
  <c r="M5" i="3"/>
  <c r="M11" i="3" s="1"/>
  <c r="L5" i="3"/>
  <c r="L10" i="3" s="1"/>
  <c r="K5" i="3"/>
  <c r="K13" i="3" s="1"/>
  <c r="J5" i="3"/>
  <c r="J11" i="3" s="1"/>
  <c r="I5" i="3"/>
  <c r="I12" i="3" s="1"/>
  <c r="H5" i="3"/>
  <c r="H9" i="3" s="1"/>
  <c r="G5" i="3"/>
  <c r="G9" i="3" s="1"/>
  <c r="F5" i="3"/>
  <c r="F12" i="3" s="1"/>
  <c r="E5" i="3"/>
  <c r="E12" i="3" s="1"/>
  <c r="D5" i="3"/>
  <c r="D13" i="3" s="1"/>
  <c r="C5" i="3"/>
  <c r="C8" i="3" s="1"/>
  <c r="K12" i="3"/>
  <c r="J12" i="3"/>
  <c r="D12" i="3"/>
  <c r="K11" i="3"/>
  <c r="I11" i="3"/>
  <c r="K10" i="3"/>
  <c r="J10" i="3"/>
  <c r="D10" i="3"/>
  <c r="K9" i="3"/>
  <c r="J9" i="3"/>
  <c r="I9" i="3"/>
  <c r="J8" i="3"/>
  <c r="H8" i="3"/>
  <c r="D8" i="3"/>
  <c r="J7" i="3"/>
  <c r="I7" i="3"/>
  <c r="H7" i="3"/>
  <c r="G7" i="3"/>
  <c r="C13" i="3"/>
  <c r="C7" i="3"/>
  <c r="Y7" i="2"/>
  <c r="X7" i="2"/>
  <c r="W7" i="2"/>
  <c r="V7" i="2"/>
  <c r="U7" i="2"/>
  <c r="T7" i="2"/>
  <c r="S7" i="2"/>
  <c r="R7" i="2"/>
  <c r="D7" i="2"/>
  <c r="F7" i="2"/>
  <c r="G7" i="2"/>
  <c r="I7" i="2"/>
  <c r="J7" i="2"/>
  <c r="K7" i="2"/>
  <c r="L7" i="2"/>
  <c r="M7" i="2"/>
  <c r="N7" i="2"/>
  <c r="P7" i="2"/>
  <c r="Q7" i="2"/>
  <c r="V12" i="4" l="1"/>
  <c r="F13" i="4"/>
  <c r="E10" i="4"/>
  <c r="F7" i="4"/>
  <c r="O10" i="4"/>
  <c r="M13" i="4"/>
  <c r="U9" i="4"/>
  <c r="N13" i="4"/>
  <c r="U8" i="4"/>
  <c r="U11" i="4"/>
  <c r="O13" i="4"/>
  <c r="V11" i="4"/>
  <c r="V9" i="4"/>
  <c r="V8" i="4"/>
  <c r="E9" i="4"/>
  <c r="Y11" i="4"/>
  <c r="R13" i="4"/>
  <c r="E7" i="4"/>
  <c r="U7" i="4"/>
  <c r="F9" i="4"/>
  <c r="T10" i="4"/>
  <c r="D12" i="4"/>
  <c r="S13" i="4"/>
  <c r="U12" i="4"/>
  <c r="F10" i="4"/>
  <c r="V7" i="4"/>
  <c r="I9" i="4"/>
  <c r="U10" i="4"/>
  <c r="E12" i="4"/>
  <c r="T13" i="4"/>
  <c r="E13" i="4"/>
  <c r="D8" i="4"/>
  <c r="D14" i="4" s="1"/>
  <c r="J9" i="4"/>
  <c r="V10" i="4"/>
  <c r="E8" i="4"/>
  <c r="Q9" i="4"/>
  <c r="J12" i="4"/>
  <c r="G12" i="3"/>
  <c r="K7" i="3"/>
  <c r="H12" i="3"/>
  <c r="F10" i="3"/>
  <c r="P11" i="3"/>
  <c r="E8" i="3"/>
  <c r="G10" i="3"/>
  <c r="M7" i="3"/>
  <c r="N9" i="3"/>
  <c r="F8" i="3"/>
  <c r="H10" i="3"/>
  <c r="E13" i="3"/>
  <c r="P7" i="3"/>
  <c r="P14" i="3" s="1"/>
  <c r="O9" i="3"/>
  <c r="F13" i="3"/>
  <c r="G13" i="3"/>
  <c r="T14" i="3"/>
  <c r="G8" i="3"/>
  <c r="H13" i="3"/>
  <c r="W7" i="3"/>
  <c r="K8" i="3"/>
  <c r="F11" i="3"/>
  <c r="I13" i="3"/>
  <c r="X7" i="3"/>
  <c r="C12" i="3"/>
  <c r="E9" i="3"/>
  <c r="G11" i="3"/>
  <c r="J13" i="3"/>
  <c r="Y7" i="3"/>
  <c r="N10" i="3"/>
  <c r="S12" i="3"/>
  <c r="E11" i="3"/>
  <c r="C11" i="3"/>
  <c r="F9" i="3"/>
  <c r="H11" i="3"/>
  <c r="L8" i="3"/>
  <c r="L14" i="3" s="1"/>
  <c r="O10" i="3"/>
  <c r="E7" i="3"/>
  <c r="M8" i="3"/>
  <c r="P10" i="3"/>
  <c r="F7" i="3"/>
  <c r="Q8" i="3"/>
  <c r="Q14" i="3" s="1"/>
  <c r="M13" i="3"/>
  <c r="E10" i="3"/>
  <c r="O11" i="3"/>
  <c r="Q14" i="4"/>
  <c r="R14" i="4"/>
  <c r="M8" i="4"/>
  <c r="G9" i="4"/>
  <c r="W9" i="4"/>
  <c r="K11" i="4"/>
  <c r="N8" i="4"/>
  <c r="H9" i="4"/>
  <c r="X9" i="4"/>
  <c r="L11" i="4"/>
  <c r="P13" i="4"/>
  <c r="K9" i="4"/>
  <c r="I12" i="4"/>
  <c r="Y12" i="4"/>
  <c r="L9" i="4"/>
  <c r="H10" i="4"/>
  <c r="H7" i="4"/>
  <c r="J7" i="4"/>
  <c r="N9" i="4"/>
  <c r="O9" i="4"/>
  <c r="Y10" i="4"/>
  <c r="S11" i="4"/>
  <c r="S14" i="4" s="1"/>
  <c r="M12" i="4"/>
  <c r="G13" i="4"/>
  <c r="W13" i="4"/>
  <c r="G12" i="4"/>
  <c r="H12" i="4"/>
  <c r="W7" i="4"/>
  <c r="G10" i="4"/>
  <c r="X10" i="4"/>
  <c r="L12" i="4"/>
  <c r="K7" i="4"/>
  <c r="I10" i="4"/>
  <c r="L7" i="4"/>
  <c r="P9" i="4"/>
  <c r="J10" i="4"/>
  <c r="D11" i="4"/>
  <c r="T11" i="4"/>
  <c r="T14" i="4" s="1"/>
  <c r="N12" i="4"/>
  <c r="H13" i="4"/>
  <c r="X13" i="4"/>
  <c r="I7" i="4"/>
  <c r="I13" i="4"/>
  <c r="N7" i="4"/>
  <c r="X8" i="4"/>
  <c r="L10" i="4"/>
  <c r="P12" i="4"/>
  <c r="J13" i="4"/>
  <c r="M9" i="4"/>
  <c r="K12" i="4"/>
  <c r="G8" i="4"/>
  <c r="K10" i="4"/>
  <c r="Y13" i="4"/>
  <c r="O7" i="4"/>
  <c r="O14" i="4" s="1"/>
  <c r="Y8" i="4"/>
  <c r="M10" i="4"/>
  <c r="G11" i="4"/>
  <c r="W11" i="4"/>
  <c r="W12" i="4"/>
  <c r="X12" i="4"/>
  <c r="X7" i="4"/>
  <c r="W10" i="4"/>
  <c r="H8" i="4"/>
  <c r="C11" i="4"/>
  <c r="C8" i="4"/>
  <c r="C7" i="4"/>
  <c r="C13" i="4"/>
  <c r="C10" i="4"/>
  <c r="C9" i="4"/>
  <c r="X13" i="3"/>
  <c r="N8" i="3"/>
  <c r="O8" i="3"/>
  <c r="U11" i="3"/>
  <c r="W12" i="3"/>
  <c r="Y13" i="3"/>
  <c r="N7" i="3"/>
  <c r="P8" i="3"/>
  <c r="R9" i="3"/>
  <c r="V11" i="3"/>
  <c r="V14" i="3" s="1"/>
  <c r="X12" i="3"/>
  <c r="W13" i="3"/>
  <c r="V12" i="3"/>
  <c r="O7" i="3"/>
  <c r="S9" i="3"/>
  <c r="U10" i="3"/>
  <c r="W11" i="3"/>
  <c r="Y12" i="3"/>
  <c r="X11" i="3"/>
  <c r="U9" i="3"/>
  <c r="W10" i="3"/>
  <c r="Y11" i="3"/>
  <c r="R7" i="3"/>
  <c r="V9" i="3"/>
  <c r="X10" i="3"/>
  <c r="L12" i="3"/>
  <c r="N13" i="3"/>
  <c r="U8" i="3"/>
  <c r="W9" i="3"/>
  <c r="Y10" i="3"/>
  <c r="M12" i="3"/>
  <c r="O13" i="3"/>
  <c r="V10" i="3"/>
  <c r="U13" i="3"/>
  <c r="V13" i="3"/>
  <c r="V8" i="3"/>
  <c r="X9" i="3"/>
  <c r="N12" i="3"/>
  <c r="P13" i="3"/>
  <c r="U7" i="3"/>
  <c r="I8" i="3"/>
  <c r="I10" i="3"/>
  <c r="D7" i="3"/>
  <c r="D9" i="3"/>
  <c r="D11" i="3"/>
  <c r="C10" i="3"/>
  <c r="C9" i="3"/>
  <c r="M14" i="4" l="1"/>
  <c r="F14" i="4"/>
  <c r="V14" i="4"/>
  <c r="Y14" i="4"/>
  <c r="G14" i="4"/>
  <c r="N14" i="4"/>
  <c r="P14" i="4"/>
  <c r="E14" i="4"/>
  <c r="U14" i="4"/>
  <c r="W14" i="3"/>
  <c r="X14" i="3"/>
  <c r="S14" i="3"/>
  <c r="M14" i="3"/>
  <c r="Y14" i="3"/>
  <c r="W14" i="4"/>
  <c r="I14" i="4"/>
  <c r="X14" i="4"/>
  <c r="L14" i="4"/>
  <c r="J14" i="4"/>
  <c r="H14" i="4"/>
  <c r="K14" i="4"/>
  <c r="C14" i="4"/>
  <c r="R14" i="3"/>
  <c r="N14" i="3"/>
  <c r="U14" i="3"/>
  <c r="O14" i="3"/>
  <c r="D14" i="3"/>
  <c r="C14" i="3"/>
  <c r="C14" i="2"/>
  <c r="D14" i="2" l="1"/>
  <c r="E14" i="3"/>
  <c r="F14" i="3" l="1"/>
  <c r="E14" i="2" l="1"/>
  <c r="G14" i="3"/>
  <c r="F14" i="2" l="1"/>
  <c r="H14" i="3"/>
  <c r="G14" i="2" l="1"/>
  <c r="I14" i="3"/>
  <c r="H14" i="2" l="1"/>
  <c r="K14" i="3"/>
  <c r="J14" i="3"/>
  <c r="I14" i="2" l="1"/>
  <c r="K14" i="2" l="1"/>
  <c r="J14" i="2"/>
  <c r="L14" i="2" l="1"/>
  <c r="M14" i="2" l="1"/>
  <c r="N14" i="2" l="1"/>
  <c r="O14" i="2" l="1"/>
  <c r="P14" i="2"/>
  <c r="Q14" i="2" l="1"/>
  <c r="R14" i="2" l="1"/>
  <c r="S14" i="2" l="1"/>
  <c r="T14" i="2"/>
  <c r="U14" i="2" l="1"/>
  <c r="V14" i="2" l="1"/>
  <c r="W14" i="2" l="1"/>
  <c r="X14" i="2" l="1"/>
  <c r="Y14" i="2"/>
</calcChain>
</file>

<file path=xl/sharedStrings.xml><?xml version="1.0" encoding="utf-8"?>
<sst xmlns="http://schemas.openxmlformats.org/spreadsheetml/2006/main" count="87" uniqueCount="13">
  <si>
    <t>Arco</t>
  </si>
  <si>
    <t>Factor:</t>
  </si>
  <si>
    <t>SDig:</t>
  </si>
  <si>
    <t>Radio (m)</t>
  </si>
  <si>
    <t xml:space="preserve">SDig: </t>
  </si>
  <si>
    <t>Lado triángulo (m):</t>
  </si>
  <si>
    <t>Arco (m)</t>
  </si>
  <si>
    <t>Quiz M01A02a-2 / Espiral de dos centros usando factor de expansión</t>
  </si>
  <si>
    <t>Quiz M01A02a-2 / Espiral de 3 centros a partir de triángulo inscrito en una circunferencia</t>
  </si>
  <si>
    <t>Quiz M01A02a-2 / Espiral de 3 centros a partir de triángulo circuinscrito en una circunferencia</t>
  </si>
  <si>
    <t xml:space="preserve">Longitud (m): </t>
  </si>
  <si>
    <t>v2026204</t>
  </si>
  <si>
    <t>Longitud (m):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</si>
</sst>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/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hair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2" fontId="1" fillId="2" borderId="3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1" fillId="2" borderId="4" xfId="0" applyFont="1" applyFill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/>
    </xf>
    <xf numFmtId="0" fontId="3" fillId="0" borderId="0" xfId="0" applyFont="1" applyAlignment="1">
      <alignment horizontal="right" vertical="top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64" fontId="1" fillId="2" borderId="9" xfId="0" applyNumberFormat="1" applyFont="1" applyFill="1" applyBorder="1" applyAlignment="1">
      <alignment horizontal="right"/>
    </xf>
    <xf numFmtId="0" fontId="1" fillId="2" borderId="10" xfId="0" applyFont="1" applyFill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2" borderId="12" xfId="0" applyNumberFormat="1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right"/>
    </xf>
    <xf numFmtId="0" fontId="1" fillId="2" borderId="16" xfId="0" applyFont="1" applyFill="1" applyBorder="1" applyAlignment="1">
      <alignment horizontal="center"/>
    </xf>
    <xf numFmtId="2" fontId="1" fillId="0" borderId="17" xfId="0" applyNumberFormat="1" applyFont="1" applyBorder="1" applyAlignment="1">
      <alignment horizontal="center"/>
    </xf>
    <xf numFmtId="2" fontId="1" fillId="2" borderId="18" xfId="0" applyNumberFormat="1" applyFont="1" applyFill="1" applyBorder="1" applyAlignment="1">
      <alignment horizontal="center"/>
    </xf>
    <xf numFmtId="164" fontId="1" fillId="2" borderId="19" xfId="0" applyNumberFormat="1" applyFont="1" applyFill="1" applyBorder="1" applyAlignment="1">
      <alignment horizontal="right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481493</xdr:colOff>
      <xdr:row>16</xdr:row>
      <xdr:rowOff>87504</xdr:rowOff>
    </xdr:from>
    <xdr:to>
      <xdr:col>6</xdr:col>
      <xdr:colOff>658802</xdr:colOff>
      <xdr:row>33</xdr:row>
      <xdr:rowOff>137611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78C50A-E9AA-48DC-8904-8D979E3D4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8330" y="3846216"/>
          <a:ext cx="3671230" cy="36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166042</xdr:colOff>
      <xdr:row>0</xdr:row>
      <xdr:rowOff>159493</xdr:rowOff>
    </xdr:from>
    <xdr:to>
      <xdr:col>2</xdr:col>
      <xdr:colOff>444467</xdr:colOff>
      <xdr:row>2</xdr:row>
      <xdr:rowOff>26493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69FAB64-0CCE-989F-1DF8-173AB98675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01" y="159493"/>
          <a:ext cx="1156382" cy="2728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193477</xdr:colOff>
      <xdr:row>0</xdr:row>
      <xdr:rowOff>171346</xdr:rowOff>
    </xdr:from>
    <xdr:to>
      <xdr:col>2</xdr:col>
      <xdr:colOff>59864</xdr:colOff>
      <xdr:row>2</xdr:row>
      <xdr:rowOff>22240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B2D24F-4487-4C18-BD75-33B55F11E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836" y="171346"/>
          <a:ext cx="1158474" cy="273307"/>
        </a:xfrm>
        <a:prstGeom prst="rect">
          <a:avLst/>
        </a:prstGeom>
      </xdr:spPr>
    </xdr:pic>
    <xdr:clientData/>
  </xdr:twoCellAnchor>
  <xdr:twoCellAnchor editAs="oneCell">
    <xdr:from>
      <xdr:col>1</xdr:col>
      <xdr:colOff>75500</xdr:colOff>
      <xdr:row>2</xdr:row>
      <xdr:rowOff>128699</xdr:rowOff>
    </xdr:from>
    <xdr:to>
      <xdr:col>1</xdr:col>
      <xdr:colOff>818455</xdr:colOff>
      <xdr:row>3</xdr:row>
      <xdr:rowOff>205633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51ED6A-9357-D212-EB5B-9E52FCDDA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1859" y="551112"/>
          <a:ext cx="742955" cy="288141"/>
        </a:xfrm>
        <a:prstGeom prst="rect">
          <a:avLst/>
        </a:prstGeom>
      </xdr:spPr>
    </xdr:pic>
    <xdr:clientData/>
  </xdr:twoCellAnchor>
  <xdr:twoCellAnchor editAs="oneCell">
    <xdr:from>
      <xdr:col>1</xdr:col>
      <xdr:colOff>647637</xdr:colOff>
      <xdr:row>16</xdr:row>
      <xdr:rowOff>43549</xdr:rowOff>
    </xdr:from>
    <xdr:to>
      <xdr:col>6</xdr:col>
      <xdr:colOff>417867</xdr:colOff>
      <xdr:row>33</xdr:row>
      <xdr:rowOff>93654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6FD400E-D342-ED60-BD29-E7F9DD60D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3996" y="3845266"/>
          <a:ext cx="3613361" cy="364061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52673</xdr:colOff>
      <xdr:row>0</xdr:row>
      <xdr:rowOff>192053</xdr:rowOff>
    </xdr:from>
    <xdr:to>
      <xdr:col>1</xdr:col>
      <xdr:colOff>1208917</xdr:colOff>
      <xdr:row>2</xdr:row>
      <xdr:rowOff>42947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8875FA-B64A-4D19-A60F-F25C46CFE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9032" y="192053"/>
          <a:ext cx="1156244" cy="273307"/>
        </a:xfrm>
        <a:prstGeom prst="rect">
          <a:avLst/>
        </a:prstGeom>
      </xdr:spPr>
    </xdr:pic>
    <xdr:clientData/>
  </xdr:twoCellAnchor>
  <xdr:twoCellAnchor editAs="oneCell">
    <xdr:from>
      <xdr:col>1</xdr:col>
      <xdr:colOff>99392</xdr:colOff>
      <xdr:row>2</xdr:row>
      <xdr:rowOff>83939</xdr:rowOff>
    </xdr:from>
    <xdr:to>
      <xdr:col>1</xdr:col>
      <xdr:colOff>756622</xdr:colOff>
      <xdr:row>4</xdr:row>
      <xdr:rowOff>9208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F8FA9A-7E64-4455-A315-3314B609D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928765"/>
          <a:ext cx="657230" cy="347682"/>
        </a:xfrm>
        <a:prstGeom prst="rect">
          <a:avLst/>
        </a:prstGeom>
      </xdr:spPr>
    </xdr:pic>
    <xdr:clientData/>
  </xdr:twoCellAnchor>
  <xdr:twoCellAnchor editAs="oneCell">
    <xdr:from>
      <xdr:col>1</xdr:col>
      <xdr:colOff>247043</xdr:colOff>
      <xdr:row>15</xdr:row>
      <xdr:rowOff>187474</xdr:rowOff>
    </xdr:from>
    <xdr:to>
      <xdr:col>6</xdr:col>
      <xdr:colOff>309519</xdr:colOff>
      <xdr:row>33</xdr:row>
      <xdr:rowOff>26374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A2889CB-F40A-DB71-60AB-445ED70667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3402" y="3777985"/>
          <a:ext cx="3797933" cy="36406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E74C5-5229-45D6-9D44-FAB954EBC922}">
  <dimension ref="B1:Y14"/>
  <sheetViews>
    <sheetView showGridLines="0" tabSelected="1" topLeftCell="C1" zoomScale="115" zoomScaleNormal="115" workbookViewId="0">
      <selection activeCell="C14" sqref="C14:Y14"/>
    </sheetView>
  </sheetViews>
  <sheetFormatPr defaultRowHeight="16.5" x14ac:dyDescent="0.6"/>
  <cols>
    <col min="1" max="1" width="2.59765625" style="1" customWidth="1"/>
    <col min="2" max="2" width="12.265625" style="1" customWidth="1"/>
    <col min="3" max="3" width="8.73046875" style="2" bestFit="1" customWidth="1"/>
    <col min="4" max="25" width="9.265625" style="1" customWidth="1"/>
    <col min="26" max="16384" width="9.06640625" style="1"/>
  </cols>
  <sheetData>
    <row r="1" spans="2:25" x14ac:dyDescent="0.6">
      <c r="I1" s="13" t="s">
        <v>11</v>
      </c>
    </row>
    <row r="2" spans="2:25" ht="15.4" customHeight="1" x14ac:dyDescent="0.6">
      <c r="C2" s="13"/>
      <c r="D2" s="27" t="s">
        <v>7</v>
      </c>
    </row>
    <row r="3" spans="2:25" ht="16.149999999999999" customHeight="1" x14ac:dyDescent="0.6">
      <c r="B3" s="11"/>
      <c r="C3" s="11"/>
    </row>
    <row r="4" spans="2:25" x14ac:dyDescent="0.6">
      <c r="B4" s="10" t="s">
        <v>1</v>
      </c>
      <c r="C4" s="6">
        <v>1.73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2:25" x14ac:dyDescent="0.6">
      <c r="B5" s="10" t="s">
        <v>2</v>
      </c>
      <c r="C5" s="6">
        <v>0.5</v>
      </c>
      <c r="D5" s="6">
        <v>1</v>
      </c>
      <c r="E5" s="6">
        <v>1.5</v>
      </c>
      <c r="F5" s="6">
        <v>2</v>
      </c>
      <c r="G5" s="6">
        <v>2.5</v>
      </c>
      <c r="H5" s="6">
        <v>3</v>
      </c>
      <c r="I5" s="6">
        <v>3.5</v>
      </c>
      <c r="J5" s="6">
        <v>4</v>
      </c>
      <c r="K5" s="6">
        <v>4.5</v>
      </c>
      <c r="L5" s="6">
        <v>5</v>
      </c>
      <c r="M5" s="6">
        <v>5.5</v>
      </c>
      <c r="N5" s="6">
        <v>6</v>
      </c>
      <c r="O5" s="6">
        <v>6.5</v>
      </c>
      <c r="P5" s="6">
        <v>7</v>
      </c>
      <c r="Q5" s="6">
        <v>7.5</v>
      </c>
      <c r="R5" s="6">
        <v>8</v>
      </c>
      <c r="S5" s="6">
        <v>8.5</v>
      </c>
      <c r="T5" s="6">
        <v>9</v>
      </c>
      <c r="U5" s="6">
        <v>9.5</v>
      </c>
      <c r="V5" s="6">
        <v>10</v>
      </c>
      <c r="W5" s="6">
        <v>10.5</v>
      </c>
      <c r="X5" s="6">
        <v>11</v>
      </c>
      <c r="Y5" s="6">
        <v>11.5</v>
      </c>
    </row>
    <row r="6" spans="2:25" x14ac:dyDescent="0.6">
      <c r="B6" s="20" t="s">
        <v>0</v>
      </c>
      <c r="C6" s="23" t="s">
        <v>3</v>
      </c>
      <c r="D6" s="3" t="s">
        <v>3</v>
      </c>
      <c r="E6" s="3" t="s">
        <v>3</v>
      </c>
      <c r="F6" s="3" t="s">
        <v>3</v>
      </c>
      <c r="G6" s="3" t="s">
        <v>3</v>
      </c>
      <c r="H6" s="3" t="s">
        <v>3</v>
      </c>
      <c r="I6" s="3" t="s">
        <v>3</v>
      </c>
      <c r="J6" s="3" t="s">
        <v>3</v>
      </c>
      <c r="K6" s="3" t="s">
        <v>3</v>
      </c>
      <c r="L6" s="3" t="s">
        <v>3</v>
      </c>
      <c r="M6" s="3" t="s">
        <v>3</v>
      </c>
      <c r="N6" s="3" t="s">
        <v>3</v>
      </c>
      <c r="O6" s="3" t="s">
        <v>3</v>
      </c>
      <c r="P6" s="3" t="s">
        <v>3</v>
      </c>
      <c r="Q6" s="3" t="s">
        <v>3</v>
      </c>
      <c r="R6" s="3" t="s">
        <v>3</v>
      </c>
      <c r="S6" s="3" t="s">
        <v>3</v>
      </c>
      <c r="T6" s="3" t="s">
        <v>3</v>
      </c>
      <c r="U6" s="3" t="s">
        <v>3</v>
      </c>
      <c r="V6" s="3" t="s">
        <v>3</v>
      </c>
      <c r="W6" s="3" t="s">
        <v>3</v>
      </c>
      <c r="X6" s="3" t="s">
        <v>3</v>
      </c>
      <c r="Y6" s="3" t="s">
        <v>3</v>
      </c>
    </row>
    <row r="7" spans="2:25" x14ac:dyDescent="0.6">
      <c r="B7" s="21">
        <v>1</v>
      </c>
      <c r="C7" s="24">
        <f>C5</f>
        <v>0.5</v>
      </c>
      <c r="D7" s="4">
        <f t="shared" ref="D7:Q7" si="0">D5</f>
        <v>1</v>
      </c>
      <c r="E7" s="4">
        <f>E5</f>
        <v>1.5</v>
      </c>
      <c r="F7" s="4">
        <f t="shared" si="0"/>
        <v>2</v>
      </c>
      <c r="G7" s="4">
        <f t="shared" si="0"/>
        <v>2.5</v>
      </c>
      <c r="H7" s="4">
        <f>H5</f>
        <v>3</v>
      </c>
      <c r="I7" s="4">
        <f t="shared" si="0"/>
        <v>3.5</v>
      </c>
      <c r="J7" s="4">
        <f t="shared" si="0"/>
        <v>4</v>
      </c>
      <c r="K7" s="4">
        <f t="shared" si="0"/>
        <v>4.5</v>
      </c>
      <c r="L7" s="4">
        <f t="shared" si="0"/>
        <v>5</v>
      </c>
      <c r="M7" s="4">
        <f t="shared" si="0"/>
        <v>5.5</v>
      </c>
      <c r="N7" s="4">
        <f t="shared" si="0"/>
        <v>6</v>
      </c>
      <c r="O7" s="4">
        <f>O5</f>
        <v>6.5</v>
      </c>
      <c r="P7" s="4">
        <f t="shared" si="0"/>
        <v>7</v>
      </c>
      <c r="Q7" s="4">
        <f t="shared" si="0"/>
        <v>7.5</v>
      </c>
      <c r="R7" s="4">
        <f t="shared" ref="R7:Y7" si="1">R5</f>
        <v>8</v>
      </c>
      <c r="S7" s="4">
        <f t="shared" si="1"/>
        <v>8.5</v>
      </c>
      <c r="T7" s="4">
        <f t="shared" si="1"/>
        <v>9</v>
      </c>
      <c r="U7" s="4">
        <f t="shared" si="1"/>
        <v>9.5</v>
      </c>
      <c r="V7" s="4">
        <f t="shared" si="1"/>
        <v>10</v>
      </c>
      <c r="W7" s="4">
        <f t="shared" si="1"/>
        <v>10.5</v>
      </c>
      <c r="X7" s="4">
        <f t="shared" si="1"/>
        <v>11</v>
      </c>
      <c r="Y7" s="4">
        <f t="shared" si="1"/>
        <v>11.5</v>
      </c>
    </row>
    <row r="8" spans="2:25" x14ac:dyDescent="0.6">
      <c r="B8" s="21">
        <v>2</v>
      </c>
      <c r="C8" s="24">
        <f>ROUND(C7+(C$5/10)^(1/$B8)+$C$4^(1/$B8),2)</f>
        <v>2.04</v>
      </c>
      <c r="D8" s="24">
        <f t="shared" ref="D8:Y13" si="2">ROUND(D7+(D$5/10)^(1/$B8)+$C$4^(1/$B8),2)</f>
        <v>2.63</v>
      </c>
      <c r="E8" s="24">
        <f t="shared" si="2"/>
        <v>3.2</v>
      </c>
      <c r="F8" s="24">
        <f t="shared" si="2"/>
        <v>3.76</v>
      </c>
      <c r="G8" s="24">
        <f t="shared" si="2"/>
        <v>4.32</v>
      </c>
      <c r="H8" s="24">
        <f t="shared" si="2"/>
        <v>4.8600000000000003</v>
      </c>
      <c r="I8" s="24">
        <f t="shared" si="2"/>
        <v>5.41</v>
      </c>
      <c r="J8" s="24">
        <f t="shared" si="2"/>
        <v>5.95</v>
      </c>
      <c r="K8" s="24">
        <f t="shared" si="2"/>
        <v>6.49</v>
      </c>
      <c r="L8" s="24">
        <f t="shared" si="2"/>
        <v>7.02</v>
      </c>
      <c r="M8" s="24">
        <f t="shared" si="2"/>
        <v>7.56</v>
      </c>
      <c r="N8" s="24">
        <f t="shared" si="2"/>
        <v>8.09</v>
      </c>
      <c r="O8" s="24">
        <f t="shared" si="2"/>
        <v>8.6199999999999992</v>
      </c>
      <c r="P8" s="24">
        <f t="shared" si="2"/>
        <v>9.15</v>
      </c>
      <c r="Q8" s="24">
        <f t="shared" si="2"/>
        <v>9.68</v>
      </c>
      <c r="R8" s="24">
        <f t="shared" si="2"/>
        <v>10.210000000000001</v>
      </c>
      <c r="S8" s="24">
        <f t="shared" si="2"/>
        <v>10.74</v>
      </c>
      <c r="T8" s="24">
        <f t="shared" si="2"/>
        <v>11.26</v>
      </c>
      <c r="U8" s="24">
        <f t="shared" si="2"/>
        <v>11.79</v>
      </c>
      <c r="V8" s="24">
        <f t="shared" si="2"/>
        <v>12.32</v>
      </c>
      <c r="W8" s="24">
        <f t="shared" si="2"/>
        <v>12.84</v>
      </c>
      <c r="X8" s="24">
        <f t="shared" si="2"/>
        <v>13.36</v>
      </c>
      <c r="Y8" s="24">
        <f t="shared" si="2"/>
        <v>13.89</v>
      </c>
    </row>
    <row r="9" spans="2:25" x14ac:dyDescent="0.6">
      <c r="B9" s="21">
        <v>3</v>
      </c>
      <c r="C9" s="24">
        <f t="shared" ref="C9:C13" si="3">ROUND(C8+(C$5/10)^(1/$B9)+$C$4^(1/$B9),2)</f>
        <v>3.61</v>
      </c>
      <c r="D9" s="24">
        <f t="shared" si="2"/>
        <v>4.29</v>
      </c>
      <c r="E9" s="24">
        <f t="shared" si="2"/>
        <v>4.93</v>
      </c>
      <c r="F9" s="24">
        <f t="shared" si="2"/>
        <v>5.55</v>
      </c>
      <c r="G9" s="24">
        <f t="shared" si="2"/>
        <v>6.15</v>
      </c>
      <c r="H9" s="24">
        <f t="shared" si="2"/>
        <v>6.73</v>
      </c>
      <c r="I9" s="24">
        <f t="shared" si="2"/>
        <v>7.32</v>
      </c>
      <c r="J9" s="24">
        <f t="shared" si="2"/>
        <v>7.89</v>
      </c>
      <c r="K9" s="24">
        <f t="shared" si="2"/>
        <v>8.4600000000000009</v>
      </c>
      <c r="L9" s="24">
        <f t="shared" si="2"/>
        <v>9.01</v>
      </c>
      <c r="M9" s="24">
        <f t="shared" si="2"/>
        <v>9.58</v>
      </c>
      <c r="N9" s="24">
        <f t="shared" si="2"/>
        <v>10.130000000000001</v>
      </c>
      <c r="O9" s="24">
        <f t="shared" si="2"/>
        <v>10.69</v>
      </c>
      <c r="P9" s="24">
        <f t="shared" si="2"/>
        <v>11.24</v>
      </c>
      <c r="Q9" s="24">
        <f t="shared" si="2"/>
        <v>11.79</v>
      </c>
      <c r="R9" s="24">
        <f t="shared" si="2"/>
        <v>12.34</v>
      </c>
      <c r="S9" s="24">
        <f t="shared" si="2"/>
        <v>12.89</v>
      </c>
      <c r="T9" s="24">
        <f t="shared" si="2"/>
        <v>13.43</v>
      </c>
      <c r="U9" s="24">
        <f t="shared" si="2"/>
        <v>13.97</v>
      </c>
      <c r="V9" s="24">
        <f t="shared" si="2"/>
        <v>14.52</v>
      </c>
      <c r="W9" s="24">
        <f t="shared" si="2"/>
        <v>15.06</v>
      </c>
      <c r="X9" s="24">
        <f t="shared" si="2"/>
        <v>15.59</v>
      </c>
      <c r="Y9" s="24">
        <f t="shared" si="2"/>
        <v>16.14</v>
      </c>
    </row>
    <row r="10" spans="2:25" x14ac:dyDescent="0.6">
      <c r="B10" s="21">
        <v>4</v>
      </c>
      <c r="C10" s="24">
        <f t="shared" si="3"/>
        <v>5.23</v>
      </c>
      <c r="D10" s="24">
        <f t="shared" si="2"/>
        <v>6</v>
      </c>
      <c r="E10" s="24">
        <f t="shared" si="2"/>
        <v>6.7</v>
      </c>
      <c r="F10" s="24">
        <f t="shared" si="2"/>
        <v>7.37</v>
      </c>
      <c r="G10" s="24">
        <f t="shared" si="2"/>
        <v>8</v>
      </c>
      <c r="H10" s="24">
        <f t="shared" si="2"/>
        <v>8.6199999999999992</v>
      </c>
      <c r="I10" s="24">
        <f t="shared" si="2"/>
        <v>9.24</v>
      </c>
      <c r="J10" s="24">
        <f t="shared" si="2"/>
        <v>9.83</v>
      </c>
      <c r="K10" s="24">
        <f t="shared" si="2"/>
        <v>10.43</v>
      </c>
      <c r="L10" s="24">
        <f t="shared" si="2"/>
        <v>11</v>
      </c>
      <c r="M10" s="24">
        <f t="shared" si="2"/>
        <v>11.59</v>
      </c>
      <c r="N10" s="24">
        <f t="shared" si="2"/>
        <v>12.16</v>
      </c>
      <c r="O10" s="24">
        <f t="shared" si="2"/>
        <v>12.73</v>
      </c>
      <c r="P10" s="24">
        <f t="shared" si="2"/>
        <v>13.3</v>
      </c>
      <c r="Q10" s="24">
        <f t="shared" si="2"/>
        <v>13.87</v>
      </c>
      <c r="R10" s="24">
        <f t="shared" si="2"/>
        <v>14.43</v>
      </c>
      <c r="S10" s="24">
        <f t="shared" si="2"/>
        <v>15</v>
      </c>
      <c r="T10" s="24">
        <f t="shared" si="2"/>
        <v>15.55</v>
      </c>
      <c r="U10" s="24">
        <f t="shared" si="2"/>
        <v>16.100000000000001</v>
      </c>
      <c r="V10" s="24">
        <f t="shared" si="2"/>
        <v>16.670000000000002</v>
      </c>
      <c r="W10" s="24">
        <f t="shared" si="2"/>
        <v>17.22</v>
      </c>
      <c r="X10" s="24">
        <f t="shared" si="2"/>
        <v>17.760000000000002</v>
      </c>
      <c r="Y10" s="24">
        <f t="shared" si="2"/>
        <v>18.32</v>
      </c>
    </row>
    <row r="11" spans="2:25" x14ac:dyDescent="0.6">
      <c r="B11" s="21">
        <v>5</v>
      </c>
      <c r="C11" s="24">
        <f t="shared" si="3"/>
        <v>6.9</v>
      </c>
      <c r="D11" s="24">
        <f t="shared" si="2"/>
        <v>7.75</v>
      </c>
      <c r="E11" s="24">
        <f t="shared" si="2"/>
        <v>8.5</v>
      </c>
      <c r="F11" s="24">
        <f t="shared" si="2"/>
        <v>9.2100000000000009</v>
      </c>
      <c r="G11" s="24">
        <f t="shared" si="2"/>
        <v>9.8699999999999992</v>
      </c>
      <c r="H11" s="24">
        <f t="shared" si="2"/>
        <v>10.52</v>
      </c>
      <c r="I11" s="24">
        <f t="shared" si="2"/>
        <v>11.17</v>
      </c>
      <c r="J11" s="24">
        <f t="shared" si="2"/>
        <v>11.78</v>
      </c>
      <c r="K11" s="24">
        <f t="shared" si="2"/>
        <v>12.4</v>
      </c>
      <c r="L11" s="24">
        <f t="shared" si="2"/>
        <v>12.99</v>
      </c>
      <c r="M11" s="24">
        <f t="shared" si="2"/>
        <v>13.59</v>
      </c>
      <c r="N11" s="24">
        <f t="shared" si="2"/>
        <v>14.18</v>
      </c>
      <c r="O11" s="24">
        <f t="shared" si="2"/>
        <v>14.76</v>
      </c>
      <c r="P11" s="24">
        <f t="shared" si="2"/>
        <v>15.35</v>
      </c>
      <c r="Q11" s="24">
        <f t="shared" si="2"/>
        <v>15.93</v>
      </c>
      <c r="R11" s="24">
        <f t="shared" si="2"/>
        <v>16.5</v>
      </c>
      <c r="S11" s="24">
        <f t="shared" si="2"/>
        <v>17.079999999999998</v>
      </c>
      <c r="T11" s="24">
        <f t="shared" si="2"/>
        <v>17.649999999999999</v>
      </c>
      <c r="U11" s="24">
        <f t="shared" si="2"/>
        <v>18.21</v>
      </c>
      <c r="V11" s="24">
        <f t="shared" si="2"/>
        <v>18.79</v>
      </c>
      <c r="W11" s="24">
        <f t="shared" si="2"/>
        <v>19.350000000000001</v>
      </c>
      <c r="X11" s="24">
        <f t="shared" si="2"/>
        <v>19.899999999999999</v>
      </c>
      <c r="Y11" s="24">
        <f t="shared" si="2"/>
        <v>20.46</v>
      </c>
    </row>
    <row r="12" spans="2:25" x14ac:dyDescent="0.6">
      <c r="B12" s="21">
        <v>6</v>
      </c>
      <c r="C12" s="24">
        <f t="shared" si="3"/>
        <v>8.6</v>
      </c>
      <c r="D12" s="24">
        <f t="shared" si="2"/>
        <v>9.5299999999999994</v>
      </c>
      <c r="E12" s="24">
        <f t="shared" si="2"/>
        <v>10.32</v>
      </c>
      <c r="F12" s="24">
        <f t="shared" si="2"/>
        <v>11.07</v>
      </c>
      <c r="G12" s="24">
        <f t="shared" si="2"/>
        <v>11.76</v>
      </c>
      <c r="H12" s="24">
        <f t="shared" si="2"/>
        <v>12.43</v>
      </c>
      <c r="I12" s="24">
        <f t="shared" si="2"/>
        <v>13.11</v>
      </c>
      <c r="J12" s="24">
        <f t="shared" si="2"/>
        <v>13.73</v>
      </c>
      <c r="K12" s="24">
        <f t="shared" si="2"/>
        <v>14.37</v>
      </c>
      <c r="L12" s="24">
        <f t="shared" si="2"/>
        <v>14.98</v>
      </c>
      <c r="M12" s="24">
        <f t="shared" si="2"/>
        <v>15.59</v>
      </c>
      <c r="N12" s="24">
        <f t="shared" si="2"/>
        <v>16.190000000000001</v>
      </c>
      <c r="O12" s="24">
        <f t="shared" si="2"/>
        <v>16.79</v>
      </c>
      <c r="P12" s="24">
        <f t="shared" si="2"/>
        <v>17.39</v>
      </c>
      <c r="Q12" s="24">
        <f t="shared" si="2"/>
        <v>17.98</v>
      </c>
      <c r="R12" s="24">
        <f t="shared" si="2"/>
        <v>18.559999999999999</v>
      </c>
      <c r="S12" s="24">
        <f t="shared" si="2"/>
        <v>19.149999999999999</v>
      </c>
      <c r="T12" s="24">
        <f t="shared" si="2"/>
        <v>19.73</v>
      </c>
      <c r="U12" s="24">
        <f t="shared" si="2"/>
        <v>20.3</v>
      </c>
      <c r="V12" s="24">
        <f t="shared" si="2"/>
        <v>20.89</v>
      </c>
      <c r="W12" s="24">
        <f t="shared" si="2"/>
        <v>21.45</v>
      </c>
      <c r="X12" s="24">
        <f t="shared" si="2"/>
        <v>22.01</v>
      </c>
      <c r="Y12" s="24">
        <f t="shared" si="2"/>
        <v>22.58</v>
      </c>
    </row>
    <row r="13" spans="2:25" x14ac:dyDescent="0.6">
      <c r="B13" s="21">
        <v>7</v>
      </c>
      <c r="C13" s="24">
        <f t="shared" si="3"/>
        <v>10.33</v>
      </c>
      <c r="D13" s="24">
        <f t="shared" si="2"/>
        <v>11.33</v>
      </c>
      <c r="E13" s="24">
        <f t="shared" si="2"/>
        <v>12.16</v>
      </c>
      <c r="F13" s="24">
        <f t="shared" si="2"/>
        <v>12.95</v>
      </c>
      <c r="G13" s="24">
        <f t="shared" si="2"/>
        <v>13.66</v>
      </c>
      <c r="H13" s="24">
        <f t="shared" si="2"/>
        <v>14.35</v>
      </c>
      <c r="I13" s="24">
        <f t="shared" si="2"/>
        <v>15.05</v>
      </c>
      <c r="J13" s="24">
        <f t="shared" si="2"/>
        <v>15.69</v>
      </c>
      <c r="K13" s="24">
        <f t="shared" si="2"/>
        <v>16.34</v>
      </c>
      <c r="L13" s="24">
        <f t="shared" si="2"/>
        <v>16.97</v>
      </c>
      <c r="M13" s="24">
        <f t="shared" si="2"/>
        <v>17.59</v>
      </c>
      <c r="N13" s="24">
        <f t="shared" si="2"/>
        <v>18.2</v>
      </c>
      <c r="O13" s="24">
        <f t="shared" si="2"/>
        <v>18.809999999999999</v>
      </c>
      <c r="P13" s="24">
        <f t="shared" si="2"/>
        <v>19.420000000000002</v>
      </c>
      <c r="Q13" s="24">
        <f t="shared" si="2"/>
        <v>20.02</v>
      </c>
      <c r="R13" s="24">
        <f t="shared" si="2"/>
        <v>20.61</v>
      </c>
      <c r="S13" s="24">
        <f t="shared" si="2"/>
        <v>21.21</v>
      </c>
      <c r="T13" s="24">
        <f t="shared" si="2"/>
        <v>21.8</v>
      </c>
      <c r="U13" s="24">
        <f t="shared" si="2"/>
        <v>22.37</v>
      </c>
      <c r="V13" s="24">
        <f t="shared" si="2"/>
        <v>22.97</v>
      </c>
      <c r="W13" s="24">
        <f t="shared" si="2"/>
        <v>23.54</v>
      </c>
      <c r="X13" s="24">
        <f t="shared" si="2"/>
        <v>24.11</v>
      </c>
      <c r="Y13" s="24">
        <f t="shared" si="2"/>
        <v>24.68</v>
      </c>
    </row>
    <row r="14" spans="2:25" x14ac:dyDescent="0.6">
      <c r="B14" s="22" t="s">
        <v>12</v>
      </c>
      <c r="C14" s="25">
        <f>(SUM(C7:C13)/2)*2*PI()</f>
        <v>116.89866264007621</v>
      </c>
      <c r="D14" s="5">
        <f t="shared" ref="D14:Q14" si="4">(SUM(D7:D13)/2)*2*PI()</f>
        <v>133.61193555717389</v>
      </c>
      <c r="E14" s="5">
        <f>(SUM(E7:E13)/2)*2*PI()</f>
        <v>148.62874844133313</v>
      </c>
      <c r="F14" s="5">
        <f t="shared" si="4"/>
        <v>163.08007464784615</v>
      </c>
      <c r="G14" s="5">
        <f t="shared" si="4"/>
        <v>176.74600269096175</v>
      </c>
      <c r="H14" s="5">
        <f t="shared" si="4"/>
        <v>190.09777146871841</v>
      </c>
      <c r="I14" s="5">
        <f t="shared" si="4"/>
        <v>203.57520395261858</v>
      </c>
      <c r="J14" s="5">
        <f t="shared" si="4"/>
        <v>216.36148605272908</v>
      </c>
      <c r="K14" s="5">
        <f t="shared" si="4"/>
        <v>229.30484778551897</v>
      </c>
      <c r="L14" s="5">
        <f t="shared" si="4"/>
        <v>241.80838654680636</v>
      </c>
      <c r="M14" s="5">
        <f t="shared" si="4"/>
        <v>254.46900494077329</v>
      </c>
      <c r="N14" s="5">
        <f t="shared" si="4"/>
        <v>266.87829592245293</v>
      </c>
      <c r="O14" s="5">
        <f>(SUM(O7:O13)/2)*2*PI()</f>
        <v>279.28758690413264</v>
      </c>
      <c r="P14" s="5">
        <f t="shared" si="4"/>
        <v>291.69687788581234</v>
      </c>
      <c r="Q14" s="5">
        <f t="shared" si="4"/>
        <v>304.01192108788428</v>
      </c>
      <c r="R14" s="5">
        <f t="shared" ref="R14" si="5">(SUM(R7:R13)/2)*2*PI()</f>
        <v>316.20130058381267</v>
      </c>
      <c r="S14" s="5">
        <f t="shared" ref="S14" si="6">(SUM(S7:S13)/2)*2*PI()</f>
        <v>328.51634378588471</v>
      </c>
      <c r="T14" s="5">
        <f t="shared" ref="T14" si="7">(SUM(T7:T13)/2)*2*PI()</f>
        <v>340.61147550220534</v>
      </c>
      <c r="U14" s="5">
        <f t="shared" ref="U14" si="8">(SUM(U7:U13)/2)*2*PI()</f>
        <v>352.61235943891836</v>
      </c>
      <c r="V14" s="5">
        <f t="shared" ref="V14" si="9">(SUM(V7:V13)/2)*2*PI()</f>
        <v>364.92740264099041</v>
      </c>
      <c r="W14" s="5">
        <f t="shared" ref="W14" si="10">(SUM(W7:W13)/2)*2*PI()</f>
        <v>376.8654547246316</v>
      </c>
      <c r="X14" s="5">
        <f t="shared" ref="X14" si="11">(SUM(X7:X13)/2)*2*PI()</f>
        <v>388.70925902866514</v>
      </c>
      <c r="Y14" s="5">
        <f t="shared" ref="Y14" si="12">(SUM(Y7:Y13)/2)*2*PI()</f>
        <v>400.77297481844988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A317-1350-448C-83DA-1D10CE9AAA17}">
  <dimension ref="B1:Y14"/>
  <sheetViews>
    <sheetView showGridLines="0" zoomScale="115" zoomScaleNormal="115" workbookViewId="0">
      <selection activeCell="R11" sqref="R11"/>
    </sheetView>
  </sheetViews>
  <sheetFormatPr defaultRowHeight="16.5" x14ac:dyDescent="0.6"/>
  <cols>
    <col min="1" max="1" width="2.59765625" style="1" customWidth="1"/>
    <col min="2" max="2" width="18.06640625" style="1" customWidth="1"/>
    <col min="3" max="25" width="8.9296875" style="1" customWidth="1"/>
    <col min="26" max="16384" width="9.06640625" style="1"/>
  </cols>
  <sheetData>
    <row r="1" spans="2:25" x14ac:dyDescent="0.6">
      <c r="K1" s="13" t="s">
        <v>11</v>
      </c>
    </row>
    <row r="2" spans="2:25" x14ac:dyDescent="0.6">
      <c r="C2" s="27" t="s">
        <v>9</v>
      </c>
    </row>
    <row r="3" spans="2:25" x14ac:dyDescent="0.6">
      <c r="B3" s="11"/>
      <c r="C3" s="11"/>
    </row>
    <row r="4" spans="2:25" x14ac:dyDescent="0.6">
      <c r="B4" s="10" t="s">
        <v>4</v>
      </c>
      <c r="C4" s="6">
        <v>0.5</v>
      </c>
      <c r="D4" s="6">
        <v>1</v>
      </c>
      <c r="E4" s="6">
        <v>1.5</v>
      </c>
      <c r="F4" s="6">
        <v>2</v>
      </c>
      <c r="G4" s="6">
        <v>2.5</v>
      </c>
      <c r="H4" s="6">
        <v>3</v>
      </c>
      <c r="I4" s="6">
        <v>3.5</v>
      </c>
      <c r="J4" s="6">
        <v>4</v>
      </c>
      <c r="K4" s="6">
        <v>4.5</v>
      </c>
      <c r="L4" s="6">
        <v>5</v>
      </c>
      <c r="M4" s="6">
        <v>5.5</v>
      </c>
      <c r="N4" s="6">
        <v>6</v>
      </c>
      <c r="O4" s="6">
        <v>6.5</v>
      </c>
      <c r="P4" s="6">
        <v>7</v>
      </c>
      <c r="Q4" s="6">
        <v>7.5</v>
      </c>
      <c r="R4" s="6">
        <v>8</v>
      </c>
      <c r="S4" s="6">
        <v>8.5</v>
      </c>
      <c r="T4" s="6">
        <v>9</v>
      </c>
      <c r="U4" s="6">
        <v>9.5</v>
      </c>
      <c r="V4" s="6">
        <v>10</v>
      </c>
      <c r="W4" s="6">
        <v>10.5</v>
      </c>
      <c r="X4" s="6">
        <v>11</v>
      </c>
      <c r="Y4" s="6">
        <v>11.5</v>
      </c>
    </row>
    <row r="5" spans="2:25" x14ac:dyDescent="0.6">
      <c r="B5" s="10" t="s">
        <v>5</v>
      </c>
      <c r="C5" s="12">
        <f>2*C$4*3^(1/2)</f>
        <v>1.7320508075688772</v>
      </c>
      <c r="D5" s="12">
        <f t="shared" ref="D5:Y5" si="0">2*D$4*3^(1/2)</f>
        <v>3.4641016151377544</v>
      </c>
      <c r="E5" s="12">
        <f t="shared" si="0"/>
        <v>5.196152422706632</v>
      </c>
      <c r="F5" s="12">
        <f t="shared" si="0"/>
        <v>6.9282032302755088</v>
      </c>
      <c r="G5" s="12">
        <f t="shared" si="0"/>
        <v>8.6602540378443855</v>
      </c>
      <c r="H5" s="12">
        <f t="shared" si="0"/>
        <v>10.392304845413264</v>
      </c>
      <c r="I5" s="12">
        <f t="shared" si="0"/>
        <v>12.124355652982141</v>
      </c>
      <c r="J5" s="12">
        <f t="shared" si="0"/>
        <v>13.856406460551018</v>
      </c>
      <c r="K5" s="12">
        <f t="shared" si="0"/>
        <v>15.588457268119894</v>
      </c>
      <c r="L5" s="12">
        <f t="shared" si="0"/>
        <v>17.320508075688771</v>
      </c>
      <c r="M5" s="12">
        <f t="shared" si="0"/>
        <v>19.05255888325765</v>
      </c>
      <c r="N5" s="12">
        <f t="shared" si="0"/>
        <v>20.784609690826528</v>
      </c>
      <c r="O5" s="12">
        <f t="shared" si="0"/>
        <v>22.516660498395403</v>
      </c>
      <c r="P5" s="12">
        <f t="shared" si="0"/>
        <v>24.248711305964282</v>
      </c>
      <c r="Q5" s="12">
        <f t="shared" si="0"/>
        <v>25.980762113533157</v>
      </c>
      <c r="R5" s="12">
        <f t="shared" si="0"/>
        <v>27.712812921102035</v>
      </c>
      <c r="S5" s="12">
        <f t="shared" si="0"/>
        <v>29.444863728670914</v>
      </c>
      <c r="T5" s="12">
        <f t="shared" si="0"/>
        <v>31.176914536239789</v>
      </c>
      <c r="U5" s="12">
        <f t="shared" si="0"/>
        <v>32.908965343808667</v>
      </c>
      <c r="V5" s="12">
        <f t="shared" si="0"/>
        <v>34.641016151377542</v>
      </c>
      <c r="W5" s="12">
        <f t="shared" si="0"/>
        <v>36.373066958946424</v>
      </c>
      <c r="X5" s="12">
        <f t="shared" si="0"/>
        <v>38.105117766515299</v>
      </c>
      <c r="Y5" s="12">
        <f t="shared" si="0"/>
        <v>39.837168574084174</v>
      </c>
    </row>
    <row r="6" spans="2:25" x14ac:dyDescent="0.6">
      <c r="B6" s="14" t="s">
        <v>0</v>
      </c>
      <c r="C6" s="17" t="s">
        <v>6</v>
      </c>
      <c r="D6" s="7" t="s">
        <v>6</v>
      </c>
      <c r="E6" s="7" t="s">
        <v>6</v>
      </c>
      <c r="F6" s="7" t="s">
        <v>6</v>
      </c>
      <c r="G6" s="7" t="s">
        <v>6</v>
      </c>
      <c r="H6" s="7" t="s">
        <v>6</v>
      </c>
      <c r="I6" s="7" t="s">
        <v>6</v>
      </c>
      <c r="J6" s="7" t="s">
        <v>6</v>
      </c>
      <c r="K6" s="7" t="s">
        <v>6</v>
      </c>
      <c r="L6" s="7" t="s">
        <v>6</v>
      </c>
      <c r="M6" s="7" t="s">
        <v>6</v>
      </c>
      <c r="N6" s="7" t="s">
        <v>6</v>
      </c>
      <c r="O6" s="7" t="s">
        <v>6</v>
      </c>
      <c r="P6" s="7" t="s">
        <v>6</v>
      </c>
      <c r="Q6" s="7" t="s">
        <v>6</v>
      </c>
      <c r="R6" s="7" t="s">
        <v>6</v>
      </c>
      <c r="S6" s="7" t="s">
        <v>6</v>
      </c>
      <c r="T6" s="7" t="s">
        <v>6</v>
      </c>
      <c r="U6" s="7" t="s">
        <v>6</v>
      </c>
      <c r="V6" s="7" t="s">
        <v>6</v>
      </c>
      <c r="W6" s="7" t="s">
        <v>6</v>
      </c>
      <c r="X6" s="7" t="s">
        <v>6</v>
      </c>
      <c r="Y6" s="7" t="s">
        <v>6</v>
      </c>
    </row>
    <row r="7" spans="2:25" x14ac:dyDescent="0.6">
      <c r="B7" s="15">
        <v>1</v>
      </c>
      <c r="C7" s="18">
        <f>2*PI()*(C$5*$B7)/3</f>
        <v>3.6275987284684352</v>
      </c>
      <c r="D7" s="8">
        <f t="shared" ref="D7:Y13" si="1">2*PI()*(D$5*$B7)/3</f>
        <v>7.2551974569368705</v>
      </c>
      <c r="E7" s="8">
        <f t="shared" si="1"/>
        <v>10.882796185405306</v>
      </c>
      <c r="F7" s="8">
        <f t="shared" si="1"/>
        <v>14.510394913873741</v>
      </c>
      <c r="G7" s="8">
        <f t="shared" si="1"/>
        <v>18.137993642342177</v>
      </c>
      <c r="H7" s="8">
        <f t="shared" si="1"/>
        <v>21.765592370810612</v>
      </c>
      <c r="I7" s="8">
        <f t="shared" si="1"/>
        <v>25.393191099279051</v>
      </c>
      <c r="J7" s="8">
        <f t="shared" si="1"/>
        <v>29.020789827747482</v>
      </c>
      <c r="K7" s="8">
        <f t="shared" si="1"/>
        <v>32.648388556215913</v>
      </c>
      <c r="L7" s="8">
        <f t="shared" si="1"/>
        <v>36.275987284684355</v>
      </c>
      <c r="M7" s="8">
        <f t="shared" si="1"/>
        <v>39.90358601315279</v>
      </c>
      <c r="N7" s="8">
        <f t="shared" si="1"/>
        <v>43.531184741621225</v>
      </c>
      <c r="O7" s="8">
        <f t="shared" si="1"/>
        <v>47.158783470089652</v>
      </c>
      <c r="P7" s="8">
        <f t="shared" si="1"/>
        <v>50.786382198558101</v>
      </c>
      <c r="Q7" s="8">
        <f t="shared" si="1"/>
        <v>54.413980927026529</v>
      </c>
      <c r="R7" s="8">
        <f t="shared" si="1"/>
        <v>58.041579655494964</v>
      </c>
      <c r="S7" s="8">
        <f t="shared" si="1"/>
        <v>61.669178383963406</v>
      </c>
      <c r="T7" s="8">
        <f t="shared" si="1"/>
        <v>65.296777112431826</v>
      </c>
      <c r="U7" s="8">
        <f t="shared" si="1"/>
        <v>68.924375840900268</v>
      </c>
      <c r="V7" s="8">
        <f t="shared" si="1"/>
        <v>72.55197456936871</v>
      </c>
      <c r="W7" s="8">
        <f t="shared" si="1"/>
        <v>76.179573297837152</v>
      </c>
      <c r="X7" s="8">
        <f t="shared" si="1"/>
        <v>79.807172026305579</v>
      </c>
      <c r="Y7" s="8">
        <f t="shared" si="1"/>
        <v>83.434770754774007</v>
      </c>
    </row>
    <row r="8" spans="2:25" x14ac:dyDescent="0.6">
      <c r="B8" s="15">
        <v>2</v>
      </c>
      <c r="C8" s="18">
        <f t="shared" ref="C8:R13" si="2">2*PI()*(C$5*$B8)/3</f>
        <v>7.2551974569368705</v>
      </c>
      <c r="D8" s="8">
        <f t="shared" si="2"/>
        <v>14.510394913873741</v>
      </c>
      <c r="E8" s="8">
        <f t="shared" si="2"/>
        <v>21.765592370810612</v>
      </c>
      <c r="F8" s="8">
        <f t="shared" si="2"/>
        <v>29.020789827747482</v>
      </c>
      <c r="G8" s="8">
        <f t="shared" si="2"/>
        <v>36.275987284684355</v>
      </c>
      <c r="H8" s="8">
        <f t="shared" si="2"/>
        <v>43.531184741621225</v>
      </c>
      <c r="I8" s="8">
        <f t="shared" si="2"/>
        <v>50.786382198558101</v>
      </c>
      <c r="J8" s="8">
        <f t="shared" si="2"/>
        <v>58.041579655494964</v>
      </c>
      <c r="K8" s="8">
        <f t="shared" si="2"/>
        <v>65.296777112431826</v>
      </c>
      <c r="L8" s="8">
        <f t="shared" si="2"/>
        <v>72.55197456936871</v>
      </c>
      <c r="M8" s="8">
        <f t="shared" si="2"/>
        <v>79.807172026305579</v>
      </c>
      <c r="N8" s="8">
        <f t="shared" si="2"/>
        <v>87.062369483242449</v>
      </c>
      <c r="O8" s="8">
        <f t="shared" si="2"/>
        <v>94.317566940179304</v>
      </c>
      <c r="P8" s="8">
        <f t="shared" si="2"/>
        <v>101.5727643971162</v>
      </c>
      <c r="Q8" s="8">
        <f t="shared" si="2"/>
        <v>108.82796185405306</v>
      </c>
      <c r="R8" s="8">
        <f t="shared" si="2"/>
        <v>116.08315931098993</v>
      </c>
      <c r="S8" s="8">
        <f t="shared" si="1"/>
        <v>123.33835676792681</v>
      </c>
      <c r="T8" s="8">
        <f t="shared" si="1"/>
        <v>130.59355422486365</v>
      </c>
      <c r="U8" s="8">
        <f t="shared" si="1"/>
        <v>137.84875168180054</v>
      </c>
      <c r="V8" s="8">
        <f t="shared" si="1"/>
        <v>145.10394913873742</v>
      </c>
      <c r="W8" s="8">
        <f t="shared" si="1"/>
        <v>152.3591465956743</v>
      </c>
      <c r="X8" s="8">
        <f t="shared" si="1"/>
        <v>159.61434405261116</v>
      </c>
      <c r="Y8" s="8">
        <f t="shared" si="1"/>
        <v>166.86954150954801</v>
      </c>
    </row>
    <row r="9" spans="2:25" x14ac:dyDescent="0.6">
      <c r="B9" s="15">
        <v>3</v>
      </c>
      <c r="C9" s="18">
        <f t="shared" si="2"/>
        <v>10.882796185405306</v>
      </c>
      <c r="D9" s="8">
        <f t="shared" si="2"/>
        <v>21.765592370810612</v>
      </c>
      <c r="E9" s="8">
        <f t="shared" si="2"/>
        <v>32.64838855621592</v>
      </c>
      <c r="F9" s="8">
        <f t="shared" si="2"/>
        <v>43.531184741621225</v>
      </c>
      <c r="G9" s="8">
        <f t="shared" si="2"/>
        <v>54.413980927026529</v>
      </c>
      <c r="H9" s="8">
        <f t="shared" si="2"/>
        <v>65.29677711243184</v>
      </c>
      <c r="I9" s="8">
        <f t="shared" si="2"/>
        <v>76.179573297837152</v>
      </c>
      <c r="J9" s="8">
        <f t="shared" si="2"/>
        <v>87.062369483242449</v>
      </c>
      <c r="K9" s="8">
        <f t="shared" si="2"/>
        <v>97.945165668647746</v>
      </c>
      <c r="L9" s="8">
        <f t="shared" si="1"/>
        <v>108.82796185405306</v>
      </c>
      <c r="M9" s="8">
        <f>2*PI()*(M$5*$B9)/3</f>
        <v>119.71075803945837</v>
      </c>
      <c r="N9" s="8">
        <f t="shared" si="1"/>
        <v>130.59355422486368</v>
      </c>
      <c r="O9" s="8">
        <f t="shared" si="1"/>
        <v>141.47635041026899</v>
      </c>
      <c r="P9" s="8">
        <f t="shared" si="1"/>
        <v>152.3591465956743</v>
      </c>
      <c r="Q9" s="8">
        <f t="shared" si="1"/>
        <v>163.24194278107959</v>
      </c>
      <c r="R9" s="8">
        <f t="shared" si="1"/>
        <v>174.1247389664849</v>
      </c>
      <c r="S9" s="8">
        <f t="shared" si="1"/>
        <v>185.00753515189021</v>
      </c>
      <c r="T9" s="8">
        <f t="shared" si="1"/>
        <v>195.89033133729549</v>
      </c>
      <c r="U9" s="8">
        <f t="shared" si="1"/>
        <v>206.77312752270083</v>
      </c>
      <c r="V9" s="8">
        <f t="shared" si="1"/>
        <v>217.65592370810612</v>
      </c>
      <c r="W9" s="8">
        <f t="shared" si="1"/>
        <v>228.53871989351146</v>
      </c>
      <c r="X9" s="8">
        <f t="shared" si="1"/>
        <v>239.42151607891674</v>
      </c>
      <c r="Y9" s="8">
        <f t="shared" si="1"/>
        <v>250.30431226432202</v>
      </c>
    </row>
    <row r="10" spans="2:25" x14ac:dyDescent="0.6">
      <c r="B10" s="15">
        <v>4</v>
      </c>
      <c r="C10" s="18">
        <f t="shared" si="2"/>
        <v>14.510394913873741</v>
      </c>
      <c r="D10" s="8">
        <f t="shared" si="2"/>
        <v>29.020789827747482</v>
      </c>
      <c r="E10" s="8">
        <f t="shared" si="2"/>
        <v>43.531184741621225</v>
      </c>
      <c r="F10" s="8">
        <f t="shared" si="2"/>
        <v>58.041579655494964</v>
      </c>
      <c r="G10" s="8">
        <f t="shared" si="2"/>
        <v>72.55197456936871</v>
      </c>
      <c r="H10" s="8">
        <f t="shared" si="2"/>
        <v>87.062369483242449</v>
      </c>
      <c r="I10" s="8">
        <f t="shared" si="2"/>
        <v>101.5727643971162</v>
      </c>
      <c r="J10" s="8">
        <f t="shared" si="2"/>
        <v>116.08315931098993</v>
      </c>
      <c r="K10" s="8">
        <f t="shared" si="2"/>
        <v>130.59355422486365</v>
      </c>
      <c r="L10" s="8">
        <f t="shared" si="1"/>
        <v>145.10394913873742</v>
      </c>
      <c r="M10" s="8">
        <f>2*PI()*(M$5*$B10)/3</f>
        <v>159.61434405261116</v>
      </c>
      <c r="N10" s="8">
        <f t="shared" si="1"/>
        <v>174.1247389664849</v>
      </c>
      <c r="O10" s="8">
        <f t="shared" si="1"/>
        <v>188.63513388035861</v>
      </c>
      <c r="P10" s="8">
        <f t="shared" si="1"/>
        <v>203.1455287942324</v>
      </c>
      <c r="Q10" s="8">
        <f t="shared" si="1"/>
        <v>217.65592370810612</v>
      </c>
      <c r="R10" s="8">
        <f t="shared" si="1"/>
        <v>232.16631862197985</v>
      </c>
      <c r="S10" s="8">
        <f t="shared" si="1"/>
        <v>246.67671353585362</v>
      </c>
      <c r="T10" s="8">
        <f t="shared" si="1"/>
        <v>261.1871084497273</v>
      </c>
      <c r="U10" s="8">
        <f t="shared" si="1"/>
        <v>275.69750336360107</v>
      </c>
      <c r="V10" s="8">
        <f t="shared" si="1"/>
        <v>290.20789827747484</v>
      </c>
      <c r="W10" s="8">
        <f t="shared" si="1"/>
        <v>304.71829319134861</v>
      </c>
      <c r="X10" s="8">
        <f t="shared" si="1"/>
        <v>319.22868810522232</v>
      </c>
      <c r="Y10" s="8">
        <f t="shared" si="1"/>
        <v>333.73908301909603</v>
      </c>
    </row>
    <row r="11" spans="2:25" x14ac:dyDescent="0.6">
      <c r="B11" s="15">
        <v>5</v>
      </c>
      <c r="C11" s="18">
        <f t="shared" si="2"/>
        <v>18.137993642342177</v>
      </c>
      <c r="D11" s="8">
        <f t="shared" si="2"/>
        <v>36.275987284684355</v>
      </c>
      <c r="E11" s="8">
        <f t="shared" si="2"/>
        <v>54.413980927026536</v>
      </c>
      <c r="F11" s="8">
        <f t="shared" si="2"/>
        <v>72.55197456936871</v>
      </c>
      <c r="G11" s="8">
        <f t="shared" si="2"/>
        <v>90.689968211710877</v>
      </c>
      <c r="H11" s="8">
        <f t="shared" si="2"/>
        <v>108.82796185405307</v>
      </c>
      <c r="I11" s="8">
        <f t="shared" si="2"/>
        <v>126.96595549639524</v>
      </c>
      <c r="J11" s="8">
        <f t="shared" si="2"/>
        <v>145.10394913873742</v>
      </c>
      <c r="K11" s="8">
        <f t="shared" si="2"/>
        <v>163.24194278107959</v>
      </c>
      <c r="L11" s="8">
        <f t="shared" si="1"/>
        <v>181.37993642342175</v>
      </c>
      <c r="M11" s="8">
        <f t="shared" si="1"/>
        <v>199.51793006576395</v>
      </c>
      <c r="N11" s="8">
        <f t="shared" si="1"/>
        <v>217.65592370810614</v>
      </c>
      <c r="O11" s="8">
        <f t="shared" si="1"/>
        <v>235.79391735044828</v>
      </c>
      <c r="P11" s="8">
        <f t="shared" si="1"/>
        <v>253.93191099279048</v>
      </c>
      <c r="Q11" s="8">
        <f t="shared" si="1"/>
        <v>272.06990463513262</v>
      </c>
      <c r="R11" s="8">
        <f t="shared" si="1"/>
        <v>290.20789827747484</v>
      </c>
      <c r="S11" s="8">
        <f t="shared" si="1"/>
        <v>308.34589191981701</v>
      </c>
      <c r="T11" s="8">
        <f t="shared" si="1"/>
        <v>326.48388556215917</v>
      </c>
      <c r="U11" s="8">
        <f t="shared" si="1"/>
        <v>344.62187920450134</v>
      </c>
      <c r="V11" s="8">
        <f t="shared" si="1"/>
        <v>362.75987284684351</v>
      </c>
      <c r="W11" s="8">
        <f t="shared" si="1"/>
        <v>380.89786648918579</v>
      </c>
      <c r="X11" s="8">
        <f t="shared" si="1"/>
        <v>399.0358601315279</v>
      </c>
      <c r="Y11" s="8">
        <f t="shared" si="1"/>
        <v>417.17385377387001</v>
      </c>
    </row>
    <row r="12" spans="2:25" x14ac:dyDescent="0.6">
      <c r="B12" s="15">
        <v>6</v>
      </c>
      <c r="C12" s="18">
        <f t="shared" si="2"/>
        <v>21.765592370810612</v>
      </c>
      <c r="D12" s="8">
        <f t="shared" si="2"/>
        <v>43.531184741621225</v>
      </c>
      <c r="E12" s="8">
        <f t="shared" si="2"/>
        <v>65.29677711243184</v>
      </c>
      <c r="F12" s="8">
        <f t="shared" si="2"/>
        <v>87.062369483242449</v>
      </c>
      <c r="G12" s="8">
        <f t="shared" si="2"/>
        <v>108.82796185405306</v>
      </c>
      <c r="H12" s="8">
        <f t="shared" si="2"/>
        <v>130.59355422486368</v>
      </c>
      <c r="I12" s="8">
        <f t="shared" si="2"/>
        <v>152.3591465956743</v>
      </c>
      <c r="J12" s="8">
        <f t="shared" si="2"/>
        <v>174.1247389664849</v>
      </c>
      <c r="K12" s="8">
        <f t="shared" si="2"/>
        <v>195.89033133729549</v>
      </c>
      <c r="L12" s="8">
        <f t="shared" si="1"/>
        <v>217.65592370810612</v>
      </c>
      <c r="M12" s="8">
        <f t="shared" si="1"/>
        <v>239.42151607891674</v>
      </c>
      <c r="N12" s="8">
        <f t="shared" si="1"/>
        <v>261.18710844972736</v>
      </c>
      <c r="O12" s="8">
        <f t="shared" si="1"/>
        <v>282.95270082053798</v>
      </c>
      <c r="P12" s="8">
        <f t="shared" si="1"/>
        <v>304.71829319134861</v>
      </c>
      <c r="Q12" s="8">
        <f t="shared" si="1"/>
        <v>326.48388556215917</v>
      </c>
      <c r="R12" s="8">
        <f t="shared" si="1"/>
        <v>348.2494779329698</v>
      </c>
      <c r="S12" s="8">
        <f t="shared" si="1"/>
        <v>370.01507030378042</v>
      </c>
      <c r="T12" s="8">
        <f t="shared" si="1"/>
        <v>391.78066267459099</v>
      </c>
      <c r="U12" s="8">
        <f t="shared" si="1"/>
        <v>413.54625504540167</v>
      </c>
      <c r="V12" s="8">
        <f t="shared" si="1"/>
        <v>435.31184741621223</v>
      </c>
      <c r="W12" s="8">
        <f t="shared" si="1"/>
        <v>457.07743978702291</v>
      </c>
      <c r="X12" s="8">
        <f t="shared" si="1"/>
        <v>478.84303215783348</v>
      </c>
      <c r="Y12" s="8">
        <f t="shared" si="1"/>
        <v>500.60862452864404</v>
      </c>
    </row>
    <row r="13" spans="2:25" x14ac:dyDescent="0.6">
      <c r="B13" s="15">
        <v>7</v>
      </c>
      <c r="C13" s="18">
        <f t="shared" si="2"/>
        <v>25.393191099279051</v>
      </c>
      <c r="D13" s="8">
        <f t="shared" si="2"/>
        <v>50.786382198558101</v>
      </c>
      <c r="E13" s="8">
        <f t="shared" si="2"/>
        <v>76.179573297837152</v>
      </c>
      <c r="F13" s="8">
        <f t="shared" si="2"/>
        <v>101.5727643971162</v>
      </c>
      <c r="G13" s="8">
        <f t="shared" si="2"/>
        <v>126.96595549639524</v>
      </c>
      <c r="H13" s="8">
        <f t="shared" si="2"/>
        <v>152.3591465956743</v>
      </c>
      <c r="I13" s="8">
        <f t="shared" si="2"/>
        <v>177.75233769495333</v>
      </c>
      <c r="J13" s="8">
        <f t="shared" si="2"/>
        <v>203.1455287942324</v>
      </c>
      <c r="K13" s="8">
        <f t="shared" si="2"/>
        <v>228.5387198935114</v>
      </c>
      <c r="L13" s="8">
        <f t="shared" si="1"/>
        <v>253.93191099279048</v>
      </c>
      <c r="M13" s="8">
        <f t="shared" si="1"/>
        <v>279.32510209206947</v>
      </c>
      <c r="N13" s="8">
        <f t="shared" si="1"/>
        <v>304.71829319134861</v>
      </c>
      <c r="O13" s="8">
        <f t="shared" si="1"/>
        <v>330.11148429062763</v>
      </c>
      <c r="P13" s="8">
        <f t="shared" si="1"/>
        <v>355.50467538990665</v>
      </c>
      <c r="Q13" s="8">
        <f t="shared" si="1"/>
        <v>380.89786648918567</v>
      </c>
      <c r="R13" s="8">
        <f t="shared" si="1"/>
        <v>406.29105758846481</v>
      </c>
      <c r="S13" s="8">
        <f t="shared" si="1"/>
        <v>431.68424868774378</v>
      </c>
      <c r="T13" s="8">
        <f t="shared" si="1"/>
        <v>457.0774397870228</v>
      </c>
      <c r="U13" s="8">
        <f t="shared" si="1"/>
        <v>482.47063088630193</v>
      </c>
      <c r="V13" s="8">
        <f t="shared" si="1"/>
        <v>507.86382198558096</v>
      </c>
      <c r="W13" s="8">
        <f t="shared" si="1"/>
        <v>533.25701308485998</v>
      </c>
      <c r="X13" s="8">
        <f t="shared" si="1"/>
        <v>558.65020418413894</v>
      </c>
      <c r="Y13" s="8">
        <f t="shared" si="1"/>
        <v>584.04339528341814</v>
      </c>
    </row>
    <row r="14" spans="2:25" x14ac:dyDescent="0.6">
      <c r="B14" s="16" t="s">
        <v>10</v>
      </c>
      <c r="C14" s="19">
        <f>SUM(C7:C13)</f>
        <v>101.57276439711619</v>
      </c>
      <c r="D14" s="9">
        <f t="shared" ref="D14:K14" si="3">SUM(D7:D13)</f>
        <v>203.14552879423238</v>
      </c>
      <c r="E14" s="9">
        <f t="shared" si="3"/>
        <v>304.71829319134861</v>
      </c>
      <c r="F14" s="9">
        <f t="shared" si="3"/>
        <v>406.29105758846475</v>
      </c>
      <c r="G14" s="9">
        <f t="shared" si="3"/>
        <v>507.86382198558096</v>
      </c>
      <c r="H14" s="9">
        <f t="shared" si="3"/>
        <v>609.43658638269721</v>
      </c>
      <c r="I14" s="9">
        <f t="shared" si="3"/>
        <v>711.00935077981342</v>
      </c>
      <c r="J14" s="9">
        <f t="shared" si="3"/>
        <v>812.58211517692951</v>
      </c>
      <c r="K14" s="9">
        <f t="shared" si="3"/>
        <v>914.15487957404559</v>
      </c>
      <c r="L14" s="9">
        <f t="shared" ref="L14" si="4">SUM(L7:L13)</f>
        <v>1015.7276439711619</v>
      </c>
      <c r="M14" s="9">
        <f t="shared" ref="M14" si="5">SUM(M7:M13)</f>
        <v>1117.3004083682781</v>
      </c>
      <c r="N14" s="9">
        <f t="shared" ref="N14" si="6">SUM(N7:N13)</f>
        <v>1218.8731727653944</v>
      </c>
      <c r="O14" s="9">
        <f t="shared" ref="O14" si="7">SUM(O7:O13)</f>
        <v>1320.4459371625105</v>
      </c>
      <c r="P14" s="9">
        <f t="shared" ref="P14" si="8">SUM(P7:P13)</f>
        <v>1422.0187015596268</v>
      </c>
      <c r="Q14" s="9">
        <f t="shared" ref="Q14" si="9">SUM(Q7:Q13)</f>
        <v>1523.5914659567427</v>
      </c>
      <c r="R14" s="9">
        <f t="shared" ref="R14" si="10">SUM(R7:R13)</f>
        <v>1625.164230353859</v>
      </c>
      <c r="S14" s="9">
        <f t="shared" ref="S14" si="11">SUM(S7:S13)</f>
        <v>1726.7369947509753</v>
      </c>
      <c r="T14" s="9">
        <f t="shared" ref="T14" si="12">SUM(T7:T13)</f>
        <v>1828.3097591480912</v>
      </c>
      <c r="U14" s="9">
        <f t="shared" ref="U14" si="13">SUM(U7:U13)</f>
        <v>1929.8825235452077</v>
      </c>
      <c r="V14" s="9">
        <f t="shared" ref="V14" si="14">SUM(V7:V13)</f>
        <v>2031.4552879423238</v>
      </c>
      <c r="W14" s="9">
        <f t="shared" ref="W14" si="15">SUM(W7:W13)</f>
        <v>2133.0280523394404</v>
      </c>
      <c r="X14" s="9">
        <f t="shared" ref="X14" si="16">SUM(X7:X13)</f>
        <v>2234.6008167365562</v>
      </c>
      <c r="Y14" s="9">
        <f t="shared" ref="Y14" si="17">SUM(Y7:Y13)</f>
        <v>2336.1735811336721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9A9B1-05D1-451C-B202-C6CE562323C7}">
  <dimension ref="B1:Y14"/>
  <sheetViews>
    <sheetView showGridLines="0" zoomScale="115" zoomScaleNormal="115" workbookViewId="0">
      <selection activeCell="T8" sqref="T8"/>
    </sheetView>
  </sheetViews>
  <sheetFormatPr defaultRowHeight="16.5" x14ac:dyDescent="0.6"/>
  <cols>
    <col min="1" max="1" width="2.59765625" style="1" customWidth="1"/>
    <col min="2" max="2" width="17.53125" style="1" customWidth="1"/>
    <col min="3" max="25" width="8.6640625" style="1" customWidth="1"/>
    <col min="26" max="16384" width="9.06640625" style="1"/>
  </cols>
  <sheetData>
    <row r="1" spans="2:25" x14ac:dyDescent="0.6">
      <c r="K1" s="13" t="s">
        <v>11</v>
      </c>
    </row>
    <row r="2" spans="2:25" x14ac:dyDescent="0.6">
      <c r="C2" s="27" t="s">
        <v>8</v>
      </c>
    </row>
    <row r="3" spans="2:25" x14ac:dyDescent="0.6">
      <c r="B3" s="11"/>
      <c r="C3" s="11"/>
    </row>
    <row r="4" spans="2:25" x14ac:dyDescent="0.6">
      <c r="B4" s="10" t="s">
        <v>4</v>
      </c>
      <c r="C4" s="6">
        <v>0.5</v>
      </c>
      <c r="D4" s="6">
        <v>1</v>
      </c>
      <c r="E4" s="6">
        <v>1.5</v>
      </c>
      <c r="F4" s="6">
        <v>2</v>
      </c>
      <c r="G4" s="6">
        <v>2.5</v>
      </c>
      <c r="H4" s="6">
        <v>3</v>
      </c>
      <c r="I4" s="6">
        <v>3.5</v>
      </c>
      <c r="J4" s="6">
        <v>4</v>
      </c>
      <c r="K4" s="6">
        <v>4.5</v>
      </c>
      <c r="L4" s="6">
        <v>5</v>
      </c>
      <c r="M4" s="6">
        <v>5.5</v>
      </c>
      <c r="N4" s="6">
        <v>6</v>
      </c>
      <c r="O4" s="6">
        <v>6.5</v>
      </c>
      <c r="P4" s="6">
        <v>7</v>
      </c>
      <c r="Q4" s="6">
        <v>7.5</v>
      </c>
      <c r="R4" s="6">
        <v>8</v>
      </c>
      <c r="S4" s="6">
        <v>8.5</v>
      </c>
      <c r="T4" s="6">
        <v>9</v>
      </c>
      <c r="U4" s="6">
        <v>9.5</v>
      </c>
      <c r="V4" s="6">
        <v>10</v>
      </c>
      <c r="W4" s="6">
        <v>10.5</v>
      </c>
      <c r="X4" s="6">
        <v>11</v>
      </c>
      <c r="Y4" s="6">
        <v>11.5</v>
      </c>
    </row>
    <row r="5" spans="2:25" x14ac:dyDescent="0.6">
      <c r="B5" s="10" t="s">
        <v>5</v>
      </c>
      <c r="C5" s="12">
        <f>C$4*3^(1/2)</f>
        <v>0.8660254037844386</v>
      </c>
      <c r="D5" s="12">
        <f t="shared" ref="D5:Y5" si="0">D$4*3^(1/2)</f>
        <v>1.7320508075688772</v>
      </c>
      <c r="E5" s="12">
        <f t="shared" si="0"/>
        <v>2.598076211353316</v>
      </c>
      <c r="F5" s="12">
        <f t="shared" si="0"/>
        <v>3.4641016151377544</v>
      </c>
      <c r="G5" s="12">
        <f t="shared" si="0"/>
        <v>4.3301270189221928</v>
      </c>
      <c r="H5" s="12">
        <f t="shared" si="0"/>
        <v>5.196152422706632</v>
      </c>
      <c r="I5" s="12">
        <f t="shared" si="0"/>
        <v>6.0621778264910704</v>
      </c>
      <c r="J5" s="12">
        <f t="shared" si="0"/>
        <v>6.9282032302755088</v>
      </c>
      <c r="K5" s="12">
        <f t="shared" si="0"/>
        <v>7.7942286340599471</v>
      </c>
      <c r="L5" s="12">
        <f t="shared" si="0"/>
        <v>8.6602540378443855</v>
      </c>
      <c r="M5" s="12">
        <f t="shared" si="0"/>
        <v>9.5262794416288248</v>
      </c>
      <c r="N5" s="12">
        <f t="shared" si="0"/>
        <v>10.392304845413264</v>
      </c>
      <c r="O5" s="12">
        <f t="shared" si="0"/>
        <v>11.258330249197702</v>
      </c>
      <c r="P5" s="12">
        <f t="shared" si="0"/>
        <v>12.124355652982141</v>
      </c>
      <c r="Q5" s="12">
        <f t="shared" si="0"/>
        <v>12.990381056766578</v>
      </c>
      <c r="R5" s="12">
        <f t="shared" si="0"/>
        <v>13.856406460551018</v>
      </c>
      <c r="S5" s="12">
        <f t="shared" si="0"/>
        <v>14.722431864335457</v>
      </c>
      <c r="T5" s="12">
        <f t="shared" si="0"/>
        <v>15.588457268119894</v>
      </c>
      <c r="U5" s="12">
        <f t="shared" si="0"/>
        <v>16.454482671904334</v>
      </c>
      <c r="V5" s="12">
        <f t="shared" si="0"/>
        <v>17.320508075688771</v>
      </c>
      <c r="W5" s="12">
        <f t="shared" si="0"/>
        <v>18.186533479473212</v>
      </c>
      <c r="X5" s="12">
        <f t="shared" si="0"/>
        <v>19.05255888325765</v>
      </c>
      <c r="Y5" s="12">
        <f t="shared" si="0"/>
        <v>19.918584287042087</v>
      </c>
    </row>
    <row r="6" spans="2:25" x14ac:dyDescent="0.6">
      <c r="B6" s="14" t="s">
        <v>0</v>
      </c>
      <c r="C6" s="17" t="s">
        <v>6</v>
      </c>
      <c r="D6" s="7" t="s">
        <v>6</v>
      </c>
      <c r="E6" s="7" t="s">
        <v>6</v>
      </c>
      <c r="F6" s="7" t="s">
        <v>6</v>
      </c>
      <c r="G6" s="7" t="s">
        <v>6</v>
      </c>
      <c r="H6" s="7" t="s">
        <v>6</v>
      </c>
      <c r="I6" s="7" t="s">
        <v>6</v>
      </c>
      <c r="J6" s="7" t="s">
        <v>6</v>
      </c>
      <c r="K6" s="7" t="s">
        <v>6</v>
      </c>
      <c r="L6" s="7" t="s">
        <v>6</v>
      </c>
      <c r="M6" s="7" t="s">
        <v>6</v>
      </c>
      <c r="N6" s="7" t="s">
        <v>6</v>
      </c>
      <c r="O6" s="7" t="s">
        <v>6</v>
      </c>
      <c r="P6" s="7" t="s">
        <v>6</v>
      </c>
      <c r="Q6" s="7" t="s">
        <v>6</v>
      </c>
      <c r="R6" s="7" t="s">
        <v>6</v>
      </c>
      <c r="S6" s="7" t="s">
        <v>6</v>
      </c>
      <c r="T6" s="7" t="s">
        <v>6</v>
      </c>
      <c r="U6" s="7" t="s">
        <v>6</v>
      </c>
      <c r="V6" s="7" t="s">
        <v>6</v>
      </c>
      <c r="W6" s="7" t="s">
        <v>6</v>
      </c>
      <c r="X6" s="7" t="s">
        <v>6</v>
      </c>
      <c r="Y6" s="7" t="s">
        <v>6</v>
      </c>
    </row>
    <row r="7" spans="2:25" x14ac:dyDescent="0.6">
      <c r="B7" s="15">
        <v>1</v>
      </c>
      <c r="C7" s="18">
        <f>2*PI()*(C$5*$B7)/3</f>
        <v>1.8137993642342176</v>
      </c>
      <c r="D7" s="8">
        <f t="shared" ref="D7:Y13" si="1">2*PI()*(D$5*$B7)/3</f>
        <v>3.6275987284684352</v>
      </c>
      <c r="E7" s="8">
        <f t="shared" si="1"/>
        <v>5.4413980927026531</v>
      </c>
      <c r="F7" s="8">
        <f t="shared" si="1"/>
        <v>7.2551974569368705</v>
      </c>
      <c r="G7" s="8">
        <f t="shared" si="1"/>
        <v>9.0689968211710887</v>
      </c>
      <c r="H7" s="8">
        <f t="shared" si="1"/>
        <v>10.882796185405306</v>
      </c>
      <c r="I7" s="8">
        <f t="shared" si="1"/>
        <v>12.696595549639525</v>
      </c>
      <c r="J7" s="8">
        <f t="shared" si="1"/>
        <v>14.510394913873741</v>
      </c>
      <c r="K7" s="8">
        <f t="shared" si="1"/>
        <v>16.324194278107957</v>
      </c>
      <c r="L7" s="8">
        <f t="shared" si="1"/>
        <v>18.137993642342177</v>
      </c>
      <c r="M7" s="8">
        <f t="shared" si="1"/>
        <v>19.951793006576395</v>
      </c>
      <c r="N7" s="8">
        <f t="shared" si="1"/>
        <v>21.765592370810612</v>
      </c>
      <c r="O7" s="8">
        <f t="shared" si="1"/>
        <v>23.579391735044826</v>
      </c>
      <c r="P7" s="8">
        <f t="shared" si="1"/>
        <v>25.393191099279051</v>
      </c>
      <c r="Q7" s="8">
        <f t="shared" si="1"/>
        <v>27.206990463513264</v>
      </c>
      <c r="R7" s="8">
        <f t="shared" si="1"/>
        <v>29.020789827747482</v>
      </c>
      <c r="S7" s="8">
        <f t="shared" si="1"/>
        <v>30.834589191981703</v>
      </c>
      <c r="T7" s="8">
        <f t="shared" si="1"/>
        <v>32.648388556215913</v>
      </c>
      <c r="U7" s="8">
        <f t="shared" si="1"/>
        <v>34.462187920450134</v>
      </c>
      <c r="V7" s="8">
        <f t="shared" si="1"/>
        <v>36.275987284684355</v>
      </c>
      <c r="W7" s="8">
        <f t="shared" si="1"/>
        <v>38.089786648918576</v>
      </c>
      <c r="X7" s="8">
        <f t="shared" si="1"/>
        <v>39.90358601315279</v>
      </c>
      <c r="Y7" s="8">
        <f t="shared" si="1"/>
        <v>41.717385377387004</v>
      </c>
    </row>
    <row r="8" spans="2:25" x14ac:dyDescent="0.6">
      <c r="B8" s="15">
        <v>2</v>
      </c>
      <c r="C8" s="18">
        <f>2*PI()*(C$5*$B8)/3</f>
        <v>3.6275987284684352</v>
      </c>
      <c r="D8" s="8">
        <f t="shared" si="1"/>
        <v>7.2551974569368705</v>
      </c>
      <c r="E8" s="8">
        <f t="shared" si="1"/>
        <v>10.882796185405306</v>
      </c>
      <c r="F8" s="8">
        <f t="shared" si="1"/>
        <v>14.510394913873741</v>
      </c>
      <c r="G8" s="8">
        <f t="shared" si="1"/>
        <v>18.137993642342177</v>
      </c>
      <c r="H8" s="8">
        <f t="shared" si="1"/>
        <v>21.765592370810612</v>
      </c>
      <c r="I8" s="8">
        <f t="shared" si="1"/>
        <v>25.393191099279051</v>
      </c>
      <c r="J8" s="8">
        <f t="shared" si="1"/>
        <v>29.020789827747482</v>
      </c>
      <c r="K8" s="8">
        <f t="shared" si="1"/>
        <v>32.648388556215913</v>
      </c>
      <c r="L8" s="8">
        <f t="shared" si="1"/>
        <v>36.275987284684355</v>
      </c>
      <c r="M8" s="8">
        <f t="shared" si="1"/>
        <v>39.90358601315279</v>
      </c>
      <c r="N8" s="8">
        <f t="shared" si="1"/>
        <v>43.531184741621225</v>
      </c>
      <c r="O8" s="8">
        <f t="shared" si="1"/>
        <v>47.158783470089652</v>
      </c>
      <c r="P8" s="8">
        <f t="shared" si="1"/>
        <v>50.786382198558101</v>
      </c>
      <c r="Q8" s="8">
        <f t="shared" si="1"/>
        <v>54.413980927026529</v>
      </c>
      <c r="R8" s="8">
        <f t="shared" si="1"/>
        <v>58.041579655494964</v>
      </c>
      <c r="S8" s="8">
        <f t="shared" si="1"/>
        <v>61.669178383963406</v>
      </c>
      <c r="T8" s="8">
        <f t="shared" si="1"/>
        <v>65.296777112431826</v>
      </c>
      <c r="U8" s="8">
        <f t="shared" si="1"/>
        <v>68.924375840900268</v>
      </c>
      <c r="V8" s="8">
        <f t="shared" si="1"/>
        <v>72.55197456936871</v>
      </c>
      <c r="W8" s="8">
        <f t="shared" si="1"/>
        <v>76.179573297837152</v>
      </c>
      <c r="X8" s="8">
        <f t="shared" si="1"/>
        <v>79.807172026305579</v>
      </c>
      <c r="Y8" s="8">
        <f t="shared" si="1"/>
        <v>83.434770754774007</v>
      </c>
    </row>
    <row r="9" spans="2:25" x14ac:dyDescent="0.6">
      <c r="B9" s="15">
        <v>3</v>
      </c>
      <c r="C9" s="18">
        <f>2*PI()*(C$5*$B9)/3</f>
        <v>5.4413980927026531</v>
      </c>
      <c r="D9" s="8">
        <f t="shared" si="1"/>
        <v>10.882796185405306</v>
      </c>
      <c r="E9" s="8">
        <f t="shared" si="1"/>
        <v>16.32419427810796</v>
      </c>
      <c r="F9" s="8">
        <f t="shared" si="1"/>
        <v>21.765592370810612</v>
      </c>
      <c r="G9" s="8">
        <f t="shared" si="1"/>
        <v>27.206990463513264</v>
      </c>
      <c r="H9" s="8">
        <f t="shared" si="1"/>
        <v>32.64838855621592</v>
      </c>
      <c r="I9" s="8">
        <f t="shared" si="1"/>
        <v>38.089786648918576</v>
      </c>
      <c r="J9" s="8">
        <f t="shared" si="1"/>
        <v>43.531184741621225</v>
      </c>
      <c r="K9" s="8">
        <f t="shared" si="1"/>
        <v>48.972582834323873</v>
      </c>
      <c r="L9" s="8">
        <f t="shared" si="1"/>
        <v>54.413980927026529</v>
      </c>
      <c r="M9" s="8">
        <f t="shared" si="1"/>
        <v>59.855379019729185</v>
      </c>
      <c r="N9" s="8">
        <f t="shared" si="1"/>
        <v>65.29677711243184</v>
      </c>
      <c r="O9" s="8">
        <f t="shared" si="1"/>
        <v>70.738175205134496</v>
      </c>
      <c r="P9" s="8">
        <f t="shared" si="1"/>
        <v>76.179573297837152</v>
      </c>
      <c r="Q9" s="8">
        <f t="shared" si="1"/>
        <v>81.620971390539793</v>
      </c>
      <c r="R9" s="8">
        <f t="shared" si="1"/>
        <v>87.062369483242449</v>
      </c>
      <c r="S9" s="8">
        <f t="shared" si="1"/>
        <v>92.503767575945105</v>
      </c>
      <c r="T9" s="8">
        <f t="shared" si="1"/>
        <v>97.945165668647746</v>
      </c>
      <c r="U9" s="8">
        <f t="shared" si="1"/>
        <v>103.38656376135042</v>
      </c>
      <c r="V9" s="8">
        <f t="shared" si="1"/>
        <v>108.82796185405306</v>
      </c>
      <c r="W9" s="8">
        <f t="shared" si="1"/>
        <v>114.26935994675573</v>
      </c>
      <c r="X9" s="8">
        <f t="shared" si="1"/>
        <v>119.71075803945837</v>
      </c>
      <c r="Y9" s="8">
        <f t="shared" si="1"/>
        <v>125.15215613216101</v>
      </c>
    </row>
    <row r="10" spans="2:25" x14ac:dyDescent="0.6">
      <c r="B10" s="15">
        <v>4</v>
      </c>
      <c r="C10" s="18">
        <f>2*PI()*(C$5*$B10)/3</f>
        <v>7.2551974569368705</v>
      </c>
      <c r="D10" s="8">
        <f t="shared" si="1"/>
        <v>14.510394913873741</v>
      </c>
      <c r="E10" s="8">
        <f t="shared" si="1"/>
        <v>21.765592370810612</v>
      </c>
      <c r="F10" s="8">
        <f t="shared" si="1"/>
        <v>29.020789827747482</v>
      </c>
      <c r="G10" s="8">
        <f t="shared" si="1"/>
        <v>36.275987284684355</v>
      </c>
      <c r="H10" s="8">
        <f t="shared" si="1"/>
        <v>43.531184741621225</v>
      </c>
      <c r="I10" s="8">
        <f t="shared" si="1"/>
        <v>50.786382198558101</v>
      </c>
      <c r="J10" s="8">
        <f t="shared" si="1"/>
        <v>58.041579655494964</v>
      </c>
      <c r="K10" s="8">
        <f t="shared" si="1"/>
        <v>65.296777112431826</v>
      </c>
      <c r="L10" s="8">
        <f t="shared" si="1"/>
        <v>72.55197456936871</v>
      </c>
      <c r="M10" s="8">
        <f t="shared" si="1"/>
        <v>79.807172026305579</v>
      </c>
      <c r="N10" s="8">
        <f t="shared" si="1"/>
        <v>87.062369483242449</v>
      </c>
      <c r="O10" s="8">
        <f t="shared" si="1"/>
        <v>94.317566940179304</v>
      </c>
      <c r="P10" s="8">
        <f t="shared" si="1"/>
        <v>101.5727643971162</v>
      </c>
      <c r="Q10" s="8">
        <f t="shared" si="1"/>
        <v>108.82796185405306</v>
      </c>
      <c r="R10" s="8">
        <f t="shared" si="1"/>
        <v>116.08315931098993</v>
      </c>
      <c r="S10" s="8">
        <f t="shared" si="1"/>
        <v>123.33835676792681</v>
      </c>
      <c r="T10" s="8">
        <f t="shared" si="1"/>
        <v>130.59355422486365</v>
      </c>
      <c r="U10" s="8">
        <f t="shared" si="1"/>
        <v>137.84875168180054</v>
      </c>
      <c r="V10" s="8">
        <f t="shared" si="1"/>
        <v>145.10394913873742</v>
      </c>
      <c r="W10" s="8">
        <f t="shared" si="1"/>
        <v>152.3591465956743</v>
      </c>
      <c r="X10" s="8">
        <f t="shared" si="1"/>
        <v>159.61434405261116</v>
      </c>
      <c r="Y10" s="8">
        <f t="shared" si="1"/>
        <v>166.86954150954801</v>
      </c>
    </row>
    <row r="11" spans="2:25" x14ac:dyDescent="0.6">
      <c r="B11" s="15">
        <v>5</v>
      </c>
      <c r="C11" s="18">
        <f>2*PI()*(C$5*$B11)/3</f>
        <v>9.0689968211710887</v>
      </c>
      <c r="D11" s="8">
        <f t="shared" si="1"/>
        <v>18.137993642342177</v>
      </c>
      <c r="E11" s="8">
        <f t="shared" si="1"/>
        <v>27.206990463513268</v>
      </c>
      <c r="F11" s="8">
        <f t="shared" si="1"/>
        <v>36.275987284684355</v>
      </c>
      <c r="G11" s="8">
        <f t="shared" si="1"/>
        <v>45.344984105855438</v>
      </c>
      <c r="H11" s="8">
        <f t="shared" si="1"/>
        <v>54.413980927026536</v>
      </c>
      <c r="I11" s="8">
        <f t="shared" si="1"/>
        <v>63.482977748197619</v>
      </c>
      <c r="J11" s="8">
        <f t="shared" si="1"/>
        <v>72.55197456936871</v>
      </c>
      <c r="K11" s="8">
        <f t="shared" si="1"/>
        <v>81.620971390539793</v>
      </c>
      <c r="L11" s="8">
        <f t="shared" si="1"/>
        <v>90.689968211710877</v>
      </c>
      <c r="M11" s="8">
        <f t="shared" si="1"/>
        <v>99.758965032881974</v>
      </c>
      <c r="N11" s="8">
        <f t="shared" si="1"/>
        <v>108.82796185405307</v>
      </c>
      <c r="O11" s="8">
        <f t="shared" si="1"/>
        <v>117.89695867522414</v>
      </c>
      <c r="P11" s="8">
        <f t="shared" si="1"/>
        <v>126.96595549639524</v>
      </c>
      <c r="Q11" s="8">
        <f t="shared" si="1"/>
        <v>136.03495231756631</v>
      </c>
      <c r="R11" s="8">
        <f t="shared" si="1"/>
        <v>145.10394913873742</v>
      </c>
      <c r="S11" s="8">
        <f t="shared" si="1"/>
        <v>154.1729459599085</v>
      </c>
      <c r="T11" s="8">
        <f t="shared" si="1"/>
        <v>163.24194278107959</v>
      </c>
      <c r="U11" s="8">
        <f t="shared" si="1"/>
        <v>172.31093960225067</v>
      </c>
      <c r="V11" s="8">
        <f t="shared" si="1"/>
        <v>181.37993642342175</v>
      </c>
      <c r="W11" s="8">
        <f t="shared" si="1"/>
        <v>190.44893324459289</v>
      </c>
      <c r="X11" s="8">
        <f t="shared" si="1"/>
        <v>199.51793006576395</v>
      </c>
      <c r="Y11" s="8">
        <f t="shared" si="1"/>
        <v>208.586926886935</v>
      </c>
    </row>
    <row r="12" spans="2:25" x14ac:dyDescent="0.6">
      <c r="B12" s="15">
        <v>6</v>
      </c>
      <c r="C12" s="18">
        <f>2*PI()*(C$5*$B12)/3</f>
        <v>10.882796185405306</v>
      </c>
      <c r="D12" s="8">
        <f t="shared" si="1"/>
        <v>21.765592370810612</v>
      </c>
      <c r="E12" s="8">
        <f t="shared" si="1"/>
        <v>32.64838855621592</v>
      </c>
      <c r="F12" s="8">
        <f t="shared" si="1"/>
        <v>43.531184741621225</v>
      </c>
      <c r="G12" s="8">
        <f t="shared" si="1"/>
        <v>54.413980927026529</v>
      </c>
      <c r="H12" s="8">
        <f t="shared" si="1"/>
        <v>65.29677711243184</v>
      </c>
      <c r="I12" s="8">
        <f t="shared" si="1"/>
        <v>76.179573297837152</v>
      </c>
      <c r="J12" s="8">
        <f t="shared" si="1"/>
        <v>87.062369483242449</v>
      </c>
      <c r="K12" s="8">
        <f t="shared" si="1"/>
        <v>97.945165668647746</v>
      </c>
      <c r="L12" s="8">
        <f t="shared" si="1"/>
        <v>108.82796185405306</v>
      </c>
      <c r="M12" s="8">
        <f t="shared" si="1"/>
        <v>119.71075803945837</v>
      </c>
      <c r="N12" s="8">
        <f t="shared" si="1"/>
        <v>130.59355422486368</v>
      </c>
      <c r="O12" s="8">
        <f t="shared" si="1"/>
        <v>141.47635041026899</v>
      </c>
      <c r="P12" s="8">
        <f t="shared" si="1"/>
        <v>152.3591465956743</v>
      </c>
      <c r="Q12" s="8">
        <f t="shared" si="1"/>
        <v>163.24194278107959</v>
      </c>
      <c r="R12" s="8">
        <f t="shared" si="1"/>
        <v>174.1247389664849</v>
      </c>
      <c r="S12" s="8">
        <f t="shared" si="1"/>
        <v>185.00753515189021</v>
      </c>
      <c r="T12" s="8">
        <f t="shared" si="1"/>
        <v>195.89033133729549</v>
      </c>
      <c r="U12" s="8">
        <f t="shared" si="1"/>
        <v>206.77312752270083</v>
      </c>
      <c r="V12" s="8">
        <f t="shared" si="1"/>
        <v>217.65592370810612</v>
      </c>
      <c r="W12" s="8">
        <f t="shared" si="1"/>
        <v>228.53871989351146</v>
      </c>
      <c r="X12" s="8">
        <f t="shared" si="1"/>
        <v>239.42151607891674</v>
      </c>
      <c r="Y12" s="8">
        <f t="shared" si="1"/>
        <v>250.30431226432202</v>
      </c>
    </row>
    <row r="13" spans="2:25" x14ac:dyDescent="0.6">
      <c r="B13" s="15">
        <v>7</v>
      </c>
      <c r="C13" s="18">
        <f>2*PI()*(C$5*$B13)/3</f>
        <v>12.696595549639525</v>
      </c>
      <c r="D13" s="8">
        <f t="shared" si="1"/>
        <v>25.393191099279051</v>
      </c>
      <c r="E13" s="8">
        <f t="shared" si="1"/>
        <v>38.089786648918576</v>
      </c>
      <c r="F13" s="8">
        <f t="shared" si="1"/>
        <v>50.786382198558101</v>
      </c>
      <c r="G13" s="8">
        <f t="shared" si="1"/>
        <v>63.482977748197619</v>
      </c>
      <c r="H13" s="8">
        <f t="shared" si="1"/>
        <v>76.179573297837152</v>
      </c>
      <c r="I13" s="8">
        <f t="shared" si="1"/>
        <v>88.876168847476663</v>
      </c>
      <c r="J13" s="8">
        <f t="shared" si="1"/>
        <v>101.5727643971162</v>
      </c>
      <c r="K13" s="8">
        <f t="shared" si="1"/>
        <v>114.2693599467557</v>
      </c>
      <c r="L13" s="8">
        <f t="shared" si="1"/>
        <v>126.96595549639524</v>
      </c>
      <c r="M13" s="8">
        <f t="shared" si="1"/>
        <v>139.66255104603474</v>
      </c>
      <c r="N13" s="8">
        <f t="shared" si="1"/>
        <v>152.3591465956743</v>
      </c>
      <c r="O13" s="8">
        <f t="shared" si="1"/>
        <v>165.05574214531381</v>
      </c>
      <c r="P13" s="8">
        <f t="shared" si="1"/>
        <v>177.75233769495333</v>
      </c>
      <c r="Q13" s="8">
        <f t="shared" si="1"/>
        <v>190.44893324459284</v>
      </c>
      <c r="R13" s="8">
        <f t="shared" si="1"/>
        <v>203.1455287942324</v>
      </c>
      <c r="S13" s="8">
        <f t="shared" si="1"/>
        <v>215.84212434387189</v>
      </c>
      <c r="T13" s="8">
        <f t="shared" si="1"/>
        <v>228.5387198935114</v>
      </c>
      <c r="U13" s="8">
        <f t="shared" si="1"/>
        <v>241.23531544315097</v>
      </c>
      <c r="V13" s="8">
        <f t="shared" si="1"/>
        <v>253.93191099279048</v>
      </c>
      <c r="W13" s="8">
        <f t="shared" si="1"/>
        <v>266.62850654242999</v>
      </c>
      <c r="X13" s="8">
        <f t="shared" si="1"/>
        <v>279.32510209206947</v>
      </c>
      <c r="Y13" s="8">
        <f t="shared" si="1"/>
        <v>292.02169764170907</v>
      </c>
    </row>
    <row r="14" spans="2:25" x14ac:dyDescent="0.6">
      <c r="B14" s="26" t="s">
        <v>10</v>
      </c>
      <c r="C14" s="19">
        <f>SUM(C7:C13)</f>
        <v>50.786382198558094</v>
      </c>
      <c r="D14" s="9">
        <f t="shared" ref="D14:Y14" si="2">SUM(D7:D13)</f>
        <v>101.57276439711619</v>
      </c>
      <c r="E14" s="9">
        <f t="shared" si="2"/>
        <v>152.3591465956743</v>
      </c>
      <c r="F14" s="9">
        <f t="shared" si="2"/>
        <v>203.14552879423238</v>
      </c>
      <c r="G14" s="9">
        <f t="shared" si="2"/>
        <v>253.93191099279048</v>
      </c>
      <c r="H14" s="9">
        <f t="shared" si="2"/>
        <v>304.71829319134861</v>
      </c>
      <c r="I14" s="9">
        <f t="shared" si="2"/>
        <v>355.50467538990671</v>
      </c>
      <c r="J14" s="9">
        <f t="shared" si="2"/>
        <v>406.29105758846475</v>
      </c>
      <c r="K14" s="9">
        <f t="shared" si="2"/>
        <v>457.0774397870228</v>
      </c>
      <c r="L14" s="9">
        <f t="shared" si="2"/>
        <v>507.86382198558096</v>
      </c>
      <c r="M14" s="9">
        <f t="shared" si="2"/>
        <v>558.65020418413906</v>
      </c>
      <c r="N14" s="9">
        <f t="shared" si="2"/>
        <v>609.43658638269721</v>
      </c>
      <c r="O14" s="9">
        <f t="shared" si="2"/>
        <v>660.22296858125526</v>
      </c>
      <c r="P14" s="9">
        <f t="shared" si="2"/>
        <v>711.00935077981342</v>
      </c>
      <c r="Q14" s="9">
        <f t="shared" si="2"/>
        <v>761.79573297837135</v>
      </c>
      <c r="R14" s="9">
        <f t="shared" si="2"/>
        <v>812.58211517692951</v>
      </c>
      <c r="S14" s="9">
        <f t="shared" si="2"/>
        <v>863.36849737548766</v>
      </c>
      <c r="T14" s="9">
        <f t="shared" si="2"/>
        <v>914.15487957404559</v>
      </c>
      <c r="U14" s="9">
        <f t="shared" si="2"/>
        <v>964.94126177260387</v>
      </c>
      <c r="V14" s="9">
        <f t="shared" si="2"/>
        <v>1015.7276439711619</v>
      </c>
      <c r="W14" s="9">
        <f t="shared" si="2"/>
        <v>1066.5140261697202</v>
      </c>
      <c r="X14" s="9">
        <f t="shared" si="2"/>
        <v>1117.3004083682781</v>
      </c>
      <c r="Y14" s="9">
        <f t="shared" si="2"/>
        <v>1168.086790566836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Espiral2Centros</vt:lpstr>
      <vt:lpstr>Espiral3CentrosCircuInscrita</vt:lpstr>
      <vt:lpstr>Espiral3CentrosInscrita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2025-07-28T14:18:04Z</dcterms:created>
  <dcterms:modified xsi:type="dcterms:W3CDTF">2026-02-04T12:55:05Z</dcterms:modified>
</cp:coreProperties>
</file>