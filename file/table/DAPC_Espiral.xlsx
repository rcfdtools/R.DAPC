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811E2AEF-F52A-41A3-B70E-B261BD4B899D}" xr6:coauthVersionLast="47" xr6:coauthVersionMax="47" xr10:uidLastSave="{00000000-0000-0000-0000-000000000000}"/>
  <bookViews>
    <workbookView xWindow="-98" yWindow="-98" windowWidth="28996" windowHeight="15675" activeTab="2" xr2:uid="{4FA0F644-0B27-48D7-AC0A-327E78D1DF86}"/>
  </bookViews>
  <sheets>
    <sheet name="Espiral2Centros" sheetId="2" r:id="rId1"/>
    <sheet name="Espiral3CentrosCircuInscrita" sheetId="3" r:id="rId2"/>
    <sheet name="Espiral3CentrosInscri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11" i="4"/>
  <c r="C10" i="4"/>
  <c r="C9" i="4"/>
  <c r="C8" i="4"/>
  <c r="C7" i="4"/>
  <c r="C7" i="2"/>
  <c r="C8" i="2" s="1"/>
  <c r="C9" i="2" s="1"/>
  <c r="C10" i="2" s="1"/>
  <c r="C11" i="2" s="1"/>
  <c r="C12" i="2" s="1"/>
  <c r="C13" i="2" s="1"/>
  <c r="C5" i="4" l="1"/>
  <c r="C5" i="3"/>
  <c r="C8" i="3" s="1"/>
  <c r="C13" i="3"/>
  <c r="C7" i="3"/>
  <c r="C12" i="3" l="1"/>
  <c r="C11" i="3"/>
  <c r="C13" i="4"/>
  <c r="C10" i="3"/>
  <c r="C9" i="3"/>
  <c r="C14" i="4" l="1"/>
  <c r="C14" i="3"/>
  <c r="C14" i="2"/>
</calcChain>
</file>

<file path=xl/sharedStrings.xml><?xml version="1.0" encoding="utf-8"?>
<sst xmlns="http://schemas.openxmlformats.org/spreadsheetml/2006/main" count="21" uniqueCount="13">
  <si>
    <t>Arco</t>
  </si>
  <si>
    <t>Factor:</t>
  </si>
  <si>
    <t>SDig:</t>
  </si>
  <si>
    <t>Radio (m)</t>
  </si>
  <si>
    <t xml:space="preserve">SDig: </t>
  </si>
  <si>
    <t>Lado triángulo (m):</t>
  </si>
  <si>
    <t>Arco (m)</t>
  </si>
  <si>
    <t>Quiz M01A02a-2 / Espiral de dos centros usando factor de expansión</t>
  </si>
  <si>
    <t>Quiz M01A02a-2 / Espiral de 3 centros a partir de triángulo inscrito en una circunferencia</t>
  </si>
  <si>
    <t>Quiz M01A02a-2 / Espiral de 3 centros a partir de triángulo circuinscrito en una circunferencia</t>
  </si>
  <si>
    <t xml:space="preserve">Longitud (m): </t>
  </si>
  <si>
    <t>v2026204</t>
  </si>
  <si>
    <t>Longitud (m):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</si>
</sst>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hair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560178</xdr:colOff>
      <xdr:row>3</xdr:row>
      <xdr:rowOff>120634</xdr:rowOff>
    </xdr:from>
    <xdr:to>
      <xdr:col>9</xdr:col>
      <xdr:colOff>252954</xdr:colOff>
      <xdr:row>20</xdr:row>
      <xdr:rowOff>170741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8C50A-E9AA-48DC-8904-8D979E3D4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9830" y="729406"/>
          <a:ext cx="3668428" cy="3640618"/>
        </a:xfrm>
        <a:prstGeom prst="rect">
          <a:avLst/>
        </a:prstGeom>
      </xdr:spPr>
    </xdr:pic>
    <xdr:clientData/>
  </xdr:twoCellAnchor>
  <xdr:twoCellAnchor editAs="oneCell">
    <xdr:from>
      <xdr:col>1</xdr:col>
      <xdr:colOff>166042</xdr:colOff>
      <xdr:row>0</xdr:row>
      <xdr:rowOff>159493</xdr:rowOff>
    </xdr:from>
    <xdr:to>
      <xdr:col>2</xdr:col>
      <xdr:colOff>444467</xdr:colOff>
      <xdr:row>2</xdr:row>
      <xdr:rowOff>26493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9FAB64-0CCE-989F-1DF8-173AB9867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01" y="159493"/>
          <a:ext cx="1156382" cy="272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90900</xdr:colOff>
      <xdr:row>0</xdr:row>
      <xdr:rowOff>171346</xdr:rowOff>
    </xdr:from>
    <xdr:to>
      <xdr:col>1</xdr:col>
      <xdr:colOff>1246825</xdr:colOff>
      <xdr:row>2</xdr:row>
      <xdr:rowOff>22240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B2D24F-4487-4C18-BD75-33B55F11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37" y="171346"/>
          <a:ext cx="1155925" cy="268529"/>
        </a:xfrm>
        <a:prstGeom prst="rect">
          <a:avLst/>
        </a:prstGeom>
      </xdr:spPr>
    </xdr:pic>
    <xdr:clientData/>
  </xdr:twoCellAnchor>
  <xdr:twoCellAnchor editAs="oneCell">
    <xdr:from>
      <xdr:col>1</xdr:col>
      <xdr:colOff>515116</xdr:colOff>
      <xdr:row>14</xdr:row>
      <xdr:rowOff>176325</xdr:rowOff>
    </xdr:from>
    <xdr:to>
      <xdr:col>1</xdr:col>
      <xdr:colOff>1258071</xdr:colOff>
      <xdr:row>16</xdr:row>
      <xdr:rowOff>44441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51ED6A-9357-D212-EB5B-9E52FCDD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953" y="3099767"/>
          <a:ext cx="742955" cy="285751"/>
        </a:xfrm>
        <a:prstGeom prst="rect">
          <a:avLst/>
        </a:prstGeom>
      </xdr:spPr>
    </xdr:pic>
    <xdr:clientData/>
  </xdr:twoCellAnchor>
  <xdr:twoCellAnchor editAs="oneCell">
    <xdr:from>
      <xdr:col>3</xdr:col>
      <xdr:colOff>610366</xdr:colOff>
      <xdr:row>3</xdr:row>
      <xdr:rowOff>134656</xdr:rowOff>
    </xdr:from>
    <xdr:to>
      <xdr:col>9</xdr:col>
      <xdr:colOff>397162</xdr:colOff>
      <xdr:row>20</xdr:row>
      <xdr:rowOff>184763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FD400E-D342-ED60-BD29-E7F9DD60D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6573" y="768276"/>
          <a:ext cx="3613361" cy="36406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52673</xdr:colOff>
      <xdr:row>0</xdr:row>
      <xdr:rowOff>192053</xdr:rowOff>
    </xdr:from>
    <xdr:to>
      <xdr:col>1</xdr:col>
      <xdr:colOff>1208917</xdr:colOff>
      <xdr:row>2</xdr:row>
      <xdr:rowOff>42947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875FA-B64A-4D19-A60F-F25C46CFE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32" y="192053"/>
          <a:ext cx="1156244" cy="273307"/>
        </a:xfrm>
        <a:prstGeom prst="rect">
          <a:avLst/>
        </a:prstGeom>
      </xdr:spPr>
    </xdr:pic>
    <xdr:clientData/>
  </xdr:twoCellAnchor>
  <xdr:twoCellAnchor editAs="oneCell">
    <xdr:from>
      <xdr:col>1</xdr:col>
      <xdr:colOff>683316</xdr:colOff>
      <xdr:row>14</xdr:row>
      <xdr:rowOff>170907</xdr:rowOff>
    </xdr:from>
    <xdr:to>
      <xdr:col>2</xdr:col>
      <xdr:colOff>89872</xdr:colOff>
      <xdr:row>16</xdr:row>
      <xdr:rowOff>96176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F8FA9A-7E64-4455-A315-3314B609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75" y="3127798"/>
          <a:ext cx="657230" cy="347682"/>
        </a:xfrm>
        <a:prstGeom prst="rect">
          <a:avLst/>
        </a:prstGeom>
      </xdr:spPr>
    </xdr:pic>
    <xdr:clientData/>
  </xdr:twoCellAnchor>
  <xdr:twoCellAnchor editAs="oneCell">
    <xdr:from>
      <xdr:col>3</xdr:col>
      <xdr:colOff>342293</xdr:colOff>
      <xdr:row>3</xdr:row>
      <xdr:rowOff>25963</xdr:rowOff>
    </xdr:from>
    <xdr:to>
      <xdr:col>9</xdr:col>
      <xdr:colOff>413052</xdr:colOff>
      <xdr:row>20</xdr:row>
      <xdr:rowOff>76071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2889CB-F40A-DB71-60AB-445ED7066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0522" y="659583"/>
          <a:ext cx="3797933" cy="3640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74C5-5229-45D6-9D44-FAB954EBC922}">
  <dimension ref="B1:AA16"/>
  <sheetViews>
    <sheetView showGridLines="0" zoomScale="115" zoomScaleNormal="115" workbookViewId="0">
      <selection activeCell="M23" sqref="M23"/>
    </sheetView>
  </sheetViews>
  <sheetFormatPr defaultRowHeight="16.5" x14ac:dyDescent="0.6"/>
  <cols>
    <col min="1" max="1" width="2.59765625" style="1" customWidth="1"/>
    <col min="2" max="2" width="12.265625" style="1" customWidth="1"/>
    <col min="3" max="3" width="8.73046875" style="2" bestFit="1" customWidth="1"/>
    <col min="4" max="25" width="9.265625" style="1" customWidth="1"/>
    <col min="26" max="16384" width="9.06640625" style="1"/>
  </cols>
  <sheetData>
    <row r="1" spans="2:27" x14ac:dyDescent="0.6">
      <c r="I1" s="7" t="s">
        <v>11</v>
      </c>
    </row>
    <row r="2" spans="2:27" ht="15.4" customHeight="1" x14ac:dyDescent="0.6">
      <c r="C2" s="7"/>
      <c r="D2" s="1" t="s">
        <v>7</v>
      </c>
    </row>
    <row r="3" spans="2:27" ht="16.149999999999999" customHeight="1" x14ac:dyDescent="0.6">
      <c r="B3" s="5"/>
      <c r="C3" s="5"/>
    </row>
    <row r="4" spans="2:27" x14ac:dyDescent="0.6">
      <c r="B4" s="4" t="s">
        <v>1</v>
      </c>
      <c r="C4" s="3">
        <v>1.73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x14ac:dyDescent="0.6">
      <c r="B5" s="4" t="s">
        <v>2</v>
      </c>
      <c r="C5" s="3">
        <v>0.5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x14ac:dyDescent="0.6">
      <c r="B6" s="14" t="s">
        <v>0</v>
      </c>
      <c r="C6" s="17" t="s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x14ac:dyDescent="0.6">
      <c r="B7" s="15">
        <v>1</v>
      </c>
      <c r="C7" s="18">
        <f>C5</f>
        <v>0.5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x14ac:dyDescent="0.6">
      <c r="B8" s="15">
        <v>2</v>
      </c>
      <c r="C8" s="18">
        <f>ROUND(C7+(C$5/10)^(1/$B8)+$C$4^(1/$B8),2)</f>
        <v>2.04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x14ac:dyDescent="0.6">
      <c r="B9" s="15">
        <v>3</v>
      </c>
      <c r="C9" s="18">
        <f t="shared" ref="C9:C13" si="0">ROUND(C8+(C$5/10)^(1/$B9)+$C$4^(1/$B9),2)</f>
        <v>3.61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x14ac:dyDescent="0.6">
      <c r="B10" s="15">
        <v>4</v>
      </c>
      <c r="C10" s="18">
        <f t="shared" si="0"/>
        <v>5.23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x14ac:dyDescent="0.6">
      <c r="B11" s="15">
        <v>5</v>
      </c>
      <c r="C11" s="18">
        <f t="shared" si="0"/>
        <v>6.9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x14ac:dyDescent="0.6">
      <c r="B12" s="15">
        <v>6</v>
      </c>
      <c r="C12" s="18">
        <f t="shared" si="0"/>
        <v>8.6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x14ac:dyDescent="0.6">
      <c r="B13" s="15">
        <v>7</v>
      </c>
      <c r="C13" s="18">
        <f t="shared" si="0"/>
        <v>10.33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x14ac:dyDescent="0.6">
      <c r="B14" s="16" t="s">
        <v>12</v>
      </c>
      <c r="C14" s="19">
        <f>(SUM(C7:C13)/2)*2*PI()</f>
        <v>116.89866264007621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x14ac:dyDescent="0.6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x14ac:dyDescent="0.6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A317-1350-448C-83DA-1D10CE9AAA17}">
  <dimension ref="B1:AA15"/>
  <sheetViews>
    <sheetView showGridLines="0" zoomScale="130" zoomScaleNormal="130" workbookViewId="0">
      <selection activeCell="C24" sqref="C24"/>
    </sheetView>
  </sheetViews>
  <sheetFormatPr defaultRowHeight="16.5" x14ac:dyDescent="0.6"/>
  <cols>
    <col min="1" max="1" width="2.59765625" style="1" customWidth="1"/>
    <col min="2" max="2" width="18.06640625" style="1" customWidth="1"/>
    <col min="3" max="25" width="8.9296875" style="1" customWidth="1"/>
    <col min="26" max="16384" width="9.06640625" style="1"/>
  </cols>
  <sheetData>
    <row r="1" spans="2:27" x14ac:dyDescent="0.6">
      <c r="K1" s="7" t="s">
        <v>11</v>
      </c>
    </row>
    <row r="2" spans="2:27" x14ac:dyDescent="0.6">
      <c r="C2" s="1" t="s">
        <v>9</v>
      </c>
    </row>
    <row r="3" spans="2:27" x14ac:dyDescent="0.6">
      <c r="B3" s="5"/>
      <c r="C3" s="5"/>
    </row>
    <row r="4" spans="2:27" x14ac:dyDescent="0.6">
      <c r="B4" s="4" t="s">
        <v>4</v>
      </c>
      <c r="C4" s="3">
        <v>0.5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2:27" x14ac:dyDescent="0.6">
      <c r="B5" s="4" t="s">
        <v>5</v>
      </c>
      <c r="C5" s="6">
        <f>2*C$4*3^(1/2)</f>
        <v>1.7320508075688772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2:27" x14ac:dyDescent="0.6">
      <c r="B6" s="8" t="s">
        <v>0</v>
      </c>
      <c r="C6" s="11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2:27" x14ac:dyDescent="0.6">
      <c r="B7" s="9">
        <v>1</v>
      </c>
      <c r="C7" s="12">
        <f>2*PI()*(C$5*$B7)/3</f>
        <v>3.6275987284684352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2:27" x14ac:dyDescent="0.6">
      <c r="B8" s="9">
        <v>2</v>
      </c>
      <c r="C8" s="12">
        <f t="shared" ref="C8:C13" si="0">2*PI()*(C$5*$B8)/3</f>
        <v>7.2551974569368705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2:27" x14ac:dyDescent="0.6">
      <c r="B9" s="9">
        <v>3</v>
      </c>
      <c r="C9" s="12">
        <f t="shared" si="0"/>
        <v>10.882796185405306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2:27" x14ac:dyDescent="0.6">
      <c r="B10" s="9">
        <v>4</v>
      </c>
      <c r="C10" s="12">
        <f t="shared" si="0"/>
        <v>14.510394913873741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2:27" x14ac:dyDescent="0.6">
      <c r="B11" s="9">
        <v>5</v>
      </c>
      <c r="C11" s="12">
        <f t="shared" si="0"/>
        <v>18.137993642342177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2:27" x14ac:dyDescent="0.6">
      <c r="B12" s="9">
        <v>6</v>
      </c>
      <c r="C12" s="12">
        <f t="shared" si="0"/>
        <v>21.765592370810612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2:27" x14ac:dyDescent="0.6">
      <c r="B13" s="9">
        <v>7</v>
      </c>
      <c r="C13" s="12">
        <f t="shared" si="0"/>
        <v>25.393191099279051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2:27" x14ac:dyDescent="0.6">
      <c r="B14" s="10" t="s">
        <v>10</v>
      </c>
      <c r="C14" s="13">
        <f>SUM(C7:C13)</f>
        <v>101.57276439711619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2:27" x14ac:dyDescent="0.6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A9B1-05D1-451C-B202-C6CE562323C7}">
  <dimension ref="B1:K14"/>
  <sheetViews>
    <sheetView showGridLines="0" tabSelected="1" zoomScale="115" zoomScaleNormal="115" workbookViewId="0">
      <selection activeCell="M27" sqref="M27"/>
    </sheetView>
  </sheetViews>
  <sheetFormatPr defaultRowHeight="16.5" x14ac:dyDescent="0.6"/>
  <cols>
    <col min="1" max="1" width="2.59765625" style="1" customWidth="1"/>
    <col min="2" max="2" width="17.53125" style="1" customWidth="1"/>
    <col min="3" max="25" width="8.6640625" style="1" customWidth="1"/>
    <col min="26" max="16384" width="9.06640625" style="1"/>
  </cols>
  <sheetData>
    <row r="1" spans="2:11" x14ac:dyDescent="0.6">
      <c r="K1" s="7" t="s">
        <v>11</v>
      </c>
    </row>
    <row r="2" spans="2:11" x14ac:dyDescent="0.6">
      <c r="C2" s="1" t="s">
        <v>8</v>
      </c>
    </row>
    <row r="3" spans="2:11" x14ac:dyDescent="0.6">
      <c r="B3" s="5"/>
      <c r="C3" s="5"/>
    </row>
    <row r="4" spans="2:11" x14ac:dyDescent="0.6">
      <c r="B4" s="4" t="s">
        <v>4</v>
      </c>
      <c r="C4" s="3">
        <v>0.5</v>
      </c>
    </row>
    <row r="5" spans="2:11" x14ac:dyDescent="0.6">
      <c r="B5" s="4" t="s">
        <v>5</v>
      </c>
      <c r="C5" s="6">
        <f>C$4*3^(1/2)</f>
        <v>0.8660254037844386</v>
      </c>
    </row>
    <row r="6" spans="2:11" x14ac:dyDescent="0.6">
      <c r="B6" s="8" t="s">
        <v>0</v>
      </c>
      <c r="C6" s="11" t="s">
        <v>6</v>
      </c>
    </row>
    <row r="7" spans="2:11" x14ac:dyDescent="0.6">
      <c r="B7" s="9">
        <v>1</v>
      </c>
      <c r="C7" s="12">
        <f t="shared" ref="C7:C12" si="0">2*PI()*(C$5*$B7)/3</f>
        <v>1.8137993642342176</v>
      </c>
    </row>
    <row r="8" spans="2:11" x14ac:dyDescent="0.6">
      <c r="B8" s="9">
        <v>2</v>
      </c>
      <c r="C8" s="12">
        <f t="shared" si="0"/>
        <v>3.6275987284684352</v>
      </c>
    </row>
    <row r="9" spans="2:11" x14ac:dyDescent="0.6">
      <c r="B9" s="9">
        <v>3</v>
      </c>
      <c r="C9" s="12">
        <f t="shared" si="0"/>
        <v>5.4413980927026531</v>
      </c>
    </row>
    <row r="10" spans="2:11" x14ac:dyDescent="0.6">
      <c r="B10" s="9">
        <v>4</v>
      </c>
      <c r="C10" s="12">
        <f t="shared" si="0"/>
        <v>7.2551974569368705</v>
      </c>
    </row>
    <row r="11" spans="2:11" x14ac:dyDescent="0.6">
      <c r="B11" s="9">
        <v>5</v>
      </c>
      <c r="C11" s="12">
        <f t="shared" si="0"/>
        <v>9.0689968211710887</v>
      </c>
    </row>
    <row r="12" spans="2:11" x14ac:dyDescent="0.6">
      <c r="B12" s="9">
        <v>6</v>
      </c>
      <c r="C12" s="12">
        <f t="shared" si="0"/>
        <v>10.882796185405306</v>
      </c>
    </row>
    <row r="13" spans="2:11" x14ac:dyDescent="0.6">
      <c r="B13" s="9">
        <v>7</v>
      </c>
      <c r="C13" s="12">
        <f t="shared" ref="C13" si="1">2*PI()*(C$5*$B13)/3</f>
        <v>12.696595549639525</v>
      </c>
    </row>
    <row r="14" spans="2:11" x14ac:dyDescent="0.6">
      <c r="B14" s="20" t="s">
        <v>10</v>
      </c>
      <c r="C14" s="13">
        <f>SUM(C7:C13)</f>
        <v>50.786382198558094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Espiral2Centros</vt:lpstr>
      <vt:lpstr>Espiral3CentrosCircuInscrita</vt:lpstr>
      <vt:lpstr>Espiral3CentrosInscrita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2025-07-28T14:18:04Z</dcterms:created>
  <dcterms:modified xsi:type="dcterms:W3CDTF">2026-08-02T14:36:52Z</dcterms:modified>
</cp:coreProperties>
</file>