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0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.DAPC\file\table\"/>
    </mc:Choice>
  </mc:AlternateContent>
  <xr:revisionPtr revIDLastSave="0" documentId="13_ncr:1_{C8CFDD08-0A05-45F6-A143-D69538F30DA2}" xr6:coauthVersionLast="47" xr6:coauthVersionMax="47" xr10:uidLastSave="{00000000-0000-0000-0000-000000000000}"/>
  <bookViews>
    <workbookView xWindow="-108" yWindow="-108" windowWidth="23256" windowHeight="12456" xr2:uid="{D413FB54-6771-4A8E-8770-B93D70107D30}"/>
  </bookViews>
  <sheets>
    <sheet name="ElectricElbowBellEnd" sheetId="1" r:id="rId1"/>
    <sheet name="Meta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2" i="1" l="1"/>
  <c r="M23" i="1"/>
  <c r="M24" i="1"/>
  <c r="M25" i="1"/>
  <c r="M26" i="1"/>
  <c r="M27" i="1"/>
  <c r="M28" i="1"/>
  <c r="M29" i="1"/>
  <c r="M30" i="1"/>
  <c r="M31" i="1"/>
  <c r="M32" i="1"/>
  <c r="M33" i="1"/>
  <c r="M34" i="1"/>
  <c r="L23" i="1"/>
  <c r="L24" i="1"/>
  <c r="L25" i="1"/>
  <c r="L26" i="1"/>
  <c r="L27" i="1"/>
  <c r="L28" i="1"/>
  <c r="L29" i="1"/>
  <c r="L30" i="1"/>
  <c r="L31" i="1"/>
  <c r="L32" i="1"/>
  <c r="L33" i="1"/>
  <c r="L34" i="1"/>
  <c r="L22" i="1"/>
  <c r="P29" i="1"/>
  <c r="P33" i="1"/>
  <c r="G23" i="1"/>
  <c r="H23" i="1"/>
  <c r="K23" i="1"/>
  <c r="N23" i="1" s="1"/>
  <c r="O23" i="1"/>
  <c r="P23" i="1" s="1"/>
  <c r="Q23" i="1"/>
  <c r="G24" i="1"/>
  <c r="H24" i="1"/>
  <c r="K24" i="1"/>
  <c r="N24" i="1" s="1"/>
  <c r="O24" i="1"/>
  <c r="P24" i="1" s="1"/>
  <c r="Q24" i="1"/>
  <c r="G25" i="1"/>
  <c r="H25" i="1"/>
  <c r="K25" i="1"/>
  <c r="N25" i="1" s="1"/>
  <c r="O25" i="1"/>
  <c r="P25" i="1" s="1"/>
  <c r="Q25" i="1"/>
  <c r="G26" i="1"/>
  <c r="H26" i="1"/>
  <c r="K26" i="1"/>
  <c r="N26" i="1" s="1"/>
  <c r="O26" i="1"/>
  <c r="P26" i="1" s="1"/>
  <c r="Q26" i="1"/>
  <c r="G27" i="1"/>
  <c r="H27" i="1"/>
  <c r="K27" i="1"/>
  <c r="N27" i="1" s="1"/>
  <c r="O27" i="1"/>
  <c r="P27" i="1" s="1"/>
  <c r="Q27" i="1"/>
  <c r="G28" i="1"/>
  <c r="H28" i="1"/>
  <c r="K28" i="1"/>
  <c r="N28" i="1" s="1"/>
  <c r="O28" i="1"/>
  <c r="P28" i="1" s="1"/>
  <c r="Q28" i="1"/>
  <c r="G29" i="1"/>
  <c r="H29" i="1"/>
  <c r="K29" i="1"/>
  <c r="N29" i="1" s="1"/>
  <c r="O29" i="1"/>
  <c r="Q29" i="1"/>
  <c r="G30" i="1"/>
  <c r="H30" i="1"/>
  <c r="K30" i="1"/>
  <c r="N30" i="1" s="1"/>
  <c r="O30" i="1"/>
  <c r="P30" i="1" s="1"/>
  <c r="Q30" i="1"/>
  <c r="G31" i="1"/>
  <c r="H31" i="1"/>
  <c r="K31" i="1"/>
  <c r="N31" i="1" s="1"/>
  <c r="O31" i="1"/>
  <c r="P31" i="1" s="1"/>
  <c r="Q31" i="1"/>
  <c r="G32" i="1"/>
  <c r="H32" i="1"/>
  <c r="K32" i="1"/>
  <c r="N32" i="1" s="1"/>
  <c r="O32" i="1"/>
  <c r="P32" i="1" s="1"/>
  <c r="Q32" i="1"/>
  <c r="G33" i="1"/>
  <c r="H33" i="1"/>
  <c r="K33" i="1"/>
  <c r="N33" i="1" s="1"/>
  <c r="O33" i="1"/>
  <c r="Q33" i="1"/>
  <c r="G34" i="1"/>
  <c r="H34" i="1"/>
  <c r="K34" i="1"/>
  <c r="N34" i="1" s="1"/>
  <c r="O34" i="1"/>
  <c r="P34" i="1" s="1"/>
  <c r="Q34" i="1"/>
  <c r="H22" i="1"/>
  <c r="K22" i="1"/>
  <c r="N22" i="1" s="1"/>
  <c r="O22" i="1"/>
  <c r="P22" i="1" s="1"/>
  <c r="Q22" i="1"/>
  <c r="G22" i="1"/>
  <c r="E24" i="1"/>
  <c r="F24" i="1" s="1"/>
  <c r="E27" i="1"/>
  <c r="F27" i="1" s="1"/>
  <c r="E29" i="1"/>
  <c r="F29" i="1" s="1"/>
  <c r="E31" i="1"/>
  <c r="F31" i="1" s="1"/>
  <c r="E32" i="1"/>
  <c r="F32" i="1" s="1"/>
  <c r="E33" i="1"/>
  <c r="F33" i="1" s="1"/>
  <c r="E34" i="1"/>
  <c r="F34" i="1" s="1"/>
  <c r="I34" i="1" s="1"/>
  <c r="D30" i="1"/>
  <c r="E30" i="1" s="1"/>
  <c r="F30" i="1" s="1"/>
  <c r="D28" i="1"/>
  <c r="E28" i="1" s="1"/>
  <c r="F28" i="1" s="1"/>
  <c r="D26" i="1"/>
  <c r="E26" i="1" s="1"/>
  <c r="F26" i="1" s="1"/>
  <c r="I26" i="1" s="1"/>
  <c r="D25" i="1"/>
  <c r="E25" i="1" s="1"/>
  <c r="F25" i="1" s="1"/>
  <c r="D23" i="1"/>
  <c r="E23" i="1" s="1"/>
  <c r="F23" i="1" s="1"/>
  <c r="D22" i="1"/>
  <c r="E22" i="1" s="1"/>
  <c r="F22" i="1" s="1"/>
  <c r="I29" i="1" l="1"/>
  <c r="I27" i="1"/>
  <c r="I30" i="1"/>
  <c r="J32" i="1"/>
  <c r="I23" i="1"/>
  <c r="I33" i="1"/>
  <c r="J22" i="1"/>
  <c r="I31" i="1"/>
  <c r="I25" i="1"/>
  <c r="I24" i="1"/>
  <c r="J24" i="1"/>
  <c r="J28" i="1"/>
  <c r="I28" i="1"/>
  <c r="I32" i="1"/>
  <c r="I22" i="1"/>
  <c r="J31" i="1"/>
  <c r="J27" i="1"/>
  <c r="J34" i="1"/>
  <c r="J30" i="1"/>
  <c r="J26" i="1"/>
  <c r="J33" i="1"/>
  <c r="J29" i="1"/>
  <c r="J25" i="1"/>
  <c r="J23" i="1"/>
</calcChain>
</file>

<file path=xl/sharedStrings.xml><?xml version="1.0" encoding="utf-8"?>
<sst xmlns="http://schemas.openxmlformats.org/spreadsheetml/2006/main" count="85" uniqueCount="42">
  <si>
    <t>Item</t>
  </si>
  <si>
    <t>Sch40</t>
  </si>
  <si>
    <t>Sch80</t>
  </si>
  <si>
    <t>R (in)</t>
  </si>
  <si>
    <t>1/2</t>
  </si>
  <si>
    <t>3/4</t>
  </si>
  <si>
    <t>1</t>
  </si>
  <si>
    <t>2</t>
  </si>
  <si>
    <t>3</t>
  </si>
  <si>
    <t>1-1/4</t>
  </si>
  <si>
    <t>1-1/2</t>
  </si>
  <si>
    <t>2-1/2</t>
  </si>
  <si>
    <t>3-1/2</t>
  </si>
  <si>
    <t>4</t>
  </si>
  <si>
    <t>5</t>
  </si>
  <si>
    <t>6</t>
  </si>
  <si>
    <t>8</t>
  </si>
  <si>
    <t>HH-SWB90A</t>
  </si>
  <si>
    <t>HH-SWB90B</t>
  </si>
  <si>
    <t>Min. Wall (in)</t>
  </si>
  <si>
    <t>B (in) Min.</t>
  </si>
  <si>
    <t>A (in) Average</t>
  </si>
  <si>
    <t>in to mm:</t>
  </si>
  <si>
    <t>Min. Wall (mm)</t>
  </si>
  <si>
    <t>A (mm) Average</t>
  </si>
  <si>
    <t>B (mm) Min.</t>
  </si>
  <si>
    <t>R (mm)</t>
  </si>
  <si>
    <t>Trade size Ø (in)</t>
  </si>
  <si>
    <t>Trade size Ø (mm)</t>
  </si>
  <si>
    <t>Trade size Ø (in frac.)</t>
  </si>
  <si>
    <t>Trade size Ø/2 (mm)</t>
  </si>
  <si>
    <t>A/2 (mm) Average</t>
  </si>
  <si>
    <t>External Wall offset (mm)</t>
  </si>
  <si>
    <t>B' (mm) Min.</t>
  </si>
  <si>
    <t>A'/2 Sch40 (mm)</t>
  </si>
  <si>
    <t>A'/2 Sch80 (mm)</t>
  </si>
  <si>
    <t>Metadata</t>
  </si>
  <si>
    <t>LEDES / Sch40 &amp; Sch80 Standar Electric Elbow - Bell End (in)</t>
  </si>
  <si>
    <t>LEDES / Sch40 &amp; Sch80 Standar Electric Elbow - Bell End (mm)</t>
  </si>
  <si>
    <t>https://www.ledestube.com/es_mx/una-guia-completa-sobre-codos-para-conductos-electricos/</t>
  </si>
  <si>
    <t>v.20250713</t>
  </si>
  <si>
    <t>Pass: 1234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</si>
</sst>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Segoe UI Light"/>
      <family val="2"/>
    </font>
    <font>
      <u/>
      <sz val="11"/>
      <color theme="10"/>
      <name val="Aptos Narrow"/>
      <family val="2"/>
      <scheme val="minor"/>
    </font>
    <font>
      <sz val="8"/>
      <color theme="1"/>
      <name val="Segoe UI Light"/>
      <family val="2"/>
    </font>
    <font>
      <sz val="11"/>
      <color theme="10"/>
      <name val="Segoe UI Light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2">
    <border>
      <left/>
      <right/>
      <top/>
      <bottom/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indexed="64"/>
      </left>
      <right style="thin">
        <color theme="0" tint="-4.9989318521683403E-2"/>
      </right>
      <top style="thin">
        <color indexed="64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indexed="64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indexed="64"/>
      </right>
      <top style="thin">
        <color indexed="64"/>
      </top>
      <bottom style="thin">
        <color theme="0" tint="-4.9989318521683403E-2"/>
      </bottom>
      <diagonal/>
    </border>
    <border>
      <left style="thin">
        <color indexed="64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indexed="64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indexed="64"/>
      </left>
      <right style="thin">
        <color theme="0" tint="-4.9989318521683403E-2"/>
      </right>
      <top style="thin">
        <color theme="0" tint="-4.9989318521683403E-2"/>
      </top>
      <bottom style="thin">
        <color indexed="64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indexed="64"/>
      </bottom>
      <diagonal/>
    </border>
    <border>
      <left style="thin">
        <color theme="0" tint="-4.9989318521683403E-2"/>
      </left>
      <right style="thin">
        <color indexed="64"/>
      </right>
      <top style="thin">
        <color theme="0" tint="-4.9989318521683403E-2"/>
      </top>
      <bottom style="thin">
        <color indexed="64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4">
    <xf numFmtId="0" fontId="0" fillId="0" borderId="0" xfId="0"/>
    <xf numFmtId="0" fontId="1" fillId="0" borderId="0" xfId="0" applyFont="1"/>
    <xf numFmtId="0" fontId="1" fillId="0" borderId="5" xfId="0" applyFont="1" applyBorder="1"/>
    <xf numFmtId="0" fontId="1" fillId="0" borderId="7" xfId="0" applyFont="1" applyBorder="1"/>
    <xf numFmtId="0" fontId="1" fillId="2" borderId="1" xfId="0" applyFont="1" applyFill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/>
    </xf>
    <xf numFmtId="49" fontId="1" fillId="0" borderId="8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3" fillId="0" borderId="0" xfId="0" applyFont="1"/>
    <xf numFmtId="0" fontId="4" fillId="0" borderId="0" xfId="1" applyFont="1"/>
    <xf numFmtId="0" fontId="3" fillId="0" borderId="0" xfId="0" applyFont="1" applyAlignment="1">
      <alignment horizontal="right"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4" Type="http://schemas.openxmlformats.org/officeDocument/2006/relationships/image" Target="../media/image3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0</xdr:colOff>
      <xdr:row>31</xdr:row>
      <xdr:rowOff>0</xdr:rowOff>
    </xdr:from>
    <xdr:to>
      <xdr:col>18</xdr:col>
      <xdr:colOff>304800</xdr:colOff>
      <xdr:row>32</xdr:row>
      <xdr:rowOff>91440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4491C75B-141A-950F-D590-215CCC47BCFE}"/>
            </a:ext>
          </a:extLst>
        </xdr:cNvPr>
        <xdr:cNvSpPr>
          <a:spLocks noChangeAspect="1" noChangeArrowheads="1"/>
        </xdr:cNvSpPr>
      </xdr:nvSpPr>
      <xdr:spPr bwMode="auto">
        <a:xfrm>
          <a:off x="8313420" y="6614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78748</xdr:colOff>
      <xdr:row>2</xdr:row>
      <xdr:rowOff>52551</xdr:rowOff>
    </xdr:from>
    <xdr:to>
      <xdr:col>13</xdr:col>
      <xdr:colOff>185376</xdr:colOff>
      <xdr:row>16</xdr:row>
      <xdr:rowOff>210207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2C6A3F4-57C3-C593-2E34-B19392601F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460045" y="483475"/>
          <a:ext cx="3680145" cy="3174125"/>
        </a:xfrm>
        <a:prstGeom prst="rect">
          <a:avLst/>
        </a:prstGeom>
      </xdr:spPr>
    </xdr:pic>
    <xdr:clientData/>
  </xdr:twoCellAnchor>
  <xdr:twoCellAnchor editAs="oneCell">
    <xdr:from>
      <xdr:col>6</xdr:col>
      <xdr:colOff>273538</xdr:colOff>
      <xdr:row>0</xdr:row>
      <xdr:rowOff>156309</xdr:rowOff>
    </xdr:from>
    <xdr:to>
      <xdr:col>7</xdr:col>
      <xdr:colOff>635997</xdr:colOff>
      <xdr:row>1</xdr:row>
      <xdr:rowOff>181789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5F4184EA-EFB0-4419-A61D-A0F2B616BB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4370102" y="156309"/>
          <a:ext cx="1000716" cy="2404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ledestube.com/es_mx/una-guia-completa-sobre-codos-para-conductos-electrico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77F46-21A8-46AD-BDC5-1FB7BCB4429A}">
  <dimension ref="B1:S34"/>
  <sheetViews>
    <sheetView showGridLines="0" tabSelected="1" zoomScale="117" zoomScaleNormal="117" workbookViewId="0">
      <selection activeCell="O9" sqref="O9"/>
    </sheetView>
  </sheetViews>
  <sheetFormatPr defaultRowHeight="16.8" x14ac:dyDescent="0.4"/>
  <cols>
    <col min="1" max="1" width="2.77734375" style="1" customWidth="1"/>
    <col min="2" max="2" width="14.44140625" style="1" customWidth="1"/>
    <col min="3" max="3" width="10.21875" style="1" customWidth="1"/>
    <col min="4" max="4" width="11.88671875" style="1" customWidth="1"/>
    <col min="5" max="5" width="10" style="1" customWidth="1"/>
    <col min="6" max="6" width="10.44140625" style="1" customWidth="1"/>
    <col min="7" max="8" width="9.33203125" style="1" customWidth="1"/>
    <col min="9" max="10" width="11.88671875" style="1" customWidth="1"/>
    <col min="11" max="11" width="8.5546875" style="1" customWidth="1"/>
    <col min="12" max="13" width="9.88671875" style="1" customWidth="1"/>
    <col min="14" max="14" width="10.33203125" style="1" customWidth="1"/>
    <col min="15" max="15" width="9.33203125" style="1" customWidth="1"/>
    <col min="16" max="16" width="9.109375" style="1" customWidth="1"/>
    <col min="17" max="17" width="8" style="1" customWidth="1"/>
    <col min="18" max="18" width="8.33203125" style="1" customWidth="1"/>
    <col min="19" max="16384" width="8.88671875" style="1"/>
  </cols>
  <sheetData>
    <row r="1" spans="2:10" x14ac:dyDescent="0.4">
      <c r="H1" s="23" t="s">
        <v>40</v>
      </c>
    </row>
    <row r="2" spans="2:10" x14ac:dyDescent="0.4">
      <c r="B2" s="1" t="s">
        <v>37</v>
      </c>
    </row>
    <row r="3" spans="2:10" x14ac:dyDescent="0.4">
      <c r="B3" s="19" t="s">
        <v>0</v>
      </c>
      <c r="C3" s="15" t="s">
        <v>27</v>
      </c>
      <c r="D3" s="15" t="s">
        <v>19</v>
      </c>
      <c r="E3" s="15"/>
      <c r="F3" s="15" t="s">
        <v>21</v>
      </c>
      <c r="G3" s="15" t="s">
        <v>20</v>
      </c>
      <c r="H3" s="17" t="s">
        <v>3</v>
      </c>
    </row>
    <row r="4" spans="2:10" x14ac:dyDescent="0.4">
      <c r="B4" s="20"/>
      <c r="C4" s="16"/>
      <c r="D4" s="4" t="s">
        <v>1</v>
      </c>
      <c r="E4" s="4" t="s">
        <v>2</v>
      </c>
      <c r="F4" s="16"/>
      <c r="G4" s="16"/>
      <c r="H4" s="18"/>
    </row>
    <row r="5" spans="2:10" x14ac:dyDescent="0.4">
      <c r="B5" s="2" t="s">
        <v>17</v>
      </c>
      <c r="C5" s="5" t="s">
        <v>4</v>
      </c>
      <c r="D5" s="7">
        <v>0.109</v>
      </c>
      <c r="E5" s="7">
        <v>0.14699999999999999</v>
      </c>
      <c r="F5" s="7">
        <v>0.84</v>
      </c>
      <c r="G5" s="7">
        <v>1.5</v>
      </c>
      <c r="H5" s="8">
        <v>4</v>
      </c>
    </row>
    <row r="6" spans="2:10" x14ac:dyDescent="0.4">
      <c r="B6" s="2" t="s">
        <v>18</v>
      </c>
      <c r="C6" s="5" t="s">
        <v>5</v>
      </c>
      <c r="D6" s="7">
        <v>0.113</v>
      </c>
      <c r="E6" s="7">
        <v>0.154</v>
      </c>
      <c r="F6" s="7">
        <v>1.05</v>
      </c>
      <c r="G6" s="7">
        <v>1.5</v>
      </c>
      <c r="H6" s="8">
        <v>4.5</v>
      </c>
      <c r="I6" s="12"/>
      <c r="J6" s="12"/>
    </row>
    <row r="7" spans="2:10" x14ac:dyDescent="0.4">
      <c r="B7" s="2" t="s">
        <v>17</v>
      </c>
      <c r="C7" s="5" t="s">
        <v>6</v>
      </c>
      <c r="D7" s="7">
        <v>0.13300000000000001</v>
      </c>
      <c r="E7" s="7">
        <v>0.17899999999999999</v>
      </c>
      <c r="F7" s="7">
        <v>1.3149999999999999</v>
      </c>
      <c r="G7" s="7">
        <v>1.875</v>
      </c>
      <c r="H7" s="8">
        <v>5.75</v>
      </c>
      <c r="I7" s="12"/>
      <c r="J7" s="12"/>
    </row>
    <row r="8" spans="2:10" x14ac:dyDescent="0.4">
      <c r="B8" s="2" t="s">
        <v>18</v>
      </c>
      <c r="C8" s="5" t="s">
        <v>9</v>
      </c>
      <c r="D8" s="7">
        <v>0.14000000000000001</v>
      </c>
      <c r="E8" s="7">
        <v>0.191</v>
      </c>
      <c r="F8" s="7">
        <v>1.66</v>
      </c>
      <c r="G8" s="7">
        <v>2</v>
      </c>
      <c r="H8" s="8">
        <v>7.25</v>
      </c>
      <c r="I8" s="12"/>
      <c r="J8" s="12"/>
    </row>
    <row r="9" spans="2:10" x14ac:dyDescent="0.4">
      <c r="B9" s="2" t="s">
        <v>17</v>
      </c>
      <c r="C9" s="5" t="s">
        <v>10</v>
      </c>
      <c r="D9" s="7">
        <v>0.14499999999999999</v>
      </c>
      <c r="E9" s="7">
        <v>0.2</v>
      </c>
      <c r="F9" s="7">
        <v>1.9</v>
      </c>
      <c r="G9" s="7">
        <v>2</v>
      </c>
      <c r="H9" s="8">
        <v>8.25</v>
      </c>
      <c r="I9" s="12"/>
      <c r="J9" s="12"/>
    </row>
    <row r="10" spans="2:10" x14ac:dyDescent="0.4">
      <c r="B10" s="2" t="s">
        <v>18</v>
      </c>
      <c r="C10" s="5" t="s">
        <v>7</v>
      </c>
      <c r="D10" s="7">
        <v>0.154</v>
      </c>
      <c r="E10" s="7">
        <v>0.218</v>
      </c>
      <c r="F10" s="7">
        <v>2.375</v>
      </c>
      <c r="G10" s="7">
        <v>2</v>
      </c>
      <c r="H10" s="8">
        <v>9.5</v>
      </c>
      <c r="I10" s="12"/>
      <c r="J10" s="12"/>
    </row>
    <row r="11" spans="2:10" x14ac:dyDescent="0.4">
      <c r="B11" s="2" t="s">
        <v>17</v>
      </c>
      <c r="C11" s="5" t="s">
        <v>11</v>
      </c>
      <c r="D11" s="7">
        <v>0.20300000000000001</v>
      </c>
      <c r="E11" s="7">
        <v>0.27600000000000002</v>
      </c>
      <c r="F11" s="7">
        <v>2.875</v>
      </c>
      <c r="G11" s="7">
        <v>3</v>
      </c>
      <c r="H11" s="8">
        <v>10.5</v>
      </c>
      <c r="I11" s="12"/>
      <c r="J11" s="12"/>
    </row>
    <row r="12" spans="2:10" x14ac:dyDescent="0.4">
      <c r="B12" s="2" t="s">
        <v>18</v>
      </c>
      <c r="C12" s="5" t="s">
        <v>8</v>
      </c>
      <c r="D12" s="7">
        <v>0.216</v>
      </c>
      <c r="E12" s="7">
        <v>0.3</v>
      </c>
      <c r="F12" s="7">
        <v>3.5</v>
      </c>
      <c r="G12" s="7">
        <v>3.125</v>
      </c>
      <c r="H12" s="8">
        <v>13</v>
      </c>
      <c r="I12" s="12"/>
      <c r="J12" s="12"/>
    </row>
    <row r="13" spans="2:10" x14ac:dyDescent="0.4">
      <c r="B13" s="2" t="s">
        <v>17</v>
      </c>
      <c r="C13" s="5" t="s">
        <v>12</v>
      </c>
      <c r="D13" s="7">
        <v>0.22600000000000001</v>
      </c>
      <c r="E13" s="7">
        <v>0.318</v>
      </c>
      <c r="F13" s="7">
        <v>4</v>
      </c>
      <c r="G13" s="7">
        <v>3.25</v>
      </c>
      <c r="H13" s="8">
        <v>15</v>
      </c>
      <c r="I13" s="12"/>
      <c r="J13" s="12"/>
    </row>
    <row r="14" spans="2:10" x14ac:dyDescent="0.4">
      <c r="B14" s="2" t="s">
        <v>18</v>
      </c>
      <c r="C14" s="5" t="s">
        <v>13</v>
      </c>
      <c r="D14" s="7">
        <v>0.23699999999999999</v>
      </c>
      <c r="E14" s="7">
        <v>0.33700000000000002</v>
      </c>
      <c r="F14" s="7">
        <v>4.5</v>
      </c>
      <c r="G14" s="7">
        <v>3.375</v>
      </c>
      <c r="H14" s="8">
        <v>16</v>
      </c>
      <c r="I14" s="12"/>
      <c r="J14" s="12"/>
    </row>
    <row r="15" spans="2:10" x14ac:dyDescent="0.4">
      <c r="B15" s="2" t="s">
        <v>17</v>
      </c>
      <c r="C15" s="5" t="s">
        <v>14</v>
      </c>
      <c r="D15" s="7">
        <v>0.25800000000000001</v>
      </c>
      <c r="E15" s="7">
        <v>0.375</v>
      </c>
      <c r="F15" s="7">
        <v>5.5629999999999997</v>
      </c>
      <c r="G15" s="7">
        <v>3.625</v>
      </c>
      <c r="H15" s="8">
        <v>24</v>
      </c>
      <c r="I15" s="12"/>
      <c r="J15" s="12"/>
    </row>
    <row r="16" spans="2:10" x14ac:dyDescent="0.4">
      <c r="B16" s="2" t="s">
        <v>18</v>
      </c>
      <c r="C16" s="5" t="s">
        <v>15</v>
      </c>
      <c r="D16" s="7">
        <v>0.28000000000000003</v>
      </c>
      <c r="E16" s="7">
        <v>0.432</v>
      </c>
      <c r="F16" s="7">
        <v>6.625</v>
      </c>
      <c r="G16" s="7">
        <v>3.75</v>
      </c>
      <c r="H16" s="8">
        <v>30</v>
      </c>
      <c r="I16" s="12"/>
      <c r="J16" s="12"/>
    </row>
    <row r="17" spans="2:19" x14ac:dyDescent="0.4">
      <c r="B17" s="3" t="s">
        <v>17</v>
      </c>
      <c r="C17" s="6" t="s">
        <v>16</v>
      </c>
      <c r="D17" s="9">
        <v>0.32200000000000001</v>
      </c>
      <c r="E17" s="9">
        <v>0.5</v>
      </c>
      <c r="F17" s="9">
        <v>8.625</v>
      </c>
      <c r="G17" s="9">
        <v>6.5</v>
      </c>
      <c r="H17" s="10">
        <v>35.5</v>
      </c>
      <c r="I17" s="12"/>
      <c r="J17" s="12"/>
    </row>
    <row r="19" spans="2:19" x14ac:dyDescent="0.4">
      <c r="B19" s="1" t="s">
        <v>38</v>
      </c>
      <c r="N19" s="11"/>
      <c r="P19" s="11" t="s">
        <v>22</v>
      </c>
      <c r="Q19" s="11">
        <v>25.4</v>
      </c>
    </row>
    <row r="20" spans="2:19" x14ac:dyDescent="0.4">
      <c r="B20" s="19" t="s">
        <v>0</v>
      </c>
      <c r="C20" s="15" t="s">
        <v>27</v>
      </c>
      <c r="D20" s="15" t="s">
        <v>29</v>
      </c>
      <c r="E20" s="15" t="s">
        <v>28</v>
      </c>
      <c r="F20" s="15" t="s">
        <v>30</v>
      </c>
      <c r="G20" s="15" t="s">
        <v>23</v>
      </c>
      <c r="H20" s="15"/>
      <c r="I20" s="15" t="s">
        <v>32</v>
      </c>
      <c r="J20" s="15"/>
      <c r="K20" s="15" t="s">
        <v>24</v>
      </c>
      <c r="L20" s="15" t="s">
        <v>34</v>
      </c>
      <c r="M20" s="15" t="s">
        <v>35</v>
      </c>
      <c r="N20" s="15" t="s">
        <v>31</v>
      </c>
      <c r="O20" s="15" t="s">
        <v>25</v>
      </c>
      <c r="P20" s="15" t="s">
        <v>33</v>
      </c>
      <c r="Q20" s="17" t="s">
        <v>26</v>
      </c>
    </row>
    <row r="21" spans="2:19" ht="16.8" customHeight="1" x14ac:dyDescent="0.4">
      <c r="B21" s="20"/>
      <c r="C21" s="16"/>
      <c r="D21" s="16"/>
      <c r="E21" s="16"/>
      <c r="F21" s="16"/>
      <c r="G21" s="4" t="s">
        <v>1</v>
      </c>
      <c r="H21" s="4" t="s">
        <v>2</v>
      </c>
      <c r="I21" s="4" t="s">
        <v>1</v>
      </c>
      <c r="J21" s="4" t="s">
        <v>2</v>
      </c>
      <c r="K21" s="16"/>
      <c r="L21" s="16"/>
      <c r="M21" s="16"/>
      <c r="N21" s="16"/>
      <c r="O21" s="16"/>
      <c r="P21" s="16"/>
      <c r="Q21" s="18"/>
    </row>
    <row r="22" spans="2:19" x14ac:dyDescent="0.4">
      <c r="B22" s="2" t="s">
        <v>17</v>
      </c>
      <c r="C22" s="5" t="s">
        <v>4</v>
      </c>
      <c r="D22" s="7">
        <f>1/2</f>
        <v>0.5</v>
      </c>
      <c r="E22" s="7">
        <f t="shared" ref="E22:E34" si="0">D22*$Q$19</f>
        <v>12.7</v>
      </c>
      <c r="F22" s="7">
        <f>E22/2</f>
        <v>6.35</v>
      </c>
      <c r="G22" s="7">
        <f t="shared" ref="G22:G34" si="1">D5*$Q$19</f>
        <v>2.7685999999999997</v>
      </c>
      <c r="H22" s="7">
        <f t="shared" ref="H22:H34" si="2">E5*$Q$19</f>
        <v>3.7337999999999996</v>
      </c>
      <c r="I22" s="7">
        <f>$F22+G22</f>
        <v>9.1185999999999989</v>
      </c>
      <c r="J22" s="7">
        <f>$F22+H22</f>
        <v>10.0838</v>
      </c>
      <c r="K22" s="7">
        <f t="shared" ref="K22:K34" si="3">F5*$Q$19</f>
        <v>21.335999999999999</v>
      </c>
      <c r="L22" s="7">
        <f>($K22-2*G22)/2</f>
        <v>7.8994</v>
      </c>
      <c r="M22" s="7">
        <f>($K22-2*H22)/2</f>
        <v>6.9341999999999997</v>
      </c>
      <c r="N22" s="7">
        <f>K22/2</f>
        <v>10.667999999999999</v>
      </c>
      <c r="O22" s="7">
        <f t="shared" ref="O22:O34" si="4">G5*$Q$19</f>
        <v>38.099999999999994</v>
      </c>
      <c r="P22" s="13">
        <f>O22*0.1</f>
        <v>3.8099999999999996</v>
      </c>
      <c r="Q22" s="8">
        <f t="shared" ref="Q22:Q34" si="5">H5*$Q$19</f>
        <v>101.6</v>
      </c>
    </row>
    <row r="23" spans="2:19" x14ac:dyDescent="0.4">
      <c r="B23" s="2" t="s">
        <v>18</v>
      </c>
      <c r="C23" s="5" t="s">
        <v>5</v>
      </c>
      <c r="D23" s="7">
        <f>3/4</f>
        <v>0.75</v>
      </c>
      <c r="E23" s="7">
        <f t="shared" si="0"/>
        <v>19.049999999999997</v>
      </c>
      <c r="F23" s="7">
        <f t="shared" ref="F23:F34" si="6">E23/2</f>
        <v>9.5249999999999986</v>
      </c>
      <c r="G23" s="7">
        <f t="shared" si="1"/>
        <v>2.8702000000000001</v>
      </c>
      <c r="H23" s="7">
        <f t="shared" si="2"/>
        <v>3.9115999999999995</v>
      </c>
      <c r="I23" s="7">
        <f t="shared" ref="I23:I34" si="7">$F23+G23</f>
        <v>12.395199999999999</v>
      </c>
      <c r="J23" s="7">
        <f t="shared" ref="J23:J34" si="8">$F23+H23</f>
        <v>13.436599999999999</v>
      </c>
      <c r="K23" s="7">
        <f t="shared" si="3"/>
        <v>26.669999999999998</v>
      </c>
      <c r="L23" s="7">
        <f t="shared" ref="L23:M34" si="9">($K23-2*G23)/2</f>
        <v>10.464799999999999</v>
      </c>
      <c r="M23" s="7">
        <f t="shared" si="9"/>
        <v>9.4233999999999991</v>
      </c>
      <c r="N23" s="7">
        <f t="shared" ref="N23:N34" si="10">K23/2</f>
        <v>13.334999999999999</v>
      </c>
      <c r="O23" s="7">
        <f t="shared" si="4"/>
        <v>38.099999999999994</v>
      </c>
      <c r="P23" s="13">
        <f t="shared" ref="P23:P34" si="11">O23*0.1</f>
        <v>3.8099999999999996</v>
      </c>
      <c r="Q23" s="8">
        <f t="shared" si="5"/>
        <v>114.3</v>
      </c>
    </row>
    <row r="24" spans="2:19" x14ac:dyDescent="0.4">
      <c r="B24" s="2" t="s">
        <v>17</v>
      </c>
      <c r="C24" s="5" t="s">
        <v>6</v>
      </c>
      <c r="D24" s="7">
        <v>1</v>
      </c>
      <c r="E24" s="7">
        <f t="shared" si="0"/>
        <v>25.4</v>
      </c>
      <c r="F24" s="7">
        <f t="shared" si="6"/>
        <v>12.7</v>
      </c>
      <c r="G24" s="7">
        <f t="shared" si="1"/>
        <v>3.3782000000000001</v>
      </c>
      <c r="H24" s="7">
        <f t="shared" si="2"/>
        <v>4.5465999999999998</v>
      </c>
      <c r="I24" s="7">
        <f t="shared" si="7"/>
        <v>16.078199999999999</v>
      </c>
      <c r="J24" s="7">
        <f t="shared" si="8"/>
        <v>17.246600000000001</v>
      </c>
      <c r="K24" s="7">
        <f t="shared" si="3"/>
        <v>33.400999999999996</v>
      </c>
      <c r="L24" s="7">
        <f t="shared" si="9"/>
        <v>13.322299999999998</v>
      </c>
      <c r="M24" s="7">
        <f t="shared" si="9"/>
        <v>12.153899999999998</v>
      </c>
      <c r="N24" s="7">
        <f t="shared" si="10"/>
        <v>16.700499999999998</v>
      </c>
      <c r="O24" s="7">
        <f t="shared" si="4"/>
        <v>47.625</v>
      </c>
      <c r="P24" s="13">
        <f t="shared" si="11"/>
        <v>4.7625000000000002</v>
      </c>
      <c r="Q24" s="8">
        <f t="shared" si="5"/>
        <v>146.04999999999998</v>
      </c>
    </row>
    <row r="25" spans="2:19" x14ac:dyDescent="0.4">
      <c r="B25" s="2" t="s">
        <v>18</v>
      </c>
      <c r="C25" s="5" t="s">
        <v>9</v>
      </c>
      <c r="D25" s="7">
        <f>1+1/4</f>
        <v>1.25</v>
      </c>
      <c r="E25" s="7">
        <f t="shared" si="0"/>
        <v>31.75</v>
      </c>
      <c r="F25" s="7">
        <f t="shared" si="6"/>
        <v>15.875</v>
      </c>
      <c r="G25" s="7">
        <f t="shared" si="1"/>
        <v>3.556</v>
      </c>
      <c r="H25" s="7">
        <f t="shared" si="2"/>
        <v>4.8513999999999999</v>
      </c>
      <c r="I25" s="7">
        <f t="shared" si="7"/>
        <v>19.431000000000001</v>
      </c>
      <c r="J25" s="7">
        <f t="shared" si="8"/>
        <v>20.726399999999998</v>
      </c>
      <c r="K25" s="7">
        <f t="shared" si="3"/>
        <v>42.163999999999994</v>
      </c>
      <c r="L25" s="7">
        <f t="shared" si="9"/>
        <v>17.525999999999996</v>
      </c>
      <c r="M25" s="7">
        <f t="shared" si="9"/>
        <v>16.230599999999995</v>
      </c>
      <c r="N25" s="7">
        <f t="shared" si="10"/>
        <v>21.081999999999997</v>
      </c>
      <c r="O25" s="7">
        <f t="shared" si="4"/>
        <v>50.8</v>
      </c>
      <c r="P25" s="13">
        <f t="shared" si="11"/>
        <v>5.08</v>
      </c>
      <c r="Q25" s="8">
        <f t="shared" si="5"/>
        <v>184.14999999999998</v>
      </c>
    </row>
    <row r="26" spans="2:19" x14ac:dyDescent="0.4">
      <c r="B26" s="2" t="s">
        <v>17</v>
      </c>
      <c r="C26" s="5" t="s">
        <v>10</v>
      </c>
      <c r="D26" s="7">
        <f>1+1/2</f>
        <v>1.5</v>
      </c>
      <c r="E26" s="7">
        <f t="shared" si="0"/>
        <v>38.099999999999994</v>
      </c>
      <c r="F26" s="7">
        <f t="shared" si="6"/>
        <v>19.049999999999997</v>
      </c>
      <c r="G26" s="7">
        <f t="shared" si="1"/>
        <v>3.6829999999999994</v>
      </c>
      <c r="H26" s="7">
        <f t="shared" si="2"/>
        <v>5.08</v>
      </c>
      <c r="I26" s="7">
        <f t="shared" si="7"/>
        <v>22.732999999999997</v>
      </c>
      <c r="J26" s="7">
        <f t="shared" si="8"/>
        <v>24.129999999999995</v>
      </c>
      <c r="K26" s="7">
        <f t="shared" si="3"/>
        <v>48.26</v>
      </c>
      <c r="L26" s="7">
        <f t="shared" si="9"/>
        <v>20.446999999999999</v>
      </c>
      <c r="M26" s="7">
        <f t="shared" si="9"/>
        <v>19.049999999999997</v>
      </c>
      <c r="N26" s="7">
        <f t="shared" si="10"/>
        <v>24.13</v>
      </c>
      <c r="O26" s="7">
        <f t="shared" si="4"/>
        <v>50.8</v>
      </c>
      <c r="P26" s="13">
        <f t="shared" si="11"/>
        <v>5.08</v>
      </c>
      <c r="Q26" s="8">
        <f t="shared" si="5"/>
        <v>209.54999999999998</v>
      </c>
    </row>
    <row r="27" spans="2:19" x14ac:dyDescent="0.4">
      <c r="B27" s="2" t="s">
        <v>18</v>
      </c>
      <c r="C27" s="5" t="s">
        <v>7</v>
      </c>
      <c r="D27" s="7">
        <v>2</v>
      </c>
      <c r="E27" s="7">
        <f t="shared" si="0"/>
        <v>50.8</v>
      </c>
      <c r="F27" s="7">
        <f t="shared" si="6"/>
        <v>25.4</v>
      </c>
      <c r="G27" s="7">
        <f t="shared" si="1"/>
        <v>3.9115999999999995</v>
      </c>
      <c r="H27" s="7">
        <f t="shared" si="2"/>
        <v>5.5371999999999995</v>
      </c>
      <c r="I27" s="7">
        <f t="shared" si="7"/>
        <v>29.311599999999999</v>
      </c>
      <c r="J27" s="7">
        <f t="shared" si="8"/>
        <v>30.937199999999997</v>
      </c>
      <c r="K27" s="7">
        <f t="shared" si="3"/>
        <v>60.324999999999996</v>
      </c>
      <c r="L27" s="7">
        <f t="shared" si="9"/>
        <v>26.250899999999998</v>
      </c>
      <c r="M27" s="7">
        <f t="shared" si="9"/>
        <v>24.625299999999999</v>
      </c>
      <c r="N27" s="7">
        <f t="shared" si="10"/>
        <v>30.162499999999998</v>
      </c>
      <c r="O27" s="7">
        <f t="shared" si="4"/>
        <v>50.8</v>
      </c>
      <c r="P27" s="13">
        <f t="shared" si="11"/>
        <v>5.08</v>
      </c>
      <c r="Q27" s="8">
        <f t="shared" si="5"/>
        <v>241.29999999999998</v>
      </c>
    </row>
    <row r="28" spans="2:19" x14ac:dyDescent="0.4">
      <c r="B28" s="2" t="s">
        <v>17</v>
      </c>
      <c r="C28" s="5" t="s">
        <v>11</v>
      </c>
      <c r="D28" s="7">
        <f>2+1/2</f>
        <v>2.5</v>
      </c>
      <c r="E28" s="7">
        <f t="shared" si="0"/>
        <v>63.5</v>
      </c>
      <c r="F28" s="7">
        <f t="shared" si="6"/>
        <v>31.75</v>
      </c>
      <c r="G28" s="7">
        <f t="shared" si="1"/>
        <v>5.1562000000000001</v>
      </c>
      <c r="H28" s="7">
        <f t="shared" si="2"/>
        <v>7.0104000000000006</v>
      </c>
      <c r="I28" s="7">
        <f t="shared" si="7"/>
        <v>36.906199999999998</v>
      </c>
      <c r="J28" s="7">
        <f t="shared" si="8"/>
        <v>38.760400000000004</v>
      </c>
      <c r="K28" s="7">
        <f t="shared" si="3"/>
        <v>73.024999999999991</v>
      </c>
      <c r="L28" s="7">
        <f t="shared" si="9"/>
        <v>31.356299999999997</v>
      </c>
      <c r="M28" s="7">
        <f t="shared" si="9"/>
        <v>29.502099999999995</v>
      </c>
      <c r="N28" s="7">
        <f t="shared" si="10"/>
        <v>36.512499999999996</v>
      </c>
      <c r="O28" s="7">
        <f t="shared" si="4"/>
        <v>76.199999999999989</v>
      </c>
      <c r="P28" s="13">
        <f t="shared" si="11"/>
        <v>7.6199999999999992</v>
      </c>
      <c r="Q28" s="8">
        <f t="shared" si="5"/>
        <v>266.7</v>
      </c>
    </row>
    <row r="29" spans="2:19" x14ac:dyDescent="0.4">
      <c r="B29" s="2" t="s">
        <v>18</v>
      </c>
      <c r="C29" s="5" t="s">
        <v>8</v>
      </c>
      <c r="D29" s="7">
        <v>3</v>
      </c>
      <c r="E29" s="7">
        <f t="shared" si="0"/>
        <v>76.199999999999989</v>
      </c>
      <c r="F29" s="7">
        <f t="shared" si="6"/>
        <v>38.099999999999994</v>
      </c>
      <c r="G29" s="7">
        <f t="shared" si="1"/>
        <v>5.4863999999999997</v>
      </c>
      <c r="H29" s="7">
        <f t="shared" si="2"/>
        <v>7.6199999999999992</v>
      </c>
      <c r="I29" s="7">
        <f t="shared" si="7"/>
        <v>43.586399999999998</v>
      </c>
      <c r="J29" s="7">
        <f t="shared" si="8"/>
        <v>45.719999999999992</v>
      </c>
      <c r="K29" s="7">
        <f t="shared" si="3"/>
        <v>88.899999999999991</v>
      </c>
      <c r="L29" s="7">
        <f t="shared" si="9"/>
        <v>38.9636</v>
      </c>
      <c r="M29" s="7">
        <f t="shared" si="9"/>
        <v>36.83</v>
      </c>
      <c r="N29" s="7">
        <f t="shared" si="10"/>
        <v>44.449999999999996</v>
      </c>
      <c r="O29" s="7">
        <f t="shared" si="4"/>
        <v>79.375</v>
      </c>
      <c r="P29" s="13">
        <f t="shared" si="11"/>
        <v>7.9375</v>
      </c>
      <c r="Q29" s="8">
        <f t="shared" si="5"/>
        <v>330.2</v>
      </c>
    </row>
    <row r="30" spans="2:19" x14ac:dyDescent="0.4">
      <c r="B30" s="2" t="s">
        <v>17</v>
      </c>
      <c r="C30" s="5" t="s">
        <v>12</v>
      </c>
      <c r="D30" s="7">
        <f>3+1/2</f>
        <v>3.5</v>
      </c>
      <c r="E30" s="7">
        <f t="shared" si="0"/>
        <v>88.899999999999991</v>
      </c>
      <c r="F30" s="7">
        <f t="shared" si="6"/>
        <v>44.449999999999996</v>
      </c>
      <c r="G30" s="7">
        <f t="shared" si="1"/>
        <v>5.7404000000000002</v>
      </c>
      <c r="H30" s="7">
        <f t="shared" si="2"/>
        <v>8.0771999999999995</v>
      </c>
      <c r="I30" s="7">
        <f t="shared" si="7"/>
        <v>50.190399999999997</v>
      </c>
      <c r="J30" s="7">
        <f t="shared" si="8"/>
        <v>52.527199999999993</v>
      </c>
      <c r="K30" s="7">
        <f t="shared" si="3"/>
        <v>101.6</v>
      </c>
      <c r="L30" s="7">
        <f t="shared" si="9"/>
        <v>45.059599999999996</v>
      </c>
      <c r="M30" s="7">
        <f t="shared" si="9"/>
        <v>42.722799999999999</v>
      </c>
      <c r="N30" s="7">
        <f t="shared" si="10"/>
        <v>50.8</v>
      </c>
      <c r="O30" s="7">
        <f t="shared" si="4"/>
        <v>82.55</v>
      </c>
      <c r="P30" s="13">
        <f t="shared" si="11"/>
        <v>8.2550000000000008</v>
      </c>
      <c r="Q30" s="8">
        <f t="shared" si="5"/>
        <v>381</v>
      </c>
    </row>
    <row r="31" spans="2:19" x14ac:dyDescent="0.4">
      <c r="B31" s="2" t="s">
        <v>18</v>
      </c>
      <c r="C31" s="5" t="s">
        <v>13</v>
      </c>
      <c r="D31" s="7">
        <v>4</v>
      </c>
      <c r="E31" s="7">
        <f t="shared" si="0"/>
        <v>101.6</v>
      </c>
      <c r="F31" s="7">
        <f t="shared" si="6"/>
        <v>50.8</v>
      </c>
      <c r="G31" s="7">
        <f t="shared" si="1"/>
        <v>6.0197999999999992</v>
      </c>
      <c r="H31" s="7">
        <f t="shared" si="2"/>
        <v>8.5597999999999992</v>
      </c>
      <c r="I31" s="7">
        <f t="shared" si="7"/>
        <v>56.819799999999994</v>
      </c>
      <c r="J31" s="7">
        <f t="shared" si="8"/>
        <v>59.359799999999993</v>
      </c>
      <c r="K31" s="7">
        <f t="shared" si="3"/>
        <v>114.3</v>
      </c>
      <c r="L31" s="7">
        <f t="shared" si="9"/>
        <v>51.130200000000002</v>
      </c>
      <c r="M31" s="7">
        <f t="shared" si="9"/>
        <v>48.590199999999996</v>
      </c>
      <c r="N31" s="7">
        <f t="shared" si="10"/>
        <v>57.15</v>
      </c>
      <c r="O31" s="7">
        <f t="shared" si="4"/>
        <v>85.724999999999994</v>
      </c>
      <c r="P31" s="13">
        <f t="shared" si="11"/>
        <v>8.5724999999999998</v>
      </c>
      <c r="Q31" s="8">
        <f t="shared" si="5"/>
        <v>406.4</v>
      </c>
    </row>
    <row r="32" spans="2:19" x14ac:dyDescent="0.4">
      <c r="B32" s="2" t="s">
        <v>17</v>
      </c>
      <c r="C32" s="5" t="s">
        <v>14</v>
      </c>
      <c r="D32" s="7">
        <v>5</v>
      </c>
      <c r="E32" s="7">
        <f t="shared" si="0"/>
        <v>127</v>
      </c>
      <c r="F32" s="7">
        <f t="shared" si="6"/>
        <v>63.5</v>
      </c>
      <c r="G32" s="7">
        <f t="shared" si="1"/>
        <v>6.5531999999999995</v>
      </c>
      <c r="H32" s="7">
        <f t="shared" si="2"/>
        <v>9.5249999999999986</v>
      </c>
      <c r="I32" s="7">
        <f t="shared" si="7"/>
        <v>70.053200000000004</v>
      </c>
      <c r="J32" s="7">
        <f t="shared" si="8"/>
        <v>73.025000000000006</v>
      </c>
      <c r="K32" s="7">
        <f t="shared" si="3"/>
        <v>141.30019999999999</v>
      </c>
      <c r="L32" s="7">
        <f t="shared" si="9"/>
        <v>64.096899999999991</v>
      </c>
      <c r="M32" s="7">
        <f t="shared" si="9"/>
        <v>61.125099999999996</v>
      </c>
      <c r="N32" s="7">
        <f t="shared" si="10"/>
        <v>70.650099999999995</v>
      </c>
      <c r="O32" s="7">
        <f t="shared" si="4"/>
        <v>92.074999999999989</v>
      </c>
      <c r="P32" s="13">
        <f t="shared" si="11"/>
        <v>9.2074999999999996</v>
      </c>
      <c r="Q32" s="8">
        <f t="shared" si="5"/>
        <v>609.59999999999991</v>
      </c>
      <c r="S32"/>
    </row>
    <row r="33" spans="2:17" x14ac:dyDescent="0.4">
      <c r="B33" s="2" t="s">
        <v>18</v>
      </c>
      <c r="C33" s="5" t="s">
        <v>15</v>
      </c>
      <c r="D33" s="7">
        <v>6</v>
      </c>
      <c r="E33" s="7">
        <f t="shared" si="0"/>
        <v>152.39999999999998</v>
      </c>
      <c r="F33" s="7">
        <f t="shared" si="6"/>
        <v>76.199999999999989</v>
      </c>
      <c r="G33" s="7">
        <f t="shared" si="1"/>
        <v>7.1120000000000001</v>
      </c>
      <c r="H33" s="7">
        <f t="shared" si="2"/>
        <v>10.972799999999999</v>
      </c>
      <c r="I33" s="7">
        <f t="shared" si="7"/>
        <v>83.311999999999983</v>
      </c>
      <c r="J33" s="7">
        <f t="shared" si="8"/>
        <v>87.172799999999995</v>
      </c>
      <c r="K33" s="7">
        <f t="shared" si="3"/>
        <v>168.27499999999998</v>
      </c>
      <c r="L33" s="7">
        <f t="shared" si="9"/>
        <v>77.025499999999994</v>
      </c>
      <c r="M33" s="7">
        <f t="shared" si="9"/>
        <v>73.164699999999982</v>
      </c>
      <c r="N33" s="7">
        <f t="shared" si="10"/>
        <v>84.137499999999989</v>
      </c>
      <c r="O33" s="7">
        <f t="shared" si="4"/>
        <v>95.25</v>
      </c>
      <c r="P33" s="13">
        <f t="shared" si="11"/>
        <v>9.5250000000000004</v>
      </c>
      <c r="Q33" s="8">
        <f t="shared" si="5"/>
        <v>762</v>
      </c>
    </row>
    <row r="34" spans="2:17" x14ac:dyDescent="0.4">
      <c r="B34" s="3" t="s">
        <v>17</v>
      </c>
      <c r="C34" s="6" t="s">
        <v>16</v>
      </c>
      <c r="D34" s="9">
        <v>8</v>
      </c>
      <c r="E34" s="9">
        <f t="shared" si="0"/>
        <v>203.2</v>
      </c>
      <c r="F34" s="9">
        <f t="shared" si="6"/>
        <v>101.6</v>
      </c>
      <c r="G34" s="9">
        <f t="shared" si="1"/>
        <v>8.178799999999999</v>
      </c>
      <c r="H34" s="9">
        <f t="shared" si="2"/>
        <v>12.7</v>
      </c>
      <c r="I34" s="9">
        <f t="shared" si="7"/>
        <v>109.77879999999999</v>
      </c>
      <c r="J34" s="9">
        <f t="shared" si="8"/>
        <v>114.3</v>
      </c>
      <c r="K34" s="9">
        <f t="shared" si="3"/>
        <v>219.07499999999999</v>
      </c>
      <c r="L34" s="9">
        <f t="shared" si="9"/>
        <v>101.3587</v>
      </c>
      <c r="M34" s="9">
        <f t="shared" si="9"/>
        <v>96.837499999999991</v>
      </c>
      <c r="N34" s="9">
        <f t="shared" si="10"/>
        <v>109.53749999999999</v>
      </c>
      <c r="O34" s="9">
        <f t="shared" si="4"/>
        <v>165.1</v>
      </c>
      <c r="P34" s="14">
        <f t="shared" si="11"/>
        <v>16.510000000000002</v>
      </c>
      <c r="Q34" s="10">
        <f t="shared" si="5"/>
        <v>901.69999999999993</v>
      </c>
    </row>
  </sheetData>
  <sheetProtection algorithmName="SHA-512" hashValue="pzamqJiJJr/c/hifgHgAgxmarpqUpuWqMhM+n2GOV94iuiF1qYEyIFm5vX2byPAOT+Aewmkb1ffWCtFeCBYa+w==" saltValue="1Sn9oyki7cwVh5yYiY/qeA==" spinCount="100000" sheet="1" objects="1" scenarios="1"/>
  <mergeCells count="20">
    <mergeCell ref="O20:O21"/>
    <mergeCell ref="Q20:Q21"/>
    <mergeCell ref="E20:E21"/>
    <mergeCell ref="D20:D21"/>
    <mergeCell ref="F20:F21"/>
    <mergeCell ref="N20:N21"/>
    <mergeCell ref="I20:J20"/>
    <mergeCell ref="P20:P21"/>
    <mergeCell ref="L20:L21"/>
    <mergeCell ref="M20:M21"/>
    <mergeCell ref="H3:H4"/>
    <mergeCell ref="B20:B21"/>
    <mergeCell ref="C20:C21"/>
    <mergeCell ref="G20:H20"/>
    <mergeCell ref="K20:K21"/>
    <mergeCell ref="D3:E3"/>
    <mergeCell ref="C3:C4"/>
    <mergeCell ref="B3:B4"/>
    <mergeCell ref="F3:F4"/>
    <mergeCell ref="G3:G4"/>
  </mergeCells>
  <pageMargins left="0.7" right="0.7" top="0.75" bottom="0.75" header="0.3" footer="0.3"/>
  <ignoredErrors>
    <ignoredError sqref="C7 C14:C17 C24 C32:C34" numberStoredAsText="1"/>
    <ignoredError sqref="C8:C13 C25:C31" twoDigitTextYear="1" numberStoredAsText="1"/>
  </ignoredError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2A738-3364-4C23-96A1-AD55C940BA1E}">
  <dimension ref="B2:B4"/>
  <sheetViews>
    <sheetView showGridLines="0" workbookViewId="0">
      <selection activeCell="B4" sqref="B4"/>
    </sheetView>
  </sheetViews>
  <sheetFormatPr defaultRowHeight="16.8" x14ac:dyDescent="0.4"/>
  <cols>
    <col min="1" max="1" width="2.77734375" style="1" customWidth="1"/>
    <col min="2" max="2" width="79.77734375" style="1" customWidth="1"/>
    <col min="3" max="16384" width="8.88671875" style="1"/>
  </cols>
  <sheetData>
    <row r="2" spans="2:2" x14ac:dyDescent="0.4">
      <c r="B2" s="1" t="s">
        <v>36</v>
      </c>
    </row>
    <row r="3" spans="2:2" x14ac:dyDescent="0.4">
      <c r="B3" s="22" t="s">
        <v>39</v>
      </c>
    </row>
    <row r="4" spans="2:2" x14ac:dyDescent="0.4">
      <c r="B4" s="21" t="s">
        <v>41</v>
      </c>
    </row>
  </sheetData>
  <hyperlinks>
    <hyperlink ref="B3" r:id="rId1" xr:uid="{AC1D5CB1-695E-4CE2-90FD-A746E9C6542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ElectricElbowBellEnd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RICARDO AGUILAR PIÑA</dc:creator>
  <cp:lastModifiedBy>WILLIAM RICARDO AGUILAR PIÑA</cp:lastModifiedBy>
  <dcterms:created xsi:type="dcterms:W3CDTF">2025-07-13T14:45:43Z</dcterms:created>
  <dcterms:modified xsi:type="dcterms:W3CDTF">2025-07-13T20:38:23Z</dcterms:modified>
</cp:coreProperties>
</file>