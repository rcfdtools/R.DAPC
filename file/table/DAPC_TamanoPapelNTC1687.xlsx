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B01E1B82-070C-44E8-A212-927890ACCAD2}" xr6:coauthVersionLast="47" xr6:coauthVersionMax="47" xr10:uidLastSave="{00000000-0000-0000-0000-000000000000}"/>
  <bookViews>
    <workbookView xWindow="-108" yWindow="-108" windowWidth="23256" windowHeight="12456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<sst xmlns="http://schemas.openxmlformats.org/spreadsheetml/2006/main" count="48" uniqueCount="43">
  <si>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</si>
  <si>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</si>
  <si>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</si>
  <si>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</si>
  <si>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</si>
  <si>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</si>
  <si>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</si>
  <si>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</si>
  <si>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</si>
  <si>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</si>
  <si>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</si>
  <si>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</si>
  <si>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</si>
  <si>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</si>
  <si>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Márgenes (mm)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</si>
  <si>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</si>
  <si>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</si>
  <si>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</si>
  <si>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</si>
  <si>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</si>
  <si>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</si>
  <si>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</si>
  <si>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</si>
  <si>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</si>
  <si>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</si>
  <si>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</si>
  <si>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</si>
  <si>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</si>
  <si>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</si>
  <si>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</si>
  <si>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</si>
  <si>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</si>
  <si>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</si>
  <si>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</si>
  <si>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</si>
  <si>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</si>
  <si>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</si>
  <si>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</si>
  <si>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</si>
  <si>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</si>
  <si>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MView CAD (mm) ***</t>
  </si>
  <si>
    <t>**Tamaño del recuadro de impresión en CAD.</t>
  </si>
  <si>
    <t>Rótulo (mm)**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</si>
</sst>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4"/>
      <color theme="1"/>
      <name val="Segoe UI Light"/>
      <family val="2"/>
    </font>
    <font>
      <sz val="2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14"/>
      <color rgb="FF0070C0"/>
      <name val="Segoe UI Light"/>
      <family val="2"/>
    </font>
    <font>
      <sz val="14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NumberFormat="1" applyFont="1" applyBorder="1" applyAlignment="1">
      <alignment horizontal="center" vertical="top" wrapText="1"/>
    </xf>
    <xf numFmtId="0" fontId="1" fillId="0" borderId="14" xfId="0" applyNumberFormat="1" applyFont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0" borderId="19" xfId="0" applyFont="1" applyFill="1" applyBorder="1" applyAlignment="1">
      <alignment horizontal="center" vertical="top" wrapText="1"/>
    </xf>
    <xf numFmtId="0" fontId="1" fillId="0" borderId="20" xfId="0" applyFont="1" applyFill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2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20" fontId="4" fillId="2" borderId="31" xfId="0" applyNumberFormat="1" applyFont="1" applyFill="1" applyBorder="1" applyAlignment="1">
      <alignment horizontal="center" vertical="top"/>
    </xf>
    <xf numFmtId="0" fontId="7" fillId="0" borderId="0" xfId="1" applyFo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3" borderId="26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0" fontId="4" fillId="3" borderId="2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396663</xdr:colOff>
      <xdr:row>0</xdr:row>
      <xdr:rowOff>155699</xdr:rowOff>
    </xdr:from>
    <xdr:to>
      <xdr:col>11</xdr:col>
      <xdr:colOff>690419</xdr:colOff>
      <xdr:row>1</xdr:row>
      <xdr:rowOff>180640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A6D2FA3-C5CF-48CD-959E-8F7FF1DD7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021176" y="155699"/>
          <a:ext cx="1003368" cy="2392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3431181</xdr:colOff>
      <xdr:row>1</xdr:row>
      <xdr:rowOff>2</xdr:rowOff>
    </xdr:from>
    <xdr:to>
      <xdr:col>9</xdr:col>
      <xdr:colOff>266409</xdr:colOff>
      <xdr:row>2</xdr:row>
      <xdr:rowOff>55423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1328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L15"/>
  <sheetViews>
    <sheetView showGridLines="0" tabSelected="1" zoomScale="145" zoomScaleNormal="145" workbookViewId="0">
      <selection activeCell="F21" sqref="F21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7.6640625" style="2" customWidth="1"/>
    <col min="9" max="10" width="6.88671875" style="2" customWidth="1"/>
    <col min="11" max="12" width="10.33203125" style="2" customWidth="1"/>
    <col min="13" max="16384" width="8.88671875" style="2"/>
  </cols>
  <sheetData>
    <row r="1" spans="2:12" x14ac:dyDescent="0.3">
      <c r="L1" s="29" t="s">
        <v>21</v>
      </c>
    </row>
    <row r="2" spans="2:12" x14ac:dyDescent="0.3">
      <c r="L2" s="29"/>
    </row>
    <row r="3" spans="2:12" x14ac:dyDescent="0.3">
      <c r="B3" s="2" t="s">
        <v>0</v>
      </c>
    </row>
    <row r="4" spans="2:12" ht="16.8" customHeight="1" x14ac:dyDescent="0.3">
      <c r="B4" s="24" t="s">
        <v>1</v>
      </c>
      <c r="C4" s="20" t="s">
        <v>17</v>
      </c>
      <c r="D4" s="11" t="s">
        <v>18</v>
      </c>
      <c r="E4" s="7" t="s">
        <v>19</v>
      </c>
      <c r="F4" s="15"/>
      <c r="G4" s="18" t="s">
        <v>14</v>
      </c>
      <c r="H4" s="8"/>
      <c r="I4" s="30" t="s">
        <v>42</v>
      </c>
      <c r="J4" s="31"/>
      <c r="K4" s="30" t="s">
        <v>40</v>
      </c>
      <c r="L4" s="31"/>
    </row>
    <row r="5" spans="2:12" x14ac:dyDescent="0.3">
      <c r="B5" s="25"/>
      <c r="C5" s="21"/>
      <c r="D5" s="12"/>
      <c r="E5" s="16" t="s">
        <v>15</v>
      </c>
      <c r="F5" s="10" t="s">
        <v>16</v>
      </c>
      <c r="G5" s="19" t="s">
        <v>13</v>
      </c>
      <c r="H5" s="9" t="s">
        <v>22</v>
      </c>
      <c r="I5" s="16" t="s">
        <v>15</v>
      </c>
      <c r="J5" s="10" t="s">
        <v>16</v>
      </c>
      <c r="K5" s="16" t="s">
        <v>15</v>
      </c>
      <c r="L5" s="10" t="s">
        <v>16</v>
      </c>
    </row>
    <row r="6" spans="2:12" x14ac:dyDescent="0.3">
      <c r="B6" s="26" t="s">
        <v>2</v>
      </c>
      <c r="C6" s="22">
        <v>1</v>
      </c>
      <c r="D6" s="13">
        <f>E6*F6/1000000</f>
        <v>0.99994899999999998</v>
      </c>
      <c r="E6" s="5">
        <v>1189</v>
      </c>
      <c r="F6" s="4">
        <v>841</v>
      </c>
      <c r="G6" s="32">
        <v>20</v>
      </c>
      <c r="H6" s="3">
        <v>10</v>
      </c>
      <c r="I6" s="32">
        <v>180</v>
      </c>
      <c r="J6" s="33">
        <v>35</v>
      </c>
      <c r="K6" s="32">
        <f>E6-G6-H6</f>
        <v>1159</v>
      </c>
      <c r="L6" s="33">
        <f>F6-H6-H6</f>
        <v>821</v>
      </c>
    </row>
    <row r="7" spans="2:12" x14ac:dyDescent="0.3">
      <c r="B7" s="26" t="s">
        <v>3</v>
      </c>
      <c r="C7" s="22" t="s">
        <v>8</v>
      </c>
      <c r="D7" s="13">
        <f t="shared" ref="D7:D11" si="0">E7*F7/1000000</f>
        <v>0.499554</v>
      </c>
      <c r="E7" s="5">
        <v>841</v>
      </c>
      <c r="F7" s="4">
        <v>594</v>
      </c>
      <c r="G7" s="32">
        <v>20</v>
      </c>
      <c r="H7" s="3">
        <v>10</v>
      </c>
      <c r="I7" s="32">
        <v>180</v>
      </c>
      <c r="J7" s="33">
        <v>35</v>
      </c>
      <c r="K7" s="32">
        <f>E7-G7-H7</f>
        <v>811</v>
      </c>
      <c r="L7" s="33">
        <f t="shared" ref="L7:L11" si="1">F7-H7-H7</f>
        <v>574</v>
      </c>
    </row>
    <row r="8" spans="2:12" x14ac:dyDescent="0.3">
      <c r="B8" s="26" t="s">
        <v>4</v>
      </c>
      <c r="C8" s="22" t="s">
        <v>9</v>
      </c>
      <c r="D8" s="13">
        <f t="shared" si="0"/>
        <v>0.24948000000000001</v>
      </c>
      <c r="E8" s="5">
        <v>594</v>
      </c>
      <c r="F8" s="4">
        <v>420</v>
      </c>
      <c r="G8" s="32">
        <v>20</v>
      </c>
      <c r="H8" s="3">
        <v>10</v>
      </c>
      <c r="I8" s="32">
        <v>180</v>
      </c>
      <c r="J8" s="33">
        <v>35</v>
      </c>
      <c r="K8" s="32">
        <f>E8-G8-H8</f>
        <v>564</v>
      </c>
      <c r="L8" s="33">
        <f t="shared" si="1"/>
        <v>400</v>
      </c>
    </row>
    <row r="9" spans="2:12" x14ac:dyDescent="0.3">
      <c r="B9" s="26" t="s">
        <v>5</v>
      </c>
      <c r="C9" s="22" t="s">
        <v>10</v>
      </c>
      <c r="D9" s="13">
        <f t="shared" si="0"/>
        <v>0.12474</v>
      </c>
      <c r="E9" s="5">
        <v>420</v>
      </c>
      <c r="F9" s="4">
        <v>297</v>
      </c>
      <c r="G9" s="32">
        <v>20</v>
      </c>
      <c r="H9" s="3">
        <v>5</v>
      </c>
      <c r="I9" s="32">
        <v>180</v>
      </c>
      <c r="J9" s="33">
        <v>35</v>
      </c>
      <c r="K9" s="32">
        <f>E9-G9-H9</f>
        <v>395</v>
      </c>
      <c r="L9" s="33">
        <f t="shared" si="1"/>
        <v>287</v>
      </c>
    </row>
    <row r="10" spans="2:12" x14ac:dyDescent="0.3">
      <c r="B10" s="26" t="s">
        <v>6</v>
      </c>
      <c r="C10" s="22" t="s">
        <v>11</v>
      </c>
      <c r="D10" s="13">
        <f t="shared" si="0"/>
        <v>6.2370000000000002E-2</v>
      </c>
      <c r="E10" s="5">
        <v>297</v>
      </c>
      <c r="F10" s="4">
        <v>210</v>
      </c>
      <c r="G10" s="32">
        <v>20</v>
      </c>
      <c r="H10" s="3">
        <v>5</v>
      </c>
      <c r="I10" s="32">
        <v>180</v>
      </c>
      <c r="J10" s="33">
        <v>35</v>
      </c>
      <c r="K10" s="32">
        <f>E10-G10-H10</f>
        <v>272</v>
      </c>
      <c r="L10" s="33">
        <f t="shared" si="1"/>
        <v>200</v>
      </c>
    </row>
    <row r="11" spans="2:12" x14ac:dyDescent="0.3">
      <c r="B11" s="27" t="s">
        <v>7</v>
      </c>
      <c r="C11" s="23" t="s">
        <v>12</v>
      </c>
      <c r="D11" s="14">
        <f t="shared" si="0"/>
        <v>3.108E-2</v>
      </c>
      <c r="E11" s="6">
        <v>210</v>
      </c>
      <c r="F11" s="17">
        <v>148</v>
      </c>
      <c r="G11" s="34">
        <v>20</v>
      </c>
      <c r="H11" s="35">
        <v>5</v>
      </c>
      <c r="I11" s="34">
        <v>180</v>
      </c>
      <c r="J11" s="36">
        <v>35</v>
      </c>
      <c r="K11" s="34">
        <f>E11-G11-H11</f>
        <v>185</v>
      </c>
      <c r="L11" s="36">
        <f t="shared" si="1"/>
        <v>138</v>
      </c>
    </row>
    <row r="12" spans="2:12" x14ac:dyDescent="0.3">
      <c r="B12" s="37" t="s">
        <v>33</v>
      </c>
    </row>
    <row r="13" spans="2:12" x14ac:dyDescent="0.3">
      <c r="B13" s="37" t="s">
        <v>32</v>
      </c>
    </row>
    <row r="14" spans="2:12" x14ac:dyDescent="0.3">
      <c r="B14" s="37" t="s">
        <v>41</v>
      </c>
    </row>
    <row r="15" spans="2:12" x14ac:dyDescent="0.3">
      <c r="B15" s="37" t="s">
        <v>20</v>
      </c>
    </row>
  </sheetData>
  <mergeCells count="7">
    <mergeCell ref="G4:H4"/>
    <mergeCell ref="I4:J4"/>
    <mergeCell ref="K4:L4"/>
    <mergeCell ref="B4:B5"/>
    <mergeCell ref="C4:C5"/>
    <mergeCell ref="E4:F4"/>
    <mergeCell ref="D4:D5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13"/>
  <sheetViews>
    <sheetView showGridLines="0" zoomScaleNormal="100" workbookViewId="0">
      <selection activeCell="G17" sqref="G17"/>
    </sheetView>
  </sheetViews>
  <sheetFormatPr defaultRowHeight="16.8" x14ac:dyDescent="0.3"/>
  <cols>
    <col min="1" max="1" width="2.77734375" style="38" customWidth="1"/>
    <col min="2" max="2" width="4.44140625" style="38" customWidth="1"/>
    <col min="3" max="3" width="4.44140625" style="40" customWidth="1"/>
    <col min="4" max="4" width="20.77734375" style="40" customWidth="1"/>
    <col min="5" max="5" width="18.77734375" style="40" customWidth="1"/>
    <col min="6" max="6" width="22.77734375" style="40" customWidth="1"/>
    <col min="7" max="8" width="30.77734375" style="40" customWidth="1"/>
    <col min="9" max="9" width="60.77734375" style="40" customWidth="1"/>
    <col min="10" max="10" width="4.5546875" style="40" customWidth="1"/>
    <col min="11" max="16384" width="8.88671875" style="38"/>
  </cols>
  <sheetData>
    <row r="1" spans="2:10" x14ac:dyDescent="0.3">
      <c r="J1" s="29" t="s">
        <v>21</v>
      </c>
    </row>
    <row r="2" spans="2:10" customFormat="1" ht="14.4" x14ac:dyDescent="0.3"/>
    <row r="3" spans="2:10" x14ac:dyDescent="0.3">
      <c r="B3" s="39" t="s">
        <v>34</v>
      </c>
      <c r="I3" s="29"/>
    </row>
    <row r="4" spans="2:10" ht="20.399999999999999" x14ac:dyDescent="0.3">
      <c r="B4" s="52"/>
      <c r="C4" s="53"/>
      <c r="D4" s="54">
        <v>185</v>
      </c>
      <c r="E4" s="54"/>
      <c r="F4" s="54"/>
      <c r="G4" s="54"/>
      <c r="H4" s="54"/>
      <c r="I4" s="54"/>
      <c r="J4" s="53"/>
    </row>
    <row r="5" spans="2:10" ht="20.399999999999999" x14ac:dyDescent="0.3">
      <c r="B5" s="52"/>
      <c r="C5" s="53"/>
      <c r="D5" s="55">
        <v>20</v>
      </c>
      <c r="E5" s="55">
        <v>18</v>
      </c>
      <c r="F5" s="55">
        <v>22</v>
      </c>
      <c r="G5" s="55">
        <v>30</v>
      </c>
      <c r="H5" s="56">
        <f>D4-SUM(D5:G5)</f>
        <v>95</v>
      </c>
      <c r="I5" s="56"/>
      <c r="J5" s="53"/>
    </row>
    <row r="6" spans="2:10" ht="30" customHeight="1" x14ac:dyDescent="0.3">
      <c r="B6" s="54">
        <v>36</v>
      </c>
      <c r="C6" s="55">
        <v>6</v>
      </c>
      <c r="D6" s="57"/>
      <c r="E6" s="57" t="s">
        <v>23</v>
      </c>
      <c r="F6" s="57" t="s">
        <v>36</v>
      </c>
      <c r="G6" s="57" t="s">
        <v>35</v>
      </c>
      <c r="H6" s="41" t="s">
        <v>31</v>
      </c>
      <c r="I6" s="42"/>
      <c r="J6" s="53"/>
    </row>
    <row r="7" spans="2:10" ht="30" customHeight="1" x14ac:dyDescent="0.3">
      <c r="B7" s="54"/>
      <c r="C7" s="58">
        <f>C6</f>
        <v>6</v>
      </c>
      <c r="D7" s="59" t="s">
        <v>25</v>
      </c>
      <c r="E7" s="57"/>
      <c r="F7" s="57"/>
      <c r="G7" s="57"/>
      <c r="H7" s="43"/>
      <c r="I7" s="44"/>
      <c r="J7" s="53"/>
    </row>
    <row r="8" spans="2:10" ht="30" customHeight="1" x14ac:dyDescent="0.3">
      <c r="B8" s="54"/>
      <c r="C8" s="58">
        <f>C6</f>
        <v>6</v>
      </c>
      <c r="D8" s="59" t="s">
        <v>24</v>
      </c>
      <c r="E8" s="57"/>
      <c r="F8" s="57"/>
      <c r="G8" s="57"/>
      <c r="H8" s="45"/>
      <c r="I8" s="46"/>
      <c r="J8" s="53"/>
    </row>
    <row r="9" spans="2:10" ht="30" customHeight="1" x14ac:dyDescent="0.3">
      <c r="B9" s="54"/>
      <c r="C9" s="60">
        <f>B6-SUM(C6:C8)</f>
        <v>18</v>
      </c>
      <c r="D9" s="61" t="s">
        <v>26</v>
      </c>
      <c r="E9" s="41" t="s">
        <v>30</v>
      </c>
      <c r="F9" s="47"/>
      <c r="G9" s="47"/>
      <c r="H9" s="42"/>
      <c r="I9" s="59" t="s">
        <v>27</v>
      </c>
      <c r="J9" s="53">
        <f>$C$6</f>
        <v>6</v>
      </c>
    </row>
    <row r="10" spans="2:10" ht="30" customHeight="1" x14ac:dyDescent="0.3">
      <c r="B10" s="54"/>
      <c r="C10" s="60"/>
      <c r="D10" s="50"/>
      <c r="E10" s="43"/>
      <c r="F10" s="48"/>
      <c r="G10" s="48"/>
      <c r="H10" s="44"/>
      <c r="I10" s="59" t="s">
        <v>28</v>
      </c>
      <c r="J10" s="53">
        <f t="shared" ref="J10:J11" si="0">$C$6</f>
        <v>6</v>
      </c>
    </row>
    <row r="11" spans="2:10" ht="30" customHeight="1" x14ac:dyDescent="0.3">
      <c r="B11" s="54"/>
      <c r="C11" s="60"/>
      <c r="D11" s="62"/>
      <c r="E11" s="45"/>
      <c r="F11" s="49"/>
      <c r="G11" s="49"/>
      <c r="H11" s="46"/>
      <c r="I11" s="59" t="s">
        <v>29</v>
      </c>
      <c r="J11" s="53">
        <f t="shared" si="0"/>
        <v>6</v>
      </c>
    </row>
    <row r="12" spans="2:10" ht="20.399999999999999" x14ac:dyDescent="0.3">
      <c r="B12" s="52"/>
      <c r="C12" s="53"/>
      <c r="D12" s="53">
        <f>D5</f>
        <v>20</v>
      </c>
      <c r="E12" s="63">
        <f>D4-I12-D12</f>
        <v>105</v>
      </c>
      <c r="F12" s="63"/>
      <c r="G12" s="63"/>
      <c r="H12" s="63"/>
      <c r="I12" s="55">
        <v>60</v>
      </c>
      <c r="J12" s="53"/>
    </row>
    <row r="13" spans="2:10" ht="20.399999999999999" x14ac:dyDescent="0.3">
      <c r="B13" s="52"/>
      <c r="C13" s="53"/>
      <c r="D13" s="53"/>
      <c r="E13" s="53"/>
      <c r="F13" s="53"/>
      <c r="G13" s="53"/>
      <c r="H13" s="53">
        <f>H5-I12</f>
        <v>35</v>
      </c>
      <c r="I13" s="53"/>
      <c r="J13" s="53"/>
    </row>
  </sheetData>
  <mergeCells count="7">
    <mergeCell ref="D4:I4"/>
    <mergeCell ref="H5:I5"/>
    <mergeCell ref="E9:H11"/>
    <mergeCell ref="H6:I8"/>
    <mergeCell ref="E12:H12"/>
    <mergeCell ref="B6:B11"/>
    <mergeCell ref="C9:C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37</v>
      </c>
    </row>
    <row r="3" spans="2:2" x14ac:dyDescent="0.4">
      <c r="B3" s="51" t="s">
        <v>39</v>
      </c>
    </row>
    <row r="4" spans="2:2" x14ac:dyDescent="0.4">
      <c r="B4" s="28" t="s">
        <v>38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2025-07-15T15:46:56Z</dcterms:modified>
</cp:coreProperties>
</file>