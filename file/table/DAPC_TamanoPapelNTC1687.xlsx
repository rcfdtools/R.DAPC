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.DAPC\file\table\"/>
    </mc:Choice>
  </mc:AlternateContent>
  <xr:revisionPtr revIDLastSave="0" documentId="13_ncr:1_{2ED6EE0A-CC28-4A8E-A628-0BCF69F37FBF}" xr6:coauthVersionLast="47" xr6:coauthVersionMax="47" xr10:uidLastSave="{00000000-0000-0000-0000-000000000000}"/>
  <bookViews>
    <workbookView xWindow="30612" yWindow="-108" windowWidth="30936" windowHeight="16776" activeTab="1" xr2:uid="{805D00DC-0F9A-4825-8987-91294E190814}"/>
  </bookViews>
  <sheets>
    <sheet name="NTC1687" sheetId="1" r:id="rId1"/>
    <sheet name="RotuloEjemplo" sheetId="2" r:id="rId2"/>
    <sheet name="Meta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" l="1"/>
  <c r="N8" i="1"/>
  <c r="N9" i="1"/>
  <c r="N10" i="1"/>
  <c r="N11" i="1"/>
  <c r="N6" i="1"/>
  <c r="M7" i="1"/>
  <c r="M8" i="1"/>
  <c r="M9" i="1"/>
  <c r="M10" i="1"/>
  <c r="M11" i="1"/>
  <c r="M6" i="1"/>
  <c r="E24" i="2"/>
  <c r="D24" i="2"/>
  <c r="J23" i="2"/>
  <c r="J22" i="2"/>
  <c r="J21" i="2"/>
  <c r="C21" i="2"/>
  <c r="C20" i="2"/>
  <c r="C19" i="2"/>
  <c r="H17" i="2"/>
  <c r="H25" i="2" s="1"/>
  <c r="J10" i="2" l="1"/>
  <c r="J11" i="2"/>
  <c r="J9" i="2"/>
  <c r="C8" i="2"/>
  <c r="C7" i="2"/>
  <c r="C9" i="2" s="1"/>
  <c r="D12" i="2"/>
  <c r="E12" i="2" s="1"/>
  <c r="H5" i="2"/>
  <c r="H13" i="2" s="1"/>
  <c r="L7" i="1"/>
  <c r="L8" i="1"/>
  <c r="L9" i="1"/>
  <c r="L10" i="1"/>
  <c r="L11" i="1"/>
  <c r="L6" i="1"/>
  <c r="K6" i="1"/>
  <c r="K7" i="1"/>
  <c r="K8" i="1"/>
  <c r="K9" i="1"/>
  <c r="K10" i="1"/>
  <c r="K11" i="1"/>
  <c r="D7" i="1" l="1"/>
  <c r="D8" i="1"/>
  <c r="D9" i="1"/>
  <c r="D10" i="1"/>
  <c r="D11" i="1"/>
  <c r="D6" i="1"/>
</calcChain>
</file>

<file path=xl/sharedStrings.xml><?xml version="1.0" encoding="utf-8"?>
<sst xmlns="http://schemas.openxmlformats.org/spreadsheetml/2006/main" count="64" uniqueCount="46">
  <si>
    <t xml:space="preserve">Tamaño de formato de impresión /  Norma técnica Colombiana  NTC-1687 </t>
  </si>
  <si>
    <t>Formato</t>
  </si>
  <si>
    <t>A0</t>
  </si>
  <si>
    <t>A1</t>
  </si>
  <si>
    <t>A2</t>
  </si>
  <si>
    <t>A3</t>
  </si>
  <si>
    <t>A4</t>
  </si>
  <si>
    <t>A5</t>
  </si>
  <si>
    <t>1/2</t>
  </si>
  <si>
    <t>1/4</t>
  </si>
  <si>
    <t>1/8</t>
  </si>
  <si>
    <t>1/16</t>
  </si>
  <si>
    <t>1/32</t>
  </si>
  <si>
    <t>Izq.</t>
  </si>
  <si>
    <t>Largo</t>
  </si>
  <si>
    <t>Alto</t>
  </si>
  <si>
    <t>Área norma (m²)</t>
  </si>
  <si>
    <t>Área real (m²)</t>
  </si>
  <si>
    <t>Dimensiones (mm)*</t>
  </si>
  <si>
    <t>La separación de elementos en vistas isométricas es de 25 mm.</t>
  </si>
  <si>
    <t>v.20250715</t>
  </si>
  <si>
    <t>Demás</t>
  </si>
  <si>
    <t>Fecha</t>
  </si>
  <si>
    <t>Revisó</t>
  </si>
  <si>
    <t>Dibujó</t>
  </si>
  <si>
    <t>Escala</t>
  </si>
  <si>
    <t xml:space="preserve">Número: </t>
  </si>
  <si>
    <t>Sustituye a:</t>
  </si>
  <si>
    <t>Sustituido por:</t>
  </si>
  <si>
    <t>(Nombre del plano)</t>
  </si>
  <si>
    <t>(Logotipo y razón social)</t>
  </si>
  <si>
    <t>**Puede variar dependiendo de la información requerida en el rótulo. En el curso DAPC utilizaremos 36 mm.</t>
  </si>
  <si>
    <t>*Tamaño para formato horizontal.</t>
  </si>
  <si>
    <t>Diseñador de rótulos básicos</t>
  </si>
  <si>
    <t>Firmas</t>
  </si>
  <si>
    <t>Nombres</t>
  </si>
  <si>
    <t>Metadata</t>
  </si>
  <si>
    <t>Pass: 1234</t>
  </si>
  <si>
    <t>https://tienda.icontec.org/gp-ntc-dibujo-tecnico-formato-y-plegado-de-planos-tecnicos-ntc1687-2023.html</t>
  </si>
  <si>
    <t>**Tamaño del recuadro de impresión en CAD.</t>
  </si>
  <si>
    <t>Rótulo (mm)**</t>
  </si>
  <si>
    <t>Rótulo papel A4 - Formato vertical</t>
  </si>
  <si>
    <t>Rótulo papel A4 - Formato horizontal</t>
  </si>
  <si>
    <t>MView horizontal CAD (mm) ***</t>
  </si>
  <si>
    <t>MView veritical CAD (mm) ***</t>
  </si>
  <si>
    <t>Márgenes y origen de dibujo CAD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</si>
</sst>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sz val="8"/>
      <name val="Aptos Narrow"/>
      <family val="2"/>
      <scheme val="minor"/>
    </font>
    <font>
      <sz val="8"/>
      <color theme="1"/>
      <name val="Segoe UI Light"/>
      <family val="2"/>
    </font>
    <font>
      <sz val="14"/>
      <color theme="1"/>
      <name val="Segoe UI Light"/>
      <family val="2"/>
    </font>
    <font>
      <sz val="20"/>
      <color theme="1"/>
      <name val="Segoe UI Light"/>
      <family val="2"/>
    </font>
    <font>
      <u/>
      <sz val="11"/>
      <color theme="10"/>
      <name val="Aptos Narrow"/>
      <family val="2"/>
      <scheme val="minor"/>
    </font>
    <font>
      <sz val="11"/>
      <color theme="10"/>
      <name val="Segoe UI Light"/>
      <family val="2"/>
    </font>
    <font>
      <sz val="14"/>
      <color rgb="FF0070C0"/>
      <name val="Segoe UI Light"/>
      <family val="2"/>
    </font>
    <font>
      <sz val="14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mediumGray">
        <fgColor theme="0" tint="-4.9989318521683403E-2"/>
        <bgColor indexed="65"/>
      </patternFill>
    </fill>
  </fills>
  <borders count="34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/>
      <top style="thin">
        <color indexed="64"/>
      </top>
      <bottom style="thin">
        <color theme="0" tint="-4.9989318521683403E-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indexed="64"/>
      </bottom>
      <diagonal/>
    </border>
    <border>
      <left/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 tint="-4.9989318521683403E-2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/>
    </xf>
    <xf numFmtId="0" fontId="1" fillId="2" borderId="16" xfId="0" applyFont="1" applyFill="1" applyBorder="1" applyAlignment="1">
      <alignment horizontal="center" vertical="top" wrapText="1"/>
    </xf>
    <xf numFmtId="49" fontId="1" fillId="0" borderId="16" xfId="0" applyNumberFormat="1" applyFont="1" applyBorder="1" applyAlignment="1">
      <alignment horizontal="center" vertical="top" wrapText="1"/>
    </xf>
    <xf numFmtId="49" fontId="1" fillId="0" borderId="17" xfId="0" applyNumberFormat="1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3" fillId="0" borderId="0" xfId="0" applyFont="1"/>
    <xf numFmtId="0" fontId="3" fillId="0" borderId="0" xfId="0" applyFont="1" applyAlignment="1">
      <alignment horizontal="right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20" fontId="4" fillId="2" borderId="31" xfId="0" applyNumberFormat="1" applyFont="1" applyFill="1" applyBorder="1" applyAlignment="1">
      <alignment horizontal="center" vertical="top"/>
    </xf>
    <xf numFmtId="0" fontId="7" fillId="0" borderId="0" xfId="1" applyFont="1"/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 applyProtection="1">
      <alignment horizontal="center" vertical="center"/>
      <protection locked="0"/>
    </xf>
    <xf numFmtId="0" fontId="9" fillId="3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0" xfId="0" applyFont="1" applyFill="1" applyBorder="1" applyAlignment="1">
      <alignment vertical="top"/>
    </xf>
    <xf numFmtId="0" fontId="4" fillId="2" borderId="32" xfId="0" applyFont="1" applyFill="1" applyBorder="1" applyAlignment="1">
      <alignment vertical="top"/>
    </xf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2" borderId="33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21" xfId="0" applyFont="1" applyFill="1" applyBorder="1" applyAlignment="1">
      <alignment horizontal="center" vertical="top"/>
    </xf>
    <xf numFmtId="0" fontId="1" fillId="2" borderId="33" xfId="0" applyFont="1" applyFill="1" applyBorder="1" applyAlignment="1">
      <alignment horizontal="center" vertical="top"/>
    </xf>
    <xf numFmtId="0" fontId="1" fillId="2" borderId="18" xfId="0" applyFont="1" applyFill="1" applyBorder="1" applyAlignment="1">
      <alignment horizontal="center" vertical="top" wrapText="1"/>
    </xf>
    <xf numFmtId="0" fontId="1" fillId="2" borderId="19" xfId="0" applyFont="1" applyFill="1" applyBorder="1" applyAlignment="1">
      <alignment horizontal="center" vertical="top" wrapText="1"/>
    </xf>
    <xf numFmtId="0" fontId="1" fillId="2" borderId="15" xfId="0" applyFont="1" applyFill="1" applyBorder="1" applyAlignment="1">
      <alignment horizontal="center" vertical="top" wrapText="1"/>
    </xf>
    <xf numFmtId="0" fontId="1" fillId="2" borderId="16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11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center" vertical="top" wrapText="1"/>
    </xf>
    <xf numFmtId="0" fontId="8" fillId="3" borderId="0" xfId="0" applyFont="1" applyFill="1" applyAlignment="1" applyProtection="1">
      <alignment horizontal="center" vertical="center"/>
      <protection locked="0"/>
    </xf>
    <xf numFmtId="0" fontId="4" fillId="3" borderId="2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149670</xdr:colOff>
      <xdr:row>0</xdr:row>
      <xdr:rowOff>166209</xdr:rowOff>
    </xdr:from>
    <xdr:ext cx="1003204" cy="240403"/>
    <xdr:pic>
      <xdr:nvPicPr>
        <xdr:cNvPr id="3" name="Graphic 2">
          <a:extLst>
            <a:ext uri="{FF2B5EF4-FFF2-40B4-BE49-F238E27FC236}">
              <a16:creationId xmlns:a16="http://schemas.microsoft.com/office/drawing/2014/main" id="{249D17A7-CFF7-4473-8FD0-BE9363697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965629" y="166209"/>
          <a:ext cx="1003204" cy="24040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3431181</xdr:colOff>
      <xdr:row>1</xdr:row>
      <xdr:rowOff>2</xdr:rowOff>
    </xdr:from>
    <xdr:to>
      <xdr:col>9</xdr:col>
      <xdr:colOff>266409</xdr:colOff>
      <xdr:row>2</xdr:row>
      <xdr:rowOff>24943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6DE396C5-F4DB-4F34-95B6-90D1144E6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613281" y="213362"/>
          <a:ext cx="1003368" cy="238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tienda.icontec.org/gp-ntc-dibujo-tecnico-formato-y-plegado-de-planos-tecnicos-ntc1687-202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67822-AC51-4E36-B21F-DB5ADDD5BD5E}">
  <dimension ref="B1:N15"/>
  <sheetViews>
    <sheetView showGridLines="0" zoomScale="175" zoomScaleNormal="175" workbookViewId="0">
      <selection activeCell="N10" sqref="M10:N10"/>
    </sheetView>
  </sheetViews>
  <sheetFormatPr defaultRowHeight="16.8" x14ac:dyDescent="0.3"/>
  <cols>
    <col min="1" max="1" width="2.77734375" style="2" customWidth="1"/>
    <col min="2" max="2" width="8.88671875" style="2"/>
    <col min="3" max="3" width="10.77734375" style="2" customWidth="1"/>
    <col min="4" max="4" width="10.5546875" style="2" customWidth="1"/>
    <col min="5" max="6" width="10" style="2" customWidth="1"/>
    <col min="7" max="8" width="10.21875" style="2" customWidth="1"/>
    <col min="9" max="10" width="6.88671875" style="2" customWidth="1"/>
    <col min="11" max="14" width="8.5546875" style="2" customWidth="1"/>
    <col min="15" max="16384" width="8.88671875" style="2"/>
  </cols>
  <sheetData>
    <row r="1" spans="2:14" x14ac:dyDescent="0.3">
      <c r="L1" s="21"/>
      <c r="N1" s="21" t="s">
        <v>20</v>
      </c>
    </row>
    <row r="2" spans="2:14" x14ac:dyDescent="0.3">
      <c r="L2" s="21"/>
      <c r="N2" s="21"/>
    </row>
    <row r="3" spans="2:14" x14ac:dyDescent="0.3">
      <c r="B3" s="2" t="s">
        <v>0</v>
      </c>
    </row>
    <row r="4" spans="2:14" ht="36" customHeight="1" x14ac:dyDescent="0.3">
      <c r="B4" s="51" t="s">
        <v>1</v>
      </c>
      <c r="C4" s="53" t="s">
        <v>16</v>
      </c>
      <c r="D4" s="56" t="s">
        <v>17</v>
      </c>
      <c r="E4" s="47" t="s">
        <v>18</v>
      </c>
      <c r="F4" s="55"/>
      <c r="G4" s="47" t="s">
        <v>45</v>
      </c>
      <c r="H4" s="48"/>
      <c r="I4" s="49" t="s">
        <v>40</v>
      </c>
      <c r="J4" s="50"/>
      <c r="K4" s="47" t="s">
        <v>43</v>
      </c>
      <c r="L4" s="48"/>
      <c r="M4" s="45" t="s">
        <v>44</v>
      </c>
      <c r="N4" s="46"/>
    </row>
    <row r="5" spans="2:14" x14ac:dyDescent="0.3">
      <c r="B5" s="52"/>
      <c r="C5" s="54"/>
      <c r="D5" s="57"/>
      <c r="E5" s="12" t="s">
        <v>14</v>
      </c>
      <c r="F5" s="8" t="s">
        <v>15</v>
      </c>
      <c r="G5" s="14" t="s">
        <v>13</v>
      </c>
      <c r="H5" s="7" t="s">
        <v>21</v>
      </c>
      <c r="I5" s="12" t="s">
        <v>14</v>
      </c>
      <c r="J5" s="9" t="s">
        <v>15</v>
      </c>
      <c r="K5" s="12" t="s">
        <v>14</v>
      </c>
      <c r="L5" s="7" t="s">
        <v>15</v>
      </c>
      <c r="M5" s="15" t="s">
        <v>14</v>
      </c>
      <c r="N5" s="8" t="s">
        <v>15</v>
      </c>
    </row>
    <row r="6" spans="2:14" x14ac:dyDescent="0.3">
      <c r="B6" s="18" t="s">
        <v>2</v>
      </c>
      <c r="C6" s="16">
        <v>1</v>
      </c>
      <c r="D6" s="10">
        <f>E6*F6/1000000</f>
        <v>0.99994899999999998</v>
      </c>
      <c r="E6" s="5">
        <v>1189</v>
      </c>
      <c r="F6" s="4">
        <v>841</v>
      </c>
      <c r="G6" s="22">
        <v>20</v>
      </c>
      <c r="H6" s="3">
        <v>10</v>
      </c>
      <c r="I6" s="22">
        <v>180</v>
      </c>
      <c r="J6" s="41">
        <v>35</v>
      </c>
      <c r="K6" s="22">
        <f t="shared" ref="K6:K11" si="0">E6-G6-H6</f>
        <v>1159</v>
      </c>
      <c r="L6" s="3">
        <f>F6-H6-H6</f>
        <v>821</v>
      </c>
      <c r="M6" s="43">
        <f>E6-H6-H6</f>
        <v>1169</v>
      </c>
      <c r="N6" s="23">
        <f>F6-G6-H6</f>
        <v>811</v>
      </c>
    </row>
    <row r="7" spans="2:14" x14ac:dyDescent="0.3">
      <c r="B7" s="18" t="s">
        <v>3</v>
      </c>
      <c r="C7" s="16" t="s">
        <v>8</v>
      </c>
      <c r="D7" s="10">
        <f t="shared" ref="D7:D11" si="1">E7*F7/1000000</f>
        <v>0.499554</v>
      </c>
      <c r="E7" s="5">
        <v>841</v>
      </c>
      <c r="F7" s="4">
        <v>594</v>
      </c>
      <c r="G7" s="22">
        <v>20</v>
      </c>
      <c r="H7" s="3">
        <v>10</v>
      </c>
      <c r="I7" s="22">
        <v>180</v>
      </c>
      <c r="J7" s="41">
        <v>35</v>
      </c>
      <c r="K7" s="22">
        <f t="shared" si="0"/>
        <v>811</v>
      </c>
      <c r="L7" s="3">
        <f t="shared" ref="L7:L11" si="2">F7-H7-H7</f>
        <v>574</v>
      </c>
      <c r="M7" s="43">
        <f t="shared" ref="M7:M11" si="3">E7-H7-H7</f>
        <v>821</v>
      </c>
      <c r="N7" s="23">
        <f t="shared" ref="N7:N11" si="4">F7-G7-H7</f>
        <v>564</v>
      </c>
    </row>
    <row r="8" spans="2:14" x14ac:dyDescent="0.3">
      <c r="B8" s="18" t="s">
        <v>4</v>
      </c>
      <c r="C8" s="16" t="s">
        <v>9</v>
      </c>
      <c r="D8" s="10">
        <f t="shared" si="1"/>
        <v>0.24948000000000001</v>
      </c>
      <c r="E8" s="5">
        <v>594</v>
      </c>
      <c r="F8" s="4">
        <v>420</v>
      </c>
      <c r="G8" s="22">
        <v>20</v>
      </c>
      <c r="H8" s="3">
        <v>10</v>
      </c>
      <c r="I8" s="22">
        <v>180</v>
      </c>
      <c r="J8" s="41">
        <v>35</v>
      </c>
      <c r="K8" s="22">
        <f t="shared" si="0"/>
        <v>564</v>
      </c>
      <c r="L8" s="3">
        <f t="shared" si="2"/>
        <v>400</v>
      </c>
      <c r="M8" s="43">
        <f t="shared" si="3"/>
        <v>574</v>
      </c>
      <c r="N8" s="23">
        <f t="shared" si="4"/>
        <v>390</v>
      </c>
    </row>
    <row r="9" spans="2:14" x14ac:dyDescent="0.3">
      <c r="B9" s="18" t="s">
        <v>5</v>
      </c>
      <c r="C9" s="16" t="s">
        <v>10</v>
      </c>
      <c r="D9" s="10">
        <f t="shared" si="1"/>
        <v>0.12474</v>
      </c>
      <c r="E9" s="5">
        <v>420</v>
      </c>
      <c r="F9" s="4">
        <v>297</v>
      </c>
      <c r="G9" s="22">
        <v>20</v>
      </c>
      <c r="H9" s="3">
        <v>5</v>
      </c>
      <c r="I9" s="22">
        <v>180</v>
      </c>
      <c r="J9" s="41">
        <v>35</v>
      </c>
      <c r="K9" s="22">
        <f t="shared" si="0"/>
        <v>395</v>
      </c>
      <c r="L9" s="3">
        <f t="shared" si="2"/>
        <v>287</v>
      </c>
      <c r="M9" s="43">
        <f t="shared" si="3"/>
        <v>410</v>
      </c>
      <c r="N9" s="23">
        <f t="shared" si="4"/>
        <v>272</v>
      </c>
    </row>
    <row r="10" spans="2:14" x14ac:dyDescent="0.3">
      <c r="B10" s="18" t="s">
        <v>6</v>
      </c>
      <c r="C10" s="16" t="s">
        <v>11</v>
      </c>
      <c r="D10" s="10">
        <f t="shared" si="1"/>
        <v>6.2370000000000002E-2</v>
      </c>
      <c r="E10" s="5">
        <v>297</v>
      </c>
      <c r="F10" s="4">
        <v>210</v>
      </c>
      <c r="G10" s="22">
        <v>20</v>
      </c>
      <c r="H10" s="3">
        <v>5</v>
      </c>
      <c r="I10" s="22">
        <v>180</v>
      </c>
      <c r="J10" s="41">
        <v>35</v>
      </c>
      <c r="K10" s="22">
        <f t="shared" si="0"/>
        <v>272</v>
      </c>
      <c r="L10" s="3">
        <f t="shared" si="2"/>
        <v>200</v>
      </c>
      <c r="M10" s="43">
        <f t="shared" si="3"/>
        <v>287</v>
      </c>
      <c r="N10" s="23">
        <f t="shared" si="4"/>
        <v>185</v>
      </c>
    </row>
    <row r="11" spans="2:14" x14ac:dyDescent="0.3">
      <c r="B11" s="19" t="s">
        <v>7</v>
      </c>
      <c r="C11" s="17" t="s">
        <v>12</v>
      </c>
      <c r="D11" s="11">
        <f t="shared" si="1"/>
        <v>3.108E-2</v>
      </c>
      <c r="E11" s="6">
        <v>210</v>
      </c>
      <c r="F11" s="13">
        <v>148</v>
      </c>
      <c r="G11" s="24">
        <v>20</v>
      </c>
      <c r="H11" s="25">
        <v>5</v>
      </c>
      <c r="I11" s="24">
        <v>180</v>
      </c>
      <c r="J11" s="42">
        <v>35</v>
      </c>
      <c r="K11" s="24">
        <f t="shared" si="0"/>
        <v>185</v>
      </c>
      <c r="L11" s="25">
        <f t="shared" si="2"/>
        <v>138</v>
      </c>
      <c r="M11" s="44">
        <f t="shared" si="3"/>
        <v>200</v>
      </c>
      <c r="N11" s="26">
        <f t="shared" si="4"/>
        <v>123</v>
      </c>
    </row>
    <row r="12" spans="2:14" x14ac:dyDescent="0.3">
      <c r="B12" s="27" t="s">
        <v>32</v>
      </c>
    </row>
    <row r="13" spans="2:14" x14ac:dyDescent="0.3">
      <c r="B13" s="27" t="s">
        <v>31</v>
      </c>
    </row>
    <row r="14" spans="2:14" x14ac:dyDescent="0.3">
      <c r="B14" s="27" t="s">
        <v>39</v>
      </c>
    </row>
    <row r="15" spans="2:14" x14ac:dyDescent="0.3">
      <c r="B15" s="27" t="s">
        <v>19</v>
      </c>
    </row>
  </sheetData>
  <mergeCells count="8">
    <mergeCell ref="M4:N4"/>
    <mergeCell ref="K4:L4"/>
    <mergeCell ref="G4:H4"/>
    <mergeCell ref="I4:J4"/>
    <mergeCell ref="B4:B5"/>
    <mergeCell ref="C4:C5"/>
    <mergeCell ref="E4:F4"/>
    <mergeCell ref="D4:D5"/>
  </mergeCells>
  <phoneticPr fontId="2" type="noConversion"/>
  <pageMargins left="0.7" right="0.7" top="0.75" bottom="0.75" header="0.3" footer="0.3"/>
  <ignoredErrors>
    <ignoredError sqref="L6:L11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124FB-3544-4512-BFA2-E5E9A28D1AEA}">
  <dimension ref="B1:J25"/>
  <sheetViews>
    <sheetView showGridLines="0" tabSelected="1" topLeftCell="A6" zoomScale="115" zoomScaleNormal="115" workbookViewId="0">
      <selection activeCell="I24" sqref="I24"/>
    </sheetView>
  </sheetViews>
  <sheetFormatPr defaultRowHeight="16.8" x14ac:dyDescent="0.3"/>
  <cols>
    <col min="1" max="1" width="2.77734375" style="28" customWidth="1"/>
    <col min="2" max="2" width="4.44140625" style="28" customWidth="1"/>
    <col min="3" max="3" width="4.44140625" style="30" customWidth="1"/>
    <col min="4" max="4" width="20.77734375" style="30" customWidth="1"/>
    <col min="5" max="5" width="18.77734375" style="30" customWidth="1"/>
    <col min="6" max="6" width="22.77734375" style="30" customWidth="1"/>
    <col min="7" max="8" width="30.77734375" style="30" customWidth="1"/>
    <col min="9" max="9" width="60.77734375" style="30" customWidth="1"/>
    <col min="10" max="10" width="4.5546875" style="30" customWidth="1"/>
    <col min="11" max="16384" width="8.88671875" style="28"/>
  </cols>
  <sheetData>
    <row r="1" spans="2:10" x14ac:dyDescent="0.3">
      <c r="J1" s="21" t="s">
        <v>20</v>
      </c>
    </row>
    <row r="2" spans="2:10" customFormat="1" x14ac:dyDescent="0.3">
      <c r="B2" s="29" t="s">
        <v>33</v>
      </c>
    </row>
    <row r="3" spans="2:10" x14ac:dyDescent="0.3">
      <c r="B3" s="29" t="s">
        <v>41</v>
      </c>
      <c r="I3" s="21"/>
    </row>
    <row r="4" spans="2:10" ht="20.399999999999999" x14ac:dyDescent="0.3">
      <c r="B4" s="33"/>
      <c r="C4" s="34"/>
      <c r="D4" s="58">
        <v>185</v>
      </c>
      <c r="E4" s="58"/>
      <c r="F4" s="58"/>
      <c r="G4" s="58"/>
      <c r="H4" s="58"/>
      <c r="I4" s="58"/>
      <c r="J4" s="34"/>
    </row>
    <row r="5" spans="2:10" ht="20.399999999999999" x14ac:dyDescent="0.3">
      <c r="B5" s="33"/>
      <c r="C5" s="34"/>
      <c r="D5" s="35">
        <v>20</v>
      </c>
      <c r="E5" s="35">
        <v>18</v>
      </c>
      <c r="F5" s="35">
        <v>22</v>
      </c>
      <c r="G5" s="35">
        <v>30</v>
      </c>
      <c r="H5" s="60">
        <f>D4-SUM(D5:G5)</f>
        <v>95</v>
      </c>
      <c r="I5" s="60"/>
      <c r="J5" s="34"/>
    </row>
    <row r="6" spans="2:10" ht="30" customHeight="1" x14ac:dyDescent="0.3">
      <c r="B6" s="58">
        <v>36</v>
      </c>
      <c r="C6" s="35">
        <v>6</v>
      </c>
      <c r="D6" s="37"/>
      <c r="E6" s="37" t="s">
        <v>22</v>
      </c>
      <c r="F6" s="37" t="s">
        <v>35</v>
      </c>
      <c r="G6" s="37" t="s">
        <v>34</v>
      </c>
      <c r="H6" s="61" t="s">
        <v>30</v>
      </c>
      <c r="I6" s="63"/>
      <c r="J6" s="34"/>
    </row>
    <row r="7" spans="2:10" ht="30" customHeight="1" x14ac:dyDescent="0.3">
      <c r="B7" s="58"/>
      <c r="C7" s="36">
        <f>C6</f>
        <v>6</v>
      </c>
      <c r="D7" s="38" t="s">
        <v>24</v>
      </c>
      <c r="E7" s="37"/>
      <c r="F7" s="37"/>
      <c r="G7" s="37"/>
      <c r="H7" s="64"/>
      <c r="I7" s="66"/>
      <c r="J7" s="34"/>
    </row>
    <row r="8" spans="2:10" ht="30" customHeight="1" x14ac:dyDescent="0.3">
      <c r="B8" s="58"/>
      <c r="C8" s="36">
        <f>C6</f>
        <v>6</v>
      </c>
      <c r="D8" s="38" t="s">
        <v>23</v>
      </c>
      <c r="E8" s="37"/>
      <c r="F8" s="37"/>
      <c r="G8" s="37"/>
      <c r="H8" s="67"/>
      <c r="I8" s="69"/>
      <c r="J8" s="34"/>
    </row>
    <row r="9" spans="2:10" ht="30" customHeight="1" x14ac:dyDescent="0.3">
      <c r="B9" s="58"/>
      <c r="C9" s="59">
        <f>B6-SUM(C6:C8)</f>
        <v>18</v>
      </c>
      <c r="D9" s="39" t="s">
        <v>25</v>
      </c>
      <c r="E9" s="61" t="s">
        <v>29</v>
      </c>
      <c r="F9" s="62"/>
      <c r="G9" s="62"/>
      <c r="H9" s="63"/>
      <c r="I9" s="38" t="s">
        <v>26</v>
      </c>
      <c r="J9" s="34">
        <f>$C$6</f>
        <v>6</v>
      </c>
    </row>
    <row r="10" spans="2:10" ht="30" customHeight="1" x14ac:dyDescent="0.3">
      <c r="B10" s="58"/>
      <c r="C10" s="59"/>
      <c r="D10" s="31"/>
      <c r="E10" s="64"/>
      <c r="F10" s="65"/>
      <c r="G10" s="65"/>
      <c r="H10" s="66"/>
      <c r="I10" s="38" t="s">
        <v>27</v>
      </c>
      <c r="J10" s="34">
        <f t="shared" ref="J10:J11" si="0">$C$6</f>
        <v>6</v>
      </c>
    </row>
    <row r="11" spans="2:10" ht="30" customHeight="1" x14ac:dyDescent="0.3">
      <c r="B11" s="58"/>
      <c r="C11" s="59"/>
      <c r="D11" s="40"/>
      <c r="E11" s="67"/>
      <c r="F11" s="68"/>
      <c r="G11" s="68"/>
      <c r="H11" s="69"/>
      <c r="I11" s="38" t="s">
        <v>28</v>
      </c>
      <c r="J11" s="34">
        <f t="shared" si="0"/>
        <v>6</v>
      </c>
    </row>
    <row r="12" spans="2:10" ht="20.399999999999999" x14ac:dyDescent="0.3">
      <c r="B12" s="33"/>
      <c r="C12" s="34"/>
      <c r="D12" s="34">
        <f>D5</f>
        <v>20</v>
      </c>
      <c r="E12" s="70">
        <f>D4-I12-D12</f>
        <v>105</v>
      </c>
      <c r="F12" s="70"/>
      <c r="G12" s="70"/>
      <c r="H12" s="70"/>
      <c r="I12" s="35">
        <v>60</v>
      </c>
      <c r="J12" s="34"/>
    </row>
    <row r="13" spans="2:10" ht="20.399999999999999" x14ac:dyDescent="0.3">
      <c r="B13" s="33"/>
      <c r="C13" s="34"/>
      <c r="D13" s="34"/>
      <c r="E13" s="34"/>
      <c r="F13" s="34"/>
      <c r="G13" s="34"/>
      <c r="H13" s="34">
        <f>H5-I12</f>
        <v>35</v>
      </c>
      <c r="I13" s="34"/>
      <c r="J13" s="34"/>
    </row>
    <row r="15" spans="2:10" x14ac:dyDescent="0.3">
      <c r="B15" s="29" t="s">
        <v>42</v>
      </c>
      <c r="I15" s="21"/>
    </row>
    <row r="16" spans="2:10" ht="20.399999999999999" x14ac:dyDescent="0.3">
      <c r="B16" s="33"/>
      <c r="C16" s="34"/>
      <c r="D16" s="58">
        <v>200</v>
      </c>
      <c r="E16" s="58"/>
      <c r="F16" s="58"/>
      <c r="G16" s="58"/>
      <c r="H16" s="58"/>
      <c r="I16" s="58"/>
      <c r="J16" s="34"/>
    </row>
    <row r="17" spans="2:10" ht="20.399999999999999" x14ac:dyDescent="0.3">
      <c r="B17" s="33"/>
      <c r="C17" s="34"/>
      <c r="D17" s="35">
        <v>20</v>
      </c>
      <c r="E17" s="35">
        <v>18</v>
      </c>
      <c r="F17" s="35">
        <v>22</v>
      </c>
      <c r="G17" s="35">
        <v>30</v>
      </c>
      <c r="H17" s="60">
        <f>D16-SUM(D17:G17)</f>
        <v>110</v>
      </c>
      <c r="I17" s="60"/>
      <c r="J17" s="34"/>
    </row>
    <row r="18" spans="2:10" ht="20.399999999999999" x14ac:dyDescent="0.3">
      <c r="B18" s="58">
        <v>36</v>
      </c>
      <c r="C18" s="35">
        <v>6</v>
      </c>
      <c r="D18" s="37"/>
      <c r="E18" s="37" t="s">
        <v>22</v>
      </c>
      <c r="F18" s="37" t="s">
        <v>35</v>
      </c>
      <c r="G18" s="37" t="s">
        <v>34</v>
      </c>
      <c r="H18" s="61" t="s">
        <v>30</v>
      </c>
      <c r="I18" s="63"/>
      <c r="J18" s="34"/>
    </row>
    <row r="19" spans="2:10" ht="20.399999999999999" x14ac:dyDescent="0.3">
      <c r="B19" s="58"/>
      <c r="C19" s="36">
        <f>C18</f>
        <v>6</v>
      </c>
      <c r="D19" s="38" t="s">
        <v>24</v>
      </c>
      <c r="E19" s="37"/>
      <c r="F19" s="37"/>
      <c r="G19" s="37"/>
      <c r="H19" s="64"/>
      <c r="I19" s="66"/>
      <c r="J19" s="34"/>
    </row>
    <row r="20" spans="2:10" ht="20.399999999999999" x14ac:dyDescent="0.3">
      <c r="B20" s="58"/>
      <c r="C20" s="36">
        <f>C18</f>
        <v>6</v>
      </c>
      <c r="D20" s="38" t="s">
        <v>23</v>
      </c>
      <c r="E20" s="37"/>
      <c r="F20" s="37"/>
      <c r="G20" s="37"/>
      <c r="H20" s="67"/>
      <c r="I20" s="69"/>
      <c r="J20" s="34"/>
    </row>
    <row r="21" spans="2:10" ht="20.399999999999999" x14ac:dyDescent="0.3">
      <c r="B21" s="58"/>
      <c r="C21" s="59">
        <f>B18-SUM(C18:C20)</f>
        <v>18</v>
      </c>
      <c r="D21" s="39" t="s">
        <v>25</v>
      </c>
      <c r="E21" s="61" t="s">
        <v>29</v>
      </c>
      <c r="F21" s="62"/>
      <c r="G21" s="62"/>
      <c r="H21" s="63"/>
      <c r="I21" s="38" t="s">
        <v>26</v>
      </c>
      <c r="J21" s="34">
        <f>$C$6</f>
        <v>6</v>
      </c>
    </row>
    <row r="22" spans="2:10" ht="20.399999999999999" x14ac:dyDescent="0.3">
      <c r="B22" s="58"/>
      <c r="C22" s="59"/>
      <c r="D22" s="31"/>
      <c r="E22" s="64"/>
      <c r="F22" s="65"/>
      <c r="G22" s="65"/>
      <c r="H22" s="66"/>
      <c r="I22" s="38" t="s">
        <v>27</v>
      </c>
      <c r="J22" s="34">
        <f t="shared" ref="J22:J23" si="1">$C$6</f>
        <v>6</v>
      </c>
    </row>
    <row r="23" spans="2:10" ht="20.399999999999999" x14ac:dyDescent="0.3">
      <c r="B23" s="58"/>
      <c r="C23" s="59"/>
      <c r="D23" s="40"/>
      <c r="E23" s="67"/>
      <c r="F23" s="68"/>
      <c r="G23" s="68"/>
      <c r="H23" s="69"/>
      <c r="I23" s="38" t="s">
        <v>28</v>
      </c>
      <c r="J23" s="34">
        <f t="shared" si="1"/>
        <v>6</v>
      </c>
    </row>
    <row r="24" spans="2:10" ht="20.399999999999999" x14ac:dyDescent="0.3">
      <c r="B24" s="33"/>
      <c r="C24" s="34"/>
      <c r="D24" s="34">
        <f>D17</f>
        <v>20</v>
      </c>
      <c r="E24" s="70">
        <f>D16-I24-D24</f>
        <v>120</v>
      </c>
      <c r="F24" s="70"/>
      <c r="G24" s="70"/>
      <c r="H24" s="70"/>
      <c r="I24" s="35">
        <v>60</v>
      </c>
      <c r="J24" s="34"/>
    </row>
    <row r="25" spans="2:10" ht="20.399999999999999" x14ac:dyDescent="0.3">
      <c r="B25" s="33"/>
      <c r="C25" s="34"/>
      <c r="D25" s="34"/>
      <c r="E25" s="34"/>
      <c r="F25" s="34"/>
      <c r="G25" s="34"/>
      <c r="H25" s="34">
        <f>H17-I24</f>
        <v>50</v>
      </c>
      <c r="I25" s="34"/>
      <c r="J25" s="34"/>
    </row>
  </sheetData>
  <mergeCells count="14">
    <mergeCell ref="E12:H12"/>
    <mergeCell ref="E24:H24"/>
    <mergeCell ref="D16:I16"/>
    <mergeCell ref="H17:I17"/>
    <mergeCell ref="B18:B23"/>
    <mergeCell ref="H18:I20"/>
    <mergeCell ref="C21:C23"/>
    <mergeCell ref="E21:H23"/>
    <mergeCell ref="B6:B11"/>
    <mergeCell ref="C9:C11"/>
    <mergeCell ref="D4:I4"/>
    <mergeCell ref="H5:I5"/>
    <mergeCell ref="E9:H11"/>
    <mergeCell ref="H6:I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14E67-A0A1-4C92-B2B4-BDC57107FBC4}">
  <dimension ref="B2:B4"/>
  <sheetViews>
    <sheetView showGridLines="0" zoomScale="130" zoomScaleNormal="130" workbookViewId="0">
      <selection activeCell="C1" sqref="C1:C1048576"/>
    </sheetView>
  </sheetViews>
  <sheetFormatPr defaultRowHeight="16.8" x14ac:dyDescent="0.4"/>
  <cols>
    <col min="1" max="1" width="2.77734375" style="1" customWidth="1"/>
    <col min="2" max="2" width="96.21875" style="1" customWidth="1"/>
    <col min="3" max="16384" width="8.88671875" style="1"/>
  </cols>
  <sheetData>
    <row r="2" spans="2:2" x14ac:dyDescent="0.4">
      <c r="B2" s="1" t="s">
        <v>36</v>
      </c>
    </row>
    <row r="3" spans="2:2" x14ac:dyDescent="0.4">
      <c r="B3" s="32" t="s">
        <v>38</v>
      </c>
    </row>
    <row r="4" spans="2:2" x14ac:dyDescent="0.4">
      <c r="B4" s="20" t="s">
        <v>37</v>
      </c>
    </row>
  </sheetData>
  <sheetProtection algorithmName="SHA-512" hashValue="MOachpKIdLNSPZMF2knqBvwnUvJUvIjeHBQYeXVVW4obzl8koxOdt6WGzmVHfEflMIqg+V/8f7HvbUqUmV2kVA==" saltValue="WiwUGESiOrpJqslQCZO6hw==" spinCount="100000" sheet="1" objects="1" scenarios="1"/>
  <hyperlinks>
    <hyperlink ref="B3" r:id="rId1" xr:uid="{E73248BA-553C-4D71-B44A-ABEE1C9D18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NTC1687</vt:lpstr>
      <vt:lpstr>RotuloEjemplo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2025-07-15T14:17:35Z</dcterms:created>
  <dcterms:modified xsi:type="dcterms:W3CDTF">2025-09-22T16:09:28Z</dcterms:modified>
</cp:coreProperties>
</file>