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08"/>
  <workbookPr defaultThemeVersion="202300"/>
  <mc:AlternateContent xmlns:mc="http://schemas.openxmlformats.org/markup-compatibility/2006">
    <mc:Choice Requires="x15">
      <x15ac:absPath xmlns:x15ac="http://schemas.microsoft.com/office/spreadsheetml/2010/11/ac" url="C:\R.DAPC\file\table\"/>
    </mc:Choice>
  </mc:AlternateContent>
  <xr:revisionPtr revIDLastSave="0" documentId="13_ncr:1_{ACBC548D-6B71-493C-B64F-F9D6EC8B57EF}" xr6:coauthVersionLast="47" xr6:coauthVersionMax="47" xr10:uidLastSave="{00000000-0000-0000-0000-000000000000}"/>
  <bookViews>
    <workbookView xWindow="-108" yWindow="-108" windowWidth="23256" windowHeight="12456" activeTab="1" xr2:uid="{899F30DF-20EB-4CFF-A721-49C06D4D1E88}"/>
  </bookViews>
  <sheets>
    <sheet name="Solid" sheetId="1" r:id="rId1"/>
    <sheet name="Setup" sheetId="2" r:id="rId2"/>
    <sheet name="Metadata" sheetId="3" r:id="rId3"/>
  </sheets>
  <definedNames>
    <definedName name="Gravity">Solid!#REF!</definedName>
    <definedName name="Units">Solid!$F$4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1" i="2" l="1"/>
  <c r="E71" i="2"/>
  <c r="D71" i="2"/>
  <c r="F7" i="1"/>
  <c r="E68" i="2"/>
  <c r="E15" i="1"/>
  <c r="C14" i="1"/>
  <c r="E48" i="1"/>
  <c r="F48" i="1"/>
  <c r="E44" i="1"/>
  <c r="E79" i="1"/>
  <c r="E77" i="1"/>
  <c r="D14" i="1" s="1"/>
  <c r="E7" i="1"/>
  <c r="F79" i="1"/>
  <c r="F77" i="1"/>
  <c r="F76" i="1"/>
  <c r="F75" i="1"/>
  <c r="C13" i="1"/>
  <c r="E66" i="1"/>
  <c r="D13" i="1" s="1"/>
  <c r="E68" i="1"/>
  <c r="F64" i="1"/>
  <c r="F68" i="1"/>
  <c r="F66" i="1"/>
  <c r="F65" i="1"/>
  <c r="F63" i="1"/>
  <c r="C12" i="1"/>
  <c r="C11" i="1"/>
  <c r="C10" i="1"/>
  <c r="F8" i="1"/>
  <c r="C9" i="1"/>
  <c r="E56" i="1"/>
  <c r="E54" i="1"/>
  <c r="D12" i="1" s="1"/>
  <c r="F56" i="1"/>
  <c r="F54" i="1"/>
  <c r="F53" i="1"/>
  <c r="F52" i="1"/>
  <c r="E42" i="1"/>
  <c r="D11" i="1" s="1"/>
  <c r="F44" i="1"/>
  <c r="F42" i="1"/>
  <c r="F41" i="1"/>
  <c r="F40" i="1"/>
  <c r="E33" i="1"/>
  <c r="E31" i="1"/>
  <c r="D10" i="1" s="1"/>
  <c r="F30" i="1"/>
  <c r="F29" i="1"/>
  <c r="F33" i="1"/>
  <c r="F31" i="1"/>
  <c r="F28" i="1"/>
  <c r="F5" i="1"/>
  <c r="D16" i="1" s="1"/>
  <c r="E5" i="1"/>
  <c r="F62" i="2"/>
  <c r="E62" i="2"/>
  <c r="D62" i="2"/>
  <c r="F57" i="2"/>
  <c r="E57" i="2"/>
  <c r="D57" i="2"/>
  <c r="F6" i="2"/>
  <c r="E6" i="2"/>
  <c r="D6" i="2"/>
  <c r="F21" i="1"/>
  <c r="E8" i="1" s="1"/>
  <c r="E21" i="1"/>
  <c r="F19" i="1"/>
  <c r="D8" i="1" s="1"/>
  <c r="F18" i="1"/>
  <c r="E19" i="1"/>
  <c r="D9" i="1" s="1"/>
  <c r="E16" i="1" l="1"/>
  <c r="E45" i="1"/>
  <c r="E34" i="1"/>
  <c r="E57" i="1"/>
  <c r="E69" i="1"/>
  <c r="E80" i="1"/>
  <c r="E22" i="1"/>
  <c r="D15" i="1"/>
  <c r="E14" i="1"/>
  <c r="E78" i="1"/>
  <c r="E12" i="1"/>
  <c r="E13" i="1"/>
  <c r="E10" i="1"/>
  <c r="E11" i="1"/>
  <c r="E67" i="1"/>
  <c r="E70" i="1" s="1"/>
  <c r="E71" i="1" s="1"/>
  <c r="F13" i="1" s="1"/>
  <c r="E9" i="1"/>
  <c r="E55" i="1"/>
  <c r="E58" i="1" s="1"/>
  <c r="E59" i="1" s="1"/>
  <c r="F12" i="1" s="1"/>
  <c r="E43" i="1"/>
  <c r="E46" i="1" s="1"/>
  <c r="E47" i="1" s="1"/>
  <c r="F11" i="1" s="1"/>
  <c r="E20" i="1"/>
  <c r="E23" i="1" s="1"/>
  <c r="E24" i="1" s="1"/>
  <c r="F9" i="1" s="1"/>
  <c r="E32" i="1"/>
  <c r="E35" i="1" s="1"/>
  <c r="E36" i="1" s="1"/>
  <c r="F10" i="1" s="1"/>
  <c r="E81" i="1" l="1"/>
  <c r="E82" i="1" s="1"/>
  <c r="F14" i="1" s="1"/>
  <c r="F15" i="1" s="1"/>
  <c r="F1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author>
  </authors>
  <commentList>
    <comment ref="E3" authorId="0" shapeId="0" xr:uid="{30E518DC-60FC-4F0D-A0E1-7D68C9C78A4F}">
      <text>
        <r>
          <rPr>
            <sz val="9"/>
            <color indexed="81"/>
            <rFont val="Segoe UI Light"/>
            <family val="2"/>
          </rPr>
          <t xml:space="preserve">Conversion from kg/m³ to kN/m³: To express the density of titanium in kN/m³, the mass (kg) needs to be converted to force (N) by multiplying it by the acceleration due to gravity. Then, divide by 1000 to get kilonewtons.
Force (N) = mass (kg) × acceleration due to gravity (m/s²)
Force (N) = 4506 kg/m³ × 9.81 m/s² = 44203.86 N/m³
Force (kN) = Force (N) / 1000 = 44203.86 N/m³ / 1000 = 44.20 kN/m³ </t>
        </r>
      </text>
    </comment>
    <comment ref="D6" authorId="0" shapeId="0" xr:uid="{50DE48DC-80FD-4F82-91CB-C8AF1510ADAE}">
      <text>
        <r>
          <rPr>
            <sz val="9"/>
            <color indexed="81"/>
            <rFont val="Tahoma"/>
            <family val="2"/>
          </rPr>
          <t>1019 to 1427</t>
        </r>
      </text>
    </comment>
    <comment ref="E6" authorId="0" shapeId="0" xr:uid="{57D76633-C66E-425F-8069-DDBB843898E3}">
      <text>
        <r>
          <rPr>
            <sz val="9"/>
            <color indexed="81"/>
            <rFont val="Tahoma"/>
            <family val="2"/>
          </rPr>
          <t>10 to 14</t>
        </r>
      </text>
    </comment>
    <comment ref="F6" authorId="0" shapeId="0" xr:uid="{EF0970E1-5C59-419F-8A41-F471500C52F6}">
      <text>
        <r>
          <rPr>
            <sz val="9"/>
            <color indexed="81"/>
            <rFont val="Tahoma"/>
            <family val="2"/>
          </rPr>
          <t>64 to 89</t>
        </r>
      </text>
    </comment>
    <comment ref="D57" authorId="0" shapeId="0" xr:uid="{88FE0A2A-86C7-45FC-B86F-22FE317F6E41}">
      <text>
        <r>
          <rPr>
            <sz val="9"/>
            <color indexed="81"/>
            <rFont val="Tahoma"/>
            <family val="2"/>
          </rPr>
          <t>978 to 1142</t>
        </r>
      </text>
    </comment>
    <comment ref="E57" authorId="0" shapeId="0" xr:uid="{12273B3A-F19C-402B-88E7-FBBE13DEC9C1}">
      <text>
        <r>
          <rPr>
            <sz val="9"/>
            <color indexed="81"/>
            <rFont val="Tahoma"/>
            <family val="2"/>
          </rPr>
          <t>9.6 to 11.2</t>
        </r>
      </text>
    </comment>
    <comment ref="F57" authorId="0" shapeId="0" xr:uid="{302BBA68-4659-43C0-8B05-66B447D8B39C}">
      <text>
        <r>
          <rPr>
            <sz val="9"/>
            <color indexed="81"/>
            <rFont val="Tahoma"/>
            <family val="2"/>
          </rPr>
          <t>61 to 71</t>
        </r>
      </text>
    </comment>
    <comment ref="D62" authorId="0" shapeId="0" xr:uid="{7C796D7F-8FF9-4CF8-B1E3-5D8428600D93}">
      <text>
        <r>
          <rPr>
            <sz val="9"/>
            <color indexed="81"/>
            <rFont val="Tahoma"/>
            <family val="2"/>
          </rPr>
          <t>305 to 407</t>
        </r>
      </text>
    </comment>
    <comment ref="E62" authorId="0" shapeId="0" xr:uid="{DA4A0973-231F-4A3A-95A6-8D9673053D79}">
      <text>
        <r>
          <rPr>
            <sz val="9"/>
            <color indexed="81"/>
            <rFont val="Tahoma"/>
            <family val="2"/>
          </rPr>
          <t>3 to 4</t>
        </r>
      </text>
    </comment>
    <comment ref="F62" authorId="0" shapeId="0" xr:uid="{C65F2449-0C53-4E85-BF57-DDA579106D7C}">
      <text>
        <r>
          <rPr>
            <sz val="9"/>
            <color indexed="81"/>
            <rFont val="Tahoma"/>
            <family val="2"/>
          </rPr>
          <t>19 to 25</t>
        </r>
      </text>
    </comment>
  </commentList>
</comments>
</file>

<file path=xl/sharedStrings.xml><?xml version="1.0" encoding="utf-8"?>
<sst xmlns="http://schemas.openxmlformats.org/spreadsheetml/2006/main" count="299" uniqueCount="203">
  <si>
    <t>mm</t>
  </si>
  <si>
    <t>Units</t>
  </si>
  <si>
    <t>Material</t>
  </si>
  <si>
    <t>https://sheerforceeng.com/2021/12/26/density-of-construction-materials-and-construction-elements/</t>
  </si>
  <si>
    <t>Metadata</t>
  </si>
  <si>
    <t>Construction  material density</t>
  </si>
  <si>
    <t>Aluminium</t>
  </si>
  <si>
    <t>Asphalt</t>
  </si>
  <si>
    <t>Bitumen</t>
  </si>
  <si>
    <t>Brass</t>
  </si>
  <si>
    <t>Cobalt</t>
  </si>
  <si>
    <t>Chalk</t>
  </si>
  <si>
    <t>Clay Soil</t>
  </si>
  <si>
    <t>Concrete (normal weight)</t>
  </si>
  <si>
    <t>Copper</t>
  </si>
  <si>
    <t>Cork (normal)</t>
  </si>
  <si>
    <t>Cork (compressed)</t>
  </si>
  <si>
    <t>Fibre Cement Sheet (uncompressed)</t>
  </si>
  <si>
    <t>Fibre Cement Sheet (compressed)</t>
  </si>
  <si>
    <t>Fibre Cement Sheet (Fire-resistant lining sheet)</t>
  </si>
  <si>
    <t>Fibre Cement Sheet (Insulating sheet)</t>
  </si>
  <si>
    <t>Glass – Window (soda-lime)</t>
  </si>
  <si>
    <t>Gravel Soil</t>
  </si>
  <si>
    <t>Granite, basalt, trachyte</t>
  </si>
  <si>
    <t>Iron, cast</t>
  </si>
  <si>
    <t>Lead </t>
  </si>
  <si>
    <t>Limestone (dense)</t>
  </si>
  <si>
    <t>Limestone (Mt. Gambier)</t>
  </si>
  <si>
    <t>Magnesium</t>
  </si>
  <si>
    <t>Marble</t>
  </si>
  <si>
    <t>Nickel</t>
  </si>
  <si>
    <t>Paper (copy paper) boxed</t>
  </si>
  <si>
    <t>Sand (dense and wet)</t>
  </si>
  <si>
    <t>Sandstone</t>
  </si>
  <si>
    <t>Sandy Soil</t>
  </si>
  <si>
    <t>Shale</t>
  </si>
  <si>
    <t>Silt</t>
  </si>
  <si>
    <t>Steel</t>
  </si>
  <si>
    <t>Timber (Radiata Pine, Australia)</t>
  </si>
  <si>
    <t>Timber (Radiata Pine, New Zealand)</t>
  </si>
  <si>
    <t>Timber (Cypress, Australia)</t>
  </si>
  <si>
    <t>Timber (Douglas Fir)</t>
  </si>
  <si>
    <t>Timber (Hoop)</t>
  </si>
  <si>
    <t>Timber (Blackbutt)</t>
  </si>
  <si>
    <t>Timber (Grey Gum)</t>
  </si>
  <si>
    <t>Timber (Grey Ironbark)</t>
  </si>
  <si>
    <t>Timber (Jarrah)</t>
  </si>
  <si>
    <t>Timber (Spotted Gum)</t>
  </si>
  <si>
    <t>Timber (Tallow wood)</t>
  </si>
  <si>
    <t>Timber (Turpentine)</t>
  </si>
  <si>
    <t>Timber (White Mahogany)</t>
  </si>
  <si>
    <t>Timber (Vic Ash)</t>
  </si>
  <si>
    <t>Timber (Teak)</t>
  </si>
  <si>
    <t>Timber (Oak)</t>
  </si>
  <si>
    <t>Timber (Maple)</t>
  </si>
  <si>
    <t>Timber (Larch)</t>
  </si>
  <si>
    <t>Timber (Elm)</t>
  </si>
  <si>
    <t>Timber (Ebony)</t>
  </si>
  <si>
    <t>Timber (Birch)</t>
  </si>
  <si>
    <t>Timber (Ash, White)</t>
  </si>
  <si>
    <t>Timber (Ash, Black)</t>
  </si>
  <si>
    <t>Timber (Balsa)</t>
  </si>
  <si>
    <t>Timber (Bamboo)</t>
  </si>
  <si>
    <t>Timber (Cedar)</t>
  </si>
  <si>
    <t>Timber (Aspen)</t>
  </si>
  <si>
    <t>Timber (American Red Wood)</t>
  </si>
  <si>
    <t>Timber (European Red Wood)</t>
  </si>
  <si>
    <t>Tin</t>
  </si>
  <si>
    <t>Water</t>
  </si>
  <si>
    <t>Zinc</t>
  </si>
  <si>
    <t>Sphere</t>
  </si>
  <si>
    <t>r, radius</t>
  </si>
  <si>
    <t>m, mass</t>
  </si>
  <si>
    <t>https://buildingclub.info/calculator/weight-converter-kg-m3-to-kn-m3-and-kn-m3-to-kg-m3/</t>
  </si>
  <si>
    <t>Unit</t>
  </si>
  <si>
    <t>m</t>
  </si>
  <si>
    <t>mm, milimeters</t>
  </si>
  <si>
    <t>m, meters</t>
  </si>
  <si>
    <t>ft, feet</t>
  </si>
  <si>
    <t>cm, centimeters</t>
  </si>
  <si>
    <t>n/a</t>
  </si>
  <si>
    <t>Conversion to meters</t>
  </si>
  <si>
    <t>Text</t>
  </si>
  <si>
    <t>cm</t>
  </si>
  <si>
    <t>ft</t>
  </si>
  <si>
    <t>doesn't apply</t>
  </si>
  <si>
    <t>kg</t>
  </si>
  <si>
    <t>gr</t>
  </si>
  <si>
    <t>m³</t>
  </si>
  <si>
    <t>Formula</t>
  </si>
  <si>
    <t>Value</t>
  </si>
  <si>
    <t>Parameter</t>
  </si>
  <si>
    <t>Box</t>
  </si>
  <si>
    <t>m²</t>
  </si>
  <si>
    <t>Solid geometry and mass calculations</t>
  </si>
  <si>
    <t>Cone</t>
  </si>
  <si>
    <t>l, length</t>
  </si>
  <si>
    <t>w, width</t>
  </si>
  <si>
    <t>h, height</t>
  </si>
  <si>
    <t>Cylinder</t>
  </si>
  <si>
    <t>Resume calculations</t>
  </si>
  <si>
    <t>Pyramid (rectangular)</t>
  </si>
  <si>
    <t>Torus (donut)</t>
  </si>
  <si>
    <t>V=(π²r)(2πR)</t>
  </si>
  <si>
    <t>V, volume</t>
  </si>
  <si>
    <t>A, surface area</t>
  </si>
  <si>
    <t>D, density (kg/m³)</t>
  </si>
  <si>
    <t>D, density (kN/m³)</t>
  </si>
  <si>
    <t>D, density (lb/ft³)</t>
  </si>
  <si>
    <t>V = lwt</t>
  </si>
  <si>
    <t>A = (lh + wh + lw) * 2</t>
  </si>
  <si>
    <t>V = (4/3)πr³</t>
  </si>
  <si>
    <t>A = 4πr²</t>
  </si>
  <si>
    <t>V =(1/3)πr²h</t>
  </si>
  <si>
    <t>V = πr²h</t>
  </si>
  <si>
    <t xml:space="preserve">A =  2πrh + 2πr² </t>
  </si>
  <si>
    <t>V =(1/3)lwh</t>
  </si>
  <si>
    <t>A = lw+l√((w
2)²+h2)+w√)(l
2)²+h2)</t>
  </si>
  <si>
    <t>R, external radius</t>
  </si>
  <si>
    <t>r, face radius</t>
  </si>
  <si>
    <t>A=(2πR)(2πr)</t>
  </si>
  <si>
    <t xml:space="preserve">A =  πr(r+√(h²+r²)) </t>
  </si>
  <si>
    <t>l, slant height</t>
  </si>
  <si>
    <t>l = √(r²+h²)</t>
  </si>
  <si>
    <t>Σ</t>
  </si>
  <si>
    <t>Solid shape</t>
  </si>
  <si>
    <t xml:space="preserve">A solid is one of the four fundamental states of matter, characterized by its fixed shape and volume. Unlike liquids and gases, the particles in a solid are closely packed and held in relatively fixed positions, only capable of vibrational movement. This close arrangement and limited motion give solids their rigidity and resistance to compression and deformation. </t>
  </si>
  <si>
    <t>v.20250711</t>
  </si>
  <si>
    <t>Pass: 1234</t>
  </si>
  <si>
    <t>Σ (m³, m², kg)</t>
  </si>
  <si>
    <t>m = DV</t>
  </si>
  <si>
    <t>Titanium</t>
  </si>
  <si>
    <t>Construction material</t>
  </si>
  <si>
    <t>Aluminio</t>
  </si>
  <si>
    <t>Asfalto</t>
  </si>
  <si>
    <t>Betún</t>
  </si>
  <si>
    <t>Latón</t>
  </si>
  <si>
    <t>Cobalto</t>
  </si>
  <si>
    <t>Tiza</t>
  </si>
  <si>
    <t>Suelo arcilloso</t>
  </si>
  <si>
    <t>Hormigón (peso normal)</t>
  </si>
  <si>
    <t>Cobre</t>
  </si>
  <si>
    <t>Corcho (normal)</t>
  </si>
  <si>
    <t>Corcho (comprimido)</t>
  </si>
  <si>
    <t>Lámina de fibrocemento (sin comprimir)</t>
  </si>
  <si>
    <t>Lámina de fibrocemento (comprimido)</t>
  </si>
  <si>
    <t>Lámina de fibrocemento (Lámina de revestimiento ignífugo)</t>
  </si>
  <si>
    <t>Lámina de fibrocemento (Lámina aislante)</t>
  </si>
  <si>
    <t>Vidrio - Ventana (sódico-cálcico)</t>
  </si>
  <si>
    <t>Suelo de grava</t>
  </si>
  <si>
    <t>Granito, basalto, traquita</t>
  </si>
  <si>
    <t>Hierro fundido</t>
  </si>
  <si>
    <t>Plomo</t>
  </si>
  <si>
    <t>Caliza (densa)</t>
  </si>
  <si>
    <t>Caliza (Mt. Gambier)</t>
  </si>
  <si>
    <t>Magnesio</t>
  </si>
  <si>
    <t>Mármol</t>
  </si>
  <si>
    <t>Níquel</t>
  </si>
  <si>
    <t>Papel (papel de copia) en caja</t>
  </si>
  <si>
    <t>Arena (densa y húmeda)</t>
  </si>
  <si>
    <t>Arenisca</t>
  </si>
  <si>
    <t>Suelo arenoso</t>
  </si>
  <si>
    <t>Esquisto</t>
  </si>
  <si>
    <t>Limo</t>
  </si>
  <si>
    <t>Acero</t>
  </si>
  <si>
    <t>Madera (Pino radiata, Australia)</t>
  </si>
  <si>
    <t>Madera (Pino radiata, Nueva Zelanda)</t>
  </si>
  <si>
    <t>Madera (Ciprés, Australia)</t>
  </si>
  <si>
    <t>Madera (Abeto Douglas)</t>
  </si>
  <si>
    <t>Madera (Aro)</t>
  </si>
  <si>
    <t>Madera (Blackbutt)</t>
  </si>
  <si>
    <t>Madera (Eauco Gris)</t>
  </si>
  <si>
    <t>Madera (Corteza de Hierro Gris)</t>
  </si>
  <si>
    <t>Madera (Jarrah)</t>
  </si>
  <si>
    <t>Madera (Eauco Manchado)</t>
  </si>
  <si>
    <t>Madera (Madera de Sebo)</t>
  </si>
  <si>
    <t>Madera (Trementina)</t>
  </si>
  <si>
    <t>Madera (Caoba Blanca)</t>
  </si>
  <si>
    <t>Madera (Fresno Victoria)</t>
  </si>
  <si>
    <t>Madera (Teca)</t>
  </si>
  <si>
    <t>Madera (Roble)</t>
  </si>
  <si>
    <t>Madera (Arce)</t>
  </si>
  <si>
    <t>Madera (Alerce)</t>
  </si>
  <si>
    <t>Madera (Olmo)</t>
  </si>
  <si>
    <t>Madera (Ébano)</t>
  </si>
  <si>
    <t>Madera (Abedul)</t>
  </si>
  <si>
    <t>Madera (Fresno Blanco)</t>
  </si>
  <si>
    <t>Madera (Fresno Negro)</t>
  </si>
  <si>
    <t>Madera (Balsa)</t>
  </si>
  <si>
    <t>Madera (Bambú)</t>
  </si>
  <si>
    <t>Madera (Cedro)</t>
  </si>
  <si>
    <t>Madera (Álamo Temblón)</t>
  </si>
  <si>
    <t>Madera (Madera Roja Americana)</t>
  </si>
  <si>
    <t>Madera (Madera Roja Europea)</t>
  </si>
  <si>
    <t>Estaño</t>
  </si>
  <si>
    <t>Titanio</t>
  </si>
  <si>
    <t>Agua</t>
  </si>
  <si>
    <t>Cement Mortar L</t>
  </si>
  <si>
    <t>Cement Mortar H</t>
  </si>
  <si>
    <t>Mortero de cemento L</t>
  </si>
  <si>
    <t>Mortero de cemento H</t>
  </si>
  <si>
    <t>Brick</t>
  </si>
  <si>
    <t>Ladrillo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</si>
</sst>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00"/>
    <numFmt numFmtId="165" formatCode="0.00000000"/>
  </numFmts>
  <fonts count="13" x14ac:knownFonts="1">
    <font>
      <sz val="11"/>
      <color theme="1"/>
      <name val="Aptos Narrow"/>
      <family val="2"/>
      <scheme val="minor"/>
    </font>
    <font>
      <sz val="11"/>
      <color theme="1"/>
      <name val="Segoe UI Light"/>
      <family val="2"/>
    </font>
    <font>
      <sz val="11"/>
      <color rgb="FF0070C0"/>
      <name val="Segoe UI Light"/>
      <family val="2"/>
    </font>
    <font>
      <u/>
      <sz val="11"/>
      <color theme="10"/>
      <name val="Aptos Narrow"/>
      <family val="2"/>
      <scheme val="minor"/>
    </font>
    <font>
      <sz val="9"/>
      <color indexed="81"/>
      <name val="Tahoma"/>
      <family val="2"/>
    </font>
    <font>
      <sz val="12"/>
      <color theme="1"/>
      <name val="Segoe UI Light"/>
      <family val="2"/>
    </font>
    <font>
      <sz val="11"/>
      <name val="Segoe UI Light"/>
      <family val="2"/>
    </font>
    <font>
      <sz val="9"/>
      <color theme="1"/>
      <name val="Segoe UI Light"/>
      <family val="2"/>
    </font>
    <font>
      <sz val="8"/>
      <color theme="1"/>
      <name val="Segoe UI Light"/>
      <family val="2"/>
    </font>
    <font>
      <sz val="36"/>
      <name val="Segoe UI Light"/>
      <family val="2"/>
    </font>
    <font>
      <b/>
      <sz val="12"/>
      <color theme="1"/>
      <name val="Segoe UI Light"/>
      <family val="2"/>
    </font>
    <font>
      <sz val="11"/>
      <color theme="10"/>
      <name val="Segoe UI Light"/>
      <family val="2"/>
    </font>
    <font>
      <sz val="9"/>
      <color indexed="81"/>
      <name val="Segoe UI Light"/>
      <family val="2"/>
    </font>
  </fonts>
  <fills count="3">
    <fill>
      <patternFill patternType="none"/>
    </fill>
    <fill>
      <patternFill patternType="gray125"/>
    </fill>
    <fill>
      <patternFill patternType="solid">
        <fgColor theme="0" tint="-4.9989318521683403E-2"/>
        <bgColor indexed="64"/>
      </patternFill>
    </fill>
  </fills>
  <borders count="3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style="thin">
        <color theme="0" tint="-4.9989318521683403E-2"/>
      </left>
      <right style="thin">
        <color theme="0" tint="-4.9989318521683403E-2"/>
      </right>
      <top/>
      <bottom style="thin">
        <color theme="0" tint="-4.9989318521683403E-2"/>
      </bottom>
      <diagonal/>
    </border>
    <border>
      <left style="thin">
        <color indexed="64"/>
      </left>
      <right style="thin">
        <color theme="0" tint="-4.9989318521683403E-2"/>
      </right>
      <top style="thin">
        <color indexed="64"/>
      </top>
      <bottom/>
      <diagonal/>
    </border>
    <border>
      <left style="thin">
        <color indexed="64"/>
      </left>
      <right style="thin">
        <color theme="0" tint="-4.9989318521683403E-2"/>
      </right>
      <top/>
      <bottom/>
      <diagonal/>
    </border>
    <border>
      <left style="thin">
        <color indexed="64"/>
      </left>
      <right style="thin">
        <color theme="0" tint="-4.9989318521683403E-2"/>
      </right>
      <top/>
      <bottom style="thin">
        <color indexed="64"/>
      </bottom>
      <diagonal/>
    </border>
    <border>
      <left style="thin">
        <color indexed="64"/>
      </left>
      <right style="thin">
        <color theme="0" tint="-4.9989318521683403E-2"/>
      </right>
      <top/>
      <bottom style="thin">
        <color theme="0" tint="-4.9989318521683403E-2"/>
      </bottom>
      <diagonal/>
    </border>
    <border>
      <left style="thin">
        <color indexed="64"/>
      </left>
      <right style="thin">
        <color theme="0" tint="-4.9989318521683403E-2"/>
      </right>
      <top style="thin">
        <color theme="0" tint="-4.9989318521683403E-2"/>
      </top>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top style="thin">
        <color theme="0" tint="-4.9989318521683403E-2"/>
      </top>
      <bottom/>
      <diagonal/>
    </border>
    <border>
      <left/>
      <right/>
      <top style="thin">
        <color theme="0" tint="-4.9989318521683403E-2"/>
      </top>
      <bottom/>
      <diagonal/>
    </border>
    <border>
      <left/>
      <right style="thin">
        <color indexed="64"/>
      </right>
      <top style="thin">
        <color theme="0" tint="-4.9989318521683403E-2"/>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diagonalUp="1">
      <left style="thin">
        <color theme="0" tint="-4.9989318521683403E-2"/>
      </left>
      <right style="thin">
        <color theme="0" tint="-4.9989318521683403E-2"/>
      </right>
      <top/>
      <bottom style="thin">
        <color theme="0" tint="-4.9989318521683403E-2"/>
      </bottom>
      <diagonal style="thin">
        <color theme="0" tint="-4.9989318521683403E-2"/>
      </diagonal>
    </border>
    <border>
      <left style="thin">
        <color theme="0" tint="-4.9989318521683403E-2"/>
      </left>
      <right style="thin">
        <color indexed="64"/>
      </right>
      <top/>
      <bottom style="thin">
        <color theme="0" tint="-4.9989318521683403E-2"/>
      </bottom>
      <diagonal/>
    </border>
    <border>
      <left/>
      <right/>
      <top style="thin">
        <color indexed="64"/>
      </top>
      <bottom style="thin">
        <color theme="0" tint="-4.9989318521683403E-2"/>
      </bottom>
      <diagonal/>
    </border>
    <border>
      <left/>
      <right/>
      <top style="thin">
        <color theme="0" tint="-4.9989318521683403E-2"/>
      </top>
      <bottom style="thin">
        <color theme="0" tint="-4.9989318521683403E-2"/>
      </bottom>
      <diagonal/>
    </border>
    <border>
      <left/>
      <right/>
      <top style="thin">
        <color theme="0" tint="-4.9989318521683403E-2"/>
      </top>
      <bottom style="thin">
        <color indexed="64"/>
      </bottom>
      <diagonal/>
    </border>
    <border>
      <left style="thin">
        <color theme="0" tint="-4.9989318521683403E-2"/>
      </left>
      <right/>
      <top style="thin">
        <color theme="0" tint="-4.9989318521683403E-2"/>
      </top>
      <bottom/>
      <diagonal/>
    </border>
  </borders>
  <cellStyleXfs count="2">
    <xf numFmtId="0" fontId="0" fillId="0" borderId="0"/>
    <xf numFmtId="0" fontId="3" fillId="0" borderId="0" applyNumberFormat="0" applyFill="0" applyBorder="0" applyAlignment="0" applyProtection="0"/>
  </cellStyleXfs>
  <cellXfs count="72">
    <xf numFmtId="0" fontId="0" fillId="0" borderId="0" xfId="0"/>
    <xf numFmtId="0" fontId="1" fillId="0" borderId="0" xfId="0" applyFont="1"/>
    <xf numFmtId="0" fontId="1" fillId="0" borderId="1" xfId="0" applyFont="1" applyBorder="1"/>
    <xf numFmtId="0" fontId="1" fillId="0" borderId="5" xfId="0" applyFont="1" applyBorder="1"/>
    <xf numFmtId="0" fontId="1" fillId="0" borderId="6" xfId="0" applyFont="1" applyBorder="1"/>
    <xf numFmtId="0" fontId="1" fillId="0" borderId="7" xfId="0" applyFont="1" applyBorder="1"/>
    <xf numFmtId="0" fontId="1" fillId="0" borderId="8" xfId="0" applyFont="1" applyBorder="1"/>
    <xf numFmtId="0" fontId="1" fillId="0" borderId="9" xfId="0" applyFont="1" applyBorder="1"/>
    <xf numFmtId="0" fontId="1" fillId="2" borderId="2" xfId="0" applyFont="1" applyFill="1" applyBorder="1"/>
    <xf numFmtId="0" fontId="1" fillId="2" borderId="3" xfId="0" applyFont="1" applyFill="1" applyBorder="1"/>
    <xf numFmtId="0" fontId="1" fillId="2" borderId="4" xfId="0" applyFont="1" applyFill="1" applyBorder="1"/>
    <xf numFmtId="0" fontId="1" fillId="2" borderId="10" xfId="0" applyFont="1" applyFill="1" applyBorder="1"/>
    <xf numFmtId="0" fontId="1" fillId="0" borderId="11" xfId="0" applyFont="1" applyBorder="1"/>
    <xf numFmtId="0" fontId="1" fillId="0" borderId="12" xfId="0" applyFont="1" applyBorder="1"/>
    <xf numFmtId="0" fontId="1" fillId="0" borderId="0" xfId="0" applyFont="1" applyAlignment="1">
      <alignment horizontal="left" vertical="top"/>
    </xf>
    <xf numFmtId="0" fontId="1" fillId="0" borderId="6" xfId="0" applyFont="1" applyBorder="1" applyAlignment="1">
      <alignment horizontal="left" vertical="top"/>
    </xf>
    <xf numFmtId="0" fontId="1" fillId="2" borderId="3" xfId="0" applyFont="1" applyFill="1" applyBorder="1" applyAlignment="1">
      <alignment horizontal="left" vertical="top"/>
    </xf>
    <xf numFmtId="0" fontId="2" fillId="0" borderId="1" xfId="0" applyFont="1" applyBorder="1" applyAlignment="1">
      <alignment horizontal="left" vertical="top"/>
    </xf>
    <xf numFmtId="0" fontId="1" fillId="0" borderId="1" xfId="0" applyFont="1" applyBorder="1" applyAlignment="1">
      <alignment horizontal="left" vertical="top"/>
    </xf>
    <xf numFmtId="0" fontId="1" fillId="2" borderId="4" xfId="0" applyFont="1" applyFill="1" applyBorder="1" applyAlignment="1">
      <alignment horizontal="left" vertical="top"/>
    </xf>
    <xf numFmtId="0" fontId="6" fillId="0" borderId="0" xfId="0" applyFont="1" applyAlignment="1">
      <alignment horizontal="left" vertical="top"/>
    </xf>
    <xf numFmtId="0" fontId="1" fillId="0" borderId="1" xfId="0" applyFont="1" applyBorder="1" applyAlignment="1">
      <alignment horizontal="left" vertical="top" wrapText="1"/>
    </xf>
    <xf numFmtId="0" fontId="1" fillId="0" borderId="14" xfId="0" applyFont="1" applyBorder="1" applyAlignment="1">
      <alignment horizontal="left" vertical="top"/>
    </xf>
    <xf numFmtId="0" fontId="1" fillId="0" borderId="15" xfId="0" applyFont="1" applyBorder="1" applyAlignment="1">
      <alignment horizontal="left" vertical="top"/>
    </xf>
    <xf numFmtId="0" fontId="1" fillId="0" borderId="17" xfId="0" applyFont="1" applyBorder="1" applyAlignment="1">
      <alignment horizontal="left" vertical="top"/>
    </xf>
    <xf numFmtId="0" fontId="1" fillId="0" borderId="19" xfId="0" applyFont="1" applyBorder="1" applyAlignment="1">
      <alignment horizontal="left" vertical="top"/>
    </xf>
    <xf numFmtId="0" fontId="1" fillId="0" borderId="20" xfId="0" applyFont="1" applyBorder="1" applyAlignment="1">
      <alignment horizontal="left" vertical="top"/>
    </xf>
    <xf numFmtId="0" fontId="1" fillId="0" borderId="21" xfId="0" applyFont="1" applyBorder="1" applyAlignment="1">
      <alignment horizontal="left" vertical="top"/>
    </xf>
    <xf numFmtId="0" fontId="1" fillId="0" borderId="22" xfId="0" applyFont="1" applyBorder="1" applyAlignment="1">
      <alignment horizontal="left" vertical="top"/>
    </xf>
    <xf numFmtId="0" fontId="1" fillId="0" borderId="23" xfId="0" applyFont="1" applyBorder="1" applyAlignment="1">
      <alignment horizontal="left" vertical="top"/>
    </xf>
    <xf numFmtId="0" fontId="1" fillId="0" borderId="24" xfId="0" applyFont="1" applyBorder="1" applyAlignment="1">
      <alignment horizontal="left" vertical="top"/>
    </xf>
    <xf numFmtId="0" fontId="1" fillId="0" borderId="25" xfId="0" applyFont="1" applyBorder="1" applyAlignment="1">
      <alignment horizontal="left" vertical="top"/>
    </xf>
    <xf numFmtId="0" fontId="1" fillId="0" borderId="26" xfId="0" applyFont="1" applyBorder="1" applyAlignment="1">
      <alignment horizontal="left" vertical="top"/>
    </xf>
    <xf numFmtId="0" fontId="6" fillId="0" borderId="1" xfId="0" applyFont="1" applyBorder="1" applyAlignment="1">
      <alignment horizontal="left" vertical="top"/>
    </xf>
    <xf numFmtId="2" fontId="6" fillId="0" borderId="1" xfId="0" applyNumberFormat="1" applyFont="1" applyBorder="1" applyAlignment="1">
      <alignment horizontal="left" vertical="top"/>
    </xf>
    <xf numFmtId="0" fontId="6" fillId="0" borderId="2" xfId="0" applyFont="1" applyBorder="1" applyAlignment="1">
      <alignment horizontal="left" vertical="top"/>
    </xf>
    <xf numFmtId="2" fontId="6" fillId="0" borderId="6" xfId="0" applyNumberFormat="1" applyFont="1" applyBorder="1" applyAlignment="1">
      <alignment horizontal="left" vertical="top"/>
    </xf>
    <xf numFmtId="164" fontId="6" fillId="2" borderId="3" xfId="0" applyNumberFormat="1" applyFont="1" applyFill="1" applyBorder="1" applyAlignment="1">
      <alignment horizontal="left" vertical="top"/>
    </xf>
    <xf numFmtId="0" fontId="6" fillId="2" borderId="3" xfId="0" applyFont="1" applyFill="1" applyBorder="1" applyAlignment="1">
      <alignment horizontal="left" vertical="top"/>
    </xf>
    <xf numFmtId="0" fontId="1" fillId="2" borderId="27" xfId="0" applyFont="1" applyFill="1" applyBorder="1" applyAlignment="1">
      <alignment horizontal="left" vertical="top"/>
    </xf>
    <xf numFmtId="0" fontId="1" fillId="2" borderId="13" xfId="0" applyFont="1" applyFill="1" applyBorder="1" applyAlignment="1">
      <alignment horizontal="left" vertical="top"/>
    </xf>
    <xf numFmtId="0" fontId="1" fillId="2" borderId="28" xfId="0" applyFont="1" applyFill="1" applyBorder="1" applyAlignment="1">
      <alignment horizontal="left" vertical="top"/>
    </xf>
    <xf numFmtId="164" fontId="6" fillId="2" borderId="4" xfId="0" applyNumberFormat="1" applyFont="1" applyFill="1" applyBorder="1" applyAlignment="1">
      <alignment horizontal="left" vertical="top"/>
    </xf>
    <xf numFmtId="0" fontId="1" fillId="0" borderId="8" xfId="0" applyFont="1" applyBorder="1" applyAlignment="1">
      <alignment horizontal="left" vertical="top"/>
    </xf>
    <xf numFmtId="2" fontId="1" fillId="0" borderId="8" xfId="0" applyNumberFormat="1" applyFont="1" applyBorder="1" applyAlignment="1">
      <alignment horizontal="left" vertical="top"/>
    </xf>
    <xf numFmtId="2" fontId="1" fillId="0" borderId="9" xfId="0" applyNumberFormat="1" applyFont="1" applyBorder="1" applyAlignment="1">
      <alignment horizontal="left" vertical="top"/>
    </xf>
    <xf numFmtId="0" fontId="5" fillId="2" borderId="3" xfId="0" applyFont="1" applyFill="1" applyBorder="1" applyAlignment="1">
      <alignment horizontal="left" vertical="top"/>
    </xf>
    <xf numFmtId="0" fontId="10" fillId="0" borderId="0" xfId="0" applyFont="1" applyAlignment="1">
      <alignment horizontal="left" vertical="top"/>
    </xf>
    <xf numFmtId="0" fontId="2" fillId="0" borderId="6" xfId="0" applyFont="1" applyBorder="1" applyAlignment="1" applyProtection="1">
      <alignment horizontal="left" vertical="top"/>
      <protection locked="0"/>
    </xf>
    <xf numFmtId="2" fontId="1" fillId="0" borderId="1" xfId="0" applyNumberFormat="1" applyFont="1" applyBorder="1" applyAlignment="1">
      <alignment horizontal="left" vertical="top"/>
    </xf>
    <xf numFmtId="2" fontId="1" fillId="0" borderId="6" xfId="0" applyNumberFormat="1" applyFont="1" applyBorder="1" applyAlignment="1">
      <alignment horizontal="left" vertical="top"/>
    </xf>
    <xf numFmtId="165" fontId="1" fillId="0" borderId="8" xfId="0" applyNumberFormat="1" applyFont="1" applyBorder="1" applyAlignment="1">
      <alignment horizontal="left" vertical="top"/>
    </xf>
    <xf numFmtId="0" fontId="8" fillId="0" borderId="0" xfId="0" applyFont="1" applyAlignment="1">
      <alignment horizontal="right"/>
    </xf>
    <xf numFmtId="0" fontId="11" fillId="0" borderId="0" xfId="1" applyFont="1"/>
    <xf numFmtId="0" fontId="7" fillId="0" borderId="0" xfId="0" applyFont="1"/>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5" xfId="0" applyFont="1" applyBorder="1" applyAlignment="1">
      <alignment horizontal="left" vertical="top" wrapText="1"/>
    </xf>
    <xf numFmtId="0" fontId="1" fillId="0" borderId="1" xfId="0" applyFont="1" applyBorder="1" applyAlignment="1">
      <alignment horizontal="left" vertical="top" wrapText="1"/>
    </xf>
    <xf numFmtId="0" fontId="1" fillId="0" borderId="18" xfId="0" applyFont="1" applyBorder="1" applyAlignment="1">
      <alignment horizontal="left" vertical="top" wrapText="1"/>
    </xf>
    <xf numFmtId="0" fontId="1" fillId="0" borderId="19" xfId="0" applyFont="1" applyBorder="1" applyAlignment="1">
      <alignment horizontal="left" vertical="top" wrapText="1"/>
    </xf>
    <xf numFmtId="0" fontId="9" fillId="0" borderId="18" xfId="0" applyFont="1" applyBorder="1" applyAlignment="1">
      <alignment horizontal="center" vertical="top"/>
    </xf>
    <xf numFmtId="0" fontId="9" fillId="0" borderId="15" xfId="0" applyFont="1" applyBorder="1" applyAlignment="1">
      <alignment horizontal="center" vertical="top"/>
    </xf>
    <xf numFmtId="0" fontId="9" fillId="0" borderId="16" xfId="0" applyFont="1" applyBorder="1" applyAlignment="1">
      <alignment horizontal="center" vertical="top"/>
    </xf>
    <xf numFmtId="0" fontId="1" fillId="2" borderId="29" xfId="0" applyFont="1" applyFill="1" applyBorder="1"/>
    <xf numFmtId="0" fontId="1" fillId="0" borderId="30" xfId="0" applyFont="1" applyBorder="1"/>
    <xf numFmtId="0" fontId="1" fillId="0" borderId="31" xfId="0" applyFont="1" applyBorder="1"/>
    <xf numFmtId="0" fontId="1" fillId="0" borderId="18" xfId="0" applyFont="1" applyBorder="1"/>
    <xf numFmtId="0" fontId="1" fillId="0" borderId="22" xfId="0" applyFont="1" applyBorder="1"/>
    <xf numFmtId="0" fontId="1" fillId="0" borderId="32" xfId="0" applyFont="1" applyBorder="1"/>
    <xf numFmtId="0" fontId="1" fillId="0" borderId="19" xfId="0" applyFont="1" applyBorder="1"/>
    <xf numFmtId="0" fontId="1" fillId="0" borderId="20" xfId="0" applyFont="1" applyBorder="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 Type="http://schemas.openxmlformats.org/officeDocument/2006/relationships/image" Target="../media/image2.png"/><Relationship Id="rId16" Type="http://schemas.openxmlformats.org/officeDocument/2006/relationships/image" Target="../media/image16.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5" Type="http://schemas.openxmlformats.org/officeDocument/2006/relationships/image" Target="../media/image15.png"/><Relationship Id="rId10" Type="http://schemas.openxmlformats.org/officeDocument/2006/relationships/image" Target="../media/image10.png"/><Relationship Id="rId19" Type="http://schemas.openxmlformats.org/officeDocument/2006/relationships/image" Target="../media/image19.sv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s>
</file>

<file path=xl/drawings/drawing1.xml><?xml version="1.0" encoding="utf-8"?>
<xdr:wsDr xmlns:xdr="http://schemas.openxmlformats.org/drawingml/2006/spreadsheetDrawing" xmlns:a="http://schemas.openxmlformats.org/drawingml/2006/main">
  <xdr:twoCellAnchor editAs="oneCell">
    <xdr:from>
      <xdr:col>1</xdr:col>
      <xdr:colOff>120083</xdr:colOff>
      <xdr:row>75</xdr:row>
      <xdr:rowOff>141481</xdr:rowOff>
    </xdr:from>
    <xdr:to>
      <xdr:col>1</xdr:col>
      <xdr:colOff>1377203</xdr:colOff>
      <xdr:row>79</xdr:row>
      <xdr:rowOff>185138</xdr:rowOff>
    </xdr:to>
    <xdr:pic>
      <xdr:nvPicPr>
        <xdr:cNvPr id="2" name="Picture 1">
          <a:extLst>
            <a:ext uri="{FF2B5EF4-FFF2-40B4-BE49-F238E27FC236}">
              <a16:creationId xmlns:a16="http://schemas.microsoft.com/office/drawing/2014/main" id="{BE637550-886A-4F81-1A42-52BD08C74B26}"/>
            </a:ext>
          </a:extLst>
        </xdr:cNvPr>
        <xdr:cNvPicPr>
          <a:picLocks noChangeAspect="1"/>
        </xdr:cNvPicPr>
      </xdr:nvPicPr>
      <xdr:blipFill>
        <a:blip xmlns:r="http://schemas.openxmlformats.org/officeDocument/2006/relationships" r:embed="rId1"/>
        <a:stretch>
          <a:fillRect/>
        </a:stretch>
      </xdr:blipFill>
      <xdr:spPr>
        <a:xfrm>
          <a:off x="313514" y="16647573"/>
          <a:ext cx="1262858" cy="886790"/>
        </a:xfrm>
        <a:prstGeom prst="rect">
          <a:avLst/>
        </a:prstGeom>
      </xdr:spPr>
    </xdr:pic>
    <xdr:clientData/>
  </xdr:twoCellAnchor>
  <xdr:twoCellAnchor editAs="oneCell">
    <xdr:from>
      <xdr:col>1</xdr:col>
      <xdr:colOff>1273657</xdr:colOff>
      <xdr:row>71</xdr:row>
      <xdr:rowOff>31064</xdr:rowOff>
    </xdr:from>
    <xdr:to>
      <xdr:col>3</xdr:col>
      <xdr:colOff>479937</xdr:colOff>
      <xdr:row>72</xdr:row>
      <xdr:rowOff>176062</xdr:rowOff>
    </xdr:to>
    <xdr:pic>
      <xdr:nvPicPr>
        <xdr:cNvPr id="3" name="Picture 2">
          <a:extLst>
            <a:ext uri="{FF2B5EF4-FFF2-40B4-BE49-F238E27FC236}">
              <a16:creationId xmlns:a16="http://schemas.microsoft.com/office/drawing/2014/main" id="{DB4681A8-2561-67A8-4398-FDB89797E0C4}"/>
            </a:ext>
          </a:extLst>
        </xdr:cNvPr>
        <xdr:cNvPicPr>
          <a:picLocks noChangeAspect="1"/>
        </xdr:cNvPicPr>
      </xdr:nvPicPr>
      <xdr:blipFill>
        <a:blip xmlns:r="http://schemas.openxmlformats.org/officeDocument/2006/relationships" r:embed="rId2"/>
        <a:stretch>
          <a:fillRect/>
        </a:stretch>
      </xdr:blipFill>
      <xdr:spPr>
        <a:xfrm>
          <a:off x="1464157" y="14150924"/>
          <a:ext cx="2153354" cy="351729"/>
        </a:xfrm>
        <a:prstGeom prst="rect">
          <a:avLst/>
        </a:prstGeom>
      </xdr:spPr>
    </xdr:pic>
    <xdr:clientData/>
  </xdr:twoCellAnchor>
  <xdr:twoCellAnchor editAs="oneCell">
    <xdr:from>
      <xdr:col>1</xdr:col>
      <xdr:colOff>60961</xdr:colOff>
      <xdr:row>62</xdr:row>
      <xdr:rowOff>105727</xdr:rowOff>
    </xdr:from>
    <xdr:to>
      <xdr:col>1</xdr:col>
      <xdr:colOff>1324751</xdr:colOff>
      <xdr:row>67</xdr:row>
      <xdr:rowOff>36193</xdr:rowOff>
    </xdr:to>
    <xdr:pic>
      <xdr:nvPicPr>
        <xdr:cNvPr id="4" name="Picture 3">
          <a:extLst>
            <a:ext uri="{FF2B5EF4-FFF2-40B4-BE49-F238E27FC236}">
              <a16:creationId xmlns:a16="http://schemas.microsoft.com/office/drawing/2014/main" id="{87C3426A-B272-EB30-B9DF-74EA91CC93F8}"/>
            </a:ext>
          </a:extLst>
        </xdr:cNvPr>
        <xdr:cNvPicPr>
          <a:picLocks noChangeAspect="1"/>
        </xdr:cNvPicPr>
      </xdr:nvPicPr>
      <xdr:blipFill>
        <a:blip xmlns:r="http://schemas.openxmlformats.org/officeDocument/2006/relationships" r:embed="rId3"/>
        <a:stretch>
          <a:fillRect/>
        </a:stretch>
      </xdr:blipFill>
      <xdr:spPr>
        <a:xfrm>
          <a:off x="251461" y="11886247"/>
          <a:ext cx="1262857" cy="997266"/>
        </a:xfrm>
        <a:prstGeom prst="rect">
          <a:avLst/>
        </a:prstGeom>
      </xdr:spPr>
    </xdr:pic>
    <xdr:clientData/>
  </xdr:twoCellAnchor>
  <xdr:twoCellAnchor editAs="oneCell">
    <xdr:from>
      <xdr:col>3</xdr:col>
      <xdr:colOff>1348740</xdr:colOff>
      <xdr:row>71</xdr:row>
      <xdr:rowOff>60959</xdr:rowOff>
    </xdr:from>
    <xdr:to>
      <xdr:col>4</xdr:col>
      <xdr:colOff>566252</xdr:colOff>
      <xdr:row>72</xdr:row>
      <xdr:rowOff>173641</xdr:rowOff>
    </xdr:to>
    <xdr:pic>
      <xdr:nvPicPr>
        <xdr:cNvPr id="5" name="Picture 4">
          <a:extLst>
            <a:ext uri="{FF2B5EF4-FFF2-40B4-BE49-F238E27FC236}">
              <a16:creationId xmlns:a16="http://schemas.microsoft.com/office/drawing/2014/main" id="{70C7A641-043D-E011-6C61-41AE2F03A576}"/>
            </a:ext>
          </a:extLst>
        </xdr:cNvPr>
        <xdr:cNvPicPr>
          <a:picLocks noChangeAspect="1"/>
        </xdr:cNvPicPr>
      </xdr:nvPicPr>
      <xdr:blipFill>
        <a:blip xmlns:r="http://schemas.openxmlformats.org/officeDocument/2006/relationships" r:embed="rId4"/>
        <a:stretch>
          <a:fillRect/>
        </a:stretch>
      </xdr:blipFill>
      <xdr:spPr>
        <a:xfrm>
          <a:off x="4495800" y="15247619"/>
          <a:ext cx="710096" cy="328933"/>
        </a:xfrm>
        <a:prstGeom prst="rect">
          <a:avLst/>
        </a:prstGeom>
      </xdr:spPr>
    </xdr:pic>
    <xdr:clientData/>
  </xdr:twoCellAnchor>
  <xdr:twoCellAnchor editAs="oneCell">
    <xdr:from>
      <xdr:col>3</xdr:col>
      <xdr:colOff>1487806</xdr:colOff>
      <xdr:row>82</xdr:row>
      <xdr:rowOff>167639</xdr:rowOff>
    </xdr:from>
    <xdr:to>
      <xdr:col>4</xdr:col>
      <xdr:colOff>1099415</xdr:colOff>
      <xdr:row>83</xdr:row>
      <xdr:rowOff>139064</xdr:rowOff>
    </xdr:to>
    <xdr:pic>
      <xdr:nvPicPr>
        <xdr:cNvPr id="8" name="Picture 7">
          <a:extLst>
            <a:ext uri="{FF2B5EF4-FFF2-40B4-BE49-F238E27FC236}">
              <a16:creationId xmlns:a16="http://schemas.microsoft.com/office/drawing/2014/main" id="{0C1F562F-8890-235D-6E8F-C595696E6414}"/>
            </a:ext>
          </a:extLst>
        </xdr:cNvPr>
        <xdr:cNvPicPr>
          <a:picLocks noChangeAspect="1"/>
        </xdr:cNvPicPr>
      </xdr:nvPicPr>
      <xdr:blipFill>
        <a:blip xmlns:r="http://schemas.openxmlformats.org/officeDocument/2006/relationships" r:embed="rId5"/>
        <a:stretch>
          <a:fillRect/>
        </a:stretch>
      </xdr:blipFill>
      <xdr:spPr>
        <a:xfrm>
          <a:off x="4634866" y="17701259"/>
          <a:ext cx="1099430" cy="176245"/>
        </a:xfrm>
        <a:prstGeom prst="rect">
          <a:avLst/>
        </a:prstGeom>
      </xdr:spPr>
    </xdr:pic>
    <xdr:clientData/>
  </xdr:twoCellAnchor>
  <xdr:twoCellAnchor editAs="oneCell">
    <xdr:from>
      <xdr:col>1</xdr:col>
      <xdr:colOff>1295400</xdr:colOff>
      <xdr:row>82</xdr:row>
      <xdr:rowOff>183954</xdr:rowOff>
    </xdr:from>
    <xdr:to>
      <xdr:col>2</xdr:col>
      <xdr:colOff>914400</xdr:colOff>
      <xdr:row>83</xdr:row>
      <xdr:rowOff>137236</xdr:rowOff>
    </xdr:to>
    <xdr:pic>
      <xdr:nvPicPr>
        <xdr:cNvPr id="9" name="Picture 8">
          <a:extLst>
            <a:ext uri="{FF2B5EF4-FFF2-40B4-BE49-F238E27FC236}">
              <a16:creationId xmlns:a16="http://schemas.microsoft.com/office/drawing/2014/main" id="{4158C2FB-ACCC-4CEA-C962-AAFF5B24D007}"/>
            </a:ext>
          </a:extLst>
        </xdr:cNvPr>
        <xdr:cNvPicPr>
          <a:picLocks noChangeAspect="1"/>
        </xdr:cNvPicPr>
      </xdr:nvPicPr>
      <xdr:blipFill>
        <a:blip xmlns:r="http://schemas.openxmlformats.org/officeDocument/2006/relationships" r:embed="rId6"/>
        <a:stretch>
          <a:fillRect/>
        </a:stretch>
      </xdr:blipFill>
      <xdr:spPr>
        <a:xfrm>
          <a:off x="1485900" y="17717574"/>
          <a:ext cx="1120140" cy="164770"/>
        </a:xfrm>
        <a:prstGeom prst="rect">
          <a:avLst/>
        </a:prstGeom>
      </xdr:spPr>
    </xdr:pic>
    <xdr:clientData/>
  </xdr:twoCellAnchor>
  <xdr:twoCellAnchor editAs="oneCell">
    <xdr:from>
      <xdr:col>3</xdr:col>
      <xdr:colOff>1363029</xdr:colOff>
      <xdr:row>59</xdr:row>
      <xdr:rowOff>156829</xdr:rowOff>
    </xdr:from>
    <xdr:to>
      <xdr:col>4</xdr:col>
      <xdr:colOff>616252</xdr:colOff>
      <xdr:row>60</xdr:row>
      <xdr:rowOff>135254</xdr:rowOff>
    </xdr:to>
    <xdr:pic>
      <xdr:nvPicPr>
        <xdr:cNvPr id="12" name="Picture 11">
          <a:extLst>
            <a:ext uri="{FF2B5EF4-FFF2-40B4-BE49-F238E27FC236}">
              <a16:creationId xmlns:a16="http://schemas.microsoft.com/office/drawing/2014/main" id="{B84AABB2-FB41-2C65-C03F-EF36CDDA05A3}"/>
            </a:ext>
          </a:extLst>
        </xdr:cNvPr>
        <xdr:cNvPicPr>
          <a:picLocks noChangeAspect="1"/>
        </xdr:cNvPicPr>
      </xdr:nvPicPr>
      <xdr:blipFill>
        <a:blip xmlns:r="http://schemas.openxmlformats.org/officeDocument/2006/relationships" r:embed="rId7"/>
        <a:stretch>
          <a:fillRect/>
        </a:stretch>
      </xdr:blipFill>
      <xdr:spPr>
        <a:xfrm>
          <a:off x="4510089" y="12364069"/>
          <a:ext cx="747712" cy="194676"/>
        </a:xfrm>
        <a:prstGeom prst="rect">
          <a:avLst/>
        </a:prstGeom>
      </xdr:spPr>
    </xdr:pic>
    <xdr:clientData/>
  </xdr:twoCellAnchor>
  <xdr:twoCellAnchor editAs="oneCell">
    <xdr:from>
      <xdr:col>1</xdr:col>
      <xdr:colOff>59054</xdr:colOff>
      <xdr:row>51</xdr:row>
      <xdr:rowOff>76200</xdr:rowOff>
    </xdr:from>
    <xdr:to>
      <xdr:col>1</xdr:col>
      <xdr:colOff>1317112</xdr:colOff>
      <xdr:row>58</xdr:row>
      <xdr:rowOff>83039</xdr:rowOff>
    </xdr:to>
    <xdr:pic>
      <xdr:nvPicPr>
        <xdr:cNvPr id="13" name="Picture 12">
          <a:extLst>
            <a:ext uri="{FF2B5EF4-FFF2-40B4-BE49-F238E27FC236}">
              <a16:creationId xmlns:a16="http://schemas.microsoft.com/office/drawing/2014/main" id="{6BD847F9-8A31-767B-7008-ABF478B6658D}"/>
            </a:ext>
          </a:extLst>
        </xdr:cNvPr>
        <xdr:cNvPicPr>
          <a:picLocks noChangeAspect="1"/>
        </xdr:cNvPicPr>
      </xdr:nvPicPr>
      <xdr:blipFill>
        <a:blip xmlns:r="http://schemas.openxmlformats.org/officeDocument/2006/relationships" r:embed="rId8"/>
        <a:stretch>
          <a:fillRect/>
        </a:stretch>
      </xdr:blipFill>
      <xdr:spPr>
        <a:xfrm>
          <a:off x="249554" y="10363200"/>
          <a:ext cx="1258094" cy="1500377"/>
        </a:xfrm>
        <a:prstGeom prst="rect">
          <a:avLst/>
        </a:prstGeom>
      </xdr:spPr>
    </xdr:pic>
    <xdr:clientData/>
  </xdr:twoCellAnchor>
  <xdr:twoCellAnchor editAs="oneCell">
    <xdr:from>
      <xdr:col>1</xdr:col>
      <xdr:colOff>1463039</xdr:colOff>
      <xdr:row>59</xdr:row>
      <xdr:rowOff>157282</xdr:rowOff>
    </xdr:from>
    <xdr:to>
      <xdr:col>2</xdr:col>
      <xdr:colOff>1225851</xdr:colOff>
      <xdr:row>60</xdr:row>
      <xdr:rowOff>135254</xdr:rowOff>
    </xdr:to>
    <xdr:pic>
      <xdr:nvPicPr>
        <xdr:cNvPr id="14" name="Picture 13">
          <a:extLst>
            <a:ext uri="{FF2B5EF4-FFF2-40B4-BE49-F238E27FC236}">
              <a16:creationId xmlns:a16="http://schemas.microsoft.com/office/drawing/2014/main" id="{4C2F878D-1414-EF04-3FF5-A42C781C4BC5}"/>
            </a:ext>
          </a:extLst>
        </xdr:cNvPr>
        <xdr:cNvPicPr>
          <a:picLocks noChangeAspect="1"/>
        </xdr:cNvPicPr>
      </xdr:nvPicPr>
      <xdr:blipFill>
        <a:blip xmlns:r="http://schemas.openxmlformats.org/officeDocument/2006/relationships" r:embed="rId9"/>
        <a:stretch>
          <a:fillRect/>
        </a:stretch>
      </xdr:blipFill>
      <xdr:spPr>
        <a:xfrm>
          <a:off x="1653539" y="12364522"/>
          <a:ext cx="1264921" cy="194223"/>
        </a:xfrm>
        <a:prstGeom prst="rect">
          <a:avLst/>
        </a:prstGeom>
      </xdr:spPr>
    </xdr:pic>
    <xdr:clientData/>
  </xdr:twoCellAnchor>
  <xdr:twoCellAnchor editAs="oneCell">
    <xdr:from>
      <xdr:col>3</xdr:col>
      <xdr:colOff>229553</xdr:colOff>
      <xdr:row>48</xdr:row>
      <xdr:rowOff>139455</xdr:rowOff>
    </xdr:from>
    <xdr:to>
      <xdr:col>3</xdr:col>
      <xdr:colOff>862933</xdr:colOff>
      <xdr:row>49</xdr:row>
      <xdr:rowOff>154194</xdr:rowOff>
    </xdr:to>
    <xdr:pic>
      <xdr:nvPicPr>
        <xdr:cNvPr id="15" name="Picture 14">
          <a:extLst>
            <a:ext uri="{FF2B5EF4-FFF2-40B4-BE49-F238E27FC236}">
              <a16:creationId xmlns:a16="http://schemas.microsoft.com/office/drawing/2014/main" id="{D5D8B087-7D16-BFD9-AF9A-349D673FE8B5}"/>
            </a:ext>
          </a:extLst>
        </xdr:cNvPr>
        <xdr:cNvPicPr>
          <a:picLocks noChangeAspect="1"/>
        </xdr:cNvPicPr>
      </xdr:nvPicPr>
      <xdr:blipFill>
        <a:blip xmlns:r="http://schemas.openxmlformats.org/officeDocument/2006/relationships" r:embed="rId10"/>
        <a:stretch>
          <a:fillRect/>
        </a:stretch>
      </xdr:blipFill>
      <xdr:spPr>
        <a:xfrm>
          <a:off x="3376613" y="9999735"/>
          <a:ext cx="631508" cy="228099"/>
        </a:xfrm>
        <a:prstGeom prst="rect">
          <a:avLst/>
        </a:prstGeom>
      </xdr:spPr>
    </xdr:pic>
    <xdr:clientData/>
  </xdr:twoCellAnchor>
  <xdr:twoCellAnchor editAs="oneCell">
    <xdr:from>
      <xdr:col>1</xdr:col>
      <xdr:colOff>89535</xdr:colOff>
      <xdr:row>39</xdr:row>
      <xdr:rowOff>192404</xdr:rowOff>
    </xdr:from>
    <xdr:to>
      <xdr:col>1</xdr:col>
      <xdr:colOff>1357120</xdr:colOff>
      <xdr:row>45</xdr:row>
      <xdr:rowOff>139051</xdr:rowOff>
    </xdr:to>
    <xdr:pic>
      <xdr:nvPicPr>
        <xdr:cNvPr id="18" name="Picture 17">
          <a:extLst>
            <a:ext uri="{FF2B5EF4-FFF2-40B4-BE49-F238E27FC236}">
              <a16:creationId xmlns:a16="http://schemas.microsoft.com/office/drawing/2014/main" id="{873FAECD-F5F4-467E-C026-23848B655DF1}"/>
            </a:ext>
          </a:extLst>
        </xdr:cNvPr>
        <xdr:cNvPicPr>
          <a:picLocks noChangeAspect="1"/>
        </xdr:cNvPicPr>
      </xdr:nvPicPr>
      <xdr:blipFill>
        <a:blip xmlns:r="http://schemas.openxmlformats.org/officeDocument/2006/relationships" r:embed="rId11"/>
        <a:stretch>
          <a:fillRect/>
        </a:stretch>
      </xdr:blipFill>
      <xdr:spPr>
        <a:xfrm>
          <a:off x="280035" y="8132444"/>
          <a:ext cx="1260000" cy="1225890"/>
        </a:xfrm>
        <a:prstGeom prst="rect">
          <a:avLst/>
        </a:prstGeom>
      </xdr:spPr>
    </xdr:pic>
    <xdr:clientData/>
  </xdr:twoCellAnchor>
  <xdr:twoCellAnchor editAs="oneCell">
    <xdr:from>
      <xdr:col>1</xdr:col>
      <xdr:colOff>478154</xdr:colOff>
      <xdr:row>48</xdr:row>
      <xdr:rowOff>142728</xdr:rowOff>
    </xdr:from>
    <xdr:to>
      <xdr:col>2</xdr:col>
      <xdr:colOff>488616</xdr:colOff>
      <xdr:row>49</xdr:row>
      <xdr:rowOff>135152</xdr:rowOff>
    </xdr:to>
    <xdr:pic>
      <xdr:nvPicPr>
        <xdr:cNvPr id="19" name="Picture 18">
          <a:extLst>
            <a:ext uri="{FF2B5EF4-FFF2-40B4-BE49-F238E27FC236}">
              <a16:creationId xmlns:a16="http://schemas.microsoft.com/office/drawing/2014/main" id="{10FF1CC3-EAEB-C196-310D-464A0FAFF38F}"/>
            </a:ext>
          </a:extLst>
        </xdr:cNvPr>
        <xdr:cNvPicPr>
          <a:picLocks noChangeAspect="1"/>
        </xdr:cNvPicPr>
      </xdr:nvPicPr>
      <xdr:blipFill>
        <a:blip xmlns:r="http://schemas.openxmlformats.org/officeDocument/2006/relationships" r:embed="rId12"/>
        <a:stretch>
          <a:fillRect/>
        </a:stretch>
      </xdr:blipFill>
      <xdr:spPr>
        <a:xfrm>
          <a:off x="668654" y="10003008"/>
          <a:ext cx="1510666" cy="208675"/>
        </a:xfrm>
        <a:prstGeom prst="rect">
          <a:avLst/>
        </a:prstGeom>
      </xdr:spPr>
    </xdr:pic>
    <xdr:clientData/>
  </xdr:twoCellAnchor>
  <xdr:twoCellAnchor editAs="oneCell">
    <xdr:from>
      <xdr:col>4</xdr:col>
      <xdr:colOff>374333</xdr:colOff>
      <xdr:row>48</xdr:row>
      <xdr:rowOff>156058</xdr:rowOff>
    </xdr:from>
    <xdr:to>
      <xdr:col>4</xdr:col>
      <xdr:colOff>1167732</xdr:colOff>
      <xdr:row>49</xdr:row>
      <xdr:rowOff>144763</xdr:rowOff>
    </xdr:to>
    <xdr:pic>
      <xdr:nvPicPr>
        <xdr:cNvPr id="20" name="Picture 19">
          <a:extLst>
            <a:ext uri="{FF2B5EF4-FFF2-40B4-BE49-F238E27FC236}">
              <a16:creationId xmlns:a16="http://schemas.microsoft.com/office/drawing/2014/main" id="{3EA00C78-4F85-9624-865E-7B1B052F235C}"/>
            </a:ext>
          </a:extLst>
        </xdr:cNvPr>
        <xdr:cNvPicPr>
          <a:picLocks noChangeAspect="1"/>
        </xdr:cNvPicPr>
      </xdr:nvPicPr>
      <xdr:blipFill>
        <a:blip xmlns:r="http://schemas.openxmlformats.org/officeDocument/2006/relationships" r:embed="rId13"/>
        <a:stretch>
          <a:fillRect/>
        </a:stretch>
      </xdr:blipFill>
      <xdr:spPr>
        <a:xfrm>
          <a:off x="5014913" y="10016338"/>
          <a:ext cx="791527" cy="201129"/>
        </a:xfrm>
        <a:prstGeom prst="rect">
          <a:avLst/>
        </a:prstGeom>
      </xdr:spPr>
    </xdr:pic>
    <xdr:clientData/>
  </xdr:twoCellAnchor>
  <xdr:twoCellAnchor editAs="oneCell">
    <xdr:from>
      <xdr:col>1</xdr:col>
      <xdr:colOff>82867</xdr:colOff>
      <xdr:row>27</xdr:row>
      <xdr:rowOff>84772</xdr:rowOff>
    </xdr:from>
    <xdr:to>
      <xdr:col>1</xdr:col>
      <xdr:colOff>1357123</xdr:colOff>
      <xdr:row>33</xdr:row>
      <xdr:rowOff>46835</xdr:rowOff>
    </xdr:to>
    <xdr:pic>
      <xdr:nvPicPr>
        <xdr:cNvPr id="24" name="Picture 23">
          <a:extLst>
            <a:ext uri="{FF2B5EF4-FFF2-40B4-BE49-F238E27FC236}">
              <a16:creationId xmlns:a16="http://schemas.microsoft.com/office/drawing/2014/main" id="{96107B90-7FD8-BE16-6B70-51AFAB1EB1A0}"/>
            </a:ext>
          </a:extLst>
        </xdr:cNvPr>
        <xdr:cNvPicPr>
          <a:picLocks noChangeAspect="1"/>
        </xdr:cNvPicPr>
      </xdr:nvPicPr>
      <xdr:blipFill>
        <a:blip xmlns:r="http://schemas.openxmlformats.org/officeDocument/2006/relationships" r:embed="rId14"/>
        <a:stretch>
          <a:fillRect/>
        </a:stretch>
      </xdr:blipFill>
      <xdr:spPr>
        <a:xfrm>
          <a:off x="273367" y="5891212"/>
          <a:ext cx="1265715" cy="1242239"/>
        </a:xfrm>
        <a:prstGeom prst="rect">
          <a:avLst/>
        </a:prstGeom>
      </xdr:spPr>
    </xdr:pic>
    <xdr:clientData/>
  </xdr:twoCellAnchor>
  <xdr:twoCellAnchor editAs="oneCell">
    <xdr:from>
      <xdr:col>1</xdr:col>
      <xdr:colOff>91439</xdr:colOff>
      <xdr:row>17</xdr:row>
      <xdr:rowOff>85724</xdr:rowOff>
    </xdr:from>
    <xdr:to>
      <xdr:col>1</xdr:col>
      <xdr:colOff>1354264</xdr:colOff>
      <xdr:row>23</xdr:row>
      <xdr:rowOff>23990</xdr:rowOff>
    </xdr:to>
    <xdr:pic>
      <xdr:nvPicPr>
        <xdr:cNvPr id="25" name="Picture 24">
          <a:extLst>
            <a:ext uri="{FF2B5EF4-FFF2-40B4-BE49-F238E27FC236}">
              <a16:creationId xmlns:a16="http://schemas.microsoft.com/office/drawing/2014/main" id="{0A67519B-E525-5093-09EF-6198ABD4E460}"/>
            </a:ext>
          </a:extLst>
        </xdr:cNvPr>
        <xdr:cNvPicPr>
          <a:picLocks noChangeAspect="1"/>
        </xdr:cNvPicPr>
      </xdr:nvPicPr>
      <xdr:blipFill>
        <a:blip xmlns:r="http://schemas.openxmlformats.org/officeDocument/2006/relationships" r:embed="rId15"/>
        <a:stretch>
          <a:fillRect/>
        </a:stretch>
      </xdr:blipFill>
      <xdr:spPr>
        <a:xfrm>
          <a:off x="281939" y="4185284"/>
          <a:ext cx="1262857" cy="1209885"/>
        </a:xfrm>
        <a:prstGeom prst="rect">
          <a:avLst/>
        </a:prstGeom>
      </xdr:spPr>
    </xdr:pic>
    <xdr:clientData/>
  </xdr:twoCellAnchor>
  <xdr:twoCellAnchor editAs="oneCell">
    <xdr:from>
      <xdr:col>2</xdr:col>
      <xdr:colOff>62864</xdr:colOff>
      <xdr:row>24</xdr:row>
      <xdr:rowOff>123340</xdr:rowOff>
    </xdr:from>
    <xdr:to>
      <xdr:col>2</xdr:col>
      <xdr:colOff>822940</xdr:colOff>
      <xdr:row>25</xdr:row>
      <xdr:rowOff>101124</xdr:rowOff>
    </xdr:to>
    <xdr:pic>
      <xdr:nvPicPr>
        <xdr:cNvPr id="26" name="Picture 25">
          <a:extLst>
            <a:ext uri="{FF2B5EF4-FFF2-40B4-BE49-F238E27FC236}">
              <a16:creationId xmlns:a16="http://schemas.microsoft.com/office/drawing/2014/main" id="{0EC8AE99-49F2-590D-439B-A9A576B9AA19}"/>
            </a:ext>
          </a:extLst>
        </xdr:cNvPr>
        <xdr:cNvPicPr>
          <a:picLocks noChangeAspect="1"/>
        </xdr:cNvPicPr>
      </xdr:nvPicPr>
      <xdr:blipFill>
        <a:blip xmlns:r="http://schemas.openxmlformats.org/officeDocument/2006/relationships" r:embed="rId16"/>
        <a:stretch>
          <a:fillRect/>
        </a:stretch>
      </xdr:blipFill>
      <xdr:spPr>
        <a:xfrm>
          <a:off x="1754504" y="5076340"/>
          <a:ext cx="760096" cy="191164"/>
        </a:xfrm>
        <a:prstGeom prst="rect">
          <a:avLst/>
        </a:prstGeom>
      </xdr:spPr>
    </xdr:pic>
    <xdr:clientData/>
  </xdr:twoCellAnchor>
  <xdr:twoCellAnchor editAs="oneCell">
    <xdr:from>
      <xdr:col>3</xdr:col>
      <xdr:colOff>1204911</xdr:colOff>
      <xdr:row>24</xdr:row>
      <xdr:rowOff>68989</xdr:rowOff>
    </xdr:from>
    <xdr:to>
      <xdr:col>4</xdr:col>
      <xdr:colOff>451470</xdr:colOff>
      <xdr:row>25</xdr:row>
      <xdr:rowOff>161846</xdr:rowOff>
    </xdr:to>
    <xdr:pic>
      <xdr:nvPicPr>
        <xdr:cNvPr id="27" name="Picture 26">
          <a:extLst>
            <a:ext uri="{FF2B5EF4-FFF2-40B4-BE49-F238E27FC236}">
              <a16:creationId xmlns:a16="http://schemas.microsoft.com/office/drawing/2014/main" id="{ECD4AB0B-BC96-2DB4-0F25-29569F7AAC49}"/>
            </a:ext>
          </a:extLst>
        </xdr:cNvPr>
        <xdr:cNvPicPr>
          <a:picLocks noChangeAspect="1"/>
        </xdr:cNvPicPr>
      </xdr:nvPicPr>
      <xdr:blipFill>
        <a:blip xmlns:r="http://schemas.openxmlformats.org/officeDocument/2006/relationships" r:embed="rId17"/>
        <a:stretch>
          <a:fillRect/>
        </a:stretch>
      </xdr:blipFill>
      <xdr:spPr>
        <a:xfrm>
          <a:off x="4351971" y="5662069"/>
          <a:ext cx="736284" cy="305280"/>
        </a:xfrm>
        <a:prstGeom prst="rect">
          <a:avLst/>
        </a:prstGeom>
      </xdr:spPr>
    </xdr:pic>
    <xdr:clientData/>
  </xdr:twoCellAnchor>
  <xdr:twoCellAnchor editAs="oneCell">
    <xdr:from>
      <xdr:col>5</xdr:col>
      <xdr:colOff>2987</xdr:colOff>
      <xdr:row>0</xdr:row>
      <xdr:rowOff>50192</xdr:rowOff>
    </xdr:from>
    <xdr:to>
      <xdr:col>6</xdr:col>
      <xdr:colOff>3164</xdr:colOff>
      <xdr:row>1</xdr:row>
      <xdr:rowOff>78560</xdr:rowOff>
    </xdr:to>
    <xdr:pic>
      <xdr:nvPicPr>
        <xdr:cNvPr id="30" name="Graphic 29">
          <a:extLst>
            <a:ext uri="{FF2B5EF4-FFF2-40B4-BE49-F238E27FC236}">
              <a16:creationId xmlns:a16="http://schemas.microsoft.com/office/drawing/2014/main" id="{9397D297-C84C-47FA-8083-3975D09C8E01}"/>
            </a:ext>
          </a:extLst>
        </xdr:cNvPr>
        <xdr:cNvPicPr>
          <a:picLocks noChangeAspect="1"/>
        </xdr:cNvPicPr>
      </xdr:nvPicPr>
      <xdr:blipFill>
        <a:blip xmlns:r="http://schemas.openxmlformats.org/officeDocument/2006/relationships" r:embed="rId18">
          <a:extLst>
            <a:ext uri="{96DAC541-7B7A-43D3-8B79-37D633B846F1}">
              <asvg:svgBlip xmlns:asvg="http://schemas.microsoft.com/office/drawing/2016/SVG/main" r:embed="rId19"/>
            </a:ext>
          </a:extLst>
        </a:blip>
        <a:stretch>
          <a:fillRect/>
        </a:stretch>
      </xdr:blipFill>
      <xdr:spPr>
        <a:xfrm>
          <a:off x="6012848" y="50192"/>
          <a:ext cx="994736" cy="24040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hyperlink" Target="https://buildingclub.info/calculator/weight-converter-kg-m3-to-kn-m3-and-kn-m3-to-kg-m3/" TargetMode="External"/><Relationship Id="rId1" Type="http://schemas.openxmlformats.org/officeDocument/2006/relationships/hyperlink" Target="https://sheerforceeng.com/2021/12/26/density-of-construction-materials-and-construction-element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C991CC-633D-4EDA-A260-4E383F1CE19E}">
  <dimension ref="B2:I84"/>
  <sheetViews>
    <sheetView showGridLines="0" zoomScale="130" zoomScaleNormal="130" workbookViewId="0">
      <pane ySplit="7" topLeftCell="A8" activePane="bottomLeft" state="frozen"/>
      <selection pane="bottomLeft" activeCell="F8" sqref="F8"/>
    </sheetView>
  </sheetViews>
  <sheetFormatPr defaultColWidth="9.21875" defaultRowHeight="16.8" x14ac:dyDescent="0.3"/>
  <cols>
    <col min="1" max="1" width="2.6640625" style="14" customWidth="1"/>
    <col min="2" max="2" width="21" style="14" customWidth="1"/>
    <col min="3" max="3" width="20.44140625" style="14" customWidth="1"/>
    <col min="4" max="4" width="20.88671875" style="14" customWidth="1"/>
    <col min="5" max="5" width="19.109375" style="14" bestFit="1" customWidth="1"/>
    <col min="6" max="6" width="14.5546875" style="14" customWidth="1"/>
    <col min="7" max="7" width="2.5546875" style="14" customWidth="1"/>
    <col min="8" max="16384" width="9.21875" style="14"/>
  </cols>
  <sheetData>
    <row r="2" spans="2:6" ht="19.2" x14ac:dyDescent="0.25">
      <c r="B2" s="47" t="s">
        <v>94</v>
      </c>
      <c r="F2" s="52" t="s">
        <v>127</v>
      </c>
    </row>
    <row r="3" spans="2:6" ht="19.2" x14ac:dyDescent="0.3">
      <c r="B3" s="55" t="s">
        <v>126</v>
      </c>
      <c r="C3" s="56"/>
      <c r="D3" s="56"/>
      <c r="E3" s="46" t="s">
        <v>91</v>
      </c>
      <c r="F3" s="19" t="s">
        <v>90</v>
      </c>
    </row>
    <row r="4" spans="2:6" x14ac:dyDescent="0.3">
      <c r="B4" s="57"/>
      <c r="C4" s="58"/>
      <c r="D4" s="58"/>
      <c r="E4" s="18" t="s">
        <v>1</v>
      </c>
      <c r="F4" s="48" t="s">
        <v>0</v>
      </c>
    </row>
    <row r="5" spans="2:6" x14ac:dyDescent="0.3">
      <c r="B5" s="57"/>
      <c r="C5" s="58"/>
      <c r="D5" s="58"/>
      <c r="E5" s="18" t="str">
        <f>Setup!H2</f>
        <v>Conversion to meters</v>
      </c>
      <c r="F5" s="15">
        <f>VLOOKUP(Units,Setup!H4:J8,2,FALSE)</f>
        <v>1000</v>
      </c>
    </row>
    <row r="6" spans="2:6" x14ac:dyDescent="0.3">
      <c r="B6" s="57"/>
      <c r="C6" s="58"/>
      <c r="D6" s="58"/>
      <c r="E6" s="18" t="s">
        <v>2</v>
      </c>
      <c r="F6" s="48" t="s">
        <v>131</v>
      </c>
    </row>
    <row r="7" spans="2:6" x14ac:dyDescent="0.3">
      <c r="B7" s="59"/>
      <c r="C7" s="60"/>
      <c r="D7" s="60"/>
      <c r="E7" s="25" t="str">
        <f>Setup!D3</f>
        <v>D, density (kg/m³)</v>
      </c>
      <c r="F7" s="26">
        <f>VLOOKUP(F6,Setup!B3:F72,3,FALSE)</f>
        <v>4500</v>
      </c>
    </row>
    <row r="8" spans="2:6" s="20" customFormat="1" x14ac:dyDescent="0.3">
      <c r="B8" s="35" t="s">
        <v>100</v>
      </c>
      <c r="C8" s="38" t="s">
        <v>125</v>
      </c>
      <c r="D8" s="37" t="str">
        <f>_xlfn.CONCAT(C19," (",F19,")" )</f>
        <v>V, volume (mm³)</v>
      </c>
      <c r="E8" s="38" t="str">
        <f>_xlfn.CONCAT(C21," (",F21,")" )</f>
        <v>A, surface area (mm²)</v>
      </c>
      <c r="F8" s="42" t="str">
        <f>_xlfn.CONCAT(C24," (",F24,")" )</f>
        <v>m, mass (gr)</v>
      </c>
    </row>
    <row r="9" spans="2:6" s="20" customFormat="1" ht="16.5" customHeight="1" x14ac:dyDescent="0.3">
      <c r="B9" s="61" t="s">
        <v>124</v>
      </c>
      <c r="C9" s="33" t="str">
        <f>B17</f>
        <v>Sphere</v>
      </c>
      <c r="D9" s="34">
        <f>E19</f>
        <v>523598.77559829882</v>
      </c>
      <c r="E9" s="34">
        <f>E21</f>
        <v>31415.926535897932</v>
      </c>
      <c r="F9" s="36">
        <f>E24</f>
        <v>2356.1944901923448</v>
      </c>
    </row>
    <row r="10" spans="2:6" s="20" customFormat="1" x14ac:dyDescent="0.3">
      <c r="B10" s="62"/>
      <c r="C10" s="33" t="str">
        <f>B27</f>
        <v>Box</v>
      </c>
      <c r="D10" s="34">
        <f>E31</f>
        <v>1000000</v>
      </c>
      <c r="E10" s="34">
        <f>E33</f>
        <v>60000</v>
      </c>
      <c r="F10" s="36">
        <f>E36</f>
        <v>4500</v>
      </c>
    </row>
    <row r="11" spans="2:6" s="20" customFormat="1" x14ac:dyDescent="0.3">
      <c r="B11" s="62"/>
      <c r="C11" s="33" t="str">
        <f>B39</f>
        <v>Cone</v>
      </c>
      <c r="D11" s="34">
        <f>E42</f>
        <v>130899.6938995747</v>
      </c>
      <c r="E11" s="34">
        <f>E44</f>
        <v>18961.188979370399</v>
      </c>
      <c r="F11" s="36">
        <f>E47</f>
        <v>589.0486225480862</v>
      </c>
    </row>
    <row r="12" spans="2:6" s="20" customFormat="1" x14ac:dyDescent="0.3">
      <c r="B12" s="62"/>
      <c r="C12" s="33" t="str">
        <f>B51</f>
        <v>Cylinder</v>
      </c>
      <c r="D12" s="34">
        <f>E54</f>
        <v>196349.54084936206</v>
      </c>
      <c r="E12" s="34">
        <f>E56</f>
        <v>23561.944901923449</v>
      </c>
      <c r="F12" s="36">
        <f>E59</f>
        <v>883.57293382212924</v>
      </c>
    </row>
    <row r="13" spans="2:6" s="20" customFormat="1" x14ac:dyDescent="0.3">
      <c r="B13" s="62"/>
      <c r="C13" s="33" t="str">
        <f>B62</f>
        <v>Pyramid (rectangular)</v>
      </c>
      <c r="D13" s="34">
        <f>E66</f>
        <v>249999.99999999997</v>
      </c>
      <c r="E13" s="34">
        <f>E56</f>
        <v>23561.944901923449</v>
      </c>
      <c r="F13" s="36">
        <f>E71</f>
        <v>1124.9999999999998</v>
      </c>
    </row>
    <row r="14" spans="2:6" s="20" customFormat="1" x14ac:dyDescent="0.3">
      <c r="B14" s="62"/>
      <c r="C14" s="33" t="str">
        <f>B74</f>
        <v>Torus (donut)</v>
      </c>
      <c r="D14" s="34">
        <f>E77</f>
        <v>308425.13753404247</v>
      </c>
      <c r="E14" s="34">
        <f>E79</f>
        <v>24674.011002723397</v>
      </c>
      <c r="F14" s="36">
        <f>E82</f>
        <v>1387.9131189031909</v>
      </c>
    </row>
    <row r="15" spans="2:6" x14ac:dyDescent="0.3">
      <c r="B15" s="62"/>
      <c r="C15" s="18" t="s">
        <v>124</v>
      </c>
      <c r="D15" s="49">
        <f>SUM(D9:D14)</f>
        <v>2409273.1478812778</v>
      </c>
      <c r="E15" s="49">
        <f>SUM(E9:E14)</f>
        <v>182175.01632183863</v>
      </c>
      <c r="F15" s="50">
        <f>SUM(F9:F14)</f>
        <v>10841.729165465751</v>
      </c>
    </row>
    <row r="16" spans="2:6" x14ac:dyDescent="0.3">
      <c r="B16" s="63"/>
      <c r="C16" s="43" t="s">
        <v>129</v>
      </c>
      <c r="D16" s="51">
        <f>D15/(F5*F5*F5)</f>
        <v>2.4092731478812779E-3</v>
      </c>
      <c r="E16" s="44">
        <f>E15/(F5*F5)</f>
        <v>0.18217501632183863</v>
      </c>
      <c r="F16" s="45">
        <f>F15/1000</f>
        <v>10.84172916546575</v>
      </c>
    </row>
    <row r="17" spans="2:6" x14ac:dyDescent="0.3">
      <c r="B17" s="23" t="s">
        <v>70</v>
      </c>
      <c r="C17" s="39" t="s">
        <v>91</v>
      </c>
      <c r="D17" s="40" t="s">
        <v>89</v>
      </c>
      <c r="E17" s="40" t="s">
        <v>90</v>
      </c>
      <c r="F17" s="41" t="s">
        <v>1</v>
      </c>
    </row>
    <row r="18" spans="2:6" x14ac:dyDescent="0.3">
      <c r="B18" s="23"/>
      <c r="C18" s="18" t="s">
        <v>71</v>
      </c>
      <c r="D18" s="18"/>
      <c r="E18" s="17">
        <v>50</v>
      </c>
      <c r="F18" s="15" t="str">
        <f>Units</f>
        <v>mm</v>
      </c>
    </row>
    <row r="19" spans="2:6" x14ac:dyDescent="0.3">
      <c r="B19" s="23"/>
      <c r="C19" s="18" t="s">
        <v>104</v>
      </c>
      <c r="D19" s="18" t="s">
        <v>111</v>
      </c>
      <c r="E19" s="18">
        <f>4/3*PI()*E18^3</f>
        <v>523598.77559829882</v>
      </c>
      <c r="F19" s="15" t="str">
        <f>_xlfn.CONCAT(Units,"³")</f>
        <v>mm³</v>
      </c>
    </row>
    <row r="20" spans="2:6" x14ac:dyDescent="0.3">
      <c r="B20" s="23"/>
      <c r="C20" s="18" t="s">
        <v>104</v>
      </c>
      <c r="D20" s="18"/>
      <c r="E20" s="18">
        <f>E19/($F$5*$F$5*$F$5)</f>
        <v>5.2359877559829881E-4</v>
      </c>
      <c r="F20" s="15" t="s">
        <v>88</v>
      </c>
    </row>
    <row r="21" spans="2:6" x14ac:dyDescent="0.3">
      <c r="B21" s="23"/>
      <c r="C21" s="18" t="s">
        <v>105</v>
      </c>
      <c r="D21" s="18" t="s">
        <v>112</v>
      </c>
      <c r="E21" s="18">
        <f>4*PI()*E18^2</f>
        <v>31415.926535897932</v>
      </c>
      <c r="F21" s="15" t="str">
        <f>_xlfn.CONCAT(Units,"²")</f>
        <v>mm²</v>
      </c>
    </row>
    <row r="22" spans="2:6" x14ac:dyDescent="0.3">
      <c r="B22" s="23"/>
      <c r="C22" s="18" t="s">
        <v>105</v>
      </c>
      <c r="D22" s="18"/>
      <c r="E22" s="18">
        <f>E21/(F5*F5)</f>
        <v>3.1415926535897934E-2</v>
      </c>
      <c r="F22" s="15" t="s">
        <v>93</v>
      </c>
    </row>
    <row r="23" spans="2:6" x14ac:dyDescent="0.3">
      <c r="B23" s="23"/>
      <c r="C23" s="18" t="s">
        <v>72</v>
      </c>
      <c r="D23" s="18" t="s">
        <v>130</v>
      </c>
      <c r="E23" s="18">
        <f>$F$7*E20</f>
        <v>2.3561944901923448</v>
      </c>
      <c r="F23" s="15" t="s">
        <v>86</v>
      </c>
    </row>
    <row r="24" spans="2:6" x14ac:dyDescent="0.3">
      <c r="B24" s="24"/>
      <c r="C24" s="18" t="s">
        <v>72</v>
      </c>
      <c r="D24" s="18"/>
      <c r="E24" s="18">
        <f>E23*1000</f>
        <v>2356.1944901923448</v>
      </c>
      <c r="F24" s="15" t="s">
        <v>87</v>
      </c>
    </row>
    <row r="25" spans="2:6" x14ac:dyDescent="0.3">
      <c r="B25" s="27"/>
      <c r="C25" s="28"/>
      <c r="D25" s="28"/>
      <c r="E25" s="28"/>
      <c r="F25" s="29"/>
    </row>
    <row r="26" spans="2:6" x14ac:dyDescent="0.3">
      <c r="B26" s="30"/>
      <c r="C26" s="31"/>
      <c r="D26" s="31"/>
      <c r="E26" s="31"/>
      <c r="F26" s="32"/>
    </row>
    <row r="27" spans="2:6" x14ac:dyDescent="0.3">
      <c r="B27" s="22" t="s">
        <v>92</v>
      </c>
      <c r="C27" s="16" t="s">
        <v>91</v>
      </c>
      <c r="D27" s="16" t="s">
        <v>89</v>
      </c>
      <c r="E27" s="16" t="s">
        <v>90</v>
      </c>
      <c r="F27" s="19" t="s">
        <v>1</v>
      </c>
    </row>
    <row r="28" spans="2:6" x14ac:dyDescent="0.3">
      <c r="B28" s="23"/>
      <c r="C28" s="18" t="s">
        <v>96</v>
      </c>
      <c r="D28" s="18"/>
      <c r="E28" s="17">
        <v>100</v>
      </c>
      <c r="F28" s="15" t="str">
        <f>Units</f>
        <v>mm</v>
      </c>
    </row>
    <row r="29" spans="2:6" x14ac:dyDescent="0.3">
      <c r="B29" s="23"/>
      <c r="C29" s="18" t="s">
        <v>97</v>
      </c>
      <c r="D29" s="18"/>
      <c r="E29" s="17">
        <v>100</v>
      </c>
      <c r="F29" s="15" t="str">
        <f>Units</f>
        <v>mm</v>
      </c>
    </row>
    <row r="30" spans="2:6" x14ac:dyDescent="0.3">
      <c r="B30" s="23"/>
      <c r="C30" s="18" t="s">
        <v>98</v>
      </c>
      <c r="D30" s="18"/>
      <c r="E30" s="17">
        <v>100</v>
      </c>
      <c r="F30" s="15" t="str">
        <f>Units</f>
        <v>mm</v>
      </c>
    </row>
    <row r="31" spans="2:6" x14ac:dyDescent="0.3">
      <c r="B31" s="23"/>
      <c r="C31" s="18" t="s">
        <v>104</v>
      </c>
      <c r="D31" s="18" t="s">
        <v>109</v>
      </c>
      <c r="E31" s="18">
        <f>E28*E29*E30</f>
        <v>1000000</v>
      </c>
      <c r="F31" s="15" t="str">
        <f>_xlfn.CONCAT(Units,"³")</f>
        <v>mm³</v>
      </c>
    </row>
    <row r="32" spans="2:6" x14ac:dyDescent="0.3">
      <c r="B32" s="23"/>
      <c r="C32" s="18" t="s">
        <v>104</v>
      </c>
      <c r="D32" s="18"/>
      <c r="E32" s="18">
        <f>E31/($F$5*$F$5*$F$5)</f>
        <v>1E-3</v>
      </c>
      <c r="F32" s="15" t="s">
        <v>88</v>
      </c>
    </row>
    <row r="33" spans="2:6" x14ac:dyDescent="0.3">
      <c r="B33" s="23"/>
      <c r="C33" s="18" t="s">
        <v>105</v>
      </c>
      <c r="D33" s="18" t="s">
        <v>110</v>
      </c>
      <c r="E33" s="18">
        <f>($E$28*E30+E29*E30+E28*E29)*2</f>
        <v>60000</v>
      </c>
      <c r="F33" s="15" t="str">
        <f>_xlfn.CONCAT(Units,"²")</f>
        <v>mm²</v>
      </c>
    </row>
    <row r="34" spans="2:6" x14ac:dyDescent="0.3">
      <c r="B34" s="23"/>
      <c r="C34" s="18" t="s">
        <v>105</v>
      </c>
      <c r="D34" s="18"/>
      <c r="E34" s="18">
        <f>E33/(F5*F5)</f>
        <v>0.06</v>
      </c>
      <c r="F34" s="15" t="s">
        <v>93</v>
      </c>
    </row>
    <row r="35" spans="2:6" x14ac:dyDescent="0.3">
      <c r="B35" s="23"/>
      <c r="C35" s="18" t="s">
        <v>72</v>
      </c>
      <c r="D35" s="18" t="s">
        <v>130</v>
      </c>
      <c r="E35" s="18">
        <f>$F$7*E32</f>
        <v>4.5</v>
      </c>
      <c r="F35" s="15" t="s">
        <v>86</v>
      </c>
    </row>
    <row r="36" spans="2:6" x14ac:dyDescent="0.3">
      <c r="B36" s="24"/>
      <c r="C36" s="18" t="s">
        <v>72</v>
      </c>
      <c r="D36" s="18"/>
      <c r="E36" s="18">
        <f>E35*1000</f>
        <v>4500</v>
      </c>
      <c r="F36" s="15" t="s">
        <v>87</v>
      </c>
    </row>
    <row r="37" spans="2:6" x14ac:dyDescent="0.3">
      <c r="B37" s="27"/>
      <c r="C37" s="28"/>
      <c r="D37" s="28"/>
      <c r="E37" s="28"/>
      <c r="F37" s="29"/>
    </row>
    <row r="38" spans="2:6" x14ac:dyDescent="0.3">
      <c r="B38" s="30"/>
      <c r="C38" s="31"/>
      <c r="D38" s="31"/>
      <c r="E38" s="31"/>
      <c r="F38" s="32"/>
    </row>
    <row r="39" spans="2:6" x14ac:dyDescent="0.3">
      <c r="B39" s="22" t="s">
        <v>95</v>
      </c>
      <c r="C39" s="16" t="s">
        <v>91</v>
      </c>
      <c r="D39" s="16" t="s">
        <v>89</v>
      </c>
      <c r="E39" s="16" t="s">
        <v>90</v>
      </c>
      <c r="F39" s="19" t="s">
        <v>1</v>
      </c>
    </row>
    <row r="40" spans="2:6" x14ac:dyDescent="0.3">
      <c r="B40" s="23"/>
      <c r="C40" s="18" t="s">
        <v>71</v>
      </c>
      <c r="D40" s="18"/>
      <c r="E40" s="17">
        <v>50</v>
      </c>
      <c r="F40" s="15" t="str">
        <f>Units</f>
        <v>mm</v>
      </c>
    </row>
    <row r="41" spans="2:6" x14ac:dyDescent="0.3">
      <c r="B41" s="23"/>
      <c r="C41" s="18" t="s">
        <v>98</v>
      </c>
      <c r="D41" s="18"/>
      <c r="E41" s="17">
        <v>50</v>
      </c>
      <c r="F41" s="15" t="str">
        <f>Units</f>
        <v>mm</v>
      </c>
    </row>
    <row r="42" spans="2:6" x14ac:dyDescent="0.3">
      <c r="B42" s="23"/>
      <c r="C42" s="18" t="s">
        <v>104</v>
      </c>
      <c r="D42" s="18" t="s">
        <v>113</v>
      </c>
      <c r="E42" s="18">
        <f>(1/3)*PI()*E40^2*E41</f>
        <v>130899.6938995747</v>
      </c>
      <c r="F42" s="15" t="str">
        <f>_xlfn.CONCAT(Units,"³")</f>
        <v>mm³</v>
      </c>
    </row>
    <row r="43" spans="2:6" x14ac:dyDescent="0.3">
      <c r="B43" s="23"/>
      <c r="C43" s="18" t="s">
        <v>104</v>
      </c>
      <c r="D43" s="18"/>
      <c r="E43" s="18">
        <f>E42/($F$5*$F$5*$F$5)</f>
        <v>1.308996938995747E-4</v>
      </c>
      <c r="F43" s="15" t="s">
        <v>88</v>
      </c>
    </row>
    <row r="44" spans="2:6" x14ac:dyDescent="0.3">
      <c r="B44" s="23"/>
      <c r="C44" s="18" t="s">
        <v>105</v>
      </c>
      <c r="D44" s="18" t="s">
        <v>121</v>
      </c>
      <c r="E44" s="18">
        <f>PI()*E40*(E40+(E41^2+E40^2)^0.5)</f>
        <v>18961.188979370399</v>
      </c>
      <c r="F44" s="15" t="str">
        <f>_xlfn.CONCAT(Units,"²")</f>
        <v>mm²</v>
      </c>
    </row>
    <row r="45" spans="2:6" x14ac:dyDescent="0.3">
      <c r="B45" s="23"/>
      <c r="C45" s="18" t="s">
        <v>105</v>
      </c>
      <c r="D45" s="18"/>
      <c r="E45" s="18">
        <f>E44/(F5*F5)</f>
        <v>1.8961188979370401E-2</v>
      </c>
      <c r="F45" s="15" t="s">
        <v>93</v>
      </c>
    </row>
    <row r="46" spans="2:6" x14ac:dyDescent="0.3">
      <c r="B46" s="23"/>
      <c r="C46" s="18" t="s">
        <v>72</v>
      </c>
      <c r="D46" s="18" t="s">
        <v>130</v>
      </c>
      <c r="E46" s="18">
        <f>$F$7*E43</f>
        <v>0.58904862254808621</v>
      </c>
      <c r="F46" s="15" t="s">
        <v>86</v>
      </c>
    </row>
    <row r="47" spans="2:6" x14ac:dyDescent="0.3">
      <c r="B47" s="23"/>
      <c r="C47" s="18" t="s">
        <v>72</v>
      </c>
      <c r="D47" s="18"/>
      <c r="E47" s="18">
        <f>E46*1000</f>
        <v>589.0486225480862</v>
      </c>
      <c r="F47" s="15" t="s">
        <v>87</v>
      </c>
    </row>
    <row r="48" spans="2:6" x14ac:dyDescent="0.3">
      <c r="B48" s="24"/>
      <c r="C48" s="18" t="s">
        <v>122</v>
      </c>
      <c r="D48" s="18" t="s">
        <v>123</v>
      </c>
      <c r="E48" s="18">
        <f>(E40^2+E41^2)^0.5</f>
        <v>70.710678118654755</v>
      </c>
      <c r="F48" s="15" t="str">
        <f>Units</f>
        <v>mm</v>
      </c>
    </row>
    <row r="49" spans="2:6" x14ac:dyDescent="0.3">
      <c r="B49" s="27"/>
      <c r="C49" s="28"/>
      <c r="D49" s="28"/>
      <c r="E49" s="28"/>
      <c r="F49" s="29"/>
    </row>
    <row r="50" spans="2:6" x14ac:dyDescent="0.3">
      <c r="B50" s="30"/>
      <c r="C50" s="31"/>
      <c r="D50" s="31"/>
      <c r="E50" s="31"/>
      <c r="F50" s="32"/>
    </row>
    <row r="51" spans="2:6" x14ac:dyDescent="0.3">
      <c r="B51" s="22" t="s">
        <v>99</v>
      </c>
      <c r="C51" s="16" t="s">
        <v>91</v>
      </c>
      <c r="D51" s="16" t="s">
        <v>89</v>
      </c>
      <c r="E51" s="16" t="s">
        <v>90</v>
      </c>
      <c r="F51" s="19" t="s">
        <v>1</v>
      </c>
    </row>
    <row r="52" spans="2:6" x14ac:dyDescent="0.3">
      <c r="B52" s="23"/>
      <c r="C52" s="18" t="s">
        <v>71</v>
      </c>
      <c r="D52" s="18"/>
      <c r="E52" s="17">
        <v>50</v>
      </c>
      <c r="F52" s="15" t="str">
        <f>Units</f>
        <v>mm</v>
      </c>
    </row>
    <row r="53" spans="2:6" x14ac:dyDescent="0.3">
      <c r="B53" s="23"/>
      <c r="C53" s="18" t="s">
        <v>98</v>
      </c>
      <c r="D53" s="18"/>
      <c r="E53" s="17">
        <v>25</v>
      </c>
      <c r="F53" s="15" t="str">
        <f>Units</f>
        <v>mm</v>
      </c>
    </row>
    <row r="54" spans="2:6" x14ac:dyDescent="0.3">
      <c r="B54" s="23"/>
      <c r="C54" s="18" t="s">
        <v>104</v>
      </c>
      <c r="D54" s="18" t="s">
        <v>114</v>
      </c>
      <c r="E54" s="18">
        <f>PI()*E52^2*E53</f>
        <v>196349.54084936206</v>
      </c>
      <c r="F54" s="15" t="str">
        <f>_xlfn.CONCAT(Units,"³")</f>
        <v>mm³</v>
      </c>
    </row>
    <row r="55" spans="2:6" x14ac:dyDescent="0.3">
      <c r="B55" s="23"/>
      <c r="C55" s="18" t="s">
        <v>104</v>
      </c>
      <c r="D55" s="18"/>
      <c r="E55" s="18">
        <f>E54/($F$5*$F$5*$F$5)</f>
        <v>1.9634954084936205E-4</v>
      </c>
      <c r="F55" s="15" t="s">
        <v>88</v>
      </c>
    </row>
    <row r="56" spans="2:6" x14ac:dyDescent="0.3">
      <c r="B56" s="23"/>
      <c r="C56" s="18" t="s">
        <v>105</v>
      </c>
      <c r="D56" s="18" t="s">
        <v>115</v>
      </c>
      <c r="E56" s="18">
        <f>2*PI()*E52*E53+2*PI()*E52^2</f>
        <v>23561.944901923449</v>
      </c>
      <c r="F56" s="15" t="str">
        <f>_xlfn.CONCAT(Units,"²")</f>
        <v>mm²</v>
      </c>
    </row>
    <row r="57" spans="2:6" x14ac:dyDescent="0.3">
      <c r="B57" s="23"/>
      <c r="C57" s="18" t="s">
        <v>105</v>
      </c>
      <c r="D57" s="18"/>
      <c r="E57" s="18">
        <f>E56/(F5*F5)</f>
        <v>2.356194490192345E-2</v>
      </c>
      <c r="F57" s="15" t="s">
        <v>93</v>
      </c>
    </row>
    <row r="58" spans="2:6" x14ac:dyDescent="0.3">
      <c r="B58" s="23"/>
      <c r="C58" s="18" t="s">
        <v>72</v>
      </c>
      <c r="D58" s="18" t="s">
        <v>130</v>
      </c>
      <c r="E58" s="18">
        <f>$F$7*E55</f>
        <v>0.8835729338221292</v>
      </c>
      <c r="F58" s="15" t="s">
        <v>86</v>
      </c>
    </row>
    <row r="59" spans="2:6" x14ac:dyDescent="0.3">
      <c r="B59" s="24"/>
      <c r="C59" s="18" t="s">
        <v>72</v>
      </c>
      <c r="D59" s="18"/>
      <c r="E59" s="18">
        <f>E58*1000</f>
        <v>883.57293382212924</v>
      </c>
      <c r="F59" s="15" t="s">
        <v>87</v>
      </c>
    </row>
    <row r="60" spans="2:6" x14ac:dyDescent="0.3">
      <c r="B60" s="27"/>
      <c r="C60" s="28"/>
      <c r="D60" s="28"/>
      <c r="E60" s="28"/>
      <c r="F60" s="29"/>
    </row>
    <row r="61" spans="2:6" x14ac:dyDescent="0.3">
      <c r="B61" s="30"/>
      <c r="C61" s="31"/>
      <c r="D61" s="31"/>
      <c r="E61" s="31"/>
      <c r="F61" s="32"/>
    </row>
    <row r="62" spans="2:6" x14ac:dyDescent="0.3">
      <c r="B62" s="22" t="s">
        <v>101</v>
      </c>
      <c r="C62" s="16" t="s">
        <v>91</v>
      </c>
      <c r="D62" s="16" t="s">
        <v>89</v>
      </c>
      <c r="E62" s="16" t="s">
        <v>90</v>
      </c>
      <c r="F62" s="19" t="s">
        <v>1</v>
      </c>
    </row>
    <row r="63" spans="2:6" x14ac:dyDescent="0.3">
      <c r="B63" s="23"/>
      <c r="C63" s="18" t="s">
        <v>96</v>
      </c>
      <c r="D63" s="18"/>
      <c r="E63" s="17">
        <v>100</v>
      </c>
      <c r="F63" s="15" t="str">
        <f>Units</f>
        <v>mm</v>
      </c>
    </row>
    <row r="64" spans="2:6" x14ac:dyDescent="0.3">
      <c r="B64" s="23"/>
      <c r="C64" s="18" t="s">
        <v>97</v>
      </c>
      <c r="D64" s="18"/>
      <c r="E64" s="17">
        <v>100</v>
      </c>
      <c r="F64" s="15" t="str">
        <f>Units</f>
        <v>mm</v>
      </c>
    </row>
    <row r="65" spans="2:6" x14ac:dyDescent="0.3">
      <c r="B65" s="23"/>
      <c r="C65" s="18" t="s">
        <v>98</v>
      </c>
      <c r="D65" s="18"/>
      <c r="E65" s="17">
        <v>75</v>
      </c>
      <c r="F65" s="15" t="str">
        <f>Units</f>
        <v>mm</v>
      </c>
    </row>
    <row r="66" spans="2:6" x14ac:dyDescent="0.3">
      <c r="B66" s="23"/>
      <c r="C66" s="18" t="s">
        <v>104</v>
      </c>
      <c r="D66" s="18" t="s">
        <v>116</v>
      </c>
      <c r="E66" s="18">
        <f>(1/3)*E63*E64*E65</f>
        <v>249999.99999999997</v>
      </c>
      <c r="F66" s="15" t="str">
        <f>_xlfn.CONCAT(Units,"³")</f>
        <v>mm³</v>
      </c>
    </row>
    <row r="67" spans="2:6" x14ac:dyDescent="0.3">
      <c r="B67" s="23"/>
      <c r="C67" s="18" t="s">
        <v>104</v>
      </c>
      <c r="D67" s="18"/>
      <c r="E67" s="18">
        <f>E66/($F$5*$F$5*$F$5)</f>
        <v>2.4999999999999995E-4</v>
      </c>
      <c r="F67" s="15" t="s">
        <v>88</v>
      </c>
    </row>
    <row r="68" spans="2:6" ht="50.4" x14ac:dyDescent="0.3">
      <c r="B68" s="23"/>
      <c r="C68" s="18" t="s">
        <v>105</v>
      </c>
      <c r="D68" s="21" t="s">
        <v>117</v>
      </c>
      <c r="E68" s="18">
        <f>E63*E64+E63*((E64/2)^2+E65^2)^0.5+E64*((E63/2)^2+E65^2)^0.5</f>
        <v>28027.756377319951</v>
      </c>
      <c r="F68" s="15" t="str">
        <f>_xlfn.CONCAT(Units,"²")</f>
        <v>mm²</v>
      </c>
    </row>
    <row r="69" spans="2:6" x14ac:dyDescent="0.3">
      <c r="B69" s="23"/>
      <c r="C69" s="18" t="s">
        <v>105</v>
      </c>
      <c r="D69" s="18"/>
      <c r="E69" s="18">
        <f>E68/(F5*F5)</f>
        <v>2.802775637731995E-2</v>
      </c>
      <c r="F69" s="15" t="s">
        <v>93</v>
      </c>
    </row>
    <row r="70" spans="2:6" x14ac:dyDescent="0.3">
      <c r="B70" s="23"/>
      <c r="C70" s="18" t="s">
        <v>72</v>
      </c>
      <c r="D70" s="18" t="s">
        <v>130</v>
      </c>
      <c r="E70" s="18">
        <f>$F$7*E67</f>
        <v>1.1249999999999998</v>
      </c>
      <c r="F70" s="15" t="s">
        <v>86</v>
      </c>
    </row>
    <row r="71" spans="2:6" x14ac:dyDescent="0.3">
      <c r="B71" s="24"/>
      <c r="C71" s="18" t="s">
        <v>72</v>
      </c>
      <c r="D71" s="18"/>
      <c r="E71" s="18">
        <f>E70*1000</f>
        <v>1124.9999999999998</v>
      </c>
      <c r="F71" s="15" t="s">
        <v>87</v>
      </c>
    </row>
    <row r="72" spans="2:6" x14ac:dyDescent="0.3">
      <c r="B72" s="27"/>
      <c r="C72" s="28"/>
      <c r="D72" s="28"/>
      <c r="E72" s="28"/>
      <c r="F72" s="29"/>
    </row>
    <row r="73" spans="2:6" x14ac:dyDescent="0.3">
      <c r="B73" s="30"/>
      <c r="C73" s="31"/>
      <c r="D73" s="31"/>
      <c r="E73" s="31"/>
      <c r="F73" s="32"/>
    </row>
    <row r="74" spans="2:6" x14ac:dyDescent="0.3">
      <c r="B74" s="22" t="s">
        <v>102</v>
      </c>
      <c r="C74" s="16" t="s">
        <v>91</v>
      </c>
      <c r="D74" s="16" t="s">
        <v>89</v>
      </c>
      <c r="E74" s="16" t="s">
        <v>90</v>
      </c>
      <c r="F74" s="19" t="s">
        <v>1</v>
      </c>
    </row>
    <row r="75" spans="2:6" x14ac:dyDescent="0.3">
      <c r="B75" s="23"/>
      <c r="C75" s="18" t="s">
        <v>118</v>
      </c>
      <c r="D75" s="18"/>
      <c r="E75" s="17">
        <v>25</v>
      </c>
      <c r="F75" s="15" t="str">
        <f>Units</f>
        <v>mm</v>
      </c>
    </row>
    <row r="76" spans="2:6" x14ac:dyDescent="0.3">
      <c r="B76" s="23"/>
      <c r="C76" s="18" t="s">
        <v>119</v>
      </c>
      <c r="D76" s="18"/>
      <c r="E76" s="17">
        <v>25</v>
      </c>
      <c r="F76" s="15" t="str">
        <f>Units</f>
        <v>mm</v>
      </c>
    </row>
    <row r="77" spans="2:6" x14ac:dyDescent="0.3">
      <c r="B77" s="23"/>
      <c r="C77" s="18" t="s">
        <v>104</v>
      </c>
      <c r="D77" s="18" t="s">
        <v>103</v>
      </c>
      <c r="E77" s="18">
        <f>PI()*E76^2*2*PI()*E75</f>
        <v>308425.13753404247</v>
      </c>
      <c r="F77" s="15" t="str">
        <f>_xlfn.CONCAT(Units,"³")</f>
        <v>mm³</v>
      </c>
    </row>
    <row r="78" spans="2:6" x14ac:dyDescent="0.3">
      <c r="B78" s="23"/>
      <c r="C78" s="18" t="s">
        <v>104</v>
      </c>
      <c r="D78" s="18"/>
      <c r="E78" s="18">
        <f>E77/($F$5*$F$5*$F$5)</f>
        <v>3.0842513753404245E-4</v>
      </c>
      <c r="F78" s="15" t="s">
        <v>88</v>
      </c>
    </row>
    <row r="79" spans="2:6" x14ac:dyDescent="0.3">
      <c r="B79" s="23"/>
      <c r="C79" s="18" t="s">
        <v>105</v>
      </c>
      <c r="D79" s="18" t="s">
        <v>120</v>
      </c>
      <c r="E79" s="18">
        <f>2*PI()*E75*2*PI()*E76</f>
        <v>24674.011002723397</v>
      </c>
      <c r="F79" s="15" t="str">
        <f>_xlfn.CONCAT(Units,"²")</f>
        <v>mm²</v>
      </c>
    </row>
    <row r="80" spans="2:6" x14ac:dyDescent="0.3">
      <c r="B80" s="23"/>
      <c r="C80" s="18" t="s">
        <v>105</v>
      </c>
      <c r="D80" s="18"/>
      <c r="E80" s="18">
        <f>E79/(F5*F5)</f>
        <v>2.4674011002723397E-2</v>
      </c>
      <c r="F80" s="15" t="s">
        <v>93</v>
      </c>
    </row>
    <row r="81" spans="2:9" x14ac:dyDescent="0.3">
      <c r="B81" s="23"/>
      <c r="C81" s="18" t="s">
        <v>72</v>
      </c>
      <c r="D81" s="18" t="s">
        <v>130</v>
      </c>
      <c r="E81" s="18">
        <f>$F$7*E78</f>
        <v>1.387913118903191</v>
      </c>
      <c r="F81" s="15" t="s">
        <v>86</v>
      </c>
    </row>
    <row r="82" spans="2:9" x14ac:dyDescent="0.3">
      <c r="B82" s="24"/>
      <c r="C82" s="18" t="s">
        <v>72</v>
      </c>
      <c r="D82" s="18"/>
      <c r="E82" s="18">
        <f>E81*1000</f>
        <v>1387.9131189031909</v>
      </c>
      <c r="F82" s="15" t="s">
        <v>87</v>
      </c>
      <c r="I82"/>
    </row>
    <row r="83" spans="2:9" x14ac:dyDescent="0.3">
      <c r="B83" s="27"/>
      <c r="C83" s="28"/>
      <c r="D83" s="28"/>
      <c r="E83" s="28"/>
      <c r="F83" s="29"/>
    </row>
    <row r="84" spans="2:9" x14ac:dyDescent="0.3">
      <c r="B84" s="30"/>
      <c r="C84" s="31"/>
      <c r="D84" s="31"/>
      <c r="E84" s="31"/>
      <c r="F84" s="32"/>
    </row>
  </sheetData>
  <sheetProtection algorithmName="SHA-512" hashValue="AfVacgkwth77sLuo7aQgJxuzY9FtsBgSBKWgqYdPEJLAM4z7QlcKaYUc9XHUWhXtmTC5btudBKiNOEBjZIHOhA==" saltValue="7Ur8fHi3bTBYcEH0/P8ygQ==" spinCount="100000" sheet="1" objects="1" scenarios="1"/>
  <mergeCells count="2">
    <mergeCell ref="B3:D7"/>
    <mergeCell ref="B9:B16"/>
  </mergeCell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65472E31-3765-488D-A681-5A7FE77B008F}">
          <x14:formula1>
            <xm:f>Setup!$B$4:$B$72</xm:f>
          </x14:formula1>
          <xm:sqref>F6</xm:sqref>
        </x14:dataValidation>
        <x14:dataValidation type="list" allowBlank="1" showInputMessage="1" showErrorMessage="1" xr:uid="{660B0DDF-59A2-4AA1-AFCB-384445C9CF0C}">
          <x14:formula1>
            <xm:f>Setup!$H$4:$H$8</xm:f>
          </x14:formula1>
          <xm:sqref>F4</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9E336-512C-4D38-BB5C-93D5965F59E9}">
  <dimension ref="B2:J72"/>
  <sheetViews>
    <sheetView showGridLines="0" tabSelected="1" zoomScale="130" zoomScaleNormal="130" workbookViewId="0">
      <pane ySplit="3" topLeftCell="A58" activePane="bottomLeft" state="frozen"/>
      <selection pane="bottomLeft" activeCell="I62" sqref="I62:I72"/>
    </sheetView>
  </sheetViews>
  <sheetFormatPr defaultColWidth="9.109375" defaultRowHeight="16.8" x14ac:dyDescent="0.4"/>
  <cols>
    <col min="1" max="1" width="2.5546875" style="1" customWidth="1"/>
    <col min="2" max="2" width="39.88671875" style="1" bestFit="1" customWidth="1"/>
    <col min="3" max="4" width="22.21875" style="1" customWidth="1"/>
    <col min="5" max="5" width="16.109375" style="1" bestFit="1" customWidth="1"/>
    <col min="6" max="6" width="14.77734375" style="1" bestFit="1" customWidth="1"/>
    <col min="7" max="7" width="2.5546875" style="1" customWidth="1"/>
    <col min="8" max="8" width="6.77734375" style="1" customWidth="1"/>
    <col min="9" max="9" width="8.5546875" style="1" customWidth="1"/>
    <col min="10" max="10" width="14.109375" style="1" customWidth="1"/>
    <col min="11" max="16384" width="9.109375" style="1"/>
  </cols>
  <sheetData>
    <row r="2" spans="2:10" x14ac:dyDescent="0.4">
      <c r="B2" s="1" t="s">
        <v>5</v>
      </c>
      <c r="H2" s="1" t="s">
        <v>81</v>
      </c>
    </row>
    <row r="3" spans="2:10" x14ac:dyDescent="0.4">
      <c r="B3" s="8" t="s">
        <v>132</v>
      </c>
      <c r="C3" s="64" t="s">
        <v>2</v>
      </c>
      <c r="D3" s="11" t="s">
        <v>106</v>
      </c>
      <c r="E3" s="9" t="s">
        <v>107</v>
      </c>
      <c r="F3" s="10" t="s">
        <v>108</v>
      </c>
      <c r="H3" s="8" t="s">
        <v>74</v>
      </c>
      <c r="I3" s="9" t="s">
        <v>90</v>
      </c>
      <c r="J3" s="10" t="s">
        <v>82</v>
      </c>
    </row>
    <row r="4" spans="2:10" x14ac:dyDescent="0.4">
      <c r="B4" s="3" t="s">
        <v>6</v>
      </c>
      <c r="C4" s="65" t="s">
        <v>133</v>
      </c>
      <c r="D4" s="12">
        <v>2723</v>
      </c>
      <c r="E4" s="2">
        <v>26.7</v>
      </c>
      <c r="F4" s="4">
        <v>170</v>
      </c>
      <c r="H4" s="3" t="s">
        <v>0</v>
      </c>
      <c r="I4" s="2">
        <v>1000</v>
      </c>
      <c r="J4" s="4" t="s">
        <v>76</v>
      </c>
    </row>
    <row r="5" spans="2:10" x14ac:dyDescent="0.4">
      <c r="B5" s="3" t="s">
        <v>7</v>
      </c>
      <c r="C5" s="65" t="s">
        <v>134</v>
      </c>
      <c r="D5" s="12">
        <v>2162</v>
      </c>
      <c r="E5" s="2">
        <v>21.2</v>
      </c>
      <c r="F5" s="4">
        <v>135</v>
      </c>
      <c r="H5" s="3" t="s">
        <v>83</v>
      </c>
      <c r="I5" s="2">
        <v>100</v>
      </c>
      <c r="J5" s="4" t="s">
        <v>79</v>
      </c>
    </row>
    <row r="6" spans="2:10" x14ac:dyDescent="0.4">
      <c r="B6" s="3" t="s">
        <v>8</v>
      </c>
      <c r="C6" s="65" t="s">
        <v>135</v>
      </c>
      <c r="D6" s="12">
        <f>(1019 + 1427)/2</f>
        <v>1223</v>
      </c>
      <c r="E6" s="2">
        <f>(10 + 14)/2</f>
        <v>12</v>
      </c>
      <c r="F6" s="4">
        <f>(54 + 89)/2</f>
        <v>71.5</v>
      </c>
      <c r="H6" s="3" t="s">
        <v>75</v>
      </c>
      <c r="I6" s="2">
        <v>1</v>
      </c>
      <c r="J6" s="4" t="s">
        <v>77</v>
      </c>
    </row>
    <row r="7" spans="2:10" x14ac:dyDescent="0.4">
      <c r="B7" s="3" t="s">
        <v>9</v>
      </c>
      <c r="C7" s="65" t="s">
        <v>136</v>
      </c>
      <c r="D7" s="12">
        <v>8514</v>
      </c>
      <c r="E7" s="2">
        <v>83.5</v>
      </c>
      <c r="F7" s="4">
        <v>531.5</v>
      </c>
      <c r="H7" s="3" t="s">
        <v>84</v>
      </c>
      <c r="I7" s="2">
        <v>0.30480000000000002</v>
      </c>
      <c r="J7" s="4" t="s">
        <v>78</v>
      </c>
    </row>
    <row r="8" spans="2:10" x14ac:dyDescent="0.4">
      <c r="B8" s="3" t="s">
        <v>10</v>
      </c>
      <c r="C8" s="65" t="s">
        <v>137</v>
      </c>
      <c r="D8" s="12">
        <v>8912</v>
      </c>
      <c r="E8" s="2">
        <v>87.4</v>
      </c>
      <c r="F8" s="4">
        <v>556.4</v>
      </c>
      <c r="H8" s="5" t="s">
        <v>80</v>
      </c>
      <c r="I8" s="6">
        <v>1</v>
      </c>
      <c r="J8" s="7" t="s">
        <v>85</v>
      </c>
    </row>
    <row r="9" spans="2:10" x14ac:dyDescent="0.4">
      <c r="B9" s="3" t="s">
        <v>197</v>
      </c>
      <c r="C9" s="65" t="s">
        <v>199</v>
      </c>
      <c r="D9" s="12">
        <v>1468</v>
      </c>
      <c r="E9" s="2">
        <v>14.4</v>
      </c>
      <c r="F9" s="4">
        <v>91.7</v>
      </c>
    </row>
    <row r="10" spans="2:10" x14ac:dyDescent="0.4">
      <c r="B10" s="3" t="s">
        <v>198</v>
      </c>
      <c r="C10" s="65" t="s">
        <v>200</v>
      </c>
      <c r="D10" s="12">
        <v>2050</v>
      </c>
      <c r="E10" s="2">
        <v>20.100000000000001</v>
      </c>
      <c r="F10" s="4">
        <v>128</v>
      </c>
    </row>
    <row r="11" spans="2:10" x14ac:dyDescent="0.4">
      <c r="B11" s="3" t="s">
        <v>11</v>
      </c>
      <c r="C11" s="65" t="s">
        <v>138</v>
      </c>
      <c r="D11" s="12">
        <v>2141</v>
      </c>
      <c r="E11" s="2">
        <v>21</v>
      </c>
      <c r="F11" s="4">
        <v>133.69999999999999</v>
      </c>
    </row>
    <row r="12" spans="2:10" x14ac:dyDescent="0.4">
      <c r="B12" s="3" t="s">
        <v>12</v>
      </c>
      <c r="C12" s="65" t="s">
        <v>139</v>
      </c>
      <c r="D12" s="12">
        <v>1937</v>
      </c>
      <c r="E12" s="2">
        <v>19</v>
      </c>
      <c r="F12" s="4">
        <v>120.9</v>
      </c>
    </row>
    <row r="13" spans="2:10" x14ac:dyDescent="0.4">
      <c r="B13" s="3" t="s">
        <v>13</v>
      </c>
      <c r="C13" s="65" t="s">
        <v>140</v>
      </c>
      <c r="D13" s="12">
        <v>2447</v>
      </c>
      <c r="E13" s="2">
        <v>24</v>
      </c>
      <c r="F13" s="4">
        <v>152.80000000000001</v>
      </c>
    </row>
    <row r="14" spans="2:10" x14ac:dyDescent="0.4">
      <c r="B14" s="3" t="s">
        <v>14</v>
      </c>
      <c r="C14" s="65" t="s">
        <v>141</v>
      </c>
      <c r="D14" s="12">
        <v>8800</v>
      </c>
      <c r="E14" s="2">
        <v>86.3</v>
      </c>
      <c r="F14" s="4">
        <v>549.4</v>
      </c>
    </row>
    <row r="15" spans="2:10" x14ac:dyDescent="0.4">
      <c r="B15" s="3" t="s">
        <v>15</v>
      </c>
      <c r="C15" s="65" t="s">
        <v>142</v>
      </c>
      <c r="D15" s="12">
        <v>173</v>
      </c>
      <c r="E15" s="2">
        <v>1.7</v>
      </c>
      <c r="F15" s="4">
        <v>10.8</v>
      </c>
    </row>
    <row r="16" spans="2:10" x14ac:dyDescent="0.4">
      <c r="B16" s="3" t="s">
        <v>16</v>
      </c>
      <c r="C16" s="65" t="s">
        <v>143</v>
      </c>
      <c r="D16" s="12">
        <v>377</v>
      </c>
      <c r="E16" s="2">
        <v>3.7</v>
      </c>
      <c r="F16" s="4">
        <v>23.6</v>
      </c>
    </row>
    <row r="17" spans="2:6" x14ac:dyDescent="0.4">
      <c r="B17" s="3" t="s">
        <v>17</v>
      </c>
      <c r="C17" s="65" t="s">
        <v>144</v>
      </c>
      <c r="D17" s="12">
        <v>1448</v>
      </c>
      <c r="E17" s="2">
        <v>14.2</v>
      </c>
      <c r="F17" s="4">
        <v>90.4</v>
      </c>
    </row>
    <row r="18" spans="2:6" x14ac:dyDescent="0.4">
      <c r="B18" s="3" t="s">
        <v>18</v>
      </c>
      <c r="C18" s="65" t="s">
        <v>145</v>
      </c>
      <c r="D18" s="12">
        <v>1754</v>
      </c>
      <c r="E18" s="2">
        <v>17.2</v>
      </c>
      <c r="F18" s="4">
        <v>109.5</v>
      </c>
    </row>
    <row r="19" spans="2:6" x14ac:dyDescent="0.4">
      <c r="B19" s="3" t="s">
        <v>19</v>
      </c>
      <c r="C19" s="65" t="s">
        <v>146</v>
      </c>
      <c r="D19" s="12">
        <v>928</v>
      </c>
      <c r="E19" s="2">
        <v>9.1</v>
      </c>
      <c r="F19" s="4">
        <v>57.9</v>
      </c>
    </row>
    <row r="20" spans="2:6" x14ac:dyDescent="0.4">
      <c r="B20" s="3" t="s">
        <v>20</v>
      </c>
      <c r="C20" s="65" t="s">
        <v>147</v>
      </c>
      <c r="D20" s="12">
        <v>704</v>
      </c>
      <c r="E20" s="2">
        <v>6.9</v>
      </c>
      <c r="F20" s="4">
        <v>43.9</v>
      </c>
    </row>
    <row r="21" spans="2:6" x14ac:dyDescent="0.4">
      <c r="B21" s="3" t="s">
        <v>21</v>
      </c>
      <c r="C21" s="65" t="s">
        <v>148</v>
      </c>
      <c r="D21" s="12">
        <v>2600</v>
      </c>
      <c r="E21" s="2">
        <v>25.5</v>
      </c>
      <c r="F21" s="4">
        <v>162.30000000000001</v>
      </c>
    </row>
    <row r="22" spans="2:6" x14ac:dyDescent="0.4">
      <c r="B22" s="3" t="s">
        <v>22</v>
      </c>
      <c r="C22" s="65" t="s">
        <v>149</v>
      </c>
      <c r="D22" s="12">
        <v>2039</v>
      </c>
      <c r="E22" s="2">
        <v>20</v>
      </c>
      <c r="F22" s="4">
        <v>127.3</v>
      </c>
    </row>
    <row r="23" spans="2:6" x14ac:dyDescent="0.4">
      <c r="B23" s="3" t="s">
        <v>23</v>
      </c>
      <c r="C23" s="65" t="s">
        <v>150</v>
      </c>
      <c r="D23" s="12">
        <v>2692</v>
      </c>
      <c r="E23" s="2">
        <v>26.4</v>
      </c>
      <c r="F23" s="4">
        <v>168.1</v>
      </c>
    </row>
    <row r="24" spans="2:6" x14ac:dyDescent="0.4">
      <c r="B24" s="3" t="s">
        <v>24</v>
      </c>
      <c r="C24" s="65" t="s">
        <v>151</v>
      </c>
      <c r="D24" s="12">
        <v>7209</v>
      </c>
      <c r="E24" s="2">
        <v>70.7</v>
      </c>
      <c r="F24" s="4">
        <v>450.1</v>
      </c>
    </row>
    <row r="25" spans="2:6" x14ac:dyDescent="0.4">
      <c r="B25" s="3" t="s">
        <v>25</v>
      </c>
      <c r="C25" s="65" t="s">
        <v>152</v>
      </c>
      <c r="D25" s="12">
        <v>11319</v>
      </c>
      <c r="E25" s="2">
        <v>111</v>
      </c>
      <c r="F25" s="4">
        <v>706.6</v>
      </c>
    </row>
    <row r="26" spans="2:6" x14ac:dyDescent="0.4">
      <c r="B26" s="3" t="s">
        <v>26</v>
      </c>
      <c r="C26" s="65" t="s">
        <v>153</v>
      </c>
      <c r="D26" s="12">
        <v>2498</v>
      </c>
      <c r="E26" s="2">
        <v>24.5</v>
      </c>
      <c r="F26" s="4">
        <v>156</v>
      </c>
    </row>
    <row r="27" spans="2:6" x14ac:dyDescent="0.4">
      <c r="B27" s="3" t="s">
        <v>27</v>
      </c>
      <c r="C27" s="65" t="s">
        <v>154</v>
      </c>
      <c r="D27" s="12">
        <v>1275</v>
      </c>
      <c r="E27" s="2">
        <v>12.5</v>
      </c>
      <c r="F27" s="4">
        <v>79.599999999999994</v>
      </c>
    </row>
    <row r="28" spans="2:6" x14ac:dyDescent="0.4">
      <c r="B28" s="3" t="s">
        <v>28</v>
      </c>
      <c r="C28" s="65" t="s">
        <v>155</v>
      </c>
      <c r="D28" s="12">
        <v>1774</v>
      </c>
      <c r="E28" s="2">
        <v>17.399999999999999</v>
      </c>
      <c r="F28" s="4">
        <v>110.8</v>
      </c>
    </row>
    <row r="29" spans="2:6" x14ac:dyDescent="0.4">
      <c r="B29" s="3" t="s">
        <v>29</v>
      </c>
      <c r="C29" s="65" t="s">
        <v>156</v>
      </c>
      <c r="D29" s="12">
        <v>2702</v>
      </c>
      <c r="E29" s="2">
        <v>26.5</v>
      </c>
      <c r="F29" s="4">
        <v>168.7</v>
      </c>
    </row>
    <row r="30" spans="2:6" x14ac:dyDescent="0.4">
      <c r="B30" s="3" t="s">
        <v>30</v>
      </c>
      <c r="C30" s="65" t="s">
        <v>157</v>
      </c>
      <c r="D30" s="12">
        <v>9086</v>
      </c>
      <c r="E30" s="2">
        <v>89.1</v>
      </c>
      <c r="F30" s="4">
        <v>567.20000000000005</v>
      </c>
    </row>
    <row r="31" spans="2:6" x14ac:dyDescent="0.4">
      <c r="B31" s="3" t="s">
        <v>31</v>
      </c>
      <c r="C31" s="65" t="s">
        <v>158</v>
      </c>
      <c r="D31" s="12">
        <v>704</v>
      </c>
      <c r="E31" s="2">
        <v>6.9</v>
      </c>
      <c r="F31" s="4">
        <v>43.9</v>
      </c>
    </row>
    <row r="32" spans="2:6" x14ac:dyDescent="0.4">
      <c r="B32" s="3" t="s">
        <v>32</v>
      </c>
      <c r="C32" s="65" t="s">
        <v>159</v>
      </c>
      <c r="D32" s="12">
        <v>2039</v>
      </c>
      <c r="E32" s="2">
        <v>20</v>
      </c>
      <c r="F32" s="4">
        <v>127.3</v>
      </c>
    </row>
    <row r="33" spans="2:6" x14ac:dyDescent="0.4">
      <c r="B33" s="3" t="s">
        <v>33</v>
      </c>
      <c r="C33" s="65" t="s">
        <v>160</v>
      </c>
      <c r="D33" s="12">
        <v>2294</v>
      </c>
      <c r="E33" s="2">
        <v>22.5</v>
      </c>
      <c r="F33" s="4">
        <v>143.19999999999999</v>
      </c>
    </row>
    <row r="34" spans="2:6" x14ac:dyDescent="0.4">
      <c r="B34" s="3" t="s">
        <v>34</v>
      </c>
      <c r="C34" s="65" t="s">
        <v>161</v>
      </c>
      <c r="D34" s="12">
        <v>1835</v>
      </c>
      <c r="E34" s="2">
        <v>18</v>
      </c>
      <c r="F34" s="4">
        <v>114.6</v>
      </c>
    </row>
    <row r="35" spans="2:6" x14ac:dyDescent="0.4">
      <c r="B35" s="3" t="s">
        <v>35</v>
      </c>
      <c r="C35" s="65" t="s">
        <v>162</v>
      </c>
      <c r="D35" s="12">
        <v>2549</v>
      </c>
      <c r="E35" s="2">
        <v>25</v>
      </c>
      <c r="F35" s="4">
        <v>159.1</v>
      </c>
    </row>
    <row r="36" spans="2:6" x14ac:dyDescent="0.4">
      <c r="B36" s="3" t="s">
        <v>36</v>
      </c>
      <c r="C36" s="65" t="s">
        <v>163</v>
      </c>
      <c r="D36" s="12">
        <v>2141</v>
      </c>
      <c r="E36" s="2">
        <v>21</v>
      </c>
      <c r="F36" s="4">
        <v>133.69999999999999</v>
      </c>
    </row>
    <row r="37" spans="2:6" x14ac:dyDescent="0.4">
      <c r="B37" s="3" t="s">
        <v>37</v>
      </c>
      <c r="C37" s="65" t="s">
        <v>164</v>
      </c>
      <c r="D37" s="12">
        <v>7841</v>
      </c>
      <c r="E37" s="2">
        <v>76.900000000000006</v>
      </c>
      <c r="F37" s="4">
        <v>489.5</v>
      </c>
    </row>
    <row r="38" spans="2:6" x14ac:dyDescent="0.4">
      <c r="B38" s="3" t="s">
        <v>38</v>
      </c>
      <c r="C38" s="65" t="s">
        <v>165</v>
      </c>
      <c r="D38" s="12">
        <v>540</v>
      </c>
      <c r="E38" s="2">
        <v>5.3</v>
      </c>
      <c r="F38" s="4">
        <v>33.700000000000003</v>
      </c>
    </row>
    <row r="39" spans="2:6" x14ac:dyDescent="0.4">
      <c r="B39" s="3" t="s">
        <v>39</v>
      </c>
      <c r="C39" s="65" t="s">
        <v>166</v>
      </c>
      <c r="D39" s="12">
        <v>469</v>
      </c>
      <c r="E39" s="2">
        <v>4.5999999999999996</v>
      </c>
      <c r="F39" s="4">
        <v>29.3</v>
      </c>
    </row>
    <row r="40" spans="2:6" x14ac:dyDescent="0.4">
      <c r="B40" s="3" t="s">
        <v>40</v>
      </c>
      <c r="C40" s="65" t="s">
        <v>167</v>
      </c>
      <c r="D40" s="12">
        <v>714</v>
      </c>
      <c r="E40" s="2">
        <v>7</v>
      </c>
      <c r="F40" s="4">
        <v>44.6</v>
      </c>
    </row>
    <row r="41" spans="2:6" x14ac:dyDescent="0.4">
      <c r="B41" s="3" t="s">
        <v>41</v>
      </c>
      <c r="C41" s="65" t="s">
        <v>168</v>
      </c>
      <c r="D41" s="12">
        <v>561</v>
      </c>
      <c r="E41" s="2">
        <v>5.5</v>
      </c>
      <c r="F41" s="4">
        <v>35</v>
      </c>
    </row>
    <row r="42" spans="2:6" x14ac:dyDescent="0.4">
      <c r="B42" s="3" t="s">
        <v>42</v>
      </c>
      <c r="C42" s="65" t="s">
        <v>169</v>
      </c>
      <c r="D42" s="12">
        <v>540</v>
      </c>
      <c r="E42" s="2">
        <v>5.3</v>
      </c>
      <c r="F42" s="4">
        <v>33.700000000000003</v>
      </c>
    </row>
    <row r="43" spans="2:6" x14ac:dyDescent="0.4">
      <c r="B43" s="3" t="s">
        <v>43</v>
      </c>
      <c r="C43" s="65" t="s">
        <v>170</v>
      </c>
      <c r="D43" s="12">
        <v>887</v>
      </c>
      <c r="E43" s="2">
        <v>8.6999999999999993</v>
      </c>
      <c r="F43" s="4">
        <v>55.4</v>
      </c>
    </row>
    <row r="44" spans="2:6" x14ac:dyDescent="0.4">
      <c r="B44" s="3" t="s">
        <v>44</v>
      </c>
      <c r="C44" s="65" t="s">
        <v>171</v>
      </c>
      <c r="D44" s="12">
        <v>1081</v>
      </c>
      <c r="E44" s="2">
        <v>10.6</v>
      </c>
      <c r="F44" s="4">
        <v>67.5</v>
      </c>
    </row>
    <row r="45" spans="2:6" x14ac:dyDescent="0.4">
      <c r="B45" s="3" t="s">
        <v>45</v>
      </c>
      <c r="C45" s="65" t="s">
        <v>172</v>
      </c>
      <c r="D45" s="12">
        <v>1122</v>
      </c>
      <c r="E45" s="2">
        <v>11</v>
      </c>
      <c r="F45" s="4">
        <v>70</v>
      </c>
    </row>
    <row r="46" spans="2:6" x14ac:dyDescent="0.4">
      <c r="B46" s="3" t="s">
        <v>46</v>
      </c>
      <c r="C46" s="65" t="s">
        <v>173</v>
      </c>
      <c r="D46" s="12">
        <v>816</v>
      </c>
      <c r="E46" s="2">
        <v>8</v>
      </c>
      <c r="F46" s="4">
        <v>50.9</v>
      </c>
    </row>
    <row r="47" spans="2:6" x14ac:dyDescent="0.4">
      <c r="B47" s="3" t="s">
        <v>47</v>
      </c>
      <c r="C47" s="65" t="s">
        <v>174</v>
      </c>
      <c r="D47" s="12">
        <v>1020</v>
      </c>
      <c r="E47" s="2">
        <v>10</v>
      </c>
      <c r="F47" s="4">
        <v>63.7</v>
      </c>
    </row>
    <row r="48" spans="2:6" x14ac:dyDescent="0.4">
      <c r="B48" s="3" t="s">
        <v>48</v>
      </c>
      <c r="C48" s="65" t="s">
        <v>175</v>
      </c>
      <c r="D48" s="12">
        <v>1020</v>
      </c>
      <c r="E48" s="2">
        <v>10</v>
      </c>
      <c r="F48" s="4">
        <v>63.7</v>
      </c>
    </row>
    <row r="49" spans="2:6" x14ac:dyDescent="0.4">
      <c r="B49" s="3" t="s">
        <v>49</v>
      </c>
      <c r="C49" s="65" t="s">
        <v>176</v>
      </c>
      <c r="D49" s="12">
        <v>969</v>
      </c>
      <c r="E49" s="2">
        <v>9.5</v>
      </c>
      <c r="F49" s="4">
        <v>60.5</v>
      </c>
    </row>
    <row r="50" spans="2:6" x14ac:dyDescent="0.4">
      <c r="B50" s="3" t="s">
        <v>50</v>
      </c>
      <c r="C50" s="65" t="s">
        <v>177</v>
      </c>
      <c r="D50" s="12">
        <v>969</v>
      </c>
      <c r="E50" s="2">
        <v>9.5</v>
      </c>
      <c r="F50" s="4">
        <v>60.5</v>
      </c>
    </row>
    <row r="51" spans="2:6" x14ac:dyDescent="0.4">
      <c r="B51" s="3" t="s">
        <v>51</v>
      </c>
      <c r="C51" s="65" t="s">
        <v>178</v>
      </c>
      <c r="D51" s="12">
        <v>642</v>
      </c>
      <c r="E51" s="2">
        <v>6.3</v>
      </c>
      <c r="F51" s="4">
        <v>40.1</v>
      </c>
    </row>
    <row r="52" spans="2:6" x14ac:dyDescent="0.4">
      <c r="B52" s="3" t="s">
        <v>52</v>
      </c>
      <c r="C52" s="65" t="s">
        <v>179</v>
      </c>
      <c r="D52" s="12">
        <v>714</v>
      </c>
      <c r="E52" s="2">
        <v>7</v>
      </c>
      <c r="F52" s="4">
        <v>44.6</v>
      </c>
    </row>
    <row r="53" spans="2:6" x14ac:dyDescent="0.4">
      <c r="B53" s="3" t="s">
        <v>53</v>
      </c>
      <c r="C53" s="65" t="s">
        <v>180</v>
      </c>
      <c r="D53" s="12">
        <v>867</v>
      </c>
      <c r="E53" s="2">
        <v>8.5</v>
      </c>
      <c r="F53" s="4">
        <v>54.1</v>
      </c>
    </row>
    <row r="54" spans="2:6" x14ac:dyDescent="0.4">
      <c r="B54" s="3" t="s">
        <v>54</v>
      </c>
      <c r="C54" s="65" t="s">
        <v>181</v>
      </c>
      <c r="D54" s="12">
        <v>775</v>
      </c>
      <c r="E54" s="2">
        <v>7.6</v>
      </c>
      <c r="F54" s="4">
        <v>48.4</v>
      </c>
    </row>
    <row r="55" spans="2:6" x14ac:dyDescent="0.4">
      <c r="B55" s="3" t="s">
        <v>55</v>
      </c>
      <c r="C55" s="65" t="s">
        <v>182</v>
      </c>
      <c r="D55" s="12">
        <v>602</v>
      </c>
      <c r="E55" s="2">
        <v>5.9</v>
      </c>
      <c r="F55" s="4">
        <v>37.6</v>
      </c>
    </row>
    <row r="56" spans="2:6" x14ac:dyDescent="0.4">
      <c r="B56" s="3" t="s">
        <v>56</v>
      </c>
      <c r="C56" s="65" t="s">
        <v>183</v>
      </c>
      <c r="D56" s="12">
        <v>795</v>
      </c>
      <c r="E56" s="2">
        <v>7.8</v>
      </c>
      <c r="F56" s="4">
        <v>49.7</v>
      </c>
    </row>
    <row r="57" spans="2:6" x14ac:dyDescent="0.4">
      <c r="B57" s="3" t="s">
        <v>57</v>
      </c>
      <c r="C57" s="65" t="s">
        <v>184</v>
      </c>
      <c r="D57" s="12">
        <f>(978 + 1142)/2</f>
        <v>1060</v>
      </c>
      <c r="E57" s="2">
        <f>(9.6 + 11.2)/2</f>
        <v>10.399999999999999</v>
      </c>
      <c r="F57" s="4">
        <f>(61 + 71)/2</f>
        <v>66</v>
      </c>
    </row>
    <row r="58" spans="2:6" x14ac:dyDescent="0.4">
      <c r="B58" s="3" t="s">
        <v>58</v>
      </c>
      <c r="C58" s="65" t="s">
        <v>185</v>
      </c>
      <c r="D58" s="12">
        <v>683</v>
      </c>
      <c r="E58" s="2">
        <v>6.7</v>
      </c>
      <c r="F58" s="4">
        <v>42.7</v>
      </c>
    </row>
    <row r="59" spans="2:6" x14ac:dyDescent="0.4">
      <c r="B59" s="3" t="s">
        <v>59</v>
      </c>
      <c r="C59" s="65" t="s">
        <v>186</v>
      </c>
      <c r="D59" s="12">
        <v>683</v>
      </c>
      <c r="E59" s="2">
        <v>6.7</v>
      </c>
      <c r="F59" s="4">
        <v>42.7</v>
      </c>
    </row>
    <row r="60" spans="2:6" x14ac:dyDescent="0.4">
      <c r="B60" s="3" t="s">
        <v>60</v>
      </c>
      <c r="C60" s="65" t="s">
        <v>187</v>
      </c>
      <c r="D60" s="12">
        <v>551</v>
      </c>
      <c r="E60" s="2">
        <v>5.4</v>
      </c>
      <c r="F60" s="4">
        <v>34.4</v>
      </c>
    </row>
    <row r="61" spans="2:6" x14ac:dyDescent="0.4">
      <c r="B61" s="3" t="s">
        <v>61</v>
      </c>
      <c r="C61" s="65" t="s">
        <v>188</v>
      </c>
      <c r="D61" s="12">
        <v>173</v>
      </c>
      <c r="E61" s="2">
        <v>1.7</v>
      </c>
      <c r="F61" s="4">
        <v>10.8</v>
      </c>
    </row>
    <row r="62" spans="2:6" x14ac:dyDescent="0.4">
      <c r="B62" s="3" t="s">
        <v>62</v>
      </c>
      <c r="C62" s="65" t="s">
        <v>189</v>
      </c>
      <c r="D62" s="12">
        <f>(305 + 407)/2</f>
        <v>356</v>
      </c>
      <c r="E62" s="2">
        <f>(3 + 4)/2</f>
        <v>3.5</v>
      </c>
      <c r="F62" s="4">
        <f>(19 + 25)/2</f>
        <v>22</v>
      </c>
    </row>
    <row r="63" spans="2:6" x14ac:dyDescent="0.4">
      <c r="B63" s="3" t="s">
        <v>63</v>
      </c>
      <c r="C63" s="65" t="s">
        <v>190</v>
      </c>
      <c r="D63" s="12">
        <v>387</v>
      </c>
      <c r="E63" s="2">
        <v>3.8</v>
      </c>
      <c r="F63" s="4">
        <v>24.2</v>
      </c>
    </row>
    <row r="64" spans="2:6" x14ac:dyDescent="0.4">
      <c r="B64" s="3" t="s">
        <v>64</v>
      </c>
      <c r="C64" s="65" t="s">
        <v>191</v>
      </c>
      <c r="D64" s="12">
        <v>428</v>
      </c>
      <c r="E64" s="2">
        <v>4.2</v>
      </c>
      <c r="F64" s="4">
        <v>26.7</v>
      </c>
    </row>
    <row r="65" spans="2:6" x14ac:dyDescent="0.4">
      <c r="B65" s="3" t="s">
        <v>65</v>
      </c>
      <c r="C65" s="65" t="s">
        <v>192</v>
      </c>
      <c r="D65" s="12">
        <v>459</v>
      </c>
      <c r="E65" s="2">
        <v>4.5</v>
      </c>
      <c r="F65" s="4">
        <v>28.6</v>
      </c>
    </row>
    <row r="66" spans="2:6" x14ac:dyDescent="0.4">
      <c r="B66" s="3" t="s">
        <v>66</v>
      </c>
      <c r="C66" s="65" t="s">
        <v>193</v>
      </c>
      <c r="D66" s="12">
        <v>520</v>
      </c>
      <c r="E66" s="2">
        <v>5.0999999999999996</v>
      </c>
      <c r="F66" s="4">
        <v>32.5</v>
      </c>
    </row>
    <row r="67" spans="2:6" x14ac:dyDescent="0.4">
      <c r="B67" s="3" t="s">
        <v>67</v>
      </c>
      <c r="C67" s="65" t="s">
        <v>194</v>
      </c>
      <c r="D67" s="12">
        <v>7423</v>
      </c>
      <c r="E67" s="2">
        <v>72.8</v>
      </c>
      <c r="F67" s="4">
        <v>463.4</v>
      </c>
    </row>
    <row r="68" spans="2:6" x14ac:dyDescent="0.4">
      <c r="B68" s="3" t="s">
        <v>131</v>
      </c>
      <c r="C68" s="65" t="s">
        <v>195</v>
      </c>
      <c r="D68" s="12">
        <v>4500</v>
      </c>
      <c r="E68" s="2">
        <f>44203.86/1000</f>
        <v>44.203859999999999</v>
      </c>
      <c r="F68" s="4">
        <v>280</v>
      </c>
    </row>
    <row r="69" spans="2:6" x14ac:dyDescent="0.4">
      <c r="B69" s="3" t="s">
        <v>68</v>
      </c>
      <c r="C69" s="65" t="s">
        <v>196</v>
      </c>
      <c r="D69" s="12">
        <v>1020</v>
      </c>
      <c r="E69" s="2">
        <v>10</v>
      </c>
      <c r="F69" s="4">
        <v>63.7</v>
      </c>
    </row>
    <row r="70" spans="2:6" x14ac:dyDescent="0.4">
      <c r="B70" s="3" t="s">
        <v>69</v>
      </c>
      <c r="C70" s="65" t="s">
        <v>69</v>
      </c>
      <c r="D70" s="12">
        <v>7138</v>
      </c>
      <c r="E70" s="2">
        <v>70</v>
      </c>
      <c r="F70" s="4">
        <v>445.6</v>
      </c>
    </row>
    <row r="71" spans="2:6" x14ac:dyDescent="0.4">
      <c r="B71" s="67" t="s">
        <v>201</v>
      </c>
      <c r="C71" s="68" t="s">
        <v>202</v>
      </c>
      <c r="D71" s="69">
        <f>(1700 + 1920)/2</f>
        <v>1810</v>
      </c>
      <c r="E71" s="70">
        <f>D71*9.80666853460353/1000</f>
        <v>17.750070047632388</v>
      </c>
      <c r="F71" s="71">
        <f>D71*0.0624264499859905</f>
        <v>112.9918744746428</v>
      </c>
    </row>
    <row r="72" spans="2:6" x14ac:dyDescent="0.4">
      <c r="B72" s="5" t="s">
        <v>80</v>
      </c>
      <c r="C72" s="66" t="s">
        <v>80</v>
      </c>
      <c r="D72" s="13">
        <v>1</v>
      </c>
      <c r="E72" s="6">
        <v>1</v>
      </c>
      <c r="F72" s="7">
        <v>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72B8C-3F93-4DD9-AAD5-70D661FB4749}">
  <dimension ref="B2:B5"/>
  <sheetViews>
    <sheetView showGridLines="0" zoomScale="115" zoomScaleNormal="115" workbookViewId="0">
      <selection activeCell="B5" sqref="B5"/>
    </sheetView>
  </sheetViews>
  <sheetFormatPr defaultColWidth="9.109375" defaultRowHeight="16.8" x14ac:dyDescent="0.4"/>
  <cols>
    <col min="1" max="1" width="2.5546875" style="1" customWidth="1"/>
    <col min="2" max="2" width="90.88671875" style="1" customWidth="1"/>
    <col min="3" max="16384" width="9.109375" style="1"/>
  </cols>
  <sheetData>
    <row r="2" spans="2:2" x14ac:dyDescent="0.4">
      <c r="B2" s="1" t="s">
        <v>4</v>
      </c>
    </row>
    <row r="3" spans="2:2" x14ac:dyDescent="0.4">
      <c r="B3" s="53" t="s">
        <v>3</v>
      </c>
    </row>
    <row r="4" spans="2:2" x14ac:dyDescent="0.4">
      <c r="B4" s="53" t="s">
        <v>73</v>
      </c>
    </row>
    <row r="5" spans="2:2" x14ac:dyDescent="0.4">
      <c r="B5" s="54" t="s">
        <v>128</v>
      </c>
    </row>
  </sheetData>
  <sheetProtection algorithmName="SHA-512" hashValue="JqbrcKd5QZmERQ9Frkr3Jp2/UzjHJUd+ZjXRGgy7Xe2s4KZIUj5dzgihAGgbAUCSWcTxD/OtB+lc3yP55RIj0Q==" saltValue="gIDmib34eoSCtxQS4YcnTw==" spinCount="100000" sheet="1" objects="1" scenarios="1"/>
  <hyperlinks>
    <hyperlink ref="B3" r:id="rId1" xr:uid="{19D164C5-C649-4719-AABE-90BC2C8B6B0D}"/>
    <hyperlink ref="B4" r:id="rId2" xr:uid="{DCE20C30-E45D-473C-B994-ECCB647E587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Solid</vt:lpstr>
      <vt:lpstr>Setup</vt:lpstr>
      <vt:lpstr>Metadata</vt:lpstr>
      <vt:lpstr>Units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WILLIAM RICARDO AGUILAR PIÑA</dc:creator>
  <cp:lastModifiedBy>WILLIAM RICARDO AGUILAR PIÑA</cp:lastModifiedBy>
  <dcterms:created xsi:type="dcterms:W3CDTF">2025-07-07T18:46:02Z</dcterms:created>
  <dcterms:modified xsi:type="dcterms:W3CDTF">2025-07-12T13:23:09Z</dcterms:modified>
</cp:coreProperties>
</file>