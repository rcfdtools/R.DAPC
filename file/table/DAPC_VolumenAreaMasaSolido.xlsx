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9"/>
  <workbookPr defaultThemeVersion="202300"/>
  <mc:AlternateContent xmlns:mc="http://schemas.openxmlformats.org/markup-compatibility/2006">
    <mc:Choice Requires="x15">
      <x15ac:absPath xmlns:x15ac="http://schemas.microsoft.com/office/spreadsheetml/2010/11/ac" url="C:\R.DAPC\file\table\"/>
    </mc:Choice>
  </mc:AlternateContent>
  <xr:revisionPtr revIDLastSave="0" documentId="13_ncr:1_{09313113-7EA2-453C-ADF6-D0F803BCA635}" xr6:coauthVersionLast="47" xr6:coauthVersionMax="47" xr10:uidLastSave="{00000000-0000-0000-0000-000000000000}"/>
  <bookViews>
    <workbookView xWindow="-108" yWindow="-108" windowWidth="23256" windowHeight="12456" xr2:uid="{899F30DF-20EB-4CFF-A721-49C06D4D1E88}"/>
  </bookViews>
  <sheets>
    <sheet name="Solid" sheetId="1" r:id="rId1"/>
    <sheet name="Setup" sheetId="2" r:id="rId2"/>
    <sheet name="Metadata" sheetId="3" r:id="rId3"/>
  </sheets>
  <definedNames>
    <definedName name="Gravity">Solid!#REF!</definedName>
    <definedName name="Units">Solid!$F$4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D16" i="1"/>
  <c r="E15" i="1"/>
  <c r="D15" i="1"/>
  <c r="C15" i="1"/>
  <c r="E92" i="1"/>
  <c r="E90" i="1"/>
  <c r="F92" i="1"/>
  <c r="F90" i="1"/>
  <c r="F89" i="1"/>
  <c r="F88" i="1"/>
  <c r="F87" i="1"/>
  <c r="I4" i="1"/>
  <c r="E72" i="2"/>
  <c r="F72" i="2"/>
  <c r="E73" i="2"/>
  <c r="F73" i="2"/>
  <c r="E74" i="2"/>
  <c r="F74" i="2"/>
  <c r="E75" i="2"/>
  <c r="F75" i="2"/>
  <c r="E76" i="2"/>
  <c r="F76" i="2"/>
  <c r="E77" i="2"/>
  <c r="F77" i="2"/>
  <c r="E78" i="2"/>
  <c r="F78" i="2"/>
  <c r="E79" i="2"/>
  <c r="F79" i="2"/>
  <c r="E80" i="2"/>
  <c r="F80" i="2"/>
  <c r="E81" i="2"/>
  <c r="F81" i="2"/>
  <c r="E82" i="2"/>
  <c r="F82" i="2"/>
  <c r="E83" i="2"/>
  <c r="F83" i="2"/>
  <c r="E84" i="2"/>
  <c r="F84" i="2"/>
  <c r="E85" i="2"/>
  <c r="F85" i="2"/>
  <c r="E86" i="2"/>
  <c r="F86" i="2"/>
  <c r="E87" i="2"/>
  <c r="F87" i="2"/>
  <c r="F71" i="2"/>
  <c r="E71" i="2"/>
  <c r="D91" i="2"/>
  <c r="D92" i="2"/>
  <c r="D93" i="2"/>
  <c r="D94" i="2"/>
  <c r="D95" i="2"/>
  <c r="D96" i="2"/>
  <c r="D97" i="2"/>
  <c r="D98" i="2"/>
  <c r="D99" i="2"/>
  <c r="D100" i="2"/>
  <c r="D101" i="2"/>
  <c r="D102" i="2"/>
  <c r="D103" i="2"/>
  <c r="D104" i="2"/>
  <c r="D105" i="2"/>
  <c r="D90" i="2"/>
  <c r="D71" i="2"/>
  <c r="F7" i="1"/>
  <c r="I5" i="1" s="1"/>
  <c r="E68" i="2"/>
  <c r="C14" i="1"/>
  <c r="E49" i="1"/>
  <c r="F49" i="1"/>
  <c r="E45" i="1"/>
  <c r="E80" i="1"/>
  <c r="E78" i="1"/>
  <c r="D14" i="1" s="1"/>
  <c r="E7" i="1"/>
  <c r="H5" i="1" s="1"/>
  <c r="F80" i="1"/>
  <c r="F78" i="1"/>
  <c r="F77" i="1"/>
  <c r="F76" i="1"/>
  <c r="C13" i="1"/>
  <c r="E67" i="1"/>
  <c r="D13" i="1" s="1"/>
  <c r="E69" i="1"/>
  <c r="F65" i="1"/>
  <c r="F69" i="1"/>
  <c r="F67" i="1"/>
  <c r="F66" i="1"/>
  <c r="F64" i="1"/>
  <c r="C12" i="1"/>
  <c r="C11" i="1"/>
  <c r="C10" i="1"/>
  <c r="F8" i="1"/>
  <c r="C9" i="1"/>
  <c r="E57" i="1"/>
  <c r="E58" i="1" s="1"/>
  <c r="E55" i="1"/>
  <c r="D12" i="1" s="1"/>
  <c r="F57" i="1"/>
  <c r="F55" i="1"/>
  <c r="F54" i="1"/>
  <c r="F53" i="1"/>
  <c r="E43" i="1"/>
  <c r="D11" i="1" s="1"/>
  <c r="F45" i="1"/>
  <c r="F43" i="1"/>
  <c r="F42" i="1"/>
  <c r="F41" i="1"/>
  <c r="E34" i="1"/>
  <c r="E32" i="1"/>
  <c r="D10" i="1" s="1"/>
  <c r="F31" i="1"/>
  <c r="F30" i="1"/>
  <c r="F34" i="1"/>
  <c r="F32" i="1"/>
  <c r="F29" i="1"/>
  <c r="F5" i="1"/>
  <c r="E5" i="1"/>
  <c r="F62" i="2"/>
  <c r="E62" i="2"/>
  <c r="D62" i="2"/>
  <c r="F57" i="2"/>
  <c r="E57" i="2"/>
  <c r="D57" i="2"/>
  <c r="F6" i="2"/>
  <c r="E6" i="2"/>
  <c r="D6" i="2"/>
  <c r="F22" i="1"/>
  <c r="E8" i="1" s="1"/>
  <c r="E22" i="1"/>
  <c r="F20" i="1"/>
  <c r="D8" i="1" s="1"/>
  <c r="F19" i="1"/>
  <c r="E20" i="1"/>
  <c r="D9" i="1" s="1"/>
  <c r="E35" i="1" l="1"/>
  <c r="E46" i="1"/>
  <c r="E23" i="1"/>
  <c r="E70" i="1"/>
  <c r="E81" i="1"/>
  <c r="E91" i="1"/>
  <c r="E94" i="1" s="1"/>
  <c r="E95" i="1" s="1"/>
  <c r="F15" i="1" s="1"/>
  <c r="E93" i="1"/>
  <c r="I6" i="1"/>
  <c r="D17" i="1"/>
  <c r="E14" i="1"/>
  <c r="E79" i="1"/>
  <c r="E12" i="1"/>
  <c r="E13" i="1"/>
  <c r="E10" i="1"/>
  <c r="E11" i="1"/>
  <c r="E68" i="1"/>
  <c r="E71" i="1" s="1"/>
  <c r="E72" i="1" s="1"/>
  <c r="F13" i="1" s="1"/>
  <c r="E9" i="1"/>
  <c r="E56" i="1"/>
  <c r="E59" i="1" s="1"/>
  <c r="E60" i="1" s="1"/>
  <c r="F12" i="1" s="1"/>
  <c r="E44" i="1"/>
  <c r="E47" i="1" s="1"/>
  <c r="E48" i="1" s="1"/>
  <c r="F11" i="1" s="1"/>
  <c r="E21" i="1"/>
  <c r="E24" i="1" s="1"/>
  <c r="E25" i="1" s="1"/>
  <c r="F9" i="1" s="1"/>
  <c r="E33" i="1"/>
  <c r="E36" i="1" s="1"/>
  <c r="E37" i="1" s="1"/>
  <c r="F10" i="1" s="1"/>
  <c r="E17" i="1" l="1"/>
  <c r="E82" i="1"/>
  <c r="E83" i="1" s="1"/>
  <c r="F14" i="1" s="1"/>
  <c r="F16" i="1" s="1"/>
  <c r="F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thor>
  </authors>
  <commentList>
    <comment ref="E3" authorId="0" shapeId="0" xr:uid="{30E518DC-60FC-4F0D-A0E1-7D68C9C78A4F}">
      <text>
        <r>
          <rPr>
            <sz val="9"/>
            <color indexed="81"/>
            <rFont val="Segoe UI Light"/>
            <family val="2"/>
          </rPr>
          <t xml:space="preserve">Conversion from kg/m³ to kN/m³: To express the density of titanium in kN/m³, the mass (kg) needs to be converted to force (N) by multiplying it by the acceleration due to gravity. Then, divide by 1000 to get kilonewtons.
Force (N) = mass (kg) × acceleration due to gravity (m/s²)
Force (N) = 4506 kg/m³ × 9.81 m/s² = 44203.86 N/m³
Force (kN) = Force (N) / 1000 = 44203.86 N/m³ / 1000 = 44.20 kN/m³ </t>
        </r>
      </text>
    </comment>
    <comment ref="D6" authorId="0" shapeId="0" xr:uid="{50DE48DC-80FD-4F82-91CB-C8AF1510ADAE}">
      <text>
        <r>
          <rPr>
            <sz val="9"/>
            <color indexed="81"/>
            <rFont val="Tahoma"/>
            <family val="2"/>
          </rPr>
          <t>1019 to 1427</t>
        </r>
      </text>
    </comment>
    <comment ref="E6" authorId="0" shapeId="0" xr:uid="{57D76633-C66E-425F-8069-DDBB843898E3}">
      <text>
        <r>
          <rPr>
            <sz val="9"/>
            <color indexed="81"/>
            <rFont val="Tahoma"/>
            <family val="2"/>
          </rPr>
          <t>10 to 14</t>
        </r>
      </text>
    </comment>
    <comment ref="F6" authorId="0" shapeId="0" xr:uid="{EF0970E1-5C59-419F-8A41-F471500C52F6}">
      <text>
        <r>
          <rPr>
            <sz val="9"/>
            <color indexed="81"/>
            <rFont val="Tahoma"/>
            <family val="2"/>
          </rPr>
          <t>64 to 89</t>
        </r>
      </text>
    </comment>
    <comment ref="D57" authorId="0" shapeId="0" xr:uid="{88FE0A2A-86C7-45FC-B86F-22FE317F6E41}">
      <text>
        <r>
          <rPr>
            <sz val="9"/>
            <color indexed="81"/>
            <rFont val="Tahoma"/>
            <family val="2"/>
          </rPr>
          <t>978 to 1142</t>
        </r>
      </text>
    </comment>
    <comment ref="E57" authorId="0" shapeId="0" xr:uid="{12273B3A-F19C-402B-88E7-FBBE13DEC9C1}">
      <text>
        <r>
          <rPr>
            <sz val="9"/>
            <color indexed="81"/>
            <rFont val="Tahoma"/>
            <family val="2"/>
          </rPr>
          <t>9.6 to 11.2</t>
        </r>
      </text>
    </comment>
    <comment ref="F57" authorId="0" shapeId="0" xr:uid="{302BBA68-4659-43C0-8B05-66B447D8B39C}">
      <text>
        <r>
          <rPr>
            <sz val="9"/>
            <color indexed="81"/>
            <rFont val="Tahoma"/>
            <family val="2"/>
          </rPr>
          <t>61 to 71</t>
        </r>
      </text>
    </comment>
    <comment ref="D62" authorId="0" shapeId="0" xr:uid="{7C796D7F-8FF9-4CF8-B1E3-5D8428600D93}">
      <text>
        <r>
          <rPr>
            <sz val="9"/>
            <color indexed="81"/>
            <rFont val="Tahoma"/>
            <family val="2"/>
          </rPr>
          <t>305 to 407</t>
        </r>
      </text>
    </comment>
    <comment ref="E62" authorId="0" shapeId="0" xr:uid="{DA4A0973-231F-4A3A-95A6-8D9673053D79}">
      <text>
        <r>
          <rPr>
            <sz val="9"/>
            <color indexed="81"/>
            <rFont val="Tahoma"/>
            <family val="2"/>
          </rPr>
          <t>3 to 4</t>
        </r>
      </text>
    </comment>
    <comment ref="F62" authorId="0" shapeId="0" xr:uid="{C65F2449-0C53-4E85-BF57-DDA579106D7C}">
      <text>
        <r>
          <rPr>
            <sz val="9"/>
            <color indexed="81"/>
            <rFont val="Tahoma"/>
            <family val="2"/>
          </rPr>
          <t>19 to 25</t>
        </r>
      </text>
    </comment>
  </commentList>
</comments>
</file>

<file path=xl/sharedStrings.xml><?xml version="1.0" encoding="utf-8"?>
<sst xmlns="http://schemas.openxmlformats.org/spreadsheetml/2006/main" count="377" uniqueCount="234">
  <si>
    <t>mm</t>
  </si>
  <si>
    <t>Units</t>
  </si>
  <si>
    <t>Material</t>
  </si>
  <si>
    <t>https://sheerforceeng.com/2021/12/26/density-of-construction-materials-and-construction-elements/</t>
  </si>
  <si>
    <t>Metadata</t>
  </si>
  <si>
    <t>Construction  material density</t>
  </si>
  <si>
    <t>Aluminium</t>
  </si>
  <si>
    <t>Asphalt</t>
  </si>
  <si>
    <t>Bitumen</t>
  </si>
  <si>
    <t>Brass</t>
  </si>
  <si>
    <t>Cobalt</t>
  </si>
  <si>
    <t>Chalk</t>
  </si>
  <si>
    <t>Clay Soil</t>
  </si>
  <si>
    <t>Concrete (normal weight)</t>
  </si>
  <si>
    <t>Copper</t>
  </si>
  <si>
    <t>Cork (normal)</t>
  </si>
  <si>
    <t>Cork (compressed)</t>
  </si>
  <si>
    <t>Fibre Cement Sheet (uncompressed)</t>
  </si>
  <si>
    <t>Fibre Cement Sheet (compressed)</t>
  </si>
  <si>
    <t>Fibre Cement Sheet (Fire-resistant lining sheet)</t>
  </si>
  <si>
    <t>Fibre Cement Sheet (Insulating sheet)</t>
  </si>
  <si>
    <t>Glass – Window (soda-lime)</t>
  </si>
  <si>
    <t>Gravel Soil</t>
  </si>
  <si>
    <t>Granite, basalt, trachyte</t>
  </si>
  <si>
    <t>Iron, cast</t>
  </si>
  <si>
    <t>Lead </t>
  </si>
  <si>
    <t>Limestone (dense)</t>
  </si>
  <si>
    <t>Limestone (Mt. Gambier)</t>
  </si>
  <si>
    <t>Magnesium</t>
  </si>
  <si>
    <t>Marble</t>
  </si>
  <si>
    <t>Nickel</t>
  </si>
  <si>
    <t>Paper (copy paper) boxed</t>
  </si>
  <si>
    <t>Sand (dense and wet)</t>
  </si>
  <si>
    <t>Sandstone</t>
  </si>
  <si>
    <t>Sandy Soil</t>
  </si>
  <si>
    <t>Shale</t>
  </si>
  <si>
    <t>Silt</t>
  </si>
  <si>
    <t>Steel</t>
  </si>
  <si>
    <t>Timber (Radiata Pine, Australia)</t>
  </si>
  <si>
    <t>Timber (Radiata Pine, New Zealand)</t>
  </si>
  <si>
    <t>Timber (Cypress, Australia)</t>
  </si>
  <si>
    <t>Timber (Douglas Fir)</t>
  </si>
  <si>
    <t>Timber (Hoop)</t>
  </si>
  <si>
    <t>Timber (Blackbutt)</t>
  </si>
  <si>
    <t>Timber (Grey Gum)</t>
  </si>
  <si>
    <t>Timber (Grey Ironbark)</t>
  </si>
  <si>
    <t>Timber (Jarrah)</t>
  </si>
  <si>
    <t>Timber (Spotted Gum)</t>
  </si>
  <si>
    <t>Timber (Tallow wood)</t>
  </si>
  <si>
    <t>Timber (Turpentine)</t>
  </si>
  <si>
    <t>Timber (White Mahogany)</t>
  </si>
  <si>
    <t>Timber (Vic Ash)</t>
  </si>
  <si>
    <t>Timber (Teak)</t>
  </si>
  <si>
    <t>Timber (Oak)</t>
  </si>
  <si>
    <t>Timber (Maple)</t>
  </si>
  <si>
    <t>Timber (Larch)</t>
  </si>
  <si>
    <t>Timber (Elm)</t>
  </si>
  <si>
    <t>Timber (Ebony)</t>
  </si>
  <si>
    <t>Timber (Birch)</t>
  </si>
  <si>
    <t>Timber (Ash, White)</t>
  </si>
  <si>
    <t>Timber (Ash, Black)</t>
  </si>
  <si>
    <t>Timber (Balsa)</t>
  </si>
  <si>
    <t>Timber (Bamboo)</t>
  </si>
  <si>
    <t>Timber (Cedar)</t>
  </si>
  <si>
    <t>Timber (Aspen)</t>
  </si>
  <si>
    <t>Timber (American Red Wood)</t>
  </si>
  <si>
    <t>Timber (European Red Wood)</t>
  </si>
  <si>
    <t>Tin</t>
  </si>
  <si>
    <t>Water</t>
  </si>
  <si>
    <t>Zinc</t>
  </si>
  <si>
    <t>Sphere</t>
  </si>
  <si>
    <t>r, radius</t>
  </si>
  <si>
    <t>m, mass</t>
  </si>
  <si>
    <t>https://buildingclub.info/calculator/weight-converter-kg-m3-to-kn-m3-and-kn-m3-to-kg-m3/</t>
  </si>
  <si>
    <t>Unit</t>
  </si>
  <si>
    <t>m</t>
  </si>
  <si>
    <t>mm, milimeters</t>
  </si>
  <si>
    <t>m, meters</t>
  </si>
  <si>
    <t>ft, feet</t>
  </si>
  <si>
    <t>cm, centimeters</t>
  </si>
  <si>
    <t>n/a</t>
  </si>
  <si>
    <t>Conversion to meters</t>
  </si>
  <si>
    <t>Text</t>
  </si>
  <si>
    <t>cm</t>
  </si>
  <si>
    <t>ft</t>
  </si>
  <si>
    <t>doesn't apply</t>
  </si>
  <si>
    <t>kg</t>
  </si>
  <si>
    <t>gr</t>
  </si>
  <si>
    <t>m³</t>
  </si>
  <si>
    <t>Formula</t>
  </si>
  <si>
    <t>Value</t>
  </si>
  <si>
    <t>Parameter</t>
  </si>
  <si>
    <t>Box</t>
  </si>
  <si>
    <t>m²</t>
  </si>
  <si>
    <t>Solid geometry and mass calculations</t>
  </si>
  <si>
    <t>Cone</t>
  </si>
  <si>
    <t>l, length</t>
  </si>
  <si>
    <t>w, width</t>
  </si>
  <si>
    <t>h, height</t>
  </si>
  <si>
    <t>Cylinder</t>
  </si>
  <si>
    <t>Resume calculations</t>
  </si>
  <si>
    <t>Pyramid (rectangular)</t>
  </si>
  <si>
    <t>Torus (donut)</t>
  </si>
  <si>
    <t>V=(π²r)(2πR)</t>
  </si>
  <si>
    <t>V, volume</t>
  </si>
  <si>
    <t>A, surface area</t>
  </si>
  <si>
    <t>D, density (kg/m³)</t>
  </si>
  <si>
    <t>D, density (kN/m³)</t>
  </si>
  <si>
    <t>D, density (lb/ft³)</t>
  </si>
  <si>
    <t>V = lwt</t>
  </si>
  <si>
    <t>A = (lh + wh + lw) * 2</t>
  </si>
  <si>
    <t>V = (4/3)πr³</t>
  </si>
  <si>
    <t>A = 4πr²</t>
  </si>
  <si>
    <t>V =(1/3)πr²h</t>
  </si>
  <si>
    <t>V = πr²h</t>
  </si>
  <si>
    <t xml:space="preserve">A =  2πrh + 2πr² </t>
  </si>
  <si>
    <t>V =(1/3)lwh</t>
  </si>
  <si>
    <t>A = lw+l√((w
2)²+h2)+w√)(l
2)²+h2)</t>
  </si>
  <si>
    <t>R, external radius</t>
  </si>
  <si>
    <t>r, face radius</t>
  </si>
  <si>
    <t>A=(2πR)(2πr)</t>
  </si>
  <si>
    <t xml:space="preserve">A =  πr(r+√(h²+r²)) </t>
  </si>
  <si>
    <t>l, slant height</t>
  </si>
  <si>
    <t>l = √(r²+h²)</t>
  </si>
  <si>
    <t>Σ</t>
  </si>
  <si>
    <t>Solid shape</t>
  </si>
  <si>
    <t xml:space="preserve">A solid is one of the four fundamental states of matter, characterized by its fixed shape and volume. Unlike liquids and gases, the particles in a solid are closely packed and held in relatively fixed positions, only capable of vibrational movement. This close arrangement and limited motion give solids their rigidity and resistance to compression and deformation. </t>
  </si>
  <si>
    <t>v.20250711</t>
  </si>
  <si>
    <t>Pass: 1234</t>
  </si>
  <si>
    <t>Σ (m³, m², kg)</t>
  </si>
  <si>
    <t>m = DV</t>
  </si>
  <si>
    <t>Titanium</t>
  </si>
  <si>
    <t>Construction material</t>
  </si>
  <si>
    <t>Aluminio</t>
  </si>
  <si>
    <t>Asfalto</t>
  </si>
  <si>
    <t>Betún</t>
  </si>
  <si>
    <t>Latón</t>
  </si>
  <si>
    <t>Cobalto</t>
  </si>
  <si>
    <t>Tiza</t>
  </si>
  <si>
    <t>Suelo arcilloso</t>
  </si>
  <si>
    <t>Hormigón (peso normal)</t>
  </si>
  <si>
    <t>Cobre</t>
  </si>
  <si>
    <t>Corcho (normal)</t>
  </si>
  <si>
    <t>Corcho (comprimido)</t>
  </si>
  <si>
    <t>Lámina de fibrocemento (sin comprimir)</t>
  </si>
  <si>
    <t>Lámina de fibrocemento (comprimido)</t>
  </si>
  <si>
    <t>Lámina de fibrocemento (Lámina de revestimiento ignífugo)</t>
  </si>
  <si>
    <t>Lámina de fibrocemento (Lámina aislante)</t>
  </si>
  <si>
    <t>Vidrio - Ventana (sódico-cálcico)</t>
  </si>
  <si>
    <t>Suelo de grava</t>
  </si>
  <si>
    <t>Granito, basalto, traquita</t>
  </si>
  <si>
    <t>Hierro fundido</t>
  </si>
  <si>
    <t>Plomo</t>
  </si>
  <si>
    <t>Caliza (densa)</t>
  </si>
  <si>
    <t>Caliza (Mt. Gambier)</t>
  </si>
  <si>
    <t>Magnesio</t>
  </si>
  <si>
    <t>Mármol</t>
  </si>
  <si>
    <t>Níquel</t>
  </si>
  <si>
    <t>Papel (papel de copia) en caja</t>
  </si>
  <si>
    <t>Arena (densa y húmeda)</t>
  </si>
  <si>
    <t>Arenisca</t>
  </si>
  <si>
    <t>Suelo arenoso</t>
  </si>
  <si>
    <t>Esquisto</t>
  </si>
  <si>
    <t>Limo</t>
  </si>
  <si>
    <t>Acero</t>
  </si>
  <si>
    <t>Madera (Pino radiata, Australia)</t>
  </si>
  <si>
    <t>Madera (Pino radiata, Nueva Zelanda)</t>
  </si>
  <si>
    <t>Madera (Ciprés, Australia)</t>
  </si>
  <si>
    <t>Madera (Abeto Douglas)</t>
  </si>
  <si>
    <t>Madera (Aro)</t>
  </si>
  <si>
    <t>Madera (Blackbutt)</t>
  </si>
  <si>
    <t>Madera (Eauco Gris)</t>
  </si>
  <si>
    <t>Madera (Corteza de Hierro Gris)</t>
  </si>
  <si>
    <t>Madera (Jarrah)</t>
  </si>
  <si>
    <t>Madera (Eauco Manchado)</t>
  </si>
  <si>
    <t>Madera (Madera de Sebo)</t>
  </si>
  <si>
    <t>Madera (Trementina)</t>
  </si>
  <si>
    <t>Madera (Caoba Blanca)</t>
  </si>
  <si>
    <t>Madera (Fresno Victoria)</t>
  </si>
  <si>
    <t>Madera (Teca)</t>
  </si>
  <si>
    <t>Madera (Roble)</t>
  </si>
  <si>
    <t>Madera (Arce)</t>
  </si>
  <si>
    <t>Madera (Alerce)</t>
  </si>
  <si>
    <t>Madera (Olmo)</t>
  </si>
  <si>
    <t>Madera (Ébano)</t>
  </si>
  <si>
    <t>Madera (Abedul)</t>
  </si>
  <si>
    <t>Madera (Fresno Blanco)</t>
  </si>
  <si>
    <t>Madera (Fresno Negro)</t>
  </si>
  <si>
    <t>Madera (Balsa)</t>
  </si>
  <si>
    <t>Madera (Bambú)</t>
  </si>
  <si>
    <t>Madera (Cedro)</t>
  </si>
  <si>
    <t>Madera (Álamo Temblón)</t>
  </si>
  <si>
    <t>Madera (Madera Roja Americana)</t>
  </si>
  <si>
    <t>Madera (Madera Roja Europea)</t>
  </si>
  <si>
    <t>Estaño</t>
  </si>
  <si>
    <t>Titanio</t>
  </si>
  <si>
    <t>Agua</t>
  </si>
  <si>
    <t>Cement Mortar L</t>
  </si>
  <si>
    <t>Cement Mortar H</t>
  </si>
  <si>
    <t>Mortero de cemento L</t>
  </si>
  <si>
    <t>Mortero de cemento H</t>
  </si>
  <si>
    <t>Brick</t>
  </si>
  <si>
    <t>Ladrillo</t>
  </si>
  <si>
    <t>gravity (m/s²)</t>
  </si>
  <si>
    <t>Conv kg/m³ to lb/ft³</t>
  </si>
  <si>
    <t>3D Print - PLA</t>
  </si>
  <si>
    <t>3D Print - ABS</t>
  </si>
  <si>
    <t>3D Print - PETG</t>
  </si>
  <si>
    <t>3D Print - NYLON</t>
  </si>
  <si>
    <t>3D Print - Flexible (TPU)</t>
  </si>
  <si>
    <t>3D Print - Policarbonato (PC)</t>
  </si>
  <si>
    <t>3D Print - De Madera</t>
  </si>
  <si>
    <t>3D Print - Fibra de Carbono</t>
  </si>
  <si>
    <t>3D Print - PC/ABS</t>
  </si>
  <si>
    <t>3D Print - HIPS</t>
  </si>
  <si>
    <t>3D Print - PVA</t>
  </si>
  <si>
    <t>3D Print - ASA</t>
  </si>
  <si>
    <t>3D Print - Polipropileno (PP)</t>
  </si>
  <si>
    <t>3D Print - Acetal (POM)</t>
  </si>
  <si>
    <t>3D Print - PMMA</t>
  </si>
  <si>
    <t>3D Print - Semiflexible (FPE)</t>
  </si>
  <si>
    <t>g/cm3</t>
  </si>
  <si>
    <t>3D Print - Polycarbonate (PC)</t>
  </si>
  <si>
    <t>3D Print - Wood</t>
  </si>
  <si>
    <t>3D Print - Carbon Fiber</t>
  </si>
  <si>
    <t>3D Print - Polypropylene (PP)</t>
  </si>
  <si>
    <t>3D Print - Semi-flexible (FPE)</t>
  </si>
  <si>
    <t>V, volume (m³)</t>
  </si>
  <si>
    <t>m, mass (kg)</t>
  </si>
  <si>
    <t>Mass calculator</t>
  </si>
  <si>
    <t>Wedge</t>
  </si>
  <si>
    <t>V = lwt/2</t>
  </si>
  <si>
    <t>A  = (lh)+(lw)+(wh)+(√(l²+h²)w)</t>
  </si>
  <si>
    <t>https://www.vcalc.com/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</si>
</sst>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0"/>
  </numFmts>
  <fonts count="12" x14ac:knownFonts="1">
    <font>
      <sz val="11"/>
      <color theme="1"/>
      <name val="Aptos Narrow"/>
      <family val="2"/>
      <scheme val="minor"/>
    </font>
    <font>
      <sz val="11"/>
      <color theme="1"/>
      <name val="Segoe UI Light"/>
      <family val="2"/>
    </font>
    <font>
      <sz val="11"/>
      <color rgb="FF0070C0"/>
      <name val="Segoe UI Light"/>
      <family val="2"/>
    </font>
    <font>
      <u/>
      <sz val="11"/>
      <color theme="10"/>
      <name val="Aptos Narrow"/>
      <family val="2"/>
      <scheme val="minor"/>
    </font>
    <font>
      <sz val="9"/>
      <color indexed="81"/>
      <name val="Tahoma"/>
      <family val="2"/>
    </font>
    <font>
      <sz val="12"/>
      <color theme="1"/>
      <name val="Segoe UI Light"/>
      <family val="2"/>
    </font>
    <font>
      <sz val="11"/>
      <name val="Segoe UI Light"/>
      <family val="2"/>
    </font>
    <font>
      <sz val="8"/>
      <color theme="1"/>
      <name val="Segoe UI Light"/>
      <family val="2"/>
    </font>
    <font>
      <sz val="36"/>
      <name val="Segoe UI Light"/>
      <family val="2"/>
    </font>
    <font>
      <b/>
      <sz val="12"/>
      <color theme="1"/>
      <name val="Segoe UI Light"/>
      <family val="2"/>
    </font>
    <font>
      <sz val="11"/>
      <color theme="10"/>
      <name val="Segoe UI Light"/>
      <family val="2"/>
    </font>
    <font>
      <sz val="9"/>
      <color indexed="81"/>
      <name val="Segoe UI Light"/>
      <family val="2"/>
    </font>
  </fonts>
  <fills count="3">
    <fill>
      <patternFill patternType="none"/>
    </fill>
    <fill>
      <patternFill patternType="gray125"/>
    </fill>
    <fill>
      <patternFill patternType="solid">
        <fgColor theme="0" tint="-4.9989318521683403E-2"/>
        <bgColor indexed="64"/>
      </patternFill>
    </fill>
  </fills>
  <borders count="33">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theme="0" tint="-4.9989318521683403E-2"/>
      </left>
      <right/>
      <top style="thin">
        <color indexed="64"/>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style="thin">
        <color theme="0" tint="-4.9989318521683403E-2"/>
      </left>
      <right style="thin">
        <color theme="0" tint="-4.9989318521683403E-2"/>
      </right>
      <top/>
      <bottom style="thin">
        <color theme="0" tint="-4.9989318521683403E-2"/>
      </bottom>
      <diagonal/>
    </border>
    <border>
      <left style="thin">
        <color indexed="64"/>
      </left>
      <right style="thin">
        <color theme="0" tint="-4.9989318521683403E-2"/>
      </right>
      <top style="thin">
        <color indexed="64"/>
      </top>
      <bottom/>
      <diagonal/>
    </border>
    <border>
      <left style="thin">
        <color indexed="64"/>
      </left>
      <right style="thin">
        <color theme="0" tint="-4.9989318521683403E-2"/>
      </right>
      <top/>
      <bottom/>
      <diagonal/>
    </border>
    <border>
      <left style="thin">
        <color indexed="64"/>
      </left>
      <right style="thin">
        <color theme="0" tint="-4.9989318521683403E-2"/>
      </right>
      <top/>
      <bottom style="thin">
        <color indexed="64"/>
      </bottom>
      <diagonal/>
    </border>
    <border>
      <left style="thin">
        <color indexed="64"/>
      </left>
      <right style="thin">
        <color theme="0" tint="-4.9989318521683403E-2"/>
      </right>
      <top/>
      <bottom style="thin">
        <color theme="0" tint="-4.9989318521683403E-2"/>
      </bottom>
      <diagonal/>
    </border>
    <border>
      <left style="thin">
        <color indexed="64"/>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indexed="64"/>
      </left>
      <right/>
      <top style="thin">
        <color theme="0" tint="-4.9989318521683403E-2"/>
      </top>
      <bottom/>
      <diagonal/>
    </border>
    <border>
      <left/>
      <right/>
      <top style="thin">
        <color theme="0" tint="-4.9989318521683403E-2"/>
      </top>
      <bottom/>
      <diagonal/>
    </border>
    <border>
      <left/>
      <right style="thin">
        <color indexed="64"/>
      </right>
      <top style="thin">
        <color theme="0" tint="-4.9989318521683403E-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diagonalUp="1">
      <left style="thin">
        <color theme="0" tint="-4.9989318521683403E-2"/>
      </left>
      <right style="thin">
        <color theme="0" tint="-4.9989318521683403E-2"/>
      </right>
      <top/>
      <bottom style="thin">
        <color theme="0" tint="-4.9989318521683403E-2"/>
      </bottom>
      <diagonal style="thin">
        <color theme="0" tint="-4.9989318521683403E-2"/>
      </diagonal>
    </border>
    <border>
      <left style="thin">
        <color theme="0" tint="-4.9989318521683403E-2"/>
      </left>
      <right style="thin">
        <color indexed="64"/>
      </right>
      <top/>
      <bottom style="thin">
        <color theme="0" tint="-4.9989318521683403E-2"/>
      </bottom>
      <diagonal/>
    </border>
    <border>
      <left/>
      <right/>
      <top style="thin">
        <color indexed="64"/>
      </top>
      <bottom style="thin">
        <color theme="0" tint="-4.9989318521683403E-2"/>
      </bottom>
      <diagonal/>
    </border>
    <border>
      <left/>
      <right/>
      <top style="thin">
        <color theme="0" tint="-4.9989318521683403E-2"/>
      </top>
      <bottom style="thin">
        <color theme="0" tint="-4.9989318521683403E-2"/>
      </bottom>
      <diagonal/>
    </border>
    <border>
      <left/>
      <right/>
      <top style="thin">
        <color theme="0" tint="-4.9989318521683403E-2"/>
      </top>
      <bottom style="thin">
        <color indexed="64"/>
      </bottom>
      <diagonal/>
    </border>
    <border>
      <left style="thin">
        <color theme="0" tint="-4.9989318521683403E-2"/>
      </left>
      <right/>
      <top style="thin">
        <color theme="0" tint="-4.9989318521683403E-2"/>
      </top>
      <bottom/>
      <diagonal/>
    </border>
  </borders>
  <cellStyleXfs count="2">
    <xf numFmtId="0" fontId="0" fillId="0" borderId="0"/>
    <xf numFmtId="0" fontId="3" fillId="0" borderId="0" applyNumberFormat="0" applyFill="0" applyBorder="0" applyAlignment="0" applyProtection="0"/>
  </cellStyleXfs>
  <cellXfs count="89">
    <xf numFmtId="0" fontId="0" fillId="0" borderId="0" xfId="0"/>
    <xf numFmtId="0" fontId="1" fillId="0" borderId="0" xfId="0" applyFont="1"/>
    <xf numFmtId="0" fontId="1" fillId="0" borderId="1"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0" borderId="0" xfId="0" applyFont="1" applyAlignment="1">
      <alignment horizontal="left" vertical="top"/>
    </xf>
    <xf numFmtId="0" fontId="1" fillId="0" borderId="6" xfId="0" applyFont="1" applyBorder="1" applyAlignment="1">
      <alignment horizontal="left" vertical="top"/>
    </xf>
    <xf numFmtId="0" fontId="1" fillId="2" borderId="3" xfId="0" applyFont="1" applyFill="1" applyBorder="1" applyAlignment="1">
      <alignment horizontal="left" vertical="top"/>
    </xf>
    <xf numFmtId="0" fontId="2" fillId="0" borderId="1" xfId="0" applyFont="1" applyBorder="1" applyAlignment="1">
      <alignment horizontal="left" vertical="top"/>
    </xf>
    <xf numFmtId="0" fontId="1" fillId="0" borderId="1" xfId="0" applyFont="1" applyBorder="1" applyAlignment="1">
      <alignment horizontal="left" vertical="top"/>
    </xf>
    <xf numFmtId="0" fontId="1" fillId="2" borderId="4" xfId="0" applyFont="1" applyFill="1" applyBorder="1" applyAlignment="1">
      <alignment horizontal="left" vertical="top"/>
    </xf>
    <xf numFmtId="0" fontId="6" fillId="0" borderId="0" xfId="0" applyFont="1" applyAlignment="1">
      <alignment horizontal="left" vertical="top"/>
    </xf>
    <xf numFmtId="0" fontId="1" fillId="0" borderId="1" xfId="0" applyFont="1" applyBorder="1" applyAlignment="1">
      <alignment horizontal="left" vertical="top" wrapText="1"/>
    </xf>
    <xf numFmtId="0" fontId="1" fillId="0" borderId="14" xfId="0" applyFont="1" applyBorder="1" applyAlignment="1">
      <alignment horizontal="left" vertical="top"/>
    </xf>
    <xf numFmtId="0" fontId="1" fillId="0" borderId="15" xfId="0" applyFont="1" applyBorder="1" applyAlignment="1">
      <alignment horizontal="left" vertical="top"/>
    </xf>
    <xf numFmtId="0" fontId="1" fillId="0" borderId="17" xfId="0" applyFont="1" applyBorder="1" applyAlignment="1">
      <alignment horizontal="left" vertical="top"/>
    </xf>
    <xf numFmtId="0" fontId="1" fillId="0" borderId="19" xfId="0" applyFont="1" applyBorder="1" applyAlignment="1">
      <alignment horizontal="left" vertical="top"/>
    </xf>
    <xf numFmtId="0" fontId="1" fillId="0" borderId="20" xfId="0" applyFont="1" applyBorder="1" applyAlignment="1">
      <alignment horizontal="left" vertical="top"/>
    </xf>
    <xf numFmtId="0" fontId="1" fillId="0" borderId="21" xfId="0" applyFont="1" applyBorder="1" applyAlignment="1">
      <alignment horizontal="left" vertical="top"/>
    </xf>
    <xf numFmtId="0" fontId="1" fillId="0" borderId="22" xfId="0" applyFont="1" applyBorder="1" applyAlignment="1">
      <alignment horizontal="left" vertical="top"/>
    </xf>
    <xf numFmtId="0" fontId="1" fillId="0" borderId="23" xfId="0" applyFont="1" applyBorder="1" applyAlignment="1">
      <alignment horizontal="left" vertical="top"/>
    </xf>
    <xf numFmtId="0" fontId="1" fillId="0" borderId="24" xfId="0" applyFont="1" applyBorder="1" applyAlignment="1">
      <alignment horizontal="left" vertical="top"/>
    </xf>
    <xf numFmtId="0" fontId="1" fillId="0" borderId="25" xfId="0" applyFont="1" applyBorder="1" applyAlignment="1">
      <alignment horizontal="left" vertical="top"/>
    </xf>
    <xf numFmtId="0" fontId="1" fillId="0" borderId="26" xfId="0" applyFont="1" applyBorder="1" applyAlignment="1">
      <alignment horizontal="left" vertical="top"/>
    </xf>
    <xf numFmtId="0" fontId="6" fillId="0" borderId="1" xfId="0" applyFont="1" applyBorder="1" applyAlignment="1">
      <alignment horizontal="left" vertical="top"/>
    </xf>
    <xf numFmtId="2" fontId="6" fillId="0" borderId="1" xfId="0" applyNumberFormat="1" applyFont="1" applyBorder="1" applyAlignment="1">
      <alignment horizontal="left" vertical="top"/>
    </xf>
    <xf numFmtId="0" fontId="6" fillId="0" borderId="2" xfId="0" applyFont="1" applyBorder="1" applyAlignment="1">
      <alignment horizontal="left" vertical="top"/>
    </xf>
    <xf numFmtId="2" fontId="6" fillId="0" borderId="6" xfId="0" applyNumberFormat="1" applyFont="1" applyBorder="1" applyAlignment="1">
      <alignment horizontal="left" vertical="top"/>
    </xf>
    <xf numFmtId="164" fontId="6" fillId="2" borderId="3" xfId="0" applyNumberFormat="1" applyFont="1" applyFill="1" applyBorder="1" applyAlignment="1">
      <alignment horizontal="left" vertical="top"/>
    </xf>
    <xf numFmtId="0" fontId="6" fillId="2" borderId="3" xfId="0" applyFont="1" applyFill="1" applyBorder="1" applyAlignment="1">
      <alignment horizontal="left" vertical="top"/>
    </xf>
    <xf numFmtId="0" fontId="1" fillId="2" borderId="27" xfId="0" applyFont="1" applyFill="1" applyBorder="1" applyAlignment="1">
      <alignment horizontal="left" vertical="top"/>
    </xf>
    <xf numFmtId="0" fontId="1" fillId="2" borderId="13" xfId="0" applyFont="1" applyFill="1" applyBorder="1" applyAlignment="1">
      <alignment horizontal="left" vertical="top"/>
    </xf>
    <xf numFmtId="0" fontId="1" fillId="2" borderId="28" xfId="0" applyFont="1" applyFill="1" applyBorder="1" applyAlignment="1">
      <alignment horizontal="left" vertical="top"/>
    </xf>
    <xf numFmtId="164" fontId="6" fillId="2" borderId="4" xfId="0" applyNumberFormat="1" applyFont="1" applyFill="1" applyBorder="1" applyAlignment="1">
      <alignment horizontal="left" vertical="top"/>
    </xf>
    <xf numFmtId="0" fontId="1" fillId="0" borderId="8" xfId="0" applyFont="1" applyBorder="1" applyAlignment="1">
      <alignment horizontal="left" vertical="top"/>
    </xf>
    <xf numFmtId="2" fontId="1" fillId="0" borderId="8" xfId="0" applyNumberFormat="1" applyFont="1" applyBorder="1" applyAlignment="1">
      <alignment horizontal="left" vertical="top"/>
    </xf>
    <xf numFmtId="2" fontId="1" fillId="0" borderId="9" xfId="0" applyNumberFormat="1" applyFont="1" applyBorder="1" applyAlignment="1">
      <alignment horizontal="left" vertical="top"/>
    </xf>
    <xf numFmtId="0" fontId="5" fillId="2" borderId="3" xfId="0" applyFont="1" applyFill="1" applyBorder="1" applyAlignment="1">
      <alignment horizontal="left" vertical="top"/>
    </xf>
    <xf numFmtId="0" fontId="9" fillId="0" borderId="0" xfId="0" applyFont="1" applyAlignment="1">
      <alignment horizontal="left" vertical="top"/>
    </xf>
    <xf numFmtId="0" fontId="2" fillId="0" borderId="6" xfId="0" applyFont="1" applyBorder="1" applyAlignment="1" applyProtection="1">
      <alignment horizontal="left" vertical="top"/>
      <protection locked="0"/>
    </xf>
    <xf numFmtId="2" fontId="1" fillId="0" borderId="1" xfId="0" applyNumberFormat="1" applyFont="1" applyBorder="1" applyAlignment="1">
      <alignment horizontal="left" vertical="top"/>
    </xf>
    <xf numFmtId="2" fontId="1" fillId="0" borderId="6" xfId="0" applyNumberFormat="1" applyFont="1" applyBorder="1" applyAlignment="1">
      <alignment horizontal="left" vertical="top"/>
    </xf>
    <xf numFmtId="165" fontId="1" fillId="0" borderId="8" xfId="0" applyNumberFormat="1" applyFont="1" applyBorder="1" applyAlignment="1">
      <alignment horizontal="left" vertical="top"/>
    </xf>
    <xf numFmtId="0" fontId="10" fillId="0" borderId="0" xfId="1" applyFont="1"/>
    <xf numFmtId="0" fontId="1" fillId="0" borderId="0" xfId="0" applyFont="1" applyAlignment="1">
      <alignment horizontal="right"/>
    </xf>
    <xf numFmtId="0" fontId="1" fillId="2" borderId="2" xfId="0" applyFont="1" applyFill="1" applyBorder="1" applyAlignment="1">
      <alignment wrapText="1"/>
    </xf>
    <xf numFmtId="0" fontId="1" fillId="2" borderId="29" xfId="0" applyFont="1" applyFill="1" applyBorder="1" applyAlignment="1">
      <alignment wrapText="1"/>
    </xf>
    <xf numFmtId="0" fontId="1" fillId="2" borderId="10" xfId="0" applyFont="1" applyFill="1" applyBorder="1" applyAlignment="1">
      <alignment wrapText="1"/>
    </xf>
    <xf numFmtId="0" fontId="1" fillId="2" borderId="3" xfId="0" applyFont="1" applyFill="1" applyBorder="1" applyAlignment="1">
      <alignment wrapText="1"/>
    </xf>
    <xf numFmtId="0" fontId="1" fillId="2" borderId="4" xfId="0" applyFont="1" applyFill="1" applyBorder="1" applyAlignment="1">
      <alignment wrapText="1"/>
    </xf>
    <xf numFmtId="0" fontId="1" fillId="0" borderId="5" xfId="0" applyFont="1" applyBorder="1" applyAlignment="1">
      <alignment wrapText="1"/>
    </xf>
    <xf numFmtId="0" fontId="1" fillId="0" borderId="30" xfId="0" applyFont="1" applyBorder="1" applyAlignment="1">
      <alignment wrapText="1"/>
    </xf>
    <xf numFmtId="0" fontId="1" fillId="0" borderId="11" xfId="0" applyFont="1" applyBorder="1" applyAlignment="1">
      <alignment wrapText="1"/>
    </xf>
    <xf numFmtId="0" fontId="1" fillId="0" borderId="1"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1" fillId="0" borderId="9" xfId="0" applyFont="1" applyBorder="1" applyAlignment="1">
      <alignment wrapText="1"/>
    </xf>
    <xf numFmtId="0" fontId="1" fillId="0" borderId="18" xfId="0" applyFont="1" applyBorder="1" applyAlignment="1">
      <alignment wrapText="1"/>
    </xf>
    <xf numFmtId="0" fontId="1" fillId="0" borderId="22" xfId="0" applyFont="1" applyBorder="1" applyAlignment="1">
      <alignment wrapText="1"/>
    </xf>
    <xf numFmtId="0" fontId="1" fillId="0" borderId="32" xfId="0" applyFont="1" applyBorder="1" applyAlignment="1">
      <alignment wrapText="1"/>
    </xf>
    <xf numFmtId="0" fontId="1" fillId="0" borderId="19" xfId="0" applyFont="1" applyBorder="1" applyAlignment="1">
      <alignment wrapText="1"/>
    </xf>
    <xf numFmtId="0" fontId="1" fillId="0" borderId="20" xfId="0" applyFont="1" applyBorder="1" applyAlignment="1">
      <alignment wrapText="1"/>
    </xf>
    <xf numFmtId="0" fontId="1" fillId="0" borderId="31" xfId="0" applyFont="1" applyBorder="1" applyAlignment="1">
      <alignment wrapText="1"/>
    </xf>
    <xf numFmtId="0" fontId="1" fillId="0" borderId="12" xfId="0" applyFont="1" applyBorder="1" applyAlignment="1">
      <alignment wrapText="1"/>
    </xf>
    <xf numFmtId="0" fontId="2" fillId="0" borderId="6" xfId="0" applyFont="1" applyBorder="1" applyAlignment="1" applyProtection="1">
      <alignment horizontal="left" vertical="top" wrapText="1"/>
      <protection locked="0"/>
    </xf>
    <xf numFmtId="0" fontId="1" fillId="0" borderId="5" xfId="0" applyFont="1" applyBorder="1" applyAlignment="1">
      <alignment horizontal="left" vertical="top"/>
    </xf>
    <xf numFmtId="0" fontId="1" fillId="0" borderId="7" xfId="0" applyFont="1" applyBorder="1" applyAlignment="1">
      <alignment horizontal="left" vertical="top"/>
    </xf>
    <xf numFmtId="0" fontId="1" fillId="0" borderId="9" xfId="0" applyFont="1" applyBorder="1" applyAlignment="1">
      <alignment horizontal="left" vertical="top"/>
    </xf>
    <xf numFmtId="0" fontId="1" fillId="2" borderId="2" xfId="0" applyFont="1" applyFill="1" applyBorder="1" applyAlignment="1">
      <alignment horizontal="left" vertical="top"/>
    </xf>
    <xf numFmtId="0" fontId="1" fillId="0" borderId="18" xfId="0" applyFont="1" applyBorder="1" applyAlignment="1">
      <alignment horizontal="left" vertical="top"/>
    </xf>
    <xf numFmtId="0" fontId="6" fillId="0" borderId="20" xfId="0" applyFont="1" applyBorder="1" applyAlignment="1">
      <alignment horizontal="left" vertical="top"/>
    </xf>
    <xf numFmtId="0" fontId="7" fillId="0" borderId="0" xfId="0" applyFont="1"/>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5" xfId="0" applyFont="1" applyBorder="1" applyAlignment="1">
      <alignment horizontal="left" vertical="top" wrapText="1"/>
    </xf>
    <xf numFmtId="0" fontId="1" fillId="0" borderId="1" xfId="0" applyFont="1" applyBorder="1" applyAlignment="1">
      <alignment horizontal="left" vertical="top" wrapText="1"/>
    </xf>
    <xf numFmtId="0" fontId="1" fillId="0" borderId="18" xfId="0" applyFont="1" applyBorder="1" applyAlignment="1">
      <alignment horizontal="left" vertical="top" wrapText="1"/>
    </xf>
    <xf numFmtId="0" fontId="1" fillId="0" borderId="19" xfId="0" applyFont="1" applyBorder="1" applyAlignment="1">
      <alignment horizontal="left" vertical="top" wrapText="1"/>
    </xf>
    <xf numFmtId="0" fontId="8" fillId="0" borderId="18" xfId="0" applyFont="1" applyBorder="1" applyAlignment="1">
      <alignment horizontal="center" vertical="top"/>
    </xf>
    <xf numFmtId="0" fontId="8" fillId="0" borderId="15" xfId="0" applyFont="1" applyBorder="1" applyAlignment="1">
      <alignment horizontal="center" vertical="top"/>
    </xf>
    <xf numFmtId="0" fontId="8" fillId="0" borderId="16" xfId="0" applyFont="1" applyBorder="1" applyAlignment="1">
      <alignment horizontal="center" vertical="top"/>
    </xf>
    <xf numFmtId="0" fontId="7" fillId="0" borderId="0" xfId="0" applyFont="1" applyAlignment="1">
      <alignment horizontal="righ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sv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120083</xdr:colOff>
      <xdr:row>76</xdr:row>
      <xdr:rowOff>141481</xdr:rowOff>
    </xdr:from>
    <xdr:to>
      <xdr:col>1</xdr:col>
      <xdr:colOff>1377203</xdr:colOff>
      <xdr:row>80</xdr:row>
      <xdr:rowOff>185138</xdr:rowOff>
    </xdr:to>
    <xdr:pic>
      <xdr:nvPicPr>
        <xdr:cNvPr id="2" name="Picture 1">
          <a:extLst>
            <a:ext uri="{FF2B5EF4-FFF2-40B4-BE49-F238E27FC236}">
              <a16:creationId xmlns:a16="http://schemas.microsoft.com/office/drawing/2014/main" id="{BE637550-886A-4F81-1A42-52BD08C74B26}"/>
            </a:ext>
          </a:extLst>
        </xdr:cNvPr>
        <xdr:cNvPicPr>
          <a:picLocks noChangeAspect="1"/>
        </xdr:cNvPicPr>
      </xdr:nvPicPr>
      <xdr:blipFill>
        <a:blip xmlns:r="http://schemas.openxmlformats.org/officeDocument/2006/relationships" r:embed="rId1"/>
        <a:stretch>
          <a:fillRect/>
        </a:stretch>
      </xdr:blipFill>
      <xdr:spPr>
        <a:xfrm>
          <a:off x="313514" y="16647573"/>
          <a:ext cx="1262858" cy="886790"/>
        </a:xfrm>
        <a:prstGeom prst="rect">
          <a:avLst/>
        </a:prstGeom>
      </xdr:spPr>
    </xdr:pic>
    <xdr:clientData/>
  </xdr:twoCellAnchor>
  <xdr:twoCellAnchor editAs="oneCell">
    <xdr:from>
      <xdr:col>1</xdr:col>
      <xdr:colOff>1273657</xdr:colOff>
      <xdr:row>72</xdr:row>
      <xdr:rowOff>31064</xdr:rowOff>
    </xdr:from>
    <xdr:to>
      <xdr:col>3</xdr:col>
      <xdr:colOff>479937</xdr:colOff>
      <xdr:row>73</xdr:row>
      <xdr:rowOff>176062</xdr:rowOff>
    </xdr:to>
    <xdr:pic>
      <xdr:nvPicPr>
        <xdr:cNvPr id="3" name="Picture 2">
          <a:extLst>
            <a:ext uri="{FF2B5EF4-FFF2-40B4-BE49-F238E27FC236}">
              <a16:creationId xmlns:a16="http://schemas.microsoft.com/office/drawing/2014/main" id="{DB4681A8-2561-67A8-4398-FDB89797E0C4}"/>
            </a:ext>
          </a:extLst>
        </xdr:cNvPr>
        <xdr:cNvPicPr>
          <a:picLocks noChangeAspect="1"/>
        </xdr:cNvPicPr>
      </xdr:nvPicPr>
      <xdr:blipFill>
        <a:blip xmlns:r="http://schemas.openxmlformats.org/officeDocument/2006/relationships" r:embed="rId2"/>
        <a:stretch>
          <a:fillRect/>
        </a:stretch>
      </xdr:blipFill>
      <xdr:spPr>
        <a:xfrm>
          <a:off x="1464157" y="14150924"/>
          <a:ext cx="2153354" cy="351729"/>
        </a:xfrm>
        <a:prstGeom prst="rect">
          <a:avLst/>
        </a:prstGeom>
      </xdr:spPr>
    </xdr:pic>
    <xdr:clientData/>
  </xdr:twoCellAnchor>
  <xdr:twoCellAnchor editAs="oneCell">
    <xdr:from>
      <xdr:col>1</xdr:col>
      <xdr:colOff>60961</xdr:colOff>
      <xdr:row>63</xdr:row>
      <xdr:rowOff>105727</xdr:rowOff>
    </xdr:from>
    <xdr:to>
      <xdr:col>1</xdr:col>
      <xdr:colOff>1324751</xdr:colOff>
      <xdr:row>68</xdr:row>
      <xdr:rowOff>36193</xdr:rowOff>
    </xdr:to>
    <xdr:pic>
      <xdr:nvPicPr>
        <xdr:cNvPr id="4" name="Picture 3">
          <a:extLst>
            <a:ext uri="{FF2B5EF4-FFF2-40B4-BE49-F238E27FC236}">
              <a16:creationId xmlns:a16="http://schemas.microsoft.com/office/drawing/2014/main" id="{87C3426A-B272-EB30-B9DF-74EA91CC93F8}"/>
            </a:ext>
          </a:extLst>
        </xdr:cNvPr>
        <xdr:cNvPicPr>
          <a:picLocks noChangeAspect="1"/>
        </xdr:cNvPicPr>
      </xdr:nvPicPr>
      <xdr:blipFill>
        <a:blip xmlns:r="http://schemas.openxmlformats.org/officeDocument/2006/relationships" r:embed="rId3"/>
        <a:stretch>
          <a:fillRect/>
        </a:stretch>
      </xdr:blipFill>
      <xdr:spPr>
        <a:xfrm>
          <a:off x="251461" y="11886247"/>
          <a:ext cx="1262857" cy="997266"/>
        </a:xfrm>
        <a:prstGeom prst="rect">
          <a:avLst/>
        </a:prstGeom>
      </xdr:spPr>
    </xdr:pic>
    <xdr:clientData/>
  </xdr:twoCellAnchor>
  <xdr:twoCellAnchor editAs="oneCell">
    <xdr:from>
      <xdr:col>3</xdr:col>
      <xdr:colOff>1348740</xdr:colOff>
      <xdr:row>72</xdr:row>
      <xdr:rowOff>60959</xdr:rowOff>
    </xdr:from>
    <xdr:to>
      <xdr:col>4</xdr:col>
      <xdr:colOff>566252</xdr:colOff>
      <xdr:row>73</xdr:row>
      <xdr:rowOff>173641</xdr:rowOff>
    </xdr:to>
    <xdr:pic>
      <xdr:nvPicPr>
        <xdr:cNvPr id="5" name="Picture 4">
          <a:extLst>
            <a:ext uri="{FF2B5EF4-FFF2-40B4-BE49-F238E27FC236}">
              <a16:creationId xmlns:a16="http://schemas.microsoft.com/office/drawing/2014/main" id="{70C7A641-043D-E011-6C61-41AE2F03A576}"/>
            </a:ext>
          </a:extLst>
        </xdr:cNvPr>
        <xdr:cNvPicPr>
          <a:picLocks noChangeAspect="1"/>
        </xdr:cNvPicPr>
      </xdr:nvPicPr>
      <xdr:blipFill>
        <a:blip xmlns:r="http://schemas.openxmlformats.org/officeDocument/2006/relationships" r:embed="rId4"/>
        <a:stretch>
          <a:fillRect/>
        </a:stretch>
      </xdr:blipFill>
      <xdr:spPr>
        <a:xfrm>
          <a:off x="4495800" y="15247619"/>
          <a:ext cx="710096" cy="328933"/>
        </a:xfrm>
        <a:prstGeom prst="rect">
          <a:avLst/>
        </a:prstGeom>
      </xdr:spPr>
    </xdr:pic>
    <xdr:clientData/>
  </xdr:twoCellAnchor>
  <xdr:twoCellAnchor editAs="oneCell">
    <xdr:from>
      <xdr:col>3</xdr:col>
      <xdr:colOff>1487806</xdr:colOff>
      <xdr:row>83</xdr:row>
      <xdr:rowOff>167639</xdr:rowOff>
    </xdr:from>
    <xdr:to>
      <xdr:col>4</xdr:col>
      <xdr:colOff>1099415</xdr:colOff>
      <xdr:row>84</xdr:row>
      <xdr:rowOff>139063</xdr:rowOff>
    </xdr:to>
    <xdr:pic>
      <xdr:nvPicPr>
        <xdr:cNvPr id="8" name="Picture 7">
          <a:extLst>
            <a:ext uri="{FF2B5EF4-FFF2-40B4-BE49-F238E27FC236}">
              <a16:creationId xmlns:a16="http://schemas.microsoft.com/office/drawing/2014/main" id="{0C1F562F-8890-235D-6E8F-C595696E6414}"/>
            </a:ext>
          </a:extLst>
        </xdr:cNvPr>
        <xdr:cNvPicPr>
          <a:picLocks noChangeAspect="1"/>
        </xdr:cNvPicPr>
      </xdr:nvPicPr>
      <xdr:blipFill>
        <a:blip xmlns:r="http://schemas.openxmlformats.org/officeDocument/2006/relationships" r:embed="rId5"/>
        <a:stretch>
          <a:fillRect/>
        </a:stretch>
      </xdr:blipFill>
      <xdr:spPr>
        <a:xfrm>
          <a:off x="4634866" y="17701259"/>
          <a:ext cx="1099430" cy="176245"/>
        </a:xfrm>
        <a:prstGeom prst="rect">
          <a:avLst/>
        </a:prstGeom>
      </xdr:spPr>
    </xdr:pic>
    <xdr:clientData/>
  </xdr:twoCellAnchor>
  <xdr:twoCellAnchor editAs="oneCell">
    <xdr:from>
      <xdr:col>1</xdr:col>
      <xdr:colOff>1295400</xdr:colOff>
      <xdr:row>83</xdr:row>
      <xdr:rowOff>183954</xdr:rowOff>
    </xdr:from>
    <xdr:to>
      <xdr:col>2</xdr:col>
      <xdr:colOff>914400</xdr:colOff>
      <xdr:row>84</xdr:row>
      <xdr:rowOff>137235</xdr:rowOff>
    </xdr:to>
    <xdr:pic>
      <xdr:nvPicPr>
        <xdr:cNvPr id="9" name="Picture 8">
          <a:extLst>
            <a:ext uri="{FF2B5EF4-FFF2-40B4-BE49-F238E27FC236}">
              <a16:creationId xmlns:a16="http://schemas.microsoft.com/office/drawing/2014/main" id="{4158C2FB-ACCC-4CEA-C962-AAFF5B24D007}"/>
            </a:ext>
          </a:extLst>
        </xdr:cNvPr>
        <xdr:cNvPicPr>
          <a:picLocks noChangeAspect="1"/>
        </xdr:cNvPicPr>
      </xdr:nvPicPr>
      <xdr:blipFill>
        <a:blip xmlns:r="http://schemas.openxmlformats.org/officeDocument/2006/relationships" r:embed="rId6"/>
        <a:stretch>
          <a:fillRect/>
        </a:stretch>
      </xdr:blipFill>
      <xdr:spPr>
        <a:xfrm>
          <a:off x="1485900" y="17717574"/>
          <a:ext cx="1120140" cy="164770"/>
        </a:xfrm>
        <a:prstGeom prst="rect">
          <a:avLst/>
        </a:prstGeom>
      </xdr:spPr>
    </xdr:pic>
    <xdr:clientData/>
  </xdr:twoCellAnchor>
  <xdr:twoCellAnchor editAs="oneCell">
    <xdr:from>
      <xdr:col>3</xdr:col>
      <xdr:colOff>1363029</xdr:colOff>
      <xdr:row>60</xdr:row>
      <xdr:rowOff>156829</xdr:rowOff>
    </xdr:from>
    <xdr:to>
      <xdr:col>4</xdr:col>
      <xdr:colOff>616252</xdr:colOff>
      <xdr:row>61</xdr:row>
      <xdr:rowOff>135254</xdr:rowOff>
    </xdr:to>
    <xdr:pic>
      <xdr:nvPicPr>
        <xdr:cNvPr id="12" name="Picture 11">
          <a:extLst>
            <a:ext uri="{FF2B5EF4-FFF2-40B4-BE49-F238E27FC236}">
              <a16:creationId xmlns:a16="http://schemas.microsoft.com/office/drawing/2014/main" id="{B84AABB2-FB41-2C65-C03F-EF36CDDA05A3}"/>
            </a:ext>
          </a:extLst>
        </xdr:cNvPr>
        <xdr:cNvPicPr>
          <a:picLocks noChangeAspect="1"/>
        </xdr:cNvPicPr>
      </xdr:nvPicPr>
      <xdr:blipFill>
        <a:blip xmlns:r="http://schemas.openxmlformats.org/officeDocument/2006/relationships" r:embed="rId7"/>
        <a:stretch>
          <a:fillRect/>
        </a:stretch>
      </xdr:blipFill>
      <xdr:spPr>
        <a:xfrm>
          <a:off x="4510089" y="12364069"/>
          <a:ext cx="747712" cy="194676"/>
        </a:xfrm>
        <a:prstGeom prst="rect">
          <a:avLst/>
        </a:prstGeom>
      </xdr:spPr>
    </xdr:pic>
    <xdr:clientData/>
  </xdr:twoCellAnchor>
  <xdr:twoCellAnchor editAs="oneCell">
    <xdr:from>
      <xdr:col>1</xdr:col>
      <xdr:colOff>59054</xdr:colOff>
      <xdr:row>52</xdr:row>
      <xdr:rowOff>76200</xdr:rowOff>
    </xdr:from>
    <xdr:to>
      <xdr:col>1</xdr:col>
      <xdr:colOff>1317112</xdr:colOff>
      <xdr:row>59</xdr:row>
      <xdr:rowOff>83038</xdr:rowOff>
    </xdr:to>
    <xdr:pic>
      <xdr:nvPicPr>
        <xdr:cNvPr id="13" name="Picture 12">
          <a:extLst>
            <a:ext uri="{FF2B5EF4-FFF2-40B4-BE49-F238E27FC236}">
              <a16:creationId xmlns:a16="http://schemas.microsoft.com/office/drawing/2014/main" id="{6BD847F9-8A31-767B-7008-ABF478B6658D}"/>
            </a:ext>
          </a:extLst>
        </xdr:cNvPr>
        <xdr:cNvPicPr>
          <a:picLocks noChangeAspect="1"/>
        </xdr:cNvPicPr>
      </xdr:nvPicPr>
      <xdr:blipFill>
        <a:blip xmlns:r="http://schemas.openxmlformats.org/officeDocument/2006/relationships" r:embed="rId8"/>
        <a:stretch>
          <a:fillRect/>
        </a:stretch>
      </xdr:blipFill>
      <xdr:spPr>
        <a:xfrm>
          <a:off x="249554" y="10363200"/>
          <a:ext cx="1258094" cy="1500377"/>
        </a:xfrm>
        <a:prstGeom prst="rect">
          <a:avLst/>
        </a:prstGeom>
      </xdr:spPr>
    </xdr:pic>
    <xdr:clientData/>
  </xdr:twoCellAnchor>
  <xdr:twoCellAnchor editAs="oneCell">
    <xdr:from>
      <xdr:col>1</xdr:col>
      <xdr:colOff>1463039</xdr:colOff>
      <xdr:row>60</xdr:row>
      <xdr:rowOff>157282</xdr:rowOff>
    </xdr:from>
    <xdr:to>
      <xdr:col>2</xdr:col>
      <xdr:colOff>1225851</xdr:colOff>
      <xdr:row>61</xdr:row>
      <xdr:rowOff>135254</xdr:rowOff>
    </xdr:to>
    <xdr:pic>
      <xdr:nvPicPr>
        <xdr:cNvPr id="14" name="Picture 13">
          <a:extLst>
            <a:ext uri="{FF2B5EF4-FFF2-40B4-BE49-F238E27FC236}">
              <a16:creationId xmlns:a16="http://schemas.microsoft.com/office/drawing/2014/main" id="{4C2F878D-1414-EF04-3FF5-A42C781C4BC5}"/>
            </a:ext>
          </a:extLst>
        </xdr:cNvPr>
        <xdr:cNvPicPr>
          <a:picLocks noChangeAspect="1"/>
        </xdr:cNvPicPr>
      </xdr:nvPicPr>
      <xdr:blipFill>
        <a:blip xmlns:r="http://schemas.openxmlformats.org/officeDocument/2006/relationships" r:embed="rId9"/>
        <a:stretch>
          <a:fillRect/>
        </a:stretch>
      </xdr:blipFill>
      <xdr:spPr>
        <a:xfrm>
          <a:off x="1653539" y="12364522"/>
          <a:ext cx="1264921" cy="194223"/>
        </a:xfrm>
        <a:prstGeom prst="rect">
          <a:avLst/>
        </a:prstGeom>
      </xdr:spPr>
    </xdr:pic>
    <xdr:clientData/>
  </xdr:twoCellAnchor>
  <xdr:twoCellAnchor editAs="oneCell">
    <xdr:from>
      <xdr:col>3</xdr:col>
      <xdr:colOff>229553</xdr:colOff>
      <xdr:row>49</xdr:row>
      <xdr:rowOff>139455</xdr:rowOff>
    </xdr:from>
    <xdr:to>
      <xdr:col>3</xdr:col>
      <xdr:colOff>862933</xdr:colOff>
      <xdr:row>50</xdr:row>
      <xdr:rowOff>154194</xdr:rowOff>
    </xdr:to>
    <xdr:pic>
      <xdr:nvPicPr>
        <xdr:cNvPr id="15" name="Picture 14">
          <a:extLst>
            <a:ext uri="{FF2B5EF4-FFF2-40B4-BE49-F238E27FC236}">
              <a16:creationId xmlns:a16="http://schemas.microsoft.com/office/drawing/2014/main" id="{D5D8B087-7D16-BFD9-AF9A-349D673FE8B5}"/>
            </a:ext>
          </a:extLst>
        </xdr:cNvPr>
        <xdr:cNvPicPr>
          <a:picLocks noChangeAspect="1"/>
        </xdr:cNvPicPr>
      </xdr:nvPicPr>
      <xdr:blipFill>
        <a:blip xmlns:r="http://schemas.openxmlformats.org/officeDocument/2006/relationships" r:embed="rId10"/>
        <a:stretch>
          <a:fillRect/>
        </a:stretch>
      </xdr:blipFill>
      <xdr:spPr>
        <a:xfrm>
          <a:off x="3376613" y="9999735"/>
          <a:ext cx="631508" cy="228099"/>
        </a:xfrm>
        <a:prstGeom prst="rect">
          <a:avLst/>
        </a:prstGeom>
      </xdr:spPr>
    </xdr:pic>
    <xdr:clientData/>
  </xdr:twoCellAnchor>
  <xdr:twoCellAnchor editAs="oneCell">
    <xdr:from>
      <xdr:col>1</xdr:col>
      <xdr:colOff>89535</xdr:colOff>
      <xdr:row>40</xdr:row>
      <xdr:rowOff>192404</xdr:rowOff>
    </xdr:from>
    <xdr:to>
      <xdr:col>1</xdr:col>
      <xdr:colOff>1357120</xdr:colOff>
      <xdr:row>46</xdr:row>
      <xdr:rowOff>139051</xdr:rowOff>
    </xdr:to>
    <xdr:pic>
      <xdr:nvPicPr>
        <xdr:cNvPr id="18" name="Picture 17">
          <a:extLst>
            <a:ext uri="{FF2B5EF4-FFF2-40B4-BE49-F238E27FC236}">
              <a16:creationId xmlns:a16="http://schemas.microsoft.com/office/drawing/2014/main" id="{873FAECD-F5F4-467E-C026-23848B655DF1}"/>
            </a:ext>
          </a:extLst>
        </xdr:cNvPr>
        <xdr:cNvPicPr>
          <a:picLocks noChangeAspect="1"/>
        </xdr:cNvPicPr>
      </xdr:nvPicPr>
      <xdr:blipFill>
        <a:blip xmlns:r="http://schemas.openxmlformats.org/officeDocument/2006/relationships" r:embed="rId11"/>
        <a:stretch>
          <a:fillRect/>
        </a:stretch>
      </xdr:blipFill>
      <xdr:spPr>
        <a:xfrm>
          <a:off x="280035" y="8132444"/>
          <a:ext cx="1260000" cy="1225890"/>
        </a:xfrm>
        <a:prstGeom prst="rect">
          <a:avLst/>
        </a:prstGeom>
      </xdr:spPr>
    </xdr:pic>
    <xdr:clientData/>
  </xdr:twoCellAnchor>
  <xdr:twoCellAnchor editAs="oneCell">
    <xdr:from>
      <xdr:col>1</xdr:col>
      <xdr:colOff>478154</xdr:colOff>
      <xdr:row>49</xdr:row>
      <xdr:rowOff>142728</xdr:rowOff>
    </xdr:from>
    <xdr:to>
      <xdr:col>2</xdr:col>
      <xdr:colOff>488616</xdr:colOff>
      <xdr:row>50</xdr:row>
      <xdr:rowOff>135152</xdr:rowOff>
    </xdr:to>
    <xdr:pic>
      <xdr:nvPicPr>
        <xdr:cNvPr id="19" name="Picture 18">
          <a:extLst>
            <a:ext uri="{FF2B5EF4-FFF2-40B4-BE49-F238E27FC236}">
              <a16:creationId xmlns:a16="http://schemas.microsoft.com/office/drawing/2014/main" id="{10FF1CC3-EAEB-C196-310D-464A0FAFF38F}"/>
            </a:ext>
          </a:extLst>
        </xdr:cNvPr>
        <xdr:cNvPicPr>
          <a:picLocks noChangeAspect="1"/>
        </xdr:cNvPicPr>
      </xdr:nvPicPr>
      <xdr:blipFill>
        <a:blip xmlns:r="http://schemas.openxmlformats.org/officeDocument/2006/relationships" r:embed="rId12"/>
        <a:stretch>
          <a:fillRect/>
        </a:stretch>
      </xdr:blipFill>
      <xdr:spPr>
        <a:xfrm>
          <a:off x="668654" y="10003008"/>
          <a:ext cx="1510666" cy="208675"/>
        </a:xfrm>
        <a:prstGeom prst="rect">
          <a:avLst/>
        </a:prstGeom>
      </xdr:spPr>
    </xdr:pic>
    <xdr:clientData/>
  </xdr:twoCellAnchor>
  <xdr:twoCellAnchor editAs="oneCell">
    <xdr:from>
      <xdr:col>4</xdr:col>
      <xdr:colOff>374333</xdr:colOff>
      <xdr:row>49</xdr:row>
      <xdr:rowOff>156058</xdr:rowOff>
    </xdr:from>
    <xdr:to>
      <xdr:col>4</xdr:col>
      <xdr:colOff>1167732</xdr:colOff>
      <xdr:row>50</xdr:row>
      <xdr:rowOff>144763</xdr:rowOff>
    </xdr:to>
    <xdr:pic>
      <xdr:nvPicPr>
        <xdr:cNvPr id="20" name="Picture 19">
          <a:extLst>
            <a:ext uri="{FF2B5EF4-FFF2-40B4-BE49-F238E27FC236}">
              <a16:creationId xmlns:a16="http://schemas.microsoft.com/office/drawing/2014/main" id="{3EA00C78-4F85-9624-865E-7B1B052F235C}"/>
            </a:ext>
          </a:extLst>
        </xdr:cNvPr>
        <xdr:cNvPicPr>
          <a:picLocks noChangeAspect="1"/>
        </xdr:cNvPicPr>
      </xdr:nvPicPr>
      <xdr:blipFill>
        <a:blip xmlns:r="http://schemas.openxmlformats.org/officeDocument/2006/relationships" r:embed="rId13"/>
        <a:stretch>
          <a:fillRect/>
        </a:stretch>
      </xdr:blipFill>
      <xdr:spPr>
        <a:xfrm>
          <a:off x="5014913" y="10016338"/>
          <a:ext cx="791527" cy="201129"/>
        </a:xfrm>
        <a:prstGeom prst="rect">
          <a:avLst/>
        </a:prstGeom>
      </xdr:spPr>
    </xdr:pic>
    <xdr:clientData/>
  </xdr:twoCellAnchor>
  <xdr:twoCellAnchor editAs="oneCell">
    <xdr:from>
      <xdr:col>1</xdr:col>
      <xdr:colOff>82867</xdr:colOff>
      <xdr:row>28</xdr:row>
      <xdr:rowOff>84772</xdr:rowOff>
    </xdr:from>
    <xdr:to>
      <xdr:col>1</xdr:col>
      <xdr:colOff>1357123</xdr:colOff>
      <xdr:row>34</xdr:row>
      <xdr:rowOff>46836</xdr:rowOff>
    </xdr:to>
    <xdr:pic>
      <xdr:nvPicPr>
        <xdr:cNvPr id="24" name="Picture 23">
          <a:extLst>
            <a:ext uri="{FF2B5EF4-FFF2-40B4-BE49-F238E27FC236}">
              <a16:creationId xmlns:a16="http://schemas.microsoft.com/office/drawing/2014/main" id="{96107B90-7FD8-BE16-6B70-51AFAB1EB1A0}"/>
            </a:ext>
          </a:extLst>
        </xdr:cNvPr>
        <xdr:cNvPicPr>
          <a:picLocks noChangeAspect="1"/>
        </xdr:cNvPicPr>
      </xdr:nvPicPr>
      <xdr:blipFill>
        <a:blip xmlns:r="http://schemas.openxmlformats.org/officeDocument/2006/relationships" r:embed="rId14"/>
        <a:stretch>
          <a:fillRect/>
        </a:stretch>
      </xdr:blipFill>
      <xdr:spPr>
        <a:xfrm>
          <a:off x="273367" y="5891212"/>
          <a:ext cx="1265715" cy="1242239"/>
        </a:xfrm>
        <a:prstGeom prst="rect">
          <a:avLst/>
        </a:prstGeom>
      </xdr:spPr>
    </xdr:pic>
    <xdr:clientData/>
  </xdr:twoCellAnchor>
  <xdr:twoCellAnchor editAs="oneCell">
    <xdr:from>
      <xdr:col>1</xdr:col>
      <xdr:colOff>91439</xdr:colOff>
      <xdr:row>18</xdr:row>
      <xdr:rowOff>85724</xdr:rowOff>
    </xdr:from>
    <xdr:to>
      <xdr:col>1</xdr:col>
      <xdr:colOff>1354264</xdr:colOff>
      <xdr:row>24</xdr:row>
      <xdr:rowOff>23990</xdr:rowOff>
    </xdr:to>
    <xdr:pic>
      <xdr:nvPicPr>
        <xdr:cNvPr id="25" name="Picture 24">
          <a:extLst>
            <a:ext uri="{FF2B5EF4-FFF2-40B4-BE49-F238E27FC236}">
              <a16:creationId xmlns:a16="http://schemas.microsoft.com/office/drawing/2014/main" id="{0A67519B-E525-5093-09EF-6198ABD4E460}"/>
            </a:ext>
          </a:extLst>
        </xdr:cNvPr>
        <xdr:cNvPicPr>
          <a:picLocks noChangeAspect="1"/>
        </xdr:cNvPicPr>
      </xdr:nvPicPr>
      <xdr:blipFill>
        <a:blip xmlns:r="http://schemas.openxmlformats.org/officeDocument/2006/relationships" r:embed="rId15"/>
        <a:stretch>
          <a:fillRect/>
        </a:stretch>
      </xdr:blipFill>
      <xdr:spPr>
        <a:xfrm>
          <a:off x="281939" y="4185284"/>
          <a:ext cx="1262857" cy="1209885"/>
        </a:xfrm>
        <a:prstGeom prst="rect">
          <a:avLst/>
        </a:prstGeom>
      </xdr:spPr>
    </xdr:pic>
    <xdr:clientData/>
  </xdr:twoCellAnchor>
  <xdr:twoCellAnchor editAs="oneCell">
    <xdr:from>
      <xdr:col>2</xdr:col>
      <xdr:colOff>62864</xdr:colOff>
      <xdr:row>25</xdr:row>
      <xdr:rowOff>123340</xdr:rowOff>
    </xdr:from>
    <xdr:to>
      <xdr:col>2</xdr:col>
      <xdr:colOff>822940</xdr:colOff>
      <xdr:row>26</xdr:row>
      <xdr:rowOff>101123</xdr:rowOff>
    </xdr:to>
    <xdr:pic>
      <xdr:nvPicPr>
        <xdr:cNvPr id="26" name="Picture 25">
          <a:extLst>
            <a:ext uri="{FF2B5EF4-FFF2-40B4-BE49-F238E27FC236}">
              <a16:creationId xmlns:a16="http://schemas.microsoft.com/office/drawing/2014/main" id="{0EC8AE99-49F2-590D-439B-A9A576B9AA19}"/>
            </a:ext>
          </a:extLst>
        </xdr:cNvPr>
        <xdr:cNvPicPr>
          <a:picLocks noChangeAspect="1"/>
        </xdr:cNvPicPr>
      </xdr:nvPicPr>
      <xdr:blipFill>
        <a:blip xmlns:r="http://schemas.openxmlformats.org/officeDocument/2006/relationships" r:embed="rId16"/>
        <a:stretch>
          <a:fillRect/>
        </a:stretch>
      </xdr:blipFill>
      <xdr:spPr>
        <a:xfrm>
          <a:off x="1754504" y="5076340"/>
          <a:ext cx="760096" cy="191164"/>
        </a:xfrm>
        <a:prstGeom prst="rect">
          <a:avLst/>
        </a:prstGeom>
      </xdr:spPr>
    </xdr:pic>
    <xdr:clientData/>
  </xdr:twoCellAnchor>
  <xdr:twoCellAnchor editAs="oneCell">
    <xdr:from>
      <xdr:col>3</xdr:col>
      <xdr:colOff>1204911</xdr:colOff>
      <xdr:row>25</xdr:row>
      <xdr:rowOff>68989</xdr:rowOff>
    </xdr:from>
    <xdr:to>
      <xdr:col>4</xdr:col>
      <xdr:colOff>451470</xdr:colOff>
      <xdr:row>26</xdr:row>
      <xdr:rowOff>161845</xdr:rowOff>
    </xdr:to>
    <xdr:pic>
      <xdr:nvPicPr>
        <xdr:cNvPr id="27" name="Picture 26">
          <a:extLst>
            <a:ext uri="{FF2B5EF4-FFF2-40B4-BE49-F238E27FC236}">
              <a16:creationId xmlns:a16="http://schemas.microsoft.com/office/drawing/2014/main" id="{ECD4AB0B-BC96-2DB4-0F25-29569F7AAC49}"/>
            </a:ext>
          </a:extLst>
        </xdr:cNvPr>
        <xdr:cNvPicPr>
          <a:picLocks noChangeAspect="1"/>
        </xdr:cNvPicPr>
      </xdr:nvPicPr>
      <xdr:blipFill>
        <a:blip xmlns:r="http://schemas.openxmlformats.org/officeDocument/2006/relationships" r:embed="rId17"/>
        <a:stretch>
          <a:fillRect/>
        </a:stretch>
      </xdr:blipFill>
      <xdr:spPr>
        <a:xfrm>
          <a:off x="4351971" y="5662069"/>
          <a:ext cx="736284" cy="305280"/>
        </a:xfrm>
        <a:prstGeom prst="rect">
          <a:avLst/>
        </a:prstGeom>
      </xdr:spPr>
    </xdr:pic>
    <xdr:clientData/>
  </xdr:twoCellAnchor>
  <xdr:twoCellAnchor editAs="oneCell">
    <xdr:from>
      <xdr:col>5</xdr:col>
      <xdr:colOff>221647</xdr:colOff>
      <xdr:row>0</xdr:row>
      <xdr:rowOff>156209</xdr:rowOff>
    </xdr:from>
    <xdr:to>
      <xdr:col>5</xdr:col>
      <xdr:colOff>1222363</xdr:colOff>
      <xdr:row>1</xdr:row>
      <xdr:rowOff>184577</xdr:rowOff>
    </xdr:to>
    <xdr:pic>
      <xdr:nvPicPr>
        <xdr:cNvPr id="30" name="Graphic 29">
          <a:extLst>
            <a:ext uri="{FF2B5EF4-FFF2-40B4-BE49-F238E27FC236}">
              <a16:creationId xmlns:a16="http://schemas.microsoft.com/office/drawing/2014/main" id="{9397D297-C84C-47FA-8083-3975D09C8E0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992969" y="156209"/>
          <a:ext cx="1000716" cy="240403"/>
        </a:xfrm>
        <a:prstGeom prst="rect">
          <a:avLst/>
        </a:prstGeom>
      </xdr:spPr>
    </xdr:pic>
    <xdr:clientData/>
  </xdr:twoCellAnchor>
  <xdr:twoCellAnchor editAs="oneCell">
    <xdr:from>
      <xdr:col>1</xdr:col>
      <xdr:colOff>636105</xdr:colOff>
      <xdr:row>95</xdr:row>
      <xdr:rowOff>164333</xdr:rowOff>
    </xdr:from>
    <xdr:to>
      <xdr:col>3</xdr:col>
      <xdr:colOff>470452</xdr:colOff>
      <xdr:row>96</xdr:row>
      <xdr:rowOff>112333</xdr:rowOff>
    </xdr:to>
    <xdr:pic>
      <xdr:nvPicPr>
        <xdr:cNvPr id="7" name="Picture 6">
          <a:extLst>
            <a:ext uri="{FF2B5EF4-FFF2-40B4-BE49-F238E27FC236}">
              <a16:creationId xmlns:a16="http://schemas.microsoft.com/office/drawing/2014/main" id="{806DED4F-E1CE-E492-145E-A2A129CCEC06}"/>
            </a:ext>
          </a:extLst>
        </xdr:cNvPr>
        <xdr:cNvPicPr>
          <a:picLocks noChangeAspect="1"/>
        </xdr:cNvPicPr>
      </xdr:nvPicPr>
      <xdr:blipFill>
        <a:blip xmlns:r="http://schemas.openxmlformats.org/officeDocument/2006/relationships" r:embed="rId20"/>
        <a:stretch>
          <a:fillRect/>
        </a:stretch>
      </xdr:blipFill>
      <xdr:spPr>
        <a:xfrm>
          <a:off x="821635" y="20585933"/>
          <a:ext cx="2676939" cy="160035"/>
        </a:xfrm>
        <a:prstGeom prst="rect">
          <a:avLst/>
        </a:prstGeom>
      </xdr:spPr>
    </xdr:pic>
    <xdr:clientData/>
  </xdr:twoCellAnchor>
  <xdr:twoCellAnchor editAs="oneCell">
    <xdr:from>
      <xdr:col>4</xdr:col>
      <xdr:colOff>26504</xdr:colOff>
      <xdr:row>95</xdr:row>
      <xdr:rowOff>110438</xdr:rowOff>
    </xdr:from>
    <xdr:to>
      <xdr:col>4</xdr:col>
      <xdr:colOff>1060173</xdr:colOff>
      <xdr:row>96</xdr:row>
      <xdr:rowOff>185233</xdr:rowOff>
    </xdr:to>
    <xdr:pic>
      <xdr:nvPicPr>
        <xdr:cNvPr id="10" name="Picture 9">
          <a:extLst>
            <a:ext uri="{FF2B5EF4-FFF2-40B4-BE49-F238E27FC236}">
              <a16:creationId xmlns:a16="http://schemas.microsoft.com/office/drawing/2014/main" id="{D216D7A7-2CC8-274E-5A5C-DCBA7B11841F}"/>
            </a:ext>
          </a:extLst>
        </xdr:cNvPr>
        <xdr:cNvPicPr>
          <a:picLocks noChangeAspect="1"/>
        </xdr:cNvPicPr>
      </xdr:nvPicPr>
      <xdr:blipFill>
        <a:blip xmlns:r="http://schemas.openxmlformats.org/officeDocument/2006/relationships" r:embed="rId21"/>
        <a:stretch>
          <a:fillRect/>
        </a:stretch>
      </xdr:blipFill>
      <xdr:spPr>
        <a:xfrm>
          <a:off x="4485861" y="20962734"/>
          <a:ext cx="1033669" cy="286830"/>
        </a:xfrm>
        <a:prstGeom prst="rect">
          <a:avLst/>
        </a:prstGeom>
      </xdr:spPr>
    </xdr:pic>
    <xdr:clientData/>
  </xdr:twoCellAnchor>
  <xdr:twoCellAnchor editAs="oneCell">
    <xdr:from>
      <xdr:col>1</xdr:col>
      <xdr:colOff>99391</xdr:colOff>
      <xdr:row>86</xdr:row>
      <xdr:rowOff>132523</xdr:rowOff>
    </xdr:from>
    <xdr:to>
      <xdr:col>1</xdr:col>
      <xdr:colOff>1359391</xdr:colOff>
      <xdr:row>89</xdr:row>
      <xdr:rowOff>113710</xdr:rowOff>
    </xdr:to>
    <xdr:pic>
      <xdr:nvPicPr>
        <xdr:cNvPr id="11" name="Picture 10">
          <a:extLst>
            <a:ext uri="{FF2B5EF4-FFF2-40B4-BE49-F238E27FC236}">
              <a16:creationId xmlns:a16="http://schemas.microsoft.com/office/drawing/2014/main" id="{7A87E522-CBE3-9523-69F3-040707BE0A19}"/>
            </a:ext>
          </a:extLst>
        </xdr:cNvPr>
        <xdr:cNvPicPr>
          <a:picLocks noChangeAspect="1"/>
        </xdr:cNvPicPr>
      </xdr:nvPicPr>
      <xdr:blipFill>
        <a:blip xmlns:r="http://schemas.openxmlformats.org/officeDocument/2006/relationships" r:embed="rId22">
          <a:grayscl/>
        </a:blip>
        <a:stretch>
          <a:fillRect/>
        </a:stretch>
      </xdr:blipFill>
      <xdr:spPr>
        <a:xfrm>
          <a:off x="284921" y="18645810"/>
          <a:ext cx="1260000" cy="6172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hyperlink" Target="https://www.vcalc.com/" TargetMode="External"/><Relationship Id="rId2" Type="http://schemas.openxmlformats.org/officeDocument/2006/relationships/hyperlink" Target="https://buildingclub.info/calculator/weight-converter-kg-m3-to-kn-m3-and-kn-m3-to-kg-m3/" TargetMode="External"/><Relationship Id="rId1" Type="http://schemas.openxmlformats.org/officeDocument/2006/relationships/hyperlink" Target="https://sheerforceeng.com/2021/12/26/density-of-construction-materials-and-construction-ele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991CC-633D-4EDA-A260-4E383F1CE19E}">
  <dimension ref="B1:I97"/>
  <sheetViews>
    <sheetView showGridLines="0" tabSelected="1" zoomScale="115" zoomScaleNormal="115" workbookViewId="0">
      <pane ySplit="7" topLeftCell="A69" activePane="bottomLeft" state="frozen"/>
      <selection pane="bottomLeft" activeCell="K69" sqref="K69"/>
    </sheetView>
  </sheetViews>
  <sheetFormatPr defaultColWidth="9.21875" defaultRowHeight="16.8" x14ac:dyDescent="0.3"/>
  <cols>
    <col min="1" max="1" width="2.6640625" style="11" customWidth="1"/>
    <col min="2" max="2" width="21" style="11" customWidth="1"/>
    <col min="3" max="3" width="20.44140625" style="11" customWidth="1"/>
    <col min="4" max="4" width="20.88671875" style="11" customWidth="1"/>
    <col min="5" max="5" width="19.109375" style="11" bestFit="1" customWidth="1"/>
    <col min="6" max="6" width="18" style="11" customWidth="1"/>
    <col min="7" max="7" width="2.5546875" style="11" customWidth="1"/>
    <col min="8" max="8" width="17.6640625" style="11" customWidth="1"/>
    <col min="9" max="9" width="12.109375" style="11" customWidth="1"/>
    <col min="10" max="16384" width="9.21875" style="11"/>
  </cols>
  <sheetData>
    <row r="1" spans="2:9" x14ac:dyDescent="0.3">
      <c r="F1" s="88" t="s">
        <v>127</v>
      </c>
    </row>
    <row r="2" spans="2:9" ht="19.2" x14ac:dyDescent="0.3">
      <c r="B2" s="44" t="s">
        <v>94</v>
      </c>
      <c r="H2" s="11" t="s">
        <v>229</v>
      </c>
    </row>
    <row r="3" spans="2:9" ht="19.2" x14ac:dyDescent="0.3">
      <c r="B3" s="79" t="s">
        <v>126</v>
      </c>
      <c r="C3" s="80"/>
      <c r="D3" s="80"/>
      <c r="E3" s="43" t="s">
        <v>91</v>
      </c>
      <c r="F3" s="16" t="s">
        <v>90</v>
      </c>
      <c r="H3" s="75" t="s">
        <v>91</v>
      </c>
      <c r="I3" s="16" t="s">
        <v>90</v>
      </c>
    </row>
    <row r="4" spans="2:9" x14ac:dyDescent="0.3">
      <c r="B4" s="81"/>
      <c r="C4" s="82"/>
      <c r="D4" s="82"/>
      <c r="E4" s="15" t="s">
        <v>1</v>
      </c>
      <c r="F4" s="45" t="s">
        <v>0</v>
      </c>
      <c r="H4" s="72" t="s">
        <v>227</v>
      </c>
      <c r="I4" s="45">
        <f>1990158.217/(1000*1000*1000)</f>
        <v>1.9901582170000001E-3</v>
      </c>
    </row>
    <row r="5" spans="2:9" x14ac:dyDescent="0.3">
      <c r="B5" s="81"/>
      <c r="C5" s="82"/>
      <c r="D5" s="82"/>
      <c r="E5" s="15" t="str">
        <f>Setup!H2</f>
        <v>Conversion to meters</v>
      </c>
      <c r="F5" s="12">
        <f>VLOOKUP(Units,Setup!H4:J8,2,FALSE)</f>
        <v>1000</v>
      </c>
      <c r="H5" s="76" t="str">
        <f>E7</f>
        <v>D, density (kg/m³)</v>
      </c>
      <c r="I5" s="77">
        <f>F7</f>
        <v>1520</v>
      </c>
    </row>
    <row r="6" spans="2:9" x14ac:dyDescent="0.3">
      <c r="B6" s="81"/>
      <c r="C6" s="82"/>
      <c r="D6" s="82"/>
      <c r="E6" s="15" t="s">
        <v>2</v>
      </c>
      <c r="F6" s="71" t="s">
        <v>208</v>
      </c>
      <c r="H6" s="73" t="s">
        <v>228</v>
      </c>
      <c r="I6" s="74">
        <f>F7*I4</f>
        <v>3.0250404898400003</v>
      </c>
    </row>
    <row r="7" spans="2:9" x14ac:dyDescent="0.3">
      <c r="B7" s="83"/>
      <c r="C7" s="84"/>
      <c r="D7" s="84"/>
      <c r="E7" s="22" t="str">
        <f>Setup!D3</f>
        <v>D, density (kg/m³)</v>
      </c>
      <c r="F7" s="23">
        <f>VLOOKUP(F6,Setup!B3:F88,3,FALSE)</f>
        <v>1520</v>
      </c>
    </row>
    <row r="8" spans="2:9" s="17" customFormat="1" x14ac:dyDescent="0.3">
      <c r="B8" s="32" t="s">
        <v>100</v>
      </c>
      <c r="C8" s="35" t="s">
        <v>125</v>
      </c>
      <c r="D8" s="34" t="str">
        <f>_xlfn.CONCAT(C20," (",F20,")" )</f>
        <v>V, volume (mm³)</v>
      </c>
      <c r="E8" s="35" t="str">
        <f>_xlfn.CONCAT(C22," (",F22,")" )</f>
        <v>A, surface area (mm²)</v>
      </c>
      <c r="F8" s="39" t="str">
        <f>_xlfn.CONCAT(C25," (",F25,")" )</f>
        <v>m, mass (gr)</v>
      </c>
      <c r="H8" s="11"/>
      <c r="I8" s="11"/>
    </row>
    <row r="9" spans="2:9" s="17" customFormat="1" ht="16.5" customHeight="1" x14ac:dyDescent="0.3">
      <c r="B9" s="85" t="s">
        <v>124</v>
      </c>
      <c r="C9" s="30" t="str">
        <f>B18</f>
        <v>Sphere</v>
      </c>
      <c r="D9" s="31">
        <f>E20</f>
        <v>523598.77559829882</v>
      </c>
      <c r="E9" s="31">
        <f>E22</f>
        <v>31415.926535897932</v>
      </c>
      <c r="F9" s="33">
        <f>E25</f>
        <v>795.87013890941421</v>
      </c>
    </row>
    <row r="10" spans="2:9" s="17" customFormat="1" x14ac:dyDescent="0.3">
      <c r="B10" s="86"/>
      <c r="C10" s="30" t="str">
        <f>B28</f>
        <v>Box</v>
      </c>
      <c r="D10" s="31">
        <f>E32</f>
        <v>1000000</v>
      </c>
      <c r="E10" s="31">
        <f>E34</f>
        <v>60000</v>
      </c>
      <c r="F10" s="33">
        <f>E37</f>
        <v>1520</v>
      </c>
    </row>
    <row r="11" spans="2:9" s="17" customFormat="1" x14ac:dyDescent="0.3">
      <c r="B11" s="86"/>
      <c r="C11" s="30" t="str">
        <f>B40</f>
        <v>Cone</v>
      </c>
      <c r="D11" s="31">
        <f>E43</f>
        <v>130899.6938995747</v>
      </c>
      <c r="E11" s="31">
        <f>E45</f>
        <v>18961.188979370399</v>
      </c>
      <c r="F11" s="33">
        <f>E48</f>
        <v>198.96753472735355</v>
      </c>
    </row>
    <row r="12" spans="2:9" s="17" customFormat="1" x14ac:dyDescent="0.3">
      <c r="B12" s="86"/>
      <c r="C12" s="30" t="str">
        <f>B52</f>
        <v>Cylinder</v>
      </c>
      <c r="D12" s="31">
        <f>E55</f>
        <v>196349.54084936206</v>
      </c>
      <c r="E12" s="31">
        <f>E57</f>
        <v>23561.944901923449</v>
      </c>
      <c r="F12" s="33">
        <f>E60</f>
        <v>298.4513020910303</v>
      </c>
    </row>
    <row r="13" spans="2:9" s="17" customFormat="1" x14ac:dyDescent="0.3">
      <c r="B13" s="86"/>
      <c r="C13" s="30" t="str">
        <f>B63</f>
        <v>Pyramid (rectangular)</v>
      </c>
      <c r="D13" s="31">
        <f>E67</f>
        <v>249999.99999999997</v>
      </c>
      <c r="E13" s="31">
        <f>E57</f>
        <v>23561.944901923449</v>
      </c>
      <c r="F13" s="33">
        <f>E72</f>
        <v>379.99999999999994</v>
      </c>
    </row>
    <row r="14" spans="2:9" s="17" customFormat="1" x14ac:dyDescent="0.3">
      <c r="B14" s="86"/>
      <c r="C14" s="30" t="str">
        <f>B75</f>
        <v>Torus (donut)</v>
      </c>
      <c r="D14" s="31">
        <f>E78</f>
        <v>308425.13753404247</v>
      </c>
      <c r="E14" s="31">
        <f>E80</f>
        <v>24674.011002723397</v>
      </c>
      <c r="F14" s="33">
        <f>E83</f>
        <v>468.80620905174453</v>
      </c>
    </row>
    <row r="15" spans="2:9" s="17" customFormat="1" x14ac:dyDescent="0.3">
      <c r="B15" s="86"/>
      <c r="C15" s="30" t="str">
        <f>B86</f>
        <v>Wedge</v>
      </c>
      <c r="D15" s="31">
        <f>E90</f>
        <v>250000</v>
      </c>
      <c r="E15" s="31">
        <f>E92</f>
        <v>31180.339887498951</v>
      </c>
      <c r="F15" s="33">
        <f>E95</f>
        <v>380</v>
      </c>
    </row>
    <row r="16" spans="2:9" x14ac:dyDescent="0.3">
      <c r="B16" s="86"/>
      <c r="C16" s="15" t="s">
        <v>124</v>
      </c>
      <c r="D16" s="46">
        <f>SUM(D9:D15)</f>
        <v>2659273.1478812778</v>
      </c>
      <c r="E16" s="46">
        <f>SUM(E9:E15)</f>
        <v>213355.35620933759</v>
      </c>
      <c r="F16" s="47">
        <f>SUM(F9:F15)</f>
        <v>4042.0951847795427</v>
      </c>
      <c r="H16" s="17"/>
      <c r="I16" s="17"/>
    </row>
    <row r="17" spans="2:6" x14ac:dyDescent="0.3">
      <c r="B17" s="87"/>
      <c r="C17" s="40" t="s">
        <v>129</v>
      </c>
      <c r="D17" s="48">
        <f>D16/(F5*F5*F5)</f>
        <v>2.6592731478812777E-3</v>
      </c>
      <c r="E17" s="41">
        <f>E16/(F5*F5)</f>
        <v>0.2133553562093376</v>
      </c>
      <c r="F17" s="42">
        <f>F16/1000</f>
        <v>4.0420951847795425</v>
      </c>
    </row>
    <row r="18" spans="2:6" x14ac:dyDescent="0.3">
      <c r="B18" s="20" t="s">
        <v>70</v>
      </c>
      <c r="C18" s="36" t="s">
        <v>91</v>
      </c>
      <c r="D18" s="37" t="s">
        <v>89</v>
      </c>
      <c r="E18" s="37" t="s">
        <v>90</v>
      </c>
      <c r="F18" s="38" t="s">
        <v>1</v>
      </c>
    </row>
    <row r="19" spans="2:6" x14ac:dyDescent="0.3">
      <c r="B19" s="20"/>
      <c r="C19" s="15" t="s">
        <v>71</v>
      </c>
      <c r="D19" s="15"/>
      <c r="E19" s="14">
        <v>50</v>
      </c>
      <c r="F19" s="12" t="str">
        <f>Units</f>
        <v>mm</v>
      </c>
    </row>
    <row r="20" spans="2:6" x14ac:dyDescent="0.3">
      <c r="B20" s="20"/>
      <c r="C20" s="15" t="s">
        <v>104</v>
      </c>
      <c r="D20" s="15" t="s">
        <v>111</v>
      </c>
      <c r="E20" s="15">
        <f>4/3*PI()*E19^3</f>
        <v>523598.77559829882</v>
      </c>
      <c r="F20" s="12" t="str">
        <f>_xlfn.CONCAT(Units,"³")</f>
        <v>mm³</v>
      </c>
    </row>
    <row r="21" spans="2:6" x14ac:dyDescent="0.3">
      <c r="B21" s="20"/>
      <c r="C21" s="15" t="s">
        <v>104</v>
      </c>
      <c r="D21" s="15"/>
      <c r="E21" s="15">
        <f>E20/($F$5*$F$5*$F$5)</f>
        <v>5.2359877559829881E-4</v>
      </c>
      <c r="F21" s="12" t="s">
        <v>88</v>
      </c>
    </row>
    <row r="22" spans="2:6" x14ac:dyDescent="0.3">
      <c r="B22" s="20"/>
      <c r="C22" s="15" t="s">
        <v>105</v>
      </c>
      <c r="D22" s="15" t="s">
        <v>112</v>
      </c>
      <c r="E22" s="15">
        <f>4*PI()*E19^2</f>
        <v>31415.926535897932</v>
      </c>
      <c r="F22" s="12" t="str">
        <f>_xlfn.CONCAT(Units,"²")</f>
        <v>mm²</v>
      </c>
    </row>
    <row r="23" spans="2:6" x14ac:dyDescent="0.3">
      <c r="B23" s="20"/>
      <c r="C23" s="15" t="s">
        <v>105</v>
      </c>
      <c r="D23" s="15"/>
      <c r="E23" s="15">
        <f>E22/($F$5*$F$5)</f>
        <v>3.1415926535897934E-2</v>
      </c>
      <c r="F23" s="12" t="s">
        <v>93</v>
      </c>
    </row>
    <row r="24" spans="2:6" x14ac:dyDescent="0.3">
      <c r="B24" s="20"/>
      <c r="C24" s="15" t="s">
        <v>72</v>
      </c>
      <c r="D24" s="15" t="s">
        <v>130</v>
      </c>
      <c r="E24" s="15">
        <f>$F$7*E21</f>
        <v>0.79587013890941416</v>
      </c>
      <c r="F24" s="12" t="s">
        <v>86</v>
      </c>
    </row>
    <row r="25" spans="2:6" x14ac:dyDescent="0.3">
      <c r="B25" s="21"/>
      <c r="C25" s="15" t="s">
        <v>72</v>
      </c>
      <c r="D25" s="15"/>
      <c r="E25" s="15">
        <f>E24*1000</f>
        <v>795.87013890941421</v>
      </c>
      <c r="F25" s="12" t="s">
        <v>87</v>
      </c>
    </row>
    <row r="26" spans="2:6" x14ac:dyDescent="0.3">
      <c r="B26" s="24"/>
      <c r="C26" s="25"/>
      <c r="D26" s="25"/>
      <c r="E26" s="25"/>
      <c r="F26" s="26"/>
    </row>
    <row r="27" spans="2:6" x14ac:dyDescent="0.3">
      <c r="B27" s="27"/>
      <c r="C27" s="28"/>
      <c r="D27" s="28"/>
      <c r="E27" s="28"/>
      <c r="F27" s="29"/>
    </row>
    <row r="28" spans="2:6" x14ac:dyDescent="0.3">
      <c r="B28" s="19" t="s">
        <v>92</v>
      </c>
      <c r="C28" s="13" t="s">
        <v>91</v>
      </c>
      <c r="D28" s="13" t="s">
        <v>89</v>
      </c>
      <c r="E28" s="13" t="s">
        <v>90</v>
      </c>
      <c r="F28" s="16" t="s">
        <v>1</v>
      </c>
    </row>
    <row r="29" spans="2:6" x14ac:dyDescent="0.3">
      <c r="B29" s="20"/>
      <c r="C29" s="15" t="s">
        <v>96</v>
      </c>
      <c r="D29" s="15"/>
      <c r="E29" s="14">
        <v>100</v>
      </c>
      <c r="F29" s="12" t="str">
        <f>Units</f>
        <v>mm</v>
      </c>
    </row>
    <row r="30" spans="2:6" x14ac:dyDescent="0.3">
      <c r="B30" s="20"/>
      <c r="C30" s="15" t="s">
        <v>97</v>
      </c>
      <c r="D30" s="15"/>
      <c r="E30" s="14">
        <v>100</v>
      </c>
      <c r="F30" s="12" t="str">
        <f>Units</f>
        <v>mm</v>
      </c>
    </row>
    <row r="31" spans="2:6" x14ac:dyDescent="0.3">
      <c r="B31" s="20"/>
      <c r="C31" s="15" t="s">
        <v>98</v>
      </c>
      <c r="D31" s="15"/>
      <c r="E31" s="14">
        <v>100</v>
      </c>
      <c r="F31" s="12" t="str">
        <f>Units</f>
        <v>mm</v>
      </c>
    </row>
    <row r="32" spans="2:6" x14ac:dyDescent="0.3">
      <c r="B32" s="20"/>
      <c r="C32" s="15" t="s">
        <v>104</v>
      </c>
      <c r="D32" s="15" t="s">
        <v>109</v>
      </c>
      <c r="E32" s="15">
        <f>E29*E30*E31</f>
        <v>1000000</v>
      </c>
      <c r="F32" s="12" t="str">
        <f>_xlfn.CONCAT(Units,"³")</f>
        <v>mm³</v>
      </c>
    </row>
    <row r="33" spans="2:6" x14ac:dyDescent="0.3">
      <c r="B33" s="20"/>
      <c r="C33" s="15" t="s">
        <v>104</v>
      </c>
      <c r="D33" s="15"/>
      <c r="E33" s="15">
        <f>E32/($F$5*$F$5*$F$5)</f>
        <v>1E-3</v>
      </c>
      <c r="F33" s="12" t="s">
        <v>88</v>
      </c>
    </row>
    <row r="34" spans="2:6" x14ac:dyDescent="0.3">
      <c r="B34" s="20"/>
      <c r="C34" s="15" t="s">
        <v>105</v>
      </c>
      <c r="D34" s="15" t="s">
        <v>110</v>
      </c>
      <c r="E34" s="15">
        <f>($E$29*E31+E30*E31+E29*E30)*2</f>
        <v>60000</v>
      </c>
      <c r="F34" s="12" t="str">
        <f>_xlfn.CONCAT(Units,"²")</f>
        <v>mm²</v>
      </c>
    </row>
    <row r="35" spans="2:6" x14ac:dyDescent="0.3">
      <c r="B35" s="20"/>
      <c r="C35" s="15" t="s">
        <v>105</v>
      </c>
      <c r="D35" s="15"/>
      <c r="E35" s="15">
        <f>E34/($F$5*$F$5)</f>
        <v>0.06</v>
      </c>
      <c r="F35" s="12" t="s">
        <v>93</v>
      </c>
    </row>
    <row r="36" spans="2:6" x14ac:dyDescent="0.3">
      <c r="B36" s="20"/>
      <c r="C36" s="15" t="s">
        <v>72</v>
      </c>
      <c r="D36" s="15" t="s">
        <v>130</v>
      </c>
      <c r="E36" s="15">
        <f>$F$7*E33</f>
        <v>1.52</v>
      </c>
      <c r="F36" s="12" t="s">
        <v>86</v>
      </c>
    </row>
    <row r="37" spans="2:6" x14ac:dyDescent="0.3">
      <c r="B37" s="21"/>
      <c r="C37" s="15" t="s">
        <v>72</v>
      </c>
      <c r="D37" s="15"/>
      <c r="E37" s="15">
        <f>E36*1000</f>
        <v>1520</v>
      </c>
      <c r="F37" s="12" t="s">
        <v>87</v>
      </c>
    </row>
    <row r="38" spans="2:6" x14ac:dyDescent="0.3">
      <c r="B38" s="24"/>
      <c r="C38" s="25"/>
      <c r="D38" s="25"/>
      <c r="E38" s="25"/>
      <c r="F38" s="26"/>
    </row>
    <row r="39" spans="2:6" x14ac:dyDescent="0.3">
      <c r="B39" s="27"/>
      <c r="C39" s="28"/>
      <c r="D39" s="28"/>
      <c r="E39" s="28"/>
      <c r="F39" s="29"/>
    </row>
    <row r="40" spans="2:6" x14ac:dyDescent="0.3">
      <c r="B40" s="19" t="s">
        <v>95</v>
      </c>
      <c r="C40" s="13" t="s">
        <v>91</v>
      </c>
      <c r="D40" s="13" t="s">
        <v>89</v>
      </c>
      <c r="E40" s="13" t="s">
        <v>90</v>
      </c>
      <c r="F40" s="16" t="s">
        <v>1</v>
      </c>
    </row>
    <row r="41" spans="2:6" x14ac:dyDescent="0.3">
      <c r="B41" s="20"/>
      <c r="C41" s="15" t="s">
        <v>71</v>
      </c>
      <c r="D41" s="15"/>
      <c r="E41" s="14">
        <v>50</v>
      </c>
      <c r="F41" s="12" t="str">
        <f>Units</f>
        <v>mm</v>
      </c>
    </row>
    <row r="42" spans="2:6" x14ac:dyDescent="0.3">
      <c r="B42" s="20"/>
      <c r="C42" s="15" t="s">
        <v>98</v>
      </c>
      <c r="D42" s="15"/>
      <c r="E42" s="14">
        <v>50</v>
      </c>
      <c r="F42" s="12" t="str">
        <f>Units</f>
        <v>mm</v>
      </c>
    </row>
    <row r="43" spans="2:6" x14ac:dyDescent="0.3">
      <c r="B43" s="20"/>
      <c r="C43" s="15" t="s">
        <v>104</v>
      </c>
      <c r="D43" s="15" t="s">
        <v>113</v>
      </c>
      <c r="E43" s="15">
        <f>(1/3)*PI()*E41^2*E42</f>
        <v>130899.6938995747</v>
      </c>
      <c r="F43" s="12" t="str">
        <f>_xlfn.CONCAT(Units,"³")</f>
        <v>mm³</v>
      </c>
    </row>
    <row r="44" spans="2:6" x14ac:dyDescent="0.3">
      <c r="B44" s="20"/>
      <c r="C44" s="15" t="s">
        <v>104</v>
      </c>
      <c r="D44" s="15"/>
      <c r="E44" s="15">
        <f>E43/($F$5*$F$5*$F$5)</f>
        <v>1.308996938995747E-4</v>
      </c>
      <c r="F44" s="12" t="s">
        <v>88</v>
      </c>
    </row>
    <row r="45" spans="2:6" x14ac:dyDescent="0.3">
      <c r="B45" s="20"/>
      <c r="C45" s="15" t="s">
        <v>105</v>
      </c>
      <c r="D45" s="15" t="s">
        <v>121</v>
      </c>
      <c r="E45" s="15">
        <f>PI()*E41*(E41+(E42^2+E41^2)^0.5)</f>
        <v>18961.188979370399</v>
      </c>
      <c r="F45" s="12" t="str">
        <f>_xlfn.CONCAT(Units,"²")</f>
        <v>mm²</v>
      </c>
    </row>
    <row r="46" spans="2:6" x14ac:dyDescent="0.3">
      <c r="B46" s="20"/>
      <c r="C46" s="15" t="s">
        <v>105</v>
      </c>
      <c r="D46" s="15"/>
      <c r="E46" s="15">
        <f>E45/($F$5*$F$5)</f>
        <v>1.8961188979370401E-2</v>
      </c>
      <c r="F46" s="12" t="s">
        <v>93</v>
      </c>
    </row>
    <row r="47" spans="2:6" x14ac:dyDescent="0.3">
      <c r="B47" s="20"/>
      <c r="C47" s="15" t="s">
        <v>72</v>
      </c>
      <c r="D47" s="15" t="s">
        <v>130</v>
      </c>
      <c r="E47" s="15">
        <f>$F$7*E44</f>
        <v>0.19896753472735354</v>
      </c>
      <c r="F47" s="12" t="s">
        <v>86</v>
      </c>
    </row>
    <row r="48" spans="2:6" x14ac:dyDescent="0.3">
      <c r="B48" s="20"/>
      <c r="C48" s="15" t="s">
        <v>72</v>
      </c>
      <c r="D48" s="15"/>
      <c r="E48" s="15">
        <f>E47*1000</f>
        <v>198.96753472735355</v>
      </c>
      <c r="F48" s="12" t="s">
        <v>87</v>
      </c>
    </row>
    <row r="49" spans="2:6" x14ac:dyDescent="0.3">
      <c r="B49" s="21"/>
      <c r="C49" s="15" t="s">
        <v>122</v>
      </c>
      <c r="D49" s="15" t="s">
        <v>123</v>
      </c>
      <c r="E49" s="15">
        <f>(E41^2+E42^2)^0.5</f>
        <v>70.710678118654755</v>
      </c>
      <c r="F49" s="12" t="str">
        <f>Units</f>
        <v>mm</v>
      </c>
    </row>
    <row r="50" spans="2:6" x14ac:dyDescent="0.3">
      <c r="B50" s="24"/>
      <c r="C50" s="25"/>
      <c r="D50" s="25"/>
      <c r="E50" s="25"/>
      <c r="F50" s="26"/>
    </row>
    <row r="51" spans="2:6" x14ac:dyDescent="0.3">
      <c r="B51" s="27"/>
      <c r="C51" s="28"/>
      <c r="D51" s="28"/>
      <c r="E51" s="28"/>
      <c r="F51" s="29"/>
    </row>
    <row r="52" spans="2:6" x14ac:dyDescent="0.3">
      <c r="B52" s="19" t="s">
        <v>99</v>
      </c>
      <c r="C52" s="13" t="s">
        <v>91</v>
      </c>
      <c r="D52" s="13" t="s">
        <v>89</v>
      </c>
      <c r="E52" s="13" t="s">
        <v>90</v>
      </c>
      <c r="F52" s="16" t="s">
        <v>1</v>
      </c>
    </row>
    <row r="53" spans="2:6" x14ac:dyDescent="0.3">
      <c r="B53" s="20"/>
      <c r="C53" s="15" t="s">
        <v>71</v>
      </c>
      <c r="D53" s="15"/>
      <c r="E53" s="14">
        <v>50</v>
      </c>
      <c r="F53" s="12" t="str">
        <f>Units</f>
        <v>mm</v>
      </c>
    </row>
    <row r="54" spans="2:6" x14ac:dyDescent="0.3">
      <c r="B54" s="20"/>
      <c r="C54" s="15" t="s">
        <v>98</v>
      </c>
      <c r="D54" s="15"/>
      <c r="E54" s="14">
        <v>25</v>
      </c>
      <c r="F54" s="12" t="str">
        <f>Units</f>
        <v>mm</v>
      </c>
    </row>
    <row r="55" spans="2:6" x14ac:dyDescent="0.3">
      <c r="B55" s="20"/>
      <c r="C55" s="15" t="s">
        <v>104</v>
      </c>
      <c r="D55" s="15" t="s">
        <v>114</v>
      </c>
      <c r="E55" s="15">
        <f>PI()*E53^2*E54</f>
        <v>196349.54084936206</v>
      </c>
      <c r="F55" s="12" t="str">
        <f>_xlfn.CONCAT(Units,"³")</f>
        <v>mm³</v>
      </c>
    </row>
    <row r="56" spans="2:6" x14ac:dyDescent="0.3">
      <c r="B56" s="20"/>
      <c r="C56" s="15" t="s">
        <v>104</v>
      </c>
      <c r="D56" s="15"/>
      <c r="E56" s="15">
        <f>E55/($F$5*$F$5*$F$5)</f>
        <v>1.9634954084936205E-4</v>
      </c>
      <c r="F56" s="12" t="s">
        <v>88</v>
      </c>
    </row>
    <row r="57" spans="2:6" x14ac:dyDescent="0.3">
      <c r="B57" s="20"/>
      <c r="C57" s="15" t="s">
        <v>105</v>
      </c>
      <c r="D57" s="15" t="s">
        <v>115</v>
      </c>
      <c r="E57" s="15">
        <f>2*PI()*E53*E54+2*PI()*E53^2</f>
        <v>23561.944901923449</v>
      </c>
      <c r="F57" s="12" t="str">
        <f>_xlfn.CONCAT(Units,"²")</f>
        <v>mm²</v>
      </c>
    </row>
    <row r="58" spans="2:6" x14ac:dyDescent="0.3">
      <c r="B58" s="20"/>
      <c r="C58" s="15" t="s">
        <v>105</v>
      </c>
      <c r="D58" s="15"/>
      <c r="E58" s="15">
        <f>E57/($F$5*$F$5)</f>
        <v>2.356194490192345E-2</v>
      </c>
      <c r="F58" s="12" t="s">
        <v>93</v>
      </c>
    </row>
    <row r="59" spans="2:6" x14ac:dyDescent="0.3">
      <c r="B59" s="20"/>
      <c r="C59" s="15" t="s">
        <v>72</v>
      </c>
      <c r="D59" s="15" t="s">
        <v>130</v>
      </c>
      <c r="E59" s="15">
        <f>$F$7*E56</f>
        <v>0.29845130209103032</v>
      </c>
      <c r="F59" s="12" t="s">
        <v>86</v>
      </c>
    </row>
    <row r="60" spans="2:6" x14ac:dyDescent="0.3">
      <c r="B60" s="21"/>
      <c r="C60" s="15" t="s">
        <v>72</v>
      </c>
      <c r="D60" s="15"/>
      <c r="E60" s="15">
        <f>E59*1000</f>
        <v>298.4513020910303</v>
      </c>
      <c r="F60" s="12" t="s">
        <v>87</v>
      </c>
    </row>
    <row r="61" spans="2:6" x14ac:dyDescent="0.3">
      <c r="B61" s="24"/>
      <c r="C61" s="25"/>
      <c r="D61" s="25"/>
      <c r="E61" s="25"/>
      <c r="F61" s="26"/>
    </row>
    <row r="62" spans="2:6" x14ac:dyDescent="0.3">
      <c r="B62" s="27"/>
      <c r="C62" s="28"/>
      <c r="D62" s="28"/>
      <c r="E62" s="28"/>
      <c r="F62" s="29"/>
    </row>
    <row r="63" spans="2:6" x14ac:dyDescent="0.3">
      <c r="B63" s="19" t="s">
        <v>101</v>
      </c>
      <c r="C63" s="13" t="s">
        <v>91</v>
      </c>
      <c r="D63" s="13" t="s">
        <v>89</v>
      </c>
      <c r="E63" s="13" t="s">
        <v>90</v>
      </c>
      <c r="F63" s="16" t="s">
        <v>1</v>
      </c>
    </row>
    <row r="64" spans="2:6" x14ac:dyDescent="0.3">
      <c r="B64" s="20"/>
      <c r="C64" s="15" t="s">
        <v>96</v>
      </c>
      <c r="D64" s="15"/>
      <c r="E64" s="14">
        <v>100</v>
      </c>
      <c r="F64" s="12" t="str">
        <f>Units</f>
        <v>mm</v>
      </c>
    </row>
    <row r="65" spans="2:6" x14ac:dyDescent="0.3">
      <c r="B65" s="20"/>
      <c r="C65" s="15" t="s">
        <v>97</v>
      </c>
      <c r="D65" s="15"/>
      <c r="E65" s="14">
        <v>100</v>
      </c>
      <c r="F65" s="12" t="str">
        <f>Units</f>
        <v>mm</v>
      </c>
    </row>
    <row r="66" spans="2:6" x14ac:dyDescent="0.3">
      <c r="B66" s="20"/>
      <c r="C66" s="15" t="s">
        <v>98</v>
      </c>
      <c r="D66" s="15"/>
      <c r="E66" s="14">
        <v>75</v>
      </c>
      <c r="F66" s="12" t="str">
        <f>Units</f>
        <v>mm</v>
      </c>
    </row>
    <row r="67" spans="2:6" x14ac:dyDescent="0.3">
      <c r="B67" s="20"/>
      <c r="C67" s="15" t="s">
        <v>104</v>
      </c>
      <c r="D67" s="15" t="s">
        <v>116</v>
      </c>
      <c r="E67" s="15">
        <f>(1/3)*E64*E65*E66</f>
        <v>249999.99999999997</v>
      </c>
      <c r="F67" s="12" t="str">
        <f>_xlfn.CONCAT(Units,"³")</f>
        <v>mm³</v>
      </c>
    </row>
    <row r="68" spans="2:6" x14ac:dyDescent="0.3">
      <c r="B68" s="20"/>
      <c r="C68" s="15" t="s">
        <v>104</v>
      </c>
      <c r="D68" s="15"/>
      <c r="E68" s="15">
        <f>E67/($F$5*$F$5*$F$5)</f>
        <v>2.4999999999999995E-4</v>
      </c>
      <c r="F68" s="12" t="s">
        <v>88</v>
      </c>
    </row>
    <row r="69" spans="2:6" ht="50.4" x14ac:dyDescent="0.3">
      <c r="B69" s="20"/>
      <c r="C69" s="15" t="s">
        <v>105</v>
      </c>
      <c r="D69" s="18" t="s">
        <v>117</v>
      </c>
      <c r="E69" s="15">
        <f>E64*E65+E64*((E65/2)^2+E66^2)^0.5+E65*((E64/2)^2+E66^2)^0.5</f>
        <v>28027.756377319951</v>
      </c>
      <c r="F69" s="12" t="str">
        <f>_xlfn.CONCAT(Units,"²")</f>
        <v>mm²</v>
      </c>
    </row>
    <row r="70" spans="2:6" x14ac:dyDescent="0.3">
      <c r="B70" s="20"/>
      <c r="C70" s="15" t="s">
        <v>105</v>
      </c>
      <c r="D70" s="15"/>
      <c r="E70" s="15">
        <f>E69/($F$5*$F$5)</f>
        <v>2.802775637731995E-2</v>
      </c>
      <c r="F70" s="12" t="s">
        <v>93</v>
      </c>
    </row>
    <row r="71" spans="2:6" x14ac:dyDescent="0.3">
      <c r="B71" s="20"/>
      <c r="C71" s="15" t="s">
        <v>72</v>
      </c>
      <c r="D71" s="15" t="s">
        <v>130</v>
      </c>
      <c r="E71" s="15">
        <f>$F$7*E68</f>
        <v>0.37999999999999995</v>
      </c>
      <c r="F71" s="12" t="s">
        <v>86</v>
      </c>
    </row>
    <row r="72" spans="2:6" x14ac:dyDescent="0.3">
      <c r="B72" s="21"/>
      <c r="C72" s="15" t="s">
        <v>72</v>
      </c>
      <c r="D72" s="15"/>
      <c r="E72" s="15">
        <f>E71*1000</f>
        <v>379.99999999999994</v>
      </c>
      <c r="F72" s="12" t="s">
        <v>87</v>
      </c>
    </row>
    <row r="73" spans="2:6" x14ac:dyDescent="0.3">
      <c r="B73" s="24"/>
      <c r="C73" s="25"/>
      <c r="D73" s="25"/>
      <c r="E73" s="25"/>
      <c r="F73" s="26"/>
    </row>
    <row r="74" spans="2:6" x14ac:dyDescent="0.3">
      <c r="B74" s="27"/>
      <c r="C74" s="28"/>
      <c r="D74" s="28"/>
      <c r="E74" s="28"/>
      <c r="F74" s="29"/>
    </row>
    <row r="75" spans="2:6" x14ac:dyDescent="0.3">
      <c r="B75" s="19" t="s">
        <v>102</v>
      </c>
      <c r="C75" s="13" t="s">
        <v>91</v>
      </c>
      <c r="D75" s="13" t="s">
        <v>89</v>
      </c>
      <c r="E75" s="13" t="s">
        <v>90</v>
      </c>
      <c r="F75" s="16" t="s">
        <v>1</v>
      </c>
    </row>
    <row r="76" spans="2:6" x14ac:dyDescent="0.3">
      <c r="B76" s="20"/>
      <c r="C76" s="15" t="s">
        <v>118</v>
      </c>
      <c r="D76" s="15"/>
      <c r="E76" s="14">
        <v>25</v>
      </c>
      <c r="F76" s="12" t="str">
        <f>Units</f>
        <v>mm</v>
      </c>
    </row>
    <row r="77" spans="2:6" x14ac:dyDescent="0.3">
      <c r="B77" s="20"/>
      <c r="C77" s="15" t="s">
        <v>119</v>
      </c>
      <c r="D77" s="15"/>
      <c r="E77" s="14">
        <v>25</v>
      </c>
      <c r="F77" s="12" t="str">
        <f>Units</f>
        <v>mm</v>
      </c>
    </row>
    <row r="78" spans="2:6" x14ac:dyDescent="0.3">
      <c r="B78" s="20"/>
      <c r="C78" s="15" t="s">
        <v>104</v>
      </c>
      <c r="D78" s="15" t="s">
        <v>103</v>
      </c>
      <c r="E78" s="15">
        <f>PI()*E77^2*2*PI()*E76</f>
        <v>308425.13753404247</v>
      </c>
      <c r="F78" s="12" t="str">
        <f>_xlfn.CONCAT(Units,"³")</f>
        <v>mm³</v>
      </c>
    </row>
    <row r="79" spans="2:6" x14ac:dyDescent="0.3">
      <c r="B79" s="20"/>
      <c r="C79" s="15" t="s">
        <v>104</v>
      </c>
      <c r="D79" s="15"/>
      <c r="E79" s="15">
        <f>E78/($F$5*$F$5*$F$5)</f>
        <v>3.0842513753404245E-4</v>
      </c>
      <c r="F79" s="12" t="s">
        <v>88</v>
      </c>
    </row>
    <row r="80" spans="2:6" x14ac:dyDescent="0.3">
      <c r="B80" s="20"/>
      <c r="C80" s="15" t="s">
        <v>105</v>
      </c>
      <c r="D80" s="15" t="s">
        <v>120</v>
      </c>
      <c r="E80" s="15">
        <f>2*PI()*E76*2*PI()*E77</f>
        <v>24674.011002723397</v>
      </c>
      <c r="F80" s="12" t="str">
        <f>_xlfn.CONCAT(Units,"²")</f>
        <v>mm²</v>
      </c>
    </row>
    <row r="81" spans="2:9" x14ac:dyDescent="0.3">
      <c r="B81" s="20"/>
      <c r="C81" s="15" t="s">
        <v>105</v>
      </c>
      <c r="D81" s="15"/>
      <c r="E81" s="15">
        <f>E80/($F$5*$F$5)</f>
        <v>2.4674011002723397E-2</v>
      </c>
      <c r="F81" s="12" t="s">
        <v>93</v>
      </c>
    </row>
    <row r="82" spans="2:9" x14ac:dyDescent="0.3">
      <c r="B82" s="20"/>
      <c r="C82" s="15" t="s">
        <v>72</v>
      </c>
      <c r="D82" s="15" t="s">
        <v>130</v>
      </c>
      <c r="E82" s="15">
        <f>$F$7*E79</f>
        <v>0.46880620905174453</v>
      </c>
      <c r="F82" s="12" t="s">
        <v>86</v>
      </c>
    </row>
    <row r="83" spans="2:9" x14ac:dyDescent="0.3">
      <c r="B83" s="21"/>
      <c r="C83" s="15" t="s">
        <v>72</v>
      </c>
      <c r="D83" s="15"/>
      <c r="E83" s="15">
        <f>E82*1000</f>
        <v>468.80620905174453</v>
      </c>
      <c r="F83" s="12" t="s">
        <v>87</v>
      </c>
    </row>
    <row r="84" spans="2:9" x14ac:dyDescent="0.3">
      <c r="B84" s="24"/>
      <c r="C84" s="25"/>
      <c r="D84" s="25"/>
      <c r="E84" s="25"/>
      <c r="F84" s="26"/>
      <c r="I84"/>
    </row>
    <row r="85" spans="2:9" x14ac:dyDescent="0.3">
      <c r="B85" s="27"/>
      <c r="C85" s="28"/>
      <c r="D85" s="28"/>
      <c r="E85" s="28"/>
      <c r="F85" s="29"/>
    </row>
    <row r="86" spans="2:9" x14ac:dyDescent="0.3">
      <c r="B86" s="19" t="s">
        <v>230</v>
      </c>
      <c r="C86" s="13" t="s">
        <v>91</v>
      </c>
      <c r="D86" s="13" t="s">
        <v>89</v>
      </c>
      <c r="E86" s="13" t="s">
        <v>90</v>
      </c>
      <c r="F86" s="16" t="s">
        <v>1</v>
      </c>
    </row>
    <row r="87" spans="2:9" x14ac:dyDescent="0.3">
      <c r="B87" s="20"/>
      <c r="C87" s="15" t="s">
        <v>96</v>
      </c>
      <c r="D87" s="15"/>
      <c r="E87" s="14">
        <v>100</v>
      </c>
      <c r="F87" s="12" t="str">
        <f>Units</f>
        <v>mm</v>
      </c>
    </row>
    <row r="88" spans="2:9" x14ac:dyDescent="0.3">
      <c r="B88" s="20"/>
      <c r="C88" s="15" t="s">
        <v>97</v>
      </c>
      <c r="D88" s="15"/>
      <c r="E88" s="14">
        <v>100</v>
      </c>
      <c r="F88" s="12" t="str">
        <f>Units</f>
        <v>mm</v>
      </c>
    </row>
    <row r="89" spans="2:9" x14ac:dyDescent="0.3">
      <c r="B89" s="20"/>
      <c r="C89" s="15" t="s">
        <v>98</v>
      </c>
      <c r="D89" s="15"/>
      <c r="E89" s="14">
        <v>50</v>
      </c>
      <c r="F89" s="12" t="str">
        <f>Units</f>
        <v>mm</v>
      </c>
    </row>
    <row r="90" spans="2:9" x14ac:dyDescent="0.3">
      <c r="B90" s="20"/>
      <c r="C90" s="15" t="s">
        <v>104</v>
      </c>
      <c r="D90" s="15" t="s">
        <v>231</v>
      </c>
      <c r="E90" s="15">
        <f>E87*E88*E89/2</f>
        <v>250000</v>
      </c>
      <c r="F90" s="12" t="str">
        <f>_xlfn.CONCAT(Units,"³")</f>
        <v>mm³</v>
      </c>
    </row>
    <row r="91" spans="2:9" x14ac:dyDescent="0.3">
      <c r="B91" s="20"/>
      <c r="C91" s="15" t="s">
        <v>104</v>
      </c>
      <c r="D91" s="15"/>
      <c r="E91" s="15">
        <f>E90/($F$5*$F$5*$F$5)</f>
        <v>2.5000000000000001E-4</v>
      </c>
      <c r="F91" s="12" t="s">
        <v>88</v>
      </c>
    </row>
    <row r="92" spans="2:9" ht="50.4" x14ac:dyDescent="0.3">
      <c r="B92" s="20"/>
      <c r="C92" s="15" t="s">
        <v>105</v>
      </c>
      <c r="D92" s="18" t="s">
        <v>232</v>
      </c>
      <c r="E92" s="15">
        <f>E87*E89+E87*E88+E88*E89+((E87^2+E89^2)^0.5*E88)</f>
        <v>31180.339887498951</v>
      </c>
      <c r="F92" s="12" t="str">
        <f>_xlfn.CONCAT(Units,"²")</f>
        <v>mm²</v>
      </c>
    </row>
    <row r="93" spans="2:9" x14ac:dyDescent="0.3">
      <c r="B93" s="20"/>
      <c r="C93" s="15" t="s">
        <v>105</v>
      </c>
      <c r="D93" s="15"/>
      <c r="E93" s="15">
        <f>E92/($F$5*$F$5)</f>
        <v>3.1180339887498951E-2</v>
      </c>
      <c r="F93" s="12" t="s">
        <v>93</v>
      </c>
    </row>
    <row r="94" spans="2:9" x14ac:dyDescent="0.3">
      <c r="B94" s="20"/>
      <c r="C94" s="15" t="s">
        <v>72</v>
      </c>
      <c r="D94" s="15" t="s">
        <v>130</v>
      </c>
      <c r="E94" s="15">
        <f>$F$7*E91</f>
        <v>0.38</v>
      </c>
      <c r="F94" s="12" t="s">
        <v>86</v>
      </c>
    </row>
    <row r="95" spans="2:9" x14ac:dyDescent="0.3">
      <c r="B95" s="21"/>
      <c r="C95" s="15" t="s">
        <v>72</v>
      </c>
      <c r="D95" s="15"/>
      <c r="E95" s="15">
        <f>E94*1000</f>
        <v>380</v>
      </c>
      <c r="F95" s="12" t="s">
        <v>87</v>
      </c>
    </row>
    <row r="96" spans="2:9" x14ac:dyDescent="0.3">
      <c r="B96" s="24"/>
      <c r="C96" s="25"/>
      <c r="D96" s="25"/>
      <c r="E96" s="25"/>
      <c r="F96" s="26"/>
    </row>
    <row r="97" spans="2:6" x14ac:dyDescent="0.3">
      <c r="B97" s="27"/>
      <c r="C97" s="28"/>
      <c r="D97" s="28"/>
      <c r="E97" s="28"/>
      <c r="F97" s="29"/>
    </row>
  </sheetData>
  <mergeCells count="2">
    <mergeCell ref="B3:D7"/>
    <mergeCell ref="B9:B17"/>
  </mergeCells>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5472E31-3765-488D-A681-5A7FE77B008F}">
          <x14:formula1>
            <xm:f>Setup!$B$4:$B$88</xm:f>
          </x14:formula1>
          <xm:sqref>F6</xm:sqref>
        </x14:dataValidation>
        <x14:dataValidation type="list" allowBlank="1" showInputMessage="1" showErrorMessage="1" xr:uid="{660B0DDF-59A2-4AA1-AFCB-384445C9CF0C}">
          <x14:formula1>
            <xm:f>Setup!$H$4:$H$8</xm:f>
          </x14:formula1>
          <xm:sqref>F4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9E336-512C-4D38-BB5C-93D5965F59E9}">
  <dimension ref="B1:J105"/>
  <sheetViews>
    <sheetView showGridLines="0" zoomScale="125" zoomScaleNormal="125" workbookViewId="0">
      <pane ySplit="3" topLeftCell="A4" activePane="bottomLeft" state="frozen"/>
      <selection pane="bottomLeft" activeCell="B17" sqref="B17"/>
    </sheetView>
  </sheetViews>
  <sheetFormatPr defaultColWidth="9.109375" defaultRowHeight="16.8" x14ac:dyDescent="0.4"/>
  <cols>
    <col min="1" max="1" width="2.5546875" style="1" customWidth="1"/>
    <col min="2" max="2" width="39.88671875" style="1" bestFit="1" customWidth="1"/>
    <col min="3" max="3" width="34.21875" style="1" customWidth="1"/>
    <col min="4" max="4" width="22.21875" style="1" customWidth="1"/>
    <col min="5" max="5" width="16.109375" style="1" bestFit="1" customWidth="1"/>
    <col min="6" max="6" width="14.77734375" style="1" bestFit="1" customWidth="1"/>
    <col min="7" max="7" width="2.5546875" style="1" customWidth="1"/>
    <col min="8" max="8" width="6.77734375" style="1" customWidth="1"/>
    <col min="9" max="9" width="8.5546875" style="1" customWidth="1"/>
    <col min="10" max="10" width="14.109375" style="1" customWidth="1"/>
    <col min="11" max="16384" width="9.109375" style="1"/>
  </cols>
  <sheetData>
    <row r="1" spans="2:10" x14ac:dyDescent="0.4">
      <c r="E1" s="50" t="s">
        <v>203</v>
      </c>
      <c r="F1" s="1">
        <v>9.8066685346035296</v>
      </c>
    </row>
    <row r="2" spans="2:10" x14ac:dyDescent="0.4">
      <c r="B2" s="1" t="s">
        <v>5</v>
      </c>
      <c r="E2" s="50" t="s">
        <v>204</v>
      </c>
      <c r="F2" s="1">
        <v>6.2426449985990499E-2</v>
      </c>
      <c r="H2" s="1" t="s">
        <v>81</v>
      </c>
    </row>
    <row r="3" spans="2:10" ht="33.6" x14ac:dyDescent="0.4">
      <c r="B3" s="51" t="s">
        <v>132</v>
      </c>
      <c r="C3" s="52" t="s">
        <v>2</v>
      </c>
      <c r="D3" s="53" t="s">
        <v>106</v>
      </c>
      <c r="E3" s="54" t="s">
        <v>107</v>
      </c>
      <c r="F3" s="55" t="s">
        <v>108</v>
      </c>
      <c r="H3" s="8" t="s">
        <v>74</v>
      </c>
      <c r="I3" s="9" t="s">
        <v>90</v>
      </c>
      <c r="J3" s="10" t="s">
        <v>82</v>
      </c>
    </row>
    <row r="4" spans="2:10" x14ac:dyDescent="0.4">
      <c r="B4" s="56" t="s">
        <v>6</v>
      </c>
      <c r="C4" s="57" t="s">
        <v>133</v>
      </c>
      <c r="D4" s="58">
        <v>2723</v>
      </c>
      <c r="E4" s="59">
        <v>26.7</v>
      </c>
      <c r="F4" s="60">
        <v>170</v>
      </c>
      <c r="H4" s="3" t="s">
        <v>0</v>
      </c>
      <c r="I4" s="2">
        <v>1000</v>
      </c>
      <c r="J4" s="4" t="s">
        <v>76</v>
      </c>
    </row>
    <row r="5" spans="2:10" x14ac:dyDescent="0.4">
      <c r="B5" s="56" t="s">
        <v>7</v>
      </c>
      <c r="C5" s="57" t="s">
        <v>134</v>
      </c>
      <c r="D5" s="58">
        <v>2162</v>
      </c>
      <c r="E5" s="59">
        <v>21.2</v>
      </c>
      <c r="F5" s="60">
        <v>135</v>
      </c>
      <c r="H5" s="3" t="s">
        <v>83</v>
      </c>
      <c r="I5" s="2">
        <v>100</v>
      </c>
      <c r="J5" s="4" t="s">
        <v>79</v>
      </c>
    </row>
    <row r="6" spans="2:10" x14ac:dyDescent="0.4">
      <c r="B6" s="56" t="s">
        <v>8</v>
      </c>
      <c r="C6" s="57" t="s">
        <v>135</v>
      </c>
      <c r="D6" s="58">
        <f>(1019 + 1427)/2</f>
        <v>1223</v>
      </c>
      <c r="E6" s="59">
        <f>(10 + 14)/2</f>
        <v>12</v>
      </c>
      <c r="F6" s="60">
        <f>(54 + 89)/2</f>
        <v>71.5</v>
      </c>
      <c r="H6" s="3" t="s">
        <v>75</v>
      </c>
      <c r="I6" s="2">
        <v>1</v>
      </c>
      <c r="J6" s="4" t="s">
        <v>77</v>
      </c>
    </row>
    <row r="7" spans="2:10" x14ac:dyDescent="0.4">
      <c r="B7" s="56" t="s">
        <v>9</v>
      </c>
      <c r="C7" s="57" t="s">
        <v>136</v>
      </c>
      <c r="D7" s="58">
        <v>8514</v>
      </c>
      <c r="E7" s="59">
        <v>83.5</v>
      </c>
      <c r="F7" s="60">
        <v>531.5</v>
      </c>
      <c r="H7" s="3" t="s">
        <v>84</v>
      </c>
      <c r="I7" s="2">
        <v>0.30480000000000002</v>
      </c>
      <c r="J7" s="4" t="s">
        <v>78</v>
      </c>
    </row>
    <row r="8" spans="2:10" x14ac:dyDescent="0.4">
      <c r="B8" s="56" t="s">
        <v>10</v>
      </c>
      <c r="C8" s="57" t="s">
        <v>137</v>
      </c>
      <c r="D8" s="58">
        <v>8912</v>
      </c>
      <c r="E8" s="59">
        <v>87.4</v>
      </c>
      <c r="F8" s="60">
        <v>556.4</v>
      </c>
      <c r="H8" s="5" t="s">
        <v>80</v>
      </c>
      <c r="I8" s="6">
        <v>1</v>
      </c>
      <c r="J8" s="7" t="s">
        <v>85</v>
      </c>
    </row>
    <row r="9" spans="2:10" x14ac:dyDescent="0.4">
      <c r="B9" s="56" t="s">
        <v>197</v>
      </c>
      <c r="C9" s="57" t="s">
        <v>199</v>
      </c>
      <c r="D9" s="58">
        <v>1468</v>
      </c>
      <c r="E9" s="59">
        <v>14.4</v>
      </c>
      <c r="F9" s="60">
        <v>91.7</v>
      </c>
    </row>
    <row r="10" spans="2:10" x14ac:dyDescent="0.4">
      <c r="B10" s="56" t="s">
        <v>198</v>
      </c>
      <c r="C10" s="57" t="s">
        <v>200</v>
      </c>
      <c r="D10" s="58">
        <v>2050</v>
      </c>
      <c r="E10" s="59">
        <v>20.100000000000001</v>
      </c>
      <c r="F10" s="60">
        <v>128</v>
      </c>
    </row>
    <row r="11" spans="2:10" x14ac:dyDescent="0.4">
      <c r="B11" s="56" t="s">
        <v>11</v>
      </c>
      <c r="C11" s="57" t="s">
        <v>138</v>
      </c>
      <c r="D11" s="58">
        <v>2141</v>
      </c>
      <c r="E11" s="59">
        <v>21</v>
      </c>
      <c r="F11" s="60">
        <v>133.69999999999999</v>
      </c>
    </row>
    <row r="12" spans="2:10" x14ac:dyDescent="0.4">
      <c r="B12" s="56" t="s">
        <v>12</v>
      </c>
      <c r="C12" s="57" t="s">
        <v>139</v>
      </c>
      <c r="D12" s="58">
        <v>1937</v>
      </c>
      <c r="E12" s="59">
        <v>19</v>
      </c>
      <c r="F12" s="60">
        <v>120.9</v>
      </c>
    </row>
    <row r="13" spans="2:10" x14ac:dyDescent="0.4">
      <c r="B13" s="56" t="s">
        <v>13</v>
      </c>
      <c r="C13" s="57" t="s">
        <v>140</v>
      </c>
      <c r="D13" s="58">
        <v>2447</v>
      </c>
      <c r="E13" s="59">
        <v>24</v>
      </c>
      <c r="F13" s="60">
        <v>152.80000000000001</v>
      </c>
    </row>
    <row r="14" spans="2:10" x14ac:dyDescent="0.4">
      <c r="B14" s="56" t="s">
        <v>14</v>
      </c>
      <c r="C14" s="57" t="s">
        <v>141</v>
      </c>
      <c r="D14" s="58">
        <v>8800</v>
      </c>
      <c r="E14" s="59">
        <v>86.3</v>
      </c>
      <c r="F14" s="60">
        <v>549.4</v>
      </c>
    </row>
    <row r="15" spans="2:10" x14ac:dyDescent="0.4">
      <c r="B15" s="56" t="s">
        <v>15</v>
      </c>
      <c r="C15" s="57" t="s">
        <v>142</v>
      </c>
      <c r="D15" s="58">
        <v>173</v>
      </c>
      <c r="E15" s="59">
        <v>1.7</v>
      </c>
      <c r="F15" s="60">
        <v>10.8</v>
      </c>
    </row>
    <row r="16" spans="2:10" x14ac:dyDescent="0.4">
      <c r="B16" s="56" t="s">
        <v>16</v>
      </c>
      <c r="C16" s="57" t="s">
        <v>143</v>
      </c>
      <c r="D16" s="58">
        <v>377</v>
      </c>
      <c r="E16" s="59">
        <v>3.7</v>
      </c>
      <c r="F16" s="60">
        <v>23.6</v>
      </c>
    </row>
    <row r="17" spans="2:6" ht="33.6" x14ac:dyDescent="0.4">
      <c r="B17" s="56" t="s">
        <v>17</v>
      </c>
      <c r="C17" s="57" t="s">
        <v>144</v>
      </c>
      <c r="D17" s="58">
        <v>1448</v>
      </c>
      <c r="E17" s="59">
        <v>14.2</v>
      </c>
      <c r="F17" s="60">
        <v>90.4</v>
      </c>
    </row>
    <row r="18" spans="2:6" x14ac:dyDescent="0.4">
      <c r="B18" s="56" t="s">
        <v>18</v>
      </c>
      <c r="C18" s="57" t="s">
        <v>145</v>
      </c>
      <c r="D18" s="58">
        <v>1754</v>
      </c>
      <c r="E18" s="59">
        <v>17.2</v>
      </c>
      <c r="F18" s="60">
        <v>109.5</v>
      </c>
    </row>
    <row r="19" spans="2:6" ht="33.6" x14ac:dyDescent="0.4">
      <c r="B19" s="56" t="s">
        <v>19</v>
      </c>
      <c r="C19" s="57" t="s">
        <v>146</v>
      </c>
      <c r="D19" s="58">
        <v>928</v>
      </c>
      <c r="E19" s="59">
        <v>9.1</v>
      </c>
      <c r="F19" s="60">
        <v>57.9</v>
      </c>
    </row>
    <row r="20" spans="2:6" ht="33.6" x14ac:dyDescent="0.4">
      <c r="B20" s="56" t="s">
        <v>20</v>
      </c>
      <c r="C20" s="57" t="s">
        <v>147</v>
      </c>
      <c r="D20" s="58">
        <v>704</v>
      </c>
      <c r="E20" s="59">
        <v>6.9</v>
      </c>
      <c r="F20" s="60">
        <v>43.9</v>
      </c>
    </row>
    <row r="21" spans="2:6" x14ac:dyDescent="0.4">
      <c r="B21" s="56" t="s">
        <v>21</v>
      </c>
      <c r="C21" s="57" t="s">
        <v>148</v>
      </c>
      <c r="D21" s="58">
        <v>2600</v>
      </c>
      <c r="E21" s="59">
        <v>25.5</v>
      </c>
      <c r="F21" s="60">
        <v>162.30000000000001</v>
      </c>
    </row>
    <row r="22" spans="2:6" x14ac:dyDescent="0.4">
      <c r="B22" s="56" t="s">
        <v>22</v>
      </c>
      <c r="C22" s="57" t="s">
        <v>149</v>
      </c>
      <c r="D22" s="58">
        <v>2039</v>
      </c>
      <c r="E22" s="59">
        <v>20</v>
      </c>
      <c r="F22" s="60">
        <v>127.3</v>
      </c>
    </row>
    <row r="23" spans="2:6" x14ac:dyDescent="0.4">
      <c r="B23" s="56" t="s">
        <v>23</v>
      </c>
      <c r="C23" s="57" t="s">
        <v>150</v>
      </c>
      <c r="D23" s="58">
        <v>2692</v>
      </c>
      <c r="E23" s="59">
        <v>26.4</v>
      </c>
      <c r="F23" s="60">
        <v>168.1</v>
      </c>
    </row>
    <row r="24" spans="2:6" x14ac:dyDescent="0.4">
      <c r="B24" s="56" t="s">
        <v>24</v>
      </c>
      <c r="C24" s="57" t="s">
        <v>151</v>
      </c>
      <c r="D24" s="58">
        <v>7209</v>
      </c>
      <c r="E24" s="59">
        <v>70.7</v>
      </c>
      <c r="F24" s="60">
        <v>450.1</v>
      </c>
    </row>
    <row r="25" spans="2:6" x14ac:dyDescent="0.4">
      <c r="B25" s="56" t="s">
        <v>25</v>
      </c>
      <c r="C25" s="57" t="s">
        <v>152</v>
      </c>
      <c r="D25" s="58">
        <v>11319</v>
      </c>
      <c r="E25" s="59">
        <v>111</v>
      </c>
      <c r="F25" s="60">
        <v>706.6</v>
      </c>
    </row>
    <row r="26" spans="2:6" x14ac:dyDescent="0.4">
      <c r="B26" s="56" t="s">
        <v>26</v>
      </c>
      <c r="C26" s="57" t="s">
        <v>153</v>
      </c>
      <c r="D26" s="58">
        <v>2498</v>
      </c>
      <c r="E26" s="59">
        <v>24.5</v>
      </c>
      <c r="F26" s="60">
        <v>156</v>
      </c>
    </row>
    <row r="27" spans="2:6" x14ac:dyDescent="0.4">
      <c r="B27" s="56" t="s">
        <v>27</v>
      </c>
      <c r="C27" s="57" t="s">
        <v>154</v>
      </c>
      <c r="D27" s="58">
        <v>1275</v>
      </c>
      <c r="E27" s="59">
        <v>12.5</v>
      </c>
      <c r="F27" s="60">
        <v>79.599999999999994</v>
      </c>
    </row>
    <row r="28" spans="2:6" x14ac:dyDescent="0.4">
      <c r="B28" s="56" t="s">
        <v>28</v>
      </c>
      <c r="C28" s="57" t="s">
        <v>155</v>
      </c>
      <c r="D28" s="58">
        <v>1774</v>
      </c>
      <c r="E28" s="59">
        <v>17.399999999999999</v>
      </c>
      <c r="F28" s="60">
        <v>110.8</v>
      </c>
    </row>
    <row r="29" spans="2:6" x14ac:dyDescent="0.4">
      <c r="B29" s="56" t="s">
        <v>29</v>
      </c>
      <c r="C29" s="57" t="s">
        <v>156</v>
      </c>
      <c r="D29" s="58">
        <v>2702</v>
      </c>
      <c r="E29" s="59">
        <v>26.5</v>
      </c>
      <c r="F29" s="60">
        <v>168.7</v>
      </c>
    </row>
    <row r="30" spans="2:6" x14ac:dyDescent="0.4">
      <c r="B30" s="56" t="s">
        <v>30</v>
      </c>
      <c r="C30" s="57" t="s">
        <v>157</v>
      </c>
      <c r="D30" s="58">
        <v>9086</v>
      </c>
      <c r="E30" s="59">
        <v>89.1</v>
      </c>
      <c r="F30" s="60">
        <v>567.20000000000005</v>
      </c>
    </row>
    <row r="31" spans="2:6" x14ac:dyDescent="0.4">
      <c r="B31" s="56" t="s">
        <v>31</v>
      </c>
      <c r="C31" s="57" t="s">
        <v>158</v>
      </c>
      <c r="D31" s="58">
        <v>704</v>
      </c>
      <c r="E31" s="59">
        <v>6.9</v>
      </c>
      <c r="F31" s="60">
        <v>43.9</v>
      </c>
    </row>
    <row r="32" spans="2:6" x14ac:dyDescent="0.4">
      <c r="B32" s="56" t="s">
        <v>32</v>
      </c>
      <c r="C32" s="57" t="s">
        <v>159</v>
      </c>
      <c r="D32" s="58">
        <v>2039</v>
      </c>
      <c r="E32" s="59">
        <v>20</v>
      </c>
      <c r="F32" s="60">
        <v>127.3</v>
      </c>
    </row>
    <row r="33" spans="2:6" x14ac:dyDescent="0.4">
      <c r="B33" s="56" t="s">
        <v>33</v>
      </c>
      <c r="C33" s="57" t="s">
        <v>160</v>
      </c>
      <c r="D33" s="58">
        <v>2294</v>
      </c>
      <c r="E33" s="59">
        <v>22.5</v>
      </c>
      <c r="F33" s="60">
        <v>143.19999999999999</v>
      </c>
    </row>
    <row r="34" spans="2:6" x14ac:dyDescent="0.4">
      <c r="B34" s="56" t="s">
        <v>34</v>
      </c>
      <c r="C34" s="57" t="s">
        <v>161</v>
      </c>
      <c r="D34" s="58">
        <v>1835</v>
      </c>
      <c r="E34" s="59">
        <v>18</v>
      </c>
      <c r="F34" s="60">
        <v>114.6</v>
      </c>
    </row>
    <row r="35" spans="2:6" x14ac:dyDescent="0.4">
      <c r="B35" s="56" t="s">
        <v>35</v>
      </c>
      <c r="C35" s="57" t="s">
        <v>162</v>
      </c>
      <c r="D35" s="58">
        <v>2549</v>
      </c>
      <c r="E35" s="59">
        <v>25</v>
      </c>
      <c r="F35" s="60">
        <v>159.1</v>
      </c>
    </row>
    <row r="36" spans="2:6" x14ac:dyDescent="0.4">
      <c r="B36" s="56" t="s">
        <v>36</v>
      </c>
      <c r="C36" s="57" t="s">
        <v>163</v>
      </c>
      <c r="D36" s="58">
        <v>2141</v>
      </c>
      <c r="E36" s="59">
        <v>21</v>
      </c>
      <c r="F36" s="60">
        <v>133.69999999999999</v>
      </c>
    </row>
    <row r="37" spans="2:6" x14ac:dyDescent="0.4">
      <c r="B37" s="56" t="s">
        <v>37</v>
      </c>
      <c r="C37" s="57" t="s">
        <v>164</v>
      </c>
      <c r="D37" s="58">
        <v>7841</v>
      </c>
      <c r="E37" s="59">
        <v>76.900000000000006</v>
      </c>
      <c r="F37" s="60">
        <v>489.5</v>
      </c>
    </row>
    <row r="38" spans="2:6" x14ac:dyDescent="0.4">
      <c r="B38" s="56" t="s">
        <v>38</v>
      </c>
      <c r="C38" s="57" t="s">
        <v>165</v>
      </c>
      <c r="D38" s="58">
        <v>540</v>
      </c>
      <c r="E38" s="59">
        <v>5.3</v>
      </c>
      <c r="F38" s="60">
        <v>33.700000000000003</v>
      </c>
    </row>
    <row r="39" spans="2:6" x14ac:dyDescent="0.4">
      <c r="B39" s="56" t="s">
        <v>39</v>
      </c>
      <c r="C39" s="57" t="s">
        <v>166</v>
      </c>
      <c r="D39" s="58">
        <v>469</v>
      </c>
      <c r="E39" s="59">
        <v>4.5999999999999996</v>
      </c>
      <c r="F39" s="60">
        <v>29.3</v>
      </c>
    </row>
    <row r="40" spans="2:6" x14ac:dyDescent="0.4">
      <c r="B40" s="56" t="s">
        <v>40</v>
      </c>
      <c r="C40" s="57" t="s">
        <v>167</v>
      </c>
      <c r="D40" s="58">
        <v>714</v>
      </c>
      <c r="E40" s="59">
        <v>7</v>
      </c>
      <c r="F40" s="60">
        <v>44.6</v>
      </c>
    </row>
    <row r="41" spans="2:6" x14ac:dyDescent="0.4">
      <c r="B41" s="56" t="s">
        <v>41</v>
      </c>
      <c r="C41" s="57" t="s">
        <v>168</v>
      </c>
      <c r="D41" s="58">
        <v>561</v>
      </c>
      <c r="E41" s="59">
        <v>5.5</v>
      </c>
      <c r="F41" s="60">
        <v>35</v>
      </c>
    </row>
    <row r="42" spans="2:6" x14ac:dyDescent="0.4">
      <c r="B42" s="56" t="s">
        <v>42</v>
      </c>
      <c r="C42" s="57" t="s">
        <v>169</v>
      </c>
      <c r="D42" s="58">
        <v>540</v>
      </c>
      <c r="E42" s="59">
        <v>5.3</v>
      </c>
      <c r="F42" s="60">
        <v>33.700000000000003</v>
      </c>
    </row>
    <row r="43" spans="2:6" x14ac:dyDescent="0.4">
      <c r="B43" s="56" t="s">
        <v>43</v>
      </c>
      <c r="C43" s="57" t="s">
        <v>170</v>
      </c>
      <c r="D43" s="58">
        <v>887</v>
      </c>
      <c r="E43" s="59">
        <v>8.6999999999999993</v>
      </c>
      <c r="F43" s="60">
        <v>55.4</v>
      </c>
    </row>
    <row r="44" spans="2:6" x14ac:dyDescent="0.4">
      <c r="B44" s="56" t="s">
        <v>44</v>
      </c>
      <c r="C44" s="57" t="s">
        <v>171</v>
      </c>
      <c r="D44" s="58">
        <v>1081</v>
      </c>
      <c r="E44" s="59">
        <v>10.6</v>
      </c>
      <c r="F44" s="60">
        <v>67.5</v>
      </c>
    </row>
    <row r="45" spans="2:6" x14ac:dyDescent="0.4">
      <c r="B45" s="56" t="s">
        <v>45</v>
      </c>
      <c r="C45" s="57" t="s">
        <v>172</v>
      </c>
      <c r="D45" s="58">
        <v>1122</v>
      </c>
      <c r="E45" s="59">
        <v>11</v>
      </c>
      <c r="F45" s="60">
        <v>70</v>
      </c>
    </row>
    <row r="46" spans="2:6" x14ac:dyDescent="0.4">
      <c r="B46" s="56" t="s">
        <v>46</v>
      </c>
      <c r="C46" s="57" t="s">
        <v>173</v>
      </c>
      <c r="D46" s="58">
        <v>816</v>
      </c>
      <c r="E46" s="59">
        <v>8</v>
      </c>
      <c r="F46" s="60">
        <v>50.9</v>
      </c>
    </row>
    <row r="47" spans="2:6" x14ac:dyDescent="0.4">
      <c r="B47" s="56" t="s">
        <v>47</v>
      </c>
      <c r="C47" s="57" t="s">
        <v>174</v>
      </c>
      <c r="D47" s="58">
        <v>1020</v>
      </c>
      <c r="E47" s="59">
        <v>10</v>
      </c>
      <c r="F47" s="60">
        <v>63.7</v>
      </c>
    </row>
    <row r="48" spans="2:6" x14ac:dyDescent="0.4">
      <c r="B48" s="56" t="s">
        <v>48</v>
      </c>
      <c r="C48" s="57" t="s">
        <v>175</v>
      </c>
      <c r="D48" s="58">
        <v>1020</v>
      </c>
      <c r="E48" s="59">
        <v>10</v>
      </c>
      <c r="F48" s="60">
        <v>63.7</v>
      </c>
    </row>
    <row r="49" spans="2:6" x14ac:dyDescent="0.4">
      <c r="B49" s="56" t="s">
        <v>49</v>
      </c>
      <c r="C49" s="57" t="s">
        <v>176</v>
      </c>
      <c r="D49" s="58">
        <v>969</v>
      </c>
      <c r="E49" s="59">
        <v>9.5</v>
      </c>
      <c r="F49" s="60">
        <v>60.5</v>
      </c>
    </row>
    <row r="50" spans="2:6" x14ac:dyDescent="0.4">
      <c r="B50" s="56" t="s">
        <v>50</v>
      </c>
      <c r="C50" s="57" t="s">
        <v>177</v>
      </c>
      <c r="D50" s="58">
        <v>969</v>
      </c>
      <c r="E50" s="59">
        <v>9.5</v>
      </c>
      <c r="F50" s="60">
        <v>60.5</v>
      </c>
    </row>
    <row r="51" spans="2:6" x14ac:dyDescent="0.4">
      <c r="B51" s="56" t="s">
        <v>51</v>
      </c>
      <c r="C51" s="57" t="s">
        <v>178</v>
      </c>
      <c r="D51" s="58">
        <v>642</v>
      </c>
      <c r="E51" s="59">
        <v>6.3</v>
      </c>
      <c r="F51" s="60">
        <v>40.1</v>
      </c>
    </row>
    <row r="52" spans="2:6" x14ac:dyDescent="0.4">
      <c r="B52" s="56" t="s">
        <v>52</v>
      </c>
      <c r="C52" s="57" t="s">
        <v>179</v>
      </c>
      <c r="D52" s="58">
        <v>714</v>
      </c>
      <c r="E52" s="59">
        <v>7</v>
      </c>
      <c r="F52" s="60">
        <v>44.6</v>
      </c>
    </row>
    <row r="53" spans="2:6" x14ac:dyDescent="0.4">
      <c r="B53" s="56" t="s">
        <v>53</v>
      </c>
      <c r="C53" s="57" t="s">
        <v>180</v>
      </c>
      <c r="D53" s="58">
        <v>867</v>
      </c>
      <c r="E53" s="59">
        <v>8.5</v>
      </c>
      <c r="F53" s="60">
        <v>54.1</v>
      </c>
    </row>
    <row r="54" spans="2:6" x14ac:dyDescent="0.4">
      <c r="B54" s="56" t="s">
        <v>54</v>
      </c>
      <c r="C54" s="57" t="s">
        <v>181</v>
      </c>
      <c r="D54" s="58">
        <v>775</v>
      </c>
      <c r="E54" s="59">
        <v>7.6</v>
      </c>
      <c r="F54" s="60">
        <v>48.4</v>
      </c>
    </row>
    <row r="55" spans="2:6" x14ac:dyDescent="0.4">
      <c r="B55" s="56" t="s">
        <v>55</v>
      </c>
      <c r="C55" s="57" t="s">
        <v>182</v>
      </c>
      <c r="D55" s="58">
        <v>602</v>
      </c>
      <c r="E55" s="59">
        <v>5.9</v>
      </c>
      <c r="F55" s="60">
        <v>37.6</v>
      </c>
    </row>
    <row r="56" spans="2:6" x14ac:dyDescent="0.4">
      <c r="B56" s="56" t="s">
        <v>56</v>
      </c>
      <c r="C56" s="57" t="s">
        <v>183</v>
      </c>
      <c r="D56" s="58">
        <v>795</v>
      </c>
      <c r="E56" s="59">
        <v>7.8</v>
      </c>
      <c r="F56" s="60">
        <v>49.7</v>
      </c>
    </row>
    <row r="57" spans="2:6" x14ac:dyDescent="0.4">
      <c r="B57" s="56" t="s">
        <v>57</v>
      </c>
      <c r="C57" s="57" t="s">
        <v>184</v>
      </c>
      <c r="D57" s="58">
        <f>(978 + 1142)/2</f>
        <v>1060</v>
      </c>
      <c r="E57" s="59">
        <f>(9.6 + 11.2)/2</f>
        <v>10.399999999999999</v>
      </c>
      <c r="F57" s="60">
        <f>(61 + 71)/2</f>
        <v>66</v>
      </c>
    </row>
    <row r="58" spans="2:6" x14ac:dyDescent="0.4">
      <c r="B58" s="56" t="s">
        <v>58</v>
      </c>
      <c r="C58" s="57" t="s">
        <v>185</v>
      </c>
      <c r="D58" s="58">
        <v>683</v>
      </c>
      <c r="E58" s="59">
        <v>6.7</v>
      </c>
      <c r="F58" s="60">
        <v>42.7</v>
      </c>
    </row>
    <row r="59" spans="2:6" x14ac:dyDescent="0.4">
      <c r="B59" s="56" t="s">
        <v>59</v>
      </c>
      <c r="C59" s="57" t="s">
        <v>186</v>
      </c>
      <c r="D59" s="58">
        <v>683</v>
      </c>
      <c r="E59" s="59">
        <v>6.7</v>
      </c>
      <c r="F59" s="60">
        <v>42.7</v>
      </c>
    </row>
    <row r="60" spans="2:6" x14ac:dyDescent="0.4">
      <c r="B60" s="56" t="s">
        <v>60</v>
      </c>
      <c r="C60" s="57" t="s">
        <v>187</v>
      </c>
      <c r="D60" s="58">
        <v>551</v>
      </c>
      <c r="E60" s="59">
        <v>5.4</v>
      </c>
      <c r="F60" s="60">
        <v>34.4</v>
      </c>
    </row>
    <row r="61" spans="2:6" x14ac:dyDescent="0.4">
      <c r="B61" s="56" t="s">
        <v>61</v>
      </c>
      <c r="C61" s="57" t="s">
        <v>188</v>
      </c>
      <c r="D61" s="58">
        <v>173</v>
      </c>
      <c r="E61" s="59">
        <v>1.7</v>
      </c>
      <c r="F61" s="60">
        <v>10.8</v>
      </c>
    </row>
    <row r="62" spans="2:6" x14ac:dyDescent="0.4">
      <c r="B62" s="56" t="s">
        <v>62</v>
      </c>
      <c r="C62" s="57" t="s">
        <v>189</v>
      </c>
      <c r="D62" s="58">
        <f>(305 + 407)/2</f>
        <v>356</v>
      </c>
      <c r="E62" s="59">
        <f>(3 + 4)/2</f>
        <v>3.5</v>
      </c>
      <c r="F62" s="60">
        <f>(19 + 25)/2</f>
        <v>22</v>
      </c>
    </row>
    <row r="63" spans="2:6" x14ac:dyDescent="0.4">
      <c r="B63" s="56" t="s">
        <v>63</v>
      </c>
      <c r="C63" s="57" t="s">
        <v>190</v>
      </c>
      <c r="D63" s="58">
        <v>387</v>
      </c>
      <c r="E63" s="59">
        <v>3.8</v>
      </c>
      <c r="F63" s="60">
        <v>24.2</v>
      </c>
    </row>
    <row r="64" spans="2:6" x14ac:dyDescent="0.4">
      <c r="B64" s="56" t="s">
        <v>64</v>
      </c>
      <c r="C64" s="57" t="s">
        <v>191</v>
      </c>
      <c r="D64" s="58">
        <v>428</v>
      </c>
      <c r="E64" s="59">
        <v>4.2</v>
      </c>
      <c r="F64" s="60">
        <v>26.7</v>
      </c>
    </row>
    <row r="65" spans="2:6" x14ac:dyDescent="0.4">
      <c r="B65" s="56" t="s">
        <v>65</v>
      </c>
      <c r="C65" s="57" t="s">
        <v>192</v>
      </c>
      <c r="D65" s="58">
        <v>459</v>
      </c>
      <c r="E65" s="59">
        <v>4.5</v>
      </c>
      <c r="F65" s="60">
        <v>28.6</v>
      </c>
    </row>
    <row r="66" spans="2:6" x14ac:dyDescent="0.4">
      <c r="B66" s="56" t="s">
        <v>66</v>
      </c>
      <c r="C66" s="57" t="s">
        <v>193</v>
      </c>
      <c r="D66" s="58">
        <v>520</v>
      </c>
      <c r="E66" s="59">
        <v>5.0999999999999996</v>
      </c>
      <c r="F66" s="60">
        <v>32.5</v>
      </c>
    </row>
    <row r="67" spans="2:6" x14ac:dyDescent="0.4">
      <c r="B67" s="56" t="s">
        <v>67</v>
      </c>
      <c r="C67" s="57" t="s">
        <v>194</v>
      </c>
      <c r="D67" s="58">
        <v>7423</v>
      </c>
      <c r="E67" s="59">
        <v>72.8</v>
      </c>
      <c r="F67" s="60">
        <v>463.4</v>
      </c>
    </row>
    <row r="68" spans="2:6" x14ac:dyDescent="0.4">
      <c r="B68" s="56" t="s">
        <v>131</v>
      </c>
      <c r="C68" s="57" t="s">
        <v>195</v>
      </c>
      <c r="D68" s="58">
        <v>4500</v>
      </c>
      <c r="E68" s="59">
        <f>44203.86/1000</f>
        <v>44.203859999999999</v>
      </c>
      <c r="F68" s="60">
        <v>280</v>
      </c>
    </row>
    <row r="69" spans="2:6" x14ac:dyDescent="0.4">
      <c r="B69" s="56" t="s">
        <v>68</v>
      </c>
      <c r="C69" s="57" t="s">
        <v>196</v>
      </c>
      <c r="D69" s="58">
        <v>1020</v>
      </c>
      <c r="E69" s="59">
        <v>10</v>
      </c>
      <c r="F69" s="60">
        <v>63.7</v>
      </c>
    </row>
    <row r="70" spans="2:6" x14ac:dyDescent="0.4">
      <c r="B70" s="56" t="s">
        <v>69</v>
      </c>
      <c r="C70" s="57" t="s">
        <v>69</v>
      </c>
      <c r="D70" s="58">
        <v>7138</v>
      </c>
      <c r="E70" s="59">
        <v>70</v>
      </c>
      <c r="F70" s="60">
        <v>445.6</v>
      </c>
    </row>
    <row r="71" spans="2:6" x14ac:dyDescent="0.4">
      <c r="B71" s="64" t="s">
        <v>201</v>
      </c>
      <c r="C71" s="65" t="s">
        <v>202</v>
      </c>
      <c r="D71" s="66">
        <f>(1700 + 1920)/2</f>
        <v>1810</v>
      </c>
      <c r="E71" s="67">
        <f>D71*$F$1/1000</f>
        <v>17.750070047632388</v>
      </c>
      <c r="F71" s="68">
        <f>D71*$F$2</f>
        <v>112.9918744746428</v>
      </c>
    </row>
    <row r="72" spans="2:6" x14ac:dyDescent="0.4">
      <c r="B72" s="64" t="s">
        <v>205</v>
      </c>
      <c r="C72" s="65" t="s">
        <v>205</v>
      </c>
      <c r="D72" s="66">
        <v>1240</v>
      </c>
      <c r="E72" s="67">
        <f t="shared" ref="E72:E87" si="0">D72*$F$1/1000</f>
        <v>12.160268982908377</v>
      </c>
      <c r="F72" s="68">
        <f t="shared" ref="F72:F87" si="1">D72*$F$2</f>
        <v>77.408797982628215</v>
      </c>
    </row>
    <row r="73" spans="2:6" x14ac:dyDescent="0.4">
      <c r="B73" s="64" t="s">
        <v>206</v>
      </c>
      <c r="C73" s="65" t="s">
        <v>206</v>
      </c>
      <c r="D73" s="66">
        <v>1040.0000000000002</v>
      </c>
      <c r="E73" s="67">
        <f t="shared" si="0"/>
        <v>10.198935275987672</v>
      </c>
      <c r="F73" s="68">
        <f t="shared" si="1"/>
        <v>64.923507985430135</v>
      </c>
    </row>
    <row r="74" spans="2:6" x14ac:dyDescent="0.4">
      <c r="B74" s="64" t="s">
        <v>207</v>
      </c>
      <c r="C74" s="65" t="s">
        <v>207</v>
      </c>
      <c r="D74" s="66">
        <v>1270</v>
      </c>
      <c r="E74" s="67">
        <f t="shared" si="0"/>
        <v>12.454469038946483</v>
      </c>
      <c r="F74" s="68">
        <f t="shared" si="1"/>
        <v>79.281591482207929</v>
      </c>
    </row>
    <row r="75" spans="2:6" x14ac:dyDescent="0.4">
      <c r="B75" s="64" t="s">
        <v>208</v>
      </c>
      <c r="C75" s="65" t="s">
        <v>208</v>
      </c>
      <c r="D75" s="66">
        <v>1520</v>
      </c>
      <c r="E75" s="67">
        <f t="shared" si="0"/>
        <v>14.906136172597366</v>
      </c>
      <c r="F75" s="68">
        <f t="shared" si="1"/>
        <v>94.888203978705562</v>
      </c>
    </row>
    <row r="76" spans="2:6" x14ac:dyDescent="0.4">
      <c r="B76" s="64" t="s">
        <v>209</v>
      </c>
      <c r="C76" s="65" t="s">
        <v>209</v>
      </c>
      <c r="D76" s="66">
        <v>1210</v>
      </c>
      <c r="E76" s="67">
        <f t="shared" si="0"/>
        <v>11.86606892687027</v>
      </c>
      <c r="F76" s="68">
        <f t="shared" si="1"/>
        <v>75.536004483048501</v>
      </c>
    </row>
    <row r="77" spans="2:6" x14ac:dyDescent="0.4">
      <c r="B77" s="64" t="s">
        <v>222</v>
      </c>
      <c r="C77" s="65" t="s">
        <v>210</v>
      </c>
      <c r="D77" s="66">
        <v>1300</v>
      </c>
      <c r="E77" s="67">
        <f t="shared" si="0"/>
        <v>12.748669094984589</v>
      </c>
      <c r="F77" s="68">
        <f t="shared" si="1"/>
        <v>81.154384981787643</v>
      </c>
    </row>
    <row r="78" spans="2:6" x14ac:dyDescent="0.4">
      <c r="B78" s="64" t="s">
        <v>223</v>
      </c>
      <c r="C78" s="65" t="s">
        <v>211</v>
      </c>
      <c r="D78" s="66">
        <v>1280</v>
      </c>
      <c r="E78" s="67">
        <f t="shared" si="0"/>
        <v>12.552535724292518</v>
      </c>
      <c r="F78" s="68">
        <f t="shared" si="1"/>
        <v>79.905855982067834</v>
      </c>
    </row>
    <row r="79" spans="2:6" x14ac:dyDescent="0.4">
      <c r="B79" s="64" t="s">
        <v>224</v>
      </c>
      <c r="C79" s="65" t="s">
        <v>212</v>
      </c>
      <c r="D79" s="66">
        <v>1300</v>
      </c>
      <c r="E79" s="67">
        <f t="shared" si="0"/>
        <v>12.748669094984589</v>
      </c>
      <c r="F79" s="68">
        <f t="shared" si="1"/>
        <v>81.154384981787643</v>
      </c>
    </row>
    <row r="80" spans="2:6" x14ac:dyDescent="0.4">
      <c r="B80" s="64" t="s">
        <v>213</v>
      </c>
      <c r="C80" s="65" t="s">
        <v>213</v>
      </c>
      <c r="D80" s="66">
        <v>1189.9999999999998</v>
      </c>
      <c r="E80" s="67">
        <f t="shared" si="0"/>
        <v>11.669935556178197</v>
      </c>
      <c r="F80" s="68">
        <f t="shared" si="1"/>
        <v>74.287475483328677</v>
      </c>
    </row>
    <row r="81" spans="2:6" x14ac:dyDescent="0.4">
      <c r="B81" s="64" t="s">
        <v>214</v>
      </c>
      <c r="C81" s="65" t="s">
        <v>214</v>
      </c>
      <c r="D81" s="66">
        <v>1030</v>
      </c>
      <c r="E81" s="67">
        <f t="shared" si="0"/>
        <v>10.100868590641635</v>
      </c>
      <c r="F81" s="68">
        <f t="shared" si="1"/>
        <v>64.299243485570216</v>
      </c>
    </row>
    <row r="82" spans="2:6" x14ac:dyDescent="0.4">
      <c r="B82" s="64" t="s">
        <v>215</v>
      </c>
      <c r="C82" s="65" t="s">
        <v>215</v>
      </c>
      <c r="D82" s="66">
        <v>1230</v>
      </c>
      <c r="E82" s="67">
        <f t="shared" si="0"/>
        <v>12.062202297562342</v>
      </c>
      <c r="F82" s="68">
        <f t="shared" si="1"/>
        <v>76.78453348276831</v>
      </c>
    </row>
    <row r="83" spans="2:6" x14ac:dyDescent="0.4">
      <c r="B83" s="64" t="s">
        <v>216</v>
      </c>
      <c r="C83" s="65" t="s">
        <v>216</v>
      </c>
      <c r="D83" s="66">
        <v>1050.0000000000002</v>
      </c>
      <c r="E83" s="67">
        <f t="shared" si="0"/>
        <v>10.297001961333708</v>
      </c>
      <c r="F83" s="68">
        <f t="shared" si="1"/>
        <v>65.547772485290039</v>
      </c>
    </row>
    <row r="84" spans="2:6" x14ac:dyDescent="0.4">
      <c r="B84" s="64" t="s">
        <v>225</v>
      </c>
      <c r="C84" s="65" t="s">
        <v>217</v>
      </c>
      <c r="D84" s="66">
        <v>900</v>
      </c>
      <c r="E84" s="67">
        <f t="shared" si="0"/>
        <v>8.8260016811431754</v>
      </c>
      <c r="F84" s="68">
        <f t="shared" si="1"/>
        <v>56.183804987391447</v>
      </c>
    </row>
    <row r="85" spans="2:6" x14ac:dyDescent="0.4">
      <c r="B85" s="64" t="s">
        <v>218</v>
      </c>
      <c r="C85" s="65" t="s">
        <v>218</v>
      </c>
      <c r="D85" s="66">
        <v>1400</v>
      </c>
      <c r="E85" s="67">
        <f t="shared" si="0"/>
        <v>13.729335948444941</v>
      </c>
      <c r="F85" s="68">
        <f t="shared" si="1"/>
        <v>87.397029980386705</v>
      </c>
    </row>
    <row r="86" spans="2:6" x14ac:dyDescent="0.4">
      <c r="B86" s="64" t="s">
        <v>219</v>
      </c>
      <c r="C86" s="65" t="s">
        <v>219</v>
      </c>
      <c r="D86" s="66">
        <v>1179.9999999999998</v>
      </c>
      <c r="E86" s="67">
        <f t="shared" si="0"/>
        <v>11.571868870832162</v>
      </c>
      <c r="F86" s="68">
        <f t="shared" si="1"/>
        <v>73.663210983468772</v>
      </c>
    </row>
    <row r="87" spans="2:6" x14ac:dyDescent="0.4">
      <c r="B87" s="64" t="s">
        <v>226</v>
      </c>
      <c r="C87" s="65" t="s">
        <v>220</v>
      </c>
      <c r="D87" s="66">
        <v>2160</v>
      </c>
      <c r="E87" s="67">
        <f t="shared" si="0"/>
        <v>21.182404034743623</v>
      </c>
      <c r="F87" s="68">
        <f t="shared" si="1"/>
        <v>134.84113196973948</v>
      </c>
    </row>
    <row r="88" spans="2:6" x14ac:dyDescent="0.4">
      <c r="B88" s="61" t="s">
        <v>80</v>
      </c>
      <c r="C88" s="69" t="s">
        <v>80</v>
      </c>
      <c r="D88" s="70">
        <v>1</v>
      </c>
      <c r="E88" s="62">
        <v>1</v>
      </c>
      <c r="F88" s="63">
        <v>1</v>
      </c>
    </row>
    <row r="89" spans="2:6" x14ac:dyDescent="0.4">
      <c r="C89" s="1" t="s">
        <v>221</v>
      </c>
    </row>
    <row r="90" spans="2:6" x14ac:dyDescent="0.4">
      <c r="B90" s="1" t="s">
        <v>205</v>
      </c>
      <c r="C90" s="1">
        <v>1.24</v>
      </c>
      <c r="D90" s="1">
        <f>(C90/1000)*(100*100*100)</f>
        <v>1240</v>
      </c>
    </row>
    <row r="91" spans="2:6" x14ac:dyDescent="0.4">
      <c r="B91" s="1" t="s">
        <v>206</v>
      </c>
      <c r="C91" s="1">
        <v>1.04</v>
      </c>
      <c r="D91" s="1">
        <f t="shared" ref="D91:D105" si="2">(C91/1000)*(100*100*100)</f>
        <v>1040.0000000000002</v>
      </c>
    </row>
    <row r="92" spans="2:6" x14ac:dyDescent="0.4">
      <c r="B92" s="1" t="s">
        <v>207</v>
      </c>
      <c r="C92" s="1">
        <v>1.27</v>
      </c>
      <c r="D92" s="1">
        <f t="shared" si="2"/>
        <v>1270</v>
      </c>
    </row>
    <row r="93" spans="2:6" x14ac:dyDescent="0.4">
      <c r="B93" s="1" t="s">
        <v>208</v>
      </c>
      <c r="C93" s="1">
        <v>1.52</v>
      </c>
      <c r="D93" s="1">
        <f t="shared" si="2"/>
        <v>1520</v>
      </c>
    </row>
    <row r="94" spans="2:6" x14ac:dyDescent="0.4">
      <c r="B94" s="1" t="s">
        <v>209</v>
      </c>
      <c r="C94" s="1">
        <v>1.21</v>
      </c>
      <c r="D94" s="1">
        <f t="shared" si="2"/>
        <v>1210</v>
      </c>
    </row>
    <row r="95" spans="2:6" x14ac:dyDescent="0.4">
      <c r="B95" s="1" t="s">
        <v>210</v>
      </c>
      <c r="C95" s="1">
        <v>1.3</v>
      </c>
      <c r="D95" s="1">
        <f t="shared" si="2"/>
        <v>1300</v>
      </c>
    </row>
    <row r="96" spans="2:6" x14ac:dyDescent="0.4">
      <c r="B96" s="1" t="s">
        <v>211</v>
      </c>
      <c r="C96" s="1">
        <v>1.28</v>
      </c>
      <c r="D96" s="1">
        <f t="shared" si="2"/>
        <v>1280</v>
      </c>
    </row>
    <row r="97" spans="2:4" x14ac:dyDescent="0.4">
      <c r="B97" s="1" t="s">
        <v>212</v>
      </c>
      <c r="C97" s="1">
        <v>1.3</v>
      </c>
      <c r="D97" s="1">
        <f t="shared" si="2"/>
        <v>1300</v>
      </c>
    </row>
    <row r="98" spans="2:4" x14ac:dyDescent="0.4">
      <c r="B98" s="1" t="s">
        <v>213</v>
      </c>
      <c r="C98" s="1">
        <v>1.19</v>
      </c>
      <c r="D98" s="1">
        <f t="shared" si="2"/>
        <v>1189.9999999999998</v>
      </c>
    </row>
    <row r="99" spans="2:4" x14ac:dyDescent="0.4">
      <c r="B99" s="1" t="s">
        <v>214</v>
      </c>
      <c r="C99" s="1">
        <v>1.03</v>
      </c>
      <c r="D99" s="1">
        <f t="shared" si="2"/>
        <v>1030</v>
      </c>
    </row>
    <row r="100" spans="2:4" x14ac:dyDescent="0.4">
      <c r="B100" s="1" t="s">
        <v>215</v>
      </c>
      <c r="C100" s="1">
        <v>1.23</v>
      </c>
      <c r="D100" s="1">
        <f t="shared" si="2"/>
        <v>1230</v>
      </c>
    </row>
    <row r="101" spans="2:4" x14ac:dyDescent="0.4">
      <c r="B101" s="1" t="s">
        <v>216</v>
      </c>
      <c r="C101" s="1">
        <v>1.05</v>
      </c>
      <c r="D101" s="1">
        <f t="shared" si="2"/>
        <v>1050.0000000000002</v>
      </c>
    </row>
    <row r="102" spans="2:4" x14ac:dyDescent="0.4">
      <c r="B102" s="1" t="s">
        <v>217</v>
      </c>
      <c r="C102" s="1">
        <v>0.9</v>
      </c>
      <c r="D102" s="1">
        <f t="shared" si="2"/>
        <v>900</v>
      </c>
    </row>
    <row r="103" spans="2:4" x14ac:dyDescent="0.4">
      <c r="B103" s="1" t="s">
        <v>218</v>
      </c>
      <c r="C103" s="1">
        <v>1.4</v>
      </c>
      <c r="D103" s="1">
        <f t="shared" si="2"/>
        <v>1400</v>
      </c>
    </row>
    <row r="104" spans="2:4" x14ac:dyDescent="0.4">
      <c r="B104" s="1" t="s">
        <v>219</v>
      </c>
      <c r="C104" s="1">
        <v>1.18</v>
      </c>
      <c r="D104" s="1">
        <f t="shared" si="2"/>
        <v>1179.9999999999998</v>
      </c>
    </row>
    <row r="105" spans="2:4" x14ac:dyDescent="0.4">
      <c r="B105" s="1" t="s">
        <v>220</v>
      </c>
      <c r="C105" s="1">
        <v>2.16</v>
      </c>
      <c r="D105" s="1">
        <f t="shared" si="2"/>
        <v>2160</v>
      </c>
    </row>
  </sheetData>
  <sheetProtection algorithmName="SHA-512" hashValue="rvIEcmSORQ5RK+DRV2AYIMOwQDVgt1ec5UswwjRhFkqlG/jK2fJf5FlWCtx/M5XimV1Ov7C+zRNNNvGBfYL02w==" saltValue="NMomaasiV1CE/Bja71dLkg==" spinCount="100000" sheet="1" objects="1" scenarios="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2B8C-3F93-4DD9-AAD5-70D661FB4749}">
  <dimension ref="B2:B6"/>
  <sheetViews>
    <sheetView showGridLines="0" zoomScale="115" zoomScaleNormal="115" workbookViewId="0">
      <selection activeCell="B13" sqref="B13"/>
    </sheetView>
  </sheetViews>
  <sheetFormatPr defaultColWidth="9.109375" defaultRowHeight="16.8" x14ac:dyDescent="0.4"/>
  <cols>
    <col min="1" max="1" width="2.5546875" style="1" customWidth="1"/>
    <col min="2" max="2" width="90.88671875" style="1" customWidth="1"/>
    <col min="3" max="16384" width="9.109375" style="1"/>
  </cols>
  <sheetData>
    <row r="2" spans="2:2" x14ac:dyDescent="0.4">
      <c r="B2" s="1" t="s">
        <v>4</v>
      </c>
    </row>
    <row r="3" spans="2:2" x14ac:dyDescent="0.4">
      <c r="B3" s="49" t="s">
        <v>3</v>
      </c>
    </row>
    <row r="4" spans="2:2" x14ac:dyDescent="0.4">
      <c r="B4" s="49" t="s">
        <v>73</v>
      </c>
    </row>
    <row r="5" spans="2:2" x14ac:dyDescent="0.4">
      <c r="B5" s="49" t="s">
        <v>233</v>
      </c>
    </row>
    <row r="6" spans="2:2" x14ac:dyDescent="0.4">
      <c r="B6" s="78" t="s">
        <v>128</v>
      </c>
    </row>
  </sheetData>
  <sheetProtection algorithmName="SHA-512" hashValue="vviavOKEtLvtmEkn71OhpUhVDY1q6zy8PvrvFq3UH34lFUgnNg8yGl5eUs+1ARATmsslHpAmfZsDvH76PU19XA==" saltValue="dUDh3o8akzCXOwCImZwnZQ==" spinCount="100000" sheet="1" objects="1" scenarios="1"/>
  <hyperlinks>
    <hyperlink ref="B3" r:id="rId1" xr:uid="{19D164C5-C649-4719-AABE-90BC2C8B6B0D}"/>
    <hyperlink ref="B4" r:id="rId2" xr:uid="{DCE20C30-E45D-473C-B994-ECCB647E5870}"/>
    <hyperlink ref="B5" r:id="rId3" xr:uid="{4DB42B3C-E54B-46D6-ADBB-FE7A2A28F3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Solid</vt:lpstr>
      <vt:lpstr>Setup</vt:lpstr>
      <vt:lpstr>Metadata</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RICARDO AGUILAR PIÑA</dc:creator>
  <cp:lastModifiedBy>WILLIAM RICARDO AGUILAR PIÑA</cp:lastModifiedBy>
  <dcterms:created xsi:type="dcterms:W3CDTF">2025-07-07T18:46:02Z</dcterms:created>
  <dcterms:modified xsi:type="dcterms:W3CDTF">2025-07-13T20:43:07Z</dcterms:modified>
</cp:coreProperties>
</file>