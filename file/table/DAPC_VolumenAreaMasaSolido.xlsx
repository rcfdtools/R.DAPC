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30D473E3-626C-46E8-A4C0-1AA8E34D70AE}"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H5" i="1"/>
  <c r="E72" i="2"/>
  <c r="F72" i="2"/>
  <c r="E73" i="2"/>
  <c r="F73" i="2"/>
  <c r="E74" i="2"/>
  <c r="F74" i="2"/>
  <c r="E75" i="2"/>
  <c r="F75" i="2"/>
  <c r="E76" i="2"/>
  <c r="F76" i="2"/>
  <c r="E77" i="2"/>
  <c r="F77" i="2"/>
  <c r="E78" i="2"/>
  <c r="F78" i="2"/>
  <c r="E79" i="2"/>
  <c r="F79" i="2"/>
  <c r="E80" i="2"/>
  <c r="F80" i="2"/>
  <c r="E81" i="2"/>
  <c r="F81" i="2"/>
  <c r="E82" i="2"/>
  <c r="F82" i="2"/>
  <c r="E83" i="2"/>
  <c r="F83" i="2"/>
  <c r="E84" i="2"/>
  <c r="F84" i="2"/>
  <c r="E85" i="2"/>
  <c r="F85" i="2"/>
  <c r="E86" i="2"/>
  <c r="F86" i="2"/>
  <c r="E87" i="2"/>
  <c r="F87" i="2"/>
  <c r="F71" i="2"/>
  <c r="E71" i="2"/>
  <c r="D91" i="2"/>
  <c r="D92" i="2"/>
  <c r="D93" i="2"/>
  <c r="D94" i="2"/>
  <c r="D95" i="2"/>
  <c r="D96" i="2"/>
  <c r="D97" i="2"/>
  <c r="D98" i="2"/>
  <c r="D99" i="2"/>
  <c r="D100" i="2"/>
  <c r="D101" i="2"/>
  <c r="D102" i="2"/>
  <c r="D103" i="2"/>
  <c r="D104" i="2"/>
  <c r="D105" i="2"/>
  <c r="D90" i="2"/>
  <c r="D71" i="2"/>
  <c r="F7" i="1"/>
  <c r="E68" i="2"/>
  <c r="C14" i="1"/>
  <c r="E48" i="1"/>
  <c r="F48" i="1"/>
  <c r="E44" i="1"/>
  <c r="E79" i="1"/>
  <c r="E77" i="1"/>
  <c r="D14" i="1" s="1"/>
  <c r="E7" i="1"/>
  <c r="F79" i="1"/>
  <c r="F77" i="1"/>
  <c r="F76" i="1"/>
  <c r="F75" i="1"/>
  <c r="C13" i="1"/>
  <c r="E66" i="1"/>
  <c r="D13" i="1" s="1"/>
  <c r="E68" i="1"/>
  <c r="F64" i="1"/>
  <c r="F68" i="1"/>
  <c r="F66" i="1"/>
  <c r="F65" i="1"/>
  <c r="F63" i="1"/>
  <c r="C12" i="1"/>
  <c r="C11" i="1"/>
  <c r="C10" i="1"/>
  <c r="F8" i="1"/>
  <c r="C9" i="1"/>
  <c r="E56" i="1"/>
  <c r="E54" i="1"/>
  <c r="D12" i="1" s="1"/>
  <c r="F56" i="1"/>
  <c r="F54" i="1"/>
  <c r="F53" i="1"/>
  <c r="F52" i="1"/>
  <c r="E42" i="1"/>
  <c r="D11" i="1" s="1"/>
  <c r="F44" i="1"/>
  <c r="F42" i="1"/>
  <c r="F41" i="1"/>
  <c r="F40" i="1"/>
  <c r="E33" i="1"/>
  <c r="E31" i="1"/>
  <c r="D10" i="1" s="1"/>
  <c r="F30" i="1"/>
  <c r="F29" i="1"/>
  <c r="F33" i="1"/>
  <c r="F31" i="1"/>
  <c r="F28" i="1"/>
  <c r="F5" i="1"/>
  <c r="E5" i="1"/>
  <c r="F62" i="2"/>
  <c r="E62" i="2"/>
  <c r="D62" i="2"/>
  <c r="F57" i="2"/>
  <c r="E57" i="2"/>
  <c r="D57" i="2"/>
  <c r="F6" i="2"/>
  <c r="E6" i="2"/>
  <c r="D6" i="2"/>
  <c r="F21" i="1"/>
  <c r="E8" i="1" s="1"/>
  <c r="E21" i="1"/>
  <c r="F19" i="1"/>
  <c r="D8" i="1" s="1"/>
  <c r="F18" i="1"/>
  <c r="E19" i="1"/>
  <c r="D9" i="1" s="1"/>
  <c r="I6" i="1" l="1"/>
  <c r="E45" i="1"/>
  <c r="E34" i="1"/>
  <c r="E57" i="1"/>
  <c r="E69" i="1"/>
  <c r="E80" i="1"/>
  <c r="E22" i="1"/>
  <c r="D15" i="1"/>
  <c r="D16" i="1" s="1"/>
  <c r="E14" i="1"/>
  <c r="E78" i="1"/>
  <c r="E12" i="1"/>
  <c r="E13" i="1"/>
  <c r="E10" i="1"/>
  <c r="E11" i="1"/>
  <c r="E67" i="1"/>
  <c r="E70" i="1" s="1"/>
  <c r="E71" i="1" s="1"/>
  <c r="F13" i="1" s="1"/>
  <c r="E9" i="1"/>
  <c r="E55" i="1"/>
  <c r="E58" i="1" s="1"/>
  <c r="E59" i="1" s="1"/>
  <c r="F12" i="1" s="1"/>
  <c r="E43" i="1"/>
  <c r="E46" i="1" s="1"/>
  <c r="E47" i="1" s="1"/>
  <c r="F11" i="1" s="1"/>
  <c r="E20" i="1"/>
  <c r="E23" i="1" s="1"/>
  <c r="E24" i="1" s="1"/>
  <c r="F9" i="1" s="1"/>
  <c r="E32" i="1"/>
  <c r="E35" i="1" s="1"/>
  <c r="E36" i="1" s="1"/>
  <c r="F10" i="1" s="1"/>
  <c r="E15" i="1" l="1"/>
  <c r="E16" i="1" s="1"/>
  <c r="E81" i="1"/>
  <c r="E82" i="1" s="1"/>
  <c r="F14" i="1" s="1"/>
  <c r="F15" i="1" s="1"/>
  <c r="F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<sst xmlns="http://schemas.openxmlformats.org/spreadsheetml/2006/main" count="355" uniqueCount="230">
  <si>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</si>
  <si>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</si>
  <si>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</si>
  <si>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</si>
  <si>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</si>
  <si>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</si>
  <si>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</si>
  <si>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</si>
  <si>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</si>
  <si>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</si>
  <si>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</si>
  <si>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</si>
  <si>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</si>
  <si>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</si>
  <si>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</si>
  <si>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</si>
  <si>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</si>
  <si>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</si>
  <si>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</si>
  <si>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</si>
  <si>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</si>
  <si>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</si>
  <si>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</si>
  <si>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</si>
  <si>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</si>
  <si>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</si>
  <si>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</si>
  <si>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</si>
  <si>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</si>
  <si>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</si>
  <si>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</si>
  <si>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</si>
  <si>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</si>
  <si>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</si>
  <si>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</si>
  <si>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</si>
  <si>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</si>
  <si>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</si>
  <si>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</si>
  <si>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</si>
  <si>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</si>
  <si>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</si>
  <si>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</si>
  <si>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</si>
  <si>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</si>
  <si>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</si>
  <si>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</si>
  <si>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</si>
  <si>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</si>
  <si>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</si>
  <si>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</si>
  <si>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</si>
  <si>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</si>
  <si>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</si>
  <si>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</si>
  <si>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</si>
  <si>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</si>
  <si>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</si>
  <si>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</si>
  <si>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</si>
  <si>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</si>
  <si>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</si>
  <si>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</si>
  <si>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</si>
  <si>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</si>
  <si>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</si>
  <si>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</si>
  <si>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</si>
  <si>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</si>
  <si>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</si>
  <si>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</si>
  <si>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</si>
  <si>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</si>
  <si>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</si>
  <si>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</si>
  <si>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</si>
  <si>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</si>
  <si>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</si>
  <si>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</si>
  <si>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</si>
  <si>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</si>
  <si>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</si>
  <si>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</si>
  <si>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</si>
  <si>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</si>
  <si>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</si>
  <si>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</si>
  <si>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</si>
  <si>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</si>
  <si>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</si>
  <si>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</si>
  <si>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</si>
  <si>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</si>
  <si>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</si>
  <si>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</si>
  <si>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</si>
  <si>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</si>
  <si>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</si>
  <si>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</si>
  <si>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</si>
  <si>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</si>
  <si>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</si>
  <si>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</si>
  <si>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</si>
  <si>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</si>
  <si>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</si>
  <si>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</si>
  <si>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</si>
  <si>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</si>
  <si>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</si>
  <si>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</si>
  <si>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</si>
  <si>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</si>
  <si>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</si>
  <si>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</si>
  <si>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</si>
  <si>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</si>
  <si>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</si>
  <si>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</si>
  <si>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</si>
  <si>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</si>
  <si>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</si>
  <si>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</si>
  <si>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</si>
  <si>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</si>
  <si>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</si>
  <si>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</si>
  <si>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</si>
  <si>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</si>
  <si>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</si>
  <si>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</si>
  <si>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</si>
  <si>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</si>
  <si>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</si>
  <si>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</si>
  <si>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</si>
  <si>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</si>
  <si>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</si>
  <si>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</si>
  <si>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</si>
  <si>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</si>
  <si>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</si>
  <si>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</si>
  <si>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</si>
  <si>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</si>
  <si>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</si>
  <si>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</si>
  <si>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</si>
  <si>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</si>
  <si>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</si>
  <si>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</si>
  <si>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</si>
  <si>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</si>
  <si>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</si>
  <si>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</si>
  <si>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</si>
  <si>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</si>
  <si>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</si>
  <si>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</si>
  <si>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</si>
  <si>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</si>
  <si>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</si>
  <si>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</si>
  <si>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</si>
  <si>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</si>
  <si>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</si>
  <si>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</si>
  <si>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</si>
  <si>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</si>
  <si>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</si>
  <si>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</si>
  <si>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</si>
  <si>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</si>
  <si>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</si>
  <si>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</si>
  <si>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</si>
  <si>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</si>
  <si>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</si>
  <si>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</si>
  <si>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</si>
  <si>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</si>
  <si>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</si>
  <si>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</si>
  <si>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</si>
  <si>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</si>
  <si>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</si>
  <si>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</si>
  <si>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</si>
  <si>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</si>
  <si>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</si>
  <si>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</si>
  <si>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</si>
  <si>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</si>
  <si>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</si>
  <si>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</si>
  <si>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</si>
  <si>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</si>
  <si>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</si>
  <si>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</si>
  <si>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</si>
  <si>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</si>
  <si>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</si>
  <si>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</si>
  <si>
    <t>gravity (m/s²)</t>
  </si>
  <si>
    <t>Conv kg/m³ to lb/ft³</t>
  </si>
  <si>
    <t>3D Print - PLA</t>
  </si>
  <si>
    <t>3D Print - ABS</t>
  </si>
  <si>
    <t>3D Print - PETG</t>
  </si>
  <si>
    <t>3D Print - NYLON</t>
  </si>
  <si>
    <t>3D Print - Flexible (TPU)</t>
  </si>
  <si>
    <t>3D Print - Policarbonato (PC)</t>
  </si>
  <si>
    <t>3D Print - De Madera</t>
  </si>
  <si>
    <t>3D Print - Fibra de Carbono</t>
  </si>
  <si>
    <t>3D Print - PC/ABS</t>
  </si>
  <si>
    <t>3D Print - HIPS</t>
  </si>
  <si>
    <t>3D Print - PVA</t>
  </si>
  <si>
    <t>3D Print - ASA</t>
  </si>
  <si>
    <t>3D Print - Polipropileno (PP)</t>
  </si>
  <si>
    <t>3D Print - Acetal (POM)</t>
  </si>
  <si>
    <t>3D Print - PMMA</t>
  </si>
  <si>
    <t>3D Print - Semiflexible (FPE)</t>
  </si>
  <si>
    <t>g/cm3</t>
  </si>
  <si>
    <t>3D Print - Polycarbonate (PC)</t>
  </si>
  <si>
    <t>3D Print - Wood</t>
  </si>
  <si>
    <t>3D Print - Carbon Fiber</t>
  </si>
  <si>
    <t>3D Print - Polypropylene (PP)</t>
  </si>
  <si>
    <t>3D Print - Semi-flexible (FPE)</t>
  </si>
  <si>
    <t>V, volume (m³)</t>
  </si>
  <si>
    <t>m, mass (kg)</t>
  </si>
  <si>
    <t>Mass calculator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</si>
</sst>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90">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0" xfId="0" applyFont="1" applyAlignment="1">
      <alignment horizontal="right"/>
    </xf>
    <xf numFmtId="0" fontId="1" fillId="2" borderId="2" xfId="0" applyFont="1" applyFill="1" applyBorder="1" applyAlignment="1">
      <alignment wrapText="1"/>
    </xf>
    <xf numFmtId="0" fontId="1" fillId="2" borderId="29" xfId="0" applyFont="1" applyFill="1" applyBorder="1" applyAlignment="1">
      <alignment wrapText="1"/>
    </xf>
    <xf numFmtId="0" fontId="1" fillId="2" borderId="10" xfId="0" applyFont="1" applyFill="1" applyBorder="1" applyAlignment="1">
      <alignment wrapText="1"/>
    </xf>
    <xf numFmtId="0" fontId="1" fillId="2" borderId="3" xfId="0" applyFont="1" applyFill="1" applyBorder="1" applyAlignment="1">
      <alignment wrapText="1"/>
    </xf>
    <xf numFmtId="0" fontId="1" fillId="2" borderId="4" xfId="0" applyFont="1" applyFill="1" applyBorder="1" applyAlignment="1">
      <alignment wrapText="1"/>
    </xf>
    <xf numFmtId="0" fontId="1" fillId="0" borderId="5" xfId="0" applyFont="1" applyBorder="1" applyAlignment="1">
      <alignment wrapText="1"/>
    </xf>
    <xf numFmtId="0" fontId="1" fillId="0" borderId="30" xfId="0" applyFont="1" applyBorder="1" applyAlignment="1">
      <alignment wrapText="1"/>
    </xf>
    <xf numFmtId="0" fontId="1" fillId="0" borderId="11" xfId="0" applyFont="1" applyBorder="1" applyAlignment="1">
      <alignment wrapText="1"/>
    </xf>
    <xf numFmtId="0" fontId="1" fillId="0" borderId="1" xfId="0" applyFont="1" applyBorder="1" applyAlignment="1">
      <alignment wrapText="1"/>
    </xf>
    <xf numFmtId="0" fontId="1" fillId="0" borderId="6" xfId="0" applyFont="1" applyBorder="1" applyAlignment="1">
      <alignment wrapText="1"/>
    </xf>
    <xf numFmtId="0" fontId="1" fillId="0" borderId="7" xfId="0" applyFont="1" applyBorder="1" applyAlignment="1">
      <alignment wrapText="1"/>
    </xf>
    <xf numFmtId="0" fontId="1" fillId="0" borderId="8" xfId="0" applyFont="1" applyBorder="1" applyAlignment="1">
      <alignment wrapText="1"/>
    </xf>
    <xf numFmtId="0" fontId="1" fillId="0" borderId="9" xfId="0" applyFont="1" applyBorder="1" applyAlignment="1">
      <alignment wrapText="1"/>
    </xf>
    <xf numFmtId="0" fontId="1" fillId="0" borderId="18" xfId="0" applyFont="1" applyBorder="1" applyAlignment="1">
      <alignment wrapText="1"/>
    </xf>
    <xf numFmtId="0" fontId="1" fillId="0" borderId="22" xfId="0" applyFont="1" applyBorder="1" applyAlignment="1">
      <alignment wrapText="1"/>
    </xf>
    <xf numFmtId="0" fontId="1" fillId="0" borderId="32" xfId="0" applyFont="1" applyBorder="1" applyAlignment="1">
      <alignment wrapText="1"/>
    </xf>
    <xf numFmtId="0" fontId="1" fillId="0" borderId="19" xfId="0" applyFont="1" applyBorder="1" applyAlignment="1">
      <alignment wrapText="1"/>
    </xf>
    <xf numFmtId="0" fontId="1" fillId="0" borderId="20" xfId="0" applyFont="1" applyBorder="1" applyAlignment="1">
      <alignment wrapText="1"/>
    </xf>
    <xf numFmtId="0" fontId="1" fillId="0" borderId="31" xfId="0" applyFont="1" applyBorder="1" applyAlignment="1">
      <alignment wrapText="1"/>
    </xf>
    <xf numFmtId="0" fontId="1" fillId="0" borderId="12" xfId="0" applyFont="1" applyBorder="1" applyAlignment="1">
      <alignment wrapText="1"/>
    </xf>
    <xf numFmtId="0" fontId="2" fillId="0" borderId="6" xfId="0" applyFont="1" applyBorder="1" applyAlignment="1" applyProtection="1">
      <alignment horizontal="left" vertical="top" wrapText="1"/>
      <protection locked="0"/>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1" fillId="0" borderId="5" xfId="0" applyFont="1" applyBorder="1" applyAlignment="1">
      <alignment horizontal="left" vertical="top"/>
    </xf>
    <xf numFmtId="0" fontId="1" fillId="0" borderId="7" xfId="0" applyFont="1" applyBorder="1" applyAlignment="1">
      <alignment horizontal="left" vertical="top"/>
    </xf>
    <xf numFmtId="0" fontId="1" fillId="0" borderId="9" xfId="0" applyFont="1" applyBorder="1" applyAlignment="1">
      <alignment horizontal="left" vertical="top"/>
    </xf>
    <xf numFmtId="0" fontId="1" fillId="2" borderId="2" xfId="0" applyFont="1" applyFill="1" applyBorder="1" applyAlignment="1">
      <alignment horizontal="left" vertical="top"/>
    </xf>
    <xf numFmtId="0" fontId="1" fillId="0" borderId="18" xfId="0" applyFont="1" applyBorder="1" applyAlignment="1">
      <alignment horizontal="left" vertical="top"/>
    </xf>
    <xf numFmtId="0" fontId="6" fillId="0" borderId="20" xfId="0" applyFont="1" applyBorder="1" applyAlignment="1" applyProtection="1">
      <alignment horizontal="left" vertical="top"/>
    </xf>
    <xf numFmtId="0" fontId="1" fillId="0" borderId="0" xfId="0" applyFont="1" applyFill="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75</xdr:row>
      <xdr:rowOff>141481</xdr:rowOff>
    </xdr:from>
    <xdr:to>
      <xdr:col>1</xdr:col>
      <xdr:colOff>1377203</xdr:colOff>
      <xdr:row>79</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71</xdr:row>
      <xdr:rowOff>31064</xdr:rowOff>
    </xdr:from>
    <xdr:to>
      <xdr:col>3</xdr:col>
      <xdr:colOff>479937</xdr:colOff>
      <xdr:row>72</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62</xdr:row>
      <xdr:rowOff>105727</xdr:rowOff>
    </xdr:from>
    <xdr:to>
      <xdr:col>1</xdr:col>
      <xdr:colOff>1324751</xdr:colOff>
      <xdr:row>67</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71</xdr:row>
      <xdr:rowOff>60959</xdr:rowOff>
    </xdr:from>
    <xdr:to>
      <xdr:col>4</xdr:col>
      <xdr:colOff>566252</xdr:colOff>
      <xdr:row>72</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82</xdr:row>
      <xdr:rowOff>167639</xdr:rowOff>
    </xdr:from>
    <xdr:to>
      <xdr:col>4</xdr:col>
      <xdr:colOff>1099415</xdr:colOff>
      <xdr:row>83</xdr:row>
      <xdr:rowOff>139064</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82</xdr:row>
      <xdr:rowOff>183954</xdr:rowOff>
    </xdr:from>
    <xdr:to>
      <xdr:col>2</xdr:col>
      <xdr:colOff>914400</xdr:colOff>
      <xdr:row>83</xdr:row>
      <xdr:rowOff>137236</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59</xdr:row>
      <xdr:rowOff>156829</xdr:rowOff>
    </xdr:from>
    <xdr:to>
      <xdr:col>4</xdr:col>
      <xdr:colOff>616252</xdr:colOff>
      <xdr:row>60</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51</xdr:row>
      <xdr:rowOff>76200</xdr:rowOff>
    </xdr:from>
    <xdr:to>
      <xdr:col>1</xdr:col>
      <xdr:colOff>1317112</xdr:colOff>
      <xdr:row>58</xdr:row>
      <xdr:rowOff>83039</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59</xdr:row>
      <xdr:rowOff>157282</xdr:rowOff>
    </xdr:from>
    <xdr:to>
      <xdr:col>2</xdr:col>
      <xdr:colOff>1225851</xdr:colOff>
      <xdr:row>60</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48</xdr:row>
      <xdr:rowOff>139455</xdr:rowOff>
    </xdr:from>
    <xdr:to>
      <xdr:col>3</xdr:col>
      <xdr:colOff>862933</xdr:colOff>
      <xdr:row>49</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39</xdr:row>
      <xdr:rowOff>192404</xdr:rowOff>
    </xdr:from>
    <xdr:to>
      <xdr:col>1</xdr:col>
      <xdr:colOff>1357120</xdr:colOff>
      <xdr:row>45</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48</xdr:row>
      <xdr:rowOff>142728</xdr:rowOff>
    </xdr:from>
    <xdr:to>
      <xdr:col>2</xdr:col>
      <xdr:colOff>488616</xdr:colOff>
      <xdr:row>49</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48</xdr:row>
      <xdr:rowOff>156058</xdr:rowOff>
    </xdr:from>
    <xdr:to>
      <xdr:col>4</xdr:col>
      <xdr:colOff>1167732</xdr:colOff>
      <xdr:row>49</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27</xdr:row>
      <xdr:rowOff>84772</xdr:rowOff>
    </xdr:from>
    <xdr:to>
      <xdr:col>1</xdr:col>
      <xdr:colOff>1357123</xdr:colOff>
      <xdr:row>33</xdr:row>
      <xdr:rowOff>46835</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17</xdr:row>
      <xdr:rowOff>85724</xdr:rowOff>
    </xdr:from>
    <xdr:to>
      <xdr:col>1</xdr:col>
      <xdr:colOff>1354264</xdr:colOff>
      <xdr:row>23</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24</xdr:row>
      <xdr:rowOff>123340</xdr:rowOff>
    </xdr:from>
    <xdr:to>
      <xdr:col>2</xdr:col>
      <xdr:colOff>822940</xdr:colOff>
      <xdr:row>25</xdr:row>
      <xdr:rowOff>101124</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24</xdr:row>
      <xdr:rowOff>68989</xdr:rowOff>
    </xdr:from>
    <xdr:to>
      <xdr:col>4</xdr:col>
      <xdr:colOff>451470</xdr:colOff>
      <xdr:row>25</xdr:row>
      <xdr:rowOff>161846</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148761</xdr:colOff>
      <xdr:row>0</xdr:row>
      <xdr:rowOff>43566</xdr:rowOff>
    </xdr:from>
    <xdr:to>
      <xdr:col>5</xdr:col>
      <xdr:colOff>1149477</xdr:colOff>
      <xdr:row>1</xdr:row>
      <xdr:rowOff>71934</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5920083" y="43566"/>
          <a:ext cx="1000716" cy="2404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84"/>
  <sheetViews>
    <sheetView showGridLines="0" tabSelected="1" zoomScale="115" zoomScaleNormal="115" workbookViewId="0">
      <pane ySplit="7" topLeftCell="A8" activePane="bottomLeft" state="frozen"/>
      <selection pane="bottomLeft" activeCell="I10" sqref="I10"/>
    </sheetView>
  </sheetViews>
  <sheetFormatPr defaultColWidth="9.21875" defaultRowHeight="16.8" x14ac:dyDescent="0.3"/>
  <cols>
    <col min="1" max="1" width="2.6640625" style="11" customWidth="1"/>
    <col min="2" max="2" width="21" style="11" customWidth="1"/>
    <col min="3" max="3" width="20.44140625" style="11" customWidth="1"/>
    <col min="4" max="4" width="20.88671875" style="11" customWidth="1"/>
    <col min="5" max="5" width="19.109375" style="11" bestFit="1" customWidth="1"/>
    <col min="6" max="6" width="18" style="11" customWidth="1"/>
    <col min="7" max="7" width="2.5546875" style="11" customWidth="1"/>
    <col min="8" max="8" width="17.6640625" style="11" customWidth="1"/>
    <col min="9" max="9" width="12.109375" style="11" customWidth="1"/>
    <col min="10" max="16384" width="9.21875" style="11"/>
  </cols>
  <sheetData>
    <row r="2" spans="2:9" ht="19.2" x14ac:dyDescent="0.25">
      <c r="B2" s="44" t="s">
        <v>94</v>
      </c>
      <c r="F2" s="49" t="s">
        <v>127</v>
      </c>
      <c r="H2" s="89" t="s">
        <v>229</v>
      </c>
      <c r="I2" s="89"/>
    </row>
    <row r="3" spans="2:9" ht="19.2" x14ac:dyDescent="0.3">
      <c r="B3" s="74" t="s">
        <v>126</v>
      </c>
      <c r="C3" s="75"/>
      <c r="D3" s="75"/>
      <c r="E3" s="43" t="s">
        <v>91</v>
      </c>
      <c r="F3" s="16" t="s">
        <v>90</v>
      </c>
      <c r="H3" s="86" t="s">
        <v>91</v>
      </c>
      <c r="I3" s="16" t="s">
        <v>90</v>
      </c>
    </row>
    <row r="4" spans="2:9" x14ac:dyDescent="0.3">
      <c r="B4" s="76"/>
      <c r="C4" s="77"/>
      <c r="D4" s="77"/>
      <c r="E4" s="15" t="s">
        <v>1</v>
      </c>
      <c r="F4" s="45" t="s">
        <v>0</v>
      </c>
      <c r="H4" s="83" t="s">
        <v>227</v>
      </c>
      <c r="I4" s="45">
        <f>1990158.217/(1000*1000*1000)</f>
        <v>1.9901582170000001E-3</v>
      </c>
    </row>
    <row r="5" spans="2:9" x14ac:dyDescent="0.3">
      <c r="B5" s="76"/>
      <c r="C5" s="77"/>
      <c r="D5" s="77"/>
      <c r="E5" s="15" t="str">
        <f>Setup!H2</f>
        <v>Conversion to meters</v>
      </c>
      <c r="F5" s="12">
        <f>VLOOKUP(Units,Setup!H4:J8,2,FALSE)</f>
        <v>1000</v>
      </c>
      <c r="H5" s="87" t="str">
        <f>E7</f>
        <v>D, density (kg/m³)</v>
      </c>
      <c r="I5" s="88">
        <f>F7</f>
        <v>1520</v>
      </c>
    </row>
    <row r="6" spans="2:9" x14ac:dyDescent="0.3">
      <c r="B6" s="76"/>
      <c r="C6" s="77"/>
      <c r="D6" s="77"/>
      <c r="E6" s="15" t="s">
        <v>2</v>
      </c>
      <c r="F6" s="73" t="s">
        <v>208</v>
      </c>
      <c r="H6" s="84" t="s">
        <v>228</v>
      </c>
      <c r="I6" s="85">
        <f>F7*I4</f>
        <v>3.0250404898400003</v>
      </c>
    </row>
    <row r="7" spans="2:9" x14ac:dyDescent="0.3">
      <c r="B7" s="78"/>
      <c r="C7" s="79"/>
      <c r="D7" s="79"/>
      <c r="E7" s="22" t="str">
        <f>Setup!D3</f>
        <v>D, density (kg/m³)</v>
      </c>
      <c r="F7" s="23">
        <f>VLOOKUP(F6,Setup!B3:F88,3,FALSE)</f>
        <v>1520</v>
      </c>
    </row>
    <row r="8" spans="2:9" s="17" customFormat="1" x14ac:dyDescent="0.3">
      <c r="B8" s="32" t="s">
        <v>100</v>
      </c>
      <c r="C8" s="35" t="s">
        <v>125</v>
      </c>
      <c r="D8" s="34" t="str">
        <f>_xlfn.CONCAT(C19," (",F19,")" )</f>
        <v>V, volume (mm³)</v>
      </c>
      <c r="E8" s="35" t="str">
        <f>_xlfn.CONCAT(C21," (",F21,")" )</f>
        <v>A, surface area (mm²)</v>
      </c>
      <c r="F8" s="39" t="str">
        <f>_xlfn.CONCAT(C24," (",F24,")" )</f>
        <v>m, mass (gr)</v>
      </c>
      <c r="H8" s="11"/>
      <c r="I8" s="11"/>
    </row>
    <row r="9" spans="2:9" s="17" customFormat="1" ht="16.5" customHeight="1" x14ac:dyDescent="0.3">
      <c r="B9" s="80" t="s">
        <v>124</v>
      </c>
      <c r="C9" s="30" t="str">
        <f>B17</f>
        <v>Sphere</v>
      </c>
      <c r="D9" s="31">
        <f>E19</f>
        <v>523598.77559829882</v>
      </c>
      <c r="E9" s="31">
        <f>E21</f>
        <v>31415.926535897932</v>
      </c>
      <c r="F9" s="33">
        <f>E24</f>
        <v>795.87013890941421</v>
      </c>
    </row>
    <row r="10" spans="2:9" s="17" customFormat="1" x14ac:dyDescent="0.3">
      <c r="B10" s="81"/>
      <c r="C10" s="30" t="str">
        <f>B27</f>
        <v>Box</v>
      </c>
      <c r="D10" s="31">
        <f>E31</f>
        <v>1000000</v>
      </c>
      <c r="E10" s="31">
        <f>E33</f>
        <v>60000</v>
      </c>
      <c r="F10" s="33">
        <f>E36</f>
        <v>1520</v>
      </c>
    </row>
    <row r="11" spans="2:9" s="17" customFormat="1" x14ac:dyDescent="0.3">
      <c r="B11" s="81"/>
      <c r="C11" s="30" t="str">
        <f>B39</f>
        <v>Cone</v>
      </c>
      <c r="D11" s="31">
        <f>E42</f>
        <v>130899.6938995747</v>
      </c>
      <c r="E11" s="31">
        <f>E44</f>
        <v>18961.188979370399</v>
      </c>
      <c r="F11" s="33">
        <f>E47</f>
        <v>198.96753472735355</v>
      </c>
    </row>
    <row r="12" spans="2:9" s="17" customFormat="1" x14ac:dyDescent="0.3">
      <c r="B12" s="81"/>
      <c r="C12" s="30" t="str">
        <f>B51</f>
        <v>Cylinder</v>
      </c>
      <c r="D12" s="31">
        <f>E54</f>
        <v>196349.54084936206</v>
      </c>
      <c r="E12" s="31">
        <f>E56</f>
        <v>23561.944901923449</v>
      </c>
      <c r="F12" s="33">
        <f>E59</f>
        <v>298.4513020910303</v>
      </c>
    </row>
    <row r="13" spans="2:9" s="17" customFormat="1" x14ac:dyDescent="0.3">
      <c r="B13" s="81"/>
      <c r="C13" s="30" t="str">
        <f>B62</f>
        <v>Pyramid (rectangular)</v>
      </c>
      <c r="D13" s="31">
        <f>E66</f>
        <v>249999.99999999997</v>
      </c>
      <c r="E13" s="31">
        <f>E56</f>
        <v>23561.944901923449</v>
      </c>
      <c r="F13" s="33">
        <f>E71</f>
        <v>379.99999999999994</v>
      </c>
    </row>
    <row r="14" spans="2:9" s="17" customFormat="1" x14ac:dyDescent="0.3">
      <c r="B14" s="81"/>
      <c r="C14" s="30" t="str">
        <f>B74</f>
        <v>Torus (donut)</v>
      </c>
      <c r="D14" s="31">
        <f>E77</f>
        <v>308425.13753404247</v>
      </c>
      <c r="E14" s="31">
        <f>E79</f>
        <v>24674.011002723397</v>
      </c>
      <c r="F14" s="33">
        <f>E82</f>
        <v>468.80620905174453</v>
      </c>
    </row>
    <row r="15" spans="2:9" x14ac:dyDescent="0.3">
      <c r="B15" s="81"/>
      <c r="C15" s="15" t="s">
        <v>124</v>
      </c>
      <c r="D15" s="46">
        <f>SUM(D9:D14)</f>
        <v>2409273.1478812778</v>
      </c>
      <c r="E15" s="46">
        <f>SUM(E9:E14)</f>
        <v>182175.01632183863</v>
      </c>
      <c r="F15" s="47">
        <f>SUM(F9:F14)</f>
        <v>3662.0951847795427</v>
      </c>
      <c r="H15" s="17"/>
      <c r="I15" s="17"/>
    </row>
    <row r="16" spans="2:9" x14ac:dyDescent="0.3">
      <c r="B16" s="82"/>
      <c r="C16" s="40" t="s">
        <v>129</v>
      </c>
      <c r="D16" s="48">
        <f>D15/(F5*F5*F5)</f>
        <v>2.4092731478812779E-3</v>
      </c>
      <c r="E16" s="41">
        <f>E15/(F5*F5)</f>
        <v>0.18217501632183863</v>
      </c>
      <c r="F16" s="42">
        <f>F15/1000</f>
        <v>3.6620951847795427</v>
      </c>
    </row>
    <row r="17" spans="2:6" x14ac:dyDescent="0.3">
      <c r="B17" s="20" t="s">
        <v>70</v>
      </c>
      <c r="C17" s="36" t="s">
        <v>91</v>
      </c>
      <c r="D17" s="37" t="s">
        <v>89</v>
      </c>
      <c r="E17" s="37" t="s">
        <v>90</v>
      </c>
      <c r="F17" s="38" t="s">
        <v>1</v>
      </c>
    </row>
    <row r="18" spans="2:6" x14ac:dyDescent="0.3">
      <c r="B18" s="20"/>
      <c r="C18" s="15" t="s">
        <v>71</v>
      </c>
      <c r="D18" s="15"/>
      <c r="E18" s="14">
        <v>50</v>
      </c>
      <c r="F18" s="12" t="str">
        <f>Units</f>
        <v>mm</v>
      </c>
    </row>
    <row r="19" spans="2:6" x14ac:dyDescent="0.3">
      <c r="B19" s="20"/>
      <c r="C19" s="15" t="s">
        <v>104</v>
      </c>
      <c r="D19" s="15" t="s">
        <v>111</v>
      </c>
      <c r="E19" s="15">
        <f>4/3*PI()*E18^3</f>
        <v>523598.77559829882</v>
      </c>
      <c r="F19" s="12" t="str">
        <f>_xlfn.CONCAT(Units,"³")</f>
        <v>mm³</v>
      </c>
    </row>
    <row r="20" spans="2:6" x14ac:dyDescent="0.3">
      <c r="B20" s="20"/>
      <c r="C20" s="15" t="s">
        <v>104</v>
      </c>
      <c r="D20" s="15"/>
      <c r="E20" s="15">
        <f>E19/($F$5*$F$5*$F$5)</f>
        <v>5.2359877559829881E-4</v>
      </c>
      <c r="F20" s="12" t="s">
        <v>88</v>
      </c>
    </row>
    <row r="21" spans="2:6" x14ac:dyDescent="0.3">
      <c r="B21" s="20"/>
      <c r="C21" s="15" t="s">
        <v>105</v>
      </c>
      <c r="D21" s="15" t="s">
        <v>112</v>
      </c>
      <c r="E21" s="15">
        <f>4*PI()*E18^2</f>
        <v>31415.926535897932</v>
      </c>
      <c r="F21" s="12" t="str">
        <f>_xlfn.CONCAT(Units,"²")</f>
        <v>mm²</v>
      </c>
    </row>
    <row r="22" spans="2:6" x14ac:dyDescent="0.3">
      <c r="B22" s="20"/>
      <c r="C22" s="15" t="s">
        <v>105</v>
      </c>
      <c r="D22" s="15"/>
      <c r="E22" s="15">
        <f>E21/(F5*F5)</f>
        <v>3.1415926535897934E-2</v>
      </c>
      <c r="F22" s="12" t="s">
        <v>93</v>
      </c>
    </row>
    <row r="23" spans="2:6" x14ac:dyDescent="0.3">
      <c r="B23" s="20"/>
      <c r="C23" s="15" t="s">
        <v>72</v>
      </c>
      <c r="D23" s="15" t="s">
        <v>130</v>
      </c>
      <c r="E23" s="15">
        <f>$F$7*E20</f>
        <v>0.79587013890941416</v>
      </c>
      <c r="F23" s="12" t="s">
        <v>86</v>
      </c>
    </row>
    <row r="24" spans="2:6" x14ac:dyDescent="0.3">
      <c r="B24" s="21"/>
      <c r="C24" s="15" t="s">
        <v>72</v>
      </c>
      <c r="D24" s="15"/>
      <c r="E24" s="15">
        <f>E23*1000</f>
        <v>795.87013890941421</v>
      </c>
      <c r="F24" s="12" t="s">
        <v>87</v>
      </c>
    </row>
    <row r="25" spans="2:6" x14ac:dyDescent="0.3">
      <c r="B25" s="24"/>
      <c r="C25" s="25"/>
      <c r="D25" s="25"/>
      <c r="E25" s="25"/>
      <c r="F25" s="26"/>
    </row>
    <row r="26" spans="2:6" x14ac:dyDescent="0.3">
      <c r="B26" s="27"/>
      <c r="C26" s="28"/>
      <c r="D26" s="28"/>
      <c r="E26" s="28"/>
      <c r="F26" s="29"/>
    </row>
    <row r="27" spans="2:6" x14ac:dyDescent="0.3">
      <c r="B27" s="19" t="s">
        <v>92</v>
      </c>
      <c r="C27" s="13" t="s">
        <v>91</v>
      </c>
      <c r="D27" s="13" t="s">
        <v>89</v>
      </c>
      <c r="E27" s="13" t="s">
        <v>90</v>
      </c>
      <c r="F27" s="16" t="s">
        <v>1</v>
      </c>
    </row>
    <row r="28" spans="2:6" x14ac:dyDescent="0.3">
      <c r="B28" s="20"/>
      <c r="C28" s="15" t="s">
        <v>96</v>
      </c>
      <c r="D28" s="15"/>
      <c r="E28" s="14">
        <v>100</v>
      </c>
      <c r="F28" s="12" t="str">
        <f>Units</f>
        <v>mm</v>
      </c>
    </row>
    <row r="29" spans="2:6" x14ac:dyDescent="0.3">
      <c r="B29" s="20"/>
      <c r="C29" s="15" t="s">
        <v>97</v>
      </c>
      <c r="D29" s="15"/>
      <c r="E29" s="14">
        <v>100</v>
      </c>
      <c r="F29" s="12" t="str">
        <f>Units</f>
        <v>mm</v>
      </c>
    </row>
    <row r="30" spans="2:6" x14ac:dyDescent="0.3">
      <c r="B30" s="20"/>
      <c r="C30" s="15" t="s">
        <v>98</v>
      </c>
      <c r="D30" s="15"/>
      <c r="E30" s="14">
        <v>100</v>
      </c>
      <c r="F30" s="12" t="str">
        <f>Units</f>
        <v>mm</v>
      </c>
    </row>
    <row r="31" spans="2:6" x14ac:dyDescent="0.3">
      <c r="B31" s="20"/>
      <c r="C31" s="15" t="s">
        <v>104</v>
      </c>
      <c r="D31" s="15" t="s">
        <v>109</v>
      </c>
      <c r="E31" s="15">
        <f>E28*E29*E30</f>
        <v>1000000</v>
      </c>
      <c r="F31" s="12" t="str">
        <f>_xlfn.CONCAT(Units,"³")</f>
        <v>mm³</v>
      </c>
    </row>
    <row r="32" spans="2:6" x14ac:dyDescent="0.3">
      <c r="B32" s="20"/>
      <c r="C32" s="15" t="s">
        <v>104</v>
      </c>
      <c r="D32" s="15"/>
      <c r="E32" s="15">
        <f>E31/($F$5*$F$5*$F$5)</f>
        <v>1E-3</v>
      </c>
      <c r="F32" s="12" t="s">
        <v>88</v>
      </c>
    </row>
    <row r="33" spans="2:6" x14ac:dyDescent="0.3">
      <c r="B33" s="20"/>
      <c r="C33" s="15" t="s">
        <v>105</v>
      </c>
      <c r="D33" s="15" t="s">
        <v>110</v>
      </c>
      <c r="E33" s="15">
        <f>($E$28*E30+E29*E30+E28*E29)*2</f>
        <v>60000</v>
      </c>
      <c r="F33" s="12" t="str">
        <f>_xlfn.CONCAT(Units,"²")</f>
        <v>mm²</v>
      </c>
    </row>
    <row r="34" spans="2:6" x14ac:dyDescent="0.3">
      <c r="B34" s="20"/>
      <c r="C34" s="15" t="s">
        <v>105</v>
      </c>
      <c r="D34" s="15"/>
      <c r="E34" s="15">
        <f>E33/(F5*F5)</f>
        <v>0.06</v>
      </c>
      <c r="F34" s="12" t="s">
        <v>93</v>
      </c>
    </row>
    <row r="35" spans="2:6" x14ac:dyDescent="0.3">
      <c r="B35" s="20"/>
      <c r="C35" s="15" t="s">
        <v>72</v>
      </c>
      <c r="D35" s="15" t="s">
        <v>130</v>
      </c>
      <c r="E35" s="15">
        <f>$F$7*E32</f>
        <v>1.52</v>
      </c>
      <c r="F35" s="12" t="s">
        <v>86</v>
      </c>
    </row>
    <row r="36" spans="2:6" x14ac:dyDescent="0.3">
      <c r="B36" s="21"/>
      <c r="C36" s="15" t="s">
        <v>72</v>
      </c>
      <c r="D36" s="15"/>
      <c r="E36" s="15">
        <f>E35*1000</f>
        <v>1520</v>
      </c>
      <c r="F36" s="12" t="s">
        <v>87</v>
      </c>
    </row>
    <row r="37" spans="2:6" x14ac:dyDescent="0.3">
      <c r="B37" s="24"/>
      <c r="C37" s="25"/>
      <c r="D37" s="25"/>
      <c r="E37" s="25"/>
      <c r="F37" s="26"/>
    </row>
    <row r="38" spans="2:6" x14ac:dyDescent="0.3">
      <c r="B38" s="27"/>
      <c r="C38" s="28"/>
      <c r="D38" s="28"/>
      <c r="E38" s="28"/>
      <c r="F38" s="29"/>
    </row>
    <row r="39" spans="2:6" x14ac:dyDescent="0.3">
      <c r="B39" s="19" t="s">
        <v>95</v>
      </c>
      <c r="C39" s="13" t="s">
        <v>91</v>
      </c>
      <c r="D39" s="13" t="s">
        <v>89</v>
      </c>
      <c r="E39" s="13" t="s">
        <v>90</v>
      </c>
      <c r="F39" s="16" t="s">
        <v>1</v>
      </c>
    </row>
    <row r="40" spans="2:6" x14ac:dyDescent="0.3">
      <c r="B40" s="20"/>
      <c r="C40" s="15" t="s">
        <v>71</v>
      </c>
      <c r="D40" s="15"/>
      <c r="E40" s="14">
        <v>50</v>
      </c>
      <c r="F40" s="12" t="str">
        <f>Units</f>
        <v>mm</v>
      </c>
    </row>
    <row r="41" spans="2:6" x14ac:dyDescent="0.3">
      <c r="B41" s="20"/>
      <c r="C41" s="15" t="s">
        <v>98</v>
      </c>
      <c r="D41" s="15"/>
      <c r="E41" s="14">
        <v>50</v>
      </c>
      <c r="F41" s="12" t="str">
        <f>Units</f>
        <v>mm</v>
      </c>
    </row>
    <row r="42" spans="2:6" x14ac:dyDescent="0.3">
      <c r="B42" s="20"/>
      <c r="C42" s="15" t="s">
        <v>104</v>
      </c>
      <c r="D42" s="15" t="s">
        <v>113</v>
      </c>
      <c r="E42" s="15">
        <f>(1/3)*PI()*E40^2*E41</f>
        <v>130899.6938995747</v>
      </c>
      <c r="F42" s="12" t="str">
        <f>_xlfn.CONCAT(Units,"³")</f>
        <v>mm³</v>
      </c>
    </row>
    <row r="43" spans="2:6" x14ac:dyDescent="0.3">
      <c r="B43" s="20"/>
      <c r="C43" s="15" t="s">
        <v>104</v>
      </c>
      <c r="D43" s="15"/>
      <c r="E43" s="15">
        <f>E42/($F$5*$F$5*$F$5)</f>
        <v>1.308996938995747E-4</v>
      </c>
      <c r="F43" s="12" t="s">
        <v>88</v>
      </c>
    </row>
    <row r="44" spans="2:6" x14ac:dyDescent="0.3">
      <c r="B44" s="20"/>
      <c r="C44" s="15" t="s">
        <v>105</v>
      </c>
      <c r="D44" s="15" t="s">
        <v>121</v>
      </c>
      <c r="E44" s="15">
        <f>PI()*E40*(E40+(E41^2+E40^2)^0.5)</f>
        <v>18961.188979370399</v>
      </c>
      <c r="F44" s="12" t="str">
        <f>_xlfn.CONCAT(Units,"²")</f>
        <v>mm²</v>
      </c>
    </row>
    <row r="45" spans="2:6" x14ac:dyDescent="0.3">
      <c r="B45" s="20"/>
      <c r="C45" s="15" t="s">
        <v>105</v>
      </c>
      <c r="D45" s="15"/>
      <c r="E45" s="15">
        <f>E44/(F5*F5)</f>
        <v>1.8961188979370401E-2</v>
      </c>
      <c r="F45" s="12" t="s">
        <v>93</v>
      </c>
    </row>
    <row r="46" spans="2:6" x14ac:dyDescent="0.3">
      <c r="B46" s="20"/>
      <c r="C46" s="15" t="s">
        <v>72</v>
      </c>
      <c r="D46" s="15" t="s">
        <v>130</v>
      </c>
      <c r="E46" s="15">
        <f>$F$7*E43</f>
        <v>0.19896753472735354</v>
      </c>
      <c r="F46" s="12" t="s">
        <v>86</v>
      </c>
    </row>
    <row r="47" spans="2:6" x14ac:dyDescent="0.3">
      <c r="B47" s="20"/>
      <c r="C47" s="15" t="s">
        <v>72</v>
      </c>
      <c r="D47" s="15"/>
      <c r="E47" s="15">
        <f>E46*1000</f>
        <v>198.96753472735355</v>
      </c>
      <c r="F47" s="12" t="s">
        <v>87</v>
      </c>
    </row>
    <row r="48" spans="2:6" x14ac:dyDescent="0.3">
      <c r="B48" s="21"/>
      <c r="C48" s="15" t="s">
        <v>122</v>
      </c>
      <c r="D48" s="15" t="s">
        <v>123</v>
      </c>
      <c r="E48" s="15">
        <f>(E40^2+E41^2)^0.5</f>
        <v>70.710678118654755</v>
      </c>
      <c r="F48" s="12" t="str">
        <f>Units</f>
        <v>mm</v>
      </c>
    </row>
    <row r="49" spans="2:6" x14ac:dyDescent="0.3">
      <c r="B49" s="24"/>
      <c r="C49" s="25"/>
      <c r="D49" s="25"/>
      <c r="E49" s="25"/>
      <c r="F49" s="26"/>
    </row>
    <row r="50" spans="2:6" x14ac:dyDescent="0.3">
      <c r="B50" s="27"/>
      <c r="C50" s="28"/>
      <c r="D50" s="28"/>
      <c r="E50" s="28"/>
      <c r="F50" s="29"/>
    </row>
    <row r="51" spans="2:6" x14ac:dyDescent="0.3">
      <c r="B51" s="19" t="s">
        <v>99</v>
      </c>
      <c r="C51" s="13" t="s">
        <v>91</v>
      </c>
      <c r="D51" s="13" t="s">
        <v>89</v>
      </c>
      <c r="E51" s="13" t="s">
        <v>90</v>
      </c>
      <c r="F51" s="16" t="s">
        <v>1</v>
      </c>
    </row>
    <row r="52" spans="2:6" x14ac:dyDescent="0.3">
      <c r="B52" s="20"/>
      <c r="C52" s="15" t="s">
        <v>71</v>
      </c>
      <c r="D52" s="15"/>
      <c r="E52" s="14">
        <v>50</v>
      </c>
      <c r="F52" s="12" t="str">
        <f>Units</f>
        <v>mm</v>
      </c>
    </row>
    <row r="53" spans="2:6" x14ac:dyDescent="0.3">
      <c r="B53" s="20"/>
      <c r="C53" s="15" t="s">
        <v>98</v>
      </c>
      <c r="D53" s="15"/>
      <c r="E53" s="14">
        <v>25</v>
      </c>
      <c r="F53" s="12" t="str">
        <f>Units</f>
        <v>mm</v>
      </c>
    </row>
    <row r="54" spans="2:6" x14ac:dyDescent="0.3">
      <c r="B54" s="20"/>
      <c r="C54" s="15" t="s">
        <v>104</v>
      </c>
      <c r="D54" s="15" t="s">
        <v>114</v>
      </c>
      <c r="E54" s="15">
        <f>PI()*E52^2*E53</f>
        <v>196349.54084936206</v>
      </c>
      <c r="F54" s="12" t="str">
        <f>_xlfn.CONCAT(Units,"³")</f>
        <v>mm³</v>
      </c>
    </row>
    <row r="55" spans="2:6" x14ac:dyDescent="0.3">
      <c r="B55" s="20"/>
      <c r="C55" s="15" t="s">
        <v>104</v>
      </c>
      <c r="D55" s="15"/>
      <c r="E55" s="15">
        <f>E54/($F$5*$F$5*$F$5)</f>
        <v>1.9634954084936205E-4</v>
      </c>
      <c r="F55" s="12" t="s">
        <v>88</v>
      </c>
    </row>
    <row r="56" spans="2:6" x14ac:dyDescent="0.3">
      <c r="B56" s="20"/>
      <c r="C56" s="15" t="s">
        <v>105</v>
      </c>
      <c r="D56" s="15" t="s">
        <v>115</v>
      </c>
      <c r="E56" s="15">
        <f>2*PI()*E52*E53+2*PI()*E52^2</f>
        <v>23561.944901923449</v>
      </c>
      <c r="F56" s="12" t="str">
        <f>_xlfn.CONCAT(Units,"²")</f>
        <v>mm²</v>
      </c>
    </row>
    <row r="57" spans="2:6" x14ac:dyDescent="0.3">
      <c r="B57" s="20"/>
      <c r="C57" s="15" t="s">
        <v>105</v>
      </c>
      <c r="D57" s="15"/>
      <c r="E57" s="15">
        <f>E56/(F5*F5)</f>
        <v>2.356194490192345E-2</v>
      </c>
      <c r="F57" s="12" t="s">
        <v>93</v>
      </c>
    </row>
    <row r="58" spans="2:6" x14ac:dyDescent="0.3">
      <c r="B58" s="20"/>
      <c r="C58" s="15" t="s">
        <v>72</v>
      </c>
      <c r="D58" s="15" t="s">
        <v>130</v>
      </c>
      <c r="E58" s="15">
        <f>$F$7*E55</f>
        <v>0.29845130209103032</v>
      </c>
      <c r="F58" s="12" t="s">
        <v>86</v>
      </c>
    </row>
    <row r="59" spans="2:6" x14ac:dyDescent="0.3">
      <c r="B59" s="21"/>
      <c r="C59" s="15" t="s">
        <v>72</v>
      </c>
      <c r="D59" s="15"/>
      <c r="E59" s="15">
        <f>E58*1000</f>
        <v>298.4513020910303</v>
      </c>
      <c r="F59" s="12" t="s">
        <v>87</v>
      </c>
    </row>
    <row r="60" spans="2:6" x14ac:dyDescent="0.3">
      <c r="B60" s="24"/>
      <c r="C60" s="25"/>
      <c r="D60" s="25"/>
      <c r="E60" s="25"/>
      <c r="F60" s="26"/>
    </row>
    <row r="61" spans="2:6" x14ac:dyDescent="0.3">
      <c r="B61" s="27"/>
      <c r="C61" s="28"/>
      <c r="D61" s="28"/>
      <c r="E61" s="28"/>
      <c r="F61" s="29"/>
    </row>
    <row r="62" spans="2:6" x14ac:dyDescent="0.3">
      <c r="B62" s="19" t="s">
        <v>101</v>
      </c>
      <c r="C62" s="13" t="s">
        <v>91</v>
      </c>
      <c r="D62" s="13" t="s">
        <v>89</v>
      </c>
      <c r="E62" s="13" t="s">
        <v>90</v>
      </c>
      <c r="F62" s="16" t="s">
        <v>1</v>
      </c>
    </row>
    <row r="63" spans="2:6" x14ac:dyDescent="0.3">
      <c r="B63" s="20"/>
      <c r="C63" s="15" t="s">
        <v>96</v>
      </c>
      <c r="D63" s="15"/>
      <c r="E63" s="14">
        <v>100</v>
      </c>
      <c r="F63" s="12" t="str">
        <f>Units</f>
        <v>mm</v>
      </c>
    </row>
    <row r="64" spans="2:6" x14ac:dyDescent="0.3">
      <c r="B64" s="20"/>
      <c r="C64" s="15" t="s">
        <v>97</v>
      </c>
      <c r="D64" s="15"/>
      <c r="E64" s="14">
        <v>100</v>
      </c>
      <c r="F64" s="12" t="str">
        <f>Units</f>
        <v>mm</v>
      </c>
    </row>
    <row r="65" spans="2:6" x14ac:dyDescent="0.3">
      <c r="B65" s="20"/>
      <c r="C65" s="15" t="s">
        <v>98</v>
      </c>
      <c r="D65" s="15"/>
      <c r="E65" s="14">
        <v>75</v>
      </c>
      <c r="F65" s="12" t="str">
        <f>Units</f>
        <v>mm</v>
      </c>
    </row>
    <row r="66" spans="2:6" x14ac:dyDescent="0.3">
      <c r="B66" s="20"/>
      <c r="C66" s="15" t="s">
        <v>104</v>
      </c>
      <c r="D66" s="15" t="s">
        <v>116</v>
      </c>
      <c r="E66" s="15">
        <f>(1/3)*E63*E64*E65</f>
        <v>249999.99999999997</v>
      </c>
      <c r="F66" s="12" t="str">
        <f>_xlfn.CONCAT(Units,"³")</f>
        <v>mm³</v>
      </c>
    </row>
    <row r="67" spans="2:6" x14ac:dyDescent="0.3">
      <c r="B67" s="20"/>
      <c r="C67" s="15" t="s">
        <v>104</v>
      </c>
      <c r="D67" s="15"/>
      <c r="E67" s="15">
        <f>E66/($F$5*$F$5*$F$5)</f>
        <v>2.4999999999999995E-4</v>
      </c>
      <c r="F67" s="12" t="s">
        <v>88</v>
      </c>
    </row>
    <row r="68" spans="2:6" ht="50.4" x14ac:dyDescent="0.3">
      <c r="B68" s="20"/>
      <c r="C68" s="15" t="s">
        <v>105</v>
      </c>
      <c r="D68" s="18" t="s">
        <v>117</v>
      </c>
      <c r="E68" s="15">
        <f>E63*E64+E63*((E64/2)^2+E65^2)^0.5+E64*((E63/2)^2+E65^2)^0.5</f>
        <v>28027.756377319951</v>
      </c>
      <c r="F68" s="12" t="str">
        <f>_xlfn.CONCAT(Units,"²")</f>
        <v>mm²</v>
      </c>
    </row>
    <row r="69" spans="2:6" x14ac:dyDescent="0.3">
      <c r="B69" s="20"/>
      <c r="C69" s="15" t="s">
        <v>105</v>
      </c>
      <c r="D69" s="15"/>
      <c r="E69" s="15">
        <f>E68/(F5*F5)</f>
        <v>2.802775637731995E-2</v>
      </c>
      <c r="F69" s="12" t="s">
        <v>93</v>
      </c>
    </row>
    <row r="70" spans="2:6" x14ac:dyDescent="0.3">
      <c r="B70" s="20"/>
      <c r="C70" s="15" t="s">
        <v>72</v>
      </c>
      <c r="D70" s="15" t="s">
        <v>130</v>
      </c>
      <c r="E70" s="15">
        <f>$F$7*E67</f>
        <v>0.37999999999999995</v>
      </c>
      <c r="F70" s="12" t="s">
        <v>86</v>
      </c>
    </row>
    <row r="71" spans="2:6" x14ac:dyDescent="0.3">
      <c r="B71" s="21"/>
      <c r="C71" s="15" t="s">
        <v>72</v>
      </c>
      <c r="D71" s="15"/>
      <c r="E71" s="15">
        <f>E70*1000</f>
        <v>379.99999999999994</v>
      </c>
      <c r="F71" s="12" t="s">
        <v>87</v>
      </c>
    </row>
    <row r="72" spans="2:6" x14ac:dyDescent="0.3">
      <c r="B72" s="24"/>
      <c r="C72" s="25"/>
      <c r="D72" s="25"/>
      <c r="E72" s="25"/>
      <c r="F72" s="26"/>
    </row>
    <row r="73" spans="2:6" x14ac:dyDescent="0.3">
      <c r="B73" s="27"/>
      <c r="C73" s="28"/>
      <c r="D73" s="28"/>
      <c r="E73" s="28"/>
      <c r="F73" s="29"/>
    </row>
    <row r="74" spans="2:6" x14ac:dyDescent="0.3">
      <c r="B74" s="19" t="s">
        <v>102</v>
      </c>
      <c r="C74" s="13" t="s">
        <v>91</v>
      </c>
      <c r="D74" s="13" t="s">
        <v>89</v>
      </c>
      <c r="E74" s="13" t="s">
        <v>90</v>
      </c>
      <c r="F74" s="16" t="s">
        <v>1</v>
      </c>
    </row>
    <row r="75" spans="2:6" x14ac:dyDescent="0.3">
      <c r="B75" s="20"/>
      <c r="C75" s="15" t="s">
        <v>118</v>
      </c>
      <c r="D75" s="15"/>
      <c r="E75" s="14">
        <v>25</v>
      </c>
      <c r="F75" s="12" t="str">
        <f>Units</f>
        <v>mm</v>
      </c>
    </row>
    <row r="76" spans="2:6" x14ac:dyDescent="0.3">
      <c r="B76" s="20"/>
      <c r="C76" s="15" t="s">
        <v>119</v>
      </c>
      <c r="D76" s="15"/>
      <c r="E76" s="14">
        <v>25</v>
      </c>
      <c r="F76" s="12" t="str">
        <f>Units</f>
        <v>mm</v>
      </c>
    </row>
    <row r="77" spans="2:6" x14ac:dyDescent="0.3">
      <c r="B77" s="20"/>
      <c r="C77" s="15" t="s">
        <v>104</v>
      </c>
      <c r="D77" s="15" t="s">
        <v>103</v>
      </c>
      <c r="E77" s="15">
        <f>PI()*E76^2*2*PI()*E75</f>
        <v>308425.13753404247</v>
      </c>
      <c r="F77" s="12" t="str">
        <f>_xlfn.CONCAT(Units,"³")</f>
        <v>mm³</v>
      </c>
    </row>
    <row r="78" spans="2:6" x14ac:dyDescent="0.3">
      <c r="B78" s="20"/>
      <c r="C78" s="15" t="s">
        <v>104</v>
      </c>
      <c r="D78" s="15"/>
      <c r="E78" s="15">
        <f>E77/($F$5*$F$5*$F$5)</f>
        <v>3.0842513753404245E-4</v>
      </c>
      <c r="F78" s="12" t="s">
        <v>88</v>
      </c>
    </row>
    <row r="79" spans="2:6" x14ac:dyDescent="0.3">
      <c r="B79" s="20"/>
      <c r="C79" s="15" t="s">
        <v>105</v>
      </c>
      <c r="D79" s="15" t="s">
        <v>120</v>
      </c>
      <c r="E79" s="15">
        <f>2*PI()*E75*2*PI()*E76</f>
        <v>24674.011002723397</v>
      </c>
      <c r="F79" s="12" t="str">
        <f>_xlfn.CONCAT(Units,"²")</f>
        <v>mm²</v>
      </c>
    </row>
    <row r="80" spans="2:6" x14ac:dyDescent="0.3">
      <c r="B80" s="20"/>
      <c r="C80" s="15" t="s">
        <v>105</v>
      </c>
      <c r="D80" s="15"/>
      <c r="E80" s="15">
        <f>E79/(F5*F5)</f>
        <v>2.4674011002723397E-2</v>
      </c>
      <c r="F80" s="12" t="s">
        <v>93</v>
      </c>
    </row>
    <row r="81" spans="2:9" x14ac:dyDescent="0.3">
      <c r="B81" s="20"/>
      <c r="C81" s="15" t="s">
        <v>72</v>
      </c>
      <c r="D81" s="15" t="s">
        <v>130</v>
      </c>
      <c r="E81" s="15">
        <f>$F$7*E78</f>
        <v>0.46880620905174453</v>
      </c>
      <c r="F81" s="12" t="s">
        <v>86</v>
      </c>
    </row>
    <row r="82" spans="2:9" x14ac:dyDescent="0.3">
      <c r="B82" s="21"/>
      <c r="C82" s="15" t="s">
        <v>72</v>
      </c>
      <c r="D82" s="15"/>
      <c r="E82" s="15">
        <f>E81*1000</f>
        <v>468.80620905174453</v>
      </c>
      <c r="F82" s="12" t="s">
        <v>87</v>
      </c>
    </row>
    <row r="83" spans="2:9" x14ac:dyDescent="0.3">
      <c r="B83" s="24"/>
      <c r="C83" s="25"/>
      <c r="D83" s="25"/>
      <c r="E83" s="25"/>
      <c r="F83" s="26"/>
      <c r="I83"/>
    </row>
    <row r="84" spans="2:9" x14ac:dyDescent="0.3">
      <c r="B84" s="27"/>
      <c r="C84" s="28"/>
      <c r="D84" s="28"/>
      <c r="E84" s="28"/>
      <c r="F84" s="29"/>
    </row>
  </sheetData>
  <sheetProtection algorithmName="SHA-512" hashValue="fi2Vik2PoJvIvAkjjadhe47BiF1MR5W0EXdrMRWazdHjx7NBNECs7K7zFOj7Pez8bcHOocaORqS5kd0UUjVBrA==" saltValue="xP9uw39W6RKsgzijjj1uOQ==" spinCount="100000" sheet="1" objects="1" scenarios="1"/>
  <mergeCells count="2">
    <mergeCell ref="B3:D7"/>
    <mergeCell ref="B9:B16"/>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Setup!$B$4:$B$88</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1:J105"/>
  <sheetViews>
    <sheetView showGridLines="0" zoomScale="115" zoomScaleNormal="115" workbookViewId="0">
      <pane ySplit="3" topLeftCell="A4" activePane="bottomLeft" state="frozen"/>
      <selection pane="bottomLeft" activeCell="C75" sqref="C75"/>
    </sheetView>
  </sheetViews>
  <sheetFormatPr defaultColWidth="9.109375" defaultRowHeight="16.8" x14ac:dyDescent="0.4"/>
  <cols>
    <col min="1" max="1" width="2.5546875" style="1" customWidth="1"/>
    <col min="2" max="2" width="39.88671875" style="1" bestFit="1" customWidth="1"/>
    <col min="3" max="3" width="34.21875" style="1" customWidth="1"/>
    <col min="4"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1" spans="2:10" x14ac:dyDescent="0.4">
      <c r="E1" s="52" t="s">
        <v>203</v>
      </c>
      <c r="F1" s="1">
        <v>9.8066685346035296</v>
      </c>
    </row>
    <row r="2" spans="2:10" x14ac:dyDescent="0.4">
      <c r="B2" s="1" t="s">
        <v>5</v>
      </c>
      <c r="E2" s="52" t="s">
        <v>204</v>
      </c>
      <c r="F2" s="1">
        <v>6.2426449985990499E-2</v>
      </c>
      <c r="H2" s="1" t="s">
        <v>81</v>
      </c>
    </row>
    <row r="3" spans="2:10" ht="33.6" x14ac:dyDescent="0.4">
      <c r="B3" s="53" t="s">
        <v>132</v>
      </c>
      <c r="C3" s="54" t="s">
        <v>2</v>
      </c>
      <c r="D3" s="55" t="s">
        <v>106</v>
      </c>
      <c r="E3" s="56" t="s">
        <v>107</v>
      </c>
      <c r="F3" s="57" t="s">
        <v>108</v>
      </c>
      <c r="H3" s="8" t="s">
        <v>74</v>
      </c>
      <c r="I3" s="9" t="s">
        <v>90</v>
      </c>
      <c r="J3" s="10" t="s">
        <v>82</v>
      </c>
    </row>
    <row r="4" spans="2:10" x14ac:dyDescent="0.4">
      <c r="B4" s="58" t="s">
        <v>6</v>
      </c>
      <c r="C4" s="59" t="s">
        <v>133</v>
      </c>
      <c r="D4" s="60">
        <v>2723</v>
      </c>
      <c r="E4" s="61">
        <v>26.7</v>
      </c>
      <c r="F4" s="62">
        <v>170</v>
      </c>
      <c r="H4" s="3" t="s">
        <v>0</v>
      </c>
      <c r="I4" s="2">
        <v>1000</v>
      </c>
      <c r="J4" s="4" t="s">
        <v>76</v>
      </c>
    </row>
    <row r="5" spans="2:10" x14ac:dyDescent="0.4">
      <c r="B5" s="58" t="s">
        <v>7</v>
      </c>
      <c r="C5" s="59" t="s">
        <v>134</v>
      </c>
      <c r="D5" s="60">
        <v>2162</v>
      </c>
      <c r="E5" s="61">
        <v>21.2</v>
      </c>
      <c r="F5" s="62">
        <v>135</v>
      </c>
      <c r="H5" s="3" t="s">
        <v>83</v>
      </c>
      <c r="I5" s="2">
        <v>100</v>
      </c>
      <c r="J5" s="4" t="s">
        <v>79</v>
      </c>
    </row>
    <row r="6" spans="2:10" x14ac:dyDescent="0.4">
      <c r="B6" s="58" t="s">
        <v>8</v>
      </c>
      <c r="C6" s="59" t="s">
        <v>135</v>
      </c>
      <c r="D6" s="60">
        <f>(1019 + 1427)/2</f>
        <v>1223</v>
      </c>
      <c r="E6" s="61">
        <f>(10 + 14)/2</f>
        <v>12</v>
      </c>
      <c r="F6" s="62">
        <f>(54 + 89)/2</f>
        <v>71.5</v>
      </c>
      <c r="H6" s="3" t="s">
        <v>75</v>
      </c>
      <c r="I6" s="2">
        <v>1</v>
      </c>
      <c r="J6" s="4" t="s">
        <v>77</v>
      </c>
    </row>
    <row r="7" spans="2:10" x14ac:dyDescent="0.4">
      <c r="B7" s="58" t="s">
        <v>9</v>
      </c>
      <c r="C7" s="59" t="s">
        <v>136</v>
      </c>
      <c r="D7" s="60">
        <v>8514</v>
      </c>
      <c r="E7" s="61">
        <v>83.5</v>
      </c>
      <c r="F7" s="62">
        <v>531.5</v>
      </c>
      <c r="H7" s="3" t="s">
        <v>84</v>
      </c>
      <c r="I7" s="2">
        <v>0.30480000000000002</v>
      </c>
      <c r="J7" s="4" t="s">
        <v>78</v>
      </c>
    </row>
    <row r="8" spans="2:10" x14ac:dyDescent="0.4">
      <c r="B8" s="58" t="s">
        <v>10</v>
      </c>
      <c r="C8" s="59" t="s">
        <v>137</v>
      </c>
      <c r="D8" s="60">
        <v>8912</v>
      </c>
      <c r="E8" s="61">
        <v>87.4</v>
      </c>
      <c r="F8" s="62">
        <v>556.4</v>
      </c>
      <c r="H8" s="5" t="s">
        <v>80</v>
      </c>
      <c r="I8" s="6">
        <v>1</v>
      </c>
      <c r="J8" s="7" t="s">
        <v>85</v>
      </c>
    </row>
    <row r="9" spans="2:10" x14ac:dyDescent="0.4">
      <c r="B9" s="58" t="s">
        <v>197</v>
      </c>
      <c r="C9" s="59" t="s">
        <v>199</v>
      </c>
      <c r="D9" s="60">
        <v>1468</v>
      </c>
      <c r="E9" s="61">
        <v>14.4</v>
      </c>
      <c r="F9" s="62">
        <v>91.7</v>
      </c>
    </row>
    <row r="10" spans="2:10" x14ac:dyDescent="0.4">
      <c r="B10" s="58" t="s">
        <v>198</v>
      </c>
      <c r="C10" s="59" t="s">
        <v>200</v>
      </c>
      <c r="D10" s="60">
        <v>2050</v>
      </c>
      <c r="E10" s="61">
        <v>20.100000000000001</v>
      </c>
      <c r="F10" s="62">
        <v>128</v>
      </c>
    </row>
    <row r="11" spans="2:10" x14ac:dyDescent="0.4">
      <c r="B11" s="58" t="s">
        <v>11</v>
      </c>
      <c r="C11" s="59" t="s">
        <v>138</v>
      </c>
      <c r="D11" s="60">
        <v>2141</v>
      </c>
      <c r="E11" s="61">
        <v>21</v>
      </c>
      <c r="F11" s="62">
        <v>133.69999999999999</v>
      </c>
    </row>
    <row r="12" spans="2:10" x14ac:dyDescent="0.4">
      <c r="B12" s="58" t="s">
        <v>12</v>
      </c>
      <c r="C12" s="59" t="s">
        <v>139</v>
      </c>
      <c r="D12" s="60">
        <v>1937</v>
      </c>
      <c r="E12" s="61">
        <v>19</v>
      </c>
      <c r="F12" s="62">
        <v>120.9</v>
      </c>
    </row>
    <row r="13" spans="2:10" x14ac:dyDescent="0.4">
      <c r="B13" s="58" t="s">
        <v>13</v>
      </c>
      <c r="C13" s="59" t="s">
        <v>140</v>
      </c>
      <c r="D13" s="60">
        <v>2447</v>
      </c>
      <c r="E13" s="61">
        <v>24</v>
      </c>
      <c r="F13" s="62">
        <v>152.80000000000001</v>
      </c>
    </row>
    <row r="14" spans="2:10" x14ac:dyDescent="0.4">
      <c r="B14" s="58" t="s">
        <v>14</v>
      </c>
      <c r="C14" s="59" t="s">
        <v>141</v>
      </c>
      <c r="D14" s="60">
        <v>8800</v>
      </c>
      <c r="E14" s="61">
        <v>86.3</v>
      </c>
      <c r="F14" s="62">
        <v>549.4</v>
      </c>
    </row>
    <row r="15" spans="2:10" x14ac:dyDescent="0.4">
      <c r="B15" s="58" t="s">
        <v>15</v>
      </c>
      <c r="C15" s="59" t="s">
        <v>142</v>
      </c>
      <c r="D15" s="60">
        <v>173</v>
      </c>
      <c r="E15" s="61">
        <v>1.7</v>
      </c>
      <c r="F15" s="62">
        <v>10.8</v>
      </c>
    </row>
    <row r="16" spans="2:10" x14ac:dyDescent="0.4">
      <c r="B16" s="58" t="s">
        <v>16</v>
      </c>
      <c r="C16" s="59" t="s">
        <v>143</v>
      </c>
      <c r="D16" s="60">
        <v>377</v>
      </c>
      <c r="E16" s="61">
        <v>3.7</v>
      </c>
      <c r="F16" s="62">
        <v>23.6</v>
      </c>
    </row>
    <row r="17" spans="2:6" ht="33.6" x14ac:dyDescent="0.4">
      <c r="B17" s="58" t="s">
        <v>17</v>
      </c>
      <c r="C17" s="59" t="s">
        <v>144</v>
      </c>
      <c r="D17" s="60">
        <v>1448</v>
      </c>
      <c r="E17" s="61">
        <v>14.2</v>
      </c>
      <c r="F17" s="62">
        <v>90.4</v>
      </c>
    </row>
    <row r="18" spans="2:6" x14ac:dyDescent="0.4">
      <c r="B18" s="58" t="s">
        <v>18</v>
      </c>
      <c r="C18" s="59" t="s">
        <v>145</v>
      </c>
      <c r="D18" s="60">
        <v>1754</v>
      </c>
      <c r="E18" s="61">
        <v>17.2</v>
      </c>
      <c r="F18" s="62">
        <v>109.5</v>
      </c>
    </row>
    <row r="19" spans="2:6" ht="33.6" x14ac:dyDescent="0.4">
      <c r="B19" s="58" t="s">
        <v>19</v>
      </c>
      <c r="C19" s="59" t="s">
        <v>146</v>
      </c>
      <c r="D19" s="60">
        <v>928</v>
      </c>
      <c r="E19" s="61">
        <v>9.1</v>
      </c>
      <c r="F19" s="62">
        <v>57.9</v>
      </c>
    </row>
    <row r="20" spans="2:6" ht="33.6" x14ac:dyDescent="0.4">
      <c r="B20" s="58" t="s">
        <v>20</v>
      </c>
      <c r="C20" s="59" t="s">
        <v>147</v>
      </c>
      <c r="D20" s="60">
        <v>704</v>
      </c>
      <c r="E20" s="61">
        <v>6.9</v>
      </c>
      <c r="F20" s="62">
        <v>43.9</v>
      </c>
    </row>
    <row r="21" spans="2:6" x14ac:dyDescent="0.4">
      <c r="B21" s="58" t="s">
        <v>21</v>
      </c>
      <c r="C21" s="59" t="s">
        <v>148</v>
      </c>
      <c r="D21" s="60">
        <v>2600</v>
      </c>
      <c r="E21" s="61">
        <v>25.5</v>
      </c>
      <c r="F21" s="62">
        <v>162.30000000000001</v>
      </c>
    </row>
    <row r="22" spans="2:6" x14ac:dyDescent="0.4">
      <c r="B22" s="58" t="s">
        <v>22</v>
      </c>
      <c r="C22" s="59" t="s">
        <v>149</v>
      </c>
      <c r="D22" s="60">
        <v>2039</v>
      </c>
      <c r="E22" s="61">
        <v>20</v>
      </c>
      <c r="F22" s="62">
        <v>127.3</v>
      </c>
    </row>
    <row r="23" spans="2:6" x14ac:dyDescent="0.4">
      <c r="B23" s="58" t="s">
        <v>23</v>
      </c>
      <c r="C23" s="59" t="s">
        <v>150</v>
      </c>
      <c r="D23" s="60">
        <v>2692</v>
      </c>
      <c r="E23" s="61">
        <v>26.4</v>
      </c>
      <c r="F23" s="62">
        <v>168.1</v>
      </c>
    </row>
    <row r="24" spans="2:6" x14ac:dyDescent="0.4">
      <c r="B24" s="58" t="s">
        <v>24</v>
      </c>
      <c r="C24" s="59" t="s">
        <v>151</v>
      </c>
      <c r="D24" s="60">
        <v>7209</v>
      </c>
      <c r="E24" s="61">
        <v>70.7</v>
      </c>
      <c r="F24" s="62">
        <v>450.1</v>
      </c>
    </row>
    <row r="25" spans="2:6" x14ac:dyDescent="0.4">
      <c r="B25" s="58" t="s">
        <v>25</v>
      </c>
      <c r="C25" s="59" t="s">
        <v>152</v>
      </c>
      <c r="D25" s="60">
        <v>11319</v>
      </c>
      <c r="E25" s="61">
        <v>111</v>
      </c>
      <c r="F25" s="62">
        <v>706.6</v>
      </c>
    </row>
    <row r="26" spans="2:6" x14ac:dyDescent="0.4">
      <c r="B26" s="58" t="s">
        <v>26</v>
      </c>
      <c r="C26" s="59" t="s">
        <v>153</v>
      </c>
      <c r="D26" s="60">
        <v>2498</v>
      </c>
      <c r="E26" s="61">
        <v>24.5</v>
      </c>
      <c r="F26" s="62">
        <v>156</v>
      </c>
    </row>
    <row r="27" spans="2:6" x14ac:dyDescent="0.4">
      <c r="B27" s="58" t="s">
        <v>27</v>
      </c>
      <c r="C27" s="59" t="s">
        <v>154</v>
      </c>
      <c r="D27" s="60">
        <v>1275</v>
      </c>
      <c r="E27" s="61">
        <v>12.5</v>
      </c>
      <c r="F27" s="62">
        <v>79.599999999999994</v>
      </c>
    </row>
    <row r="28" spans="2:6" x14ac:dyDescent="0.4">
      <c r="B28" s="58" t="s">
        <v>28</v>
      </c>
      <c r="C28" s="59" t="s">
        <v>155</v>
      </c>
      <c r="D28" s="60">
        <v>1774</v>
      </c>
      <c r="E28" s="61">
        <v>17.399999999999999</v>
      </c>
      <c r="F28" s="62">
        <v>110.8</v>
      </c>
    </row>
    <row r="29" spans="2:6" x14ac:dyDescent="0.4">
      <c r="B29" s="58" t="s">
        <v>29</v>
      </c>
      <c r="C29" s="59" t="s">
        <v>156</v>
      </c>
      <c r="D29" s="60">
        <v>2702</v>
      </c>
      <c r="E29" s="61">
        <v>26.5</v>
      </c>
      <c r="F29" s="62">
        <v>168.7</v>
      </c>
    </row>
    <row r="30" spans="2:6" x14ac:dyDescent="0.4">
      <c r="B30" s="58" t="s">
        <v>30</v>
      </c>
      <c r="C30" s="59" t="s">
        <v>157</v>
      </c>
      <c r="D30" s="60">
        <v>9086</v>
      </c>
      <c r="E30" s="61">
        <v>89.1</v>
      </c>
      <c r="F30" s="62">
        <v>567.20000000000005</v>
      </c>
    </row>
    <row r="31" spans="2:6" x14ac:dyDescent="0.4">
      <c r="B31" s="58" t="s">
        <v>31</v>
      </c>
      <c r="C31" s="59" t="s">
        <v>158</v>
      </c>
      <c r="D31" s="60">
        <v>704</v>
      </c>
      <c r="E31" s="61">
        <v>6.9</v>
      </c>
      <c r="F31" s="62">
        <v>43.9</v>
      </c>
    </row>
    <row r="32" spans="2:6" x14ac:dyDescent="0.4">
      <c r="B32" s="58" t="s">
        <v>32</v>
      </c>
      <c r="C32" s="59" t="s">
        <v>159</v>
      </c>
      <c r="D32" s="60">
        <v>2039</v>
      </c>
      <c r="E32" s="61">
        <v>20</v>
      </c>
      <c r="F32" s="62">
        <v>127.3</v>
      </c>
    </row>
    <row r="33" spans="2:6" x14ac:dyDescent="0.4">
      <c r="B33" s="58" t="s">
        <v>33</v>
      </c>
      <c r="C33" s="59" t="s">
        <v>160</v>
      </c>
      <c r="D33" s="60">
        <v>2294</v>
      </c>
      <c r="E33" s="61">
        <v>22.5</v>
      </c>
      <c r="F33" s="62">
        <v>143.19999999999999</v>
      </c>
    </row>
    <row r="34" spans="2:6" x14ac:dyDescent="0.4">
      <c r="B34" s="58" t="s">
        <v>34</v>
      </c>
      <c r="C34" s="59" t="s">
        <v>161</v>
      </c>
      <c r="D34" s="60">
        <v>1835</v>
      </c>
      <c r="E34" s="61">
        <v>18</v>
      </c>
      <c r="F34" s="62">
        <v>114.6</v>
      </c>
    </row>
    <row r="35" spans="2:6" x14ac:dyDescent="0.4">
      <c r="B35" s="58" t="s">
        <v>35</v>
      </c>
      <c r="C35" s="59" t="s">
        <v>162</v>
      </c>
      <c r="D35" s="60">
        <v>2549</v>
      </c>
      <c r="E35" s="61">
        <v>25</v>
      </c>
      <c r="F35" s="62">
        <v>159.1</v>
      </c>
    </row>
    <row r="36" spans="2:6" x14ac:dyDescent="0.4">
      <c r="B36" s="58" t="s">
        <v>36</v>
      </c>
      <c r="C36" s="59" t="s">
        <v>163</v>
      </c>
      <c r="D36" s="60">
        <v>2141</v>
      </c>
      <c r="E36" s="61">
        <v>21</v>
      </c>
      <c r="F36" s="62">
        <v>133.69999999999999</v>
      </c>
    </row>
    <row r="37" spans="2:6" x14ac:dyDescent="0.4">
      <c r="B37" s="58" t="s">
        <v>37</v>
      </c>
      <c r="C37" s="59" t="s">
        <v>164</v>
      </c>
      <c r="D37" s="60">
        <v>7841</v>
      </c>
      <c r="E37" s="61">
        <v>76.900000000000006</v>
      </c>
      <c r="F37" s="62">
        <v>489.5</v>
      </c>
    </row>
    <row r="38" spans="2:6" x14ac:dyDescent="0.4">
      <c r="B38" s="58" t="s">
        <v>38</v>
      </c>
      <c r="C38" s="59" t="s">
        <v>165</v>
      </c>
      <c r="D38" s="60">
        <v>540</v>
      </c>
      <c r="E38" s="61">
        <v>5.3</v>
      </c>
      <c r="F38" s="62">
        <v>33.700000000000003</v>
      </c>
    </row>
    <row r="39" spans="2:6" x14ac:dyDescent="0.4">
      <c r="B39" s="58" t="s">
        <v>39</v>
      </c>
      <c r="C39" s="59" t="s">
        <v>166</v>
      </c>
      <c r="D39" s="60">
        <v>469</v>
      </c>
      <c r="E39" s="61">
        <v>4.5999999999999996</v>
      </c>
      <c r="F39" s="62">
        <v>29.3</v>
      </c>
    </row>
    <row r="40" spans="2:6" x14ac:dyDescent="0.4">
      <c r="B40" s="58" t="s">
        <v>40</v>
      </c>
      <c r="C40" s="59" t="s">
        <v>167</v>
      </c>
      <c r="D40" s="60">
        <v>714</v>
      </c>
      <c r="E40" s="61">
        <v>7</v>
      </c>
      <c r="F40" s="62">
        <v>44.6</v>
      </c>
    </row>
    <row r="41" spans="2:6" x14ac:dyDescent="0.4">
      <c r="B41" s="58" t="s">
        <v>41</v>
      </c>
      <c r="C41" s="59" t="s">
        <v>168</v>
      </c>
      <c r="D41" s="60">
        <v>561</v>
      </c>
      <c r="E41" s="61">
        <v>5.5</v>
      </c>
      <c r="F41" s="62">
        <v>35</v>
      </c>
    </row>
    <row r="42" spans="2:6" x14ac:dyDescent="0.4">
      <c r="B42" s="58" t="s">
        <v>42</v>
      </c>
      <c r="C42" s="59" t="s">
        <v>169</v>
      </c>
      <c r="D42" s="60">
        <v>540</v>
      </c>
      <c r="E42" s="61">
        <v>5.3</v>
      </c>
      <c r="F42" s="62">
        <v>33.700000000000003</v>
      </c>
    </row>
    <row r="43" spans="2:6" x14ac:dyDescent="0.4">
      <c r="B43" s="58" t="s">
        <v>43</v>
      </c>
      <c r="C43" s="59" t="s">
        <v>170</v>
      </c>
      <c r="D43" s="60">
        <v>887</v>
      </c>
      <c r="E43" s="61">
        <v>8.6999999999999993</v>
      </c>
      <c r="F43" s="62">
        <v>55.4</v>
      </c>
    </row>
    <row r="44" spans="2:6" x14ac:dyDescent="0.4">
      <c r="B44" s="58" t="s">
        <v>44</v>
      </c>
      <c r="C44" s="59" t="s">
        <v>171</v>
      </c>
      <c r="D44" s="60">
        <v>1081</v>
      </c>
      <c r="E44" s="61">
        <v>10.6</v>
      </c>
      <c r="F44" s="62">
        <v>67.5</v>
      </c>
    </row>
    <row r="45" spans="2:6" x14ac:dyDescent="0.4">
      <c r="B45" s="58" t="s">
        <v>45</v>
      </c>
      <c r="C45" s="59" t="s">
        <v>172</v>
      </c>
      <c r="D45" s="60">
        <v>1122</v>
      </c>
      <c r="E45" s="61">
        <v>11</v>
      </c>
      <c r="F45" s="62">
        <v>70</v>
      </c>
    </row>
    <row r="46" spans="2:6" x14ac:dyDescent="0.4">
      <c r="B46" s="58" t="s">
        <v>46</v>
      </c>
      <c r="C46" s="59" t="s">
        <v>173</v>
      </c>
      <c r="D46" s="60">
        <v>816</v>
      </c>
      <c r="E46" s="61">
        <v>8</v>
      </c>
      <c r="F46" s="62">
        <v>50.9</v>
      </c>
    </row>
    <row r="47" spans="2:6" x14ac:dyDescent="0.4">
      <c r="B47" s="58" t="s">
        <v>47</v>
      </c>
      <c r="C47" s="59" t="s">
        <v>174</v>
      </c>
      <c r="D47" s="60">
        <v>1020</v>
      </c>
      <c r="E47" s="61">
        <v>10</v>
      </c>
      <c r="F47" s="62">
        <v>63.7</v>
      </c>
    </row>
    <row r="48" spans="2:6" x14ac:dyDescent="0.4">
      <c r="B48" s="58" t="s">
        <v>48</v>
      </c>
      <c r="C48" s="59" t="s">
        <v>175</v>
      </c>
      <c r="D48" s="60">
        <v>1020</v>
      </c>
      <c r="E48" s="61">
        <v>10</v>
      </c>
      <c r="F48" s="62">
        <v>63.7</v>
      </c>
    </row>
    <row r="49" spans="2:6" x14ac:dyDescent="0.4">
      <c r="B49" s="58" t="s">
        <v>49</v>
      </c>
      <c r="C49" s="59" t="s">
        <v>176</v>
      </c>
      <c r="D49" s="60">
        <v>969</v>
      </c>
      <c r="E49" s="61">
        <v>9.5</v>
      </c>
      <c r="F49" s="62">
        <v>60.5</v>
      </c>
    </row>
    <row r="50" spans="2:6" x14ac:dyDescent="0.4">
      <c r="B50" s="58" t="s">
        <v>50</v>
      </c>
      <c r="C50" s="59" t="s">
        <v>177</v>
      </c>
      <c r="D50" s="60">
        <v>969</v>
      </c>
      <c r="E50" s="61">
        <v>9.5</v>
      </c>
      <c r="F50" s="62">
        <v>60.5</v>
      </c>
    </row>
    <row r="51" spans="2:6" x14ac:dyDescent="0.4">
      <c r="B51" s="58" t="s">
        <v>51</v>
      </c>
      <c r="C51" s="59" t="s">
        <v>178</v>
      </c>
      <c r="D51" s="60">
        <v>642</v>
      </c>
      <c r="E51" s="61">
        <v>6.3</v>
      </c>
      <c r="F51" s="62">
        <v>40.1</v>
      </c>
    </row>
    <row r="52" spans="2:6" x14ac:dyDescent="0.4">
      <c r="B52" s="58" t="s">
        <v>52</v>
      </c>
      <c r="C52" s="59" t="s">
        <v>179</v>
      </c>
      <c r="D52" s="60">
        <v>714</v>
      </c>
      <c r="E52" s="61">
        <v>7</v>
      </c>
      <c r="F52" s="62">
        <v>44.6</v>
      </c>
    </row>
    <row r="53" spans="2:6" x14ac:dyDescent="0.4">
      <c r="B53" s="58" t="s">
        <v>53</v>
      </c>
      <c r="C53" s="59" t="s">
        <v>180</v>
      </c>
      <c r="D53" s="60">
        <v>867</v>
      </c>
      <c r="E53" s="61">
        <v>8.5</v>
      </c>
      <c r="F53" s="62">
        <v>54.1</v>
      </c>
    </row>
    <row r="54" spans="2:6" x14ac:dyDescent="0.4">
      <c r="B54" s="58" t="s">
        <v>54</v>
      </c>
      <c r="C54" s="59" t="s">
        <v>181</v>
      </c>
      <c r="D54" s="60">
        <v>775</v>
      </c>
      <c r="E54" s="61">
        <v>7.6</v>
      </c>
      <c r="F54" s="62">
        <v>48.4</v>
      </c>
    </row>
    <row r="55" spans="2:6" x14ac:dyDescent="0.4">
      <c r="B55" s="58" t="s">
        <v>55</v>
      </c>
      <c r="C55" s="59" t="s">
        <v>182</v>
      </c>
      <c r="D55" s="60">
        <v>602</v>
      </c>
      <c r="E55" s="61">
        <v>5.9</v>
      </c>
      <c r="F55" s="62">
        <v>37.6</v>
      </c>
    </row>
    <row r="56" spans="2:6" x14ac:dyDescent="0.4">
      <c r="B56" s="58" t="s">
        <v>56</v>
      </c>
      <c r="C56" s="59" t="s">
        <v>183</v>
      </c>
      <c r="D56" s="60">
        <v>795</v>
      </c>
      <c r="E56" s="61">
        <v>7.8</v>
      </c>
      <c r="F56" s="62">
        <v>49.7</v>
      </c>
    </row>
    <row r="57" spans="2:6" x14ac:dyDescent="0.4">
      <c r="B57" s="58" t="s">
        <v>57</v>
      </c>
      <c r="C57" s="59" t="s">
        <v>184</v>
      </c>
      <c r="D57" s="60">
        <f>(978 + 1142)/2</f>
        <v>1060</v>
      </c>
      <c r="E57" s="61">
        <f>(9.6 + 11.2)/2</f>
        <v>10.399999999999999</v>
      </c>
      <c r="F57" s="62">
        <f>(61 + 71)/2</f>
        <v>66</v>
      </c>
    </row>
    <row r="58" spans="2:6" x14ac:dyDescent="0.4">
      <c r="B58" s="58" t="s">
        <v>58</v>
      </c>
      <c r="C58" s="59" t="s">
        <v>185</v>
      </c>
      <c r="D58" s="60">
        <v>683</v>
      </c>
      <c r="E58" s="61">
        <v>6.7</v>
      </c>
      <c r="F58" s="62">
        <v>42.7</v>
      </c>
    </row>
    <row r="59" spans="2:6" x14ac:dyDescent="0.4">
      <c r="B59" s="58" t="s">
        <v>59</v>
      </c>
      <c r="C59" s="59" t="s">
        <v>186</v>
      </c>
      <c r="D59" s="60">
        <v>683</v>
      </c>
      <c r="E59" s="61">
        <v>6.7</v>
      </c>
      <c r="F59" s="62">
        <v>42.7</v>
      </c>
    </row>
    <row r="60" spans="2:6" x14ac:dyDescent="0.4">
      <c r="B60" s="58" t="s">
        <v>60</v>
      </c>
      <c r="C60" s="59" t="s">
        <v>187</v>
      </c>
      <c r="D60" s="60">
        <v>551</v>
      </c>
      <c r="E60" s="61">
        <v>5.4</v>
      </c>
      <c r="F60" s="62">
        <v>34.4</v>
      </c>
    </row>
    <row r="61" spans="2:6" x14ac:dyDescent="0.4">
      <c r="B61" s="58" t="s">
        <v>61</v>
      </c>
      <c r="C61" s="59" t="s">
        <v>188</v>
      </c>
      <c r="D61" s="60">
        <v>173</v>
      </c>
      <c r="E61" s="61">
        <v>1.7</v>
      </c>
      <c r="F61" s="62">
        <v>10.8</v>
      </c>
    </row>
    <row r="62" spans="2:6" x14ac:dyDescent="0.4">
      <c r="B62" s="58" t="s">
        <v>62</v>
      </c>
      <c r="C62" s="59" t="s">
        <v>189</v>
      </c>
      <c r="D62" s="60">
        <f>(305 + 407)/2</f>
        <v>356</v>
      </c>
      <c r="E62" s="61">
        <f>(3 + 4)/2</f>
        <v>3.5</v>
      </c>
      <c r="F62" s="62">
        <f>(19 + 25)/2</f>
        <v>22</v>
      </c>
    </row>
    <row r="63" spans="2:6" x14ac:dyDescent="0.4">
      <c r="B63" s="58" t="s">
        <v>63</v>
      </c>
      <c r="C63" s="59" t="s">
        <v>190</v>
      </c>
      <c r="D63" s="60">
        <v>387</v>
      </c>
      <c r="E63" s="61">
        <v>3.8</v>
      </c>
      <c r="F63" s="62">
        <v>24.2</v>
      </c>
    </row>
    <row r="64" spans="2:6" x14ac:dyDescent="0.4">
      <c r="B64" s="58" t="s">
        <v>64</v>
      </c>
      <c r="C64" s="59" t="s">
        <v>191</v>
      </c>
      <c r="D64" s="60">
        <v>428</v>
      </c>
      <c r="E64" s="61">
        <v>4.2</v>
      </c>
      <c r="F64" s="62">
        <v>26.7</v>
      </c>
    </row>
    <row r="65" spans="2:6" x14ac:dyDescent="0.4">
      <c r="B65" s="58" t="s">
        <v>65</v>
      </c>
      <c r="C65" s="59" t="s">
        <v>192</v>
      </c>
      <c r="D65" s="60">
        <v>459</v>
      </c>
      <c r="E65" s="61">
        <v>4.5</v>
      </c>
      <c r="F65" s="62">
        <v>28.6</v>
      </c>
    </row>
    <row r="66" spans="2:6" x14ac:dyDescent="0.4">
      <c r="B66" s="58" t="s">
        <v>66</v>
      </c>
      <c r="C66" s="59" t="s">
        <v>193</v>
      </c>
      <c r="D66" s="60">
        <v>520</v>
      </c>
      <c r="E66" s="61">
        <v>5.0999999999999996</v>
      </c>
      <c r="F66" s="62">
        <v>32.5</v>
      </c>
    </row>
    <row r="67" spans="2:6" x14ac:dyDescent="0.4">
      <c r="B67" s="58" t="s">
        <v>67</v>
      </c>
      <c r="C67" s="59" t="s">
        <v>194</v>
      </c>
      <c r="D67" s="60">
        <v>7423</v>
      </c>
      <c r="E67" s="61">
        <v>72.8</v>
      </c>
      <c r="F67" s="62">
        <v>463.4</v>
      </c>
    </row>
    <row r="68" spans="2:6" x14ac:dyDescent="0.4">
      <c r="B68" s="58" t="s">
        <v>131</v>
      </c>
      <c r="C68" s="59" t="s">
        <v>195</v>
      </c>
      <c r="D68" s="60">
        <v>4500</v>
      </c>
      <c r="E68" s="61">
        <f>44203.86/1000</f>
        <v>44.203859999999999</v>
      </c>
      <c r="F68" s="62">
        <v>280</v>
      </c>
    </row>
    <row r="69" spans="2:6" x14ac:dyDescent="0.4">
      <c r="B69" s="58" t="s">
        <v>68</v>
      </c>
      <c r="C69" s="59" t="s">
        <v>196</v>
      </c>
      <c r="D69" s="60">
        <v>1020</v>
      </c>
      <c r="E69" s="61">
        <v>10</v>
      </c>
      <c r="F69" s="62">
        <v>63.7</v>
      </c>
    </row>
    <row r="70" spans="2:6" x14ac:dyDescent="0.4">
      <c r="B70" s="58" t="s">
        <v>69</v>
      </c>
      <c r="C70" s="59" t="s">
        <v>69</v>
      </c>
      <c r="D70" s="60">
        <v>7138</v>
      </c>
      <c r="E70" s="61">
        <v>70</v>
      </c>
      <c r="F70" s="62">
        <v>445.6</v>
      </c>
    </row>
    <row r="71" spans="2:6" x14ac:dyDescent="0.4">
      <c r="B71" s="66" t="s">
        <v>201</v>
      </c>
      <c r="C71" s="67" t="s">
        <v>202</v>
      </c>
      <c r="D71" s="68">
        <f>(1700 + 1920)/2</f>
        <v>1810</v>
      </c>
      <c r="E71" s="69">
        <f>D71*$F$1/1000</f>
        <v>17.750070047632388</v>
      </c>
      <c r="F71" s="70">
        <f>D71*$F$2</f>
        <v>112.9918744746428</v>
      </c>
    </row>
    <row r="72" spans="2:6" x14ac:dyDescent="0.4">
      <c r="B72" s="66" t="s">
        <v>205</v>
      </c>
      <c r="C72" s="67" t="s">
        <v>205</v>
      </c>
      <c r="D72" s="68">
        <v>1240</v>
      </c>
      <c r="E72" s="69">
        <f t="shared" ref="E72:E87" si="0">D72*$F$1/1000</f>
        <v>12.160268982908377</v>
      </c>
      <c r="F72" s="70">
        <f t="shared" ref="F72:F87" si="1">D72*$F$2</f>
        <v>77.408797982628215</v>
      </c>
    </row>
    <row r="73" spans="2:6" x14ac:dyDescent="0.4">
      <c r="B73" s="66" t="s">
        <v>206</v>
      </c>
      <c r="C73" s="67" t="s">
        <v>206</v>
      </c>
      <c r="D73" s="68">
        <v>1040.0000000000002</v>
      </c>
      <c r="E73" s="69">
        <f t="shared" si="0"/>
        <v>10.198935275987672</v>
      </c>
      <c r="F73" s="70">
        <f t="shared" si="1"/>
        <v>64.923507985430135</v>
      </c>
    </row>
    <row r="74" spans="2:6" x14ac:dyDescent="0.4">
      <c r="B74" s="66" t="s">
        <v>207</v>
      </c>
      <c r="C74" s="67" t="s">
        <v>207</v>
      </c>
      <c r="D74" s="68">
        <v>1270</v>
      </c>
      <c r="E74" s="69">
        <f t="shared" si="0"/>
        <v>12.454469038946483</v>
      </c>
      <c r="F74" s="70">
        <f t="shared" si="1"/>
        <v>79.281591482207929</v>
      </c>
    </row>
    <row r="75" spans="2:6" x14ac:dyDescent="0.4">
      <c r="B75" s="66" t="s">
        <v>208</v>
      </c>
      <c r="C75" s="67" t="s">
        <v>208</v>
      </c>
      <c r="D75" s="68">
        <v>1520</v>
      </c>
      <c r="E75" s="69">
        <f t="shared" si="0"/>
        <v>14.906136172597366</v>
      </c>
      <c r="F75" s="70">
        <f t="shared" si="1"/>
        <v>94.888203978705562</v>
      </c>
    </row>
    <row r="76" spans="2:6" x14ac:dyDescent="0.4">
      <c r="B76" s="66" t="s">
        <v>209</v>
      </c>
      <c r="C76" s="67" t="s">
        <v>209</v>
      </c>
      <c r="D76" s="68">
        <v>1210</v>
      </c>
      <c r="E76" s="69">
        <f t="shared" si="0"/>
        <v>11.86606892687027</v>
      </c>
      <c r="F76" s="70">
        <f t="shared" si="1"/>
        <v>75.536004483048501</v>
      </c>
    </row>
    <row r="77" spans="2:6" x14ac:dyDescent="0.4">
      <c r="B77" s="66" t="s">
        <v>222</v>
      </c>
      <c r="C77" s="67" t="s">
        <v>210</v>
      </c>
      <c r="D77" s="68">
        <v>1300</v>
      </c>
      <c r="E77" s="69">
        <f t="shared" si="0"/>
        <v>12.748669094984589</v>
      </c>
      <c r="F77" s="70">
        <f t="shared" si="1"/>
        <v>81.154384981787643</v>
      </c>
    </row>
    <row r="78" spans="2:6" x14ac:dyDescent="0.4">
      <c r="B78" s="66" t="s">
        <v>223</v>
      </c>
      <c r="C78" s="67" t="s">
        <v>211</v>
      </c>
      <c r="D78" s="68">
        <v>1280</v>
      </c>
      <c r="E78" s="69">
        <f t="shared" si="0"/>
        <v>12.552535724292518</v>
      </c>
      <c r="F78" s="70">
        <f t="shared" si="1"/>
        <v>79.905855982067834</v>
      </c>
    </row>
    <row r="79" spans="2:6" x14ac:dyDescent="0.4">
      <c r="B79" s="66" t="s">
        <v>224</v>
      </c>
      <c r="C79" s="67" t="s">
        <v>212</v>
      </c>
      <c r="D79" s="68">
        <v>1300</v>
      </c>
      <c r="E79" s="69">
        <f t="shared" si="0"/>
        <v>12.748669094984589</v>
      </c>
      <c r="F79" s="70">
        <f t="shared" si="1"/>
        <v>81.154384981787643</v>
      </c>
    </row>
    <row r="80" spans="2:6" x14ac:dyDescent="0.4">
      <c r="B80" s="66" t="s">
        <v>213</v>
      </c>
      <c r="C80" s="67" t="s">
        <v>213</v>
      </c>
      <c r="D80" s="68">
        <v>1189.9999999999998</v>
      </c>
      <c r="E80" s="69">
        <f t="shared" si="0"/>
        <v>11.669935556178197</v>
      </c>
      <c r="F80" s="70">
        <f t="shared" si="1"/>
        <v>74.287475483328677</v>
      </c>
    </row>
    <row r="81" spans="2:6" x14ac:dyDescent="0.4">
      <c r="B81" s="66" t="s">
        <v>214</v>
      </c>
      <c r="C81" s="67" t="s">
        <v>214</v>
      </c>
      <c r="D81" s="68">
        <v>1030</v>
      </c>
      <c r="E81" s="69">
        <f t="shared" si="0"/>
        <v>10.100868590641635</v>
      </c>
      <c r="F81" s="70">
        <f t="shared" si="1"/>
        <v>64.299243485570216</v>
      </c>
    </row>
    <row r="82" spans="2:6" x14ac:dyDescent="0.4">
      <c r="B82" s="66" t="s">
        <v>215</v>
      </c>
      <c r="C82" s="67" t="s">
        <v>215</v>
      </c>
      <c r="D82" s="68">
        <v>1230</v>
      </c>
      <c r="E82" s="69">
        <f t="shared" si="0"/>
        <v>12.062202297562342</v>
      </c>
      <c r="F82" s="70">
        <f t="shared" si="1"/>
        <v>76.78453348276831</v>
      </c>
    </row>
    <row r="83" spans="2:6" x14ac:dyDescent="0.4">
      <c r="B83" s="66" t="s">
        <v>216</v>
      </c>
      <c r="C83" s="67" t="s">
        <v>216</v>
      </c>
      <c r="D83" s="68">
        <v>1050.0000000000002</v>
      </c>
      <c r="E83" s="69">
        <f t="shared" si="0"/>
        <v>10.297001961333708</v>
      </c>
      <c r="F83" s="70">
        <f t="shared" si="1"/>
        <v>65.547772485290039</v>
      </c>
    </row>
    <row r="84" spans="2:6" x14ac:dyDescent="0.4">
      <c r="B84" s="66" t="s">
        <v>225</v>
      </c>
      <c r="C84" s="67" t="s">
        <v>217</v>
      </c>
      <c r="D84" s="68">
        <v>900</v>
      </c>
      <c r="E84" s="69">
        <f t="shared" si="0"/>
        <v>8.8260016811431754</v>
      </c>
      <c r="F84" s="70">
        <f t="shared" si="1"/>
        <v>56.183804987391447</v>
      </c>
    </row>
    <row r="85" spans="2:6" x14ac:dyDescent="0.4">
      <c r="B85" s="66" t="s">
        <v>218</v>
      </c>
      <c r="C85" s="67" t="s">
        <v>218</v>
      </c>
      <c r="D85" s="68">
        <v>1400</v>
      </c>
      <c r="E85" s="69">
        <f t="shared" si="0"/>
        <v>13.729335948444941</v>
      </c>
      <c r="F85" s="70">
        <f t="shared" si="1"/>
        <v>87.397029980386705</v>
      </c>
    </row>
    <row r="86" spans="2:6" x14ac:dyDescent="0.4">
      <c r="B86" s="66" t="s">
        <v>219</v>
      </c>
      <c r="C86" s="67" t="s">
        <v>219</v>
      </c>
      <c r="D86" s="68">
        <v>1179.9999999999998</v>
      </c>
      <c r="E86" s="69">
        <f t="shared" si="0"/>
        <v>11.571868870832162</v>
      </c>
      <c r="F86" s="70">
        <f t="shared" si="1"/>
        <v>73.663210983468772</v>
      </c>
    </row>
    <row r="87" spans="2:6" x14ac:dyDescent="0.4">
      <c r="B87" s="66" t="s">
        <v>226</v>
      </c>
      <c r="C87" s="67" t="s">
        <v>220</v>
      </c>
      <c r="D87" s="68">
        <v>2160</v>
      </c>
      <c r="E87" s="69">
        <f t="shared" si="0"/>
        <v>21.182404034743623</v>
      </c>
      <c r="F87" s="70">
        <f t="shared" si="1"/>
        <v>134.84113196973948</v>
      </c>
    </row>
    <row r="88" spans="2:6" x14ac:dyDescent="0.4">
      <c r="B88" s="63" t="s">
        <v>80</v>
      </c>
      <c r="C88" s="71" t="s">
        <v>80</v>
      </c>
      <c r="D88" s="72">
        <v>1</v>
      </c>
      <c r="E88" s="64">
        <v>1</v>
      </c>
      <c r="F88" s="65">
        <v>1</v>
      </c>
    </row>
    <row r="89" spans="2:6" x14ac:dyDescent="0.4">
      <c r="C89" s="1" t="s">
        <v>221</v>
      </c>
    </row>
    <row r="90" spans="2:6" x14ac:dyDescent="0.4">
      <c r="B90" s="1" t="s">
        <v>205</v>
      </c>
      <c r="C90" s="1">
        <v>1.24</v>
      </c>
      <c r="D90" s="1">
        <f>(C90/1000)*(100*100*100)</f>
        <v>1240</v>
      </c>
    </row>
    <row r="91" spans="2:6" x14ac:dyDescent="0.4">
      <c r="B91" s="1" t="s">
        <v>206</v>
      </c>
      <c r="C91" s="1">
        <v>1.04</v>
      </c>
      <c r="D91" s="1">
        <f t="shared" ref="D91:D105" si="2">(C91/1000)*(100*100*100)</f>
        <v>1040.0000000000002</v>
      </c>
    </row>
    <row r="92" spans="2:6" x14ac:dyDescent="0.4">
      <c r="B92" s="1" t="s">
        <v>207</v>
      </c>
      <c r="C92" s="1">
        <v>1.27</v>
      </c>
      <c r="D92" s="1">
        <f t="shared" si="2"/>
        <v>1270</v>
      </c>
    </row>
    <row r="93" spans="2:6" x14ac:dyDescent="0.4">
      <c r="B93" s="1" t="s">
        <v>208</v>
      </c>
      <c r="C93" s="1">
        <v>1.52</v>
      </c>
      <c r="D93" s="1">
        <f t="shared" si="2"/>
        <v>1520</v>
      </c>
    </row>
    <row r="94" spans="2:6" x14ac:dyDescent="0.4">
      <c r="B94" s="1" t="s">
        <v>209</v>
      </c>
      <c r="C94" s="1">
        <v>1.21</v>
      </c>
      <c r="D94" s="1">
        <f t="shared" si="2"/>
        <v>1210</v>
      </c>
    </row>
    <row r="95" spans="2:6" x14ac:dyDescent="0.4">
      <c r="B95" s="1" t="s">
        <v>210</v>
      </c>
      <c r="C95" s="1">
        <v>1.3</v>
      </c>
      <c r="D95" s="1">
        <f t="shared" si="2"/>
        <v>1300</v>
      </c>
    </row>
    <row r="96" spans="2:6" x14ac:dyDescent="0.4">
      <c r="B96" s="1" t="s">
        <v>211</v>
      </c>
      <c r="C96" s="1">
        <v>1.28</v>
      </c>
      <c r="D96" s="1">
        <f t="shared" si="2"/>
        <v>1280</v>
      </c>
    </row>
    <row r="97" spans="2:4" x14ac:dyDescent="0.4">
      <c r="B97" s="1" t="s">
        <v>212</v>
      </c>
      <c r="C97" s="1">
        <v>1.3</v>
      </c>
      <c r="D97" s="1">
        <f t="shared" si="2"/>
        <v>1300</v>
      </c>
    </row>
    <row r="98" spans="2:4" x14ac:dyDescent="0.4">
      <c r="B98" s="1" t="s">
        <v>213</v>
      </c>
      <c r="C98" s="1">
        <v>1.19</v>
      </c>
      <c r="D98" s="1">
        <f t="shared" si="2"/>
        <v>1189.9999999999998</v>
      </c>
    </row>
    <row r="99" spans="2:4" x14ac:dyDescent="0.4">
      <c r="B99" s="1" t="s">
        <v>214</v>
      </c>
      <c r="C99" s="1">
        <v>1.03</v>
      </c>
      <c r="D99" s="1">
        <f t="shared" si="2"/>
        <v>1030</v>
      </c>
    </row>
    <row r="100" spans="2:4" x14ac:dyDescent="0.4">
      <c r="B100" s="1" t="s">
        <v>215</v>
      </c>
      <c r="C100" s="1">
        <v>1.23</v>
      </c>
      <c r="D100" s="1">
        <f t="shared" si="2"/>
        <v>1230</v>
      </c>
    </row>
    <row r="101" spans="2:4" x14ac:dyDescent="0.4">
      <c r="B101" s="1" t="s">
        <v>216</v>
      </c>
      <c r="C101" s="1">
        <v>1.05</v>
      </c>
      <c r="D101" s="1">
        <f t="shared" si="2"/>
        <v>1050.0000000000002</v>
      </c>
    </row>
    <row r="102" spans="2:4" x14ac:dyDescent="0.4">
      <c r="B102" s="1" t="s">
        <v>217</v>
      </c>
      <c r="C102" s="1">
        <v>0.9</v>
      </c>
      <c r="D102" s="1">
        <f t="shared" si="2"/>
        <v>900</v>
      </c>
    </row>
    <row r="103" spans="2:4" x14ac:dyDescent="0.4">
      <c r="B103" s="1" t="s">
        <v>218</v>
      </c>
      <c r="C103" s="1">
        <v>1.4</v>
      </c>
      <c r="D103" s="1">
        <f t="shared" si="2"/>
        <v>1400</v>
      </c>
    </row>
    <row r="104" spans="2:4" x14ac:dyDescent="0.4">
      <c r="B104" s="1" t="s">
        <v>219</v>
      </c>
      <c r="C104" s="1">
        <v>1.18</v>
      </c>
      <c r="D104" s="1">
        <f t="shared" si="2"/>
        <v>1179.9999999999998</v>
      </c>
    </row>
    <row r="105" spans="2:4" x14ac:dyDescent="0.4">
      <c r="B105" s="1" t="s">
        <v>220</v>
      </c>
      <c r="C105" s="1">
        <v>2.16</v>
      </c>
      <c r="D105" s="1">
        <f t="shared" si="2"/>
        <v>2160</v>
      </c>
    </row>
  </sheetData>
  <sheetProtection algorithmName="SHA-512" hashValue="rvIEcmSORQ5RK+DRV2AYIMOwQDVgt1ec5UswwjRhFkqlG/jK2fJf5FlWCtx/M5XimV1Ov7C+zRNNNvGBfYL02w==" saltValue="NMomaasiV1CE/Bja71dLk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5"/>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0" t="s">
        <v>3</v>
      </c>
    </row>
    <row r="4" spans="2:2" x14ac:dyDescent="0.4">
      <c r="B4" s="50" t="s">
        <v>73</v>
      </c>
    </row>
    <row r="5" spans="2:2" x14ac:dyDescent="0.4">
      <c r="B5" s="51" t="s">
        <v>128</v>
      </c>
    </row>
  </sheetData>
  <sheetProtection algorithmName="SHA-512" hashValue="JqbrcKd5QZmERQ9Frkr3Jp2/UzjHJUd+ZjXRGgy7Xe2s4KZIUj5dzgihAGgbAUCSWcTxD/OtB+lc3yP55RIj0Q==" saltValue="gIDmib34eoSCtxQS4YcnTw==" spinCount="100000" sheet="1" objects="1" scenarios="1"/>
  <hyperlinks>
    <hyperlink ref="B3" r:id="rId1" xr:uid="{19D164C5-C649-4719-AABE-90BC2C8B6B0D}"/>
    <hyperlink ref="B4" r:id="rId2" xr:uid="{DCE20C30-E45D-473C-B994-ECCB647E58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2025-07-12T14:18:45Z</dcterms:modified>
</cp:coreProperties>
</file>