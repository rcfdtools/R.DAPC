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76C9C3FF-119B-485E-AF1B-C363790B5FA6}" xr6:coauthVersionLast="47" xr6:coauthVersionMax="47" xr10:uidLastSave="{00000000-0000-0000-0000-000000000000}"/>
  <bookViews>
    <workbookView xWindow="-83" yWindow="0" windowWidth="14566" windowHeight="15563" xr2:uid="{8AC4CCB8-1BBE-43FF-96F7-B4D3AD3D583F}"/>
  </bookViews>
  <sheets>
    <sheet name="Pitágoras" sheetId="1" r:id="rId1"/>
    <sheet name="Metadata" sheetId="2" r:id="rId2"/>
  </sheets>
  <definedNames>
    <definedName name="DeltaX">Pitágoras!$C$6</definedName>
    <definedName name="DeltaY">Pitágoras!$D$6</definedName>
    <definedName name="L">Pitágoras!$C$11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6" i="1" l="1"/>
  <c r="C6" i="1"/>
  <c r="C11" i="1" l="1"/>
  <c r="D7" i="1"/>
  <c r="C7" i="1"/>
  <c r="C12" i="1"/>
</calcChain>
</file>

<file path=xl/sharedStrings.xml><?xml version="1.0" encoding="utf-8"?>
<sst xmlns="http://schemas.openxmlformats.org/spreadsheetml/2006/main" count="22" uniqueCount="22">
  <si>
    <t>Nodo</t>
  </si>
  <si>
    <t>Start</t>
  </si>
  <si>
    <t>End</t>
  </si>
  <si>
    <t>Δ</t>
  </si>
  <si>
    <t xml:space="preserve"> =(DeltaX^2+DeltaY^2)^0.5</t>
  </si>
  <si>
    <t xml:space="preserve"> =ATAN(DeltaY/DeltaX)</t>
  </si>
  <si>
    <t>Longitud de una línea usando el Teorema de Pitágoras</t>
  </si>
  <si>
    <t>Metadata</t>
  </si>
  <si>
    <t>Pass: 1234</t>
  </si>
  <si>
    <t>Centroide</t>
  </si>
  <si>
    <t>Cálculo de longitud y dirección</t>
  </si>
  <si>
    <t>Parámetro</t>
  </si>
  <si>
    <t>Valor</t>
  </si>
  <si>
    <t>Formulación</t>
  </si>
  <si>
    <t>v.20260121</t>
  </si>
  <si>
    <t>Dirección 2D (rad)</t>
  </si>
  <si>
    <t>Dirección 2D (°)</t>
  </si>
  <si>
    <t>Longitud 2D (m)</t>
  </si>
  <si>
    <t>CX (m)</t>
  </si>
  <si>
    <t>CY (m)</t>
  </si>
  <si>
    <t xml:space="preserve"> =ATAN(DeltaY/DeltaX)*180/PI()</t>
  </si>
  <si>
    <t>Dirección asumiendo que el grado decimal cero se encuentra al este.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</si>
</sst>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8"/>
      <color theme="1"/>
      <name val="Segoe UI Light"/>
      <family val="2"/>
    </font>
    <font>
      <sz val="11"/>
      <color rgb="FF0070C0"/>
      <name val="Segoe UI Light"/>
      <family val="2"/>
    </font>
    <font>
      <sz val="11"/>
      <name val="Segoe UI Light"/>
      <family val="2"/>
    </font>
    <font>
      <sz val="8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/>
      <bottom style="thin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0" xfId="0" applyFont="1" applyAlignment="1">
      <alignment horizontal="right" vertical="top"/>
    </xf>
    <xf numFmtId="0" fontId="2" fillId="0" borderId="0" xfId="0" applyFont="1"/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7" xfId="0" applyFont="1" applyBorder="1"/>
    <xf numFmtId="0" fontId="1" fillId="0" borderId="19" xfId="0" applyFont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 applyProtection="1">
      <alignment horizontal="center"/>
      <protection locked="0"/>
    </xf>
    <xf numFmtId="164" fontId="3" fillId="0" borderId="8" xfId="0" applyNumberFormat="1" applyFont="1" applyBorder="1" applyAlignment="1" applyProtection="1">
      <alignment horizontal="center"/>
      <protection locked="0"/>
    </xf>
    <xf numFmtId="164" fontId="3" fillId="0" borderId="9" xfId="0" applyNumberFormat="1" applyFont="1" applyBorder="1" applyAlignment="1" applyProtection="1">
      <alignment horizontal="center"/>
      <protection locked="0"/>
    </xf>
    <xf numFmtId="164" fontId="4" fillId="0" borderId="11" xfId="0" applyNumberFormat="1" applyFont="1" applyBorder="1" applyAlignment="1" applyProtection="1">
      <alignment horizontal="center"/>
      <protection locked="0"/>
    </xf>
    <xf numFmtId="164" fontId="4" fillId="0" borderId="12" xfId="0" applyNumberFormat="1" applyFont="1" applyBorder="1" applyAlignment="1" applyProtection="1">
      <alignment horizontal="center"/>
      <protection locked="0"/>
    </xf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left"/>
    </xf>
    <xf numFmtId="164" fontId="1" fillId="0" borderId="20" xfId="0" applyNumberFormat="1" applyFont="1" applyBorder="1" applyAlignment="1">
      <alignment horizontal="left"/>
    </xf>
    <xf numFmtId="0" fontId="5" fillId="0" borderId="18" xfId="0" applyFont="1" applyBorder="1"/>
    <xf numFmtId="0" fontId="5" fillId="0" borderId="21" xfId="0" applyFont="1" applyBorder="1"/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701183</xdr:colOff>
      <xdr:row>0</xdr:row>
      <xdr:rowOff>151611</xdr:rowOff>
    </xdr:from>
    <xdr:to>
      <xdr:col>3</xdr:col>
      <xdr:colOff>1701636</xdr:colOff>
      <xdr:row>1</xdr:row>
      <xdr:rowOff>179979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248B0377-A30E-4236-B538-74A609084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78744" y="151611"/>
          <a:ext cx="1000453" cy="238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7F85-04EE-4C00-A616-3BCB8B5C933A}">
  <dimension ref="B1:D14"/>
  <sheetViews>
    <sheetView showGridLines="0" tabSelected="1" zoomScale="145" zoomScaleNormal="145" workbookViewId="0">
      <selection activeCell="C20" sqref="C20"/>
    </sheetView>
  </sheetViews>
  <sheetFormatPr defaultColWidth="10.6640625" defaultRowHeight="16.5" x14ac:dyDescent="0.6"/>
  <cols>
    <col min="1" max="1" width="2.53125" style="1" customWidth="1"/>
    <col min="2" max="2" width="16.53125" style="1" customWidth="1"/>
    <col min="3" max="4" width="24" style="1" customWidth="1"/>
    <col min="5" max="16384" width="10.6640625" style="1"/>
  </cols>
  <sheetData>
    <row r="1" spans="2:4" x14ac:dyDescent="0.6">
      <c r="D1" s="7" t="s">
        <v>14</v>
      </c>
    </row>
    <row r="2" spans="2:4" x14ac:dyDescent="0.6">
      <c r="B2" s="28" t="s">
        <v>6</v>
      </c>
      <c r="D2" s="28"/>
    </row>
    <row r="3" spans="2:4" x14ac:dyDescent="0.6">
      <c r="B3" s="4" t="s">
        <v>0</v>
      </c>
      <c r="C3" s="5" t="s">
        <v>18</v>
      </c>
      <c r="D3" s="6" t="s">
        <v>19</v>
      </c>
    </row>
    <row r="4" spans="2:4" x14ac:dyDescent="0.6">
      <c r="B4" s="2" t="s">
        <v>1</v>
      </c>
      <c r="C4" s="16">
        <v>690.3</v>
      </c>
      <c r="D4" s="17">
        <v>741.15</v>
      </c>
    </row>
    <row r="5" spans="2:4" x14ac:dyDescent="0.6">
      <c r="B5" s="3" t="s">
        <v>2</v>
      </c>
      <c r="C5" s="18">
        <v>3377.07</v>
      </c>
      <c r="D5" s="19">
        <v>742.81</v>
      </c>
    </row>
    <row r="6" spans="2:4" x14ac:dyDescent="0.6">
      <c r="B6" s="9" t="s">
        <v>3</v>
      </c>
      <c r="C6" s="20">
        <f>C5-C4</f>
        <v>2686.7700000000004</v>
      </c>
      <c r="D6" s="21">
        <f>D5-D4</f>
        <v>1.6599999999999682</v>
      </c>
    </row>
    <row r="7" spans="2:4" x14ac:dyDescent="0.6">
      <c r="B7" s="3" t="s">
        <v>9</v>
      </c>
      <c r="C7" s="22">
        <f>(DeltaX/2)+C4</f>
        <v>2033.6850000000002</v>
      </c>
      <c r="D7" s="23">
        <f>(DeltaY/2)+D4</f>
        <v>741.98</v>
      </c>
    </row>
    <row r="9" spans="2:4" x14ac:dyDescent="0.6">
      <c r="B9" s="1" t="s">
        <v>10</v>
      </c>
    </row>
    <row r="10" spans="2:4" x14ac:dyDescent="0.6">
      <c r="B10" s="13" t="s">
        <v>11</v>
      </c>
      <c r="C10" s="14" t="s">
        <v>12</v>
      </c>
      <c r="D10" s="15" t="s">
        <v>13</v>
      </c>
    </row>
    <row r="11" spans="2:4" x14ac:dyDescent="0.6">
      <c r="B11" s="11" t="s">
        <v>17</v>
      </c>
      <c r="C11" s="24">
        <f>(DeltaX^2+DeltaY^2)^0.5</f>
        <v>2686.7705128090124</v>
      </c>
      <c r="D11" s="26" t="s">
        <v>4</v>
      </c>
    </row>
    <row r="12" spans="2:4" x14ac:dyDescent="0.6">
      <c r="B12" s="11" t="s">
        <v>15</v>
      </c>
      <c r="C12" s="10">
        <f>ATAN(DeltaY/DeltaX)</f>
        <v>6.1784216318353131E-4</v>
      </c>
      <c r="D12" s="26" t="s">
        <v>5</v>
      </c>
    </row>
    <row r="13" spans="2:4" x14ac:dyDescent="0.6">
      <c r="B13" s="12" t="s">
        <v>16</v>
      </c>
      <c r="C13" s="25">
        <f>ATAN(DeltaY/DeltaX)*180/PI()</f>
        <v>3.5399748355649435E-2</v>
      </c>
      <c r="D13" s="27" t="s">
        <v>20</v>
      </c>
    </row>
    <row r="14" spans="2:4" x14ac:dyDescent="0.6">
      <c r="B14" s="29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2750-9980-4849-99D0-0606AB6E4FDC}">
  <dimension ref="B2:B3"/>
  <sheetViews>
    <sheetView showGridLines="0" workbookViewId="0">
      <selection activeCell="B6" sqref="B6"/>
    </sheetView>
  </sheetViews>
  <sheetFormatPr defaultColWidth="8.86328125" defaultRowHeight="16.5" x14ac:dyDescent="0.6"/>
  <cols>
    <col min="1" max="1" width="2.796875" style="1" customWidth="1"/>
    <col min="2" max="2" width="59.796875" style="1" customWidth="1"/>
    <col min="3" max="16384" width="8.86328125" style="1"/>
  </cols>
  <sheetData>
    <row r="2" spans="2:2" x14ac:dyDescent="0.6">
      <c r="B2" s="1" t="s">
        <v>7</v>
      </c>
    </row>
    <row r="3" spans="2:2" x14ac:dyDescent="0.6">
      <c r="B3" s="8" t="s">
        <v>8</v>
      </c>
    </row>
  </sheetData>
  <sheetProtection algorithmName="SHA-512" hashValue="mNsL/W4JiyEetiO9NHx+FYOlw7+LhSeBb33iVL6ZDxfIRKTDkMOmyr/YBaNQwKuSGnXQqy0KFW3m94YoreY7rg==" saltValue="mhr+X6M+gV8xQU60DpuYU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Pitágoras</vt:lpstr>
      <vt:lpstr>Metadata</vt:lpstr>
      <vt:lpstr>DeltaX</vt:lpstr>
      <vt:lpstr>DeltaY</vt:lpstr>
      <vt:lpstr>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2025-06-22T18:57:55Z</dcterms:created>
  <dcterms:modified xsi:type="dcterms:W3CDTF">2026-01-24T14:24:20Z</dcterms:modified>
</cp:coreProperties>
</file>