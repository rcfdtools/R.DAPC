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10"/>
  <workbookPr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9E81D821-DDF1-4B93-A310-322AAE965CA4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BIM" sheetId="8" r:id="rId1"/>
    <sheet name="Metadata" sheetId="3" r:id="rId2"/>
  </sheets>
  <definedNames>
    <definedName name="_xlnm._FilterDatabase" localSheetId="0" hidden="1">BIM!$E$5:$F$35</definedName>
    <definedName name="SumUDig">#REF!</definedName>
    <definedName name="UDig">BIM!$C$5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8" l="1"/>
  <c r="C20" i="8" l="1"/>
  <c r="C22" i="8" s="1"/>
  <c r="C9" i="8"/>
  <c r="C21" i="8" s="1"/>
  <c r="C23" i="8" s="1"/>
</calcChain>
</file>

<file path=xl/sharedStrings.xml><?xml version="1.0" encoding="utf-8"?>
<sst xmlns="http://schemas.openxmlformats.org/spreadsheetml/2006/main" count="26" uniqueCount="24">
  <si>
    <t>Metadata</t>
  </si>
  <si>
    <t>https://github.com/rcfdtools/R.DAPC</t>
  </si>
  <si>
    <t>Pass: 1234</t>
  </si>
  <si>
    <t>UECIJG / Dibujo asistido por computador - DAPC / Proyecto BIM</t>
  </si>
  <si>
    <t>Ancho (m)</t>
  </si>
  <si>
    <t>Largo (m)</t>
  </si>
  <si>
    <t>A. Lote o predio</t>
  </si>
  <si>
    <t>Aislamiento posterior (m)</t>
  </si>
  <si>
    <t>Aislamiento frontal (m)</t>
  </si>
  <si>
    <t>Parámetro</t>
  </si>
  <si>
    <t>Valor</t>
  </si>
  <si>
    <t>B. Estructura</t>
  </si>
  <si>
    <t>Columna ancho (m)</t>
  </si>
  <si>
    <t>Columna largo (m)</t>
  </si>
  <si>
    <t>Separación máxima (m)</t>
  </si>
  <si>
    <t># de ejes horizontales (1, 2..)</t>
  </si>
  <si>
    <t># de ejes verticales (A,B…)</t>
  </si>
  <si>
    <t>Separación horizontal ejes (m)</t>
  </si>
  <si>
    <t>Separación vertical ejes (m)</t>
  </si>
  <si>
    <t>Viga ancho, b (m)</t>
  </si>
  <si>
    <t>Viga alto, h (m)</t>
  </si>
  <si>
    <r>
      <t xml:space="preserve">Ingrese su </t>
    </r>
    <r>
      <rPr>
        <b/>
        <sz val="11"/>
        <color theme="1"/>
        <rFont val="Segoe UI Light"/>
        <family val="2"/>
      </rPr>
      <t>SDig</t>
    </r>
  </si>
  <si>
    <t>Old witd student id: =IFERROR(FLOOR.MATH((RIGHT(C5,2)*1)^0.5),0)</t>
  </si>
  <si>
    <t>v.20260113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</si>
</sst>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sz val="8"/>
      <color theme="1"/>
      <name val="Segoe UI Light"/>
      <family val="2"/>
    </font>
    <font>
      <u/>
      <sz val="11"/>
      <color theme="10"/>
      <name val="Calibri"/>
      <family val="2"/>
      <scheme val="minor"/>
    </font>
    <font>
      <sz val="11"/>
      <color theme="10"/>
      <name val="Segoe UI Light"/>
      <family val="2"/>
    </font>
    <font>
      <b/>
      <sz val="11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top"/>
    </xf>
    <xf numFmtId="0" fontId="5" fillId="0" borderId="0" xfId="1" applyFont="1"/>
    <xf numFmtId="0" fontId="3" fillId="0" borderId="0" xfId="0" applyFont="1"/>
    <xf numFmtId="0" fontId="3" fillId="0" borderId="0" xfId="0" applyFont="1" applyAlignment="1">
      <alignment horizontal="right" vertical="top"/>
    </xf>
    <xf numFmtId="0" fontId="1" fillId="2" borderId="1" xfId="0" applyFont="1" applyFill="1" applyBorder="1"/>
    <xf numFmtId="0" fontId="1" fillId="2" borderId="2" xfId="0" applyFont="1" applyFill="1" applyBorder="1"/>
    <xf numFmtId="0" fontId="1" fillId="0" borderId="3" xfId="0" applyFont="1" applyBorder="1"/>
    <xf numFmtId="0" fontId="1" fillId="0" borderId="4" xfId="0" applyFont="1" applyBorder="1" applyAlignment="1">
      <alignment horizontal="center"/>
    </xf>
    <xf numFmtId="0" fontId="1" fillId="0" borderId="5" xfId="0" applyFont="1" applyBorder="1"/>
    <xf numFmtId="0" fontId="1" fillId="0" borderId="6" xfId="0" applyFont="1" applyBorder="1"/>
    <xf numFmtId="0" fontId="2" fillId="0" borderId="0" xfId="0" applyFont="1" applyAlignment="1">
      <alignment horizontal="center"/>
    </xf>
    <xf numFmtId="0" fontId="1" fillId="0" borderId="0" xfId="0" applyFont="1" applyAlignment="1">
      <alignment vertical="top"/>
    </xf>
    <xf numFmtId="0" fontId="1" fillId="0" borderId="6" xfId="0" applyFont="1" applyBorder="1" applyAlignment="1">
      <alignment horizontal="center"/>
    </xf>
    <xf numFmtId="0" fontId="1" fillId="0" borderId="0" xfId="0" applyFont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rcfdtools/R.DA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133A3-5F4C-48CF-BF69-9587FC94B6EF}">
  <dimension ref="B1:E26"/>
  <sheetViews>
    <sheetView showGridLines="0" tabSelected="1" zoomScale="145" zoomScaleNormal="145" workbookViewId="0">
      <selection activeCell="C6" sqref="C6"/>
    </sheetView>
  </sheetViews>
  <sheetFormatPr defaultRowHeight="16.5" x14ac:dyDescent="0.6"/>
  <cols>
    <col min="1" max="1" width="2.59765625" style="1" customWidth="1"/>
    <col min="2" max="2" width="29.1328125" style="1" customWidth="1"/>
    <col min="3" max="3" width="13.59765625" style="1" customWidth="1"/>
    <col min="4" max="4" width="9.06640625" style="1"/>
    <col min="5" max="5" width="15" style="1" customWidth="1"/>
    <col min="6" max="16384" width="9.06640625" style="1"/>
  </cols>
  <sheetData>
    <row r="1" spans="2:5" x14ac:dyDescent="0.6">
      <c r="B1" s="2"/>
      <c r="C1" s="5" t="s">
        <v>23</v>
      </c>
      <c r="D1" s="2"/>
    </row>
    <row r="2" spans="2:5" x14ac:dyDescent="0.6">
      <c r="B2" s="15" t="s">
        <v>3</v>
      </c>
      <c r="C2" s="15"/>
      <c r="D2" s="13"/>
      <c r="E2" s="13"/>
    </row>
    <row r="3" spans="2:5" x14ac:dyDescent="0.6">
      <c r="B3" s="15"/>
      <c r="C3" s="15"/>
    </row>
    <row r="5" spans="2:5" x14ac:dyDescent="0.6">
      <c r="B5" s="1" t="s">
        <v>21</v>
      </c>
      <c r="C5" s="12">
        <v>1</v>
      </c>
    </row>
    <row r="7" spans="2:5" x14ac:dyDescent="0.6">
      <c r="B7" s="1" t="s">
        <v>6</v>
      </c>
    </row>
    <row r="8" spans="2:5" x14ac:dyDescent="0.6">
      <c r="B8" s="6" t="s">
        <v>9</v>
      </c>
      <c r="C8" s="7" t="s">
        <v>10</v>
      </c>
    </row>
    <row r="9" spans="2:5" x14ac:dyDescent="0.6">
      <c r="B9" s="8" t="s">
        <v>4</v>
      </c>
      <c r="C9" s="9">
        <f>7+UDig</f>
        <v>8</v>
      </c>
    </row>
    <row r="10" spans="2:5" x14ac:dyDescent="0.6">
      <c r="B10" s="8" t="s">
        <v>5</v>
      </c>
      <c r="C10" s="9">
        <f>12+UDig</f>
        <v>13</v>
      </c>
    </row>
    <row r="11" spans="2:5" x14ac:dyDescent="0.6">
      <c r="B11" s="8" t="s">
        <v>8</v>
      </c>
      <c r="C11" s="9">
        <v>1</v>
      </c>
    </row>
    <row r="12" spans="2:5" x14ac:dyDescent="0.6">
      <c r="B12" s="8" t="s">
        <v>7</v>
      </c>
      <c r="C12" s="9">
        <v>2</v>
      </c>
    </row>
    <row r="13" spans="2:5" x14ac:dyDescent="0.6">
      <c r="B13" s="10"/>
      <c r="C13" s="11"/>
    </row>
    <row r="15" spans="2:5" x14ac:dyDescent="0.6">
      <c r="B15" s="1" t="s">
        <v>11</v>
      </c>
    </row>
    <row r="16" spans="2:5" x14ac:dyDescent="0.6">
      <c r="B16" s="6" t="s">
        <v>9</v>
      </c>
      <c r="C16" s="7" t="s">
        <v>10</v>
      </c>
    </row>
    <row r="17" spans="2:3" x14ac:dyDescent="0.6">
      <c r="B17" s="8" t="s">
        <v>12</v>
      </c>
      <c r="C17" s="9">
        <v>0.3</v>
      </c>
    </row>
    <row r="18" spans="2:3" x14ac:dyDescent="0.6">
      <c r="B18" s="8" t="s">
        <v>13</v>
      </c>
      <c r="C18" s="9">
        <v>0.3</v>
      </c>
    </row>
    <row r="19" spans="2:3" x14ac:dyDescent="0.6">
      <c r="B19" s="8" t="s">
        <v>14</v>
      </c>
      <c r="C19" s="9">
        <v>3.5</v>
      </c>
    </row>
    <row r="20" spans="2:3" x14ac:dyDescent="0.6">
      <c r="B20" s="8" t="s">
        <v>15</v>
      </c>
      <c r="C20" s="9">
        <f>ROUNDUP((C10-C11-C12-C17/2-C17/2)/C19,0)</f>
        <v>3</v>
      </c>
    </row>
    <row r="21" spans="2:3" x14ac:dyDescent="0.6">
      <c r="B21" s="8" t="s">
        <v>16</v>
      </c>
      <c r="C21" s="9">
        <f>ROUNDUP((C9-C18/2-C18/2)/C19,0)</f>
        <v>3</v>
      </c>
    </row>
    <row r="22" spans="2:3" x14ac:dyDescent="0.6">
      <c r="B22" s="8" t="s">
        <v>17</v>
      </c>
      <c r="C22" s="9">
        <f>(C10-C11-C12-C17/2-C17/2)/C20</f>
        <v>3.2333333333333329</v>
      </c>
    </row>
    <row r="23" spans="2:3" x14ac:dyDescent="0.6">
      <c r="B23" s="8" t="s">
        <v>18</v>
      </c>
      <c r="C23" s="9">
        <f>(C9-C18/2-C18/2)/C21</f>
        <v>2.5666666666666664</v>
      </c>
    </row>
    <row r="24" spans="2:3" x14ac:dyDescent="0.6">
      <c r="B24" s="8" t="s">
        <v>19</v>
      </c>
      <c r="C24" s="9">
        <v>0.3</v>
      </c>
    </row>
    <row r="25" spans="2:3" x14ac:dyDescent="0.6">
      <c r="B25" s="8" t="s">
        <v>20</v>
      </c>
      <c r="C25" s="9">
        <v>0.4</v>
      </c>
    </row>
    <row r="26" spans="2:3" x14ac:dyDescent="0.6">
      <c r="B26" s="10"/>
      <c r="C26" s="14"/>
    </row>
  </sheetData>
  <mergeCells count="1">
    <mergeCell ref="B2:C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4CBC5-BEDD-4E97-A57A-4EDFE72E7B14}">
  <dimension ref="B1:B5"/>
  <sheetViews>
    <sheetView showGridLines="0" zoomScale="130" zoomScaleNormal="130" workbookViewId="0">
      <pane ySplit="2" topLeftCell="A3" activePane="bottomLeft" state="frozen"/>
      <selection pane="bottomLeft" activeCell="B6" sqref="B6"/>
    </sheetView>
  </sheetViews>
  <sheetFormatPr defaultColWidth="9.1328125" defaultRowHeight="16.5" x14ac:dyDescent="0.6"/>
  <cols>
    <col min="1" max="1" width="2.53125" style="1" customWidth="1"/>
    <col min="2" max="2" width="100.796875" style="1" customWidth="1"/>
    <col min="3" max="16384" width="9.1328125" style="1"/>
  </cols>
  <sheetData>
    <row r="1" spans="2:2" x14ac:dyDescent="0.6">
      <c r="B1" s="5"/>
    </row>
    <row r="2" spans="2:2" x14ac:dyDescent="0.6">
      <c r="B2" s="1" t="s">
        <v>0</v>
      </c>
    </row>
    <row r="3" spans="2:2" x14ac:dyDescent="0.6">
      <c r="B3" s="3" t="s">
        <v>1</v>
      </c>
    </row>
    <row r="4" spans="2:2" x14ac:dyDescent="0.6">
      <c r="B4" s="4" t="s">
        <v>2</v>
      </c>
    </row>
    <row r="5" spans="2:2" x14ac:dyDescent="0.6">
      <c r="B5" s="4" t="s">
        <v>22</v>
      </c>
    </row>
  </sheetData>
  <hyperlinks>
    <hyperlink ref="B3" r:id="rId1" xr:uid="{FA9D10BB-9570-4A07-A858-45222C95A84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BIM</vt:lpstr>
      <vt:lpstr>Metadata</vt:lpstr>
      <vt:lpstr>UDig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</dc:creator>
  <cp:lastModifiedBy>WILLIAM RICARDO AGUILAR PIÑA</cp:lastModifiedBy>
  <dcterms:created xsi:type="dcterms:W3CDTF">2015-06-05T18:17:20Z</dcterms:created>
  <dcterms:modified xsi:type="dcterms:W3CDTF">2026-01-13T14:16:11Z</dcterms:modified>
</cp:coreProperties>
</file>