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.DAPC\file\table\"/>
    </mc:Choice>
  </mc:AlternateContent>
  <xr:revisionPtr revIDLastSave="0" documentId="13_ncr:1_{75A0878D-0F3C-4A75-998D-68184B9C175C}" xr6:coauthVersionLast="47" xr6:coauthVersionMax="47" xr10:uidLastSave="{00000000-0000-0000-0000-000000000000}"/>
  <bookViews>
    <workbookView xWindow="-98" yWindow="-98" windowWidth="28996" windowHeight="15675" tabRatio="819" xr2:uid="{42944890-2C1C-4F24-9ED8-2D12D6DBCB66}"/>
  </bookViews>
  <sheets>
    <sheet name="Level1" sheetId="1" r:id="rId1"/>
    <sheet name="Level2" sheetId="2" r:id="rId2"/>
    <sheet name="Group" sheetId="3" r:id="rId3"/>
    <sheet name="Status" sheetId="5" r:id="rId4"/>
    <sheet name="Layer" sheetId="6" r:id="rId5"/>
    <sheet name="Metadata" sheetId="4" r:id="rId6"/>
  </sheets>
  <definedNames>
    <definedName name="_xlnm._FilterDatabase" localSheetId="2" hidden="1">Group!$A$3:$C$3</definedName>
    <definedName name="_xlnm._FilterDatabase" localSheetId="4" hidden="1">Layer!$A$3:$M$865</definedName>
    <definedName name="_xlnm._FilterDatabase" localSheetId="0" hidden="1">Level1!$A$3:$C$3</definedName>
    <definedName name="_xlnm._FilterDatabase" localSheetId="1" hidden="1">Level2!$A$3:$C$3</definedName>
    <definedName name="_xlnm._FilterDatabase" localSheetId="3" hidden="1">Status!$A$3:$C$12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" i="6" l="1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S128" i="6"/>
  <c r="S129" i="6"/>
  <c r="S130" i="6"/>
  <c r="S131" i="6"/>
  <c r="S132" i="6"/>
  <c r="S133" i="6"/>
  <c r="S134" i="6"/>
  <c r="S135" i="6"/>
  <c r="S136" i="6"/>
  <c r="S137" i="6"/>
  <c r="S138" i="6"/>
  <c r="S139" i="6"/>
  <c r="S140" i="6"/>
  <c r="S141" i="6"/>
  <c r="S142" i="6"/>
  <c r="S143" i="6"/>
  <c r="S144" i="6"/>
  <c r="S145" i="6"/>
  <c r="S146" i="6"/>
  <c r="S147" i="6"/>
  <c r="S148" i="6"/>
  <c r="S149" i="6"/>
  <c r="S150" i="6"/>
  <c r="S151" i="6"/>
  <c r="S152" i="6"/>
  <c r="S153" i="6"/>
  <c r="S154" i="6"/>
  <c r="S155" i="6"/>
  <c r="S156" i="6"/>
  <c r="S157" i="6"/>
  <c r="S158" i="6"/>
  <c r="S159" i="6"/>
  <c r="S160" i="6"/>
  <c r="S161" i="6"/>
  <c r="S162" i="6"/>
  <c r="S163" i="6"/>
  <c r="S164" i="6"/>
  <c r="S165" i="6"/>
  <c r="S166" i="6"/>
  <c r="S167" i="6"/>
  <c r="S168" i="6"/>
  <c r="S169" i="6"/>
  <c r="S170" i="6"/>
  <c r="S171" i="6"/>
  <c r="S172" i="6"/>
  <c r="S173" i="6"/>
  <c r="S174" i="6"/>
  <c r="S175" i="6"/>
  <c r="S176" i="6"/>
  <c r="S177" i="6"/>
  <c r="S178" i="6"/>
  <c r="S179" i="6"/>
  <c r="S180" i="6"/>
  <c r="S181" i="6"/>
  <c r="S182" i="6"/>
  <c r="S183" i="6"/>
  <c r="S184" i="6"/>
  <c r="S185" i="6"/>
  <c r="S186" i="6"/>
  <c r="S187" i="6"/>
  <c r="S188" i="6"/>
  <c r="S189" i="6"/>
  <c r="S190" i="6"/>
  <c r="S191" i="6"/>
  <c r="S192" i="6"/>
  <c r="S193" i="6"/>
  <c r="S194" i="6"/>
  <c r="S195" i="6"/>
  <c r="S196" i="6"/>
  <c r="S197" i="6"/>
  <c r="S198" i="6"/>
  <c r="S199" i="6"/>
  <c r="S200" i="6"/>
  <c r="S201" i="6"/>
  <c r="S202" i="6"/>
  <c r="S203" i="6"/>
  <c r="S204" i="6"/>
  <c r="S205" i="6"/>
  <c r="S206" i="6"/>
  <c r="S207" i="6"/>
  <c r="S208" i="6"/>
  <c r="S209" i="6"/>
  <c r="S210" i="6"/>
  <c r="S211" i="6"/>
  <c r="S212" i="6"/>
  <c r="S213" i="6"/>
  <c r="S214" i="6"/>
  <c r="S215" i="6"/>
  <c r="S216" i="6"/>
  <c r="S217" i="6"/>
  <c r="S218" i="6"/>
  <c r="S219" i="6"/>
  <c r="S220" i="6"/>
  <c r="S221" i="6"/>
  <c r="S222" i="6"/>
  <c r="S223" i="6"/>
  <c r="S224" i="6"/>
  <c r="S225" i="6"/>
  <c r="S226" i="6"/>
  <c r="S227" i="6"/>
  <c r="S228" i="6"/>
  <c r="S229" i="6"/>
  <c r="S230" i="6"/>
  <c r="S231" i="6"/>
  <c r="S232" i="6"/>
  <c r="S233" i="6"/>
  <c r="S234" i="6"/>
  <c r="S235" i="6"/>
  <c r="S236" i="6"/>
  <c r="S237" i="6"/>
  <c r="S238" i="6"/>
  <c r="S239" i="6"/>
  <c r="S240" i="6"/>
  <c r="S241" i="6"/>
  <c r="S242" i="6"/>
  <c r="S243" i="6"/>
  <c r="S244" i="6"/>
  <c r="S245" i="6"/>
  <c r="S246" i="6"/>
  <c r="S247" i="6"/>
  <c r="S248" i="6"/>
  <c r="S249" i="6"/>
  <c r="S250" i="6"/>
  <c r="S251" i="6"/>
  <c r="S252" i="6"/>
  <c r="S253" i="6"/>
  <c r="S254" i="6"/>
  <c r="S255" i="6"/>
  <c r="S256" i="6"/>
  <c r="S257" i="6"/>
  <c r="S258" i="6"/>
  <c r="S259" i="6"/>
  <c r="S260" i="6"/>
  <c r="S261" i="6"/>
  <c r="S262" i="6"/>
  <c r="S263" i="6"/>
  <c r="S264" i="6"/>
  <c r="S265" i="6"/>
  <c r="S266" i="6"/>
  <c r="S267" i="6"/>
  <c r="S268" i="6"/>
  <c r="S269" i="6"/>
  <c r="S270" i="6"/>
  <c r="S271" i="6"/>
  <c r="S272" i="6"/>
  <c r="S273" i="6"/>
  <c r="S274" i="6"/>
  <c r="S275" i="6"/>
  <c r="S276" i="6"/>
  <c r="S277" i="6"/>
  <c r="S278" i="6"/>
  <c r="S279" i="6"/>
  <c r="S280" i="6"/>
  <c r="S281" i="6"/>
  <c r="S282" i="6"/>
  <c r="S283" i="6"/>
  <c r="S284" i="6"/>
  <c r="S285" i="6"/>
  <c r="S286" i="6"/>
  <c r="S287" i="6"/>
  <c r="S288" i="6"/>
  <c r="S289" i="6"/>
  <c r="S290" i="6"/>
  <c r="S291" i="6"/>
  <c r="S292" i="6"/>
  <c r="S293" i="6"/>
  <c r="S294" i="6"/>
  <c r="S295" i="6"/>
  <c r="S296" i="6"/>
  <c r="S297" i="6"/>
  <c r="S298" i="6"/>
  <c r="S299" i="6"/>
  <c r="S300" i="6"/>
  <c r="S301" i="6"/>
  <c r="S302" i="6"/>
  <c r="S303" i="6"/>
  <c r="S304" i="6"/>
  <c r="S305" i="6"/>
  <c r="S306" i="6"/>
  <c r="S307" i="6"/>
  <c r="S308" i="6"/>
  <c r="S309" i="6"/>
  <c r="S310" i="6"/>
  <c r="S311" i="6"/>
  <c r="S312" i="6"/>
  <c r="S313" i="6"/>
  <c r="S314" i="6"/>
  <c r="S315" i="6"/>
  <c r="S316" i="6"/>
  <c r="S317" i="6"/>
  <c r="S318" i="6"/>
  <c r="S319" i="6"/>
  <c r="S320" i="6"/>
  <c r="S321" i="6"/>
  <c r="S322" i="6"/>
  <c r="S323" i="6"/>
  <c r="S324" i="6"/>
  <c r="S325" i="6"/>
  <c r="S326" i="6"/>
  <c r="S327" i="6"/>
  <c r="S328" i="6"/>
  <c r="S329" i="6"/>
  <c r="S330" i="6"/>
  <c r="S331" i="6"/>
  <c r="S332" i="6"/>
  <c r="S333" i="6"/>
  <c r="S334" i="6"/>
  <c r="S335" i="6"/>
  <c r="S336" i="6"/>
  <c r="S337" i="6"/>
  <c r="S338" i="6"/>
  <c r="S339" i="6"/>
  <c r="S340" i="6"/>
  <c r="S341" i="6"/>
  <c r="S342" i="6"/>
  <c r="S343" i="6"/>
  <c r="S344" i="6"/>
  <c r="S345" i="6"/>
  <c r="S346" i="6"/>
  <c r="S347" i="6"/>
  <c r="S348" i="6"/>
  <c r="S349" i="6"/>
  <c r="S350" i="6"/>
  <c r="S351" i="6"/>
  <c r="S352" i="6"/>
  <c r="S353" i="6"/>
  <c r="S354" i="6"/>
  <c r="S355" i="6"/>
  <c r="S356" i="6"/>
  <c r="S357" i="6"/>
  <c r="S358" i="6"/>
  <c r="S359" i="6"/>
  <c r="S360" i="6"/>
  <c r="S361" i="6"/>
  <c r="S362" i="6"/>
  <c r="S363" i="6"/>
  <c r="S364" i="6"/>
  <c r="S365" i="6"/>
  <c r="S366" i="6"/>
  <c r="S367" i="6"/>
  <c r="S368" i="6"/>
  <c r="S369" i="6"/>
  <c r="S370" i="6"/>
  <c r="S371" i="6"/>
  <c r="S372" i="6"/>
  <c r="S373" i="6"/>
  <c r="S374" i="6"/>
  <c r="S375" i="6"/>
  <c r="S376" i="6"/>
  <c r="S377" i="6"/>
  <c r="S378" i="6"/>
  <c r="S379" i="6"/>
  <c r="S380" i="6"/>
  <c r="S381" i="6"/>
  <c r="S382" i="6"/>
  <c r="S383" i="6"/>
  <c r="S384" i="6"/>
  <c r="S385" i="6"/>
  <c r="S386" i="6"/>
  <c r="S387" i="6"/>
  <c r="S388" i="6"/>
  <c r="S389" i="6"/>
  <c r="S390" i="6"/>
  <c r="S391" i="6"/>
  <c r="S392" i="6"/>
  <c r="S393" i="6"/>
  <c r="S394" i="6"/>
  <c r="S395" i="6"/>
  <c r="S396" i="6"/>
  <c r="S397" i="6"/>
  <c r="S398" i="6"/>
  <c r="S399" i="6"/>
  <c r="S400" i="6"/>
  <c r="S401" i="6"/>
  <c r="S402" i="6"/>
  <c r="S403" i="6"/>
  <c r="S404" i="6"/>
  <c r="S405" i="6"/>
  <c r="S406" i="6"/>
  <c r="S407" i="6"/>
  <c r="S408" i="6"/>
  <c r="S409" i="6"/>
  <c r="S410" i="6"/>
  <c r="S411" i="6"/>
  <c r="S412" i="6"/>
  <c r="S413" i="6"/>
  <c r="S414" i="6"/>
  <c r="S415" i="6"/>
  <c r="S416" i="6"/>
  <c r="S417" i="6"/>
  <c r="S418" i="6"/>
  <c r="S419" i="6"/>
  <c r="S420" i="6"/>
  <c r="S421" i="6"/>
  <c r="S422" i="6"/>
  <c r="S423" i="6"/>
  <c r="S424" i="6"/>
  <c r="S425" i="6"/>
  <c r="S426" i="6"/>
  <c r="S427" i="6"/>
  <c r="S428" i="6"/>
  <c r="S429" i="6"/>
  <c r="S430" i="6"/>
  <c r="S431" i="6"/>
  <c r="S432" i="6"/>
  <c r="S433" i="6"/>
  <c r="S434" i="6"/>
  <c r="S435" i="6"/>
  <c r="S436" i="6"/>
  <c r="S437" i="6"/>
  <c r="S438" i="6"/>
  <c r="S439" i="6"/>
  <c r="S440" i="6"/>
  <c r="S441" i="6"/>
  <c r="S442" i="6"/>
  <c r="S443" i="6"/>
  <c r="S444" i="6"/>
  <c r="S445" i="6"/>
  <c r="S446" i="6"/>
  <c r="S447" i="6"/>
  <c r="S448" i="6"/>
  <c r="S449" i="6"/>
  <c r="S450" i="6"/>
  <c r="S451" i="6"/>
  <c r="S452" i="6"/>
  <c r="S453" i="6"/>
  <c r="S454" i="6"/>
  <c r="S455" i="6"/>
  <c r="S456" i="6"/>
  <c r="S457" i="6"/>
  <c r="S458" i="6"/>
  <c r="S459" i="6"/>
  <c r="S460" i="6"/>
  <c r="S461" i="6"/>
  <c r="S462" i="6"/>
  <c r="S463" i="6"/>
  <c r="S464" i="6"/>
  <c r="S465" i="6"/>
  <c r="S466" i="6"/>
  <c r="S467" i="6"/>
  <c r="S468" i="6"/>
  <c r="S469" i="6"/>
  <c r="S470" i="6"/>
  <c r="S471" i="6"/>
  <c r="S472" i="6"/>
  <c r="S473" i="6"/>
  <c r="S474" i="6"/>
  <c r="S475" i="6"/>
  <c r="S476" i="6"/>
  <c r="S477" i="6"/>
  <c r="S478" i="6"/>
  <c r="S479" i="6"/>
  <c r="S480" i="6"/>
  <c r="S481" i="6"/>
  <c r="S482" i="6"/>
  <c r="S483" i="6"/>
  <c r="S484" i="6"/>
  <c r="S485" i="6"/>
  <c r="S486" i="6"/>
  <c r="S487" i="6"/>
  <c r="S488" i="6"/>
  <c r="S489" i="6"/>
  <c r="S490" i="6"/>
  <c r="S491" i="6"/>
  <c r="S492" i="6"/>
  <c r="S493" i="6"/>
  <c r="S494" i="6"/>
  <c r="S495" i="6"/>
  <c r="S496" i="6"/>
  <c r="S497" i="6"/>
  <c r="S498" i="6"/>
  <c r="S499" i="6"/>
  <c r="S500" i="6"/>
  <c r="S501" i="6"/>
  <c r="S502" i="6"/>
  <c r="S503" i="6"/>
  <c r="S504" i="6"/>
  <c r="S505" i="6"/>
  <c r="S506" i="6"/>
  <c r="S507" i="6"/>
  <c r="S508" i="6"/>
  <c r="S509" i="6"/>
  <c r="S510" i="6"/>
  <c r="S511" i="6"/>
  <c r="S512" i="6"/>
  <c r="S513" i="6"/>
  <c r="S514" i="6"/>
  <c r="S515" i="6"/>
  <c r="S516" i="6"/>
  <c r="S517" i="6"/>
  <c r="S518" i="6"/>
  <c r="S519" i="6"/>
  <c r="S520" i="6"/>
  <c r="S521" i="6"/>
  <c r="S522" i="6"/>
  <c r="S523" i="6"/>
  <c r="S524" i="6"/>
  <c r="S525" i="6"/>
  <c r="S526" i="6"/>
  <c r="S527" i="6"/>
  <c r="S528" i="6"/>
  <c r="S529" i="6"/>
  <c r="S530" i="6"/>
  <c r="S531" i="6"/>
  <c r="S532" i="6"/>
  <c r="S533" i="6"/>
  <c r="S534" i="6"/>
  <c r="S535" i="6"/>
  <c r="S536" i="6"/>
  <c r="S537" i="6"/>
  <c r="S538" i="6"/>
  <c r="S539" i="6"/>
  <c r="S540" i="6"/>
  <c r="S541" i="6"/>
  <c r="S542" i="6"/>
  <c r="S543" i="6"/>
  <c r="S544" i="6"/>
  <c r="S545" i="6"/>
  <c r="S546" i="6"/>
  <c r="S547" i="6"/>
  <c r="S548" i="6"/>
  <c r="S549" i="6"/>
  <c r="S550" i="6"/>
  <c r="S551" i="6"/>
  <c r="S552" i="6"/>
  <c r="S553" i="6"/>
  <c r="S554" i="6"/>
  <c r="S555" i="6"/>
  <c r="S556" i="6"/>
  <c r="S557" i="6"/>
  <c r="S558" i="6"/>
  <c r="S559" i="6"/>
  <c r="S560" i="6"/>
  <c r="S561" i="6"/>
  <c r="S562" i="6"/>
  <c r="S563" i="6"/>
  <c r="S564" i="6"/>
  <c r="S565" i="6"/>
  <c r="S566" i="6"/>
  <c r="S567" i="6"/>
  <c r="S568" i="6"/>
  <c r="S569" i="6"/>
  <c r="S570" i="6"/>
  <c r="S571" i="6"/>
  <c r="S572" i="6"/>
  <c r="S573" i="6"/>
  <c r="S574" i="6"/>
  <c r="S575" i="6"/>
  <c r="S576" i="6"/>
  <c r="S577" i="6"/>
  <c r="S578" i="6"/>
  <c r="S579" i="6"/>
  <c r="S580" i="6"/>
  <c r="S581" i="6"/>
  <c r="S582" i="6"/>
  <c r="S583" i="6"/>
  <c r="S584" i="6"/>
  <c r="S585" i="6"/>
  <c r="S586" i="6"/>
  <c r="S587" i="6"/>
  <c r="S588" i="6"/>
  <c r="S589" i="6"/>
  <c r="S590" i="6"/>
  <c r="S591" i="6"/>
  <c r="S592" i="6"/>
  <c r="S593" i="6"/>
  <c r="S594" i="6"/>
  <c r="S595" i="6"/>
  <c r="S596" i="6"/>
  <c r="S597" i="6"/>
  <c r="S598" i="6"/>
  <c r="S599" i="6"/>
  <c r="S600" i="6"/>
  <c r="S601" i="6"/>
  <c r="S602" i="6"/>
  <c r="S603" i="6"/>
  <c r="S604" i="6"/>
  <c r="S605" i="6"/>
  <c r="S606" i="6"/>
  <c r="S607" i="6"/>
  <c r="S608" i="6"/>
  <c r="S609" i="6"/>
  <c r="S610" i="6"/>
  <c r="S611" i="6"/>
  <c r="S612" i="6"/>
  <c r="S613" i="6"/>
  <c r="S614" i="6"/>
  <c r="S615" i="6"/>
  <c r="S616" i="6"/>
  <c r="S617" i="6"/>
  <c r="S618" i="6"/>
  <c r="S619" i="6"/>
  <c r="S620" i="6"/>
  <c r="S621" i="6"/>
  <c r="S622" i="6"/>
  <c r="S623" i="6"/>
  <c r="S624" i="6"/>
  <c r="S625" i="6"/>
  <c r="S626" i="6"/>
  <c r="S627" i="6"/>
  <c r="S628" i="6"/>
  <c r="S629" i="6"/>
  <c r="S630" i="6"/>
  <c r="S631" i="6"/>
  <c r="S632" i="6"/>
  <c r="S633" i="6"/>
  <c r="S634" i="6"/>
  <c r="S635" i="6"/>
  <c r="S636" i="6"/>
  <c r="S637" i="6"/>
  <c r="S638" i="6"/>
  <c r="S639" i="6"/>
  <c r="S640" i="6"/>
  <c r="S641" i="6"/>
  <c r="S642" i="6"/>
  <c r="S643" i="6"/>
  <c r="S644" i="6"/>
  <c r="S645" i="6"/>
  <c r="S646" i="6"/>
  <c r="S647" i="6"/>
  <c r="S648" i="6"/>
  <c r="S649" i="6"/>
  <c r="S650" i="6"/>
  <c r="S651" i="6"/>
  <c r="S652" i="6"/>
  <c r="S653" i="6"/>
  <c r="S654" i="6"/>
  <c r="S655" i="6"/>
  <c r="S656" i="6"/>
  <c r="S657" i="6"/>
  <c r="S658" i="6"/>
  <c r="S659" i="6"/>
  <c r="S660" i="6"/>
  <c r="S661" i="6"/>
  <c r="S662" i="6"/>
  <c r="S663" i="6"/>
  <c r="S664" i="6"/>
  <c r="S665" i="6"/>
  <c r="S666" i="6"/>
  <c r="S667" i="6"/>
  <c r="S668" i="6"/>
  <c r="S669" i="6"/>
  <c r="S670" i="6"/>
  <c r="S671" i="6"/>
  <c r="S672" i="6"/>
  <c r="S673" i="6"/>
  <c r="S674" i="6"/>
  <c r="S675" i="6"/>
  <c r="S676" i="6"/>
  <c r="S677" i="6"/>
  <c r="S678" i="6"/>
  <c r="S679" i="6"/>
  <c r="S680" i="6"/>
  <c r="S681" i="6"/>
  <c r="S682" i="6"/>
  <c r="S683" i="6"/>
  <c r="S684" i="6"/>
  <c r="S685" i="6"/>
  <c r="S686" i="6"/>
  <c r="S687" i="6"/>
  <c r="S688" i="6"/>
  <c r="S689" i="6"/>
  <c r="S690" i="6"/>
  <c r="S691" i="6"/>
  <c r="S692" i="6"/>
  <c r="S693" i="6"/>
  <c r="S694" i="6"/>
  <c r="S695" i="6"/>
  <c r="S696" i="6"/>
  <c r="S697" i="6"/>
  <c r="S698" i="6"/>
  <c r="S699" i="6"/>
  <c r="S700" i="6"/>
  <c r="S701" i="6"/>
  <c r="S702" i="6"/>
  <c r="S703" i="6"/>
  <c r="S704" i="6"/>
  <c r="S705" i="6"/>
  <c r="S706" i="6"/>
  <c r="S707" i="6"/>
  <c r="S708" i="6"/>
  <c r="S709" i="6"/>
  <c r="S710" i="6"/>
  <c r="S711" i="6"/>
  <c r="S712" i="6"/>
  <c r="S713" i="6"/>
  <c r="S714" i="6"/>
  <c r="S715" i="6"/>
  <c r="S716" i="6"/>
  <c r="S717" i="6"/>
  <c r="S718" i="6"/>
  <c r="S719" i="6"/>
  <c r="S720" i="6"/>
  <c r="S721" i="6"/>
  <c r="S722" i="6"/>
  <c r="S723" i="6"/>
  <c r="S724" i="6"/>
  <c r="S725" i="6"/>
  <c r="S726" i="6"/>
  <c r="S727" i="6"/>
  <c r="S728" i="6"/>
  <c r="S729" i="6"/>
  <c r="S730" i="6"/>
  <c r="S731" i="6"/>
  <c r="S732" i="6"/>
  <c r="S733" i="6"/>
  <c r="S734" i="6"/>
  <c r="S735" i="6"/>
  <c r="S736" i="6"/>
  <c r="S737" i="6"/>
  <c r="S738" i="6"/>
  <c r="S739" i="6"/>
  <c r="S740" i="6"/>
  <c r="S741" i="6"/>
  <c r="S742" i="6"/>
  <c r="S743" i="6"/>
  <c r="S744" i="6"/>
  <c r="S745" i="6"/>
  <c r="S746" i="6"/>
  <c r="S747" i="6"/>
  <c r="S748" i="6"/>
  <c r="S749" i="6"/>
  <c r="S750" i="6"/>
  <c r="S751" i="6"/>
  <c r="S752" i="6"/>
  <c r="S753" i="6"/>
  <c r="S754" i="6"/>
  <c r="S755" i="6"/>
  <c r="S756" i="6"/>
  <c r="S757" i="6"/>
  <c r="S758" i="6"/>
  <c r="S759" i="6"/>
  <c r="S760" i="6"/>
  <c r="S761" i="6"/>
  <c r="S762" i="6"/>
  <c r="S763" i="6"/>
  <c r="S764" i="6"/>
  <c r="S765" i="6"/>
  <c r="S766" i="6"/>
  <c r="S767" i="6"/>
  <c r="S768" i="6"/>
  <c r="S769" i="6"/>
  <c r="S770" i="6"/>
  <c r="S771" i="6"/>
  <c r="S772" i="6"/>
  <c r="S773" i="6"/>
  <c r="S774" i="6"/>
  <c r="S775" i="6"/>
  <c r="S776" i="6"/>
  <c r="S777" i="6"/>
  <c r="S778" i="6"/>
  <c r="S779" i="6"/>
  <c r="S780" i="6"/>
  <c r="S781" i="6"/>
  <c r="S782" i="6"/>
  <c r="S783" i="6"/>
  <c r="S784" i="6"/>
  <c r="S785" i="6"/>
  <c r="S786" i="6"/>
  <c r="S787" i="6"/>
  <c r="S788" i="6"/>
  <c r="S789" i="6"/>
  <c r="S790" i="6"/>
  <c r="S791" i="6"/>
  <c r="S792" i="6"/>
  <c r="S793" i="6"/>
  <c r="S794" i="6"/>
  <c r="S795" i="6"/>
  <c r="S796" i="6"/>
  <c r="S797" i="6"/>
  <c r="S798" i="6"/>
  <c r="S799" i="6"/>
  <c r="S800" i="6"/>
  <c r="S801" i="6"/>
  <c r="S802" i="6"/>
  <c r="S803" i="6"/>
  <c r="S804" i="6"/>
  <c r="S805" i="6"/>
  <c r="S806" i="6"/>
  <c r="S807" i="6"/>
  <c r="S808" i="6"/>
  <c r="S809" i="6"/>
  <c r="S810" i="6"/>
  <c r="S811" i="6"/>
  <c r="S812" i="6"/>
  <c r="S813" i="6"/>
  <c r="S814" i="6"/>
  <c r="S815" i="6"/>
  <c r="S816" i="6"/>
  <c r="S817" i="6"/>
  <c r="S818" i="6"/>
  <c r="S819" i="6"/>
  <c r="S820" i="6"/>
  <c r="S821" i="6"/>
  <c r="S822" i="6"/>
  <c r="S823" i="6"/>
  <c r="S824" i="6"/>
  <c r="S825" i="6"/>
  <c r="S826" i="6"/>
  <c r="S827" i="6"/>
  <c r="S828" i="6"/>
  <c r="S829" i="6"/>
  <c r="S830" i="6"/>
  <c r="S831" i="6"/>
  <c r="S832" i="6"/>
  <c r="S833" i="6"/>
  <c r="S834" i="6"/>
  <c r="S835" i="6"/>
  <c r="S836" i="6"/>
  <c r="S837" i="6"/>
  <c r="S838" i="6"/>
  <c r="S839" i="6"/>
  <c r="S840" i="6"/>
  <c r="S841" i="6"/>
  <c r="S842" i="6"/>
  <c r="S843" i="6"/>
  <c r="S844" i="6"/>
  <c r="S845" i="6"/>
  <c r="S846" i="6"/>
  <c r="S847" i="6"/>
  <c r="S848" i="6"/>
  <c r="S849" i="6"/>
  <c r="S850" i="6"/>
  <c r="S851" i="6"/>
  <c r="S852" i="6"/>
  <c r="S853" i="6"/>
  <c r="S854" i="6"/>
  <c r="S855" i="6"/>
  <c r="S856" i="6"/>
  <c r="S857" i="6"/>
  <c r="S858" i="6"/>
  <c r="S859" i="6"/>
  <c r="S860" i="6"/>
  <c r="S861" i="6"/>
  <c r="S862" i="6"/>
  <c r="S863" i="6"/>
  <c r="S864" i="6"/>
  <c r="S865" i="6"/>
  <c r="S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166" i="6"/>
  <c r="R167" i="6"/>
  <c r="R168" i="6"/>
  <c r="R169" i="6"/>
  <c r="R170" i="6"/>
  <c r="R171" i="6"/>
  <c r="R172" i="6"/>
  <c r="R173" i="6"/>
  <c r="R174" i="6"/>
  <c r="R175" i="6"/>
  <c r="R176" i="6"/>
  <c r="R177" i="6"/>
  <c r="R178" i="6"/>
  <c r="R179" i="6"/>
  <c r="R180" i="6"/>
  <c r="R181" i="6"/>
  <c r="R182" i="6"/>
  <c r="R183" i="6"/>
  <c r="R184" i="6"/>
  <c r="R185" i="6"/>
  <c r="R186" i="6"/>
  <c r="R187" i="6"/>
  <c r="R188" i="6"/>
  <c r="R189" i="6"/>
  <c r="R190" i="6"/>
  <c r="R191" i="6"/>
  <c r="R192" i="6"/>
  <c r="R193" i="6"/>
  <c r="R194" i="6"/>
  <c r="R195" i="6"/>
  <c r="R196" i="6"/>
  <c r="R197" i="6"/>
  <c r="R198" i="6"/>
  <c r="R199" i="6"/>
  <c r="R200" i="6"/>
  <c r="R201" i="6"/>
  <c r="R202" i="6"/>
  <c r="R203" i="6"/>
  <c r="R204" i="6"/>
  <c r="R205" i="6"/>
  <c r="R206" i="6"/>
  <c r="R207" i="6"/>
  <c r="R208" i="6"/>
  <c r="R209" i="6"/>
  <c r="R210" i="6"/>
  <c r="R211" i="6"/>
  <c r="R212" i="6"/>
  <c r="R213" i="6"/>
  <c r="R214" i="6"/>
  <c r="R215" i="6"/>
  <c r="R216" i="6"/>
  <c r="R217" i="6"/>
  <c r="R218" i="6"/>
  <c r="R219" i="6"/>
  <c r="R220" i="6"/>
  <c r="R221" i="6"/>
  <c r="R222" i="6"/>
  <c r="R223" i="6"/>
  <c r="R224" i="6"/>
  <c r="R225" i="6"/>
  <c r="R226" i="6"/>
  <c r="R227" i="6"/>
  <c r="R228" i="6"/>
  <c r="R229" i="6"/>
  <c r="R230" i="6"/>
  <c r="R231" i="6"/>
  <c r="R232" i="6"/>
  <c r="R233" i="6"/>
  <c r="R234" i="6"/>
  <c r="R235" i="6"/>
  <c r="R236" i="6"/>
  <c r="R237" i="6"/>
  <c r="R238" i="6"/>
  <c r="R239" i="6"/>
  <c r="R240" i="6"/>
  <c r="R241" i="6"/>
  <c r="R242" i="6"/>
  <c r="R243" i="6"/>
  <c r="R244" i="6"/>
  <c r="R245" i="6"/>
  <c r="R246" i="6"/>
  <c r="R247" i="6"/>
  <c r="R248" i="6"/>
  <c r="R249" i="6"/>
  <c r="R250" i="6"/>
  <c r="R251" i="6"/>
  <c r="R252" i="6"/>
  <c r="R253" i="6"/>
  <c r="R254" i="6"/>
  <c r="R255" i="6"/>
  <c r="R256" i="6"/>
  <c r="R257" i="6"/>
  <c r="R258" i="6"/>
  <c r="R259" i="6"/>
  <c r="R260" i="6"/>
  <c r="R261" i="6"/>
  <c r="R262" i="6"/>
  <c r="R263" i="6"/>
  <c r="R264" i="6"/>
  <c r="R265" i="6"/>
  <c r="R266" i="6"/>
  <c r="R267" i="6"/>
  <c r="R268" i="6"/>
  <c r="R269" i="6"/>
  <c r="R270" i="6"/>
  <c r="R271" i="6"/>
  <c r="R272" i="6"/>
  <c r="R273" i="6"/>
  <c r="R274" i="6"/>
  <c r="R275" i="6"/>
  <c r="R276" i="6"/>
  <c r="R277" i="6"/>
  <c r="R278" i="6"/>
  <c r="R279" i="6"/>
  <c r="R280" i="6"/>
  <c r="R281" i="6"/>
  <c r="R282" i="6"/>
  <c r="R283" i="6"/>
  <c r="R284" i="6"/>
  <c r="R285" i="6"/>
  <c r="R286" i="6"/>
  <c r="R287" i="6"/>
  <c r="R288" i="6"/>
  <c r="R289" i="6"/>
  <c r="R290" i="6"/>
  <c r="R291" i="6"/>
  <c r="R292" i="6"/>
  <c r="R293" i="6"/>
  <c r="R294" i="6"/>
  <c r="R295" i="6"/>
  <c r="R296" i="6"/>
  <c r="R297" i="6"/>
  <c r="R298" i="6"/>
  <c r="R299" i="6"/>
  <c r="R300" i="6"/>
  <c r="R301" i="6"/>
  <c r="R302" i="6"/>
  <c r="R303" i="6"/>
  <c r="R304" i="6"/>
  <c r="R305" i="6"/>
  <c r="R306" i="6"/>
  <c r="R307" i="6"/>
  <c r="R308" i="6"/>
  <c r="R309" i="6"/>
  <c r="R310" i="6"/>
  <c r="R311" i="6"/>
  <c r="R312" i="6"/>
  <c r="R313" i="6"/>
  <c r="R314" i="6"/>
  <c r="R315" i="6"/>
  <c r="R316" i="6"/>
  <c r="R317" i="6"/>
  <c r="R318" i="6"/>
  <c r="R319" i="6"/>
  <c r="R320" i="6"/>
  <c r="R321" i="6"/>
  <c r="R322" i="6"/>
  <c r="R323" i="6"/>
  <c r="R324" i="6"/>
  <c r="R325" i="6"/>
  <c r="R326" i="6"/>
  <c r="R327" i="6"/>
  <c r="R328" i="6"/>
  <c r="R329" i="6"/>
  <c r="R330" i="6"/>
  <c r="R331" i="6"/>
  <c r="R332" i="6"/>
  <c r="R333" i="6"/>
  <c r="R334" i="6"/>
  <c r="R335" i="6"/>
  <c r="R336" i="6"/>
  <c r="R337" i="6"/>
  <c r="R338" i="6"/>
  <c r="R339" i="6"/>
  <c r="R340" i="6"/>
  <c r="R341" i="6"/>
  <c r="R342" i="6"/>
  <c r="R343" i="6"/>
  <c r="R344" i="6"/>
  <c r="R345" i="6"/>
  <c r="R346" i="6"/>
  <c r="R347" i="6"/>
  <c r="R348" i="6"/>
  <c r="R349" i="6"/>
  <c r="R350" i="6"/>
  <c r="R351" i="6"/>
  <c r="R352" i="6"/>
  <c r="R353" i="6"/>
  <c r="R354" i="6"/>
  <c r="R355" i="6"/>
  <c r="R356" i="6"/>
  <c r="R357" i="6"/>
  <c r="R358" i="6"/>
  <c r="R359" i="6"/>
  <c r="R360" i="6"/>
  <c r="R361" i="6"/>
  <c r="R362" i="6"/>
  <c r="R363" i="6"/>
  <c r="R364" i="6"/>
  <c r="R365" i="6"/>
  <c r="R366" i="6"/>
  <c r="R367" i="6"/>
  <c r="R368" i="6"/>
  <c r="R369" i="6"/>
  <c r="R370" i="6"/>
  <c r="R371" i="6"/>
  <c r="R372" i="6"/>
  <c r="R373" i="6"/>
  <c r="R374" i="6"/>
  <c r="R375" i="6"/>
  <c r="R376" i="6"/>
  <c r="R377" i="6"/>
  <c r="R378" i="6"/>
  <c r="R379" i="6"/>
  <c r="R380" i="6"/>
  <c r="R381" i="6"/>
  <c r="R382" i="6"/>
  <c r="R383" i="6"/>
  <c r="R384" i="6"/>
  <c r="R385" i="6"/>
  <c r="R386" i="6"/>
  <c r="R387" i="6"/>
  <c r="R388" i="6"/>
  <c r="R389" i="6"/>
  <c r="R390" i="6"/>
  <c r="R391" i="6"/>
  <c r="R392" i="6"/>
  <c r="R393" i="6"/>
  <c r="R394" i="6"/>
  <c r="R395" i="6"/>
  <c r="R396" i="6"/>
  <c r="R397" i="6"/>
  <c r="R398" i="6"/>
  <c r="R399" i="6"/>
  <c r="R400" i="6"/>
  <c r="R401" i="6"/>
  <c r="R402" i="6"/>
  <c r="R403" i="6"/>
  <c r="R404" i="6"/>
  <c r="R405" i="6"/>
  <c r="R406" i="6"/>
  <c r="R407" i="6"/>
  <c r="R408" i="6"/>
  <c r="R409" i="6"/>
  <c r="R410" i="6"/>
  <c r="R411" i="6"/>
  <c r="R412" i="6"/>
  <c r="R413" i="6"/>
  <c r="R414" i="6"/>
  <c r="R415" i="6"/>
  <c r="R416" i="6"/>
  <c r="R417" i="6"/>
  <c r="R418" i="6"/>
  <c r="R419" i="6"/>
  <c r="R420" i="6"/>
  <c r="R421" i="6"/>
  <c r="R422" i="6"/>
  <c r="R423" i="6"/>
  <c r="R424" i="6"/>
  <c r="R425" i="6"/>
  <c r="R426" i="6"/>
  <c r="R427" i="6"/>
  <c r="R428" i="6"/>
  <c r="R429" i="6"/>
  <c r="R430" i="6"/>
  <c r="R431" i="6"/>
  <c r="R432" i="6"/>
  <c r="R433" i="6"/>
  <c r="R434" i="6"/>
  <c r="R435" i="6"/>
  <c r="R436" i="6"/>
  <c r="R437" i="6"/>
  <c r="R438" i="6"/>
  <c r="R439" i="6"/>
  <c r="R440" i="6"/>
  <c r="R441" i="6"/>
  <c r="R442" i="6"/>
  <c r="R443" i="6"/>
  <c r="R444" i="6"/>
  <c r="R445" i="6"/>
  <c r="R446" i="6"/>
  <c r="R447" i="6"/>
  <c r="R448" i="6"/>
  <c r="R449" i="6"/>
  <c r="R450" i="6"/>
  <c r="R451" i="6"/>
  <c r="R452" i="6"/>
  <c r="R453" i="6"/>
  <c r="R454" i="6"/>
  <c r="R455" i="6"/>
  <c r="R456" i="6"/>
  <c r="R457" i="6"/>
  <c r="R458" i="6"/>
  <c r="R459" i="6"/>
  <c r="R460" i="6"/>
  <c r="R461" i="6"/>
  <c r="R462" i="6"/>
  <c r="R463" i="6"/>
  <c r="R464" i="6"/>
  <c r="R465" i="6"/>
  <c r="R466" i="6"/>
  <c r="R467" i="6"/>
  <c r="R468" i="6"/>
  <c r="R469" i="6"/>
  <c r="R470" i="6"/>
  <c r="R471" i="6"/>
  <c r="R472" i="6"/>
  <c r="R473" i="6"/>
  <c r="R474" i="6"/>
  <c r="R475" i="6"/>
  <c r="R476" i="6"/>
  <c r="R477" i="6"/>
  <c r="R478" i="6"/>
  <c r="R479" i="6"/>
  <c r="R480" i="6"/>
  <c r="R481" i="6"/>
  <c r="R482" i="6"/>
  <c r="R483" i="6"/>
  <c r="R484" i="6"/>
  <c r="R485" i="6"/>
  <c r="R486" i="6"/>
  <c r="R487" i="6"/>
  <c r="R488" i="6"/>
  <c r="R489" i="6"/>
  <c r="R490" i="6"/>
  <c r="R491" i="6"/>
  <c r="R492" i="6"/>
  <c r="R493" i="6"/>
  <c r="R494" i="6"/>
  <c r="R495" i="6"/>
  <c r="R496" i="6"/>
  <c r="R497" i="6"/>
  <c r="R498" i="6"/>
  <c r="R499" i="6"/>
  <c r="R500" i="6"/>
  <c r="R501" i="6"/>
  <c r="R502" i="6"/>
  <c r="R503" i="6"/>
  <c r="R504" i="6"/>
  <c r="R505" i="6"/>
  <c r="R506" i="6"/>
  <c r="R507" i="6"/>
  <c r="R508" i="6"/>
  <c r="R509" i="6"/>
  <c r="R510" i="6"/>
  <c r="R511" i="6"/>
  <c r="R512" i="6"/>
  <c r="R513" i="6"/>
  <c r="R514" i="6"/>
  <c r="R515" i="6"/>
  <c r="R516" i="6"/>
  <c r="R517" i="6"/>
  <c r="R518" i="6"/>
  <c r="R519" i="6"/>
  <c r="R520" i="6"/>
  <c r="R521" i="6"/>
  <c r="R522" i="6"/>
  <c r="R523" i="6"/>
  <c r="R524" i="6"/>
  <c r="R525" i="6"/>
  <c r="R526" i="6"/>
  <c r="R527" i="6"/>
  <c r="R528" i="6"/>
  <c r="R529" i="6"/>
  <c r="R530" i="6"/>
  <c r="R531" i="6"/>
  <c r="R532" i="6"/>
  <c r="R533" i="6"/>
  <c r="R534" i="6"/>
  <c r="R535" i="6"/>
  <c r="R536" i="6"/>
  <c r="R537" i="6"/>
  <c r="R538" i="6"/>
  <c r="R539" i="6"/>
  <c r="R540" i="6"/>
  <c r="R541" i="6"/>
  <c r="R542" i="6"/>
  <c r="R543" i="6"/>
  <c r="R544" i="6"/>
  <c r="R545" i="6"/>
  <c r="R546" i="6"/>
  <c r="R547" i="6"/>
  <c r="R548" i="6"/>
  <c r="R549" i="6"/>
  <c r="R550" i="6"/>
  <c r="R551" i="6"/>
  <c r="R552" i="6"/>
  <c r="R553" i="6"/>
  <c r="R554" i="6"/>
  <c r="R555" i="6"/>
  <c r="R556" i="6"/>
  <c r="R557" i="6"/>
  <c r="R558" i="6"/>
  <c r="R559" i="6"/>
  <c r="R560" i="6"/>
  <c r="R561" i="6"/>
  <c r="R562" i="6"/>
  <c r="R563" i="6"/>
  <c r="R564" i="6"/>
  <c r="R565" i="6"/>
  <c r="R566" i="6"/>
  <c r="R567" i="6"/>
  <c r="R568" i="6"/>
  <c r="R569" i="6"/>
  <c r="R570" i="6"/>
  <c r="R571" i="6"/>
  <c r="R572" i="6"/>
  <c r="R573" i="6"/>
  <c r="R574" i="6"/>
  <c r="R575" i="6"/>
  <c r="R576" i="6"/>
  <c r="R577" i="6"/>
  <c r="R578" i="6"/>
  <c r="R579" i="6"/>
  <c r="R580" i="6"/>
  <c r="R581" i="6"/>
  <c r="R582" i="6"/>
  <c r="R583" i="6"/>
  <c r="R584" i="6"/>
  <c r="R585" i="6"/>
  <c r="R586" i="6"/>
  <c r="R587" i="6"/>
  <c r="R588" i="6"/>
  <c r="R589" i="6"/>
  <c r="R590" i="6"/>
  <c r="R591" i="6"/>
  <c r="R592" i="6"/>
  <c r="R593" i="6"/>
  <c r="R594" i="6"/>
  <c r="R595" i="6"/>
  <c r="R596" i="6"/>
  <c r="R597" i="6"/>
  <c r="R598" i="6"/>
  <c r="R599" i="6"/>
  <c r="R600" i="6"/>
  <c r="R601" i="6"/>
  <c r="R602" i="6"/>
  <c r="R603" i="6"/>
  <c r="R604" i="6"/>
  <c r="R605" i="6"/>
  <c r="R606" i="6"/>
  <c r="R607" i="6"/>
  <c r="R608" i="6"/>
  <c r="R609" i="6"/>
  <c r="R610" i="6"/>
  <c r="R611" i="6"/>
  <c r="R612" i="6"/>
  <c r="R613" i="6"/>
  <c r="R614" i="6"/>
  <c r="R615" i="6"/>
  <c r="R616" i="6"/>
  <c r="R617" i="6"/>
  <c r="R618" i="6"/>
  <c r="R619" i="6"/>
  <c r="R620" i="6"/>
  <c r="R621" i="6"/>
  <c r="R622" i="6"/>
  <c r="R623" i="6"/>
  <c r="R624" i="6"/>
  <c r="R625" i="6"/>
  <c r="R626" i="6"/>
  <c r="R627" i="6"/>
  <c r="R628" i="6"/>
  <c r="R629" i="6"/>
  <c r="R630" i="6"/>
  <c r="R631" i="6"/>
  <c r="R632" i="6"/>
  <c r="R633" i="6"/>
  <c r="R634" i="6"/>
  <c r="R635" i="6"/>
  <c r="R636" i="6"/>
  <c r="R637" i="6"/>
  <c r="R638" i="6"/>
  <c r="R639" i="6"/>
  <c r="R640" i="6"/>
  <c r="R641" i="6"/>
  <c r="R642" i="6"/>
  <c r="R643" i="6"/>
  <c r="R644" i="6"/>
  <c r="R645" i="6"/>
  <c r="R646" i="6"/>
  <c r="R647" i="6"/>
  <c r="R648" i="6"/>
  <c r="R649" i="6"/>
  <c r="R650" i="6"/>
  <c r="R651" i="6"/>
  <c r="R652" i="6"/>
  <c r="R653" i="6"/>
  <c r="R654" i="6"/>
  <c r="R655" i="6"/>
  <c r="R656" i="6"/>
  <c r="R657" i="6"/>
  <c r="R658" i="6"/>
  <c r="R659" i="6"/>
  <c r="R660" i="6"/>
  <c r="R661" i="6"/>
  <c r="R662" i="6"/>
  <c r="R663" i="6"/>
  <c r="R664" i="6"/>
  <c r="R665" i="6"/>
  <c r="R666" i="6"/>
  <c r="R667" i="6"/>
  <c r="R668" i="6"/>
  <c r="R669" i="6"/>
  <c r="R670" i="6"/>
  <c r="R671" i="6"/>
  <c r="R672" i="6"/>
  <c r="R673" i="6"/>
  <c r="R674" i="6"/>
  <c r="R675" i="6"/>
  <c r="R676" i="6"/>
  <c r="R677" i="6"/>
  <c r="R678" i="6"/>
  <c r="R679" i="6"/>
  <c r="R680" i="6"/>
  <c r="R681" i="6"/>
  <c r="R682" i="6"/>
  <c r="R683" i="6"/>
  <c r="R684" i="6"/>
  <c r="R685" i="6"/>
  <c r="R686" i="6"/>
  <c r="R687" i="6"/>
  <c r="R688" i="6"/>
  <c r="R689" i="6"/>
  <c r="R690" i="6"/>
  <c r="R691" i="6"/>
  <c r="R692" i="6"/>
  <c r="R693" i="6"/>
  <c r="R694" i="6"/>
  <c r="R695" i="6"/>
  <c r="R696" i="6"/>
  <c r="R697" i="6"/>
  <c r="R698" i="6"/>
  <c r="R699" i="6"/>
  <c r="R700" i="6"/>
  <c r="R701" i="6"/>
  <c r="R702" i="6"/>
  <c r="R703" i="6"/>
  <c r="R704" i="6"/>
  <c r="R705" i="6"/>
  <c r="R706" i="6"/>
  <c r="R707" i="6"/>
  <c r="R708" i="6"/>
  <c r="R709" i="6"/>
  <c r="R710" i="6"/>
  <c r="R711" i="6"/>
  <c r="R712" i="6"/>
  <c r="R713" i="6"/>
  <c r="R714" i="6"/>
  <c r="R715" i="6"/>
  <c r="R716" i="6"/>
  <c r="R717" i="6"/>
  <c r="R718" i="6"/>
  <c r="R719" i="6"/>
  <c r="R720" i="6"/>
  <c r="R721" i="6"/>
  <c r="R722" i="6"/>
  <c r="R723" i="6"/>
  <c r="R724" i="6"/>
  <c r="R725" i="6"/>
  <c r="R726" i="6"/>
  <c r="R727" i="6"/>
  <c r="R728" i="6"/>
  <c r="R729" i="6"/>
  <c r="R730" i="6"/>
  <c r="R731" i="6"/>
  <c r="R732" i="6"/>
  <c r="R733" i="6"/>
  <c r="R734" i="6"/>
  <c r="R735" i="6"/>
  <c r="R736" i="6"/>
  <c r="R737" i="6"/>
  <c r="R738" i="6"/>
  <c r="R739" i="6"/>
  <c r="R740" i="6"/>
  <c r="R741" i="6"/>
  <c r="R742" i="6"/>
  <c r="R743" i="6"/>
  <c r="R744" i="6"/>
  <c r="R745" i="6"/>
  <c r="R746" i="6"/>
  <c r="R747" i="6"/>
  <c r="R748" i="6"/>
  <c r="R749" i="6"/>
  <c r="R750" i="6"/>
  <c r="R751" i="6"/>
  <c r="R752" i="6"/>
  <c r="R753" i="6"/>
  <c r="R754" i="6"/>
  <c r="R755" i="6"/>
  <c r="R756" i="6"/>
  <c r="R757" i="6"/>
  <c r="R758" i="6"/>
  <c r="R759" i="6"/>
  <c r="R760" i="6"/>
  <c r="R761" i="6"/>
  <c r="R762" i="6"/>
  <c r="R763" i="6"/>
  <c r="R764" i="6"/>
  <c r="R765" i="6"/>
  <c r="R766" i="6"/>
  <c r="R767" i="6"/>
  <c r="R768" i="6"/>
  <c r="R769" i="6"/>
  <c r="R770" i="6"/>
  <c r="R771" i="6"/>
  <c r="R772" i="6"/>
  <c r="R773" i="6"/>
  <c r="R774" i="6"/>
  <c r="R775" i="6"/>
  <c r="R776" i="6"/>
  <c r="R777" i="6"/>
  <c r="R778" i="6"/>
  <c r="R779" i="6"/>
  <c r="R780" i="6"/>
  <c r="R781" i="6"/>
  <c r="R782" i="6"/>
  <c r="R783" i="6"/>
  <c r="R784" i="6"/>
  <c r="R785" i="6"/>
  <c r="R786" i="6"/>
  <c r="R787" i="6"/>
  <c r="R788" i="6"/>
  <c r="R789" i="6"/>
  <c r="R790" i="6"/>
  <c r="R791" i="6"/>
  <c r="R792" i="6"/>
  <c r="R793" i="6"/>
  <c r="R794" i="6"/>
  <c r="R795" i="6"/>
  <c r="R796" i="6"/>
  <c r="R797" i="6"/>
  <c r="R798" i="6"/>
  <c r="R799" i="6"/>
  <c r="R800" i="6"/>
  <c r="R801" i="6"/>
  <c r="R802" i="6"/>
  <c r="R803" i="6"/>
  <c r="R804" i="6"/>
  <c r="R805" i="6"/>
  <c r="R806" i="6"/>
  <c r="R807" i="6"/>
  <c r="R808" i="6"/>
  <c r="R809" i="6"/>
  <c r="R810" i="6"/>
  <c r="R811" i="6"/>
  <c r="R812" i="6"/>
  <c r="R813" i="6"/>
  <c r="R814" i="6"/>
  <c r="R815" i="6"/>
  <c r="R816" i="6"/>
  <c r="R817" i="6"/>
  <c r="R818" i="6"/>
  <c r="R819" i="6"/>
  <c r="R820" i="6"/>
  <c r="R821" i="6"/>
  <c r="R822" i="6"/>
  <c r="R823" i="6"/>
  <c r="R824" i="6"/>
  <c r="R825" i="6"/>
  <c r="R826" i="6"/>
  <c r="R827" i="6"/>
  <c r="R828" i="6"/>
  <c r="R829" i="6"/>
  <c r="R830" i="6"/>
  <c r="R831" i="6"/>
  <c r="R832" i="6"/>
  <c r="R833" i="6"/>
  <c r="R834" i="6"/>
  <c r="R835" i="6"/>
  <c r="R836" i="6"/>
  <c r="R837" i="6"/>
  <c r="R838" i="6"/>
  <c r="R839" i="6"/>
  <c r="R840" i="6"/>
  <c r="R841" i="6"/>
  <c r="R842" i="6"/>
  <c r="R843" i="6"/>
  <c r="R844" i="6"/>
  <c r="R845" i="6"/>
  <c r="R846" i="6"/>
  <c r="R847" i="6"/>
  <c r="R848" i="6"/>
  <c r="R849" i="6"/>
  <c r="R850" i="6"/>
  <c r="R851" i="6"/>
  <c r="R852" i="6"/>
  <c r="R853" i="6"/>
  <c r="R854" i="6"/>
  <c r="R855" i="6"/>
  <c r="R856" i="6"/>
  <c r="R857" i="6"/>
  <c r="R858" i="6"/>
  <c r="R859" i="6"/>
  <c r="R860" i="6"/>
  <c r="R861" i="6"/>
  <c r="R862" i="6"/>
  <c r="R863" i="6"/>
  <c r="R864" i="6"/>
  <c r="R865" i="6"/>
  <c r="R4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Q228" i="6"/>
  <c r="Q229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3" i="6"/>
  <c r="Q244" i="6"/>
  <c r="Q245" i="6"/>
  <c r="Q246" i="6"/>
  <c r="Q247" i="6"/>
  <c r="Q248" i="6"/>
  <c r="Q249" i="6"/>
  <c r="Q250" i="6"/>
  <c r="Q251" i="6"/>
  <c r="Q252" i="6"/>
  <c r="Q253" i="6"/>
  <c r="Q254" i="6"/>
  <c r="Q255" i="6"/>
  <c r="Q256" i="6"/>
  <c r="Q257" i="6"/>
  <c r="Q258" i="6"/>
  <c r="Q259" i="6"/>
  <c r="Q260" i="6"/>
  <c r="Q261" i="6"/>
  <c r="Q262" i="6"/>
  <c r="Q263" i="6"/>
  <c r="Q264" i="6"/>
  <c r="Q265" i="6"/>
  <c r="Q266" i="6"/>
  <c r="Q267" i="6"/>
  <c r="Q268" i="6"/>
  <c r="Q269" i="6"/>
  <c r="Q270" i="6"/>
  <c r="Q271" i="6"/>
  <c r="Q272" i="6"/>
  <c r="Q273" i="6"/>
  <c r="Q274" i="6"/>
  <c r="Q275" i="6"/>
  <c r="Q276" i="6"/>
  <c r="Q277" i="6"/>
  <c r="Q278" i="6"/>
  <c r="Q279" i="6"/>
  <c r="Q280" i="6"/>
  <c r="Q281" i="6"/>
  <c r="Q282" i="6"/>
  <c r="Q283" i="6"/>
  <c r="Q284" i="6"/>
  <c r="Q285" i="6"/>
  <c r="Q286" i="6"/>
  <c r="Q287" i="6"/>
  <c r="Q288" i="6"/>
  <c r="Q289" i="6"/>
  <c r="Q290" i="6"/>
  <c r="Q291" i="6"/>
  <c r="Q292" i="6"/>
  <c r="Q293" i="6"/>
  <c r="Q294" i="6"/>
  <c r="Q295" i="6"/>
  <c r="Q296" i="6"/>
  <c r="Q297" i="6"/>
  <c r="Q298" i="6"/>
  <c r="Q299" i="6"/>
  <c r="Q300" i="6"/>
  <c r="Q301" i="6"/>
  <c r="Q302" i="6"/>
  <c r="Q303" i="6"/>
  <c r="Q304" i="6"/>
  <c r="Q305" i="6"/>
  <c r="Q306" i="6"/>
  <c r="Q307" i="6"/>
  <c r="Q308" i="6"/>
  <c r="Q309" i="6"/>
  <c r="Q310" i="6"/>
  <c r="Q311" i="6"/>
  <c r="Q312" i="6"/>
  <c r="Q313" i="6"/>
  <c r="Q314" i="6"/>
  <c r="Q315" i="6"/>
  <c r="Q316" i="6"/>
  <c r="Q317" i="6"/>
  <c r="Q318" i="6"/>
  <c r="Q319" i="6"/>
  <c r="Q320" i="6"/>
  <c r="Q321" i="6"/>
  <c r="Q322" i="6"/>
  <c r="Q323" i="6"/>
  <c r="Q324" i="6"/>
  <c r="Q325" i="6"/>
  <c r="Q326" i="6"/>
  <c r="Q327" i="6"/>
  <c r="Q328" i="6"/>
  <c r="Q329" i="6"/>
  <c r="Q330" i="6"/>
  <c r="Q331" i="6"/>
  <c r="Q332" i="6"/>
  <c r="Q333" i="6"/>
  <c r="Q334" i="6"/>
  <c r="Q335" i="6"/>
  <c r="Q336" i="6"/>
  <c r="Q337" i="6"/>
  <c r="Q338" i="6"/>
  <c r="Q339" i="6"/>
  <c r="Q340" i="6"/>
  <c r="Q341" i="6"/>
  <c r="Q342" i="6"/>
  <c r="Q343" i="6"/>
  <c r="Q344" i="6"/>
  <c r="Q345" i="6"/>
  <c r="Q346" i="6"/>
  <c r="Q347" i="6"/>
  <c r="Q348" i="6"/>
  <c r="Q349" i="6"/>
  <c r="Q350" i="6"/>
  <c r="Q351" i="6"/>
  <c r="Q352" i="6"/>
  <c r="Q353" i="6"/>
  <c r="Q354" i="6"/>
  <c r="Q355" i="6"/>
  <c r="Q356" i="6"/>
  <c r="Q357" i="6"/>
  <c r="Q358" i="6"/>
  <c r="Q359" i="6"/>
  <c r="Q360" i="6"/>
  <c r="Q361" i="6"/>
  <c r="Q362" i="6"/>
  <c r="Q363" i="6"/>
  <c r="Q364" i="6"/>
  <c r="Q365" i="6"/>
  <c r="Q366" i="6"/>
  <c r="Q367" i="6"/>
  <c r="Q368" i="6"/>
  <c r="Q369" i="6"/>
  <c r="Q370" i="6"/>
  <c r="Q371" i="6"/>
  <c r="Q372" i="6"/>
  <c r="Q373" i="6"/>
  <c r="Q374" i="6"/>
  <c r="Q375" i="6"/>
  <c r="Q376" i="6"/>
  <c r="Q377" i="6"/>
  <c r="Q378" i="6"/>
  <c r="Q379" i="6"/>
  <c r="Q380" i="6"/>
  <c r="Q381" i="6"/>
  <c r="Q382" i="6"/>
  <c r="Q383" i="6"/>
  <c r="Q384" i="6"/>
  <c r="Q385" i="6"/>
  <c r="Q386" i="6"/>
  <c r="Q387" i="6"/>
  <c r="Q388" i="6"/>
  <c r="Q389" i="6"/>
  <c r="Q390" i="6"/>
  <c r="Q391" i="6"/>
  <c r="Q392" i="6"/>
  <c r="Q393" i="6"/>
  <c r="Q394" i="6"/>
  <c r="Q395" i="6"/>
  <c r="Q396" i="6"/>
  <c r="Q397" i="6"/>
  <c r="Q398" i="6"/>
  <c r="Q399" i="6"/>
  <c r="Q400" i="6"/>
  <c r="Q401" i="6"/>
  <c r="Q402" i="6"/>
  <c r="Q403" i="6"/>
  <c r="Q404" i="6"/>
  <c r="Q405" i="6"/>
  <c r="Q406" i="6"/>
  <c r="Q407" i="6"/>
  <c r="Q408" i="6"/>
  <c r="Q409" i="6"/>
  <c r="Q410" i="6"/>
  <c r="Q411" i="6"/>
  <c r="Q412" i="6"/>
  <c r="Q413" i="6"/>
  <c r="Q414" i="6"/>
  <c r="Q415" i="6"/>
  <c r="Q416" i="6"/>
  <c r="Q417" i="6"/>
  <c r="Q418" i="6"/>
  <c r="Q419" i="6"/>
  <c r="Q420" i="6"/>
  <c r="Q421" i="6"/>
  <c r="Q422" i="6"/>
  <c r="Q423" i="6"/>
  <c r="Q424" i="6"/>
  <c r="Q425" i="6"/>
  <c r="Q426" i="6"/>
  <c r="Q427" i="6"/>
  <c r="Q428" i="6"/>
  <c r="Q429" i="6"/>
  <c r="Q430" i="6"/>
  <c r="Q431" i="6"/>
  <c r="Q432" i="6"/>
  <c r="Q433" i="6"/>
  <c r="Q434" i="6"/>
  <c r="Q435" i="6"/>
  <c r="Q436" i="6"/>
  <c r="Q437" i="6"/>
  <c r="Q438" i="6"/>
  <c r="Q439" i="6"/>
  <c r="Q440" i="6"/>
  <c r="Q441" i="6"/>
  <c r="Q442" i="6"/>
  <c r="Q443" i="6"/>
  <c r="Q444" i="6"/>
  <c r="Q445" i="6"/>
  <c r="Q446" i="6"/>
  <c r="Q447" i="6"/>
  <c r="Q448" i="6"/>
  <c r="Q449" i="6"/>
  <c r="Q450" i="6"/>
  <c r="Q451" i="6"/>
  <c r="Q452" i="6"/>
  <c r="Q453" i="6"/>
  <c r="Q454" i="6"/>
  <c r="Q455" i="6"/>
  <c r="Q456" i="6"/>
  <c r="Q457" i="6"/>
  <c r="Q458" i="6"/>
  <c r="Q459" i="6"/>
  <c r="Q460" i="6"/>
  <c r="Q461" i="6"/>
  <c r="Q462" i="6"/>
  <c r="Q463" i="6"/>
  <c r="Q464" i="6"/>
  <c r="Q465" i="6"/>
  <c r="Q466" i="6"/>
  <c r="Q467" i="6"/>
  <c r="Q468" i="6"/>
  <c r="Q469" i="6"/>
  <c r="Q470" i="6"/>
  <c r="Q471" i="6"/>
  <c r="Q472" i="6"/>
  <c r="Q473" i="6"/>
  <c r="Q474" i="6"/>
  <c r="Q475" i="6"/>
  <c r="Q476" i="6"/>
  <c r="Q477" i="6"/>
  <c r="Q478" i="6"/>
  <c r="Q479" i="6"/>
  <c r="Q480" i="6"/>
  <c r="Q481" i="6"/>
  <c r="Q482" i="6"/>
  <c r="Q483" i="6"/>
  <c r="Q484" i="6"/>
  <c r="Q485" i="6"/>
  <c r="Q486" i="6"/>
  <c r="Q487" i="6"/>
  <c r="Q488" i="6"/>
  <c r="Q489" i="6"/>
  <c r="Q490" i="6"/>
  <c r="Q491" i="6"/>
  <c r="Q492" i="6"/>
  <c r="Q493" i="6"/>
  <c r="Q494" i="6"/>
  <c r="Q495" i="6"/>
  <c r="Q496" i="6"/>
  <c r="Q497" i="6"/>
  <c r="Q498" i="6"/>
  <c r="Q499" i="6"/>
  <c r="Q500" i="6"/>
  <c r="Q501" i="6"/>
  <c r="Q502" i="6"/>
  <c r="Q503" i="6"/>
  <c r="Q504" i="6"/>
  <c r="Q505" i="6"/>
  <c r="Q506" i="6"/>
  <c r="Q507" i="6"/>
  <c r="Q508" i="6"/>
  <c r="Q509" i="6"/>
  <c r="Q510" i="6"/>
  <c r="Q511" i="6"/>
  <c r="Q512" i="6"/>
  <c r="Q513" i="6"/>
  <c r="Q514" i="6"/>
  <c r="Q515" i="6"/>
  <c r="Q516" i="6"/>
  <c r="Q517" i="6"/>
  <c r="Q518" i="6"/>
  <c r="Q519" i="6"/>
  <c r="Q520" i="6"/>
  <c r="Q521" i="6"/>
  <c r="Q522" i="6"/>
  <c r="Q523" i="6"/>
  <c r="Q524" i="6"/>
  <c r="Q525" i="6"/>
  <c r="Q526" i="6"/>
  <c r="Q527" i="6"/>
  <c r="Q528" i="6"/>
  <c r="Q529" i="6"/>
  <c r="Q530" i="6"/>
  <c r="Q531" i="6"/>
  <c r="Q532" i="6"/>
  <c r="Q533" i="6"/>
  <c r="Q534" i="6"/>
  <c r="Q535" i="6"/>
  <c r="Q536" i="6"/>
  <c r="Q537" i="6"/>
  <c r="Q538" i="6"/>
  <c r="Q539" i="6"/>
  <c r="Q540" i="6"/>
  <c r="Q541" i="6"/>
  <c r="Q542" i="6"/>
  <c r="Q543" i="6"/>
  <c r="Q544" i="6"/>
  <c r="Q545" i="6"/>
  <c r="Q546" i="6"/>
  <c r="Q547" i="6"/>
  <c r="Q548" i="6"/>
  <c r="Q549" i="6"/>
  <c r="Q550" i="6"/>
  <c r="Q551" i="6"/>
  <c r="Q552" i="6"/>
  <c r="Q553" i="6"/>
  <c r="Q554" i="6"/>
  <c r="Q555" i="6"/>
  <c r="Q556" i="6"/>
  <c r="Q557" i="6"/>
  <c r="Q558" i="6"/>
  <c r="Q559" i="6"/>
  <c r="Q560" i="6"/>
  <c r="Q561" i="6"/>
  <c r="Q562" i="6"/>
  <c r="Q563" i="6"/>
  <c r="Q564" i="6"/>
  <c r="Q565" i="6"/>
  <c r="Q566" i="6"/>
  <c r="Q567" i="6"/>
  <c r="Q568" i="6"/>
  <c r="Q569" i="6"/>
  <c r="Q570" i="6"/>
  <c r="Q571" i="6"/>
  <c r="Q572" i="6"/>
  <c r="Q573" i="6"/>
  <c r="Q574" i="6"/>
  <c r="Q575" i="6"/>
  <c r="Q576" i="6"/>
  <c r="Q577" i="6"/>
  <c r="Q578" i="6"/>
  <c r="Q579" i="6"/>
  <c r="Q580" i="6"/>
  <c r="Q581" i="6"/>
  <c r="Q582" i="6"/>
  <c r="Q583" i="6"/>
  <c r="Q584" i="6"/>
  <c r="Q585" i="6"/>
  <c r="Q586" i="6"/>
  <c r="Q587" i="6"/>
  <c r="Q588" i="6"/>
  <c r="Q589" i="6"/>
  <c r="Q590" i="6"/>
  <c r="Q591" i="6"/>
  <c r="Q592" i="6"/>
  <c r="Q593" i="6"/>
  <c r="Q594" i="6"/>
  <c r="Q595" i="6"/>
  <c r="Q596" i="6"/>
  <c r="Q597" i="6"/>
  <c r="Q598" i="6"/>
  <c r="Q599" i="6"/>
  <c r="Q600" i="6"/>
  <c r="Q601" i="6"/>
  <c r="Q602" i="6"/>
  <c r="Q603" i="6"/>
  <c r="Q604" i="6"/>
  <c r="Q605" i="6"/>
  <c r="Q606" i="6"/>
  <c r="Q607" i="6"/>
  <c r="Q608" i="6"/>
  <c r="Q609" i="6"/>
  <c r="Q610" i="6"/>
  <c r="Q611" i="6"/>
  <c r="Q612" i="6"/>
  <c r="Q613" i="6"/>
  <c r="Q614" i="6"/>
  <c r="Q615" i="6"/>
  <c r="Q616" i="6"/>
  <c r="Q617" i="6"/>
  <c r="Q618" i="6"/>
  <c r="Q619" i="6"/>
  <c r="Q620" i="6"/>
  <c r="Q621" i="6"/>
  <c r="Q622" i="6"/>
  <c r="Q623" i="6"/>
  <c r="Q624" i="6"/>
  <c r="Q625" i="6"/>
  <c r="Q626" i="6"/>
  <c r="Q627" i="6"/>
  <c r="Q628" i="6"/>
  <c r="Q629" i="6"/>
  <c r="Q630" i="6"/>
  <c r="Q631" i="6"/>
  <c r="Q632" i="6"/>
  <c r="Q633" i="6"/>
  <c r="Q634" i="6"/>
  <c r="Q635" i="6"/>
  <c r="Q636" i="6"/>
  <c r="Q637" i="6"/>
  <c r="Q638" i="6"/>
  <c r="Q639" i="6"/>
  <c r="Q640" i="6"/>
  <c r="Q641" i="6"/>
  <c r="Q642" i="6"/>
  <c r="Q643" i="6"/>
  <c r="Q644" i="6"/>
  <c r="Q645" i="6"/>
  <c r="Q646" i="6"/>
  <c r="Q647" i="6"/>
  <c r="Q648" i="6"/>
  <c r="Q649" i="6"/>
  <c r="Q650" i="6"/>
  <c r="Q651" i="6"/>
  <c r="Q652" i="6"/>
  <c r="Q653" i="6"/>
  <c r="Q654" i="6"/>
  <c r="Q655" i="6"/>
  <c r="Q656" i="6"/>
  <c r="Q657" i="6"/>
  <c r="Q658" i="6"/>
  <c r="Q659" i="6"/>
  <c r="Q660" i="6"/>
  <c r="Q661" i="6"/>
  <c r="Q662" i="6"/>
  <c r="Q663" i="6"/>
  <c r="Q664" i="6"/>
  <c r="Q665" i="6"/>
  <c r="Q666" i="6"/>
  <c r="Q667" i="6"/>
  <c r="Q668" i="6"/>
  <c r="Q669" i="6"/>
  <c r="Q670" i="6"/>
  <c r="Q671" i="6"/>
  <c r="Q672" i="6"/>
  <c r="Q673" i="6"/>
  <c r="Q674" i="6"/>
  <c r="Q675" i="6"/>
  <c r="Q676" i="6"/>
  <c r="Q677" i="6"/>
  <c r="Q678" i="6"/>
  <c r="Q679" i="6"/>
  <c r="Q680" i="6"/>
  <c r="Q681" i="6"/>
  <c r="Q682" i="6"/>
  <c r="Q683" i="6"/>
  <c r="Q684" i="6"/>
  <c r="Q685" i="6"/>
  <c r="Q686" i="6"/>
  <c r="Q687" i="6"/>
  <c r="Q688" i="6"/>
  <c r="Q689" i="6"/>
  <c r="Q690" i="6"/>
  <c r="Q691" i="6"/>
  <c r="Q692" i="6"/>
  <c r="Q693" i="6"/>
  <c r="Q694" i="6"/>
  <c r="Q695" i="6"/>
  <c r="Q696" i="6"/>
  <c r="Q697" i="6"/>
  <c r="Q698" i="6"/>
  <c r="Q699" i="6"/>
  <c r="Q700" i="6"/>
  <c r="Q701" i="6"/>
  <c r="Q702" i="6"/>
  <c r="Q703" i="6"/>
  <c r="Q704" i="6"/>
  <c r="Q705" i="6"/>
  <c r="Q706" i="6"/>
  <c r="Q707" i="6"/>
  <c r="Q708" i="6"/>
  <c r="Q709" i="6"/>
  <c r="Q710" i="6"/>
  <c r="Q711" i="6"/>
  <c r="Q712" i="6"/>
  <c r="Q713" i="6"/>
  <c r="Q714" i="6"/>
  <c r="Q715" i="6"/>
  <c r="Q716" i="6"/>
  <c r="Q717" i="6"/>
  <c r="Q718" i="6"/>
  <c r="Q719" i="6"/>
  <c r="Q720" i="6"/>
  <c r="Q721" i="6"/>
  <c r="Q722" i="6"/>
  <c r="Q723" i="6"/>
  <c r="Q724" i="6"/>
  <c r="Q725" i="6"/>
  <c r="Q726" i="6"/>
  <c r="Q727" i="6"/>
  <c r="Q728" i="6"/>
  <c r="Q729" i="6"/>
  <c r="Q730" i="6"/>
  <c r="Q731" i="6"/>
  <c r="Q732" i="6"/>
  <c r="Q733" i="6"/>
  <c r="Q734" i="6"/>
  <c r="Q735" i="6"/>
  <c r="Q736" i="6"/>
  <c r="Q737" i="6"/>
  <c r="Q738" i="6"/>
  <c r="Q739" i="6"/>
  <c r="Q740" i="6"/>
  <c r="Q741" i="6"/>
  <c r="Q742" i="6"/>
  <c r="Q743" i="6"/>
  <c r="Q744" i="6"/>
  <c r="Q745" i="6"/>
  <c r="Q746" i="6"/>
  <c r="Q747" i="6"/>
  <c r="Q748" i="6"/>
  <c r="Q749" i="6"/>
  <c r="Q750" i="6"/>
  <c r="Q751" i="6"/>
  <c r="Q752" i="6"/>
  <c r="Q753" i="6"/>
  <c r="Q754" i="6"/>
  <c r="Q755" i="6"/>
  <c r="Q756" i="6"/>
  <c r="Q757" i="6"/>
  <c r="Q758" i="6"/>
  <c r="Q759" i="6"/>
  <c r="Q760" i="6"/>
  <c r="Q761" i="6"/>
  <c r="Q762" i="6"/>
  <c r="Q763" i="6"/>
  <c r="Q764" i="6"/>
  <c r="Q765" i="6"/>
  <c r="Q766" i="6"/>
  <c r="Q767" i="6"/>
  <c r="Q768" i="6"/>
  <c r="Q769" i="6"/>
  <c r="Q770" i="6"/>
  <c r="Q771" i="6"/>
  <c r="Q772" i="6"/>
  <c r="Q773" i="6"/>
  <c r="Q774" i="6"/>
  <c r="Q775" i="6"/>
  <c r="Q776" i="6"/>
  <c r="Q777" i="6"/>
  <c r="Q778" i="6"/>
  <c r="Q779" i="6"/>
  <c r="Q780" i="6"/>
  <c r="Q781" i="6"/>
  <c r="Q782" i="6"/>
  <c r="Q783" i="6"/>
  <c r="Q784" i="6"/>
  <c r="Q785" i="6"/>
  <c r="Q786" i="6"/>
  <c r="Q787" i="6"/>
  <c r="Q788" i="6"/>
  <c r="Q789" i="6"/>
  <c r="Q790" i="6"/>
  <c r="Q791" i="6"/>
  <c r="Q792" i="6"/>
  <c r="Q793" i="6"/>
  <c r="Q794" i="6"/>
  <c r="Q795" i="6"/>
  <c r="Q796" i="6"/>
  <c r="Q797" i="6"/>
  <c r="Q798" i="6"/>
  <c r="Q799" i="6"/>
  <c r="Q800" i="6"/>
  <c r="Q801" i="6"/>
  <c r="Q802" i="6"/>
  <c r="Q803" i="6"/>
  <c r="Q804" i="6"/>
  <c r="Q805" i="6"/>
  <c r="Q806" i="6"/>
  <c r="Q807" i="6"/>
  <c r="Q808" i="6"/>
  <c r="Q809" i="6"/>
  <c r="Q810" i="6"/>
  <c r="Q811" i="6"/>
  <c r="Q812" i="6"/>
  <c r="Q813" i="6"/>
  <c r="Q814" i="6"/>
  <c r="Q815" i="6"/>
  <c r="Q816" i="6"/>
  <c r="Q817" i="6"/>
  <c r="Q818" i="6"/>
  <c r="Q819" i="6"/>
  <c r="Q820" i="6"/>
  <c r="Q821" i="6"/>
  <c r="Q822" i="6"/>
  <c r="Q823" i="6"/>
  <c r="Q824" i="6"/>
  <c r="Q825" i="6"/>
  <c r="Q826" i="6"/>
  <c r="Q827" i="6"/>
  <c r="Q828" i="6"/>
  <c r="Q829" i="6"/>
  <c r="Q830" i="6"/>
  <c r="Q831" i="6"/>
  <c r="Q832" i="6"/>
  <c r="Q833" i="6"/>
  <c r="Q834" i="6"/>
  <c r="Q835" i="6"/>
  <c r="Q836" i="6"/>
  <c r="Q837" i="6"/>
  <c r="Q838" i="6"/>
  <c r="Q839" i="6"/>
  <c r="Q840" i="6"/>
  <c r="Q841" i="6"/>
  <c r="Q842" i="6"/>
  <c r="Q843" i="6"/>
  <c r="Q844" i="6"/>
  <c r="Q845" i="6"/>
  <c r="Q846" i="6"/>
  <c r="Q847" i="6"/>
  <c r="Q848" i="6"/>
  <c r="Q849" i="6"/>
  <c r="Q850" i="6"/>
  <c r="Q851" i="6"/>
  <c r="Q852" i="6"/>
  <c r="Q853" i="6"/>
  <c r="Q854" i="6"/>
  <c r="Q855" i="6"/>
  <c r="Q856" i="6"/>
  <c r="Q857" i="6"/>
  <c r="Q858" i="6"/>
  <c r="Q859" i="6"/>
  <c r="Q860" i="6"/>
  <c r="Q861" i="6"/>
  <c r="Q862" i="6"/>
  <c r="Q863" i="6"/>
  <c r="Q864" i="6"/>
  <c r="Q865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6" i="6"/>
  <c r="P137" i="6"/>
  <c r="P138" i="6"/>
  <c r="P139" i="6"/>
  <c r="P140" i="6"/>
  <c r="P141" i="6"/>
  <c r="P142" i="6"/>
  <c r="P143" i="6"/>
  <c r="P144" i="6"/>
  <c r="P145" i="6"/>
  <c r="P146" i="6"/>
  <c r="P147" i="6"/>
  <c r="P148" i="6"/>
  <c r="P149" i="6"/>
  <c r="P150" i="6"/>
  <c r="P151" i="6"/>
  <c r="P152" i="6"/>
  <c r="P153" i="6"/>
  <c r="P154" i="6"/>
  <c r="P155" i="6"/>
  <c r="P156" i="6"/>
  <c r="P157" i="6"/>
  <c r="P158" i="6"/>
  <c r="P159" i="6"/>
  <c r="P160" i="6"/>
  <c r="P161" i="6"/>
  <c r="P162" i="6"/>
  <c r="P163" i="6"/>
  <c r="P164" i="6"/>
  <c r="P165" i="6"/>
  <c r="P166" i="6"/>
  <c r="P167" i="6"/>
  <c r="P168" i="6"/>
  <c r="P169" i="6"/>
  <c r="P170" i="6"/>
  <c r="P171" i="6"/>
  <c r="P172" i="6"/>
  <c r="P173" i="6"/>
  <c r="P174" i="6"/>
  <c r="P175" i="6"/>
  <c r="P176" i="6"/>
  <c r="P177" i="6"/>
  <c r="P178" i="6"/>
  <c r="P179" i="6"/>
  <c r="P180" i="6"/>
  <c r="P181" i="6"/>
  <c r="P182" i="6"/>
  <c r="P183" i="6"/>
  <c r="P184" i="6"/>
  <c r="P185" i="6"/>
  <c r="P186" i="6"/>
  <c r="P187" i="6"/>
  <c r="P188" i="6"/>
  <c r="P189" i="6"/>
  <c r="P190" i="6"/>
  <c r="P191" i="6"/>
  <c r="P192" i="6"/>
  <c r="P193" i="6"/>
  <c r="P194" i="6"/>
  <c r="P195" i="6"/>
  <c r="P196" i="6"/>
  <c r="P197" i="6"/>
  <c r="P198" i="6"/>
  <c r="P199" i="6"/>
  <c r="P200" i="6"/>
  <c r="P201" i="6"/>
  <c r="P202" i="6"/>
  <c r="P203" i="6"/>
  <c r="P204" i="6"/>
  <c r="P205" i="6"/>
  <c r="P206" i="6"/>
  <c r="P207" i="6"/>
  <c r="P208" i="6"/>
  <c r="P209" i="6"/>
  <c r="P210" i="6"/>
  <c r="P211" i="6"/>
  <c r="P212" i="6"/>
  <c r="P213" i="6"/>
  <c r="P214" i="6"/>
  <c r="P215" i="6"/>
  <c r="P216" i="6"/>
  <c r="P217" i="6"/>
  <c r="P218" i="6"/>
  <c r="P219" i="6"/>
  <c r="P220" i="6"/>
  <c r="P221" i="6"/>
  <c r="P222" i="6"/>
  <c r="P223" i="6"/>
  <c r="P224" i="6"/>
  <c r="P225" i="6"/>
  <c r="P226" i="6"/>
  <c r="P227" i="6"/>
  <c r="P228" i="6"/>
  <c r="P229" i="6"/>
  <c r="P230" i="6"/>
  <c r="P231" i="6"/>
  <c r="P232" i="6"/>
  <c r="P233" i="6"/>
  <c r="P234" i="6"/>
  <c r="P235" i="6"/>
  <c r="P236" i="6"/>
  <c r="P237" i="6"/>
  <c r="P238" i="6"/>
  <c r="P239" i="6"/>
  <c r="P240" i="6"/>
  <c r="P241" i="6"/>
  <c r="P242" i="6"/>
  <c r="P243" i="6"/>
  <c r="P244" i="6"/>
  <c r="P245" i="6"/>
  <c r="P246" i="6"/>
  <c r="P247" i="6"/>
  <c r="P248" i="6"/>
  <c r="P249" i="6"/>
  <c r="P250" i="6"/>
  <c r="P251" i="6"/>
  <c r="P252" i="6"/>
  <c r="P253" i="6"/>
  <c r="P254" i="6"/>
  <c r="P255" i="6"/>
  <c r="P256" i="6"/>
  <c r="P257" i="6"/>
  <c r="P258" i="6"/>
  <c r="P259" i="6"/>
  <c r="P260" i="6"/>
  <c r="P261" i="6"/>
  <c r="P262" i="6"/>
  <c r="P263" i="6"/>
  <c r="P264" i="6"/>
  <c r="P265" i="6"/>
  <c r="P266" i="6"/>
  <c r="P267" i="6"/>
  <c r="P268" i="6"/>
  <c r="P269" i="6"/>
  <c r="P270" i="6"/>
  <c r="P271" i="6"/>
  <c r="P272" i="6"/>
  <c r="P273" i="6"/>
  <c r="P274" i="6"/>
  <c r="P275" i="6"/>
  <c r="P276" i="6"/>
  <c r="P277" i="6"/>
  <c r="P278" i="6"/>
  <c r="P279" i="6"/>
  <c r="P280" i="6"/>
  <c r="P281" i="6"/>
  <c r="P282" i="6"/>
  <c r="P283" i="6"/>
  <c r="P284" i="6"/>
  <c r="P285" i="6"/>
  <c r="P286" i="6"/>
  <c r="P287" i="6"/>
  <c r="P288" i="6"/>
  <c r="P289" i="6"/>
  <c r="P290" i="6"/>
  <c r="P291" i="6"/>
  <c r="P292" i="6"/>
  <c r="P293" i="6"/>
  <c r="P294" i="6"/>
  <c r="P295" i="6"/>
  <c r="P296" i="6"/>
  <c r="P297" i="6"/>
  <c r="P298" i="6"/>
  <c r="P299" i="6"/>
  <c r="P300" i="6"/>
  <c r="P301" i="6"/>
  <c r="P302" i="6"/>
  <c r="P303" i="6"/>
  <c r="P304" i="6"/>
  <c r="P305" i="6"/>
  <c r="P306" i="6"/>
  <c r="P307" i="6"/>
  <c r="P308" i="6"/>
  <c r="P309" i="6"/>
  <c r="P310" i="6"/>
  <c r="P311" i="6"/>
  <c r="P312" i="6"/>
  <c r="P313" i="6"/>
  <c r="P314" i="6"/>
  <c r="P315" i="6"/>
  <c r="P316" i="6"/>
  <c r="P317" i="6"/>
  <c r="P318" i="6"/>
  <c r="P319" i="6"/>
  <c r="P320" i="6"/>
  <c r="P321" i="6"/>
  <c r="P322" i="6"/>
  <c r="P323" i="6"/>
  <c r="P324" i="6"/>
  <c r="P325" i="6"/>
  <c r="P326" i="6"/>
  <c r="P327" i="6"/>
  <c r="P328" i="6"/>
  <c r="P329" i="6"/>
  <c r="P330" i="6"/>
  <c r="P331" i="6"/>
  <c r="P332" i="6"/>
  <c r="P333" i="6"/>
  <c r="P334" i="6"/>
  <c r="P335" i="6"/>
  <c r="P336" i="6"/>
  <c r="P337" i="6"/>
  <c r="P338" i="6"/>
  <c r="P339" i="6"/>
  <c r="P340" i="6"/>
  <c r="P341" i="6"/>
  <c r="P342" i="6"/>
  <c r="P343" i="6"/>
  <c r="P344" i="6"/>
  <c r="P345" i="6"/>
  <c r="P346" i="6"/>
  <c r="P347" i="6"/>
  <c r="P348" i="6"/>
  <c r="P349" i="6"/>
  <c r="P350" i="6"/>
  <c r="P351" i="6"/>
  <c r="P352" i="6"/>
  <c r="P353" i="6"/>
  <c r="P354" i="6"/>
  <c r="P355" i="6"/>
  <c r="P356" i="6"/>
  <c r="P357" i="6"/>
  <c r="P358" i="6"/>
  <c r="P359" i="6"/>
  <c r="P360" i="6"/>
  <c r="P361" i="6"/>
  <c r="P362" i="6"/>
  <c r="P363" i="6"/>
  <c r="P364" i="6"/>
  <c r="P365" i="6"/>
  <c r="P366" i="6"/>
  <c r="P367" i="6"/>
  <c r="P368" i="6"/>
  <c r="P369" i="6"/>
  <c r="P370" i="6"/>
  <c r="P371" i="6"/>
  <c r="P372" i="6"/>
  <c r="P373" i="6"/>
  <c r="P374" i="6"/>
  <c r="P375" i="6"/>
  <c r="P376" i="6"/>
  <c r="P377" i="6"/>
  <c r="P378" i="6"/>
  <c r="P379" i="6"/>
  <c r="P380" i="6"/>
  <c r="P381" i="6"/>
  <c r="P382" i="6"/>
  <c r="P383" i="6"/>
  <c r="P384" i="6"/>
  <c r="P385" i="6"/>
  <c r="P386" i="6"/>
  <c r="P387" i="6"/>
  <c r="P388" i="6"/>
  <c r="P389" i="6"/>
  <c r="P390" i="6"/>
  <c r="P391" i="6"/>
  <c r="P392" i="6"/>
  <c r="P393" i="6"/>
  <c r="P394" i="6"/>
  <c r="P395" i="6"/>
  <c r="P396" i="6"/>
  <c r="P397" i="6"/>
  <c r="P398" i="6"/>
  <c r="P399" i="6"/>
  <c r="P400" i="6"/>
  <c r="P401" i="6"/>
  <c r="P402" i="6"/>
  <c r="P403" i="6"/>
  <c r="P404" i="6"/>
  <c r="P405" i="6"/>
  <c r="P406" i="6"/>
  <c r="P407" i="6"/>
  <c r="P408" i="6"/>
  <c r="P409" i="6"/>
  <c r="P410" i="6"/>
  <c r="P411" i="6"/>
  <c r="P412" i="6"/>
  <c r="P413" i="6"/>
  <c r="P414" i="6"/>
  <c r="P415" i="6"/>
  <c r="P416" i="6"/>
  <c r="P417" i="6"/>
  <c r="P418" i="6"/>
  <c r="P419" i="6"/>
  <c r="P420" i="6"/>
  <c r="P421" i="6"/>
  <c r="P422" i="6"/>
  <c r="P423" i="6"/>
  <c r="P424" i="6"/>
  <c r="P425" i="6"/>
  <c r="P426" i="6"/>
  <c r="P427" i="6"/>
  <c r="P428" i="6"/>
  <c r="P429" i="6"/>
  <c r="P430" i="6"/>
  <c r="P431" i="6"/>
  <c r="P432" i="6"/>
  <c r="P433" i="6"/>
  <c r="P434" i="6"/>
  <c r="P435" i="6"/>
  <c r="P436" i="6"/>
  <c r="P437" i="6"/>
  <c r="P438" i="6"/>
  <c r="P439" i="6"/>
  <c r="P440" i="6"/>
  <c r="P441" i="6"/>
  <c r="P442" i="6"/>
  <c r="P443" i="6"/>
  <c r="P444" i="6"/>
  <c r="P445" i="6"/>
  <c r="P446" i="6"/>
  <c r="P447" i="6"/>
  <c r="P448" i="6"/>
  <c r="P449" i="6"/>
  <c r="P450" i="6"/>
  <c r="P451" i="6"/>
  <c r="P452" i="6"/>
  <c r="P453" i="6"/>
  <c r="P454" i="6"/>
  <c r="P455" i="6"/>
  <c r="P456" i="6"/>
  <c r="P457" i="6"/>
  <c r="P458" i="6"/>
  <c r="P459" i="6"/>
  <c r="P460" i="6"/>
  <c r="P461" i="6"/>
  <c r="P462" i="6"/>
  <c r="P463" i="6"/>
  <c r="P464" i="6"/>
  <c r="P465" i="6"/>
  <c r="P466" i="6"/>
  <c r="P467" i="6"/>
  <c r="P468" i="6"/>
  <c r="P469" i="6"/>
  <c r="P470" i="6"/>
  <c r="P471" i="6"/>
  <c r="P472" i="6"/>
  <c r="P473" i="6"/>
  <c r="P474" i="6"/>
  <c r="P475" i="6"/>
  <c r="P476" i="6"/>
  <c r="P477" i="6"/>
  <c r="P478" i="6"/>
  <c r="P479" i="6"/>
  <c r="P480" i="6"/>
  <c r="P481" i="6"/>
  <c r="P482" i="6"/>
  <c r="P483" i="6"/>
  <c r="P484" i="6"/>
  <c r="P485" i="6"/>
  <c r="P486" i="6"/>
  <c r="P487" i="6"/>
  <c r="P488" i="6"/>
  <c r="P489" i="6"/>
  <c r="P490" i="6"/>
  <c r="P491" i="6"/>
  <c r="P492" i="6"/>
  <c r="P493" i="6"/>
  <c r="P494" i="6"/>
  <c r="P495" i="6"/>
  <c r="P496" i="6"/>
  <c r="P497" i="6"/>
  <c r="P498" i="6"/>
  <c r="P499" i="6"/>
  <c r="P500" i="6"/>
  <c r="P501" i="6"/>
  <c r="P502" i="6"/>
  <c r="P503" i="6"/>
  <c r="P504" i="6"/>
  <c r="P505" i="6"/>
  <c r="P506" i="6"/>
  <c r="P507" i="6"/>
  <c r="P508" i="6"/>
  <c r="P509" i="6"/>
  <c r="P510" i="6"/>
  <c r="P511" i="6"/>
  <c r="P512" i="6"/>
  <c r="P513" i="6"/>
  <c r="P514" i="6"/>
  <c r="P515" i="6"/>
  <c r="P516" i="6"/>
  <c r="P517" i="6"/>
  <c r="P518" i="6"/>
  <c r="P519" i="6"/>
  <c r="P520" i="6"/>
  <c r="P521" i="6"/>
  <c r="P522" i="6"/>
  <c r="P523" i="6"/>
  <c r="P524" i="6"/>
  <c r="P525" i="6"/>
  <c r="P526" i="6"/>
  <c r="P527" i="6"/>
  <c r="P528" i="6"/>
  <c r="P529" i="6"/>
  <c r="P530" i="6"/>
  <c r="P531" i="6"/>
  <c r="P532" i="6"/>
  <c r="P533" i="6"/>
  <c r="P534" i="6"/>
  <c r="P535" i="6"/>
  <c r="P536" i="6"/>
  <c r="P537" i="6"/>
  <c r="P538" i="6"/>
  <c r="P539" i="6"/>
  <c r="P540" i="6"/>
  <c r="P541" i="6"/>
  <c r="P542" i="6"/>
  <c r="P543" i="6"/>
  <c r="P544" i="6"/>
  <c r="P545" i="6"/>
  <c r="P546" i="6"/>
  <c r="P547" i="6"/>
  <c r="P548" i="6"/>
  <c r="P549" i="6"/>
  <c r="P550" i="6"/>
  <c r="P551" i="6"/>
  <c r="P552" i="6"/>
  <c r="P553" i="6"/>
  <c r="P554" i="6"/>
  <c r="P555" i="6"/>
  <c r="P556" i="6"/>
  <c r="P557" i="6"/>
  <c r="P558" i="6"/>
  <c r="P559" i="6"/>
  <c r="P560" i="6"/>
  <c r="P561" i="6"/>
  <c r="P562" i="6"/>
  <c r="P563" i="6"/>
  <c r="P564" i="6"/>
  <c r="P565" i="6"/>
  <c r="P566" i="6"/>
  <c r="P567" i="6"/>
  <c r="P568" i="6"/>
  <c r="P569" i="6"/>
  <c r="P570" i="6"/>
  <c r="P571" i="6"/>
  <c r="P572" i="6"/>
  <c r="P573" i="6"/>
  <c r="P574" i="6"/>
  <c r="P575" i="6"/>
  <c r="P576" i="6"/>
  <c r="P577" i="6"/>
  <c r="P578" i="6"/>
  <c r="P579" i="6"/>
  <c r="P580" i="6"/>
  <c r="P581" i="6"/>
  <c r="P582" i="6"/>
  <c r="P583" i="6"/>
  <c r="P584" i="6"/>
  <c r="P585" i="6"/>
  <c r="P586" i="6"/>
  <c r="P587" i="6"/>
  <c r="P588" i="6"/>
  <c r="P589" i="6"/>
  <c r="P590" i="6"/>
  <c r="P591" i="6"/>
  <c r="P592" i="6"/>
  <c r="P593" i="6"/>
  <c r="P594" i="6"/>
  <c r="P595" i="6"/>
  <c r="P596" i="6"/>
  <c r="P597" i="6"/>
  <c r="P598" i="6"/>
  <c r="P599" i="6"/>
  <c r="P600" i="6"/>
  <c r="P601" i="6"/>
  <c r="P602" i="6"/>
  <c r="P603" i="6"/>
  <c r="P604" i="6"/>
  <c r="P605" i="6"/>
  <c r="P606" i="6"/>
  <c r="P607" i="6"/>
  <c r="P608" i="6"/>
  <c r="P609" i="6"/>
  <c r="P610" i="6"/>
  <c r="P611" i="6"/>
  <c r="P612" i="6"/>
  <c r="P613" i="6"/>
  <c r="P614" i="6"/>
  <c r="P615" i="6"/>
  <c r="P616" i="6"/>
  <c r="P617" i="6"/>
  <c r="P618" i="6"/>
  <c r="P619" i="6"/>
  <c r="P620" i="6"/>
  <c r="P621" i="6"/>
  <c r="P622" i="6"/>
  <c r="P623" i="6"/>
  <c r="P624" i="6"/>
  <c r="P625" i="6"/>
  <c r="P626" i="6"/>
  <c r="P627" i="6"/>
  <c r="P628" i="6"/>
  <c r="P629" i="6"/>
  <c r="P630" i="6"/>
  <c r="P631" i="6"/>
  <c r="P632" i="6"/>
  <c r="P633" i="6"/>
  <c r="P634" i="6"/>
  <c r="P635" i="6"/>
  <c r="P636" i="6"/>
  <c r="P637" i="6"/>
  <c r="P638" i="6"/>
  <c r="P639" i="6"/>
  <c r="P640" i="6"/>
  <c r="P641" i="6"/>
  <c r="P642" i="6"/>
  <c r="P643" i="6"/>
  <c r="P644" i="6"/>
  <c r="P645" i="6"/>
  <c r="P646" i="6"/>
  <c r="P647" i="6"/>
  <c r="P648" i="6"/>
  <c r="P649" i="6"/>
  <c r="P650" i="6"/>
  <c r="P651" i="6"/>
  <c r="P652" i="6"/>
  <c r="P653" i="6"/>
  <c r="P654" i="6"/>
  <c r="P655" i="6"/>
  <c r="P656" i="6"/>
  <c r="P657" i="6"/>
  <c r="P658" i="6"/>
  <c r="P659" i="6"/>
  <c r="P660" i="6"/>
  <c r="P661" i="6"/>
  <c r="P662" i="6"/>
  <c r="P663" i="6"/>
  <c r="P664" i="6"/>
  <c r="P665" i="6"/>
  <c r="P666" i="6"/>
  <c r="P667" i="6"/>
  <c r="P668" i="6"/>
  <c r="P669" i="6"/>
  <c r="P670" i="6"/>
  <c r="P671" i="6"/>
  <c r="P672" i="6"/>
  <c r="P673" i="6"/>
  <c r="P674" i="6"/>
  <c r="P675" i="6"/>
  <c r="P676" i="6"/>
  <c r="P677" i="6"/>
  <c r="P678" i="6"/>
  <c r="P679" i="6"/>
  <c r="P680" i="6"/>
  <c r="P681" i="6"/>
  <c r="P682" i="6"/>
  <c r="P683" i="6"/>
  <c r="P684" i="6"/>
  <c r="P685" i="6"/>
  <c r="P686" i="6"/>
  <c r="P687" i="6"/>
  <c r="P688" i="6"/>
  <c r="P689" i="6"/>
  <c r="P690" i="6"/>
  <c r="P691" i="6"/>
  <c r="P692" i="6"/>
  <c r="P693" i="6"/>
  <c r="P694" i="6"/>
  <c r="P695" i="6"/>
  <c r="P696" i="6"/>
  <c r="P697" i="6"/>
  <c r="P698" i="6"/>
  <c r="P699" i="6"/>
  <c r="P700" i="6"/>
  <c r="P701" i="6"/>
  <c r="P702" i="6"/>
  <c r="P703" i="6"/>
  <c r="P704" i="6"/>
  <c r="P705" i="6"/>
  <c r="P706" i="6"/>
  <c r="P707" i="6"/>
  <c r="P708" i="6"/>
  <c r="P709" i="6"/>
  <c r="P710" i="6"/>
  <c r="P711" i="6"/>
  <c r="P712" i="6"/>
  <c r="P713" i="6"/>
  <c r="P714" i="6"/>
  <c r="P715" i="6"/>
  <c r="P716" i="6"/>
  <c r="P717" i="6"/>
  <c r="P718" i="6"/>
  <c r="P719" i="6"/>
  <c r="P720" i="6"/>
  <c r="P721" i="6"/>
  <c r="P722" i="6"/>
  <c r="P723" i="6"/>
  <c r="P724" i="6"/>
  <c r="P725" i="6"/>
  <c r="P726" i="6"/>
  <c r="P727" i="6"/>
  <c r="P728" i="6"/>
  <c r="P729" i="6"/>
  <c r="P730" i="6"/>
  <c r="P731" i="6"/>
  <c r="P732" i="6"/>
  <c r="P733" i="6"/>
  <c r="P734" i="6"/>
  <c r="P735" i="6"/>
  <c r="P736" i="6"/>
  <c r="P737" i="6"/>
  <c r="P738" i="6"/>
  <c r="P739" i="6"/>
  <c r="P740" i="6"/>
  <c r="P741" i="6"/>
  <c r="P742" i="6"/>
  <c r="P743" i="6"/>
  <c r="P744" i="6"/>
  <c r="P745" i="6"/>
  <c r="P746" i="6"/>
  <c r="P747" i="6"/>
  <c r="P748" i="6"/>
  <c r="P749" i="6"/>
  <c r="P750" i="6"/>
  <c r="P751" i="6"/>
  <c r="P752" i="6"/>
  <c r="P753" i="6"/>
  <c r="P754" i="6"/>
  <c r="P755" i="6"/>
  <c r="P756" i="6"/>
  <c r="P757" i="6"/>
  <c r="P758" i="6"/>
  <c r="P759" i="6"/>
  <c r="P760" i="6"/>
  <c r="P761" i="6"/>
  <c r="P762" i="6"/>
  <c r="P763" i="6"/>
  <c r="P764" i="6"/>
  <c r="P765" i="6"/>
  <c r="P766" i="6"/>
  <c r="P767" i="6"/>
  <c r="P768" i="6"/>
  <c r="P769" i="6"/>
  <c r="P770" i="6"/>
  <c r="P771" i="6"/>
  <c r="P772" i="6"/>
  <c r="P773" i="6"/>
  <c r="P774" i="6"/>
  <c r="P775" i="6"/>
  <c r="P776" i="6"/>
  <c r="P777" i="6"/>
  <c r="P778" i="6"/>
  <c r="P779" i="6"/>
  <c r="P780" i="6"/>
  <c r="P781" i="6"/>
  <c r="P782" i="6"/>
  <c r="P783" i="6"/>
  <c r="P784" i="6"/>
  <c r="P785" i="6"/>
  <c r="P786" i="6"/>
  <c r="P787" i="6"/>
  <c r="P788" i="6"/>
  <c r="P789" i="6"/>
  <c r="P790" i="6"/>
  <c r="P791" i="6"/>
  <c r="P792" i="6"/>
  <c r="P793" i="6"/>
  <c r="P794" i="6"/>
  <c r="P795" i="6"/>
  <c r="P796" i="6"/>
  <c r="P797" i="6"/>
  <c r="P798" i="6"/>
  <c r="P799" i="6"/>
  <c r="P800" i="6"/>
  <c r="P801" i="6"/>
  <c r="P802" i="6"/>
  <c r="P803" i="6"/>
  <c r="P804" i="6"/>
  <c r="P805" i="6"/>
  <c r="P806" i="6"/>
  <c r="P807" i="6"/>
  <c r="P808" i="6"/>
  <c r="P809" i="6"/>
  <c r="P810" i="6"/>
  <c r="P811" i="6"/>
  <c r="P812" i="6"/>
  <c r="P813" i="6"/>
  <c r="P814" i="6"/>
  <c r="P815" i="6"/>
  <c r="P816" i="6"/>
  <c r="P817" i="6"/>
  <c r="P818" i="6"/>
  <c r="P819" i="6"/>
  <c r="P820" i="6"/>
  <c r="P821" i="6"/>
  <c r="P822" i="6"/>
  <c r="P823" i="6"/>
  <c r="P824" i="6"/>
  <c r="P825" i="6"/>
  <c r="P826" i="6"/>
  <c r="P827" i="6"/>
  <c r="P828" i="6"/>
  <c r="P829" i="6"/>
  <c r="P830" i="6"/>
  <c r="P831" i="6"/>
  <c r="P832" i="6"/>
  <c r="P833" i="6"/>
  <c r="P834" i="6"/>
  <c r="P835" i="6"/>
  <c r="P836" i="6"/>
  <c r="P837" i="6"/>
  <c r="P838" i="6"/>
  <c r="P839" i="6"/>
  <c r="P840" i="6"/>
  <c r="P841" i="6"/>
  <c r="P842" i="6"/>
  <c r="P843" i="6"/>
  <c r="P844" i="6"/>
  <c r="P845" i="6"/>
  <c r="P846" i="6"/>
  <c r="P847" i="6"/>
  <c r="P848" i="6"/>
  <c r="P849" i="6"/>
  <c r="P850" i="6"/>
  <c r="P851" i="6"/>
  <c r="P852" i="6"/>
  <c r="P853" i="6"/>
  <c r="P854" i="6"/>
  <c r="P855" i="6"/>
  <c r="P856" i="6"/>
  <c r="P857" i="6"/>
  <c r="P858" i="6"/>
  <c r="P859" i="6"/>
  <c r="P860" i="6"/>
  <c r="P861" i="6"/>
  <c r="P862" i="6"/>
  <c r="P863" i="6"/>
  <c r="P864" i="6"/>
  <c r="P865" i="6"/>
  <c r="P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27" i="6"/>
  <c r="O228" i="6"/>
  <c r="O229" i="6"/>
  <c r="O230" i="6"/>
  <c r="O231" i="6"/>
  <c r="O232" i="6"/>
  <c r="O233" i="6"/>
  <c r="O234" i="6"/>
  <c r="O235" i="6"/>
  <c r="O236" i="6"/>
  <c r="O237" i="6"/>
  <c r="O238" i="6"/>
  <c r="O239" i="6"/>
  <c r="O240" i="6"/>
  <c r="O241" i="6"/>
  <c r="O242" i="6"/>
  <c r="O243" i="6"/>
  <c r="O244" i="6"/>
  <c r="O245" i="6"/>
  <c r="O246" i="6"/>
  <c r="O247" i="6"/>
  <c r="O248" i="6"/>
  <c r="O249" i="6"/>
  <c r="O250" i="6"/>
  <c r="O251" i="6"/>
  <c r="O252" i="6"/>
  <c r="O253" i="6"/>
  <c r="O254" i="6"/>
  <c r="O255" i="6"/>
  <c r="O256" i="6"/>
  <c r="O257" i="6"/>
  <c r="O258" i="6"/>
  <c r="O259" i="6"/>
  <c r="O260" i="6"/>
  <c r="O261" i="6"/>
  <c r="O262" i="6"/>
  <c r="O263" i="6"/>
  <c r="O264" i="6"/>
  <c r="O265" i="6"/>
  <c r="O266" i="6"/>
  <c r="O267" i="6"/>
  <c r="O268" i="6"/>
  <c r="O269" i="6"/>
  <c r="O270" i="6"/>
  <c r="O271" i="6"/>
  <c r="O272" i="6"/>
  <c r="O273" i="6"/>
  <c r="O274" i="6"/>
  <c r="O275" i="6"/>
  <c r="O276" i="6"/>
  <c r="O277" i="6"/>
  <c r="O278" i="6"/>
  <c r="O279" i="6"/>
  <c r="O280" i="6"/>
  <c r="O281" i="6"/>
  <c r="O282" i="6"/>
  <c r="O283" i="6"/>
  <c r="O284" i="6"/>
  <c r="O285" i="6"/>
  <c r="O286" i="6"/>
  <c r="O287" i="6"/>
  <c r="O288" i="6"/>
  <c r="O289" i="6"/>
  <c r="O290" i="6"/>
  <c r="O291" i="6"/>
  <c r="O292" i="6"/>
  <c r="O293" i="6"/>
  <c r="O294" i="6"/>
  <c r="O295" i="6"/>
  <c r="O296" i="6"/>
  <c r="O297" i="6"/>
  <c r="O298" i="6"/>
  <c r="O299" i="6"/>
  <c r="O300" i="6"/>
  <c r="O301" i="6"/>
  <c r="O302" i="6"/>
  <c r="O303" i="6"/>
  <c r="O304" i="6"/>
  <c r="O305" i="6"/>
  <c r="O306" i="6"/>
  <c r="O307" i="6"/>
  <c r="O308" i="6"/>
  <c r="O309" i="6"/>
  <c r="O310" i="6"/>
  <c r="O311" i="6"/>
  <c r="O312" i="6"/>
  <c r="O313" i="6"/>
  <c r="O314" i="6"/>
  <c r="O315" i="6"/>
  <c r="O316" i="6"/>
  <c r="O317" i="6"/>
  <c r="O318" i="6"/>
  <c r="O319" i="6"/>
  <c r="O320" i="6"/>
  <c r="O321" i="6"/>
  <c r="O322" i="6"/>
  <c r="O323" i="6"/>
  <c r="O324" i="6"/>
  <c r="O325" i="6"/>
  <c r="O326" i="6"/>
  <c r="O327" i="6"/>
  <c r="O328" i="6"/>
  <c r="O329" i="6"/>
  <c r="O330" i="6"/>
  <c r="O331" i="6"/>
  <c r="O332" i="6"/>
  <c r="O333" i="6"/>
  <c r="O334" i="6"/>
  <c r="O335" i="6"/>
  <c r="O336" i="6"/>
  <c r="O337" i="6"/>
  <c r="O338" i="6"/>
  <c r="O339" i="6"/>
  <c r="O340" i="6"/>
  <c r="O341" i="6"/>
  <c r="O342" i="6"/>
  <c r="O343" i="6"/>
  <c r="O344" i="6"/>
  <c r="O345" i="6"/>
  <c r="O346" i="6"/>
  <c r="O347" i="6"/>
  <c r="O348" i="6"/>
  <c r="O349" i="6"/>
  <c r="O350" i="6"/>
  <c r="O351" i="6"/>
  <c r="O352" i="6"/>
  <c r="O353" i="6"/>
  <c r="O354" i="6"/>
  <c r="O355" i="6"/>
  <c r="O356" i="6"/>
  <c r="O357" i="6"/>
  <c r="O358" i="6"/>
  <c r="O359" i="6"/>
  <c r="O360" i="6"/>
  <c r="O361" i="6"/>
  <c r="O362" i="6"/>
  <c r="O363" i="6"/>
  <c r="O364" i="6"/>
  <c r="O365" i="6"/>
  <c r="O366" i="6"/>
  <c r="O367" i="6"/>
  <c r="O368" i="6"/>
  <c r="O369" i="6"/>
  <c r="O370" i="6"/>
  <c r="O371" i="6"/>
  <c r="O372" i="6"/>
  <c r="O373" i="6"/>
  <c r="O374" i="6"/>
  <c r="O375" i="6"/>
  <c r="O376" i="6"/>
  <c r="O377" i="6"/>
  <c r="O378" i="6"/>
  <c r="O379" i="6"/>
  <c r="O380" i="6"/>
  <c r="O381" i="6"/>
  <c r="O382" i="6"/>
  <c r="O383" i="6"/>
  <c r="O384" i="6"/>
  <c r="O385" i="6"/>
  <c r="O386" i="6"/>
  <c r="O387" i="6"/>
  <c r="O388" i="6"/>
  <c r="O389" i="6"/>
  <c r="O390" i="6"/>
  <c r="O391" i="6"/>
  <c r="O392" i="6"/>
  <c r="O393" i="6"/>
  <c r="O394" i="6"/>
  <c r="O395" i="6"/>
  <c r="O396" i="6"/>
  <c r="O397" i="6"/>
  <c r="O398" i="6"/>
  <c r="O399" i="6"/>
  <c r="O400" i="6"/>
  <c r="O401" i="6"/>
  <c r="O402" i="6"/>
  <c r="O403" i="6"/>
  <c r="O404" i="6"/>
  <c r="O405" i="6"/>
  <c r="O406" i="6"/>
  <c r="O407" i="6"/>
  <c r="O408" i="6"/>
  <c r="O409" i="6"/>
  <c r="O410" i="6"/>
  <c r="O411" i="6"/>
  <c r="O412" i="6"/>
  <c r="O413" i="6"/>
  <c r="O414" i="6"/>
  <c r="O415" i="6"/>
  <c r="O416" i="6"/>
  <c r="O417" i="6"/>
  <c r="O418" i="6"/>
  <c r="O419" i="6"/>
  <c r="O420" i="6"/>
  <c r="O421" i="6"/>
  <c r="O422" i="6"/>
  <c r="O423" i="6"/>
  <c r="O424" i="6"/>
  <c r="O425" i="6"/>
  <c r="O426" i="6"/>
  <c r="O427" i="6"/>
  <c r="O428" i="6"/>
  <c r="O429" i="6"/>
  <c r="O430" i="6"/>
  <c r="O431" i="6"/>
  <c r="O432" i="6"/>
  <c r="O433" i="6"/>
  <c r="O434" i="6"/>
  <c r="O435" i="6"/>
  <c r="O436" i="6"/>
  <c r="O437" i="6"/>
  <c r="O438" i="6"/>
  <c r="O439" i="6"/>
  <c r="O440" i="6"/>
  <c r="O441" i="6"/>
  <c r="O442" i="6"/>
  <c r="O443" i="6"/>
  <c r="O444" i="6"/>
  <c r="O445" i="6"/>
  <c r="O446" i="6"/>
  <c r="O447" i="6"/>
  <c r="O448" i="6"/>
  <c r="O449" i="6"/>
  <c r="O450" i="6"/>
  <c r="O451" i="6"/>
  <c r="O452" i="6"/>
  <c r="O453" i="6"/>
  <c r="O454" i="6"/>
  <c r="O455" i="6"/>
  <c r="O456" i="6"/>
  <c r="O457" i="6"/>
  <c r="O458" i="6"/>
  <c r="O459" i="6"/>
  <c r="O460" i="6"/>
  <c r="O461" i="6"/>
  <c r="O462" i="6"/>
  <c r="O463" i="6"/>
  <c r="O464" i="6"/>
  <c r="O465" i="6"/>
  <c r="O466" i="6"/>
  <c r="O467" i="6"/>
  <c r="O468" i="6"/>
  <c r="O469" i="6"/>
  <c r="O470" i="6"/>
  <c r="O471" i="6"/>
  <c r="O472" i="6"/>
  <c r="O473" i="6"/>
  <c r="O474" i="6"/>
  <c r="O475" i="6"/>
  <c r="O476" i="6"/>
  <c r="O477" i="6"/>
  <c r="O478" i="6"/>
  <c r="O479" i="6"/>
  <c r="O480" i="6"/>
  <c r="O481" i="6"/>
  <c r="O482" i="6"/>
  <c r="O483" i="6"/>
  <c r="O484" i="6"/>
  <c r="O485" i="6"/>
  <c r="O486" i="6"/>
  <c r="O487" i="6"/>
  <c r="O488" i="6"/>
  <c r="O489" i="6"/>
  <c r="O490" i="6"/>
  <c r="O491" i="6"/>
  <c r="O492" i="6"/>
  <c r="O493" i="6"/>
  <c r="O494" i="6"/>
  <c r="O495" i="6"/>
  <c r="O496" i="6"/>
  <c r="O497" i="6"/>
  <c r="O498" i="6"/>
  <c r="O499" i="6"/>
  <c r="O500" i="6"/>
  <c r="O501" i="6"/>
  <c r="O502" i="6"/>
  <c r="O503" i="6"/>
  <c r="O504" i="6"/>
  <c r="O505" i="6"/>
  <c r="O506" i="6"/>
  <c r="O507" i="6"/>
  <c r="O508" i="6"/>
  <c r="O509" i="6"/>
  <c r="O510" i="6"/>
  <c r="O511" i="6"/>
  <c r="O512" i="6"/>
  <c r="O513" i="6"/>
  <c r="O514" i="6"/>
  <c r="O515" i="6"/>
  <c r="O516" i="6"/>
  <c r="O517" i="6"/>
  <c r="O518" i="6"/>
  <c r="O519" i="6"/>
  <c r="O520" i="6"/>
  <c r="O521" i="6"/>
  <c r="O522" i="6"/>
  <c r="O523" i="6"/>
  <c r="O524" i="6"/>
  <c r="O525" i="6"/>
  <c r="O526" i="6"/>
  <c r="O527" i="6"/>
  <c r="O528" i="6"/>
  <c r="O529" i="6"/>
  <c r="O530" i="6"/>
  <c r="O531" i="6"/>
  <c r="O532" i="6"/>
  <c r="O533" i="6"/>
  <c r="O534" i="6"/>
  <c r="O535" i="6"/>
  <c r="O536" i="6"/>
  <c r="O537" i="6"/>
  <c r="O538" i="6"/>
  <c r="O539" i="6"/>
  <c r="O540" i="6"/>
  <c r="O541" i="6"/>
  <c r="O542" i="6"/>
  <c r="O543" i="6"/>
  <c r="O544" i="6"/>
  <c r="O545" i="6"/>
  <c r="O546" i="6"/>
  <c r="O547" i="6"/>
  <c r="O548" i="6"/>
  <c r="O549" i="6"/>
  <c r="O550" i="6"/>
  <c r="O551" i="6"/>
  <c r="O552" i="6"/>
  <c r="O553" i="6"/>
  <c r="O554" i="6"/>
  <c r="O555" i="6"/>
  <c r="O556" i="6"/>
  <c r="O557" i="6"/>
  <c r="O558" i="6"/>
  <c r="O559" i="6"/>
  <c r="O560" i="6"/>
  <c r="O561" i="6"/>
  <c r="O562" i="6"/>
  <c r="O563" i="6"/>
  <c r="O564" i="6"/>
  <c r="O565" i="6"/>
  <c r="O566" i="6"/>
  <c r="O567" i="6"/>
  <c r="O568" i="6"/>
  <c r="O569" i="6"/>
  <c r="O570" i="6"/>
  <c r="O571" i="6"/>
  <c r="O572" i="6"/>
  <c r="O573" i="6"/>
  <c r="O574" i="6"/>
  <c r="O575" i="6"/>
  <c r="O576" i="6"/>
  <c r="O577" i="6"/>
  <c r="O578" i="6"/>
  <c r="O579" i="6"/>
  <c r="O580" i="6"/>
  <c r="O581" i="6"/>
  <c r="O582" i="6"/>
  <c r="O583" i="6"/>
  <c r="O584" i="6"/>
  <c r="O585" i="6"/>
  <c r="O586" i="6"/>
  <c r="O587" i="6"/>
  <c r="O588" i="6"/>
  <c r="O589" i="6"/>
  <c r="O590" i="6"/>
  <c r="O591" i="6"/>
  <c r="O592" i="6"/>
  <c r="O593" i="6"/>
  <c r="O594" i="6"/>
  <c r="O595" i="6"/>
  <c r="O596" i="6"/>
  <c r="O597" i="6"/>
  <c r="O598" i="6"/>
  <c r="O599" i="6"/>
  <c r="O600" i="6"/>
  <c r="O601" i="6"/>
  <c r="O602" i="6"/>
  <c r="O603" i="6"/>
  <c r="O604" i="6"/>
  <c r="O605" i="6"/>
  <c r="O606" i="6"/>
  <c r="O607" i="6"/>
  <c r="O608" i="6"/>
  <c r="O609" i="6"/>
  <c r="O610" i="6"/>
  <c r="O611" i="6"/>
  <c r="O612" i="6"/>
  <c r="O613" i="6"/>
  <c r="O614" i="6"/>
  <c r="O615" i="6"/>
  <c r="O616" i="6"/>
  <c r="O617" i="6"/>
  <c r="O618" i="6"/>
  <c r="O619" i="6"/>
  <c r="O620" i="6"/>
  <c r="O621" i="6"/>
  <c r="O622" i="6"/>
  <c r="O623" i="6"/>
  <c r="O624" i="6"/>
  <c r="O625" i="6"/>
  <c r="O626" i="6"/>
  <c r="O627" i="6"/>
  <c r="O628" i="6"/>
  <c r="O629" i="6"/>
  <c r="O630" i="6"/>
  <c r="O631" i="6"/>
  <c r="O632" i="6"/>
  <c r="O633" i="6"/>
  <c r="O634" i="6"/>
  <c r="O635" i="6"/>
  <c r="O636" i="6"/>
  <c r="O637" i="6"/>
  <c r="O638" i="6"/>
  <c r="O639" i="6"/>
  <c r="O640" i="6"/>
  <c r="O641" i="6"/>
  <c r="O642" i="6"/>
  <c r="O643" i="6"/>
  <c r="O644" i="6"/>
  <c r="O645" i="6"/>
  <c r="O646" i="6"/>
  <c r="O647" i="6"/>
  <c r="O648" i="6"/>
  <c r="O649" i="6"/>
  <c r="O650" i="6"/>
  <c r="O651" i="6"/>
  <c r="O652" i="6"/>
  <c r="O653" i="6"/>
  <c r="O654" i="6"/>
  <c r="O655" i="6"/>
  <c r="O656" i="6"/>
  <c r="O657" i="6"/>
  <c r="O658" i="6"/>
  <c r="O659" i="6"/>
  <c r="O660" i="6"/>
  <c r="O661" i="6"/>
  <c r="O662" i="6"/>
  <c r="O663" i="6"/>
  <c r="O664" i="6"/>
  <c r="O665" i="6"/>
  <c r="O666" i="6"/>
  <c r="O667" i="6"/>
  <c r="O668" i="6"/>
  <c r="O669" i="6"/>
  <c r="O670" i="6"/>
  <c r="O671" i="6"/>
  <c r="O672" i="6"/>
  <c r="O673" i="6"/>
  <c r="O674" i="6"/>
  <c r="O675" i="6"/>
  <c r="O676" i="6"/>
  <c r="O677" i="6"/>
  <c r="O678" i="6"/>
  <c r="O679" i="6"/>
  <c r="O680" i="6"/>
  <c r="O681" i="6"/>
  <c r="O682" i="6"/>
  <c r="O683" i="6"/>
  <c r="O684" i="6"/>
  <c r="O685" i="6"/>
  <c r="O686" i="6"/>
  <c r="O687" i="6"/>
  <c r="O688" i="6"/>
  <c r="O689" i="6"/>
  <c r="O690" i="6"/>
  <c r="O691" i="6"/>
  <c r="O692" i="6"/>
  <c r="O693" i="6"/>
  <c r="O694" i="6"/>
  <c r="O695" i="6"/>
  <c r="O696" i="6"/>
  <c r="O697" i="6"/>
  <c r="O698" i="6"/>
  <c r="O699" i="6"/>
  <c r="O700" i="6"/>
  <c r="O701" i="6"/>
  <c r="O702" i="6"/>
  <c r="O703" i="6"/>
  <c r="O704" i="6"/>
  <c r="O705" i="6"/>
  <c r="O706" i="6"/>
  <c r="O707" i="6"/>
  <c r="O708" i="6"/>
  <c r="O709" i="6"/>
  <c r="O710" i="6"/>
  <c r="O711" i="6"/>
  <c r="O712" i="6"/>
  <c r="O713" i="6"/>
  <c r="O714" i="6"/>
  <c r="O715" i="6"/>
  <c r="O716" i="6"/>
  <c r="O717" i="6"/>
  <c r="O718" i="6"/>
  <c r="O719" i="6"/>
  <c r="O720" i="6"/>
  <c r="O721" i="6"/>
  <c r="O722" i="6"/>
  <c r="O723" i="6"/>
  <c r="O724" i="6"/>
  <c r="O725" i="6"/>
  <c r="O726" i="6"/>
  <c r="O727" i="6"/>
  <c r="O728" i="6"/>
  <c r="O729" i="6"/>
  <c r="O730" i="6"/>
  <c r="O731" i="6"/>
  <c r="O732" i="6"/>
  <c r="O733" i="6"/>
  <c r="O734" i="6"/>
  <c r="O735" i="6"/>
  <c r="O736" i="6"/>
  <c r="O737" i="6"/>
  <c r="O738" i="6"/>
  <c r="O739" i="6"/>
  <c r="O740" i="6"/>
  <c r="O741" i="6"/>
  <c r="O742" i="6"/>
  <c r="O743" i="6"/>
  <c r="O744" i="6"/>
  <c r="O745" i="6"/>
  <c r="O746" i="6"/>
  <c r="O747" i="6"/>
  <c r="O748" i="6"/>
  <c r="O749" i="6"/>
  <c r="O750" i="6"/>
  <c r="O751" i="6"/>
  <c r="O752" i="6"/>
  <c r="O753" i="6"/>
  <c r="O754" i="6"/>
  <c r="O755" i="6"/>
  <c r="O756" i="6"/>
  <c r="O757" i="6"/>
  <c r="O758" i="6"/>
  <c r="O759" i="6"/>
  <c r="O760" i="6"/>
  <c r="O761" i="6"/>
  <c r="O762" i="6"/>
  <c r="O763" i="6"/>
  <c r="O764" i="6"/>
  <c r="O765" i="6"/>
  <c r="O766" i="6"/>
  <c r="O767" i="6"/>
  <c r="O768" i="6"/>
  <c r="O769" i="6"/>
  <c r="O770" i="6"/>
  <c r="O771" i="6"/>
  <c r="O772" i="6"/>
  <c r="O773" i="6"/>
  <c r="O774" i="6"/>
  <c r="O775" i="6"/>
  <c r="O776" i="6"/>
  <c r="O777" i="6"/>
  <c r="O778" i="6"/>
  <c r="O779" i="6"/>
  <c r="O780" i="6"/>
  <c r="O781" i="6"/>
  <c r="O782" i="6"/>
  <c r="O783" i="6"/>
  <c r="O784" i="6"/>
  <c r="O785" i="6"/>
  <c r="O786" i="6"/>
  <c r="O787" i="6"/>
  <c r="O788" i="6"/>
  <c r="O789" i="6"/>
  <c r="O790" i="6"/>
  <c r="O791" i="6"/>
  <c r="O792" i="6"/>
  <c r="O793" i="6"/>
  <c r="O794" i="6"/>
  <c r="O795" i="6"/>
  <c r="O796" i="6"/>
  <c r="O797" i="6"/>
  <c r="O798" i="6"/>
  <c r="O799" i="6"/>
  <c r="O800" i="6"/>
  <c r="O801" i="6"/>
  <c r="O802" i="6"/>
  <c r="O803" i="6"/>
  <c r="O804" i="6"/>
  <c r="O805" i="6"/>
  <c r="O806" i="6"/>
  <c r="O807" i="6"/>
  <c r="O808" i="6"/>
  <c r="O809" i="6"/>
  <c r="O810" i="6"/>
  <c r="O811" i="6"/>
  <c r="O812" i="6"/>
  <c r="O813" i="6"/>
  <c r="O814" i="6"/>
  <c r="O815" i="6"/>
  <c r="O816" i="6"/>
  <c r="O817" i="6"/>
  <c r="O818" i="6"/>
  <c r="O819" i="6"/>
  <c r="O820" i="6"/>
  <c r="O821" i="6"/>
  <c r="O822" i="6"/>
  <c r="O823" i="6"/>
  <c r="O824" i="6"/>
  <c r="O825" i="6"/>
  <c r="O826" i="6"/>
  <c r="O827" i="6"/>
  <c r="O828" i="6"/>
  <c r="O829" i="6"/>
  <c r="O830" i="6"/>
  <c r="O831" i="6"/>
  <c r="O832" i="6"/>
  <c r="O833" i="6"/>
  <c r="O834" i="6"/>
  <c r="O835" i="6"/>
  <c r="O836" i="6"/>
  <c r="O837" i="6"/>
  <c r="O838" i="6"/>
  <c r="O839" i="6"/>
  <c r="O840" i="6"/>
  <c r="O841" i="6"/>
  <c r="O842" i="6"/>
  <c r="O843" i="6"/>
  <c r="O844" i="6"/>
  <c r="O845" i="6"/>
  <c r="O846" i="6"/>
  <c r="O847" i="6"/>
  <c r="O848" i="6"/>
  <c r="O849" i="6"/>
  <c r="O850" i="6"/>
  <c r="O851" i="6"/>
  <c r="O852" i="6"/>
  <c r="O853" i="6"/>
  <c r="O854" i="6"/>
  <c r="O855" i="6"/>
  <c r="O856" i="6"/>
  <c r="O857" i="6"/>
  <c r="O858" i="6"/>
  <c r="O859" i="6"/>
  <c r="O860" i="6"/>
  <c r="O861" i="6"/>
  <c r="O862" i="6"/>
  <c r="O863" i="6"/>
  <c r="O864" i="6"/>
  <c r="O865" i="6"/>
  <c r="O4" i="6"/>
  <c r="J865" i="6"/>
  <c r="J864" i="6"/>
  <c r="J863" i="6"/>
  <c r="J862" i="6"/>
  <c r="J861" i="6"/>
  <c r="J860" i="6"/>
  <c r="J859" i="6"/>
  <c r="J858" i="6"/>
  <c r="J857" i="6"/>
  <c r="J856" i="6"/>
  <c r="J855" i="6"/>
  <c r="J854" i="6"/>
  <c r="J853" i="6"/>
  <c r="J852" i="6"/>
  <c r="J851" i="6"/>
  <c r="J850" i="6"/>
  <c r="J849" i="6"/>
  <c r="J848" i="6"/>
  <c r="J847" i="6"/>
  <c r="J846" i="6"/>
  <c r="J845" i="6"/>
  <c r="J844" i="6"/>
  <c r="J843" i="6"/>
  <c r="J842" i="6"/>
  <c r="J841" i="6"/>
  <c r="J840" i="6"/>
  <c r="J839" i="6"/>
  <c r="J838" i="6"/>
  <c r="J837" i="6"/>
  <c r="J836" i="6"/>
  <c r="J835" i="6"/>
  <c r="J834" i="6"/>
  <c r="J833" i="6"/>
  <c r="J832" i="6"/>
  <c r="J831" i="6"/>
  <c r="J830" i="6"/>
  <c r="J829" i="6"/>
  <c r="J828" i="6"/>
  <c r="J827" i="6"/>
  <c r="J826" i="6"/>
  <c r="J825" i="6"/>
  <c r="J824" i="6"/>
  <c r="J823" i="6"/>
  <c r="J822" i="6"/>
  <c r="J821" i="6"/>
  <c r="J820" i="6"/>
  <c r="J819" i="6"/>
  <c r="J818" i="6"/>
  <c r="J817" i="6"/>
  <c r="J816" i="6"/>
  <c r="J815" i="6"/>
  <c r="J814" i="6"/>
  <c r="J813" i="6"/>
  <c r="J812" i="6"/>
  <c r="J811" i="6"/>
  <c r="J810" i="6"/>
  <c r="J809" i="6"/>
  <c r="J808" i="6"/>
  <c r="J807" i="6"/>
  <c r="J806" i="6"/>
  <c r="J805" i="6"/>
  <c r="J804" i="6"/>
  <c r="J803" i="6"/>
  <c r="J802" i="6"/>
  <c r="J801" i="6"/>
  <c r="J800" i="6"/>
  <c r="J799" i="6"/>
  <c r="J798" i="6"/>
  <c r="J797" i="6"/>
  <c r="J796" i="6"/>
  <c r="J795" i="6"/>
  <c r="J794" i="6"/>
  <c r="J793" i="6"/>
  <c r="J792" i="6"/>
  <c r="J791" i="6"/>
  <c r="J790" i="6"/>
  <c r="J789" i="6"/>
  <c r="J788" i="6"/>
  <c r="J787" i="6"/>
  <c r="J786" i="6"/>
  <c r="J785" i="6"/>
  <c r="J784" i="6"/>
  <c r="J783" i="6"/>
  <c r="J782" i="6"/>
  <c r="J781" i="6"/>
  <c r="J780" i="6"/>
  <c r="J779" i="6"/>
  <c r="J778" i="6"/>
  <c r="J777" i="6"/>
  <c r="J776" i="6"/>
  <c r="J775" i="6"/>
  <c r="J774" i="6"/>
  <c r="J773" i="6"/>
  <c r="J772" i="6"/>
  <c r="J771" i="6"/>
  <c r="J770" i="6"/>
  <c r="J769" i="6"/>
  <c r="J768" i="6"/>
  <c r="J767" i="6"/>
  <c r="J766" i="6"/>
  <c r="J765" i="6"/>
  <c r="J764" i="6"/>
  <c r="J763" i="6"/>
  <c r="J762" i="6"/>
  <c r="J761" i="6"/>
  <c r="J760" i="6"/>
  <c r="J759" i="6"/>
  <c r="J758" i="6"/>
  <c r="J757" i="6"/>
  <c r="J756" i="6"/>
  <c r="J755" i="6"/>
  <c r="J754" i="6"/>
  <c r="J753" i="6"/>
  <c r="J752" i="6"/>
  <c r="J751" i="6"/>
  <c r="J750" i="6"/>
  <c r="J749" i="6"/>
  <c r="J748" i="6"/>
  <c r="J747" i="6"/>
  <c r="J746" i="6"/>
  <c r="J745" i="6"/>
  <c r="J744" i="6"/>
  <c r="J743" i="6"/>
  <c r="J742" i="6"/>
  <c r="J741" i="6"/>
  <c r="J740" i="6"/>
  <c r="J739" i="6"/>
  <c r="J738" i="6"/>
  <c r="J737" i="6"/>
  <c r="J736" i="6"/>
  <c r="J735" i="6"/>
  <c r="J734" i="6"/>
  <c r="J733" i="6"/>
  <c r="J732" i="6"/>
  <c r="J731" i="6"/>
  <c r="J730" i="6"/>
  <c r="J729" i="6"/>
  <c r="J728" i="6"/>
  <c r="J727" i="6"/>
  <c r="J726" i="6"/>
  <c r="J725" i="6"/>
  <c r="J724" i="6"/>
  <c r="J723" i="6"/>
  <c r="J722" i="6"/>
  <c r="J721" i="6"/>
  <c r="J720" i="6"/>
  <c r="J719" i="6"/>
  <c r="J718" i="6"/>
  <c r="J717" i="6"/>
  <c r="J716" i="6"/>
  <c r="J715" i="6"/>
  <c r="J714" i="6"/>
  <c r="J713" i="6"/>
  <c r="J712" i="6"/>
  <c r="J711" i="6"/>
  <c r="J710" i="6"/>
  <c r="J709" i="6"/>
  <c r="J708" i="6"/>
  <c r="J707" i="6"/>
  <c r="J706" i="6"/>
  <c r="J705" i="6"/>
  <c r="J704" i="6"/>
  <c r="J703" i="6"/>
  <c r="J702" i="6"/>
  <c r="J701" i="6"/>
  <c r="J700" i="6"/>
  <c r="J699" i="6"/>
  <c r="J698" i="6"/>
  <c r="J697" i="6"/>
  <c r="J696" i="6"/>
  <c r="J695" i="6"/>
  <c r="J694" i="6"/>
  <c r="J693" i="6"/>
  <c r="J692" i="6"/>
  <c r="J691" i="6"/>
  <c r="J690" i="6"/>
  <c r="J689" i="6"/>
  <c r="J688" i="6"/>
  <c r="J687" i="6"/>
  <c r="J686" i="6"/>
  <c r="J685" i="6"/>
  <c r="J684" i="6"/>
  <c r="J683" i="6"/>
  <c r="J682" i="6"/>
  <c r="J681" i="6"/>
  <c r="J680" i="6"/>
  <c r="J679" i="6"/>
  <c r="J678" i="6"/>
  <c r="J677" i="6"/>
  <c r="J676" i="6"/>
  <c r="J675" i="6"/>
  <c r="J674" i="6"/>
  <c r="J673" i="6"/>
  <c r="J672" i="6"/>
  <c r="J671" i="6"/>
  <c r="J670" i="6"/>
  <c r="J669" i="6"/>
  <c r="J668" i="6"/>
  <c r="J667" i="6"/>
  <c r="J666" i="6"/>
  <c r="J665" i="6"/>
  <c r="J664" i="6"/>
  <c r="J663" i="6"/>
  <c r="J662" i="6"/>
  <c r="J661" i="6"/>
  <c r="J660" i="6"/>
  <c r="J659" i="6"/>
  <c r="J658" i="6"/>
  <c r="J657" i="6"/>
  <c r="J656" i="6"/>
  <c r="J655" i="6"/>
  <c r="J654" i="6"/>
  <c r="J653" i="6"/>
  <c r="J652" i="6"/>
  <c r="J651" i="6"/>
  <c r="J650" i="6"/>
  <c r="J649" i="6"/>
  <c r="J648" i="6"/>
  <c r="J647" i="6"/>
  <c r="J646" i="6"/>
  <c r="J645" i="6"/>
  <c r="J644" i="6"/>
  <c r="J643" i="6"/>
  <c r="J642" i="6"/>
  <c r="J641" i="6"/>
  <c r="J640" i="6"/>
  <c r="J639" i="6"/>
  <c r="J638" i="6"/>
  <c r="J637" i="6"/>
  <c r="J636" i="6"/>
  <c r="J635" i="6"/>
  <c r="J634" i="6"/>
  <c r="J633" i="6"/>
  <c r="J632" i="6"/>
  <c r="J631" i="6"/>
  <c r="J630" i="6"/>
  <c r="J629" i="6"/>
  <c r="J628" i="6"/>
  <c r="J627" i="6"/>
  <c r="J626" i="6"/>
  <c r="J625" i="6"/>
  <c r="J624" i="6"/>
  <c r="J623" i="6"/>
  <c r="J622" i="6"/>
  <c r="J621" i="6"/>
  <c r="J620" i="6"/>
  <c r="J619" i="6"/>
  <c r="J618" i="6"/>
  <c r="J617" i="6"/>
  <c r="J616" i="6"/>
  <c r="J615" i="6"/>
  <c r="J614" i="6"/>
  <c r="J613" i="6"/>
  <c r="J612" i="6"/>
  <c r="J611" i="6"/>
  <c r="J610" i="6"/>
  <c r="J609" i="6"/>
  <c r="J608" i="6"/>
  <c r="J607" i="6"/>
  <c r="J606" i="6"/>
  <c r="J605" i="6"/>
  <c r="J604" i="6"/>
  <c r="J603" i="6"/>
  <c r="J602" i="6"/>
  <c r="J601" i="6"/>
  <c r="J600" i="6"/>
  <c r="J599" i="6"/>
  <c r="J598" i="6"/>
  <c r="J597" i="6"/>
  <c r="J596" i="6"/>
  <c r="J595" i="6"/>
  <c r="J594" i="6"/>
  <c r="J593" i="6"/>
  <c r="J592" i="6"/>
  <c r="J591" i="6"/>
  <c r="J590" i="6"/>
  <c r="J589" i="6"/>
  <c r="J588" i="6"/>
  <c r="J587" i="6"/>
  <c r="J586" i="6"/>
  <c r="J585" i="6"/>
  <c r="J584" i="6"/>
  <c r="J583" i="6"/>
  <c r="J582" i="6"/>
  <c r="J581" i="6"/>
  <c r="J580" i="6"/>
  <c r="J579" i="6"/>
  <c r="J578" i="6"/>
  <c r="J577" i="6"/>
  <c r="J576" i="6"/>
  <c r="J575" i="6"/>
  <c r="J574" i="6"/>
  <c r="J573" i="6"/>
  <c r="J572" i="6"/>
  <c r="J571" i="6"/>
  <c r="J570" i="6"/>
  <c r="J569" i="6"/>
  <c r="J568" i="6"/>
  <c r="J567" i="6"/>
  <c r="J566" i="6"/>
  <c r="J565" i="6"/>
  <c r="J564" i="6"/>
  <c r="J563" i="6"/>
  <c r="J562" i="6"/>
  <c r="J561" i="6"/>
  <c r="J560" i="6"/>
  <c r="J559" i="6"/>
  <c r="J558" i="6"/>
  <c r="J557" i="6"/>
  <c r="J556" i="6"/>
  <c r="J555" i="6"/>
  <c r="J554" i="6"/>
  <c r="J553" i="6"/>
  <c r="J552" i="6"/>
  <c r="J551" i="6"/>
  <c r="J550" i="6"/>
  <c r="J549" i="6"/>
  <c r="J548" i="6"/>
  <c r="J547" i="6"/>
  <c r="J546" i="6"/>
  <c r="J545" i="6"/>
  <c r="J544" i="6"/>
  <c r="J543" i="6"/>
  <c r="J542" i="6"/>
  <c r="J541" i="6"/>
  <c r="J540" i="6"/>
  <c r="J539" i="6"/>
  <c r="J538" i="6"/>
  <c r="J537" i="6"/>
  <c r="J536" i="6"/>
  <c r="J535" i="6"/>
  <c r="J534" i="6"/>
  <c r="J533" i="6"/>
  <c r="J532" i="6"/>
  <c r="J531" i="6"/>
  <c r="J530" i="6"/>
  <c r="J529" i="6"/>
  <c r="J528" i="6"/>
  <c r="J527" i="6"/>
  <c r="J526" i="6"/>
  <c r="J525" i="6"/>
  <c r="J524" i="6"/>
  <c r="J523" i="6"/>
  <c r="J522" i="6"/>
  <c r="J521" i="6"/>
  <c r="J520" i="6"/>
  <c r="J519" i="6"/>
  <c r="J518" i="6"/>
  <c r="J517" i="6"/>
  <c r="J516" i="6"/>
  <c r="J515" i="6"/>
  <c r="J514" i="6"/>
  <c r="J513" i="6"/>
  <c r="J512" i="6"/>
  <c r="J511" i="6"/>
  <c r="J510" i="6"/>
  <c r="J509" i="6"/>
  <c r="J508" i="6"/>
  <c r="J507" i="6"/>
  <c r="J506" i="6"/>
  <c r="J505" i="6"/>
  <c r="J504" i="6"/>
  <c r="J503" i="6"/>
  <c r="J502" i="6"/>
  <c r="J501" i="6"/>
  <c r="J500" i="6"/>
  <c r="J499" i="6"/>
  <c r="J498" i="6"/>
  <c r="J497" i="6"/>
  <c r="J496" i="6"/>
  <c r="J495" i="6"/>
  <c r="J494" i="6"/>
  <c r="J493" i="6"/>
  <c r="J492" i="6"/>
  <c r="J491" i="6"/>
  <c r="J490" i="6"/>
  <c r="J489" i="6"/>
  <c r="J488" i="6"/>
  <c r="J487" i="6"/>
  <c r="J486" i="6"/>
  <c r="J485" i="6"/>
  <c r="J484" i="6"/>
  <c r="J483" i="6"/>
  <c r="J482" i="6"/>
  <c r="J481" i="6"/>
  <c r="J480" i="6"/>
  <c r="J479" i="6"/>
  <c r="J478" i="6"/>
  <c r="J477" i="6"/>
  <c r="J476" i="6"/>
  <c r="J475" i="6"/>
  <c r="J474" i="6"/>
  <c r="J473" i="6"/>
  <c r="J472" i="6"/>
  <c r="J471" i="6"/>
  <c r="J470" i="6"/>
  <c r="J469" i="6"/>
  <c r="J468" i="6"/>
  <c r="J467" i="6"/>
  <c r="J466" i="6"/>
  <c r="J465" i="6"/>
  <c r="J464" i="6"/>
  <c r="J463" i="6"/>
  <c r="J462" i="6"/>
  <c r="J461" i="6"/>
  <c r="J460" i="6"/>
  <c r="J459" i="6"/>
  <c r="J458" i="6"/>
  <c r="J457" i="6"/>
  <c r="J456" i="6"/>
  <c r="J455" i="6"/>
  <c r="J454" i="6"/>
  <c r="J453" i="6"/>
  <c r="J452" i="6"/>
  <c r="J451" i="6"/>
  <c r="J450" i="6"/>
  <c r="J449" i="6"/>
  <c r="J448" i="6"/>
  <c r="J447" i="6"/>
  <c r="J446" i="6"/>
  <c r="J445" i="6"/>
  <c r="J444" i="6"/>
  <c r="J443" i="6"/>
  <c r="J442" i="6"/>
  <c r="J441" i="6"/>
  <c r="J440" i="6"/>
  <c r="J439" i="6"/>
  <c r="J438" i="6"/>
  <c r="J437" i="6"/>
  <c r="J436" i="6"/>
  <c r="J435" i="6"/>
  <c r="J434" i="6"/>
  <c r="J433" i="6"/>
  <c r="J432" i="6"/>
  <c r="J431" i="6"/>
  <c r="J430" i="6"/>
  <c r="J429" i="6"/>
  <c r="J428" i="6"/>
  <c r="J427" i="6"/>
  <c r="J426" i="6"/>
  <c r="J425" i="6"/>
  <c r="J424" i="6"/>
  <c r="J423" i="6"/>
  <c r="J422" i="6"/>
  <c r="J421" i="6"/>
  <c r="J420" i="6"/>
  <c r="J419" i="6"/>
  <c r="J418" i="6"/>
  <c r="J417" i="6"/>
  <c r="J416" i="6"/>
  <c r="J415" i="6"/>
  <c r="J414" i="6"/>
  <c r="J413" i="6"/>
  <c r="J412" i="6"/>
  <c r="J411" i="6"/>
  <c r="J410" i="6"/>
  <c r="J409" i="6"/>
  <c r="J408" i="6"/>
  <c r="J407" i="6"/>
  <c r="J406" i="6"/>
  <c r="J405" i="6"/>
  <c r="J404" i="6"/>
  <c r="J403" i="6"/>
  <c r="J402" i="6"/>
  <c r="J401" i="6"/>
  <c r="J400" i="6"/>
  <c r="J399" i="6"/>
  <c r="J398" i="6"/>
  <c r="J397" i="6"/>
  <c r="J396" i="6"/>
  <c r="J395" i="6"/>
  <c r="J394" i="6"/>
  <c r="J393" i="6"/>
  <c r="J392" i="6"/>
  <c r="J391" i="6"/>
  <c r="J390" i="6"/>
  <c r="J389" i="6"/>
  <c r="J388" i="6"/>
  <c r="J387" i="6"/>
  <c r="J386" i="6"/>
  <c r="J385" i="6"/>
  <c r="J384" i="6"/>
  <c r="J383" i="6"/>
  <c r="J382" i="6"/>
  <c r="J381" i="6"/>
  <c r="J380" i="6"/>
  <c r="J379" i="6"/>
  <c r="J378" i="6"/>
  <c r="J377" i="6"/>
  <c r="J376" i="6"/>
  <c r="J375" i="6"/>
  <c r="J374" i="6"/>
  <c r="J373" i="6"/>
  <c r="J372" i="6"/>
  <c r="J371" i="6"/>
  <c r="J370" i="6"/>
  <c r="J369" i="6"/>
  <c r="J368" i="6"/>
  <c r="J367" i="6"/>
  <c r="J366" i="6"/>
  <c r="J365" i="6"/>
  <c r="J364" i="6"/>
  <c r="J363" i="6"/>
  <c r="J362" i="6"/>
  <c r="J361" i="6"/>
  <c r="J360" i="6"/>
  <c r="J359" i="6"/>
  <c r="J358" i="6"/>
  <c r="J357" i="6"/>
  <c r="J356" i="6"/>
  <c r="J355" i="6"/>
  <c r="J354" i="6"/>
  <c r="J353" i="6"/>
  <c r="J352" i="6"/>
  <c r="J351" i="6"/>
  <c r="J350" i="6"/>
  <c r="J349" i="6"/>
  <c r="J348" i="6"/>
  <c r="J347" i="6"/>
  <c r="J346" i="6"/>
  <c r="J345" i="6"/>
  <c r="J344" i="6"/>
  <c r="J343" i="6"/>
  <c r="J342" i="6"/>
  <c r="J341" i="6"/>
  <c r="J340" i="6"/>
  <c r="J339" i="6"/>
  <c r="J338" i="6"/>
  <c r="J337" i="6"/>
  <c r="J336" i="6"/>
  <c r="J335" i="6"/>
  <c r="J334" i="6"/>
  <c r="J333" i="6"/>
  <c r="J332" i="6"/>
  <c r="J331" i="6"/>
  <c r="J330" i="6"/>
  <c r="J329" i="6"/>
  <c r="J328" i="6"/>
  <c r="J327" i="6"/>
  <c r="J326" i="6"/>
  <c r="J325" i="6"/>
  <c r="J324" i="6"/>
  <c r="J323" i="6"/>
  <c r="J322" i="6"/>
  <c r="J321" i="6"/>
  <c r="J320" i="6"/>
  <c r="J319" i="6"/>
  <c r="J318" i="6"/>
  <c r="J317" i="6"/>
  <c r="J316" i="6"/>
  <c r="J315" i="6"/>
  <c r="J314" i="6"/>
  <c r="J313" i="6"/>
  <c r="J312" i="6"/>
  <c r="J311" i="6"/>
  <c r="J310" i="6"/>
  <c r="J309" i="6"/>
  <c r="J308" i="6"/>
  <c r="J307" i="6"/>
  <c r="J306" i="6"/>
  <c r="J305" i="6"/>
  <c r="J304" i="6"/>
  <c r="J303" i="6"/>
  <c r="J302" i="6"/>
  <c r="J301" i="6"/>
  <c r="J300" i="6"/>
  <c r="J299" i="6"/>
  <c r="J298" i="6"/>
  <c r="J297" i="6"/>
  <c r="J296" i="6"/>
  <c r="J295" i="6"/>
  <c r="J294" i="6"/>
  <c r="J293" i="6"/>
  <c r="J292" i="6"/>
  <c r="J291" i="6"/>
  <c r="J290" i="6"/>
  <c r="J289" i="6"/>
  <c r="J288" i="6"/>
  <c r="J287" i="6"/>
  <c r="J286" i="6"/>
  <c r="J285" i="6"/>
  <c r="J284" i="6"/>
  <c r="J283" i="6"/>
  <c r="J282" i="6"/>
  <c r="J281" i="6"/>
  <c r="J280" i="6"/>
  <c r="J279" i="6"/>
  <c r="J278" i="6"/>
  <c r="J277" i="6"/>
  <c r="J276" i="6"/>
  <c r="J275" i="6"/>
  <c r="J274" i="6"/>
  <c r="J273" i="6"/>
  <c r="J272" i="6"/>
  <c r="J271" i="6"/>
  <c r="J270" i="6"/>
  <c r="J269" i="6"/>
  <c r="J268" i="6"/>
  <c r="J267" i="6"/>
  <c r="J266" i="6"/>
  <c r="J265" i="6"/>
  <c r="J264" i="6"/>
  <c r="J263" i="6"/>
  <c r="J262" i="6"/>
  <c r="J261" i="6"/>
  <c r="J260" i="6"/>
  <c r="J259" i="6"/>
  <c r="J258" i="6"/>
  <c r="J257" i="6"/>
  <c r="J256" i="6"/>
  <c r="J255" i="6"/>
  <c r="J254" i="6"/>
  <c r="J253" i="6"/>
  <c r="J252" i="6"/>
  <c r="J251" i="6"/>
  <c r="J250" i="6"/>
  <c r="J249" i="6"/>
  <c r="J248" i="6"/>
  <c r="J247" i="6"/>
  <c r="J246" i="6"/>
  <c r="J245" i="6"/>
  <c r="J244" i="6"/>
  <c r="J243" i="6"/>
  <c r="J242" i="6"/>
  <c r="J241" i="6"/>
  <c r="J240" i="6"/>
  <c r="J239" i="6"/>
  <c r="J238" i="6"/>
  <c r="J237" i="6"/>
  <c r="J236" i="6"/>
  <c r="J235" i="6"/>
  <c r="J234" i="6"/>
  <c r="J233" i="6"/>
  <c r="J232" i="6"/>
  <c r="J231" i="6"/>
  <c r="J230" i="6"/>
  <c r="J229" i="6"/>
  <c r="J228" i="6"/>
  <c r="J227" i="6"/>
  <c r="J226" i="6"/>
  <c r="J225" i="6"/>
  <c r="J224" i="6"/>
  <c r="J223" i="6"/>
  <c r="J222" i="6"/>
  <c r="J221" i="6"/>
  <c r="J220" i="6"/>
  <c r="J219" i="6"/>
  <c r="J218" i="6"/>
  <c r="J217" i="6"/>
  <c r="J216" i="6"/>
  <c r="J215" i="6"/>
  <c r="J214" i="6"/>
  <c r="J213" i="6"/>
  <c r="J212" i="6"/>
  <c r="J211" i="6"/>
  <c r="J210" i="6"/>
  <c r="J209" i="6"/>
  <c r="J208" i="6"/>
  <c r="J207" i="6"/>
  <c r="J206" i="6"/>
  <c r="J205" i="6"/>
  <c r="J204" i="6"/>
  <c r="J203" i="6"/>
  <c r="J202" i="6"/>
  <c r="J201" i="6"/>
  <c r="J200" i="6"/>
  <c r="J199" i="6"/>
  <c r="J198" i="6"/>
  <c r="J197" i="6"/>
  <c r="J196" i="6"/>
  <c r="J195" i="6"/>
  <c r="J194" i="6"/>
  <c r="J193" i="6"/>
  <c r="J192" i="6"/>
  <c r="J191" i="6"/>
  <c r="J190" i="6"/>
  <c r="J189" i="6"/>
  <c r="J188" i="6"/>
  <c r="J187" i="6"/>
  <c r="J186" i="6"/>
  <c r="J185" i="6"/>
  <c r="J184" i="6"/>
  <c r="J183" i="6"/>
  <c r="J182" i="6"/>
  <c r="J181" i="6"/>
  <c r="J180" i="6"/>
  <c r="J179" i="6"/>
  <c r="J178" i="6"/>
  <c r="J177" i="6"/>
  <c r="J176" i="6"/>
  <c r="J175" i="6"/>
  <c r="J174" i="6"/>
  <c r="J173" i="6"/>
  <c r="J172" i="6"/>
  <c r="J171" i="6"/>
  <c r="J170" i="6"/>
  <c r="J169" i="6"/>
  <c r="J168" i="6"/>
  <c r="J167" i="6"/>
  <c r="J166" i="6"/>
  <c r="J165" i="6"/>
  <c r="J164" i="6"/>
  <c r="J163" i="6"/>
  <c r="J162" i="6"/>
  <c r="J161" i="6"/>
  <c r="J160" i="6"/>
  <c r="J159" i="6"/>
  <c r="J158" i="6"/>
  <c r="J157" i="6"/>
  <c r="J156" i="6"/>
  <c r="J155" i="6"/>
  <c r="J154" i="6"/>
  <c r="J153" i="6"/>
  <c r="J152" i="6"/>
  <c r="J151" i="6"/>
  <c r="J150" i="6"/>
  <c r="J149" i="6"/>
  <c r="J148" i="6"/>
  <c r="J147" i="6"/>
  <c r="J146" i="6"/>
  <c r="J145" i="6"/>
  <c r="J144" i="6"/>
  <c r="J143" i="6"/>
  <c r="J142" i="6"/>
  <c r="J141" i="6"/>
  <c r="J140" i="6"/>
  <c r="J139" i="6"/>
  <c r="J138" i="6"/>
  <c r="J137" i="6"/>
  <c r="J136" i="6"/>
  <c r="J135" i="6"/>
  <c r="J134" i="6"/>
  <c r="J133" i="6"/>
  <c r="J132" i="6"/>
  <c r="J131" i="6"/>
  <c r="J130" i="6"/>
  <c r="J129" i="6"/>
  <c r="J128" i="6"/>
  <c r="J127" i="6"/>
  <c r="J126" i="6"/>
  <c r="J125" i="6"/>
  <c r="J124" i="6"/>
  <c r="J123" i="6"/>
  <c r="J122" i="6"/>
  <c r="J121" i="6"/>
  <c r="J120" i="6"/>
  <c r="J119" i="6"/>
  <c r="J118" i="6"/>
  <c r="J117" i="6"/>
  <c r="J116" i="6"/>
  <c r="J115" i="6"/>
  <c r="J114" i="6"/>
  <c r="J113" i="6"/>
  <c r="J112" i="6"/>
  <c r="J111" i="6"/>
  <c r="J110" i="6"/>
  <c r="J109" i="6"/>
  <c r="J108" i="6"/>
  <c r="J107" i="6"/>
  <c r="J106" i="6"/>
  <c r="J105" i="6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N865" i="6"/>
  <c r="N864" i="6"/>
  <c r="N863" i="6"/>
  <c r="N862" i="6"/>
  <c r="N861" i="6"/>
  <c r="N860" i="6"/>
  <c r="N859" i="6"/>
  <c r="N858" i="6"/>
  <c r="N857" i="6"/>
  <c r="N856" i="6"/>
  <c r="N855" i="6"/>
  <c r="N854" i="6"/>
  <c r="N853" i="6"/>
  <c r="N852" i="6"/>
  <c r="N851" i="6"/>
  <c r="N850" i="6"/>
  <c r="N849" i="6"/>
  <c r="N848" i="6"/>
  <c r="N847" i="6"/>
  <c r="N846" i="6"/>
  <c r="N845" i="6"/>
  <c r="N844" i="6"/>
  <c r="N843" i="6"/>
  <c r="N842" i="6"/>
  <c r="N841" i="6"/>
  <c r="N840" i="6"/>
  <c r="N839" i="6"/>
  <c r="N838" i="6"/>
  <c r="N837" i="6"/>
  <c r="N836" i="6"/>
  <c r="N835" i="6"/>
  <c r="N834" i="6"/>
  <c r="N833" i="6"/>
  <c r="N832" i="6"/>
  <c r="N831" i="6"/>
  <c r="N830" i="6"/>
  <c r="N829" i="6"/>
  <c r="N828" i="6"/>
  <c r="N827" i="6"/>
  <c r="N826" i="6"/>
  <c r="N825" i="6"/>
  <c r="N824" i="6"/>
  <c r="N823" i="6"/>
  <c r="N822" i="6"/>
  <c r="N821" i="6"/>
  <c r="N820" i="6"/>
  <c r="N819" i="6"/>
  <c r="N818" i="6"/>
  <c r="N817" i="6"/>
  <c r="N816" i="6"/>
  <c r="N815" i="6"/>
  <c r="N814" i="6"/>
  <c r="N813" i="6"/>
  <c r="N812" i="6"/>
  <c r="N811" i="6"/>
  <c r="N810" i="6"/>
  <c r="N809" i="6"/>
  <c r="N808" i="6"/>
  <c r="N807" i="6"/>
  <c r="N806" i="6"/>
  <c r="N805" i="6"/>
  <c r="N804" i="6"/>
  <c r="N803" i="6"/>
  <c r="N802" i="6"/>
  <c r="N801" i="6"/>
  <c r="N800" i="6"/>
  <c r="N799" i="6"/>
  <c r="N798" i="6"/>
  <c r="N797" i="6"/>
  <c r="N796" i="6"/>
  <c r="N795" i="6"/>
  <c r="N794" i="6"/>
  <c r="N793" i="6"/>
  <c r="N792" i="6"/>
  <c r="N791" i="6"/>
  <c r="N790" i="6"/>
  <c r="N789" i="6"/>
  <c r="N788" i="6"/>
  <c r="N787" i="6"/>
  <c r="N786" i="6"/>
  <c r="N785" i="6"/>
  <c r="N784" i="6"/>
  <c r="N783" i="6"/>
  <c r="N782" i="6"/>
  <c r="N781" i="6"/>
  <c r="N780" i="6"/>
  <c r="N779" i="6"/>
  <c r="N778" i="6"/>
  <c r="N777" i="6"/>
  <c r="N776" i="6"/>
  <c r="N775" i="6"/>
  <c r="N774" i="6"/>
  <c r="N773" i="6"/>
  <c r="N772" i="6"/>
  <c r="N771" i="6"/>
  <c r="N770" i="6"/>
  <c r="N769" i="6"/>
  <c r="N768" i="6"/>
  <c r="N767" i="6"/>
  <c r="N766" i="6"/>
  <c r="N765" i="6"/>
  <c r="N764" i="6"/>
  <c r="N763" i="6"/>
  <c r="N762" i="6"/>
  <c r="N761" i="6"/>
  <c r="N760" i="6"/>
  <c r="N759" i="6"/>
  <c r="N758" i="6"/>
  <c r="N757" i="6"/>
  <c r="N756" i="6"/>
  <c r="N755" i="6"/>
  <c r="N754" i="6"/>
  <c r="N753" i="6"/>
  <c r="N752" i="6"/>
  <c r="N751" i="6"/>
  <c r="N750" i="6"/>
  <c r="N749" i="6"/>
  <c r="N748" i="6"/>
  <c r="N747" i="6"/>
  <c r="N746" i="6"/>
  <c r="N745" i="6"/>
  <c r="N744" i="6"/>
  <c r="N743" i="6"/>
  <c r="N742" i="6"/>
  <c r="N741" i="6"/>
  <c r="N740" i="6"/>
  <c r="N739" i="6"/>
  <c r="N738" i="6"/>
  <c r="N737" i="6"/>
  <c r="N736" i="6"/>
  <c r="N735" i="6"/>
  <c r="N734" i="6"/>
  <c r="N733" i="6"/>
  <c r="N732" i="6"/>
  <c r="N731" i="6"/>
  <c r="N730" i="6"/>
  <c r="N729" i="6"/>
  <c r="N728" i="6"/>
  <c r="N727" i="6"/>
  <c r="N726" i="6"/>
  <c r="N725" i="6"/>
  <c r="N724" i="6"/>
  <c r="N723" i="6"/>
  <c r="N722" i="6"/>
  <c r="N721" i="6"/>
  <c r="N720" i="6"/>
  <c r="N719" i="6"/>
  <c r="N718" i="6"/>
  <c r="N717" i="6"/>
  <c r="N716" i="6"/>
  <c r="N715" i="6"/>
  <c r="N714" i="6"/>
  <c r="N713" i="6"/>
  <c r="N712" i="6"/>
  <c r="N711" i="6"/>
  <c r="N710" i="6"/>
  <c r="N709" i="6"/>
  <c r="N708" i="6"/>
  <c r="N707" i="6"/>
  <c r="N706" i="6"/>
  <c r="N705" i="6"/>
  <c r="N704" i="6"/>
  <c r="N703" i="6"/>
  <c r="N702" i="6"/>
  <c r="N701" i="6"/>
  <c r="N700" i="6"/>
  <c r="N699" i="6"/>
  <c r="N698" i="6"/>
  <c r="N697" i="6"/>
  <c r="N696" i="6"/>
  <c r="N695" i="6"/>
  <c r="N694" i="6"/>
  <c r="N693" i="6"/>
  <c r="N692" i="6"/>
  <c r="N691" i="6"/>
  <c r="N690" i="6"/>
  <c r="N689" i="6"/>
  <c r="N688" i="6"/>
  <c r="N687" i="6"/>
  <c r="N686" i="6"/>
  <c r="N685" i="6"/>
  <c r="N684" i="6"/>
  <c r="N683" i="6"/>
  <c r="N682" i="6"/>
  <c r="N681" i="6"/>
  <c r="N680" i="6"/>
  <c r="N679" i="6"/>
  <c r="N678" i="6"/>
  <c r="N677" i="6"/>
  <c r="N676" i="6"/>
  <c r="N675" i="6"/>
  <c r="N674" i="6"/>
  <c r="N673" i="6"/>
  <c r="N672" i="6"/>
  <c r="N671" i="6"/>
  <c r="N670" i="6"/>
  <c r="N669" i="6"/>
  <c r="N668" i="6"/>
  <c r="N667" i="6"/>
  <c r="N666" i="6"/>
  <c r="N665" i="6"/>
  <c r="N664" i="6"/>
  <c r="N663" i="6"/>
  <c r="N662" i="6"/>
  <c r="N661" i="6"/>
  <c r="N660" i="6"/>
  <c r="N659" i="6"/>
  <c r="N658" i="6"/>
  <c r="N657" i="6"/>
  <c r="N656" i="6"/>
  <c r="N655" i="6"/>
  <c r="N654" i="6"/>
  <c r="N653" i="6"/>
  <c r="N652" i="6"/>
  <c r="N651" i="6"/>
  <c r="N650" i="6"/>
  <c r="N649" i="6"/>
  <c r="N648" i="6"/>
  <c r="N647" i="6"/>
  <c r="N646" i="6"/>
  <c r="N645" i="6"/>
  <c r="N644" i="6"/>
  <c r="N643" i="6"/>
  <c r="N642" i="6"/>
  <c r="N641" i="6"/>
  <c r="N640" i="6"/>
  <c r="N639" i="6"/>
  <c r="N638" i="6"/>
  <c r="N637" i="6"/>
  <c r="N636" i="6"/>
  <c r="N635" i="6"/>
  <c r="N634" i="6"/>
  <c r="N633" i="6"/>
  <c r="N632" i="6"/>
  <c r="N631" i="6"/>
  <c r="N630" i="6"/>
  <c r="N629" i="6"/>
  <c r="N628" i="6"/>
  <c r="N627" i="6"/>
  <c r="N626" i="6"/>
  <c r="N625" i="6"/>
  <c r="N624" i="6"/>
  <c r="N623" i="6"/>
  <c r="N622" i="6"/>
  <c r="N621" i="6"/>
  <c r="N620" i="6"/>
  <c r="N619" i="6"/>
  <c r="N618" i="6"/>
  <c r="N617" i="6"/>
  <c r="N616" i="6"/>
  <c r="N615" i="6"/>
  <c r="N614" i="6"/>
  <c r="N613" i="6"/>
  <c r="N612" i="6"/>
  <c r="N611" i="6"/>
  <c r="N610" i="6"/>
  <c r="N609" i="6"/>
  <c r="N608" i="6"/>
  <c r="N607" i="6"/>
  <c r="N606" i="6"/>
  <c r="N605" i="6"/>
  <c r="N604" i="6"/>
  <c r="N603" i="6"/>
  <c r="N602" i="6"/>
  <c r="N601" i="6"/>
  <c r="N600" i="6"/>
  <c r="N599" i="6"/>
  <c r="N598" i="6"/>
  <c r="N597" i="6"/>
  <c r="N596" i="6"/>
  <c r="N595" i="6"/>
  <c r="N594" i="6"/>
  <c r="N593" i="6"/>
  <c r="N592" i="6"/>
  <c r="N591" i="6"/>
  <c r="N590" i="6"/>
  <c r="N589" i="6"/>
  <c r="N588" i="6"/>
  <c r="N587" i="6"/>
  <c r="N586" i="6"/>
  <c r="N585" i="6"/>
  <c r="N584" i="6"/>
  <c r="N583" i="6"/>
  <c r="N582" i="6"/>
  <c r="N581" i="6"/>
  <c r="N580" i="6"/>
  <c r="N579" i="6"/>
  <c r="N578" i="6"/>
  <c r="N577" i="6"/>
  <c r="N576" i="6"/>
  <c r="N575" i="6"/>
  <c r="N574" i="6"/>
  <c r="N573" i="6"/>
  <c r="N572" i="6"/>
  <c r="N571" i="6"/>
  <c r="N570" i="6"/>
  <c r="N569" i="6"/>
  <c r="N568" i="6"/>
  <c r="N567" i="6"/>
  <c r="N566" i="6"/>
  <c r="N565" i="6"/>
  <c r="N564" i="6"/>
  <c r="N563" i="6"/>
  <c r="N562" i="6"/>
  <c r="N561" i="6"/>
  <c r="N560" i="6"/>
  <c r="N559" i="6"/>
  <c r="N558" i="6"/>
  <c r="N557" i="6"/>
  <c r="N556" i="6"/>
  <c r="N555" i="6"/>
  <c r="N554" i="6"/>
  <c r="N553" i="6"/>
  <c r="N552" i="6"/>
  <c r="N551" i="6"/>
  <c r="N550" i="6"/>
  <c r="N549" i="6"/>
  <c r="N548" i="6"/>
  <c r="N547" i="6"/>
  <c r="N546" i="6"/>
  <c r="N545" i="6"/>
  <c r="N544" i="6"/>
  <c r="N543" i="6"/>
  <c r="N542" i="6"/>
  <c r="N541" i="6"/>
  <c r="N540" i="6"/>
  <c r="N539" i="6"/>
  <c r="N538" i="6"/>
  <c r="N537" i="6"/>
  <c r="N536" i="6"/>
  <c r="N535" i="6"/>
  <c r="N534" i="6"/>
  <c r="N533" i="6"/>
  <c r="N532" i="6"/>
  <c r="N531" i="6"/>
  <c r="N530" i="6"/>
  <c r="N529" i="6"/>
  <c r="N528" i="6"/>
  <c r="N527" i="6"/>
  <c r="N526" i="6"/>
  <c r="N525" i="6"/>
  <c r="N524" i="6"/>
  <c r="N523" i="6"/>
  <c r="N522" i="6"/>
  <c r="N521" i="6"/>
  <c r="N520" i="6"/>
  <c r="N519" i="6"/>
  <c r="N518" i="6"/>
  <c r="N517" i="6"/>
  <c r="N516" i="6"/>
  <c r="N515" i="6"/>
  <c r="N514" i="6"/>
  <c r="N513" i="6"/>
  <c r="N512" i="6"/>
  <c r="N511" i="6"/>
  <c r="N510" i="6"/>
  <c r="N509" i="6"/>
  <c r="N508" i="6"/>
  <c r="N507" i="6"/>
  <c r="N506" i="6"/>
  <c r="N505" i="6"/>
  <c r="N504" i="6"/>
  <c r="N503" i="6"/>
  <c r="N502" i="6"/>
  <c r="N501" i="6"/>
  <c r="N500" i="6"/>
  <c r="N499" i="6"/>
  <c r="N498" i="6"/>
  <c r="N497" i="6"/>
  <c r="N496" i="6"/>
  <c r="N495" i="6"/>
  <c r="N494" i="6"/>
  <c r="N493" i="6"/>
  <c r="N492" i="6"/>
  <c r="N491" i="6"/>
  <c r="N490" i="6"/>
  <c r="N489" i="6"/>
  <c r="N488" i="6"/>
  <c r="N487" i="6"/>
  <c r="N486" i="6"/>
  <c r="N485" i="6"/>
  <c r="N484" i="6"/>
  <c r="N483" i="6"/>
  <c r="N482" i="6"/>
  <c r="N481" i="6"/>
  <c r="N480" i="6"/>
  <c r="N479" i="6"/>
  <c r="N478" i="6"/>
  <c r="N477" i="6"/>
  <c r="N476" i="6"/>
  <c r="N475" i="6"/>
  <c r="N474" i="6"/>
  <c r="N473" i="6"/>
  <c r="N472" i="6"/>
  <c r="N471" i="6"/>
  <c r="N470" i="6"/>
  <c r="N469" i="6"/>
  <c r="N468" i="6"/>
  <c r="N467" i="6"/>
  <c r="N466" i="6"/>
  <c r="N465" i="6"/>
  <c r="N464" i="6"/>
  <c r="N463" i="6"/>
  <c r="N462" i="6"/>
  <c r="N461" i="6"/>
  <c r="N460" i="6"/>
  <c r="N459" i="6"/>
  <c r="N458" i="6"/>
  <c r="N457" i="6"/>
  <c r="N456" i="6"/>
  <c r="N455" i="6"/>
  <c r="N454" i="6"/>
  <c r="N453" i="6"/>
  <c r="N452" i="6"/>
  <c r="N451" i="6"/>
  <c r="N450" i="6"/>
  <c r="N449" i="6"/>
  <c r="N448" i="6"/>
  <c r="N447" i="6"/>
  <c r="N446" i="6"/>
  <c r="N445" i="6"/>
  <c r="N444" i="6"/>
  <c r="N443" i="6"/>
  <c r="N442" i="6"/>
  <c r="N441" i="6"/>
  <c r="N440" i="6"/>
  <c r="N439" i="6"/>
  <c r="N438" i="6"/>
  <c r="N437" i="6"/>
  <c r="N436" i="6"/>
  <c r="N435" i="6"/>
  <c r="N434" i="6"/>
  <c r="N433" i="6"/>
  <c r="N432" i="6"/>
  <c r="N431" i="6"/>
  <c r="N430" i="6"/>
  <c r="N429" i="6"/>
  <c r="N428" i="6"/>
  <c r="N427" i="6"/>
  <c r="N426" i="6"/>
  <c r="N425" i="6"/>
  <c r="N424" i="6"/>
  <c r="N423" i="6"/>
  <c r="N422" i="6"/>
  <c r="N421" i="6"/>
  <c r="N420" i="6"/>
  <c r="N419" i="6"/>
  <c r="N418" i="6"/>
  <c r="N417" i="6"/>
  <c r="N416" i="6"/>
  <c r="N415" i="6"/>
  <c r="N414" i="6"/>
  <c r="N413" i="6"/>
  <c r="N412" i="6"/>
  <c r="N411" i="6"/>
  <c r="N410" i="6"/>
  <c r="N409" i="6"/>
  <c r="N408" i="6"/>
  <c r="N407" i="6"/>
  <c r="N406" i="6"/>
  <c r="N405" i="6"/>
  <c r="N404" i="6"/>
  <c r="N403" i="6"/>
  <c r="N402" i="6"/>
  <c r="N401" i="6"/>
  <c r="N400" i="6"/>
  <c r="N399" i="6"/>
  <c r="N398" i="6"/>
  <c r="N397" i="6"/>
  <c r="N396" i="6"/>
  <c r="N395" i="6"/>
  <c r="N394" i="6"/>
  <c r="N393" i="6"/>
  <c r="N392" i="6"/>
  <c r="N391" i="6"/>
  <c r="N390" i="6"/>
  <c r="N389" i="6"/>
  <c r="N388" i="6"/>
  <c r="N387" i="6"/>
  <c r="N386" i="6"/>
  <c r="N385" i="6"/>
  <c r="N384" i="6"/>
  <c r="N383" i="6"/>
  <c r="N382" i="6"/>
  <c r="N381" i="6"/>
  <c r="N380" i="6"/>
  <c r="N379" i="6"/>
  <c r="N378" i="6"/>
  <c r="N377" i="6"/>
  <c r="N376" i="6"/>
  <c r="N375" i="6"/>
  <c r="N374" i="6"/>
  <c r="N373" i="6"/>
  <c r="N372" i="6"/>
  <c r="N371" i="6"/>
  <c r="N370" i="6"/>
  <c r="N369" i="6"/>
  <c r="N368" i="6"/>
  <c r="N367" i="6"/>
  <c r="N366" i="6"/>
  <c r="N365" i="6"/>
  <c r="N364" i="6"/>
  <c r="N363" i="6"/>
  <c r="N362" i="6"/>
  <c r="N361" i="6"/>
  <c r="N360" i="6"/>
  <c r="N359" i="6"/>
  <c r="N358" i="6"/>
  <c r="N357" i="6"/>
  <c r="N356" i="6"/>
  <c r="N355" i="6"/>
  <c r="N354" i="6"/>
  <c r="N353" i="6"/>
  <c r="N352" i="6"/>
  <c r="N351" i="6"/>
  <c r="N350" i="6"/>
  <c r="N349" i="6"/>
  <c r="N348" i="6"/>
  <c r="N347" i="6"/>
  <c r="N346" i="6"/>
  <c r="N345" i="6"/>
  <c r="N344" i="6"/>
  <c r="N343" i="6"/>
  <c r="N342" i="6"/>
  <c r="N341" i="6"/>
  <c r="N340" i="6"/>
  <c r="N339" i="6"/>
  <c r="N338" i="6"/>
  <c r="N337" i="6"/>
  <c r="N336" i="6"/>
  <c r="N335" i="6"/>
  <c r="N334" i="6"/>
  <c r="N333" i="6"/>
  <c r="N332" i="6"/>
  <c r="N331" i="6"/>
  <c r="N330" i="6"/>
  <c r="N329" i="6"/>
  <c r="N328" i="6"/>
  <c r="N327" i="6"/>
  <c r="N326" i="6"/>
  <c r="N325" i="6"/>
  <c r="N324" i="6"/>
  <c r="N323" i="6"/>
  <c r="N322" i="6"/>
  <c r="N321" i="6"/>
  <c r="N320" i="6"/>
  <c r="N319" i="6"/>
  <c r="N318" i="6"/>
  <c r="N317" i="6"/>
  <c r="N316" i="6"/>
  <c r="N315" i="6"/>
  <c r="N314" i="6"/>
  <c r="N313" i="6"/>
  <c r="N312" i="6"/>
  <c r="N311" i="6"/>
  <c r="N310" i="6"/>
  <c r="N309" i="6"/>
  <c r="N308" i="6"/>
  <c r="N307" i="6"/>
  <c r="N306" i="6"/>
  <c r="N305" i="6"/>
  <c r="N304" i="6"/>
  <c r="N303" i="6"/>
  <c r="N302" i="6"/>
  <c r="N301" i="6"/>
  <c r="N300" i="6"/>
  <c r="N299" i="6"/>
  <c r="N298" i="6"/>
  <c r="N297" i="6"/>
  <c r="N296" i="6"/>
  <c r="N295" i="6"/>
  <c r="N294" i="6"/>
  <c r="N293" i="6"/>
  <c r="N292" i="6"/>
  <c r="N291" i="6"/>
  <c r="N290" i="6"/>
  <c r="N289" i="6"/>
  <c r="N288" i="6"/>
  <c r="N287" i="6"/>
  <c r="N286" i="6"/>
  <c r="N285" i="6"/>
  <c r="N284" i="6"/>
  <c r="N283" i="6"/>
  <c r="N282" i="6"/>
  <c r="N281" i="6"/>
  <c r="N280" i="6"/>
  <c r="N279" i="6"/>
  <c r="N278" i="6"/>
  <c r="N277" i="6"/>
  <c r="N276" i="6"/>
  <c r="N275" i="6"/>
  <c r="N274" i="6"/>
  <c r="N273" i="6"/>
  <c r="N272" i="6"/>
  <c r="N271" i="6"/>
  <c r="N270" i="6"/>
  <c r="N269" i="6"/>
  <c r="N268" i="6"/>
  <c r="N267" i="6"/>
  <c r="N266" i="6"/>
  <c r="N265" i="6"/>
  <c r="N264" i="6"/>
  <c r="N263" i="6"/>
  <c r="N262" i="6"/>
  <c r="N261" i="6"/>
  <c r="N260" i="6"/>
  <c r="N259" i="6"/>
  <c r="N258" i="6"/>
  <c r="N257" i="6"/>
  <c r="N256" i="6"/>
  <c r="N255" i="6"/>
  <c r="N254" i="6"/>
  <c r="N253" i="6"/>
  <c r="N252" i="6"/>
  <c r="N251" i="6"/>
  <c r="N250" i="6"/>
  <c r="N249" i="6"/>
  <c r="N248" i="6"/>
  <c r="N247" i="6"/>
  <c r="N246" i="6"/>
  <c r="N245" i="6"/>
  <c r="N244" i="6"/>
  <c r="N243" i="6"/>
  <c r="N242" i="6"/>
  <c r="N241" i="6"/>
  <c r="N240" i="6"/>
  <c r="N239" i="6"/>
  <c r="N238" i="6"/>
  <c r="N237" i="6"/>
  <c r="N236" i="6"/>
  <c r="N235" i="6"/>
  <c r="N234" i="6"/>
  <c r="N233" i="6"/>
  <c r="N232" i="6"/>
  <c r="N231" i="6"/>
  <c r="N230" i="6"/>
  <c r="N229" i="6"/>
  <c r="N228" i="6"/>
  <c r="N227" i="6"/>
  <c r="N226" i="6"/>
  <c r="N225" i="6"/>
  <c r="N224" i="6"/>
  <c r="N223" i="6"/>
  <c r="N222" i="6"/>
  <c r="N221" i="6"/>
  <c r="N220" i="6"/>
  <c r="N219" i="6"/>
  <c r="N218" i="6"/>
  <c r="N217" i="6"/>
  <c r="N216" i="6"/>
  <c r="N215" i="6"/>
  <c r="N214" i="6"/>
  <c r="N213" i="6"/>
  <c r="N212" i="6"/>
  <c r="N211" i="6"/>
  <c r="N210" i="6"/>
  <c r="N209" i="6"/>
  <c r="N208" i="6"/>
  <c r="N207" i="6"/>
  <c r="N206" i="6"/>
  <c r="N205" i="6"/>
  <c r="N204" i="6"/>
  <c r="N203" i="6"/>
  <c r="N202" i="6"/>
  <c r="N201" i="6"/>
  <c r="N200" i="6"/>
  <c r="N199" i="6"/>
  <c r="N198" i="6"/>
  <c r="N197" i="6"/>
  <c r="N196" i="6"/>
  <c r="N195" i="6"/>
  <c r="N194" i="6"/>
  <c r="N193" i="6"/>
  <c r="N192" i="6"/>
  <c r="N191" i="6"/>
  <c r="N190" i="6"/>
  <c r="N189" i="6"/>
  <c r="N188" i="6"/>
  <c r="N187" i="6"/>
  <c r="N186" i="6"/>
  <c r="N185" i="6"/>
  <c r="N184" i="6"/>
  <c r="N183" i="6"/>
  <c r="N182" i="6"/>
  <c r="N181" i="6"/>
  <c r="N180" i="6"/>
  <c r="N179" i="6"/>
  <c r="N178" i="6"/>
  <c r="N177" i="6"/>
  <c r="N176" i="6"/>
  <c r="N175" i="6"/>
  <c r="N174" i="6"/>
  <c r="N173" i="6"/>
  <c r="N172" i="6"/>
  <c r="N171" i="6"/>
  <c r="N170" i="6"/>
  <c r="N169" i="6"/>
  <c r="N168" i="6"/>
  <c r="N167" i="6"/>
  <c r="N166" i="6"/>
  <c r="N165" i="6"/>
  <c r="N164" i="6"/>
  <c r="N163" i="6"/>
  <c r="N162" i="6"/>
  <c r="N161" i="6"/>
  <c r="N160" i="6"/>
  <c r="N159" i="6"/>
  <c r="N158" i="6"/>
  <c r="N157" i="6"/>
  <c r="N156" i="6"/>
  <c r="N155" i="6"/>
  <c r="N154" i="6"/>
  <c r="N153" i="6"/>
  <c r="N152" i="6"/>
  <c r="N151" i="6"/>
  <c r="N150" i="6"/>
  <c r="N149" i="6"/>
  <c r="N148" i="6"/>
  <c r="N147" i="6"/>
  <c r="N146" i="6"/>
  <c r="N145" i="6"/>
  <c r="N144" i="6"/>
  <c r="N143" i="6"/>
  <c r="N142" i="6"/>
  <c r="N141" i="6"/>
  <c r="N140" i="6"/>
  <c r="N139" i="6"/>
  <c r="N138" i="6"/>
  <c r="N137" i="6"/>
  <c r="N136" i="6"/>
  <c r="N135" i="6"/>
  <c r="N134" i="6"/>
  <c r="N133" i="6"/>
  <c r="N132" i="6"/>
  <c r="N131" i="6"/>
  <c r="N130" i="6"/>
  <c r="N129" i="6"/>
  <c r="N128" i="6"/>
  <c r="N127" i="6"/>
  <c r="N126" i="6"/>
  <c r="N125" i="6"/>
  <c r="N124" i="6"/>
  <c r="N123" i="6"/>
  <c r="N122" i="6"/>
  <c r="N121" i="6"/>
  <c r="N120" i="6"/>
  <c r="N119" i="6"/>
  <c r="N118" i="6"/>
  <c r="N117" i="6"/>
  <c r="N116" i="6"/>
  <c r="N115" i="6"/>
  <c r="N114" i="6"/>
  <c r="N113" i="6"/>
  <c r="N112" i="6"/>
  <c r="N111" i="6"/>
  <c r="N110" i="6"/>
  <c r="N109" i="6"/>
  <c r="N108" i="6"/>
  <c r="N107" i="6"/>
  <c r="N106" i="6"/>
  <c r="N105" i="6"/>
  <c r="N104" i="6"/>
  <c r="N103" i="6"/>
  <c r="N102" i="6"/>
  <c r="N101" i="6"/>
  <c r="N100" i="6"/>
  <c r="N99" i="6"/>
  <c r="N98" i="6"/>
  <c r="N97" i="6"/>
  <c r="N96" i="6"/>
  <c r="N95" i="6"/>
  <c r="N94" i="6"/>
  <c r="N93" i="6"/>
  <c r="N92" i="6"/>
  <c r="N91" i="6"/>
  <c r="N90" i="6"/>
  <c r="N89" i="6"/>
  <c r="N88" i="6"/>
  <c r="N87" i="6"/>
  <c r="N86" i="6"/>
  <c r="N85" i="6"/>
  <c r="N84" i="6"/>
  <c r="N83" i="6"/>
  <c r="N82" i="6"/>
  <c r="N81" i="6"/>
  <c r="N80" i="6"/>
  <c r="N79" i="6"/>
  <c r="N78" i="6"/>
  <c r="N77" i="6"/>
  <c r="N76" i="6"/>
  <c r="N75" i="6"/>
  <c r="N74" i="6"/>
  <c r="N73" i="6"/>
  <c r="N72" i="6"/>
  <c r="N71" i="6"/>
  <c r="N70" i="6"/>
  <c r="N69" i="6"/>
  <c r="N68" i="6"/>
  <c r="N67" i="6"/>
  <c r="N66" i="6"/>
  <c r="N65" i="6"/>
  <c r="N64" i="6"/>
  <c r="N63" i="6"/>
  <c r="N62" i="6"/>
  <c r="N61" i="6"/>
  <c r="N60" i="6"/>
  <c r="N59" i="6"/>
  <c r="N58" i="6"/>
  <c r="N57" i="6"/>
  <c r="N56" i="6"/>
  <c r="N55" i="6"/>
  <c r="N54" i="6"/>
  <c r="N53" i="6"/>
  <c r="N52" i="6"/>
  <c r="N51" i="6"/>
  <c r="N50" i="6"/>
  <c r="N49" i="6"/>
  <c r="N48" i="6"/>
  <c r="N47" i="6"/>
  <c r="N46" i="6"/>
  <c r="N45" i="6"/>
  <c r="N44" i="6"/>
  <c r="N43" i="6"/>
  <c r="N42" i="6"/>
  <c r="N41" i="6"/>
  <c r="N40" i="6"/>
  <c r="N39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N4" i="6"/>
  <c r="J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</author>
    <author>Test</author>
  </authors>
  <commentList>
    <comment ref="A3" authorId="0" shapeId="0" xr:uid="{206AB26F-6D68-4792-B76A-5BEFB74C5562}">
      <text>
        <r>
          <rPr>
            <sz val="9"/>
            <color indexed="81"/>
            <rFont val="Segoe UI Light"/>
            <family val="2"/>
          </rPr>
          <t>Capa requerida en curso DAPC</t>
        </r>
      </text>
    </comment>
    <comment ref="B3" authorId="0" shapeId="0" xr:uid="{D1739B16-6028-4C51-A012-6B24A73D328E}">
      <text>
        <r>
          <rPr>
            <sz val="9"/>
            <color indexed="81"/>
            <rFont val="Segoe UI Light"/>
            <family val="2"/>
          </rPr>
          <t>&gt; El símbolo □, representa la designación de nivel 2.</t>
        </r>
      </text>
    </comment>
    <comment ref="K3" authorId="0" shapeId="0" xr:uid="{8FC793D6-C4B1-4B54-8CE8-4DE559AE5C01}">
      <text>
        <r>
          <rPr>
            <sz val="9"/>
            <color indexed="81"/>
            <rFont val="Segoe UI Light"/>
            <family val="2"/>
          </rPr>
          <t>&gt; El símbolo □, representa la designación de nivel 2.</t>
        </r>
      </text>
    </comment>
    <comment ref="P3" authorId="1" shapeId="0" xr:uid="{AF30CD83-A857-45A2-A972-2FBAE515FAAF}">
      <text>
        <r>
          <rPr>
            <sz val="9"/>
            <color indexed="81"/>
            <rFont val="Tahoma"/>
            <family val="2"/>
          </rPr>
          <t>En inglés usar Char(10)
En español usar Caracter(10)
Copiar en el Notepad++ y eliminar comillas dobles.</t>
        </r>
      </text>
    </comment>
    <comment ref="Q3" authorId="1" shapeId="0" xr:uid="{7F76D07C-B4D9-462F-A244-B8B6AF2D38DE}">
      <text>
        <r>
          <rPr>
            <sz val="9"/>
            <color indexed="81"/>
            <rFont val="Tahoma"/>
            <family val="2"/>
          </rPr>
          <t>En inglés usar Char(10)
En español usar Caracter(10)
Copiar en el Notepad++ y eliminar comillas dobles.</t>
        </r>
      </text>
    </comment>
    <comment ref="R3" authorId="1" shapeId="0" xr:uid="{89624C06-C621-4057-B8C9-F723D0D3C6CD}">
      <text>
        <r>
          <rPr>
            <sz val="9"/>
            <color indexed="81"/>
            <rFont val="Tahoma"/>
            <family val="2"/>
          </rPr>
          <t>En inglés usar Char(10)
En español usar Caracter(10)
Copiar en el Notepad++ y eliminar comillas dobles.</t>
        </r>
      </text>
    </comment>
    <comment ref="S3" authorId="1" shapeId="0" xr:uid="{5460541C-24D5-42CE-8B75-DD6087DD72A1}">
      <text>
        <r>
          <rPr>
            <sz val="9"/>
            <color indexed="81"/>
            <rFont val="Tahoma"/>
            <family val="2"/>
          </rPr>
          <t>En inglés usar Char(10)
En español usar Caracter(10)
Copiar en el Notepad++ y eliminar comillas dobles.</t>
        </r>
      </text>
    </comment>
  </commentList>
</comments>
</file>

<file path=xl/sharedStrings.xml><?xml version="1.0" encoding="utf-8"?>
<sst xmlns="http://schemas.openxmlformats.org/spreadsheetml/2006/main" count="8597" uniqueCount="3824">
  <si>
    <t>A</t>
  </si>
  <si>
    <t>Architectural</t>
  </si>
  <si>
    <t>Arquitectura</t>
  </si>
  <si>
    <t>B</t>
  </si>
  <si>
    <t>Geotechnical</t>
  </si>
  <si>
    <t>Geotecnia</t>
  </si>
  <si>
    <t>C</t>
  </si>
  <si>
    <t>Civil</t>
  </si>
  <si>
    <t>D</t>
  </si>
  <si>
    <t>Process</t>
  </si>
  <si>
    <t>Procesos</t>
  </si>
  <si>
    <t>E</t>
  </si>
  <si>
    <t>Electrical</t>
  </si>
  <si>
    <t>Electricidad</t>
  </si>
  <si>
    <t>F</t>
  </si>
  <si>
    <t>Fire Protection</t>
  </si>
  <si>
    <t>Protección contra incendios</t>
  </si>
  <si>
    <t>G</t>
  </si>
  <si>
    <t>General</t>
  </si>
  <si>
    <t>H</t>
  </si>
  <si>
    <t>Hazardous Materials</t>
  </si>
  <si>
    <t>Materiales peligrosos</t>
  </si>
  <si>
    <t>I</t>
  </si>
  <si>
    <t>Interiors</t>
  </si>
  <si>
    <t>Interiores</t>
  </si>
  <si>
    <t>L</t>
  </si>
  <si>
    <t>Landscape</t>
  </si>
  <si>
    <t>Paisajismo</t>
  </si>
  <si>
    <t>M</t>
  </si>
  <si>
    <t>Mechanical</t>
  </si>
  <si>
    <t>Mecánica</t>
  </si>
  <si>
    <t>O</t>
  </si>
  <si>
    <t>Operations</t>
  </si>
  <si>
    <t>Operaciones</t>
  </si>
  <si>
    <t>P</t>
  </si>
  <si>
    <t>Plumbing</t>
  </si>
  <si>
    <t>Fontanería</t>
  </si>
  <si>
    <t>Q</t>
  </si>
  <si>
    <t>Equipment</t>
  </si>
  <si>
    <t>Equipos</t>
  </si>
  <si>
    <t>R</t>
  </si>
  <si>
    <t>Resource</t>
  </si>
  <si>
    <t>Recursos</t>
  </si>
  <si>
    <t>S</t>
  </si>
  <si>
    <t>Structural</t>
  </si>
  <si>
    <t>Estructura</t>
  </si>
  <si>
    <t>T</t>
  </si>
  <si>
    <t>Telecommunications</t>
  </si>
  <si>
    <t>Telecomunicaciones</t>
  </si>
  <si>
    <t>V</t>
  </si>
  <si>
    <t>Survey / Mapping</t>
  </si>
  <si>
    <t>Topografía / Cartografía</t>
  </si>
  <si>
    <t>W</t>
  </si>
  <si>
    <t>Distributed Energy</t>
  </si>
  <si>
    <t>Energía distribuida</t>
  </si>
  <si>
    <t>X</t>
  </si>
  <si>
    <t>Other Disciplines</t>
  </si>
  <si>
    <t>Otras disciplinas</t>
  </si>
  <si>
    <t>Z</t>
  </si>
  <si>
    <t>Contractor / Shop Drawings</t>
  </si>
  <si>
    <t>Contratista / Planos de taller</t>
  </si>
  <si>
    <t>AD</t>
  </si>
  <si>
    <t>Architectural Demolition</t>
  </si>
  <si>
    <t>Demolición arquitectónica</t>
  </si>
  <si>
    <t>AE</t>
  </si>
  <si>
    <t>Architectural Elements</t>
  </si>
  <si>
    <t>Elementos arquitectónicos</t>
  </si>
  <si>
    <t>AF</t>
  </si>
  <si>
    <t>Architectural Finishes</t>
  </si>
  <si>
    <t>Acabados arquitectónicos</t>
  </si>
  <si>
    <t>AG</t>
  </si>
  <si>
    <t>Architectural Graphics</t>
  </si>
  <si>
    <t>Gráficos arquitectónicos</t>
  </si>
  <si>
    <t>AI</t>
  </si>
  <si>
    <t>Architectural Interiors</t>
  </si>
  <si>
    <t>Interiores arquitectónicos</t>
  </si>
  <si>
    <t>AJ</t>
  </si>
  <si>
    <t>User Defined</t>
  </si>
  <si>
    <t>Definido por el usuario</t>
  </si>
  <si>
    <t>AK</t>
  </si>
  <si>
    <t>AS</t>
  </si>
  <si>
    <t>Architectural Site</t>
  </si>
  <si>
    <t>Sitio arquitectónico</t>
  </si>
  <si>
    <t>CD</t>
  </si>
  <si>
    <t>Civil Demolition</t>
  </si>
  <si>
    <t>Demolición Civil</t>
  </si>
  <si>
    <t>CG</t>
  </si>
  <si>
    <t>Civil Grading</t>
  </si>
  <si>
    <t>Nivelación Civil</t>
  </si>
  <si>
    <t>CI</t>
  </si>
  <si>
    <t>Civil Improvements</t>
  </si>
  <si>
    <t>Mejoras Civiles</t>
  </si>
  <si>
    <t>CJ</t>
  </si>
  <si>
    <t>Definido por el Usuario</t>
  </si>
  <si>
    <t>CK</t>
  </si>
  <si>
    <t>CN</t>
  </si>
  <si>
    <t>Civil Nodes</t>
  </si>
  <si>
    <t>Nudos Civiles</t>
  </si>
  <si>
    <t>CP</t>
  </si>
  <si>
    <t>Civil Paving</t>
  </si>
  <si>
    <t>Pavimentación Civil</t>
  </si>
  <si>
    <t>CS</t>
  </si>
  <si>
    <t>Civil Site</t>
  </si>
  <si>
    <t>Sitio Civil</t>
  </si>
  <si>
    <t>CT</t>
  </si>
  <si>
    <t>Civil Transportation</t>
  </si>
  <si>
    <t>Transporte Civil</t>
  </si>
  <si>
    <t>CU</t>
  </si>
  <si>
    <t>Civil Utilities</t>
  </si>
  <si>
    <t>Servicios Civiles</t>
  </si>
  <si>
    <t>ED</t>
  </si>
  <si>
    <t>Electrical Demolition</t>
  </si>
  <si>
    <t>Demolición eléctrica</t>
  </si>
  <si>
    <t>EI</t>
  </si>
  <si>
    <t>Electrical Instrumentation</t>
  </si>
  <si>
    <t>Instrumentación eléctrica</t>
  </si>
  <si>
    <t>EJ</t>
  </si>
  <si>
    <t>EK</t>
  </si>
  <si>
    <t>EL</t>
  </si>
  <si>
    <t>Electrical Lighting</t>
  </si>
  <si>
    <t>Iluminación eléctrica</t>
  </si>
  <si>
    <t>EP</t>
  </si>
  <si>
    <t>Electrical Power</t>
  </si>
  <si>
    <t>Energía eléctrica</t>
  </si>
  <si>
    <t>ES</t>
  </si>
  <si>
    <t>Electrical Site</t>
  </si>
  <si>
    <t>Sitio eléctrico</t>
  </si>
  <si>
    <t>ET</t>
  </si>
  <si>
    <t>Electrical Telecommunications</t>
  </si>
  <si>
    <t>Telecomunicaciones eléctricas</t>
  </si>
  <si>
    <t>EY</t>
  </si>
  <si>
    <t>Electrical Auxiliary Systems</t>
  </si>
  <si>
    <t>Sistemas auxiliares eléctricos</t>
  </si>
  <si>
    <t>ACCS</t>
  </si>
  <si>
    <t>Access</t>
  </si>
  <si>
    <t>Acceso</t>
  </si>
  <si>
    <t>ACID</t>
  </si>
  <si>
    <t>Acid waste systems</t>
  </si>
  <si>
    <t>Sistemas de residuos ácidos</t>
  </si>
  <si>
    <t>AERI</t>
  </si>
  <si>
    <t>Aerial Survey</t>
  </si>
  <si>
    <t>Levantamiento aéreo</t>
  </si>
  <si>
    <t>AFFF</t>
  </si>
  <si>
    <t>Aqueous film-forming foam system</t>
  </si>
  <si>
    <t>Sistema de espuma formadora de película acuosa</t>
  </si>
  <si>
    <t>AFLD</t>
  </si>
  <si>
    <t>Airfields</t>
  </si>
  <si>
    <t>Aeródromos</t>
  </si>
  <si>
    <t>AIR~</t>
  </si>
  <si>
    <t>Air</t>
  </si>
  <si>
    <t>Aire</t>
  </si>
  <si>
    <t>ALGN</t>
  </si>
  <si>
    <t>Alignment</t>
  </si>
  <si>
    <t>Alineación</t>
  </si>
  <si>
    <t>ALRM</t>
  </si>
  <si>
    <t>Alarm system</t>
  </si>
  <si>
    <t>Sistema de alarma</t>
  </si>
  <si>
    <t>ANNO</t>
  </si>
  <si>
    <t>Annotation</t>
  </si>
  <si>
    <t>Anotación</t>
  </si>
  <si>
    <t>AREA</t>
  </si>
  <si>
    <t>Area</t>
  </si>
  <si>
    <t>Área</t>
  </si>
  <si>
    <t>AUXL</t>
  </si>
  <si>
    <t>Auxiliary systems</t>
  </si>
  <si>
    <t>Sistemas auxiliares</t>
  </si>
  <si>
    <t>BARR</t>
  </si>
  <si>
    <t>Barrier</t>
  </si>
  <si>
    <t>Barrera</t>
  </si>
  <si>
    <t>BCST</t>
  </si>
  <si>
    <t>Broadcast related system (radio or TV)</t>
  </si>
  <si>
    <t>Sistema de radiodifusión (radio o TV)</t>
  </si>
  <si>
    <t>BEAM</t>
  </si>
  <si>
    <t>Beams</t>
  </si>
  <si>
    <t>Vigas</t>
  </si>
  <si>
    <t>BELL</t>
  </si>
  <si>
    <t>Bell system</t>
  </si>
  <si>
    <t>Sistema de timbres</t>
  </si>
  <si>
    <t>BLDG</t>
  </si>
  <si>
    <t>Buildings and primary structures</t>
  </si>
  <si>
    <t>Edificios y estructuras primarias</t>
  </si>
  <si>
    <t>BLIN</t>
  </si>
  <si>
    <t>Baseline</t>
  </si>
  <si>
    <t>Línea base</t>
  </si>
  <si>
    <t>BNDY</t>
  </si>
  <si>
    <t>Political boundaries</t>
  </si>
  <si>
    <t>Límites políticos</t>
  </si>
  <si>
    <t>BORE</t>
  </si>
  <si>
    <t>Borings</t>
  </si>
  <si>
    <t>Perforaciones</t>
  </si>
  <si>
    <t>BRCG</t>
  </si>
  <si>
    <t>Bracing</t>
  </si>
  <si>
    <t>Arriostramiento</t>
  </si>
  <si>
    <t>BRDG</t>
  </si>
  <si>
    <t>Bridge</t>
  </si>
  <si>
    <t>Puente</t>
  </si>
  <si>
    <t>BRIN</t>
  </si>
  <si>
    <t>Brine systems</t>
  </si>
  <si>
    <t>Sistemas de salmuera</t>
  </si>
  <si>
    <t>BRKL</t>
  </si>
  <si>
    <t>Break / fault lines</t>
  </si>
  <si>
    <t>Líneas de rotura/falla</t>
  </si>
  <si>
    <t>BRLN</t>
  </si>
  <si>
    <t>Building restriction line</t>
  </si>
  <si>
    <t>Línea de restricción de edificaciones</t>
  </si>
  <si>
    <t>BZNA</t>
  </si>
  <si>
    <t>Buffer zone area</t>
  </si>
  <si>
    <t>Zona de amortiguamiento</t>
  </si>
  <si>
    <t>CABL</t>
  </si>
  <si>
    <t>Cable systems</t>
  </si>
  <si>
    <t>Sistemas de cable</t>
  </si>
  <si>
    <t>CATH</t>
  </si>
  <si>
    <t>Cathodic Protection System</t>
  </si>
  <si>
    <t>Sistema de protección catódica</t>
  </si>
  <si>
    <t>CATV</t>
  </si>
  <si>
    <t>Cable television system</t>
  </si>
  <si>
    <t>Sistema de televisión por cable</t>
  </si>
  <si>
    <t>CCTV</t>
  </si>
  <si>
    <t>Closed-circuit television system</t>
  </si>
  <si>
    <t>Sistema de circuito cerrado de televisión</t>
  </si>
  <si>
    <t>CEME</t>
  </si>
  <si>
    <t>Cemetery</t>
  </si>
  <si>
    <t>Cementerio</t>
  </si>
  <si>
    <t>CHAN</t>
  </si>
  <si>
    <t>Navigable channels</t>
  </si>
  <si>
    <t>Canales navegables</t>
  </si>
  <si>
    <t>CHEM</t>
  </si>
  <si>
    <t>Chemical</t>
  </si>
  <si>
    <t>Productos químicos</t>
  </si>
  <si>
    <t>CHIM</t>
  </si>
  <si>
    <t>Chimneys and stacks</t>
  </si>
  <si>
    <t>Chimeneas y conductos</t>
  </si>
  <si>
    <t>CLNG</t>
  </si>
  <si>
    <t>Ceiling</t>
  </si>
  <si>
    <t>Techo</t>
  </si>
  <si>
    <t>CLOK</t>
  </si>
  <si>
    <t>Clock system</t>
  </si>
  <si>
    <t>Sistema de relojería</t>
  </si>
  <si>
    <t>CMPA</t>
  </si>
  <si>
    <t>Compressed / processed air systems</t>
  </si>
  <si>
    <t>Sistemas de aire comprimido/procesado</t>
  </si>
  <si>
    <t>CMPR</t>
  </si>
  <si>
    <t>Computer</t>
  </si>
  <si>
    <t>Ordenador</t>
  </si>
  <si>
    <t>CNDW</t>
  </si>
  <si>
    <t>Condenser water systems</t>
  </si>
  <si>
    <t>Sistemas de agua del condensador</t>
  </si>
  <si>
    <t>CO2S</t>
  </si>
  <si>
    <t>CO2 system</t>
  </si>
  <si>
    <t>Sistema de CO2</t>
  </si>
  <si>
    <t>CODE</t>
  </si>
  <si>
    <t>Code compliance plan</t>
  </si>
  <si>
    <t>Plan de cumplimiento normativo</t>
  </si>
  <si>
    <t>COLS</t>
  </si>
  <si>
    <t>Columns</t>
  </si>
  <si>
    <t>Columnas</t>
  </si>
  <si>
    <t>COMM</t>
  </si>
  <si>
    <t>Communications</t>
  </si>
  <si>
    <t>Comunicaciones</t>
  </si>
  <si>
    <t>CONT</t>
  </si>
  <si>
    <t>Controls and instrumentation</t>
  </si>
  <si>
    <t>Controles e instrumentación</t>
  </si>
  <si>
    <t>CONV</t>
  </si>
  <si>
    <t>Conveying systems</t>
  </si>
  <si>
    <t>Sistemas de transporte</t>
  </si>
  <si>
    <t>CRPT</t>
  </si>
  <si>
    <t>Carpet / carpet tiles</t>
  </si>
  <si>
    <t>Alfombra/losetas de moqueta</t>
  </si>
  <si>
    <t>CSWK</t>
  </si>
  <si>
    <t>Casework</t>
  </si>
  <si>
    <t>Carpintería</t>
  </si>
  <si>
    <t>CTRL</t>
  </si>
  <si>
    <t>Control points</t>
  </si>
  <si>
    <t>Puntos de control</t>
  </si>
  <si>
    <t>CWTR</t>
  </si>
  <si>
    <t>Chilled water systems</t>
  </si>
  <si>
    <t>Sistemas de agua refrigerada</t>
  </si>
  <si>
    <t>DATA</t>
  </si>
  <si>
    <t>Data / LAN system</t>
  </si>
  <si>
    <t>Datos/LAN Sistema</t>
  </si>
  <si>
    <t>DECK</t>
  </si>
  <si>
    <t>Deck</t>
  </si>
  <si>
    <t>Cubierta</t>
  </si>
  <si>
    <t>DETL</t>
  </si>
  <si>
    <t>Detail</t>
  </si>
  <si>
    <t>Detalle</t>
  </si>
  <si>
    <t>DFLD</t>
  </si>
  <si>
    <t>Drain fields</t>
  </si>
  <si>
    <t>Campos de drenaje</t>
  </si>
  <si>
    <t>DIAG</t>
  </si>
  <si>
    <t>Diagrams</t>
  </si>
  <si>
    <t>Diagramas</t>
  </si>
  <si>
    <t>DICT</t>
  </si>
  <si>
    <t>Dictation system</t>
  </si>
  <si>
    <t>Sistema de dictado</t>
  </si>
  <si>
    <t>DOMW</t>
  </si>
  <si>
    <t>Domestic water systems</t>
  </si>
  <si>
    <t>Sistemas de agua potable</t>
  </si>
  <si>
    <t>DOOR</t>
  </si>
  <si>
    <t>Doors</t>
  </si>
  <si>
    <t>Puertas</t>
  </si>
  <si>
    <t>DRAN</t>
  </si>
  <si>
    <t>Drains</t>
  </si>
  <si>
    <t>Desagües</t>
  </si>
  <si>
    <t>DRIV</t>
  </si>
  <si>
    <t>Driveways</t>
  </si>
  <si>
    <t>Entradas de vehículos</t>
  </si>
  <si>
    <t>DTCH</t>
  </si>
  <si>
    <t>Ditches or washes</t>
  </si>
  <si>
    <t>Cunetas o lavaderos</t>
  </si>
  <si>
    <t>DUAL</t>
  </si>
  <si>
    <t>Dual temperature systems</t>
  </si>
  <si>
    <t>Sistemas de doble temperatura</t>
  </si>
  <si>
    <t>DUST</t>
  </si>
  <si>
    <t>Dust and fume collection systems</t>
  </si>
  <si>
    <t>Sistemas de recolección de polvo y humos</t>
  </si>
  <si>
    <t>ELEC</t>
  </si>
  <si>
    <t>Electrical system, telecom plan</t>
  </si>
  <si>
    <t>Sistema eléctrico, plano de telecomunicaciones</t>
  </si>
  <si>
    <t>ELEV</t>
  </si>
  <si>
    <t>Elevation</t>
  </si>
  <si>
    <t>Elevación</t>
  </si>
  <si>
    <t>ELHT</t>
  </si>
  <si>
    <t>Electric heat</t>
  </si>
  <si>
    <t>Calefacción eléctrica</t>
  </si>
  <si>
    <t>EMCS</t>
  </si>
  <si>
    <t>Energy monitoring control system</t>
  </si>
  <si>
    <t>Sistema de control de monitoreo de energía</t>
  </si>
  <si>
    <t>ENER</t>
  </si>
  <si>
    <t>Energy management systems</t>
  </si>
  <si>
    <t>Sistemas de gestión de energía</t>
  </si>
  <si>
    <t>EQPM</t>
  </si>
  <si>
    <t>Equipo</t>
  </si>
  <si>
    <t>EROS</t>
  </si>
  <si>
    <t>Erosion and sediment control</t>
  </si>
  <si>
    <t>Control de erosión y sedimentos</t>
  </si>
  <si>
    <t>ESMT</t>
  </si>
  <si>
    <t>Easements</t>
  </si>
  <si>
    <t>Servidumbres</t>
  </si>
  <si>
    <t>EVAC</t>
  </si>
  <si>
    <t>Evacuation plan</t>
  </si>
  <si>
    <t>Plan de evacuación</t>
  </si>
  <si>
    <t>EXHS</t>
  </si>
  <si>
    <t>Exhaust system</t>
  </si>
  <si>
    <t>Sistema de extracción</t>
  </si>
  <si>
    <t>FENC</t>
  </si>
  <si>
    <t>Fences</t>
  </si>
  <si>
    <t>Cercas</t>
  </si>
  <si>
    <t>FIRE</t>
  </si>
  <si>
    <t>Fire protection</t>
  </si>
  <si>
    <t>FLHA</t>
  </si>
  <si>
    <t>Flood hazard area</t>
  </si>
  <si>
    <t>Zona con riesgo de inundación</t>
  </si>
  <si>
    <t>FLOR</t>
  </si>
  <si>
    <t>Floor</t>
  </si>
  <si>
    <t>Piso</t>
  </si>
  <si>
    <t>FNDN</t>
  </si>
  <si>
    <t>Foundation</t>
  </si>
  <si>
    <t>Cimentación</t>
  </si>
  <si>
    <t>FNSH</t>
  </si>
  <si>
    <t>Finishes</t>
  </si>
  <si>
    <t>Acabados</t>
  </si>
  <si>
    <t>FRAM</t>
  </si>
  <si>
    <t>Braced frame or moment frame</t>
  </si>
  <si>
    <t>Marco arriostrado o marco de momento</t>
  </si>
  <si>
    <t>FSTN</t>
  </si>
  <si>
    <t>Fasteners and connections</t>
  </si>
  <si>
    <t>Sujeciones y conexiones</t>
  </si>
  <si>
    <t>FUEL</t>
  </si>
  <si>
    <t>Fuel systems</t>
  </si>
  <si>
    <t>Sistemas de combustible</t>
  </si>
  <si>
    <t>FUME</t>
  </si>
  <si>
    <t>Fume hood</t>
  </si>
  <si>
    <t>Campana de extracción de gases</t>
  </si>
  <si>
    <t>FURN</t>
  </si>
  <si>
    <t>Furnishings</t>
  </si>
  <si>
    <t>Mobiliario</t>
  </si>
  <si>
    <t>GAS~</t>
  </si>
  <si>
    <t>Gas</t>
  </si>
  <si>
    <t>GATE</t>
  </si>
  <si>
    <t>Gate</t>
  </si>
  <si>
    <t>Portón</t>
  </si>
  <si>
    <t>GLAZ</t>
  </si>
  <si>
    <t>Glazing</t>
  </si>
  <si>
    <t>Acristalamiento</t>
  </si>
  <si>
    <t>GLYC</t>
  </si>
  <si>
    <t>Glycol systems</t>
  </si>
  <si>
    <t>Sistemas de glicol</t>
  </si>
  <si>
    <t>GRID</t>
  </si>
  <si>
    <t>Grids</t>
  </si>
  <si>
    <t>Rejillas</t>
  </si>
  <si>
    <t>GRLN</t>
  </si>
  <si>
    <t>Grade line</t>
  </si>
  <si>
    <t>Línea de rasante</t>
  </si>
  <si>
    <t>GRND</t>
  </si>
  <si>
    <t>Ground system</t>
  </si>
  <si>
    <t>Sistema de puesta a tierra</t>
  </si>
  <si>
    <t>HALN</t>
  </si>
  <si>
    <t>Halon</t>
  </si>
  <si>
    <t>Halón</t>
  </si>
  <si>
    <t>HVAC</t>
  </si>
  <si>
    <t>HVAC systems</t>
  </si>
  <si>
    <t>Sistemas de climatización (HVAC)</t>
  </si>
  <si>
    <t>HWTR</t>
  </si>
  <si>
    <t>Hot water heating system</t>
  </si>
  <si>
    <t>Sistema de calentamiento de agua caliente</t>
  </si>
  <si>
    <t>HYDR</t>
  </si>
  <si>
    <t>Hydraulic structure</t>
  </si>
  <si>
    <t>Estructura hidráulica</t>
  </si>
  <si>
    <t>IGAS</t>
  </si>
  <si>
    <t>Inert gas</t>
  </si>
  <si>
    <t>Gas inerte</t>
  </si>
  <si>
    <t>INGR</t>
  </si>
  <si>
    <t>Ingrants</t>
  </si>
  <si>
    <t>Concesiones</t>
  </si>
  <si>
    <t>INST</t>
  </si>
  <si>
    <t>Instrumentation system</t>
  </si>
  <si>
    <t>Sistema de instrumentación</t>
  </si>
  <si>
    <t>INTC</t>
  </si>
  <si>
    <t>Intercom / PA systems</t>
  </si>
  <si>
    <t>Intercomunicador/PA Sistemas</t>
  </si>
  <si>
    <t>IRRG</t>
  </si>
  <si>
    <t>Irrigation</t>
  </si>
  <si>
    <t>Riego</t>
  </si>
  <si>
    <t>JNTS</t>
  </si>
  <si>
    <t>Joints</t>
  </si>
  <si>
    <t>Juntas</t>
  </si>
  <si>
    <t>JOIS</t>
  </si>
  <si>
    <t>Joists</t>
  </si>
  <si>
    <t>Viguetas</t>
  </si>
  <si>
    <t>LAND</t>
  </si>
  <si>
    <t>Land</t>
  </si>
  <si>
    <t>Terreno</t>
  </si>
  <si>
    <t>LEGN</t>
  </si>
  <si>
    <t>Legend, symbols keys</t>
  </si>
  <si>
    <t>Leyenda, símbolos y claves</t>
  </si>
  <si>
    <t>LEVE</t>
  </si>
  <si>
    <t>Levee</t>
  </si>
  <si>
    <t>Dique</t>
  </si>
  <si>
    <t>LGAS</t>
  </si>
  <si>
    <t>Laboratory gas systems</t>
  </si>
  <si>
    <t>Sistemas de gases de laboratorio</t>
  </si>
  <si>
    <t>LIQD</t>
  </si>
  <si>
    <t>Liquid</t>
  </si>
  <si>
    <t>Líquido</t>
  </si>
  <si>
    <t>LITE</t>
  </si>
  <si>
    <t>Lighting</t>
  </si>
  <si>
    <t>Iluminación</t>
  </si>
  <si>
    <t>LNTL</t>
  </si>
  <si>
    <t>Lintels</t>
  </si>
  <si>
    <t>Dinteles</t>
  </si>
  <si>
    <t>LOCN</t>
  </si>
  <si>
    <t>Limits of construction</t>
  </si>
  <si>
    <t>Límites de construcción</t>
  </si>
  <si>
    <t>LTNG</t>
  </si>
  <si>
    <t>Lightning protection system</t>
  </si>
  <si>
    <t>Sistema de protección contra rayos</t>
  </si>
  <si>
    <t>MACH</t>
  </si>
  <si>
    <t>Machine shop</t>
  </si>
  <si>
    <t>Taller de maquinaria</t>
  </si>
  <si>
    <t>MAJQ</t>
  </si>
  <si>
    <t>Major equipment</t>
  </si>
  <si>
    <t>Equipo principal</t>
  </si>
  <si>
    <t>MDGS</t>
  </si>
  <si>
    <t>Medical gas systems</t>
  </si>
  <si>
    <t>Sistemas de gases medicinales</t>
  </si>
  <si>
    <t>MILL</t>
  </si>
  <si>
    <t>Millwork</t>
  </si>
  <si>
    <t>MINQ</t>
  </si>
  <si>
    <t>Minor equipment</t>
  </si>
  <si>
    <t>Equipo menor</t>
  </si>
  <si>
    <t>MKUP</t>
  </si>
  <si>
    <t>Make-up air systems</t>
  </si>
  <si>
    <t>Sistemas de aire de reposición</t>
  </si>
  <si>
    <t>MNTG</t>
  </si>
  <si>
    <t>Mounting system</t>
  </si>
  <si>
    <t>Sistema de montaje</t>
  </si>
  <si>
    <t>MPIP</t>
  </si>
  <si>
    <t>Miscellaneous piping systems</t>
  </si>
  <si>
    <t>Sistemas de tuberías misceláneos</t>
  </si>
  <si>
    <t>NGAS</t>
  </si>
  <si>
    <t>Natural gas systems</t>
  </si>
  <si>
    <t>Sistemas de gas natural</t>
  </si>
  <si>
    <t>NODE</t>
  </si>
  <si>
    <t>Node</t>
  </si>
  <si>
    <t>Nodo</t>
  </si>
  <si>
    <t>NURS</t>
  </si>
  <si>
    <t>Nurse call system</t>
  </si>
  <si>
    <t>Sistema de llamada a enfermeras</t>
  </si>
  <si>
    <t>OBST</t>
  </si>
  <si>
    <t>Obstructions</t>
  </si>
  <si>
    <t>Obstrucciones</t>
  </si>
  <si>
    <t>OIL~</t>
  </si>
  <si>
    <t>Oil</t>
  </si>
  <si>
    <t>Petróleo</t>
  </si>
  <si>
    <t>OTGR</t>
  </si>
  <si>
    <t>Outgrants</t>
  </si>
  <si>
    <t>Conducciones de salida</t>
  </si>
  <si>
    <t>PADS</t>
  </si>
  <si>
    <t>Pads</t>
  </si>
  <si>
    <t>Almohadillas</t>
  </si>
  <si>
    <t>PERC</t>
  </si>
  <si>
    <t>Perc testing</t>
  </si>
  <si>
    <t>Prueba de percolación</t>
  </si>
  <si>
    <t>PGNG</t>
  </si>
  <si>
    <t>Paging system</t>
  </si>
  <si>
    <t>Sistema de buscapersonas</t>
  </si>
  <si>
    <t>PHON</t>
  </si>
  <si>
    <t>Telephone system</t>
  </si>
  <si>
    <t>Sistema telefónico</t>
  </si>
  <si>
    <t>PIPE</t>
  </si>
  <si>
    <t>Piping</t>
  </si>
  <si>
    <t>Tuberías</t>
  </si>
  <si>
    <t>PLAN</t>
  </si>
  <si>
    <t>Key Plan (Floor Plan)</t>
  </si>
  <si>
    <t>Plano clave (Plano de planta)</t>
  </si>
  <si>
    <t>PLAT</t>
  </si>
  <si>
    <t>Platform</t>
  </si>
  <si>
    <t>Andén</t>
  </si>
  <si>
    <t>PLNT</t>
  </si>
  <si>
    <t>Plant and landscape material</t>
  </si>
  <si>
    <t>Planta y material de jardinería</t>
  </si>
  <si>
    <t>POND</t>
  </si>
  <si>
    <t>Ponds</t>
  </si>
  <si>
    <t>Estanques</t>
  </si>
  <si>
    <t>POWR</t>
  </si>
  <si>
    <t>Power</t>
  </si>
  <si>
    <t>Energía</t>
  </si>
  <si>
    <t>PRKG</t>
  </si>
  <si>
    <t>Parking lots</t>
  </si>
  <si>
    <t>Estacionamientos</t>
  </si>
  <si>
    <t>PROC</t>
  </si>
  <si>
    <t>Process systems</t>
  </si>
  <si>
    <t>Sistemas de proceso</t>
  </si>
  <si>
    <t>PROJ</t>
  </si>
  <si>
    <t>Projector system</t>
  </si>
  <si>
    <t>Sistema de proyectores</t>
  </si>
  <si>
    <t>PROP</t>
  </si>
  <si>
    <t>Property</t>
  </si>
  <si>
    <t>Propiedad</t>
  </si>
  <si>
    <t>PROT</t>
  </si>
  <si>
    <t>Fire protection system</t>
  </si>
  <si>
    <t>Sistema de protección contra incendios</t>
  </si>
  <si>
    <t>PRTN</t>
  </si>
  <si>
    <t>Partitions</t>
  </si>
  <si>
    <t>Tabiques</t>
  </si>
  <si>
    <t>PVMD</t>
  </si>
  <si>
    <t>Photovoltaic modules</t>
  </si>
  <si>
    <t>Módulos fotovoltaicos</t>
  </si>
  <si>
    <t>PVMT</t>
  </si>
  <si>
    <t>Pavement</t>
  </si>
  <si>
    <t>Pavimento</t>
  </si>
  <si>
    <t>RAIL</t>
  </si>
  <si>
    <t>Railroad</t>
  </si>
  <si>
    <t>Ferrocarril</t>
  </si>
  <si>
    <t>RAIR</t>
  </si>
  <si>
    <t>Relief air systems</t>
  </si>
  <si>
    <t>Sistemas de aire de alivio</t>
  </si>
  <si>
    <t>RCOV</t>
  </si>
  <si>
    <t>Energy recovery systems</t>
  </si>
  <si>
    <t>Sistemas de recuperación de energía</t>
  </si>
  <si>
    <t>REFG</t>
  </si>
  <si>
    <t>Refrigeration systems</t>
  </si>
  <si>
    <t>Sistemas de refrigeración</t>
  </si>
  <si>
    <t>RIGG</t>
  </si>
  <si>
    <t>Rigging / automation systems</t>
  </si>
  <si>
    <t>Aparejos/automatización Sistemas</t>
  </si>
  <si>
    <t>RIVR</t>
  </si>
  <si>
    <t>River</t>
  </si>
  <si>
    <t>Río</t>
  </si>
  <si>
    <t>ROAD</t>
  </si>
  <si>
    <t>Roadways</t>
  </si>
  <si>
    <t>Carreteras</t>
  </si>
  <si>
    <t>ROOF</t>
  </si>
  <si>
    <t>Roof</t>
  </si>
  <si>
    <t>RRAP</t>
  </si>
  <si>
    <t>Riprap</t>
  </si>
  <si>
    <t>Escalones</t>
  </si>
  <si>
    <t>RUNW</t>
  </si>
  <si>
    <t>Runway</t>
  </si>
  <si>
    <t>Pista</t>
  </si>
  <si>
    <t>RWAY</t>
  </si>
  <si>
    <t>Right-of-way</t>
  </si>
  <si>
    <t>Derecho de paso</t>
  </si>
  <si>
    <t>SECT</t>
  </si>
  <si>
    <t>Section</t>
  </si>
  <si>
    <t>Sección</t>
  </si>
  <si>
    <t>SERT</t>
  </si>
  <si>
    <t>Security system</t>
  </si>
  <si>
    <t>Sistema de seguridad</t>
  </si>
  <si>
    <t>SGHT</t>
  </si>
  <si>
    <t>Sight distance</t>
  </si>
  <si>
    <t>Distancia visual</t>
  </si>
  <si>
    <t>SIGN</t>
  </si>
  <si>
    <t>Sign</t>
  </si>
  <si>
    <t>Señal</t>
  </si>
  <si>
    <t>SITE</t>
  </si>
  <si>
    <t>Site features</t>
  </si>
  <si>
    <t>Características del sitio</t>
  </si>
  <si>
    <t>SLAB</t>
  </si>
  <si>
    <t>Slab</t>
  </si>
  <si>
    <t>Losa</t>
  </si>
  <si>
    <t>SLUR</t>
  </si>
  <si>
    <t>Slurry</t>
  </si>
  <si>
    <t>Lodo</t>
  </si>
  <si>
    <t>SMOK</t>
  </si>
  <si>
    <t>Smoke extraction systems</t>
  </si>
  <si>
    <t>Sistemas de extracción de humos</t>
  </si>
  <si>
    <t>SOIL</t>
  </si>
  <si>
    <t>Soils</t>
  </si>
  <si>
    <t>Suelos</t>
  </si>
  <si>
    <t>SOUN</t>
  </si>
  <si>
    <t>Sound system</t>
  </si>
  <si>
    <t>Sistema de sonido</t>
  </si>
  <si>
    <t>SPCL</t>
  </si>
  <si>
    <t>Special systems</t>
  </si>
  <si>
    <t>Sistemas especiales</t>
  </si>
  <si>
    <t>SPFX</t>
  </si>
  <si>
    <t>Entertainment special effects system</t>
  </si>
  <si>
    <t>Sistema de efectos especiales para entretenimiento</t>
  </si>
  <si>
    <t>SPKL</t>
  </si>
  <si>
    <t>Sprinkler</t>
  </si>
  <si>
    <t>Rociadores</t>
  </si>
  <si>
    <t>SSWR</t>
  </si>
  <si>
    <t>Sanitary sewer</t>
  </si>
  <si>
    <t>Alcantarillado sanitario</t>
  </si>
  <si>
    <t>STEM</t>
  </si>
  <si>
    <t>Steam system</t>
  </si>
  <si>
    <t>Sistema de vapor</t>
  </si>
  <si>
    <t>STIF</t>
  </si>
  <si>
    <t>Stiffener</t>
  </si>
  <si>
    <t>Refuerzo</t>
  </si>
  <si>
    <t>STRM</t>
  </si>
  <si>
    <t>Storm sewer</t>
  </si>
  <si>
    <t>Alcantarillado pluvial</t>
  </si>
  <si>
    <t>STRS</t>
  </si>
  <si>
    <t>Stairs</t>
  </si>
  <si>
    <t>Escaleras</t>
  </si>
  <si>
    <t>SURV</t>
  </si>
  <si>
    <t>Survey</t>
  </si>
  <si>
    <t>Topografía</t>
  </si>
  <si>
    <t>SWLK</t>
  </si>
  <si>
    <t>Sidewalks</t>
  </si>
  <si>
    <t>Aceras</t>
  </si>
  <si>
    <t>TEST</t>
  </si>
  <si>
    <t>Test equipment</t>
  </si>
  <si>
    <t>Equipo de prueba</t>
  </si>
  <si>
    <t>TILE</t>
  </si>
  <si>
    <t>Tile</t>
  </si>
  <si>
    <t>Tejas</t>
  </si>
  <si>
    <t>TINN</t>
  </si>
  <si>
    <t>Triangulated irregular network</t>
  </si>
  <si>
    <t>Red irregular triangular</t>
  </si>
  <si>
    <t>TOPO</t>
  </si>
  <si>
    <t>Topographic feature</t>
  </si>
  <si>
    <t>Característica topográfica</t>
  </si>
  <si>
    <t>TRAL</t>
  </si>
  <si>
    <t>Trails or paths</t>
  </si>
  <si>
    <t>Senderos o caminos</t>
  </si>
  <si>
    <t>TRAN</t>
  </si>
  <si>
    <t>Transmission system</t>
  </si>
  <si>
    <t>Sistema de transmisión</t>
  </si>
  <si>
    <t>TRUS</t>
  </si>
  <si>
    <t>Trusses</t>
  </si>
  <si>
    <t>Cerchas</t>
  </si>
  <si>
    <t>TVAN</t>
  </si>
  <si>
    <t>Television antenna system</t>
  </si>
  <si>
    <t>Sistema de antena de televisión</t>
  </si>
  <si>
    <t>TVVS</t>
  </si>
  <si>
    <t>Television and video system</t>
  </si>
  <si>
    <t>Sistema de televisión y video</t>
  </si>
  <si>
    <t>UNID</t>
  </si>
  <si>
    <t>Unidentified site objects</t>
  </si>
  <si>
    <t>Objetos no identificados del sitio</t>
  </si>
  <si>
    <t>UTIL</t>
  </si>
  <si>
    <t>Utilities</t>
  </si>
  <si>
    <t>Servicios públicos</t>
  </si>
  <si>
    <t>VACU</t>
  </si>
  <si>
    <t>Vacuum</t>
  </si>
  <si>
    <t>Aspiradora</t>
  </si>
  <si>
    <t>VIDO</t>
  </si>
  <si>
    <t>Entertainment projection systems</t>
  </si>
  <si>
    <t>Sistemas de proyección de entretenimiento</t>
  </si>
  <si>
    <t>WALL</t>
  </si>
  <si>
    <t>Walls</t>
  </si>
  <si>
    <t>Muros</t>
  </si>
  <si>
    <t>WATR</t>
  </si>
  <si>
    <t>Water supply</t>
  </si>
  <si>
    <t>Suministro de agua</t>
  </si>
  <si>
    <t>WETL</t>
  </si>
  <si>
    <t>Wetlands</t>
  </si>
  <si>
    <t>Humedales</t>
  </si>
  <si>
    <t>WIND</t>
  </si>
  <si>
    <t>Wind powered</t>
  </si>
  <si>
    <t>Energía eólica</t>
  </si>
  <si>
    <t>WWAY</t>
  </si>
  <si>
    <t>Waterway</t>
  </si>
  <si>
    <t>Vía fluvial</t>
  </si>
  <si>
    <t>Level 1 - Discipline</t>
  </si>
  <si>
    <r>
      <t xml:space="preserve">Level 2 - Designator </t>
    </r>
    <r>
      <rPr>
        <sz val="10"/>
        <color theme="1"/>
        <rFont val="Segoe UI Light"/>
        <family val="2"/>
      </rPr>
      <t>(for Architectural, Civil and Electrical)</t>
    </r>
  </si>
  <si>
    <t>Metadata</t>
  </si>
  <si>
    <t>https://facilities.duke.edu/sites/default/files/AIA%20CAD%20Layer%20Guidelines.pdf</t>
  </si>
  <si>
    <t>https://nibs.org/</t>
  </si>
  <si>
    <t>Status or Phase</t>
  </si>
  <si>
    <t>Abandoned</t>
  </si>
  <si>
    <t>Abandonado</t>
  </si>
  <si>
    <t>Existing to demolish</t>
  </si>
  <si>
    <t>Existente para demoler</t>
  </si>
  <si>
    <t>Existing to remain</t>
  </si>
  <si>
    <t>Existente para conservar</t>
  </si>
  <si>
    <t>Future work</t>
  </si>
  <si>
    <t>Trabajo futuro</t>
  </si>
  <si>
    <t>Items to be moved</t>
  </si>
  <si>
    <t>Artículos a trasladar</t>
  </si>
  <si>
    <t>N</t>
  </si>
  <si>
    <t>New work</t>
  </si>
  <si>
    <t>Trabajo nuevo</t>
  </si>
  <si>
    <t>Temporary work</t>
  </si>
  <si>
    <t>Trabajo temporal</t>
  </si>
  <si>
    <t>Not in contract</t>
  </si>
  <si>
    <t>Sin contrato</t>
  </si>
  <si>
    <t>Phase numbers</t>
  </si>
  <si>
    <t>Número de fase</t>
  </si>
  <si>
    <t>1-9</t>
  </si>
  <si>
    <t>A□-AREA</t>
  </si>
  <si>
    <t>A□-AREA-OCCP</t>
  </si>
  <si>
    <t>Area: occupant or employee names</t>
  </si>
  <si>
    <t>Área: nombres de ocupantes o empleados</t>
  </si>
  <si>
    <t>A□-BARR</t>
  </si>
  <si>
    <t>A□-BARR-AIR~</t>
  </si>
  <si>
    <t>Barrier: air</t>
  </si>
  <si>
    <t>Barrera: aire</t>
  </si>
  <si>
    <t>A□-CLNG</t>
  </si>
  <si>
    <t>A□-CLNG-ACCS</t>
  </si>
  <si>
    <t>Ceiling: access</t>
  </si>
  <si>
    <t>Techo: acceso</t>
  </si>
  <si>
    <t>A□-CLNG-GRID</t>
  </si>
  <si>
    <t>Ceiling: grid</t>
  </si>
  <si>
    <t>Techo: rejilla</t>
  </si>
  <si>
    <t>A□-CLNG-OPNG</t>
  </si>
  <si>
    <t>Ceiling: openings</t>
  </si>
  <si>
    <t>Techo: aberturas</t>
  </si>
  <si>
    <t>A□-CLNG-SUSP</t>
  </si>
  <si>
    <t>Ceiling: suspended elements</t>
  </si>
  <si>
    <t>Techo: elementos suspendidos</t>
  </si>
  <si>
    <t>A□-CLNG-TEES</t>
  </si>
  <si>
    <t>Ceiling: main tees</t>
  </si>
  <si>
    <t>Techo: tes principales</t>
  </si>
  <si>
    <t>A□-COLS</t>
  </si>
  <si>
    <t>A□-CONV</t>
  </si>
  <si>
    <t>A□-DOOR</t>
  </si>
  <si>
    <t>A□-DOOR-FULL</t>
  </si>
  <si>
    <t>Doors: full-height (swing and leaf)</t>
  </si>
  <si>
    <t>Puertas: altura completa (batientes y de hoja)</t>
  </si>
  <si>
    <t>A□-DOOR-PRHT</t>
  </si>
  <si>
    <t>Doors: partial-height (swing and leaf)</t>
  </si>
  <si>
    <t>Puertas: altura parcial (batientes y de hoja)</t>
  </si>
  <si>
    <t>A□-EQPM</t>
  </si>
  <si>
    <t>A□-EQPM-ACCS</t>
  </si>
  <si>
    <t>Equipment: access</t>
  </si>
  <si>
    <t>Equipo: acceso</t>
  </si>
  <si>
    <t>A□-EQPM-FIXD</t>
  </si>
  <si>
    <t>Equipment: fixed</t>
  </si>
  <si>
    <t>Equipo: fijo</t>
  </si>
  <si>
    <t>A□-EQPM-OVHD</t>
  </si>
  <si>
    <t>Equipment: overhead</t>
  </si>
  <si>
    <t>Equipo: suspendido</t>
  </si>
  <si>
    <t>A□-FLOR</t>
  </si>
  <si>
    <t>A□-FLOR-CSWK</t>
  </si>
  <si>
    <t>Floor: casework</t>
  </si>
  <si>
    <t>Piso: carpintería</t>
  </si>
  <si>
    <t>A□-FLOR-EVTR</t>
  </si>
  <si>
    <t>Floor: elevator cars and equipment</t>
  </si>
  <si>
    <t>Piso: cabinas y equipo de ascensor</t>
  </si>
  <si>
    <t>A□-FLOR-FIXT</t>
  </si>
  <si>
    <t>Floor: fixtures (plumbing)</t>
  </si>
  <si>
    <t>Piso: accesorios (fontanería)</t>
  </si>
  <si>
    <t>A□-FLOR-HRAL</t>
  </si>
  <si>
    <t>Floor: handrails/guard rails</t>
  </si>
  <si>
    <t>Piso: pasamanos/barandillas</t>
  </si>
  <si>
    <t>A□-FLOR-LEVL</t>
  </si>
  <si>
    <t>Floor: level changes (ramps, pits, depressions)</t>
  </si>
  <si>
    <t>Piso: cambios de nivel (rampas, fosos, depresiones)</t>
  </si>
  <si>
    <t>A□-FLOR-OTLN</t>
  </si>
  <si>
    <t>Floor: outline</t>
  </si>
  <si>
    <t>Piso: contorno</t>
  </si>
  <si>
    <t>A□-FLOR-OVHD</t>
  </si>
  <si>
    <t>Floor: overhead</t>
  </si>
  <si>
    <t>Piso: suspendido</t>
  </si>
  <si>
    <t>A□-FLOR-RAIS</t>
  </si>
  <si>
    <t>Floor: raised</t>
  </si>
  <si>
    <t>Piso: elevado</t>
  </si>
  <si>
    <t>A□-FLOR-RISR</t>
  </si>
  <si>
    <t>Floor: risers</t>
  </si>
  <si>
    <t>Piso: contrahuellas</t>
  </si>
  <si>
    <t>A□-FLOR-SIGN</t>
  </si>
  <si>
    <t>Floor: signage</t>
  </si>
  <si>
    <t>Piso: señalización</t>
  </si>
  <si>
    <t>A□-FLOR-SPCL</t>
  </si>
  <si>
    <t>Floor: specialties (toilet room accessories, display cases)</t>
  </si>
  <si>
    <t>Piso: artículos especiales (accesorios para baños, vitrinas)</t>
  </si>
  <si>
    <t>A□-FLOR-STRS</t>
  </si>
  <si>
    <t>Floor: stair treads (escalators, ladders)</t>
  </si>
  <si>
    <t>Piso: escalones de escaleras (escaleras mecánicas, escaleras de mano)</t>
  </si>
  <si>
    <t>A□-FLOR-TPTN</t>
  </si>
  <si>
    <t>Floor: toilet partitions</t>
  </si>
  <si>
    <t>Suelo: mamparas de baño</t>
  </si>
  <si>
    <t>A□-FLOR-WDWK</t>
  </si>
  <si>
    <t>Floor: architectural woodwork</t>
  </si>
  <si>
    <t>Suelo: carpintería arquitectónica</t>
  </si>
  <si>
    <t>A□-FURN</t>
  </si>
  <si>
    <t>A□-FURN-FILE</t>
  </si>
  <si>
    <t>Furnishings: file cabinets</t>
  </si>
  <si>
    <t>Mobiliario: archivadores</t>
  </si>
  <si>
    <t>A□-FURN-FIXD</t>
  </si>
  <si>
    <t>Furnishings: fixed</t>
  </si>
  <si>
    <t>Mobiliario: fijo</t>
  </si>
  <si>
    <t>A□-FURN-FREE</t>
  </si>
  <si>
    <t>Furnishings: freestanding</t>
  </si>
  <si>
    <t>Mobiliario: independiente</t>
  </si>
  <si>
    <t>A□-FURN-PLNT</t>
  </si>
  <si>
    <t>Furnishings: plants</t>
  </si>
  <si>
    <t>Mobiliario: plantas</t>
  </si>
  <si>
    <t>A□-FURN-PNLS</t>
  </si>
  <si>
    <t>Furnishings: system panels</t>
  </si>
  <si>
    <t>Mobiliario: paneles de sistema</t>
  </si>
  <si>
    <t>A□-FURN-SEAT</t>
  </si>
  <si>
    <t>Furnishings: seating</t>
  </si>
  <si>
    <t>Mobiliario: asientos</t>
  </si>
  <si>
    <t>A□-FURN-STOR</t>
  </si>
  <si>
    <t>Furnishings: storage (component system)</t>
  </si>
  <si>
    <t>Mobiliario: almacenamiento (sistema de componentes)</t>
  </si>
  <si>
    <t>A□-FURN-WKSF</t>
  </si>
  <si>
    <t>Furnishings: work surface (component system)</t>
  </si>
  <si>
    <t>Mobiliario: superficie de trabajo (sistema de componentes)</t>
  </si>
  <si>
    <t>A□-GLAZ</t>
  </si>
  <si>
    <t>A□-GLAZ-FULL</t>
  </si>
  <si>
    <t>Glazing: full-height</t>
  </si>
  <si>
    <t>Acristalamiento: altura completa</t>
  </si>
  <si>
    <t>A□-GLAZ-PRHT</t>
  </si>
  <si>
    <t>Glazing: partial-height</t>
  </si>
  <si>
    <t>Acristalamiento: altura parcial</t>
  </si>
  <si>
    <t>A□-GLAZ-SILL</t>
  </si>
  <si>
    <t>Glazing: window sills</t>
  </si>
  <si>
    <t>Acristalamiento: alféizares de ventanas</t>
  </si>
  <si>
    <t>A□-HVAC</t>
  </si>
  <si>
    <t>A□-HVAC-RDFF</t>
  </si>
  <si>
    <t>HVAC systems: return air diffusers</t>
  </si>
  <si>
    <t>Sistemas de climatización (HVAC): difusores de aire de retorno</t>
  </si>
  <si>
    <t>A□-HVAC-SDFF</t>
  </si>
  <si>
    <t>HVAC systems: supply diffusers</t>
  </si>
  <si>
    <t>Sistemas de climatización (HVAC): difusores de suministro</t>
  </si>
  <si>
    <t>A□-LITE</t>
  </si>
  <si>
    <t>A□-ROOF</t>
  </si>
  <si>
    <t>A□-ROOF-HRAL</t>
  </si>
  <si>
    <t>Roof: handrails/guard rails</t>
  </si>
  <si>
    <t>A□-ROOF-LEVL</t>
  </si>
  <si>
    <t>Roof: level changes</t>
  </si>
  <si>
    <t>A□-ROOF-OTLN</t>
  </si>
  <si>
    <t>Roof: outline</t>
  </si>
  <si>
    <t>A□-ROOF-RISR</t>
  </si>
  <si>
    <t>Roof: risers</t>
  </si>
  <si>
    <t>A□-ROOF-STRS</t>
  </si>
  <si>
    <t>Roof: stair treads (ladders)</t>
  </si>
  <si>
    <t>A□-WALL</t>
  </si>
  <si>
    <t>Paredes</t>
  </si>
  <si>
    <t>A□-WALL-CAVI</t>
  </si>
  <si>
    <t>Walls: cavity</t>
  </si>
  <si>
    <t>Paredes: cámara de aire</t>
  </si>
  <si>
    <t>A□-WALL-CNTR</t>
  </si>
  <si>
    <t>Walls: center</t>
  </si>
  <si>
    <t>Paredes: centro</t>
  </si>
  <si>
    <t>A□-WALL-CURT</t>
  </si>
  <si>
    <t>Walls: curtain</t>
  </si>
  <si>
    <t>Paredes: cortina</t>
  </si>
  <si>
    <t>A□-WALL-FIRE</t>
  </si>
  <si>
    <t>Walls: fire protection</t>
  </si>
  <si>
    <t>Paredes: protección contra incendios</t>
  </si>
  <si>
    <t>A□-WALL-FULL</t>
  </si>
  <si>
    <t>Walls: full-height</t>
  </si>
  <si>
    <t>Paredes: Altura completa</t>
  </si>
  <si>
    <t>A□-WALL-FULL-EXTR</t>
  </si>
  <si>
    <t>Walls: full-height: exterior</t>
  </si>
  <si>
    <t>Paredes: altura completa: exterior</t>
  </si>
  <si>
    <t>A□-WALL-FULL-INTR</t>
  </si>
  <si>
    <t>Walls: full-height: interior</t>
  </si>
  <si>
    <t>Paredes: altura completa: interior</t>
  </si>
  <si>
    <t>A□-WALL-HEAD</t>
  </si>
  <si>
    <t>Walls: door and window headers</t>
  </si>
  <si>
    <t>Paredes: dintel de puertas y ventanas</t>
  </si>
  <si>
    <t>A□-WALL-JAMB</t>
  </si>
  <si>
    <t>Walls: door and window jambs</t>
  </si>
  <si>
    <t>Paredes: jambas de puertas y ventanas</t>
  </si>
  <si>
    <t>A□-WALL-MESH</t>
  </si>
  <si>
    <t>Walls: mesh or wire</t>
  </si>
  <si>
    <t>Paredes: malla o alambre</t>
  </si>
  <si>
    <t>A□-WALL-MOVE</t>
  </si>
  <si>
    <t>Walls: moveable</t>
  </si>
  <si>
    <t>Paredes: móviles</t>
  </si>
  <si>
    <t>A□-WALL-PATT</t>
  </si>
  <si>
    <t>Walls: texture and hatch patterns</t>
  </si>
  <si>
    <t>Paredes: textura y patrones de tramado</t>
  </si>
  <si>
    <t>A□-WALL-PRHT</t>
  </si>
  <si>
    <t>Walls: partial-height</t>
  </si>
  <si>
    <t>Paredes: altura parcial</t>
  </si>
  <si>
    <t>C□-AFLD</t>
  </si>
  <si>
    <t>C□-AFLD-ASPH</t>
  </si>
  <si>
    <t>Airfields: asphalt</t>
  </si>
  <si>
    <t>Aeródromos: asfalto</t>
  </si>
  <si>
    <t>C□-AFLD-CNTR</t>
  </si>
  <si>
    <t>Airfields: center</t>
  </si>
  <si>
    <t>Aeródromos: centro</t>
  </si>
  <si>
    <t>C□-AFLD-CONC</t>
  </si>
  <si>
    <t>Airfields: concrete</t>
  </si>
  <si>
    <t>Aeródromos: hormigón</t>
  </si>
  <si>
    <t>C□-AFLD-FLNE</t>
  </si>
  <si>
    <t>Airfields: fire lane</t>
  </si>
  <si>
    <t>Aeródromos: carril cortafuegos</t>
  </si>
  <si>
    <t>C□-AFLD-FLNE-MRKG</t>
  </si>
  <si>
    <t>Airfields: fire lane: pavement markings</t>
  </si>
  <si>
    <t>Aeródromos: carril cortafuegos: marcas en el pavimento</t>
  </si>
  <si>
    <t>C□-AFLD-FLNE-SIGN</t>
  </si>
  <si>
    <t>Airfields: fire lane: signage</t>
  </si>
  <si>
    <t>Aeródromos: carril cortafuegos: señalización</t>
  </si>
  <si>
    <t>C□-AFLD-GRVL</t>
  </si>
  <si>
    <t>Airfields: gravel</t>
  </si>
  <si>
    <t>Aeródromos: grava</t>
  </si>
  <si>
    <t>C□-AFLD-MRKG</t>
  </si>
  <si>
    <t>Airfields: pavement markings</t>
  </si>
  <si>
    <t>Aeródromos: marcas en el pavimento</t>
  </si>
  <si>
    <t>C□-AFLD-SIGN</t>
  </si>
  <si>
    <t>Airfields: signage</t>
  </si>
  <si>
    <t>Aeródromos: señalización</t>
  </si>
  <si>
    <t>C□-AFLD-STAN</t>
  </si>
  <si>
    <t>Airfields: stationing</t>
  </si>
  <si>
    <t>Aeródromos: estacionamiento</t>
  </si>
  <si>
    <t>C□-AFLD-WHIT</t>
  </si>
  <si>
    <t>Airfields: white paint</t>
  </si>
  <si>
    <t>Aeródromos: pintura blanca</t>
  </si>
  <si>
    <t>C□-AFLD-WHIT-TICK</t>
  </si>
  <si>
    <t>Airfields: white paint: tick marks</t>
  </si>
  <si>
    <t>Aeródromos: pintura blanca: marcas de verificación</t>
  </si>
  <si>
    <t>C□-AFLD-YELO</t>
  </si>
  <si>
    <t>Airfields: yellow paint</t>
  </si>
  <si>
    <t>Aeródromos: pintura amarilla</t>
  </si>
  <si>
    <t>C□-AFLD-YELO-TICK</t>
  </si>
  <si>
    <t>Airfields: yellow paint: tick marks</t>
  </si>
  <si>
    <t>Aeródromos: pintura amarilla: marcas de verificación</t>
  </si>
  <si>
    <t>C□-BLDG</t>
  </si>
  <si>
    <t>Edificios y estructuras principales</t>
  </si>
  <si>
    <t>C□-BLDG-DECK</t>
  </si>
  <si>
    <t>Buildings and primary structures: deck (attached, no roo foverhead)</t>
  </si>
  <si>
    <t>Edificios y estructuras principales: cubierta (adosada, sin techo)</t>
  </si>
  <si>
    <t>C□-BLDG-OTLN</t>
  </si>
  <si>
    <t>Buildings and primary structures: outline</t>
  </si>
  <si>
    <t>Edificios y estructuras principales: contorno</t>
  </si>
  <si>
    <t>C□-BLDG-OVHD</t>
  </si>
  <si>
    <t>Buildings and primary structures: overhead</t>
  </si>
  <si>
    <t>Edificios y estructuras principales: cubierta</t>
  </si>
  <si>
    <t>C□-BLDG-PRCH</t>
  </si>
  <si>
    <t>Buildings and primary structures: porch (attached, roof overhead)</t>
  </si>
  <si>
    <t>Edificios y estructuras principales: pórtico (adosado, techo)</t>
  </si>
  <si>
    <t>C□-BLIN</t>
  </si>
  <si>
    <t>C□-BLIN-STAN</t>
  </si>
  <si>
    <t>Baseline: stationing</t>
  </si>
  <si>
    <t>Línea base: estacionamiento</t>
  </si>
  <si>
    <t>C□-BORE</t>
  </si>
  <si>
    <t>C□-BRDG</t>
  </si>
  <si>
    <t>C□-BRDG-CNTJ</t>
  </si>
  <si>
    <t>Bridge: construction joint</t>
  </si>
  <si>
    <t>Puente: junta de construcción</t>
  </si>
  <si>
    <t>C□-BRDG-CNTR</t>
  </si>
  <si>
    <t>Bridge: center</t>
  </si>
  <si>
    <t>Puente: centro</t>
  </si>
  <si>
    <t>C□-BRDG-DECK</t>
  </si>
  <si>
    <t>Bridge: deck</t>
  </si>
  <si>
    <t>Puente: cubierta</t>
  </si>
  <si>
    <t>C□-BRDG-EXPJ</t>
  </si>
  <si>
    <t>Bridge: expansion joint</t>
  </si>
  <si>
    <t>Puente: junta de dilatación</t>
  </si>
  <si>
    <t>C□-BRDG-FALT</t>
  </si>
  <si>
    <t>Bridge: fault/break line</t>
  </si>
  <si>
    <t>Puente: línea de falla/rotura</t>
  </si>
  <si>
    <t>C□-BRDG-HIDD</t>
  </si>
  <si>
    <t>Bridge: objects or lines hidden from view</t>
  </si>
  <si>
    <t>Puente: objetos o líneas ocultos Vista</t>
  </si>
  <si>
    <t>C□-BRDG-OBJT</t>
  </si>
  <si>
    <t>Bridge: objects</t>
  </si>
  <si>
    <t>Puente: objetos</t>
  </si>
  <si>
    <t>C□-BRDG-OBJT-PRIM</t>
  </si>
  <si>
    <t>Bridge: objects: primary</t>
  </si>
  <si>
    <t>Puente: objetos: principal</t>
  </si>
  <si>
    <t>C□-BRDG-OBJT-SECD</t>
  </si>
  <si>
    <t>Bridge: objects: secondary</t>
  </si>
  <si>
    <t>Puente: objetos: secundario</t>
  </si>
  <si>
    <t>C□-BRDG-RBAR</t>
  </si>
  <si>
    <t>Bridge: reinforcing bar</t>
  </si>
  <si>
    <t>Puente: barra de refuerzo</t>
  </si>
  <si>
    <t>C□-CATV</t>
  </si>
  <si>
    <t>C□-CATV-OVHD</t>
  </si>
  <si>
    <t>Cable television system: overhead</t>
  </si>
  <si>
    <t>Sistema de televisión por cable: aéreo</t>
  </si>
  <si>
    <t>C□-CATV-POLE</t>
  </si>
  <si>
    <t>Cable television system: pole</t>
  </si>
  <si>
    <t>Sistema de televisión por cable: poste</t>
  </si>
  <si>
    <t>C□-CATV-UGND</t>
  </si>
  <si>
    <t>Cable television system: underground</t>
  </si>
  <si>
    <t>Sistema de televisión por cable: subterráneo</t>
  </si>
  <si>
    <t>C□-CEME</t>
  </si>
  <si>
    <t>C□-CHAN</t>
  </si>
  <si>
    <t>C□-CHAN-BWTR</t>
  </si>
  <si>
    <t>Navigable channels: breakwater</t>
  </si>
  <si>
    <t>Canales navegables: rompeolas</t>
  </si>
  <si>
    <t>C□-CHAN-CNTR</t>
  </si>
  <si>
    <t>Navigable channels: center</t>
  </si>
  <si>
    <t>Canales navegables: centro</t>
  </si>
  <si>
    <t>C□-CHAN-DACL</t>
  </si>
  <si>
    <t>Navigable channels: de-authorized channel limits, anchorages, etc.</t>
  </si>
  <si>
    <t>Canales navegables: límites de canales no autorizados, fondeaderos, etc.</t>
  </si>
  <si>
    <t>C□-CHAN-DOCK</t>
  </si>
  <si>
    <t>Navigable channels: decks, docks, floats, piers</t>
  </si>
  <si>
    <t>Canales navegables: cubiertas, muelles, flotadores, embarcaderos</t>
  </si>
  <si>
    <t>C□-CHAN-NAID</t>
  </si>
  <si>
    <t>Navigable channels: navigation aids</t>
  </si>
  <si>
    <t>Canales navegables: ayudas a la navegación</t>
  </si>
  <si>
    <t>C□-COMM</t>
  </si>
  <si>
    <t>C□-COMM-OVHD</t>
  </si>
  <si>
    <t>Communications: overhead</t>
  </si>
  <si>
    <t>Comunicaciones: aéreas</t>
  </si>
  <si>
    <t>C□-COMM-POLE</t>
  </si>
  <si>
    <t>Communications: pole</t>
  </si>
  <si>
    <t>Comunicaciones: poste</t>
  </si>
  <si>
    <t>C□- COMM-UGND</t>
  </si>
  <si>
    <t>Communications: underground</t>
  </si>
  <si>
    <t>Comunicaciones: subterráneas</t>
  </si>
  <si>
    <t>C□-CTRL</t>
  </si>
  <si>
    <t>C□-CTR L-BMRK</t>
  </si>
  <si>
    <t>Control points: benchmarks</t>
  </si>
  <si>
    <t>Puntos de control: puntos de referencia</t>
  </si>
  <si>
    <t>C□-CTRL-FLYS</t>
  </si>
  <si>
    <t>Control points: fly station</t>
  </si>
  <si>
    <t>Puntos de control: estación de vuelo</t>
  </si>
  <si>
    <t>C□-CTRL-GRID</t>
  </si>
  <si>
    <t>Control points: grid</t>
  </si>
  <si>
    <t>Puntos de control: cuadrícula</t>
  </si>
  <si>
    <t>C□-CTRL-HORZ</t>
  </si>
  <si>
    <t>Control points: horizontal</t>
  </si>
  <si>
    <t>Puntos de control: horizontal</t>
  </si>
  <si>
    <t>C□-CTRL-HVPT</t>
  </si>
  <si>
    <t>Control points: horizontal/vertical</t>
  </si>
  <si>
    <t>Puntos de control: horizontal/vertical</t>
  </si>
  <si>
    <t>C□-CTRL-PNPT</t>
  </si>
  <si>
    <t>Control points: panel points</t>
  </si>
  <si>
    <t>Puntos de control: puntos de panel</t>
  </si>
  <si>
    <t>C□-CTRL-TRAV</t>
  </si>
  <si>
    <t>Control points: transverse</t>
  </si>
  <si>
    <t>Puntos de control: transversal</t>
  </si>
  <si>
    <t>C□-CTRL-VERT</t>
  </si>
  <si>
    <t>Control points: vertical</t>
  </si>
  <si>
    <t>Puntos de control: vertical</t>
  </si>
  <si>
    <t>C□-DFLD</t>
  </si>
  <si>
    <t>C□-DFLD-OTLN</t>
  </si>
  <si>
    <t>Drain fields: outline</t>
  </si>
  <si>
    <t>Campos de drenaje: contorno</t>
  </si>
  <si>
    <t>C□-DFLD-PROF</t>
  </si>
  <si>
    <t>Drain fields: profile</t>
  </si>
  <si>
    <t>Campos de drenaje: perfil</t>
  </si>
  <si>
    <t>C□-DRIV</t>
  </si>
  <si>
    <t>Accesos vehiculares</t>
  </si>
  <si>
    <t>C□-DRIV-ASPH</t>
  </si>
  <si>
    <t>Driveways: asphalt</t>
  </si>
  <si>
    <t>Accesos vehiculares: asfalto</t>
  </si>
  <si>
    <t>C□-DRIV-CNTR</t>
  </si>
  <si>
    <t>Driveways: center</t>
  </si>
  <si>
    <t>Accesos vehiculares: centro</t>
  </si>
  <si>
    <t>C□-DRIV-CONC</t>
  </si>
  <si>
    <t>Driveways: concrete</t>
  </si>
  <si>
    <t>Accesos vehiculares: hormigón</t>
  </si>
  <si>
    <t>C□-DRIV-CURB</t>
  </si>
  <si>
    <t>Driveways: curb</t>
  </si>
  <si>
    <t>Accesos vehiculares: Bordillo</t>
  </si>
  <si>
    <t>C□-DRIV-CURB-BACK</t>
  </si>
  <si>
    <t>Driveways: curb: back</t>
  </si>
  <si>
    <t>Entradas: Bordillo: Parte trasera</t>
  </si>
  <si>
    <t>C□-DRIV-CURB-FACE</t>
  </si>
  <si>
    <t>Driveways: curb: face</t>
  </si>
  <si>
    <t>Entradas: Bordillo: Cara</t>
  </si>
  <si>
    <t>C□-DRIV-FLNE</t>
  </si>
  <si>
    <t>Driveways: fire lane</t>
  </si>
  <si>
    <t>Entradas: Carril contra incendios</t>
  </si>
  <si>
    <t>C□-DRIV-FLNE-MRKG</t>
  </si>
  <si>
    <t>Driveways: fire lane: pavement markings</t>
  </si>
  <si>
    <t>Entradas: Carril contra incendios: Marcas en el pavimento</t>
  </si>
  <si>
    <t>C□-DRIV-FLNE-SIGN</t>
  </si>
  <si>
    <t>Driveways: fire lane: signage</t>
  </si>
  <si>
    <t>Entradas: Carril contra incendios: Señalización</t>
  </si>
  <si>
    <t>C□-DRIV-GRVL</t>
  </si>
  <si>
    <t>Driveways: gravel</t>
  </si>
  <si>
    <t>Entradas: Grava</t>
  </si>
  <si>
    <t>C□-DRIV-MRKG</t>
  </si>
  <si>
    <t>Driveways: pavement markings</t>
  </si>
  <si>
    <t>Entradas: Marcas en el pavimento</t>
  </si>
  <si>
    <t>C□-DRIV-SIGN</t>
  </si>
  <si>
    <t>Driveways: signage</t>
  </si>
  <si>
    <t>Entradas: Señalización</t>
  </si>
  <si>
    <t>C□-DRI V-UPVD</t>
  </si>
  <si>
    <t>Driveways: unpaved surface</t>
  </si>
  <si>
    <t>Entradas: Superficie sin pavimentar</t>
  </si>
  <si>
    <t>C□-DRIV-WHIT</t>
  </si>
  <si>
    <t>Driveways: white paint</t>
  </si>
  <si>
    <t>Entradas: Pintura blanca</t>
  </si>
  <si>
    <t>C□-DRIV-WHIT-TICK</t>
  </si>
  <si>
    <t>Driveways: white paint: tick marks</t>
  </si>
  <si>
    <t>Entradas: Pintura blanca: Marcas de verificación</t>
  </si>
  <si>
    <t>C□-DRIV-YELO</t>
  </si>
  <si>
    <t>Driveways: yellow paint</t>
  </si>
  <si>
    <t>Entradas: Pintura amarilla</t>
  </si>
  <si>
    <t>C□-DRIV-YELO-TICK</t>
  </si>
  <si>
    <t>Driveways: yellow paint: tick marks</t>
  </si>
  <si>
    <t>Entradas: Pintura amarilla: Marcas de verificación</t>
  </si>
  <si>
    <t>C□-DTCH</t>
  </si>
  <si>
    <t>Cuencas o zanjas</t>
  </si>
  <si>
    <t>C□-DTCH-BOTM</t>
  </si>
  <si>
    <t>Ditches or washes: bottom</t>
  </si>
  <si>
    <t>Cuencas o zanjas: Parte inferior</t>
  </si>
  <si>
    <t>C□-DTCH-CNTR</t>
  </si>
  <si>
    <t>Ditches or washes: center</t>
  </si>
  <si>
    <t>Cuencas o zanjas: Centro</t>
  </si>
  <si>
    <t>C□-DTCH-EWAT</t>
  </si>
  <si>
    <t>Ditches or washes: edge of water</t>
  </si>
  <si>
    <t>Cuencas o zanjas: Borde del agua</t>
  </si>
  <si>
    <t>C□-DTCH-TOP~</t>
  </si>
  <si>
    <t>Ditches or washes: top</t>
  </si>
  <si>
    <t>Cuencas o zanjas: Parte superior</t>
  </si>
  <si>
    <t>C□-EROS</t>
  </si>
  <si>
    <t>C□-EROS-CIPR</t>
  </si>
  <si>
    <t>Erosion and sediment control: culvert inlet protection</t>
  </si>
  <si>
    <t>Control de erosión y sedimentos: Protección de la entrada de la alcantarilla</t>
  </si>
  <si>
    <t>C□-EROS-CNTE</t>
  </si>
  <si>
    <t>Erosion and sediment control: construction entrance</t>
  </si>
  <si>
    <t>Control de erosión y sedimentos: Entrada de la construcción</t>
  </si>
  <si>
    <t>C□-EROS-DDIV</t>
  </si>
  <si>
    <t>Erosion and sediment control: drainage divides</t>
  </si>
  <si>
    <t>Control de erosión y sedimentos: Divisorias de drenaje</t>
  </si>
  <si>
    <t>C□-EROS-DVDK</t>
  </si>
  <si>
    <t>Erosion and sediment control: diversion dike</t>
  </si>
  <si>
    <t>Control de erosión y sedimentos: Dique de derivación</t>
  </si>
  <si>
    <t>C□-EROS-INPR</t>
  </si>
  <si>
    <t>Erosion and sediment control: inlet protection</t>
  </si>
  <si>
    <t>Control de erosión y sedimentos: Protección de la entrada</t>
  </si>
  <si>
    <t>C□-EROS-SILT</t>
  </si>
  <si>
    <t>Erosion and sediment control: silt fence</t>
  </si>
  <si>
    <t>Control de erosión y sedimentos: Barrera de sedimentos</t>
  </si>
  <si>
    <t>C□-EROS-SSLT</t>
  </si>
  <si>
    <t>Erosion and sediment control: super silt fence</t>
  </si>
  <si>
    <t>Control de erosión y sedimentos: Superlimo Cerca</t>
  </si>
  <si>
    <t>C□-ESMT</t>
  </si>
  <si>
    <t>C□-ESMT-ACCS</t>
  </si>
  <si>
    <t>Easements: access (pedestrian only; private access)</t>
  </si>
  <si>
    <t>Servidumbres: acceso (solo para peatones; acceso privado)</t>
  </si>
  <si>
    <t>C□-ESMT-CATV</t>
  </si>
  <si>
    <t>Easements: utility - cable television system</t>
  </si>
  <si>
    <t>Servidumbres: servicios públicos - sistema de televisión por cable</t>
  </si>
  <si>
    <t>C□-ESMT-CONS</t>
  </si>
  <si>
    <t>Easements: conservation</t>
  </si>
  <si>
    <t>Servidumbres: conservación</t>
  </si>
  <si>
    <t>C□-ESMT-CSTG</t>
  </si>
  <si>
    <t>Easements: construction/grading</t>
  </si>
  <si>
    <t>Servidumbres: construcción/nivelación</t>
  </si>
  <si>
    <t>C□-ESMT-ELEC</t>
  </si>
  <si>
    <t>Easements: electrical</t>
  </si>
  <si>
    <t>Servidumbres: electricidad</t>
  </si>
  <si>
    <t>C□-ESMT-FDPL</t>
  </si>
  <si>
    <t>Easements: flood plain</t>
  </si>
  <si>
    <t>Servidumbres: llanura aluvial</t>
  </si>
  <si>
    <t>C□-ESMT-INEG</t>
  </si>
  <si>
    <t>Easements: ingress/egress (vehicles; private access)</t>
  </si>
  <si>
    <t>Servidumbres: entrada/salida (vehículos; acceso privado)</t>
  </si>
  <si>
    <t>C□-ESMT-LSCP</t>
  </si>
  <si>
    <t>Easements: landscape</t>
  </si>
  <si>
    <t>Servidumbres: paisajismo</t>
  </si>
  <si>
    <t>C□-ESMT-NGAS</t>
  </si>
  <si>
    <t>Easements: natural gas line</t>
  </si>
  <si>
    <t>Servidumbres: línea de gas natural</t>
  </si>
  <si>
    <t>C□-ESMT-PHON</t>
  </si>
  <si>
    <t>Easements: telephone line</t>
  </si>
  <si>
    <t>Servidumbres: línea telefónica</t>
  </si>
  <si>
    <t>C□-ESMT-ROAD</t>
  </si>
  <si>
    <t>Easements: roadway</t>
  </si>
  <si>
    <t>Servidumbres: carretera</t>
  </si>
  <si>
    <t>C□-ESMT-ROAD-PERM</t>
  </si>
  <si>
    <t>Easements: roadway: permanent</t>
  </si>
  <si>
    <t>Servidumbres: carretera: permanente</t>
  </si>
  <si>
    <t>C□-ESMT-ROAD-TEMP</t>
  </si>
  <si>
    <t>Easements: roadway: temporary</t>
  </si>
  <si>
    <t>Servidumbres: carretera: temporal</t>
  </si>
  <si>
    <t>C□-ESMT-RWAY</t>
  </si>
  <si>
    <t>Easements: right-of-way (public access)</t>
  </si>
  <si>
    <t>Servidumbres: derecho de paso (acceso público)</t>
  </si>
  <si>
    <t>C□-ESMT-SGHT</t>
  </si>
  <si>
    <t>Easements: sight distance</t>
  </si>
  <si>
    <t>Servidumbres: distancia de visibilidad</t>
  </si>
  <si>
    <t>C□-ESMT-SSWR</t>
  </si>
  <si>
    <t>Easements: sanitary sewer</t>
  </si>
  <si>
    <t>Servidumbres: alcantarillado sanitario</t>
  </si>
  <si>
    <t>C□-ESMT-STRM</t>
  </si>
  <si>
    <t>Easements: storm sewer</t>
  </si>
  <si>
    <t>Servidumbres: alcantarillado pluvial</t>
  </si>
  <si>
    <t>C□-ESMT-SWMT</t>
  </si>
  <si>
    <t>Easements: storm water management</t>
  </si>
  <si>
    <t>Servidumbres: gestión de aguas pluviales</t>
  </si>
  <si>
    <t>C□-ESMT-TRAL</t>
  </si>
  <si>
    <t>Easements: trail or path (public access)</t>
  </si>
  <si>
    <t>Servidumbres: sendero o camino (acceso público)</t>
  </si>
  <si>
    <t>C□-ESMT-UTIL</t>
  </si>
  <si>
    <t>Easements: utility lines</t>
  </si>
  <si>
    <t>Servidumbres: líneas de servicios públicos</t>
  </si>
  <si>
    <t>C□-ESMT-WATR</t>
  </si>
  <si>
    <t>Easements: water supply</t>
  </si>
  <si>
    <t>Servidumbres: suministro de agua</t>
  </si>
  <si>
    <t>C□-FENC</t>
  </si>
  <si>
    <t>C□-FENC-GRAL</t>
  </si>
  <si>
    <t>Fences: guard rail</t>
  </si>
  <si>
    <t>Cercas: barandilla</t>
  </si>
  <si>
    <t>C□-FENC-POST</t>
  </si>
  <si>
    <t>Fences: posts</t>
  </si>
  <si>
    <t>Cercas: postes</t>
  </si>
  <si>
    <t>C -FENC-STEL</t>
  </si>
  <si>
    <t>Fences: steel (barbed wire and/or chain link)</t>
  </si>
  <si>
    <t>Cercas: acero (alambre de púas y/o malla metálica)</t>
  </si>
  <si>
    <t>C□-FENC-WOOD</t>
  </si>
  <si>
    <t>Fences: wood</t>
  </si>
  <si>
    <t>Cercas: madera</t>
  </si>
  <si>
    <t>C□-FIRE</t>
  </si>
  <si>
    <t>C□-FIRE-HYDT</t>
  </si>
  <si>
    <t>Fire protection: hydrants and connections</t>
  </si>
  <si>
    <t>Protección contra incendios: Hidrantes y conexiones</t>
  </si>
  <si>
    <t>C□-FIRE-PIPE</t>
  </si>
  <si>
    <t>Fire protection: piping</t>
  </si>
  <si>
    <t>Protección contra incendios: tuberías</t>
  </si>
  <si>
    <t>C□-FIRE-UGND</t>
  </si>
  <si>
    <t>Fire protection: underground</t>
  </si>
  <si>
    <t>Protección contra incendios: subterránea</t>
  </si>
  <si>
    <t>C□-FLHA</t>
  </si>
  <si>
    <t>Zona de riesgo de inundación</t>
  </si>
  <si>
    <t>C□-FLHA-025Y</t>
  </si>
  <si>
    <t>Flood hazard area: 25 year mark</t>
  </si>
  <si>
    <t>Zona de riesgo de inundación: 25 años</t>
  </si>
  <si>
    <t>C□-FLHA-050Y</t>
  </si>
  <si>
    <t>Flood hazard area: 50 year mark</t>
  </si>
  <si>
    <t>Zona de riesgo de inundación: 50 años</t>
  </si>
  <si>
    <t>C□-FLHA-100Y</t>
  </si>
  <si>
    <t>Flood hazard area: 100 year mark</t>
  </si>
  <si>
    <t>Zona de riesgo de inundación: 100 años</t>
  </si>
  <si>
    <t>C□-FLHA-200Y</t>
  </si>
  <si>
    <t>Flood hazard area: 200 year mark</t>
  </si>
  <si>
    <t>Zona de riesgo de inundación: 200 años</t>
  </si>
  <si>
    <t>C□-FUEL</t>
  </si>
  <si>
    <t>C□-FUEL-EQPM</t>
  </si>
  <si>
    <t>Fuel systems: equipment (pumps, motors)</t>
  </si>
  <si>
    <t>Sistemas de combustible: equipos (bombas, motores)</t>
  </si>
  <si>
    <t>C□-FUEL-INST</t>
  </si>
  <si>
    <t>Fuel systems: instrumentation (meters, valves, etc.)</t>
  </si>
  <si>
    <t>Sistemas de combustible: instrumentación (medidores, válvulas, etc.)</t>
  </si>
  <si>
    <t>C□-FUEL-MHOL</t>
  </si>
  <si>
    <t>Fuel systems: manhole</t>
  </si>
  <si>
    <t>Sistemas de combustible: pozo de registro</t>
  </si>
  <si>
    <t>C□-FUEL-PIPE</t>
  </si>
  <si>
    <t>Fuel systems: piping</t>
  </si>
  <si>
    <t>Sistemas de combustible: tuberías</t>
  </si>
  <si>
    <t>C□-FUEL-TANK</t>
  </si>
  <si>
    <t>Fuel systems: storage tanks</t>
  </si>
  <si>
    <t>Sistemas de combustible: tanques de almacenamiento</t>
  </si>
  <si>
    <t>C□-FUEL-UGND</t>
  </si>
  <si>
    <t>Fuel systems: underground</t>
  </si>
  <si>
    <t>Sistemas de combustible: subterráneos</t>
  </si>
  <si>
    <t>C□-HYDR</t>
  </si>
  <si>
    <t>C□-HYDR-BAFL</t>
  </si>
  <si>
    <t>Hydraulic structure: baffle block and splash pad</t>
  </si>
  <si>
    <t>Estructura hidráulica: bloque deflector y plataforma antisalpicaduras</t>
  </si>
  <si>
    <t>C□-HYDR-BASN</t>
  </si>
  <si>
    <t>Hydraulic structure: stilling and settling basins</t>
  </si>
  <si>
    <t>Estructura hidráulica: estanques de amortiguación y sedimentación</t>
  </si>
  <si>
    <t>C□-HYDR-CNDT</t>
  </si>
  <si>
    <t>Hydraulic structure: diversion/bypass conduits/culvers</t>
  </si>
  <si>
    <t>Estructura hidráulica: conductos de derivación/bypass/alcantarillas</t>
  </si>
  <si>
    <t>C□-HYDR-COFF</t>
  </si>
  <si>
    <t>Hydraulic structure: coffer dam</t>
  </si>
  <si>
    <t>Estructura hidráulica: ataguía</t>
  </si>
  <si>
    <t>C□-HYDR-DAM~</t>
  </si>
  <si>
    <t>Hydraulic structure: dam</t>
  </si>
  <si>
    <t>Estructura hidráulica: presa</t>
  </si>
  <si>
    <t>C□-HYDR-FISH</t>
  </si>
  <si>
    <t>Hydraulic structure: fish ladder/passage</t>
  </si>
  <si>
    <t>Estructura hidráulica: escala/pasaje para peces</t>
  </si>
  <si>
    <t>C□-HYDR-FLUM</t>
  </si>
  <si>
    <t>Hydraulic structure: flume</t>
  </si>
  <si>
    <t>Estructura hidráulica: canal</t>
  </si>
  <si>
    <t>C□-HYDR-INTK</t>
  </si>
  <si>
    <t>Hydraulic structure: intake</t>
  </si>
  <si>
    <t>C□-HYDR-NOVR</t>
  </si>
  <si>
    <t>Hydraulic structure: non-overflow structure</t>
  </si>
  <si>
    <t>C□-HYDR-PENS</t>
  </si>
  <si>
    <t>Hydraulic structure: penstock</t>
  </si>
  <si>
    <t>C□-LOCN</t>
  </si>
  <si>
    <t>C□-NGAS</t>
  </si>
  <si>
    <t>C□-NGAS-EQPM</t>
  </si>
  <si>
    <t>Natural gas systems: equipment (pumps, motors)</t>
  </si>
  <si>
    <t>Sistemas de gas natural: Equipos (bombas, motores)</t>
  </si>
  <si>
    <t>C□-NGAS-INST</t>
  </si>
  <si>
    <t>Natural gas systems: instrumentation (meters, valves, etc.)</t>
  </si>
  <si>
    <t>Sistemas de gas natural: Instrumentación (medidores, válvulas, etc.)</t>
  </si>
  <si>
    <t>C□-NGAS-MHOL</t>
  </si>
  <si>
    <t>Natural gas systems: manhole</t>
  </si>
  <si>
    <t>Sistemas de gas natural: Pozo de registro</t>
  </si>
  <si>
    <t>C□-NGAS-PIPE</t>
  </si>
  <si>
    <t>Natural gas systems: piping</t>
  </si>
  <si>
    <t>Sistemas de gas natural: Tuberías</t>
  </si>
  <si>
    <t>C□-NGAS-TANK</t>
  </si>
  <si>
    <t>Natural gas systems: storage tanks</t>
  </si>
  <si>
    <t>Sistemas de gas natural: Tanques de almacenamiento</t>
  </si>
  <si>
    <t>C□-NGAS-UGND</t>
  </si>
  <si>
    <t>Natural gas systems: underground</t>
  </si>
  <si>
    <t>Sistemas de gas natural: Subterráneos</t>
  </si>
  <si>
    <t>C□-PERC</t>
  </si>
  <si>
    <t>Pruebas de percolación</t>
  </si>
  <si>
    <t>C□-PERC-HOLE</t>
  </si>
  <si>
    <t>Perc testing: holes</t>
  </si>
  <si>
    <t>Pruebas de percolación: Pozos</t>
  </si>
  <si>
    <t>C□-POND</t>
  </si>
  <si>
    <t>C□-POND-EDGE</t>
  </si>
  <si>
    <t>Ponds: edge</t>
  </si>
  <si>
    <t>Estanques: borde</t>
  </si>
  <si>
    <t>C□-POND-SWAY</t>
  </si>
  <si>
    <t>Ponds: spillway</t>
  </si>
  <si>
    <t>Estanques: aliviadero</t>
  </si>
  <si>
    <t>C□-POND-TOPB</t>
  </si>
  <si>
    <t>Ponds: top of bank</t>
  </si>
  <si>
    <t>Estanques: parte superior de la ribera</t>
  </si>
  <si>
    <t>C□-POWR</t>
  </si>
  <si>
    <t>C□-POWR-FENC</t>
  </si>
  <si>
    <t>Power: fences</t>
  </si>
  <si>
    <t>Energía: cercas</t>
  </si>
  <si>
    <t>C□-POWR-INST</t>
  </si>
  <si>
    <t>Power: instrumentation (meters, transformers)</t>
  </si>
  <si>
    <t>Energía: instrumentación (medidores, transformadores)</t>
  </si>
  <si>
    <t>C□-POWR-MHOL</t>
  </si>
  <si>
    <t>Power: manhole</t>
  </si>
  <si>
    <t>Energía: pozo de registro</t>
  </si>
  <si>
    <t>C□-POWR-OVHD</t>
  </si>
  <si>
    <t>Power: overhead</t>
  </si>
  <si>
    <t>Energía: aérea</t>
  </si>
  <si>
    <t>C□-POWR-POLE</t>
  </si>
  <si>
    <t>Power: pole</t>
  </si>
  <si>
    <t>Energía: poste</t>
  </si>
  <si>
    <t>C□-POWR-STRC</t>
  </si>
  <si>
    <t>Power: structures</t>
  </si>
  <si>
    <t>Energía: estructuras</t>
  </si>
  <si>
    <t>C□-POWR-UGND</t>
  </si>
  <si>
    <t>Power: underground</t>
  </si>
  <si>
    <t>Energía: subterránea</t>
  </si>
  <si>
    <t>C□-PRKG</t>
  </si>
  <si>
    <t>C□-PRKG-ASPH</t>
  </si>
  <si>
    <t>Parking lots: asphalt</t>
  </si>
  <si>
    <t>Estacionamientos: asfalto</t>
  </si>
  <si>
    <t>C□-PRKG-CARS</t>
  </si>
  <si>
    <t>Parking lots: cars and other vehicles</t>
  </si>
  <si>
    <t>Estacionamientos: automóviles y otros vehículos</t>
  </si>
  <si>
    <t>C□-PRKG-CONC</t>
  </si>
  <si>
    <t>Parking lots: concrete</t>
  </si>
  <si>
    <t>Estacionamientos: concreto</t>
  </si>
  <si>
    <t>C□-PRKG-CURB</t>
  </si>
  <si>
    <t>Parking lots: curb</t>
  </si>
  <si>
    <t>Estacionamientos: bordillo</t>
  </si>
  <si>
    <t>C□-PRKG-CURB-BACK</t>
  </si>
  <si>
    <t>Parking lots: curb: back</t>
  </si>
  <si>
    <t>Estacionamientos: bordillo: trasero</t>
  </si>
  <si>
    <t>C□-PRKG-CURB-FACE</t>
  </si>
  <si>
    <t>Parking lots: curb: face</t>
  </si>
  <si>
    <t>Estacionamientos: bordillo: frente</t>
  </si>
  <si>
    <t>C□-PRKG-DRAN</t>
  </si>
  <si>
    <t>Parking lots: drainage slope indications</t>
  </si>
  <si>
    <t>Estacionamientos: indicaciones de pendiente de drenaje</t>
  </si>
  <si>
    <t>C□-PRKG-FIXT</t>
  </si>
  <si>
    <t>Parking lots: fixtures (wheel stops, parking meters, etc.)</t>
  </si>
  <si>
    <t>Estacionamientos: accesorios (frenos de rueda, parquímetros, etc.)</t>
  </si>
  <si>
    <t>C□-PRKG-FLNE</t>
  </si>
  <si>
    <t>Parking lots: fire lane</t>
  </si>
  <si>
    <t>Estacionamientos: carril de incendios</t>
  </si>
  <si>
    <t>C□-PRKG-FLNE-MRKG</t>
  </si>
  <si>
    <t>Parking lots: fire lane: pavement markings</t>
  </si>
  <si>
    <t>Estacionamientos: carril de incendios: marcas en el pavimento</t>
  </si>
  <si>
    <t>C□-PRKG-FLNE-SIGN</t>
  </si>
  <si>
    <t>Parking lots: fire lane: signage</t>
  </si>
  <si>
    <t>Estacionamientos: carril de incendios: señalización</t>
  </si>
  <si>
    <t>C□-PRKG-GRVL</t>
  </si>
  <si>
    <t>Parking lots: gravel</t>
  </si>
  <si>
    <t>Estacionamientos: grava</t>
  </si>
  <si>
    <t>C□-PRKG-MRKG</t>
  </si>
  <si>
    <t>Parking lots: pavement markings</t>
  </si>
  <si>
    <t>Estacionamientos: marcas en el pavimento</t>
  </si>
  <si>
    <t>C□-PRKG-SIGN</t>
  </si>
  <si>
    <t>Parking lots: signage</t>
  </si>
  <si>
    <t>Estacionamientos: señalización</t>
  </si>
  <si>
    <t>C□-PRKG-STRP</t>
  </si>
  <si>
    <t>Parking lots: striping</t>
  </si>
  <si>
    <t>Estacionamientos: líneas de señalización</t>
  </si>
  <si>
    <t>C□-PRKG-UPVD</t>
  </si>
  <si>
    <t>Parking lots: unpaved surface</t>
  </si>
  <si>
    <t>Estacionamientos: superficie sin pavimentar</t>
  </si>
  <si>
    <t>C□-PRKG-WHIT</t>
  </si>
  <si>
    <t>Parking lots: white paint</t>
  </si>
  <si>
    <t>Estacionamientos: pintura blanca</t>
  </si>
  <si>
    <t>C□-PRKG-WHIT-TICK</t>
  </si>
  <si>
    <t>Parking lots: white paint: tick marks</t>
  </si>
  <si>
    <t>Estacionamientos: pintura blanca: marcas de verificación</t>
  </si>
  <si>
    <t>C□-PRKG-YELO</t>
  </si>
  <si>
    <t>Parking lots: yellow paint</t>
  </si>
  <si>
    <t>Estacionamientos: pintura amarilla</t>
  </si>
  <si>
    <t>C□-PRKG-YELO-TICK</t>
  </si>
  <si>
    <t>Parking lots: yellow paint: tick marks</t>
  </si>
  <si>
    <t>Estacionamientos Lotes: pintura amarilla: marcas de verificación</t>
  </si>
  <si>
    <t>C□-PROP</t>
  </si>
  <si>
    <t>C□-PROP-LINE</t>
  </si>
  <si>
    <t>Property: lines</t>
  </si>
  <si>
    <t>Propiedad: líneas</t>
  </si>
  <si>
    <t>C□-PROP-SBCK</t>
  </si>
  <si>
    <t>Property: setback lines</t>
  </si>
  <si>
    <t>Propiedad: líneas de retranqueo</t>
  </si>
  <si>
    <t>C□-PVMT</t>
  </si>
  <si>
    <t>C□-PVMT-ASPH</t>
  </si>
  <si>
    <t>Pavement: asphalt</t>
  </si>
  <si>
    <t>Pavimento: asfalto</t>
  </si>
  <si>
    <t>C□-PVMT-CONC</t>
  </si>
  <si>
    <t>Pavement: concrete</t>
  </si>
  <si>
    <t>Pavimento: concreto</t>
  </si>
  <si>
    <t>C□-PVMT-GRVL</t>
  </si>
  <si>
    <t>Pavement: gravel</t>
  </si>
  <si>
    <t>Pavimento: grava</t>
  </si>
  <si>
    <t>C□-RAIL</t>
  </si>
  <si>
    <t>C□-RAIL-CNTR</t>
  </si>
  <si>
    <t>Railroad: center</t>
  </si>
  <si>
    <t>Ferrocarril: centro</t>
  </si>
  <si>
    <t>C□-RAIL-EQPM</t>
  </si>
  <si>
    <t>Railroad: equipment (gates, signals, etc.)</t>
  </si>
  <si>
    <t>Ferrocarril: equipo (barreras, señales, etc.)</t>
  </si>
  <si>
    <t>C□-RAIL-TRAK</t>
  </si>
  <si>
    <t>Railroad: track</t>
  </si>
  <si>
    <t>Ferrocarril: vía</t>
  </si>
  <si>
    <t>C□-RIVR</t>
  </si>
  <si>
    <t>C□-RIVR-BOTM</t>
  </si>
  <si>
    <t>River: bottom</t>
  </si>
  <si>
    <t>Río: fondo</t>
  </si>
  <si>
    <t>C□-RIVR-CNTR</t>
  </si>
  <si>
    <t>River: center</t>
  </si>
  <si>
    <t>Río: centro</t>
  </si>
  <si>
    <t>C□-RIVR-EDGE</t>
  </si>
  <si>
    <t>River: edge</t>
  </si>
  <si>
    <t>Río: orilla</t>
  </si>
  <si>
    <t>C□-RIVR-TOPB</t>
  </si>
  <si>
    <t>River: top of bank</t>
  </si>
  <si>
    <t>Río: parte superior de la orilla</t>
  </si>
  <si>
    <t>C□-ROAD</t>
  </si>
  <si>
    <t>C□-ROAD-ASPH</t>
  </si>
  <si>
    <t>Roadways: asphalt</t>
  </si>
  <si>
    <t>Carreteras: asfalto</t>
  </si>
  <si>
    <t>C□-ROAD-CNTR</t>
  </si>
  <si>
    <t>Roadways: center</t>
  </si>
  <si>
    <t>Carreteras: centro</t>
  </si>
  <si>
    <t>C□-ROAD-CONC</t>
  </si>
  <si>
    <t>Roadways: concrete</t>
  </si>
  <si>
    <t>Carreteras: concreto</t>
  </si>
  <si>
    <t>C□-ROAD-CURB</t>
  </si>
  <si>
    <t>Roadways: curb</t>
  </si>
  <si>
    <t>Carreteras: bordillo</t>
  </si>
  <si>
    <t>C□-ROAD-CURB-BACK</t>
  </si>
  <si>
    <t>Roadways: curb: back</t>
  </si>
  <si>
    <t>Carreteras: bordillo: parte trasera</t>
  </si>
  <si>
    <t>C□-ROAD-CURB-FACE</t>
  </si>
  <si>
    <t>Roadways: curb: face</t>
  </si>
  <si>
    <t>Carreteras: bordillo: frente</t>
  </si>
  <si>
    <t>C□-ROAD-FLNE</t>
  </si>
  <si>
    <t>Roadways: fire lane</t>
  </si>
  <si>
    <t>Carreteras: carril de incendios</t>
  </si>
  <si>
    <t>C□-ROAD-FLNE-MRKG</t>
  </si>
  <si>
    <t>Roadways: fire lane: pavement markings</t>
  </si>
  <si>
    <t>Carreteras: carril de incendios: marcas en el pavimento</t>
  </si>
  <si>
    <t>C□-ROAD-FLNE-SIGN</t>
  </si>
  <si>
    <t>Roadways: fire lane: signage</t>
  </si>
  <si>
    <t>Carreteras: carril de incendios: señalización</t>
  </si>
  <si>
    <t>C□-ROAD-GRVL</t>
  </si>
  <si>
    <t>Roadways: gravel</t>
  </si>
  <si>
    <t>Carreteras: grava</t>
  </si>
  <si>
    <t>C□-ROAD-MRKG</t>
  </si>
  <si>
    <t>Roadways: pavement markings</t>
  </si>
  <si>
    <t>Carreteras: marcas en el pavimento</t>
  </si>
  <si>
    <t>C□-ROAD-PROF</t>
  </si>
  <si>
    <t>Roadways: profile</t>
  </si>
  <si>
    <t>Carreteras: perfil</t>
  </si>
  <si>
    <t>C□-ROAD-SIGN</t>
  </si>
  <si>
    <t>Roadways: signage</t>
  </si>
  <si>
    <t>Carreteras: señalización</t>
  </si>
  <si>
    <t>C□-ROAD-STAN</t>
  </si>
  <si>
    <t>Roadways: stationing</t>
  </si>
  <si>
    <t>Carreteras: estacionamiento</t>
  </si>
  <si>
    <t>C□-ROAD-UPVD</t>
  </si>
  <si>
    <t>Roadways: unpaved surface</t>
  </si>
  <si>
    <t>Carreteras: superficie sin pavimentar</t>
  </si>
  <si>
    <t>C□-ROAD-WHIT</t>
  </si>
  <si>
    <t>Roadways: white paint</t>
  </si>
  <si>
    <t>Carreteras: pintura blanca</t>
  </si>
  <si>
    <t>C□-ROAD-WHIT-TICK</t>
  </si>
  <si>
    <t>Roadways: white paint: tick marks</t>
  </si>
  <si>
    <t>Carreteras: pintura blanca Marcas de verificación</t>
  </si>
  <si>
    <t>C□-ROAD-YELO</t>
  </si>
  <si>
    <t>Roadways: yellow paint</t>
  </si>
  <si>
    <t>Carreteras: pintura amarilla</t>
  </si>
  <si>
    <t>C□-ROAD-YELO-TICK</t>
  </si>
  <si>
    <t>Roadways: yellow paint: tick marks</t>
  </si>
  <si>
    <t>Carreteras: pintura amarilla: marcas de verificación</t>
  </si>
  <si>
    <t>C□-RRAP</t>
  </si>
  <si>
    <t>C□-SGHT</t>
  </si>
  <si>
    <t>C□-SGHT-PROF</t>
  </si>
  <si>
    <t>Sight distance: profile</t>
  </si>
  <si>
    <t>Distancia visual: perfil</t>
  </si>
  <si>
    <t>C□-SOIL</t>
  </si>
  <si>
    <t>C□-SSWR</t>
  </si>
  <si>
    <t>C□-SSWR-DIAG</t>
  </si>
  <si>
    <t>Sanitary sewer: diagrams</t>
  </si>
  <si>
    <t>Alcantarillado sanitario: diagramas</t>
  </si>
  <si>
    <t>C□-SSWR-FORC</t>
  </si>
  <si>
    <t>Sanitary sewer: force main</t>
  </si>
  <si>
    <t>Alcantarillado sanitario: tubería de impulsión</t>
  </si>
  <si>
    <t>C□-SSWR-LATL</t>
  </si>
  <si>
    <t>Sanitary sewer: lateral line</t>
  </si>
  <si>
    <t>Alcantarillado sanitario: línea lateral</t>
  </si>
  <si>
    <t>C□-SSWR-MHOL</t>
  </si>
  <si>
    <t>Sanitary sewer: manhole</t>
  </si>
  <si>
    <t>Alcantarillado sanitario: pozo de registro</t>
  </si>
  <si>
    <t>C□-SSWR-PIPE</t>
  </si>
  <si>
    <t>Sanitary sewer: piping</t>
  </si>
  <si>
    <t>Alcantarillado sanitario: tuberías</t>
  </si>
  <si>
    <t>C□-SSWR-PIPE-RCON</t>
  </si>
  <si>
    <t>Sanitary sewer: piping: reinforced concrete</t>
  </si>
  <si>
    <t>Alcantarillado sanitario: tuberías: hormigón armado</t>
  </si>
  <si>
    <t>C□-SSWR-PIPE-STEL</t>
  </si>
  <si>
    <t>Sanitary sewer: piping: steel</t>
  </si>
  <si>
    <t>Alcantarillado sanitario: tuberías: acero</t>
  </si>
  <si>
    <t>C□-SSWR-PROF</t>
  </si>
  <si>
    <t>Sanitary sewer: profile</t>
  </si>
  <si>
    <t>Alcantarillado sanitario: perfil</t>
  </si>
  <si>
    <t>C□-SSWR-STAN</t>
  </si>
  <si>
    <t>Sanitary sewer: stationing</t>
  </si>
  <si>
    <t>Alcantarillado sanitario: estacionamiento</t>
  </si>
  <si>
    <t>C□-SSWR-STRC</t>
  </si>
  <si>
    <t>Sanitary sewer: structures</t>
  </si>
  <si>
    <t>Alcantarillado sanitario: estructuras</t>
  </si>
  <si>
    <t>C□-SSWR-UGND</t>
  </si>
  <si>
    <t>Sanitary sewer: underground</t>
  </si>
  <si>
    <t>Alcantarillado sanitario: subterráneo</t>
  </si>
  <si>
    <t>C□-STEM</t>
  </si>
  <si>
    <t>C□-STEM-INST</t>
  </si>
  <si>
    <t>Steam system: instrumentation (meters, valves, etc.)</t>
  </si>
  <si>
    <t>Sistema de vapor: instrumentación (medidores, válvulas, etc.)</t>
  </si>
  <si>
    <t>C□-STEM-MHOL</t>
  </si>
  <si>
    <t>Steam system: manhole</t>
  </si>
  <si>
    <t>Sistema de vapor: pozo de registro</t>
  </si>
  <si>
    <t>C□-STEM-PIPE</t>
  </si>
  <si>
    <t>Steam system: piping</t>
  </si>
  <si>
    <t>Sistema de vapor: tuberías</t>
  </si>
  <si>
    <t>C□-STEM-STRC</t>
  </si>
  <si>
    <t>Steam system: structures</t>
  </si>
  <si>
    <t>Sistema de vapor: estructuras</t>
  </si>
  <si>
    <t>C□-STEM-UGND</t>
  </si>
  <si>
    <t>Steam system: underground</t>
  </si>
  <si>
    <t>Sistema de vapor: subterráneo</t>
  </si>
  <si>
    <t>C□-STRM</t>
  </si>
  <si>
    <t>C□-STRM-CNTR</t>
  </si>
  <si>
    <t>Storm sewer: center</t>
  </si>
  <si>
    <t>Alcantarillado pluvial: centro</t>
  </si>
  <si>
    <t>C□-STRM-DIAG</t>
  </si>
  <si>
    <t>Storm sewer: diagrams</t>
  </si>
  <si>
    <t>Alcantarillado pluvial: diagramas</t>
  </si>
  <si>
    <t>C□-STRM-HWAL</t>
  </si>
  <si>
    <t>Storm sewer: headwall</t>
  </si>
  <si>
    <t>Alcantarillado pluvial: muro de cabecera</t>
  </si>
  <si>
    <t>C□-STRM-MHOL</t>
  </si>
  <si>
    <t>Storm sewer: manhole</t>
  </si>
  <si>
    <t>Alcantarillado pluvial: pozo de registro</t>
  </si>
  <si>
    <t>C□-STRM-PIPE</t>
  </si>
  <si>
    <t>Storm sewer: piping</t>
  </si>
  <si>
    <t>Alcantarillado pluvial: tuberías</t>
  </si>
  <si>
    <t>C□-STRM-PIPE-CMTL</t>
  </si>
  <si>
    <t>Storm sewer: piping: corrugated metal</t>
  </si>
  <si>
    <t>Alcantarillado pluvial: tuberías: metal corrugado</t>
  </si>
  <si>
    <t>C□-STRM-PIPE-RCON</t>
  </si>
  <si>
    <t>Storm sewer: piping: reinforced concrete</t>
  </si>
  <si>
    <t>Alcantarillado pluvial: tuberías: hormigón armado</t>
  </si>
  <si>
    <t>C□-STRM-PROF</t>
  </si>
  <si>
    <t>Storm sewer: profile</t>
  </si>
  <si>
    <t>Alcantarillado pluvial: perfil</t>
  </si>
  <si>
    <t>C□-STRM-STAN</t>
  </si>
  <si>
    <t>Storm sewer: stationing</t>
  </si>
  <si>
    <t>Alcantarillado pluvial: estacionamiento</t>
  </si>
  <si>
    <t>C□-STRM-STRC</t>
  </si>
  <si>
    <t>Storm sewer: structures</t>
  </si>
  <si>
    <t>Alcantarillado pluvial: estructuras</t>
  </si>
  <si>
    <t>C□-STRM-UGND</t>
  </si>
  <si>
    <t>Storm sewer: underground</t>
  </si>
  <si>
    <t>Alcantarillado pluvial: subterráneo</t>
  </si>
  <si>
    <t>C□-SWLK</t>
  </si>
  <si>
    <t>C□-SWLK-ASPH</t>
  </si>
  <si>
    <t>Sidewalks: asphalt</t>
  </si>
  <si>
    <t>Aceras: asfalto</t>
  </si>
  <si>
    <t>C□-SWLK-CONC</t>
  </si>
  <si>
    <t>Sidewalks: concrete</t>
  </si>
  <si>
    <t>Aceras: hormigón</t>
  </si>
  <si>
    <t>C□-TINN</t>
  </si>
  <si>
    <t>Red irregular triangulada</t>
  </si>
  <si>
    <t>C□-TINN-BNDY</t>
  </si>
  <si>
    <t>Triangulated irregular network: boundary</t>
  </si>
  <si>
    <t>Red irregular triangulada: límite</t>
  </si>
  <si>
    <t>C□-TINN-FALT</t>
  </si>
  <si>
    <t>Triangulated irregular network: fault/break lines</t>
  </si>
  <si>
    <t>Red irregular triangulada: líneas de falla/ruptura</t>
  </si>
  <si>
    <t>C□-TINN-VIEW</t>
  </si>
  <si>
    <t>Triangulated irregular network: triangulation view</t>
  </si>
  <si>
    <t>Red irregular triangulada: vista de triangulación</t>
  </si>
  <si>
    <t>C□-TINN-VOID</t>
  </si>
  <si>
    <t>Triangulated irregular network: void regions</t>
  </si>
  <si>
    <t>Red irregular triangulada: regiones vacías</t>
  </si>
  <si>
    <t>C□-TOPO</t>
  </si>
  <si>
    <t>C□-TOPO-DEPR</t>
  </si>
  <si>
    <t>Topographic feature: depression</t>
  </si>
  <si>
    <t>Característica topográfica: depresión</t>
  </si>
  <si>
    <t>C□-TOPO-MAJR</t>
  </si>
  <si>
    <t>Topographic feature: major (contours)</t>
  </si>
  <si>
    <t>Característica topográfica: principal (curvas de nivel)</t>
  </si>
  <si>
    <t>C□-TOPO-MINR</t>
  </si>
  <si>
    <t>Topographic feature: minor (contours)</t>
  </si>
  <si>
    <t>Característica topográfica: menor (curvas de nivel)</t>
  </si>
  <si>
    <t>C□-TOPO-SPOT</t>
  </si>
  <si>
    <t>Topographic feature: spot elevations</t>
  </si>
  <si>
    <t>Característica topográfica: elevaciones puntuales</t>
  </si>
  <si>
    <t>C□-TOPO-TPIT</t>
  </si>
  <si>
    <t>Topographic feature: test pits</t>
  </si>
  <si>
    <t>Característica topográfica: pozos de sondeo</t>
  </si>
  <si>
    <t>C□-TRAL</t>
  </si>
  <si>
    <t>C□-TRAL-ASPH</t>
  </si>
  <si>
    <t>Trails or paths: asphalt</t>
  </si>
  <si>
    <t>Senderos o caminos: asfalto</t>
  </si>
  <si>
    <t>C□-TRAL-CONC</t>
  </si>
  <si>
    <t>Trails or paths: concrete</t>
  </si>
  <si>
    <t>Senderos o caminos: hormigón</t>
  </si>
  <si>
    <t>C□-TRAL-GRVL</t>
  </si>
  <si>
    <t>Trails or paths: gravel</t>
  </si>
  <si>
    <t>Senderos o Caminos: grava</t>
  </si>
  <si>
    <t>C□-TRAL-MRKG</t>
  </si>
  <si>
    <t>Trails or paths: pavement markings</t>
  </si>
  <si>
    <t>Senderos o senderos: marcas en el pavimento</t>
  </si>
  <si>
    <t>C□-TRAL-SIGN</t>
  </si>
  <si>
    <t>Trails or paths: signage</t>
  </si>
  <si>
    <t>Senderos o senderos: señalización</t>
  </si>
  <si>
    <t>C□-TRAL-UPVD</t>
  </si>
  <si>
    <t>Trails or paths: unpaved surface</t>
  </si>
  <si>
    <t>Senderos o senderos: superficie sin pavimentar</t>
  </si>
  <si>
    <t>C□-WALL</t>
  </si>
  <si>
    <t>C□-WALL-CTLJ</t>
  </si>
  <si>
    <t>Walls: control joint</t>
  </si>
  <si>
    <t>Muros: junta de control</t>
  </si>
  <si>
    <t>C□-WALL-NSBR</t>
  </si>
  <si>
    <t>Walls: noise barrier</t>
  </si>
  <si>
    <t>Muros: barrera acústica</t>
  </si>
  <si>
    <t>C□-WALL-RTWL</t>
  </si>
  <si>
    <t>Walls: retaining wall</t>
  </si>
  <si>
    <t>Muros: muro de contención</t>
  </si>
  <si>
    <t>C□-WALL-SHEA</t>
  </si>
  <si>
    <t>Walls: structural bearing or shear walls</t>
  </si>
  <si>
    <t>Muros: muros de carga o de corte</t>
  </si>
  <si>
    <t>C□-WATR</t>
  </si>
  <si>
    <t>C□-WATR-DIAG</t>
  </si>
  <si>
    <t>Water supply: diagrams</t>
  </si>
  <si>
    <t>Suministro de agua: diagramas</t>
  </si>
  <si>
    <t>C□-WATR-INST</t>
  </si>
  <si>
    <t>Water supply: instrumentation (meters, valves, etc.)</t>
  </si>
  <si>
    <t>Suministro de agua: instrumentación (medidores, válvulas, etc.)</t>
  </si>
  <si>
    <t>C□-WATR-PIPE</t>
  </si>
  <si>
    <t>Water supply: piping</t>
  </si>
  <si>
    <t>Suministro de agua: tuberías</t>
  </si>
  <si>
    <t>C□-WATR-PROF</t>
  </si>
  <si>
    <t>Water supply: profile</t>
  </si>
  <si>
    <t>Suministro de agua: perfil</t>
  </si>
  <si>
    <t>C□-WATR-STAN</t>
  </si>
  <si>
    <t>Water supply: stationing</t>
  </si>
  <si>
    <t>Suministro de agua: estacionamiento</t>
  </si>
  <si>
    <t>C□-WATR-STRC</t>
  </si>
  <si>
    <t>Water supply: structures</t>
  </si>
  <si>
    <t>Suministro de agua: estructuras</t>
  </si>
  <si>
    <t>C□-WATR-UGND</t>
  </si>
  <si>
    <t>Water supply: underground</t>
  </si>
  <si>
    <t>Suministro de agua: subterráneo</t>
  </si>
  <si>
    <t>C□-WATR-WELL</t>
  </si>
  <si>
    <t>Water supply: well</t>
  </si>
  <si>
    <t>Suministro de agua: pozo</t>
  </si>
  <si>
    <t>C□-WETL</t>
  </si>
  <si>
    <t>C□-WWAY</t>
  </si>
  <si>
    <t>C□-WWAY-DLPH</t>
  </si>
  <si>
    <t>Waterway: dolphin</t>
  </si>
  <si>
    <t>Vía fluvial: delfín</t>
  </si>
  <si>
    <t>C□-WWAY-FEND</t>
  </si>
  <si>
    <t>Waterway: fender</t>
  </si>
  <si>
    <t>Vía fluvial: defensa</t>
  </si>
  <si>
    <t>C□-WWAY-MOOR</t>
  </si>
  <si>
    <t>Waterway: mooring</t>
  </si>
  <si>
    <t>Vía fluvial: amarre</t>
  </si>
  <si>
    <t>Hidráulica Estructura: toma</t>
  </si>
  <si>
    <t>Estructura hidráulica: estructura antidesbordamiento</t>
  </si>
  <si>
    <t>Estructura hidráulica: tubería forzada</t>
  </si>
  <si>
    <t>Description</t>
  </si>
  <si>
    <t>E□-ALRM</t>
  </si>
  <si>
    <t>E□-AREA</t>
  </si>
  <si>
    <t>E□-AREA-OFST</t>
  </si>
  <si>
    <t>Area: offset zones</t>
  </si>
  <si>
    <t>E□-AREA-SHAD</t>
  </si>
  <si>
    <t>Area: shade zones</t>
  </si>
  <si>
    <t>E□-AUXL</t>
  </si>
  <si>
    <t>E□-BELL</t>
  </si>
  <si>
    <t>E□-CABL</t>
  </si>
  <si>
    <t>E□-CABL-COAX</t>
  </si>
  <si>
    <t>Cable systems: coax cable</t>
  </si>
  <si>
    <t>E□-CABL-FIBR</t>
  </si>
  <si>
    <t>Cable systems: fiber optics cable</t>
  </si>
  <si>
    <t>E□-CABL-MULT</t>
  </si>
  <si>
    <t>Cable systems: multi-conductor cable</t>
  </si>
  <si>
    <t>E□-CABL-TRAY</t>
  </si>
  <si>
    <t>Cable systems: cabletray and wireways</t>
  </si>
  <si>
    <t>E□-CATH</t>
  </si>
  <si>
    <t>Cathodic protection system</t>
  </si>
  <si>
    <t>E□-CATH-ANOD</t>
  </si>
  <si>
    <t>Cathodic protection system: test stations</t>
  </si>
  <si>
    <t>E□-CCTV</t>
  </si>
  <si>
    <t>E□-CLOK</t>
  </si>
  <si>
    <t>E□-CLOK-CIRC</t>
  </si>
  <si>
    <t>Clock system: circuits</t>
  </si>
  <si>
    <t>E□-CLOK-CLNG</t>
  </si>
  <si>
    <t>Clock system: ceiling</t>
  </si>
  <si>
    <t>E□-CLOK-CNMB</t>
  </si>
  <si>
    <t>Clock system: circuit number</t>
  </si>
  <si>
    <t>E□-CLOK-EQPM</t>
  </si>
  <si>
    <t>Clock system: equipment</t>
  </si>
  <si>
    <t>E□-CLOK-FLOR</t>
  </si>
  <si>
    <t>Clock system: floor</t>
  </si>
  <si>
    <t>E□-CLOK-WALL</t>
  </si>
  <si>
    <t>Clock system: wall</t>
  </si>
  <si>
    <t>E□-COMM</t>
  </si>
  <si>
    <t>E□-COMM-CIRC</t>
  </si>
  <si>
    <t>Communications: circuits</t>
  </si>
  <si>
    <t>E□-COMM-CLNG</t>
  </si>
  <si>
    <t>Communications: ceiling</t>
  </si>
  <si>
    <t>E□-COMM-CNMB</t>
  </si>
  <si>
    <t>Communications: circuit number</t>
  </si>
  <si>
    <t>E□-COMM-EQPM</t>
  </si>
  <si>
    <t>Communications: equipment</t>
  </si>
  <si>
    <t>E□-COMM-WALL</t>
  </si>
  <si>
    <t>Communications: wall</t>
  </si>
  <si>
    <t>E□-CONT</t>
  </si>
  <si>
    <t>E□-CONT DEVC</t>
  </si>
  <si>
    <t>Controls and instrumentation: devices</t>
  </si>
  <si>
    <t>E□-CONT-WIRE</t>
  </si>
  <si>
    <t>Controls and instrumentation: wiring</t>
  </si>
  <si>
    <t>E□-DATA</t>
  </si>
  <si>
    <t>Data/LAN system</t>
  </si>
  <si>
    <t>E□-DATA-CIRC</t>
  </si>
  <si>
    <t>Data/LAN system: circuits</t>
  </si>
  <si>
    <t>E□-DATA-CLNG</t>
  </si>
  <si>
    <t>Data/LAN system: ceiling</t>
  </si>
  <si>
    <t>E□-DATA-CNMB</t>
  </si>
  <si>
    <t>Data/LAN system: circuit number</t>
  </si>
  <si>
    <t>E□-DATA-EQPM</t>
  </si>
  <si>
    <t>Data/LAN system: equipment</t>
  </si>
  <si>
    <t>E□-DATA-FLOR</t>
  </si>
  <si>
    <t>Data/LAN system: floor</t>
  </si>
  <si>
    <t>E□-DATA-WALL</t>
  </si>
  <si>
    <t>Data/LAN system: wall</t>
  </si>
  <si>
    <t>E□-DIAG</t>
  </si>
  <si>
    <t>E□-DIAG-BKRS</t>
  </si>
  <si>
    <t>Diagrams: breakers</t>
  </si>
  <si>
    <t>E□-DIAG-BUSS</t>
  </si>
  <si>
    <t>Diagrams: bus duct</t>
  </si>
  <si>
    <t>E□-DIAG-ENCL</t>
  </si>
  <si>
    <t>Diagrams: equipment enclosures</t>
  </si>
  <si>
    <t>E□-DIAG-EQPM</t>
  </si>
  <si>
    <t>Diagrams: equipment</t>
  </si>
  <si>
    <t>E□-DIAG-FEED</t>
  </si>
  <si>
    <t>Diagrams: feeders</t>
  </si>
  <si>
    <t>E□-DIAG-FLOR</t>
  </si>
  <si>
    <t>Diagrams: floor</t>
  </si>
  <si>
    <t>E□-DIAG-GRND</t>
  </si>
  <si>
    <t>Diagrams: ground</t>
  </si>
  <si>
    <t>E□-DIAG-SWCH</t>
  </si>
  <si>
    <t>Diagrams: switches</t>
  </si>
  <si>
    <t>E□-DIAG-XFMR</t>
  </si>
  <si>
    <t>Diagrams: transformers</t>
  </si>
  <si>
    <t>E□-DICT</t>
  </si>
  <si>
    <t>E□-DICT-CIRC</t>
  </si>
  <si>
    <t>Dictation system: circuits</t>
  </si>
  <si>
    <t>E□-DICT-CLNG</t>
  </si>
  <si>
    <t>Dictation system: ceiling</t>
  </si>
  <si>
    <t>E□-DICT-CNMB</t>
  </si>
  <si>
    <t>Dictation system: circuit number</t>
  </si>
  <si>
    <t>E□-DICT-EQPM</t>
  </si>
  <si>
    <t>Dictation system: equipment</t>
  </si>
  <si>
    <t>E□-DICT-WALL</t>
  </si>
  <si>
    <t>Dictation system: wall</t>
  </si>
  <si>
    <t>E□-FIRE</t>
  </si>
  <si>
    <t>E□-FIRE-BARR</t>
  </si>
  <si>
    <t>Fire protection: barrier</t>
  </si>
  <si>
    <t>E□-FIRE-CIRC</t>
  </si>
  <si>
    <t>Fire protection: circuits</t>
  </si>
  <si>
    <t>E□-FIRE-CLNG</t>
  </si>
  <si>
    <t>Fire protection: ceiling</t>
  </si>
  <si>
    <t>E□-FIRE-CNMB</t>
  </si>
  <si>
    <t>Fire protection: circuit number</t>
  </si>
  <si>
    <t>E□-FIRE-EQPM</t>
  </si>
  <si>
    <t>Fire protection: equipment</t>
  </si>
  <si>
    <t>E□-FIRE-WALL</t>
  </si>
  <si>
    <t>Fire protection: wall</t>
  </si>
  <si>
    <t>E□-GRND</t>
  </si>
  <si>
    <t>E□-GRND-CIRC</t>
  </si>
  <si>
    <t>Ground system: circuits</t>
  </si>
  <si>
    <t>E□-GRND-CLNG</t>
  </si>
  <si>
    <t>Ground system: ceiling</t>
  </si>
  <si>
    <t>E□-GRND-CNMB</t>
  </si>
  <si>
    <t>Ground system: circuit number</t>
  </si>
  <si>
    <t>E□-GRND-DIAG</t>
  </si>
  <si>
    <t>Ground system: diagrams</t>
  </si>
  <si>
    <t>E□-GRND-EQPM</t>
  </si>
  <si>
    <t>Ground system: equipment</t>
  </si>
  <si>
    <t>E□-GRND-EQUI</t>
  </si>
  <si>
    <t>Ground system: equipotential</t>
  </si>
  <si>
    <t>E□-GRND-WALL</t>
  </si>
  <si>
    <t>Ground system: wall</t>
  </si>
  <si>
    <t>E□-INST</t>
  </si>
  <si>
    <t>E□-INST-CIRC</t>
  </si>
  <si>
    <t>Instrumentation system: circuits</t>
  </si>
  <si>
    <t>E□-INST-CLNG</t>
  </si>
  <si>
    <t>Instrumentation system: ceiling</t>
  </si>
  <si>
    <t>E□-INST-CNMB</t>
  </si>
  <si>
    <t>Instrumentation system: circuit number</t>
  </si>
  <si>
    <t>E□-INST-EQPM</t>
  </si>
  <si>
    <t>Instrumentation system: equipment</t>
  </si>
  <si>
    <t>E□-INST-WALL</t>
  </si>
  <si>
    <t>Instrumentation system: wall</t>
  </si>
  <si>
    <t>E□-INTC</t>
  </si>
  <si>
    <t>Intercom/PA systems</t>
  </si>
  <si>
    <t>E□-LITE</t>
  </si>
  <si>
    <t>E□-LITE-CIRC</t>
  </si>
  <si>
    <t>Lighting: circuits</t>
  </si>
  <si>
    <t>E□-LITE-CIRC-CRIT</t>
  </si>
  <si>
    <t>Lighting: circuits: critical</t>
  </si>
  <si>
    <t>E□-LITE-CIRC-EMER</t>
  </si>
  <si>
    <t>Lighting: ceiling</t>
  </si>
  <si>
    <t>E□-LITE-CLNG-CRIT</t>
  </si>
  <si>
    <t>Lighting: ceiling: critical</t>
  </si>
  <si>
    <t>E□-LITE-CLNG-EMER</t>
  </si>
  <si>
    <t>Lighting: ceiling: exit</t>
  </si>
  <si>
    <t>E□-LITE-CNMB</t>
  </si>
  <si>
    <t>Lighting: circuit number</t>
  </si>
  <si>
    <t>E□-LITE-CNMB-CRIT</t>
  </si>
  <si>
    <t>Lighting: circuit number: critical</t>
  </si>
  <si>
    <t>E□-LITE-CNMB-EMER</t>
  </si>
  <si>
    <t>Lighting: emergency</t>
  </si>
  <si>
    <t>E□-LITE-EQPM</t>
  </si>
  <si>
    <t>Lighting: equipment</t>
  </si>
  <si>
    <t>E□-LITE-EQPM-CRIT</t>
  </si>
  <si>
    <t>Lighting: equipment: critical</t>
  </si>
  <si>
    <t>E□-LITE-EQPM-EMER</t>
  </si>
  <si>
    <t>Lighting: exit</t>
  </si>
  <si>
    <t>E□-LITE-EXTR</t>
  </si>
  <si>
    <t>Lighting: exterior</t>
  </si>
  <si>
    <t>E□-LITE-FLOR</t>
  </si>
  <si>
    <t>Lighting: floor</t>
  </si>
  <si>
    <t>E□-LITE-JBOX</t>
  </si>
  <si>
    <t>Lighting: junction box</t>
  </si>
  <si>
    <t>E□-LITE-OTLN</t>
  </si>
  <si>
    <t>Lighting: outline</t>
  </si>
  <si>
    <t>E□-LITE-ROOF</t>
  </si>
  <si>
    <t>Lighting: roof</t>
  </si>
  <si>
    <t>E□-LITE-SPCL</t>
  </si>
  <si>
    <t>Lighting: special</t>
  </si>
  <si>
    <t>E□-LITE-SWCH</t>
  </si>
  <si>
    <t>Lighting: switches</t>
  </si>
  <si>
    <t>E□-LITE-SWCH-CRIT</t>
  </si>
  <si>
    <t>Lighting: switches: critical</t>
  </si>
  <si>
    <t>E□-LITE-SWCH-EMER</t>
  </si>
  <si>
    <t>Lighting: wall</t>
  </si>
  <si>
    <t>E□-LITE-WALL-CRIT</t>
  </si>
  <si>
    <t>Lighting: wall: critical</t>
  </si>
  <si>
    <t>E□-LITE-WALL-EMER</t>
  </si>
  <si>
    <t>Lighting: wall: exit</t>
  </si>
  <si>
    <t>E□-LTNG</t>
  </si>
  <si>
    <t>E□-LTNG-CIRC</t>
  </si>
  <si>
    <t>Lightning protection system: circuits</t>
  </si>
  <si>
    <t>E□-LTNG-CLNG</t>
  </si>
  <si>
    <t>Lightning protection system: ceiling</t>
  </si>
  <si>
    <t>E□-LTNG-CNMB</t>
  </si>
  <si>
    <t>Lightning protection system: circuit number</t>
  </si>
  <si>
    <t>E□-LTNG-EQPM</t>
  </si>
  <si>
    <t>Lightning protection system: equipment</t>
  </si>
  <si>
    <t>E□-LTNG-WALL</t>
  </si>
  <si>
    <t>Lightning protection system: wall</t>
  </si>
  <si>
    <t>E□-MNTG</t>
  </si>
  <si>
    <t>E□-NURS</t>
  </si>
  <si>
    <t>E□-NURS-CIRC</t>
  </si>
  <si>
    <t>Nurse call system: circuits</t>
  </si>
  <si>
    <t>E□-NURS-CLNG</t>
  </si>
  <si>
    <t>Nurse call system: ceiling</t>
  </si>
  <si>
    <t>E□-NURS-CNMB</t>
  </si>
  <si>
    <t>Nurse call system: circuit number</t>
  </si>
  <si>
    <t>E□-NURS-EQPM</t>
  </si>
  <si>
    <t>Nurse call system: equipment</t>
  </si>
  <si>
    <t>E□-NURS-FLOR</t>
  </si>
  <si>
    <t>Nurse call system: floor</t>
  </si>
  <si>
    <t>E□-NURS-WALL</t>
  </si>
  <si>
    <t>Nurse call system: wall</t>
  </si>
  <si>
    <t>E□-OBST</t>
  </si>
  <si>
    <t>E□-PGNG</t>
  </si>
  <si>
    <t>E□-POWR</t>
  </si>
  <si>
    <t>E□-POWR-BUSW</t>
  </si>
  <si>
    <t>Power: busways</t>
  </si>
  <si>
    <t>E□-POWR-CABL</t>
  </si>
  <si>
    <t>Power: cable systems</t>
  </si>
  <si>
    <t>E□-POWR-CBOX</t>
  </si>
  <si>
    <t>Power: combiner box</t>
  </si>
  <si>
    <t>E□-POWR-CBOX-FTPT</t>
  </si>
  <si>
    <t>Power: circuits</t>
  </si>
  <si>
    <t>E□-POWR-CIRC-CRIT</t>
  </si>
  <si>
    <t>Power: ceiling</t>
  </si>
  <si>
    <t>E□-POWR-CLNG-CRIT</t>
  </si>
  <si>
    <t>Power: conduit</t>
  </si>
  <si>
    <t>E□-POWR-CNMB</t>
  </si>
  <si>
    <t>Power: circuit number</t>
  </si>
  <si>
    <t>E□-POWR-CNMB-CRIT</t>
  </si>
  <si>
    <t>Power: devices</t>
  </si>
  <si>
    <t>E□-POWR-DSCO</t>
  </si>
  <si>
    <t>Power: disconnect switches</t>
  </si>
  <si>
    <t>E□-POWR-DSCO-ACFU</t>
  </si>
  <si>
    <t>Power: equipment</t>
  </si>
  <si>
    <t>E□-POWR-EQPM-CRIT</t>
  </si>
  <si>
    <t>Power: exterior</t>
  </si>
  <si>
    <t>E□-POWR-FEED</t>
  </si>
  <si>
    <t>Power: feeders</t>
  </si>
  <si>
    <t>E□-POWR-FLOR</t>
  </si>
  <si>
    <t>Power: floor</t>
  </si>
  <si>
    <t>E□-POWR-FLOR-CRIT</t>
  </si>
  <si>
    <t>Power: junction box</t>
  </si>
  <si>
    <t>E□-POWR-PANL</t>
  </si>
  <si>
    <t>Power: panels</t>
  </si>
  <si>
    <t>E□-POWR-POCC</t>
  </si>
  <si>
    <t>Power: point of common coupling</t>
  </si>
  <si>
    <t>E□-POWR-POI~</t>
  </si>
  <si>
    <t>Power: point of interconnection</t>
  </si>
  <si>
    <t>E□-POWR-ROOF</t>
  </si>
  <si>
    <t>Power: roof</t>
  </si>
  <si>
    <t>E□-POWR-SWBD</t>
  </si>
  <si>
    <t>Power: switchboards</t>
  </si>
  <si>
    <t>E□-POWR-UCPT</t>
  </si>
  <si>
    <t>Power: under-carpet wiring</t>
  </si>
  <si>
    <t>E□-POWR-URAC</t>
  </si>
  <si>
    <t>Power: underfloor raceways</t>
  </si>
  <si>
    <t>E□-POWR-WALL</t>
  </si>
  <si>
    <t>Power: wall</t>
  </si>
  <si>
    <t>E□-POWR-WALL-CRIT</t>
  </si>
  <si>
    <t>Power: wall: critical</t>
  </si>
  <si>
    <t>E□-POWR-XFMR-PADM</t>
  </si>
  <si>
    <t>E□-SITE</t>
  </si>
  <si>
    <t>E□-SITE-OVHD</t>
  </si>
  <si>
    <t>Site features: overhead</t>
  </si>
  <si>
    <t>E□-SITE-POLE</t>
  </si>
  <si>
    <t>Site features: pole</t>
  </si>
  <si>
    <t>E□-SITE-UGND</t>
  </si>
  <si>
    <t>Site features: underground</t>
  </si>
  <si>
    <t>E□-SOUN</t>
  </si>
  <si>
    <t>E□-LITE-CLNG</t>
  </si>
  <si>
    <t>Lighting: circuits: emergency</t>
  </si>
  <si>
    <t xml:space="preserve">Lighting: ceiling: emergency </t>
  </si>
  <si>
    <t>E□-LITE-CLNG-EXIT</t>
  </si>
  <si>
    <t xml:space="preserve">Lighting: circuit number: emergency </t>
  </si>
  <si>
    <t>E□-LITE-EMER</t>
  </si>
  <si>
    <t xml:space="preserve">Lighting: equipment: emergency </t>
  </si>
  <si>
    <t>E□-LITE-EXIT</t>
  </si>
  <si>
    <t xml:space="preserve">Lighting: switches: emergency </t>
  </si>
  <si>
    <t>E□-LITE-WALL</t>
  </si>
  <si>
    <t xml:space="preserve">Lighting: wall: emergency </t>
  </si>
  <si>
    <t>E□-LITE-WALL-EXIT</t>
  </si>
  <si>
    <t xml:space="preserve">Power: combiner box: area footprints </t>
  </si>
  <si>
    <t>E□-POWR-CIRC</t>
  </si>
  <si>
    <t>E□-POWR-CLNG</t>
  </si>
  <si>
    <t>E□-POWR-CNDT</t>
  </si>
  <si>
    <t>Power: ceiling: critical</t>
  </si>
  <si>
    <t>Power: circuits: critical</t>
  </si>
  <si>
    <t>E□-POWR-DEVC</t>
  </si>
  <si>
    <t>Power: circuit number: critical</t>
  </si>
  <si>
    <t xml:space="preserve">Power: disconnect switches: fused ac </t>
  </si>
  <si>
    <t>E□-POWR-DSCO-ACNF</t>
  </si>
  <si>
    <t>Power: disconnect switches: unfused ac</t>
  </si>
  <si>
    <t>Power: disconnect switches: fused dc</t>
  </si>
  <si>
    <t>Power: disconnect switches: unfused dc</t>
  </si>
  <si>
    <t xml:space="preserve">Power: equipment: critical </t>
  </si>
  <si>
    <t>E□-POWR-EXTR</t>
  </si>
  <si>
    <t xml:space="preserve">Power: floor: critical </t>
  </si>
  <si>
    <t>E□-POWR-JBOX</t>
  </si>
  <si>
    <t xml:space="preserve">Power: transformers: pad-mounted </t>
  </si>
  <si>
    <t>E□-POWR-XFMR-POLM</t>
  </si>
  <si>
    <t>Power: transformers: pole-mounted</t>
  </si>
  <si>
    <t xml:space="preserve">Cathodic protection system: sacrificial anode </t>
  </si>
  <si>
    <t>E□-CATH-CURR</t>
  </si>
  <si>
    <t>E□-CATH-TEST</t>
  </si>
  <si>
    <t>Cathodic protection system: impress current</t>
  </si>
  <si>
    <t>Área: zonas descentradas</t>
  </si>
  <si>
    <t>Área: zonas de sombra</t>
  </si>
  <si>
    <t>Sistema de timbre</t>
  </si>
  <si>
    <t>Sistemas de cable: cable coaxial</t>
  </si>
  <si>
    <t>Sistemas de cable: cable de fibra óptica</t>
  </si>
  <si>
    <t>Sistemas de cable: cable multiconductor</t>
  </si>
  <si>
    <t>Sistemas de cable: bandejas y canaletas</t>
  </si>
  <si>
    <t>Sistema de protección catódica: ánodo de sacrificio</t>
  </si>
  <si>
    <t>Sistema de protección catódica: corriente de impresión</t>
  </si>
  <si>
    <t>Sistema de protección catódica: estaciones de prueba</t>
  </si>
  <si>
    <t>Sistema de reloj</t>
  </si>
  <si>
    <t>Sistema de reloj: circuitos</t>
  </si>
  <si>
    <t>Sistema de reloj: techo</t>
  </si>
  <si>
    <t>Sistema de reloj: número de circuito</t>
  </si>
  <si>
    <t>Sistema de reloj: equipo</t>
  </si>
  <si>
    <t>Sistema de reloj: suelo</t>
  </si>
  <si>
    <t>Sistema de reloj: pared</t>
  </si>
  <si>
    <t>Comunicaciones: circuitos</t>
  </si>
  <si>
    <t>Comunicaciones: techo</t>
  </si>
  <si>
    <t>Comunicaciones: número de circuito</t>
  </si>
  <si>
    <t>Comunicaciones: equipo</t>
  </si>
  <si>
    <t>Comunicaciones: pared</t>
  </si>
  <si>
    <t>Controles e instrumentación: dispositivos</t>
  </si>
  <si>
    <t>Controles e instrumentación: cableado</t>
  </si>
  <si>
    <t>Sistema de datos/LAN</t>
  </si>
  <si>
    <t>Sistema de datos/LAN: circuitos</t>
  </si>
  <si>
    <t>Sistema de datos/LAN: Techo</t>
  </si>
  <si>
    <t>Sistema de datos/LAN: número de circuito</t>
  </si>
  <si>
    <t>Sistema de datos/LAN: equipo</t>
  </si>
  <si>
    <t>Sistema de datos/LAN: suelo</t>
  </si>
  <si>
    <t>Sistema de datos/LAN: pared</t>
  </si>
  <si>
    <t>Diagramas: interruptores</t>
  </si>
  <si>
    <t>Diagramas: conducto de barras</t>
  </si>
  <si>
    <t>Diagramas: envolventes de equipos</t>
  </si>
  <si>
    <t>Diagramas: equipos</t>
  </si>
  <si>
    <t>Diagramas: alimentadores</t>
  </si>
  <si>
    <t>Diagramas: suelo</t>
  </si>
  <si>
    <t>Diagramas: tierra</t>
  </si>
  <si>
    <t>Diagramas: transformadores</t>
  </si>
  <si>
    <t>Sistema de dictado: circuitos</t>
  </si>
  <si>
    <t>Sistema de dictado: techo</t>
  </si>
  <si>
    <t>Sistema de dictado: número de circuito</t>
  </si>
  <si>
    <t>Sistema de dictado: equipo</t>
  </si>
  <si>
    <t>Sistema de dictado: pared</t>
  </si>
  <si>
    <t>Protección contra incendios: barrera</t>
  </si>
  <si>
    <t>Protección contra incendios: circuitos</t>
  </si>
  <si>
    <t>Protección contra incendios: techo</t>
  </si>
  <si>
    <t>Protección contra incendios: número de circuito</t>
  </si>
  <si>
    <t>Protección contra incendios: equipo</t>
  </si>
  <si>
    <t>Protección contra incendios: pared</t>
  </si>
  <si>
    <t>Sistema de tierra</t>
  </si>
  <si>
    <t>Sistema de tierra: circuitos</t>
  </si>
  <si>
    <t>Sistema de tierra: techo</t>
  </si>
  <si>
    <t>Sistema de tierra: número de circuito</t>
  </si>
  <si>
    <t>Sistema de tierra: diagramas</t>
  </si>
  <si>
    <t>Sistema de tierra: equipo</t>
  </si>
  <si>
    <t>Sistema de tierra: equipotencial</t>
  </si>
  <si>
    <t>Sistema de tierra: pared</t>
  </si>
  <si>
    <t>Instrumentación Sistema</t>
  </si>
  <si>
    <t>Sistema de instrumentación: circuitos</t>
  </si>
  <si>
    <t>Sistema de instrumentación: techo</t>
  </si>
  <si>
    <t>Sistema de instrumentación: número de circuito</t>
  </si>
  <si>
    <t>Sistema de instrumentación: equipo</t>
  </si>
  <si>
    <t>Sistema de instrumentación: pared</t>
  </si>
  <si>
    <t>Sistemas de intercomunicación/megafonía</t>
  </si>
  <si>
    <t>Iluminación: circuitos</t>
  </si>
  <si>
    <t>Iluminación: circuitos: críticos</t>
  </si>
  <si>
    <t>Iluminación: circuitos: emergencia</t>
  </si>
  <si>
    <t>Iluminación: techo</t>
  </si>
  <si>
    <t>Iluminación: techo: crítico</t>
  </si>
  <si>
    <t>Iluminación: techo: emergencia</t>
  </si>
  <si>
    <t>Iluminación: techo: salida</t>
  </si>
  <si>
    <t>Iluminación: número de circuito</t>
  </si>
  <si>
    <t>Iluminación: número de circuito: crítico</t>
  </si>
  <si>
    <t>Iluminación: número de circuito: emergencia</t>
  </si>
  <si>
    <t>Iluminación: emergencia</t>
  </si>
  <si>
    <t>Iluminación: equipo</t>
  </si>
  <si>
    <t>Iluminación: equipo: crítico</t>
  </si>
  <si>
    <t>Iluminación: equipo: emergencia</t>
  </si>
  <si>
    <t>Iluminación: salida</t>
  </si>
  <si>
    <t>Iluminación: exterior</t>
  </si>
  <si>
    <t>Iluminación: suelo</t>
  </si>
  <si>
    <t>Iluminación: caja de conexiones</t>
  </si>
  <si>
    <t>Iluminación: contorno</t>
  </si>
  <si>
    <t>Iluminación: especial</t>
  </si>
  <si>
    <t>Iluminación: interruptores</t>
  </si>
  <si>
    <t>Iluminación: interruptores: críticos</t>
  </si>
  <si>
    <t>Iluminación: interruptores: emergencia</t>
  </si>
  <si>
    <t>Iluminación: pared</t>
  </si>
  <si>
    <t>Iluminación: pared: crítico</t>
  </si>
  <si>
    <t>Iluminación: pared: emergencia</t>
  </si>
  <si>
    <t>Iluminación: pared: salida</t>
  </si>
  <si>
    <t>Sistema de protección contra rayos: Circuitos</t>
  </si>
  <si>
    <t>Sistema de protección contra rayos: techo</t>
  </si>
  <si>
    <t>Sistema de protección contra rayos: número de circuito</t>
  </si>
  <si>
    <t>Sistema de protección contra rayos: equipo</t>
  </si>
  <si>
    <t>Sistema de protección contra rayos: pared</t>
  </si>
  <si>
    <t>Sistema de llamada a enfermeras: circuitos</t>
  </si>
  <si>
    <t>Sistema de llamada a enfermeras: techo</t>
  </si>
  <si>
    <t>Sistema de llamada a enfermeras: número de circuito</t>
  </si>
  <si>
    <t>Sistema de llamada a enfermeras: equipo</t>
  </si>
  <si>
    <t>Sistema de llamada a enfermeras: planta</t>
  </si>
  <si>
    <t>Sistema de llamada a enfermeras: pared</t>
  </si>
  <si>
    <t>Alimentación</t>
  </si>
  <si>
    <t>Alimentación: conductos de barras</t>
  </si>
  <si>
    <t>Alimentación: sistemas de cableado</t>
  </si>
  <si>
    <t>Alimentación: caja de conexiones</t>
  </si>
  <si>
    <t>Alimentación: caja de conexiones: áreas</t>
  </si>
  <si>
    <t>Alimentación: circuitos</t>
  </si>
  <si>
    <t>Alimentación: circuitos: crítico</t>
  </si>
  <si>
    <t>Alimentación: techo</t>
  </si>
  <si>
    <t>Alimentación: techo: crítico</t>
  </si>
  <si>
    <t>Alimentación: conducto</t>
  </si>
  <si>
    <t>Alimentación: número de circuito</t>
  </si>
  <si>
    <t>Alimentación: número de circuito: crítico</t>
  </si>
  <si>
    <t>Alimentación: dispositivos</t>
  </si>
  <si>
    <t>Alimentación: interruptores de desconexión</t>
  </si>
  <si>
    <t>Alimentación: interruptores de desconexión: CA con fusible</t>
  </si>
  <si>
    <t>Alimentación: interruptores de desconexión: CA sin fusible</t>
  </si>
  <si>
    <t>Alimentación: interruptores de desconexión: CC con fusible</t>
  </si>
  <si>
    <t>Alimentación: interruptores de desconexión: CC sin fusible</t>
  </si>
  <si>
    <t>Alimentación: equipo</t>
  </si>
  <si>
    <t>Alimentación: equipo: crítico</t>
  </si>
  <si>
    <t>Alimentación: exterior</t>
  </si>
  <si>
    <t>Alimentación: alimentadores</t>
  </si>
  <si>
    <t>Alimentación: planta</t>
  </si>
  <si>
    <t>Alimentación: planta: crítico</t>
  </si>
  <si>
    <t>Energía: caja de conexiones</t>
  </si>
  <si>
    <t>Energía: paneles</t>
  </si>
  <si>
    <t>Energía: punto de acoplamiento común</t>
  </si>
  <si>
    <t>Energía: punto de interconexión</t>
  </si>
  <si>
    <t>Energía: tejado</t>
  </si>
  <si>
    <t>Energía: cuadros eléctricos</t>
  </si>
  <si>
    <t>Energía: cableado bajo moqueta</t>
  </si>
  <si>
    <t>Energía: canalizaciones bajo suelo</t>
  </si>
  <si>
    <t>Energía: pared</t>
  </si>
  <si>
    <t>Energía: pared: crítico</t>
  </si>
  <si>
    <t>Energía: transformadores montados en pedestal</t>
  </si>
  <si>
    <t>Energía: transformadores montados en postes</t>
  </si>
  <si>
    <t>Características del emplazamiento</t>
  </si>
  <si>
    <t>Características del emplazamiento: aéreo</t>
  </si>
  <si>
    <t>Características del emplazamiento: poste</t>
  </si>
  <si>
    <t>Características del emplazamiento: subterráneo</t>
  </si>
  <si>
    <t>El símbolo □, representa la designación de nivel 2.</t>
  </si>
  <si>
    <t>VA</t>
  </si>
  <si>
    <t>Survey / Mapping Aerial</t>
  </si>
  <si>
    <t>VC</t>
  </si>
  <si>
    <t>Survey / Mapping Computated Points</t>
  </si>
  <si>
    <t>VF</t>
  </si>
  <si>
    <t>Survey / Mapping Field</t>
  </si>
  <si>
    <t>VI</t>
  </si>
  <si>
    <t>Survey / Mapping Digital</t>
  </si>
  <si>
    <t>VJ</t>
  </si>
  <si>
    <t>VK</t>
  </si>
  <si>
    <t>VN</t>
  </si>
  <si>
    <t>Survey / Mapping Node Points</t>
  </si>
  <si>
    <t>VS</t>
  </si>
  <si>
    <t>Survey / Mapping Staked Points</t>
  </si>
  <si>
    <t>VU</t>
  </si>
  <si>
    <t>Survey / Mapping Combined Utilities</t>
  </si>
  <si>
    <t>SB</t>
  </si>
  <si>
    <t>Structural Substructure</t>
  </si>
  <si>
    <t>SD</t>
  </si>
  <si>
    <t>Structural Demolition</t>
  </si>
  <si>
    <t>SF</t>
  </si>
  <si>
    <t>Structural Framing</t>
  </si>
  <si>
    <t>SJ</t>
  </si>
  <si>
    <t>SK</t>
  </si>
  <si>
    <t>SS</t>
  </si>
  <si>
    <t>Structural Site</t>
  </si>
  <si>
    <t>WC</t>
  </si>
  <si>
    <t>Distributed Energy Civil</t>
  </si>
  <si>
    <t>WD</t>
  </si>
  <si>
    <t>Distributed Energy Demolition</t>
  </si>
  <si>
    <t>WI</t>
  </si>
  <si>
    <t>Distributed Energy Interconnection</t>
  </si>
  <si>
    <t>WJ</t>
  </si>
  <si>
    <t>WK</t>
  </si>
  <si>
    <t>WP</t>
  </si>
  <si>
    <t>Distributed Energy Power</t>
  </si>
  <si>
    <t>WS</t>
  </si>
  <si>
    <t>Distributed Energy Structural</t>
  </si>
  <si>
    <t>WT</t>
  </si>
  <si>
    <t>Distributed Energy Telecommunications</t>
  </si>
  <si>
    <t>WY</t>
  </si>
  <si>
    <t>Distributed Energy Auxiliary Systems</t>
  </si>
  <si>
    <t>Estructural</t>
  </si>
  <si>
    <t>Subestructura estructural</t>
  </si>
  <si>
    <t>Demolición estructural</t>
  </si>
  <si>
    <t>Estructura estructural</t>
  </si>
  <si>
    <t>Sitio estructural</t>
  </si>
  <si>
    <t>Levantamiento/Cartografía</t>
  </si>
  <si>
    <t>Levantamiento/Cartografía aérea</t>
  </si>
  <si>
    <t>Levantamiento/Cartografía de puntos calculados</t>
  </si>
  <si>
    <t>Levantamiento/Cartografía de campo</t>
  </si>
  <si>
    <t>Levantamiento/Cartografía digital</t>
  </si>
  <si>
    <t>Levantamiento/Cartografía de puntos nodales</t>
  </si>
  <si>
    <t>Levantamiento/Cartografía de puntos replanteados</t>
  </si>
  <si>
    <t>Levantamiento/Cartografía de servicios públicos combinados</t>
  </si>
  <si>
    <t>Energía distribuida civil</t>
  </si>
  <si>
    <t>Demolición de energía distribuida</t>
  </si>
  <si>
    <t>Interconexión de energía distribuida</t>
  </si>
  <si>
    <t>Energía distribuida eléctrica</t>
  </si>
  <si>
    <t>Energía distribuida estructural</t>
  </si>
  <si>
    <t>Telecomunicaciones de energía distribuida</t>
  </si>
  <si>
    <t>Sistemas auxiliares de energía distribuida</t>
  </si>
  <si>
    <t>Group</t>
  </si>
  <si>
    <t>S□-ALGN</t>
  </si>
  <si>
    <t>S□-BEAM</t>
  </si>
  <si>
    <t>S□-BEAM-ALUM</t>
  </si>
  <si>
    <t>Beams: aluminum</t>
  </si>
  <si>
    <t>S□-BEAM-CONC</t>
  </si>
  <si>
    <t>Beams: concrete</t>
  </si>
  <si>
    <t>S□-BEAM-STEL</t>
  </si>
  <si>
    <t>Beams: steel</t>
  </si>
  <si>
    <t>S□-BEAM-WOOD</t>
  </si>
  <si>
    <t>Beams: wood</t>
  </si>
  <si>
    <t>S□-BRCG</t>
  </si>
  <si>
    <t>S□-BRCG-ALUM</t>
  </si>
  <si>
    <t>Bracing: aluminum</t>
  </si>
  <si>
    <t>S□-BRCG-ALUM-HORZ</t>
  </si>
  <si>
    <t>Bracing: metal</t>
  </si>
  <si>
    <t>S□-BRCG-STEL</t>
  </si>
  <si>
    <t>Bracing: steel</t>
  </si>
  <si>
    <t>S□-BRCG-STEL-HORZ</t>
  </si>
  <si>
    <t>Bracing: wood</t>
  </si>
  <si>
    <t>S□-BRCG-WOOD-HORZ</t>
  </si>
  <si>
    <t>S□-COLS-ABLT</t>
  </si>
  <si>
    <t>Columns: anchor bolts</t>
  </si>
  <si>
    <t>S□-COLS-ALUM</t>
  </si>
  <si>
    <t>Columns: aluminum</t>
  </si>
  <si>
    <t>S□-COLS-CONC</t>
  </si>
  <si>
    <t>Columns: concrete</t>
  </si>
  <si>
    <t>S□-COLS-STEL</t>
  </si>
  <si>
    <t>Columns: steel</t>
  </si>
  <si>
    <t>S□-COLS-WOOD</t>
  </si>
  <si>
    <t>Columns: wood</t>
  </si>
  <si>
    <t>S□-DECK</t>
  </si>
  <si>
    <t>S□-DECK-FLOR</t>
  </si>
  <si>
    <t>Deck: floor</t>
  </si>
  <si>
    <t>S□-DECK-FLOR-OPNG</t>
  </si>
  <si>
    <t>Deck: roof</t>
  </si>
  <si>
    <t>S□-DECK-ROOF-OPNG</t>
  </si>
  <si>
    <t>S□-DETL-HSSS</t>
  </si>
  <si>
    <t>Detail: hollow structural steel</t>
  </si>
  <si>
    <t>S□-DETL-PLYW</t>
  </si>
  <si>
    <t>Detail: plywood</t>
  </si>
  <si>
    <t>S□-DETL-W2XS</t>
  </si>
  <si>
    <t>Detail: dimension lumber</t>
  </si>
  <si>
    <t>S□-FNDN</t>
  </si>
  <si>
    <t>S□-FNDN-FTNG</t>
  </si>
  <si>
    <t>Foundation: footings</t>
  </si>
  <si>
    <t>S□-FNDN-GRBM</t>
  </si>
  <si>
    <t>Foundation: grade beams</t>
  </si>
  <si>
    <t>S□-FNDN-PCAP</t>
  </si>
  <si>
    <t>Foundation: pile caps</t>
  </si>
  <si>
    <t>S□-FNDN-PIER</t>
  </si>
  <si>
    <t>Foundation: drilled piers</t>
  </si>
  <si>
    <t>S□-FNDN-PILE</t>
  </si>
  <si>
    <t>Foundation: piles</t>
  </si>
  <si>
    <t>S□-FNDN-RBAR</t>
  </si>
  <si>
    <t>Foundation: reinforcing bar</t>
  </si>
  <si>
    <t>S□-FNDN-RBAR-BOT1</t>
  </si>
  <si>
    <t>Foundation: reinforcing bar: top group 1</t>
  </si>
  <si>
    <t>S□-FNDN-RBAR-TOP2</t>
  </si>
  <si>
    <t>S□-FSTN</t>
  </si>
  <si>
    <t>S□-GATE</t>
  </si>
  <si>
    <t>S□-GRID</t>
  </si>
  <si>
    <t>S□-GRID-EXTR</t>
  </si>
  <si>
    <t>Grids: exterior</t>
  </si>
  <si>
    <t>S□-GRID-INTR</t>
  </si>
  <si>
    <t>Grids: interior</t>
  </si>
  <si>
    <t>S□-GRLN</t>
  </si>
  <si>
    <t>S□-GRLN-SURF</t>
  </si>
  <si>
    <t>Grade line: surface areas</t>
  </si>
  <si>
    <t>S□-GRTG</t>
  </si>
  <si>
    <t>Grating</t>
  </si>
  <si>
    <t>S□-GRTG-OVHD</t>
  </si>
  <si>
    <t>Grating: overhead</t>
  </si>
  <si>
    <t>S□-HYDR</t>
  </si>
  <si>
    <t>S□-JNTS</t>
  </si>
  <si>
    <t>S□-JNTS-CNTJ</t>
  </si>
  <si>
    <t>Joints: construction joint</t>
  </si>
  <si>
    <t>S□-JNTS-CTLJ</t>
  </si>
  <si>
    <t>Joints: control joint</t>
  </si>
  <si>
    <t>S□-JNTS-EXPJ</t>
  </si>
  <si>
    <t>Joints: expansion joint</t>
  </si>
  <si>
    <t>S□-JOIS</t>
  </si>
  <si>
    <t>S□-JOIS-BRGX</t>
  </si>
  <si>
    <t>Joists: bridging</t>
  </si>
  <si>
    <t>S□-LNTL</t>
  </si>
  <si>
    <t>S□-PADS</t>
  </si>
  <si>
    <t>S□-PADS-EQPM</t>
  </si>
  <si>
    <t>Pads: equipment</t>
  </si>
  <si>
    <t>S□-PLAT</t>
  </si>
  <si>
    <t>S□-PLAT-FRMG</t>
  </si>
  <si>
    <t>Platform: framing</t>
  </si>
  <si>
    <t>S□-PLAT-GRTG</t>
  </si>
  <si>
    <t>Platform: grating</t>
  </si>
  <si>
    <t>S□-SIGN</t>
  </si>
  <si>
    <t>S□-SIGN-BOUY</t>
  </si>
  <si>
    <t>Sign: bouy</t>
  </si>
  <si>
    <t>S□-SIGN-FRMG</t>
  </si>
  <si>
    <t>Sign: framing</t>
  </si>
  <si>
    <t>S□-SIGN-GAGE</t>
  </si>
  <si>
    <t>Sign: gauge (staff)</t>
  </si>
  <si>
    <t>S□-SIGN-TEXT</t>
  </si>
  <si>
    <t>Sign: signage text</t>
  </si>
  <si>
    <t>S□-SIGN-XTRU</t>
  </si>
  <si>
    <t>Sign: extrusion</t>
  </si>
  <si>
    <t>S□-SLAB</t>
  </si>
  <si>
    <t>S□-SLAB-CONC</t>
  </si>
  <si>
    <t>Slab: concrete</t>
  </si>
  <si>
    <t>S□-SLAB-EDGE</t>
  </si>
  <si>
    <t>Slab: edge</t>
  </si>
  <si>
    <t>S□-SLAB-OPNG</t>
  </si>
  <si>
    <t>Slab: openings (and depressions)</t>
  </si>
  <si>
    <t>S□-SLAB-OPNX</t>
  </si>
  <si>
    <t>Slab: opening indication ("x")</t>
  </si>
  <si>
    <t>S□-SLAB-STEL</t>
  </si>
  <si>
    <t>Slab: steel</t>
  </si>
  <si>
    <t>S□-SLAB-WOOD</t>
  </si>
  <si>
    <t>Slab: wood</t>
  </si>
  <si>
    <t>S□-STIF</t>
  </si>
  <si>
    <t>S□-STIF-LONG</t>
  </si>
  <si>
    <t>Stiffener: longitudinal</t>
  </si>
  <si>
    <t>S□-STIF-TRAV</t>
  </si>
  <si>
    <t>Stiffener: transverse</t>
  </si>
  <si>
    <t>S□-STRS</t>
  </si>
  <si>
    <t>S□-STRS-LADD</t>
  </si>
  <si>
    <t>Stairs: ladders &amp; ladder assemblies</t>
  </si>
  <si>
    <t>S□-TRUS</t>
  </si>
  <si>
    <t>S□-WALL</t>
  </si>
  <si>
    <t>S□-WALL-ABOV</t>
  </si>
  <si>
    <t>Walls: above</t>
  </si>
  <si>
    <t>S□-WALL-CMUW</t>
  </si>
  <si>
    <t>Walls: concrete masonry unit</t>
  </si>
  <si>
    <t>S□-WALL-CONC</t>
  </si>
  <si>
    <t>Walls: concrete</t>
  </si>
  <si>
    <t>S□-WALL-MSNW</t>
  </si>
  <si>
    <t>Walls: masonry</t>
  </si>
  <si>
    <t>S□-WALL-PCST</t>
  </si>
  <si>
    <t>Walls: pre-cast concrete</t>
  </si>
  <si>
    <t>S□-WALL-SHEA</t>
  </si>
  <si>
    <t>S□-WALL-STEL</t>
  </si>
  <si>
    <t>Walls: steel stud</t>
  </si>
  <si>
    <t>S□-WALL-VENR</t>
  </si>
  <si>
    <t>Walls: veneer</t>
  </si>
  <si>
    <t>S□-WALL-WOOD</t>
  </si>
  <si>
    <t>Walls: wood</t>
  </si>
  <si>
    <t xml:space="preserve">Bracing: aluminum: horizontal </t>
  </si>
  <si>
    <t>S□-BRCG-ALUM-VERT</t>
  </si>
  <si>
    <t xml:space="preserve"> S□-BRCG-METL</t>
  </si>
  <si>
    <t>Bracing: aluminum: vertical</t>
  </si>
  <si>
    <t>Bracing: steel: horizontal</t>
  </si>
  <si>
    <t>Bracing: steel: vertical</t>
  </si>
  <si>
    <t xml:space="preserve">Bracing: wood: horizontal </t>
  </si>
  <si>
    <t>S□-BRCG-WOOD-VERT</t>
  </si>
  <si>
    <t>Bracing: wood: vertical</t>
  </si>
  <si>
    <t xml:space="preserve">Deck: floor: openings </t>
  </si>
  <si>
    <t>S□-DECK-ROOF</t>
  </si>
  <si>
    <t>Deck: roof: openings</t>
  </si>
  <si>
    <t>S□-DETL</t>
  </si>
  <si>
    <t>Foundation: reinforcing bar: bottom group 1</t>
  </si>
  <si>
    <t>Foundation: reinforcing bar: bottom group 2</t>
  </si>
  <si>
    <t>S□-FNDN-RBAR-BOT2</t>
  </si>
  <si>
    <t>S□-FNDN-RBAR-TOP1</t>
  </si>
  <si>
    <t>Foundation: reinforcing bar: top group 2</t>
  </si>
  <si>
    <t>S□-FRAM</t>
  </si>
  <si>
    <t>Vigas: aluminio</t>
  </si>
  <si>
    <t>Vigas: hormigón</t>
  </si>
  <si>
    <t>Vigas: acero</t>
  </si>
  <si>
    <t>Vigas: madera</t>
  </si>
  <si>
    <t>Arriostramiento: aluminio</t>
  </si>
  <si>
    <t>Arriostramiento: aluminio: horizontal</t>
  </si>
  <si>
    <t>Arriostramiento: aluminio: vertical</t>
  </si>
  <si>
    <t>Arriostramiento: metal</t>
  </si>
  <si>
    <t>Arriostramiento: acero</t>
  </si>
  <si>
    <t>Arriostramiento: acero: horizontal</t>
  </si>
  <si>
    <t>Arriostramiento: acero: vertical</t>
  </si>
  <si>
    <t>Arriostramiento: madera</t>
  </si>
  <si>
    <t>Arriostramiento: madera: horizontal</t>
  </si>
  <si>
    <t>Arriostramiento: madera: vertical</t>
  </si>
  <si>
    <t>Columnas: pernos de anclaje</t>
  </si>
  <si>
    <t>Columnas: aluminio</t>
  </si>
  <si>
    <t>Columnas: hormigón</t>
  </si>
  <si>
    <t>Columnas: acero</t>
  </si>
  <si>
    <t>Columnas: madera</t>
  </si>
  <si>
    <t>Cubierta: suelo</t>
  </si>
  <si>
    <t>Cubierta: suelo: aberturas</t>
  </si>
  <si>
    <t>Cubierta: techo</t>
  </si>
  <si>
    <t>Cubierta: techo: aberturas</t>
  </si>
  <si>
    <t>Detalle: acero estructural hueco</t>
  </si>
  <si>
    <t>Detalle: madera contrachapada</t>
  </si>
  <si>
    <t>Detalle: madera dimensional</t>
  </si>
  <si>
    <t>Cimentación: zapatas</t>
  </si>
  <si>
    <t>Cimentación: vigas de cimentación</t>
  </si>
  <si>
    <t>Cimentación: encepados</t>
  </si>
  <si>
    <t>Cimentación: pilotes perforados</t>
  </si>
  <si>
    <t>Cimentación: Pilotes</t>
  </si>
  <si>
    <t>Cimentación: barra de refuerzo</t>
  </si>
  <si>
    <t>Cimentación: barra de refuerzo: grupo inferior 1</t>
  </si>
  <si>
    <t>Cimentación: barra de refuerzo: grupo inferior 2</t>
  </si>
  <si>
    <t>Cimentación: barra de refuerzo: grupo superior 1</t>
  </si>
  <si>
    <t>Cimentación: barra de refuerzo: grupo superior 2</t>
  </si>
  <si>
    <t>Fijaciones y conexiones</t>
  </si>
  <si>
    <t>Puerta</t>
  </si>
  <si>
    <t>Rejillas: exterior</t>
  </si>
  <si>
    <t>Rejillas: interior</t>
  </si>
  <si>
    <t>Línea de rasante: superficies</t>
  </si>
  <si>
    <t>Rejilla</t>
  </si>
  <si>
    <t>Rejilla: superior</t>
  </si>
  <si>
    <t>Juntas: junta de construcción</t>
  </si>
  <si>
    <t>Juntas: junta de control</t>
  </si>
  <si>
    <t>Juntas: junta de dilatación</t>
  </si>
  <si>
    <t>Viguetas: puentes</t>
  </si>
  <si>
    <t>Plataformas</t>
  </si>
  <si>
    <t>Plataforma: equipo</t>
  </si>
  <si>
    <t>Plataforma</t>
  </si>
  <si>
    <t>Plataforma: estructura</t>
  </si>
  <si>
    <t>Plataforma: rejilla</t>
  </si>
  <si>
    <t>Señal: boya</t>
  </si>
  <si>
    <t>Señal: estructura</t>
  </si>
  <si>
    <t>Señal: calibrador (mira)</t>
  </si>
  <si>
    <t>Señal: texto de señalización</t>
  </si>
  <si>
    <t>Señal: extrusión</t>
  </si>
  <si>
    <t>Losa: hormigón</t>
  </si>
  <si>
    <t>Losa: Borde</t>
  </si>
  <si>
    <t>Losa: Aberturas (y depresiones)</t>
  </si>
  <si>
    <t>Losa: Indicación de abertura ("x")</t>
  </si>
  <si>
    <t>Losa: Acero</t>
  </si>
  <si>
    <t>Losa: Madera</t>
  </si>
  <si>
    <t>Refuerzo: Longitudinal</t>
  </si>
  <si>
    <t>Refuerzo: Transversal</t>
  </si>
  <si>
    <t>Escaleras: Escaleras y conjuntos de escaleras</t>
  </si>
  <si>
    <t>Muros: Superior</t>
  </si>
  <si>
    <t>Muros: Unidad de mampostería de hormigón</t>
  </si>
  <si>
    <t>Muros: Hormigón</t>
  </si>
  <si>
    <t>Muros: Mampostería</t>
  </si>
  <si>
    <t>Muros: Hormigón prefabricado</t>
  </si>
  <si>
    <t>Muros: Muros de carga o de corte</t>
  </si>
  <si>
    <t>Muros: Montante de acero</t>
  </si>
  <si>
    <t>Muros: Enchapado</t>
  </si>
  <si>
    <t>Muros: Madera</t>
  </si>
  <si>
    <t>V□-BLDG</t>
  </si>
  <si>
    <t>V□-BLDG-DECK</t>
  </si>
  <si>
    <t>V□-BLDG-OTLN</t>
  </si>
  <si>
    <t>V□-BLDG-OVHD</t>
  </si>
  <si>
    <t>V□-BLDG-PRCH</t>
  </si>
  <si>
    <t>V□-BNDY</t>
  </si>
  <si>
    <t>V□-BNDY-BORO</t>
  </si>
  <si>
    <t>Political boundaries: borough</t>
  </si>
  <si>
    <t>V□-BNDY-CITY</t>
  </si>
  <si>
    <t>Political boundaries: city</t>
  </si>
  <si>
    <t>V□-BNDY-CNTY</t>
  </si>
  <si>
    <t>Political boundaries: county</t>
  </si>
  <si>
    <t>V□-BNDY-CORP</t>
  </si>
  <si>
    <t>Political boundaries: corporation</t>
  </si>
  <si>
    <t>V□-BNDY-NATL</t>
  </si>
  <si>
    <t>Political boundaries: national</t>
  </si>
  <si>
    <t>V□-BNDY-PROV</t>
  </si>
  <si>
    <t>Political boundaries: province</t>
  </si>
  <si>
    <t>V□-BNDY-STAT</t>
  </si>
  <si>
    <t>Political boundaries: state</t>
  </si>
  <si>
    <t>V□-BNDY-TSHP</t>
  </si>
  <si>
    <t>Political boundaries: town or township</t>
  </si>
  <si>
    <t>V□-BNDY-ZONE</t>
  </si>
  <si>
    <t>Political boundaries: zoning</t>
  </si>
  <si>
    <t>V□-BORE</t>
  </si>
  <si>
    <t>V□-BRDG</t>
  </si>
  <si>
    <t>V□-BRDG-BENT</t>
  </si>
  <si>
    <t>Bridge: top of bent</t>
  </si>
  <si>
    <t>V□-BRDG-CNTR</t>
  </si>
  <si>
    <t>V□-BRDG-CTLJ</t>
  </si>
  <si>
    <t>Bridge: control joint</t>
  </si>
  <si>
    <t>V□-BRDG-DECK</t>
  </si>
  <si>
    <t>V□-BRDG-GRAL</t>
  </si>
  <si>
    <t>Bridge: guard rail</t>
  </si>
  <si>
    <t>V□-BRKL</t>
  </si>
  <si>
    <t>Break/fault lines</t>
  </si>
  <si>
    <t>V□-BRKL-BOTB</t>
  </si>
  <si>
    <t>Break/fault lines: bottom of bank</t>
  </si>
  <si>
    <t>V□-BRKL-FLOW</t>
  </si>
  <si>
    <t>Break/fault lines: top of bank</t>
  </si>
  <si>
    <t>V□-BRLN</t>
  </si>
  <si>
    <t>V□-BZNA</t>
  </si>
  <si>
    <t>V□-CHAN</t>
  </si>
  <si>
    <t>V□-CHAN-BWTR</t>
  </si>
  <si>
    <t>V□-CHAN-CNTR</t>
  </si>
  <si>
    <t>V□-CHAN-DACL</t>
  </si>
  <si>
    <t>V□-CHAN-DOCK</t>
  </si>
  <si>
    <t>V□-COMM</t>
  </si>
  <si>
    <t>V□-COMM-MHOL</t>
  </si>
  <si>
    <t>Communications: manhole</t>
  </si>
  <si>
    <t>V□-COMM-OVHD</t>
  </si>
  <si>
    <t>V□-COMM-POLE</t>
  </si>
  <si>
    <t>V□-COMM-UGND</t>
  </si>
  <si>
    <t>V□-CTRL</t>
  </si>
  <si>
    <t>V□-CTRL-BMRK</t>
  </si>
  <si>
    <t>V□-CTRL-FLYS</t>
  </si>
  <si>
    <t>V□-CTRL-GRID</t>
  </si>
  <si>
    <t>V□-CTRL-HORZ</t>
  </si>
  <si>
    <t>V□-CTRL-HVPT</t>
  </si>
  <si>
    <t>V□-CTRL-PNPT</t>
  </si>
  <si>
    <t>V□-CTRL-TRAV</t>
  </si>
  <si>
    <t>V□-CTRL-VERT</t>
  </si>
  <si>
    <t>V□-DRIV</t>
  </si>
  <si>
    <t>V□-DRIV-ASPH</t>
  </si>
  <si>
    <t>V□-DRIV-CNTR</t>
  </si>
  <si>
    <t>V□-DRIV-CONC</t>
  </si>
  <si>
    <t>V□-DRIV-CURB</t>
  </si>
  <si>
    <t>V□-DRIV-FLNE</t>
  </si>
  <si>
    <t>V□-DRIV-GRVL</t>
  </si>
  <si>
    <t>V□-DRIV-MRKG</t>
  </si>
  <si>
    <t>V□-DRIV-UPVD</t>
  </si>
  <si>
    <t>V□-DTCH</t>
  </si>
  <si>
    <t>V□-DTCH-BOTM</t>
  </si>
  <si>
    <t>V□-DTCH-CNTR</t>
  </si>
  <si>
    <t>V□-DTCH-EWAT</t>
  </si>
  <si>
    <t>V□-DTCH-TOP~</t>
  </si>
  <si>
    <t>V□-ESMT</t>
  </si>
  <si>
    <t>V□-ESMT-ACCS</t>
  </si>
  <si>
    <t>V□-ESMT-CATV</t>
  </si>
  <si>
    <t>Easements: cable television system</t>
  </si>
  <si>
    <t>V□-ESMT-CONS</t>
  </si>
  <si>
    <t>V□-ESMT-CSTG</t>
  </si>
  <si>
    <t>V□-ESMT-ELEC</t>
  </si>
  <si>
    <t>V□-ESMT-FDPL</t>
  </si>
  <si>
    <t>V□-ESMT-INEG</t>
  </si>
  <si>
    <t>V□-ESMT-NGAS</t>
  </si>
  <si>
    <t>V□-ESMT-PHON</t>
  </si>
  <si>
    <t>V□-ESMT-ROAD</t>
  </si>
  <si>
    <t>V□-ESMT-ROAD-PERM</t>
  </si>
  <si>
    <t>V□-ESMT-RWAY</t>
  </si>
  <si>
    <t>V□-ESMT-SGHT</t>
  </si>
  <si>
    <t>V□-ESMT-SSWR</t>
  </si>
  <si>
    <t>V□-ESMT-STRM</t>
  </si>
  <si>
    <t>V□-ESMT-SWMT</t>
  </si>
  <si>
    <t>V□-ESMT-TRAL</t>
  </si>
  <si>
    <t>V□-ESMT-UTIL</t>
  </si>
  <si>
    <t>V□-ESMT-WATR</t>
  </si>
  <si>
    <t>V□-FLHA</t>
  </si>
  <si>
    <t>V□-FUEL</t>
  </si>
  <si>
    <t>V□-FUEL-MHOL</t>
  </si>
  <si>
    <t>V□-FUEL-PIPE</t>
  </si>
  <si>
    <t>V□-FUEL-TANK</t>
  </si>
  <si>
    <t>V□-FUEL-UGND</t>
  </si>
  <si>
    <t>V□-NGAS</t>
  </si>
  <si>
    <t>V□-NGAS-MHOL</t>
  </si>
  <si>
    <t>V□-NGAS-PIPE</t>
  </si>
  <si>
    <t>V□-NGAS-TANK</t>
  </si>
  <si>
    <t>V□-NGAS-UGND</t>
  </si>
  <si>
    <t>V□-NODE</t>
  </si>
  <si>
    <t>V□-NODE-ABUT</t>
  </si>
  <si>
    <t>Node: abutment</t>
  </si>
  <si>
    <t>V□-NODE-ACTL</t>
  </si>
  <si>
    <t>Node: building points</t>
  </si>
  <si>
    <t>V□-NODE-BLIN</t>
  </si>
  <si>
    <t>Node: baseline</t>
  </si>
  <si>
    <t>V□-NODE-BRDG</t>
  </si>
  <si>
    <t>Node: bridge survey points</t>
  </si>
  <si>
    <t>V□-NODE-BRKL</t>
  </si>
  <si>
    <t>Node: break lines, spot elev. points and lines for creation of break lines as top of bank</t>
  </si>
  <si>
    <t>V□-NODE-BROW</t>
  </si>
  <si>
    <t>Node: brush row points</t>
  </si>
  <si>
    <t>V□-NODE-BRSH</t>
  </si>
  <si>
    <t>Node: brush points</t>
  </si>
  <si>
    <t>V□-NODE-CABL</t>
  </si>
  <si>
    <t>Node: underground cable systems</t>
  </si>
  <si>
    <t>V□-NODE-CURB</t>
  </si>
  <si>
    <t>Node: curb</t>
  </si>
  <si>
    <t>V□-NODE-DASP</t>
  </si>
  <si>
    <t>Node: deck</t>
  </si>
  <si>
    <t>V□-NODE-DRIV</t>
  </si>
  <si>
    <t>Node: driveway</t>
  </si>
  <si>
    <t>V□-NODE-EASP</t>
  </si>
  <si>
    <t>Node: elevation attributes for survey points</t>
  </si>
  <si>
    <t>V□-NODE-EXPJ</t>
  </si>
  <si>
    <t>Node: expansion joint</t>
  </si>
  <si>
    <t>V□-NODE-GRND</t>
  </si>
  <si>
    <t>Node: ground</t>
  </si>
  <si>
    <t>V□-NODE-MHOL</t>
  </si>
  <si>
    <t>Node: manhole</t>
  </si>
  <si>
    <t>V□-NODE-MRKG</t>
  </si>
  <si>
    <t>Node: natural gas line</t>
  </si>
  <si>
    <t>V□-NODE-PASP</t>
  </si>
  <si>
    <t>Node: piping (driveway/roadway culverts)</t>
  </si>
  <si>
    <t>V□-NODE-POLE</t>
  </si>
  <si>
    <t>Node: pole (power, telephone, etc.)</t>
  </si>
  <si>
    <t>V□-NODE-PVMT</t>
  </si>
  <si>
    <t>Node: pavement</t>
  </si>
  <si>
    <t>V□-NODE-SIGN</t>
  </si>
  <si>
    <t>Node: signage</t>
  </si>
  <si>
    <t>V□-NODE-SSWR</t>
  </si>
  <si>
    <t>Node: sanitary sewer</t>
  </si>
  <si>
    <t>V□-NODE-STRM</t>
  </si>
  <si>
    <t>Node: storm sewer</t>
  </si>
  <si>
    <t>V□-NODE-SWLK</t>
  </si>
  <si>
    <t>Node: sidewalks</t>
  </si>
  <si>
    <t>V□-NODE-TREE</t>
  </si>
  <si>
    <t>Node: tree</t>
  </si>
  <si>
    <t>V□-NODE-TROW</t>
  </si>
  <si>
    <t>Node: tree row</t>
  </si>
  <si>
    <t>V□-NODE-WATR</t>
  </si>
  <si>
    <t>Node: water supply</t>
  </si>
  <si>
    <t>V□-POWR</t>
  </si>
  <si>
    <t>V□-POWR-FENC</t>
  </si>
  <si>
    <t>V□-POWR-INST</t>
  </si>
  <si>
    <t>V□-POWR-MHOL</t>
  </si>
  <si>
    <t>V□-POWR-OVHD</t>
  </si>
  <si>
    <t>V□-POWR-POLE</t>
  </si>
  <si>
    <t>V□-POWR-STRC</t>
  </si>
  <si>
    <t>V□-POWR-UGND</t>
  </si>
  <si>
    <t>V□-PRKG</t>
  </si>
  <si>
    <t>V□-PRKG-ASPH</t>
  </si>
  <si>
    <t>V□-PRKG-CNTR</t>
  </si>
  <si>
    <t>Parking lots: center</t>
  </si>
  <si>
    <t>V□-PRKG-CONC</t>
  </si>
  <si>
    <t>V□-PRKG-CURB</t>
  </si>
  <si>
    <t>V□-PRKG-DRAN</t>
  </si>
  <si>
    <t>V□-PRKG-FLNE</t>
  </si>
  <si>
    <t>V□-PRKG-GRVL</t>
  </si>
  <si>
    <t>V□-PRKG-MRKG</t>
  </si>
  <si>
    <t>V□-PRKG-STRP</t>
  </si>
  <si>
    <t>V□-PRKG-UPVD</t>
  </si>
  <si>
    <t>V□-PROP</t>
  </si>
  <si>
    <t>V□-PROP-LINE</t>
  </si>
  <si>
    <t>V□-PROP-QTRS</t>
  </si>
  <si>
    <t>Property: quarter section</t>
  </si>
  <si>
    <t>V□-PROP-RSRV</t>
  </si>
  <si>
    <t>Property: reservation</t>
  </si>
  <si>
    <t>V□-PROP-SBCK</t>
  </si>
  <si>
    <t>V□-PROP-SECT</t>
  </si>
  <si>
    <t>Property: section</t>
  </si>
  <si>
    <t>V□-PROP-SUBD</t>
  </si>
  <si>
    <t>Property: subdivision (interior) lines</t>
  </si>
  <si>
    <t>V□-PROP-SXTS</t>
  </si>
  <si>
    <t>Property: sixteenth section</t>
  </si>
  <si>
    <t>V□-PVMT</t>
  </si>
  <si>
    <t>V□-PVMT-ASPH</t>
  </si>
  <si>
    <t>V□-PVMT-CONC</t>
  </si>
  <si>
    <t>V□-PVMT-GRVL</t>
  </si>
  <si>
    <t>V□-RAIL</t>
  </si>
  <si>
    <t>V□-RAIL-CNTR</t>
  </si>
  <si>
    <t>V□-RAIL-EQPM</t>
  </si>
  <si>
    <t>V□-RAIL-TRAK</t>
  </si>
  <si>
    <t>V□-RIVR</t>
  </si>
  <si>
    <t>V□-RIVR-BOTM</t>
  </si>
  <si>
    <t>V□-RIVR-CNTR</t>
  </si>
  <si>
    <t>V□-RIVR-EDGE</t>
  </si>
  <si>
    <t>V□-RIVR-TOPB</t>
  </si>
  <si>
    <t>V□-ROAD</t>
  </si>
  <si>
    <t>V□-ROAD-ASPH</t>
  </si>
  <si>
    <t>V□-ROAD-CNTR</t>
  </si>
  <si>
    <t>V□-ROAD-CONC</t>
  </si>
  <si>
    <t>V□-ROAD-CURB</t>
  </si>
  <si>
    <t>V□-ROAD-FLNE</t>
  </si>
  <si>
    <t>V□-ROAD-GRVL</t>
  </si>
  <si>
    <t>V□-ROAD-MRKG</t>
  </si>
  <si>
    <t>V□-ROAD-UPVD</t>
  </si>
  <si>
    <t>V□-RRAP</t>
  </si>
  <si>
    <t>V□-RWAY</t>
  </si>
  <si>
    <t>V□-RWAY-CNTR</t>
  </si>
  <si>
    <t>Right-of-way: center</t>
  </si>
  <si>
    <t>V□-RWAY-CTLA</t>
  </si>
  <si>
    <t>Right-of-way: controlled access</t>
  </si>
  <si>
    <t>V□-RWAY-LINE</t>
  </si>
  <si>
    <t>Right-of-way: lines</t>
  </si>
  <si>
    <t>V□-RWAY-LMTA</t>
  </si>
  <si>
    <t>Right-of-way: limited access</t>
  </si>
  <si>
    <t>V□-RWAY-MRKR</t>
  </si>
  <si>
    <t>Right-of-way: marker</t>
  </si>
  <si>
    <t>V□-RWAY-STAN</t>
  </si>
  <si>
    <t>Right-of-way: stationing</t>
  </si>
  <si>
    <t>V□-SITE</t>
  </si>
  <si>
    <t>V□-SITE-EWAT</t>
  </si>
  <si>
    <t>Site features: edge of water</t>
  </si>
  <si>
    <t>V□-SITE-FENC</t>
  </si>
  <si>
    <t>Site features: fences</t>
  </si>
  <si>
    <t>V□-SITE-ROCK</t>
  </si>
  <si>
    <t>Site features: large rocks and rock outcroppings</t>
  </si>
  <si>
    <t>V□-SITE-RTWL</t>
  </si>
  <si>
    <t>Site features: retaining wall</t>
  </si>
  <si>
    <t>V□-SITE-SIGN</t>
  </si>
  <si>
    <t>Site features: signage</t>
  </si>
  <si>
    <t>V□-SITE-VEGE</t>
  </si>
  <si>
    <t>Site features: trees, shrubs, and other vegetation</t>
  </si>
  <si>
    <t>V□-SSWR</t>
  </si>
  <si>
    <t>V□-SSWR-MHOL</t>
  </si>
  <si>
    <t>V□-SSWR-PIPE</t>
  </si>
  <si>
    <t>V□-SSWR-STRC</t>
  </si>
  <si>
    <t>V□-SSWR-UGND</t>
  </si>
  <si>
    <t>V□-STEM</t>
  </si>
  <si>
    <t>V□-STEM-INST</t>
  </si>
  <si>
    <t>V□-STEM-PIPE</t>
  </si>
  <si>
    <t>V□-STEM-STRC</t>
  </si>
  <si>
    <t>V□-STEM-UGND</t>
  </si>
  <si>
    <t>V□-STRM</t>
  </si>
  <si>
    <t>V□-STRM-DTCH</t>
  </si>
  <si>
    <t>Storm sewer: ditches or washes</t>
  </si>
  <si>
    <t>V□-STRM-MHOL</t>
  </si>
  <si>
    <t>V□-STRM-PIPE</t>
  </si>
  <si>
    <t>V□-STRM-POND</t>
  </si>
  <si>
    <t>Storm sewer: retention pond</t>
  </si>
  <si>
    <t>V□-STRM-STRC</t>
  </si>
  <si>
    <t>V□-STRM-UGND</t>
  </si>
  <si>
    <t>V□-SURV</t>
  </si>
  <si>
    <t>V□-SURV-DATA</t>
  </si>
  <si>
    <t>Survey: data</t>
  </si>
  <si>
    <t>V□-SWLK</t>
  </si>
  <si>
    <t>V□-SWLK-ASPH</t>
  </si>
  <si>
    <t>V□-SWLK-CONC</t>
  </si>
  <si>
    <t>V□-TOPO</t>
  </si>
  <si>
    <t>V□-TOPO-EWAT</t>
  </si>
  <si>
    <t>Topographic feature: edge of water</t>
  </si>
  <si>
    <t>V□-TOPO-GRID</t>
  </si>
  <si>
    <t>Topographic feature: grid</t>
  </si>
  <si>
    <t>V□-TOPO-MAJR</t>
  </si>
  <si>
    <t>V□-TOPO-MINR</t>
  </si>
  <si>
    <t>V□-TOPO-SOUN</t>
  </si>
  <si>
    <t>Topographic feature: soundings</t>
  </si>
  <si>
    <t>V□-TOPO-SPOT</t>
  </si>
  <si>
    <t>V□-UNID</t>
  </si>
  <si>
    <t>V□-UNID-CABL</t>
  </si>
  <si>
    <t>Unidentified site objects: cable systems</t>
  </si>
  <si>
    <t>V□-UNID-PIPE</t>
  </si>
  <si>
    <t>Unidentified site objects: piping</t>
  </si>
  <si>
    <t>V□-UNID-TANK</t>
  </si>
  <si>
    <t>Unidentified site objects: storage tanks</t>
  </si>
  <si>
    <t>V□-UNID-UTIL</t>
  </si>
  <si>
    <t>Unidentified site objects: utility lines</t>
  </si>
  <si>
    <t>V□-UNID-UTIL-OVHD</t>
  </si>
  <si>
    <t>V□-WATR-INST</t>
  </si>
  <si>
    <t>Water supply: manhole</t>
  </si>
  <si>
    <t>V□-WATR-PIPE</t>
  </si>
  <si>
    <t>V□-WATR-STRC</t>
  </si>
  <si>
    <t>V□-WATR-UGND</t>
  </si>
  <si>
    <t>Buildings and primary structures: deck (attached, no roof overhead)</t>
  </si>
  <si>
    <t xml:space="preserve">Break/fault lines: flowline (lowest point of ditch) </t>
  </si>
  <si>
    <t>V□-BRKL-TOPB</t>
  </si>
  <si>
    <t xml:space="preserve">Navigable channels: decks, docks, floats, piers </t>
  </si>
  <si>
    <t>V□-CHAN-NAID</t>
  </si>
  <si>
    <t xml:space="preserve">Easements: ingress/egress (vehicles; private access) </t>
  </si>
  <si>
    <t>V□-ESMT-LSCP</t>
  </si>
  <si>
    <t xml:space="preserve">Easements: roadway: permanent </t>
  </si>
  <si>
    <t>V□-ESMT-ROAD-TEMP</t>
  </si>
  <si>
    <t>Node: aerial horizontal and vertical control points</t>
  </si>
  <si>
    <t>V□-NODE-BLDG</t>
  </si>
  <si>
    <t xml:space="preserve">Node: description attributes for survey points </t>
  </si>
  <si>
    <t>V□-NODE-DECK</t>
  </si>
  <si>
    <t xml:space="preserve">Node: pavement markings (yellow/white stripes) </t>
  </si>
  <si>
    <t>V□-NODE-NGAS</t>
  </si>
  <si>
    <t xml:space="preserve">Node: point number attributes for survey points </t>
  </si>
  <si>
    <t>V□-NODE-PIPE</t>
  </si>
  <si>
    <t xml:space="preserve">Steam system: instrumentation (meters, valves, pumps) </t>
  </si>
  <si>
    <t>V□-STEM-MHOL</t>
  </si>
  <si>
    <t xml:space="preserve">Unidentified site objects: utility lines: overhead </t>
  </si>
  <si>
    <t>V□-UNID-UTIL-UGND</t>
  </si>
  <si>
    <t xml:space="preserve"> V□-WATR</t>
  </si>
  <si>
    <t>Unidentified site objects: utility lines: underground</t>
  </si>
  <si>
    <t xml:space="preserve">Water supply: instrumentation (meters, valves, pumps) </t>
  </si>
  <si>
    <t>V□-WATR-MHOL</t>
  </si>
  <si>
    <t>Layers</t>
  </si>
  <si>
    <t>Descripción</t>
  </si>
  <si>
    <t>Disciplina</t>
  </si>
  <si>
    <t>Discipline</t>
  </si>
  <si>
    <t>Edificios y estructuras primarias: cubierta (adosada, sin techo)</t>
  </si>
  <si>
    <t>Edificios y estructuras primarias: contorno</t>
  </si>
  <si>
    <t>Edificios y estructuras primarias: techo</t>
  </si>
  <si>
    <t>Edificios y estructuras primarias: pórtico (adosado, techo)</t>
  </si>
  <si>
    <t>Límites políticos: municipio</t>
  </si>
  <si>
    <t>Límites políticos: ciudad</t>
  </si>
  <si>
    <t>Límites políticos: condado</t>
  </si>
  <si>
    <t>Límites políticos: corporación</t>
  </si>
  <si>
    <t>Límites políticos: nacional</t>
  </si>
  <si>
    <t>Límites políticos: provincia</t>
  </si>
  <si>
    <t>Límites políticos: estado</t>
  </si>
  <si>
    <t>Límites políticos: pueblo o municipio</t>
  </si>
  <si>
    <t>Límites políticos: zonificación</t>
  </si>
  <si>
    <t>Puente: parte superior del recodo</t>
  </si>
  <si>
    <t>Puente: junta de control</t>
  </si>
  <si>
    <t>Puente: barandilla</t>
  </si>
  <si>
    <t>Líneas de rotura/falla: parte inferior del terraplén</t>
  </si>
  <si>
    <t>Líneas de rotura/falla: línea de flujo (punto más bajo de la zanja)</t>
  </si>
  <si>
    <t>Línea de rotura/falla: parte superior del terraplén</t>
  </si>
  <si>
    <t>Línea de restricción de edificación</t>
  </si>
  <si>
    <t>Navegable Canales: rompeolas</t>
  </si>
  <si>
    <t>Comunicaciones: pozo de registro</t>
  </si>
  <si>
    <t>Puntos de control: horizontales</t>
  </si>
  <si>
    <t>Puntos de control: horizontales/verticales</t>
  </si>
  <si>
    <t>Puntos de control: transversales</t>
  </si>
  <si>
    <t>Puntos de control: verticales</t>
  </si>
  <si>
    <t>Accesos vehiculares: bordillo</t>
  </si>
  <si>
    <t>Accesos vehiculares: carril de incendios</t>
  </si>
  <si>
    <t>Accesos vehiculares: grava</t>
  </si>
  <si>
    <t>Accesos vehiculares: marcas en el pavimento</t>
  </si>
  <si>
    <t>Accesos vehiculares: superficie sin pavimentar</t>
  </si>
  <si>
    <t>Servidumbres: sistema de televisión por cable</t>
  </si>
  <si>
    <t>Servidumbres: calzada</t>
  </si>
  <si>
    <t>Servidumbres: calzada: permanente</t>
  </si>
  <si>
    <t>Servidumbres: calzada: temporal</t>
  </si>
  <si>
    <t>Sistemas de gas natural: tuberías</t>
  </si>
  <si>
    <t>Sistemas de gas natural: tanques de almacenamiento</t>
  </si>
  <si>
    <t>Sistemas de gas natural: subterráneos</t>
  </si>
  <si>
    <t>Nodo: estribo</t>
  </si>
  <si>
    <t>Nodo: puntos de control aéreos horizontales y verticales</t>
  </si>
  <si>
    <t>Nodo: puntos de construcción</t>
  </si>
  <si>
    <t>Nodo: línea base</t>
  </si>
  <si>
    <t>Nodo: líneas de corte, elevación puntual Puntos y líneas para la creación de líneas de quiebre como parte superior del terraplén</t>
  </si>
  <si>
    <t>Nodo: Puntos de hilera de maleza</t>
  </si>
  <si>
    <t>Nodo: Puntos de maleza</t>
  </si>
  <si>
    <t>Nodo: Sistemas de cableado subterráneo</t>
  </si>
  <si>
    <t>Nodo: Bordillo</t>
  </si>
  <si>
    <t>Nodo: Atributos de descripción para puntos topográficos</t>
  </si>
  <si>
    <t>Nodo: Plataforma</t>
  </si>
  <si>
    <t>Nodo: Acceso vehicular</t>
  </si>
  <si>
    <t>Nodo: Atributos de elevación para puntos topográficos</t>
  </si>
  <si>
    <t>Nodo: Junta de dilatación</t>
  </si>
  <si>
    <t>Nodo: Suelo</t>
  </si>
  <si>
    <t>Nodo: Pozo de registro</t>
  </si>
  <si>
    <t>Nodo: Marcas en el pavimento (franjas amarillas/blancas)</t>
  </si>
  <si>
    <t>Nodo: Línea de gas natural</t>
  </si>
  <si>
    <t>Nodo: Atributos de número de punto para puntos topográficos</t>
  </si>
  <si>
    <t>Nodo: Tuberías (alcantarillas de acceso vehicular/carretera)</t>
  </si>
  <si>
    <t>Nodo: Poste (eléctrico, telefónico, etc.)</t>
  </si>
  <si>
    <t>Nodo: Pavimento</t>
  </si>
  <si>
    <t>Nodo: Señalización</t>
  </si>
  <si>
    <t>Nodo: Alcantarillado sanitario</t>
  </si>
  <si>
    <t>Nodo: Alcantarillado pluvial</t>
  </si>
  <si>
    <t>Nodo: Aceras</t>
  </si>
  <si>
    <t>Nodo: Árbol</t>
  </si>
  <si>
    <t>Nodo: Hilera de árboles</t>
  </si>
  <si>
    <t>Nodo: Suministro de agua</t>
  </si>
  <si>
    <t>Energía: Cercas</t>
  </si>
  <si>
    <t>Energía: Instrumentación (medidores, transformadores)</t>
  </si>
  <si>
    <t>Energía: Pozo de registro</t>
  </si>
  <si>
    <t>Energía: Aérea</t>
  </si>
  <si>
    <t>Energía: Poste</t>
  </si>
  <si>
    <t>Energía: Estructuras</t>
  </si>
  <si>
    <t>Energía: Subterráneo</t>
  </si>
  <si>
    <t>Estacionamientos: centro</t>
  </si>
  <si>
    <t>Estacionamientos: líneas</t>
  </si>
  <si>
    <t>Propiedad: cuarto de sección</t>
  </si>
  <si>
    <t>Propiedad: reserva</t>
  </si>
  <si>
    <t>Propiedad: sección</t>
  </si>
  <si>
    <t>Propiedad: líneas de subdivisión (interiores)</t>
  </si>
  <si>
    <t>Propiedad: decimosexta sección</t>
  </si>
  <si>
    <t>Río: parte superior de la ribera</t>
  </si>
  <si>
    <t>Carreteras: Bordillo</t>
  </si>
  <si>
    <t>Vías: carril de incendios</t>
  </si>
  <si>
    <t>Vías: grava</t>
  </si>
  <si>
    <t>Vías: marcas viales</t>
  </si>
  <si>
    <t>Vías: superficie sin pavimentar</t>
  </si>
  <si>
    <t>Derecho de paso: centro</t>
  </si>
  <si>
    <t>Derecho de paso: acceso controlado</t>
  </si>
  <si>
    <t>Derecho de paso: líneas</t>
  </si>
  <si>
    <t>Derecho de paso: acceso limitado</t>
  </si>
  <si>
    <t>Derecho de paso: marcador</t>
  </si>
  <si>
    <t>Derecho de paso: estacionamiento</t>
  </si>
  <si>
    <t>Características del sitio: borde del agua</t>
  </si>
  <si>
    <t>Características del sitio: cercas</t>
  </si>
  <si>
    <t>Características del sitio: rocas grandes y afloramientos rocosos</t>
  </si>
  <si>
    <t>Características del sitio: muro de contención</t>
  </si>
  <si>
    <t>Características del sitio: señalización</t>
  </si>
  <si>
    <t>Características del sitio: árboles, arbustos y otra vegetación</t>
  </si>
  <si>
    <t>Sistema de vapor: instrumentación (medidores, válvulas, bombas)</t>
  </si>
  <si>
    <t>Sistemas de gas natural: pozo de registro</t>
  </si>
  <si>
    <t>Nodo: puntos de medición de puentes</t>
  </si>
  <si>
    <t>Sistema de vapor: Subterráneo</t>
  </si>
  <si>
    <t>Alcantarillado pluvial: zanjas o lavaderos</t>
  </si>
  <si>
    <t>Alcantarillado pluvial: estanque de retención</t>
  </si>
  <si>
    <t>Levantamiento</t>
  </si>
  <si>
    <t>Levantamiento: datos</t>
  </si>
  <si>
    <t>Característica topográfica: borde del agua</t>
  </si>
  <si>
    <t>Característica topográfica: cuadrícula</t>
  </si>
  <si>
    <t>Característica topográfica: sondeos</t>
  </si>
  <si>
    <t>Objetos no identificados del sitio: sistemas de cableado</t>
  </si>
  <si>
    <t>Objetos no identificados del sitio: tuberías</t>
  </si>
  <si>
    <t>Objetos no identificados del sitio: tanques de almacenamiento</t>
  </si>
  <si>
    <t>Objetos no identificados del sitio: líneas de servicios públicos</t>
  </si>
  <si>
    <t>Objetos no identificados del sitio: líneas de servicios públicos aéreas</t>
  </si>
  <si>
    <t>Objetos no identificados del sitio: líneas de servicios públicos subterráneas</t>
  </si>
  <si>
    <t>Suministro de agua: instrumentación (medidores, válvulas, bombas)</t>
  </si>
  <si>
    <t>Suministro de agua: pozo de registro</t>
  </si>
  <si>
    <t>Suministro de agua: Tuberías</t>
  </si>
  <si>
    <t>Abastecimiento de agua: estructuras</t>
  </si>
  <si>
    <t>Abastecimiento de agua: subterráneo</t>
  </si>
  <si>
    <t>Layer - Description</t>
  </si>
  <si>
    <t>Capa - Descripción</t>
  </si>
  <si>
    <t>Prefix</t>
  </si>
  <si>
    <t>Designator</t>
  </si>
  <si>
    <t>DAPC</t>
  </si>
  <si>
    <t>Tejado: pasamanos/barandillas</t>
  </si>
  <si>
    <t>Tejado: cambios de nivel</t>
  </si>
  <si>
    <t>Tejado: contorno</t>
  </si>
  <si>
    <t>Tejado: contrahuellas</t>
  </si>
  <si>
    <t>Tejado: peldaños de escalera</t>
  </si>
  <si>
    <t>E□-POWR-DSCO-DCFU</t>
  </si>
  <si>
    <t>E□-POWR-DSCO-DCNF</t>
  </si>
  <si>
    <t>E□-POWR-EQPM</t>
  </si>
  <si>
    <t>E□-PVMD</t>
  </si>
  <si>
    <t>Cunetas o arroyos</t>
  </si>
  <si>
    <t>Cunetas o arroyos: fondo</t>
  </si>
  <si>
    <t>Cunetas o arroyos: centro</t>
  </si>
  <si>
    <t>Cunetas o arroyos: borde del agua</t>
  </si>
  <si>
    <t>Cunetas o arroyos: Arriba</t>
  </si>
  <si>
    <t>Acristalamiento (muros transparentes y ventanas)</t>
  </si>
  <si>
    <t>S□-BRCG-STEL-VERT</t>
  </si>
  <si>
    <t>S□-BRCG-WOOD</t>
  </si>
  <si>
    <t>S□-COLS</t>
  </si>
  <si>
    <t>CAD Nombre</t>
  </si>
  <si>
    <t>A-AREA</t>
  </si>
  <si>
    <t>A-AREA-OCCP</t>
  </si>
  <si>
    <t>A-BARR</t>
  </si>
  <si>
    <t>A-BARR-AIR~</t>
  </si>
  <si>
    <t>A-CLNG</t>
  </si>
  <si>
    <t>A-CLNG-ACCS</t>
  </si>
  <si>
    <t>A-CLNG-GRID</t>
  </si>
  <si>
    <t>A-CLNG-OPNG</t>
  </si>
  <si>
    <t>A-CLNG-SUSP</t>
  </si>
  <si>
    <t>A-CLNG-TEES</t>
  </si>
  <si>
    <t>A-COLS</t>
  </si>
  <si>
    <t>A-CONV</t>
  </si>
  <si>
    <t>A-DOOR</t>
  </si>
  <si>
    <t>A-DOOR-FULL</t>
  </si>
  <si>
    <t>A-DOOR-PRHT</t>
  </si>
  <si>
    <t>A-EQPM</t>
  </si>
  <si>
    <t>A-EQPM-ACCS</t>
  </si>
  <si>
    <t>A-EQPM-FIXD</t>
  </si>
  <si>
    <t>A-EQPM-OVHD</t>
  </si>
  <si>
    <t>A-FLOR</t>
  </si>
  <si>
    <t>A-FLOR-CSWK</t>
  </si>
  <si>
    <t>A-FLOR-EVTR</t>
  </si>
  <si>
    <t>A-FLOR-FIXT</t>
  </si>
  <si>
    <t>A-FLOR-HRAL</t>
  </si>
  <si>
    <t>A-FLOR-LEVL</t>
  </si>
  <si>
    <t>A-FLOR-OTLN</t>
  </si>
  <si>
    <t>A-FLOR-OVHD</t>
  </si>
  <si>
    <t>A-FLOR-RAIS</t>
  </si>
  <si>
    <t>A-FLOR-RISR</t>
  </si>
  <si>
    <t>A-FLOR-SIGN</t>
  </si>
  <si>
    <t>A-FLOR-SPCL</t>
  </si>
  <si>
    <t>A-FLOR-STRS</t>
  </si>
  <si>
    <t>A-FLOR-TPTN</t>
  </si>
  <si>
    <t>A-FLOR-WDWK</t>
  </si>
  <si>
    <t>A-FURN</t>
  </si>
  <si>
    <t>A-FURN-FILE</t>
  </si>
  <si>
    <t>A-FURN-FIXD</t>
  </si>
  <si>
    <t>A-FURN-FREE</t>
  </si>
  <si>
    <t>A-FURN-PLNT</t>
  </si>
  <si>
    <t>A-FURN-PNLS</t>
  </si>
  <si>
    <t>A-FURN-SEAT</t>
  </si>
  <si>
    <t>A-FURN-STOR</t>
  </si>
  <si>
    <t>A-FURN-WKSF</t>
  </si>
  <si>
    <t>A-GLAZ</t>
  </si>
  <si>
    <t>A-GLAZ-FULL</t>
  </si>
  <si>
    <t>A-GLAZ-PRHT</t>
  </si>
  <si>
    <t>A-GLAZ-SILL</t>
  </si>
  <si>
    <t>A-HVAC</t>
  </si>
  <si>
    <t>A-HVAC-RDFF</t>
  </si>
  <si>
    <t>A-HVAC-SDFF</t>
  </si>
  <si>
    <t>A-LITE</t>
  </si>
  <si>
    <t>A-ROOF</t>
  </si>
  <si>
    <t>A-ROOF-HRAL</t>
  </si>
  <si>
    <t>A-ROOF-LEVL</t>
  </si>
  <si>
    <t>A-ROOF-OTLN</t>
  </si>
  <si>
    <t>A-ROOF-RISR</t>
  </si>
  <si>
    <t>A-ROOF-STRS</t>
  </si>
  <si>
    <t>A-WALL</t>
  </si>
  <si>
    <t>A-WALL-CAVI</t>
  </si>
  <si>
    <t>A-WALL-CNTR</t>
  </si>
  <si>
    <t>A-WALL-CURT</t>
  </si>
  <si>
    <t>A-WALL-FIRE</t>
  </si>
  <si>
    <t>A-WALL-FULL</t>
  </si>
  <si>
    <t>A-WALL-FULL-EXTR</t>
  </si>
  <si>
    <t>A-WALL-FULL-INTR</t>
  </si>
  <si>
    <t>A-WALL-HEAD</t>
  </si>
  <si>
    <t>A-WALL-JAMB</t>
  </si>
  <si>
    <t>A-WALL-MESH</t>
  </si>
  <si>
    <t>A-WALL-MOVE</t>
  </si>
  <si>
    <t>A-WALL-PATT</t>
  </si>
  <si>
    <t>A-WALL-PRHT</t>
  </si>
  <si>
    <t>C-AFLD</t>
  </si>
  <si>
    <t>C-AFLD-ASPH</t>
  </si>
  <si>
    <t>C-AFLD-CNTR</t>
  </si>
  <si>
    <t>C-AFLD-CONC</t>
  </si>
  <si>
    <t>C-AFLD-FLNE</t>
  </si>
  <si>
    <t>C-AFLD-FLNE-MRKG</t>
  </si>
  <si>
    <t>C-AFLD-FLNE-SIGN</t>
  </si>
  <si>
    <t>C-AFLD-GRVL</t>
  </si>
  <si>
    <t>C-AFLD-MRKG</t>
  </si>
  <si>
    <t>C-AFLD-SIGN</t>
  </si>
  <si>
    <t>C-AFLD-STAN</t>
  </si>
  <si>
    <t>C-AFLD-WHIT</t>
  </si>
  <si>
    <t>C-AFLD-WHIT-TICK</t>
  </si>
  <si>
    <t>C-AFLD-YELO</t>
  </si>
  <si>
    <t>C-AFLD-YELO-TICK</t>
  </si>
  <si>
    <t>C-BLDG</t>
  </si>
  <si>
    <t>C-BLDG-DECK</t>
  </si>
  <si>
    <t>C-BLDG-OTLN</t>
  </si>
  <si>
    <t>C-BLDG-OVHD</t>
  </si>
  <si>
    <t>C-BLDG-PRCH</t>
  </si>
  <si>
    <t>C-BLIN</t>
  </si>
  <si>
    <t>C-BLIN-STAN</t>
  </si>
  <si>
    <t>C-BORE</t>
  </si>
  <si>
    <t>C-BRDG</t>
  </si>
  <si>
    <t>C-BRDG-CNTJ</t>
  </si>
  <si>
    <t>C-BRDG-CNTR</t>
  </si>
  <si>
    <t>C-BRDG-DECK</t>
  </si>
  <si>
    <t>C-BRDG-EXPJ</t>
  </si>
  <si>
    <t>C-BRDG-FALT</t>
  </si>
  <si>
    <t>C-BRDG-HIDD</t>
  </si>
  <si>
    <t>C-BRDG-OBJT</t>
  </si>
  <si>
    <t>C-BRDG-OBJT-PRIM</t>
  </si>
  <si>
    <t>C-BRDG-OBJT-SECD</t>
  </si>
  <si>
    <t>C-BRDG-RBAR</t>
  </si>
  <si>
    <t>C-CATV</t>
  </si>
  <si>
    <t>C-CATV-OVHD</t>
  </si>
  <si>
    <t>C-CATV-POLE</t>
  </si>
  <si>
    <t>C-CATV-UGND</t>
  </si>
  <si>
    <t>C-CEME</t>
  </si>
  <si>
    <t>C-CHAN</t>
  </si>
  <si>
    <t>C-CHAN-BWTR</t>
  </si>
  <si>
    <t>C-CHAN-CNTR</t>
  </si>
  <si>
    <t>C-CHAN-DACL</t>
  </si>
  <si>
    <t>C-CHAN-DOCK</t>
  </si>
  <si>
    <t>C-CHAN-NAID</t>
  </si>
  <si>
    <t>C-COMM</t>
  </si>
  <si>
    <t>C-COMM-OVHD</t>
  </si>
  <si>
    <t>C-COMM-POLE</t>
  </si>
  <si>
    <t>C- COMM-UGND</t>
  </si>
  <si>
    <t>C-CTRL</t>
  </si>
  <si>
    <t>C-CTR L-BMRK</t>
  </si>
  <si>
    <t>C-CTRL-FLYS</t>
  </si>
  <si>
    <t>C-CTRL-GRID</t>
  </si>
  <si>
    <t>C-CTRL-HORZ</t>
  </si>
  <si>
    <t>C-CTRL-HVPT</t>
  </si>
  <si>
    <t>C-CTRL-PNPT</t>
  </si>
  <si>
    <t>C-CTRL-TRAV</t>
  </si>
  <si>
    <t>C-CTRL-VERT</t>
  </si>
  <si>
    <t>C-DFLD</t>
  </si>
  <si>
    <t>C-DFLD-OTLN</t>
  </si>
  <si>
    <t>C-DFLD-PROF</t>
  </si>
  <si>
    <t>C-DRIV</t>
  </si>
  <si>
    <t>C-DRIV-ASPH</t>
  </si>
  <si>
    <t>C-DRIV-CNTR</t>
  </si>
  <si>
    <t>C-DRIV-CONC</t>
  </si>
  <si>
    <t>C-DRIV-CURB</t>
  </si>
  <si>
    <t>C-DRIV-CURB-BACK</t>
  </si>
  <si>
    <t>C-DRIV-CURB-FACE</t>
  </si>
  <si>
    <t>C-DRIV-FLNE</t>
  </si>
  <si>
    <t>C-DRIV-FLNE-MRKG</t>
  </si>
  <si>
    <t>C-DRIV-FLNE-SIGN</t>
  </si>
  <si>
    <t>C-DRIV-GRVL</t>
  </si>
  <si>
    <t>C-DRIV-MRKG</t>
  </si>
  <si>
    <t>C-DRIV-SIGN</t>
  </si>
  <si>
    <t>C-DRI V-UPVD</t>
  </si>
  <si>
    <t>C-DRIV-WHIT</t>
  </si>
  <si>
    <t>C-DRIV-WHIT-TICK</t>
  </si>
  <si>
    <t>C-DRIV-YELO</t>
  </si>
  <si>
    <t>C-DRIV-YELO-TICK</t>
  </si>
  <si>
    <t>C-DTCH</t>
  </si>
  <si>
    <t>C-DTCH-BOTM</t>
  </si>
  <si>
    <t>C-DTCH-CNTR</t>
  </si>
  <si>
    <t>C-DTCH-EWAT</t>
  </si>
  <si>
    <t>C-DTCH-TOP~</t>
  </si>
  <si>
    <t>C-EROS</t>
  </si>
  <si>
    <t>C-EROS-CIPR</t>
  </si>
  <si>
    <t>C-EROS-CNTE</t>
  </si>
  <si>
    <t>C-EROS-DDIV</t>
  </si>
  <si>
    <t>C-EROS-DVDK</t>
  </si>
  <si>
    <t>C-EROS-INPR</t>
  </si>
  <si>
    <t>C-EROS-SILT</t>
  </si>
  <si>
    <t>C-EROS-SSLT</t>
  </si>
  <si>
    <t>C-ESMT</t>
  </si>
  <si>
    <t>C-ESMT-ACCS</t>
  </si>
  <si>
    <t>C-ESMT-CATV</t>
  </si>
  <si>
    <t>C-ESMT-CONS</t>
  </si>
  <si>
    <t>C-ESMT-CSTG</t>
  </si>
  <si>
    <t>C-ESMT-ELEC</t>
  </si>
  <si>
    <t>C-ESMT-FDPL</t>
  </si>
  <si>
    <t>C-ESMT-INEG</t>
  </si>
  <si>
    <t>C-ESMT-LSCP</t>
  </si>
  <si>
    <t>C-ESMT-NGAS</t>
  </si>
  <si>
    <t>C-ESMT-PHON</t>
  </si>
  <si>
    <t>C-ESMT-ROAD</t>
  </si>
  <si>
    <t>C-ESMT-ROAD-PERM</t>
  </si>
  <si>
    <t>C-ESMT-ROAD-TEMP</t>
  </si>
  <si>
    <t>C-ESMT-RWAY</t>
  </si>
  <si>
    <t>C-ESMT-SGHT</t>
  </si>
  <si>
    <t>C-ESMT-SSWR</t>
  </si>
  <si>
    <t>C-ESMT-STRM</t>
  </si>
  <si>
    <t>C-ESMT-SWMT</t>
  </si>
  <si>
    <t>C-ESMT-TRAL</t>
  </si>
  <si>
    <t>C-ESMT-UTIL</t>
  </si>
  <si>
    <t>C-ESMT-WATR</t>
  </si>
  <si>
    <t>C-FENC</t>
  </si>
  <si>
    <t>C-FENC-GRAL</t>
  </si>
  <si>
    <t>C-FENC-POST</t>
  </si>
  <si>
    <t>C-FENC-WOOD</t>
  </si>
  <si>
    <t>C-FIRE</t>
  </si>
  <si>
    <t>C-FIRE-HYDT</t>
  </si>
  <si>
    <t>C-FIRE-PIPE</t>
  </si>
  <si>
    <t>C-FIRE-UGND</t>
  </si>
  <si>
    <t>C-FLHA</t>
  </si>
  <si>
    <t>C-FLHA-025Y</t>
  </si>
  <si>
    <t>C-FLHA-050Y</t>
  </si>
  <si>
    <t>C-FLHA-100Y</t>
  </si>
  <si>
    <t>C-FLHA-200Y</t>
  </si>
  <si>
    <t>C-FUEL</t>
  </si>
  <si>
    <t>C-FUEL-EQPM</t>
  </si>
  <si>
    <t>C-FUEL-INST</t>
  </si>
  <si>
    <t>C-FUEL-MHOL</t>
  </si>
  <si>
    <t>C-FUEL-PIPE</t>
  </si>
  <si>
    <t>C-FUEL-TANK</t>
  </si>
  <si>
    <t>C-FUEL-UGND</t>
  </si>
  <si>
    <t>C-HYDR</t>
  </si>
  <si>
    <t>C-HYDR-BAFL</t>
  </si>
  <si>
    <t>C-HYDR-BASN</t>
  </si>
  <si>
    <t>C-HYDR-CNDT</t>
  </si>
  <si>
    <t>C-HYDR-COFF</t>
  </si>
  <si>
    <t>C-HYDR-DAM~</t>
  </si>
  <si>
    <t>C-HYDR-FISH</t>
  </si>
  <si>
    <t>C-HYDR-FLUM</t>
  </si>
  <si>
    <t>C-HYDR-INTK</t>
  </si>
  <si>
    <t>C-HYDR-NOVR</t>
  </si>
  <si>
    <t>C-HYDR-PENS</t>
  </si>
  <si>
    <t>C-LOCN</t>
  </si>
  <si>
    <t>C-NGAS</t>
  </si>
  <si>
    <t>C-NGAS-EQPM</t>
  </si>
  <si>
    <t>C-NGAS-INST</t>
  </si>
  <si>
    <t>C-NGAS-MHOL</t>
  </si>
  <si>
    <t>C-NGAS-PIPE</t>
  </si>
  <si>
    <t>C-NGAS-TANK</t>
  </si>
  <si>
    <t>C-NGAS-UGND</t>
  </si>
  <si>
    <t>C-PERC</t>
  </si>
  <si>
    <t>C-PERC-HOLE</t>
  </si>
  <si>
    <t>C-POND</t>
  </si>
  <si>
    <t>C-POND-EDGE</t>
  </si>
  <si>
    <t>C-POND-SWAY</t>
  </si>
  <si>
    <t>C-POND-TOPB</t>
  </si>
  <si>
    <t>C-POWR</t>
  </si>
  <si>
    <t>C-POWR-FENC</t>
  </si>
  <si>
    <t>C-POWR-INST</t>
  </si>
  <si>
    <t>C-POWR-MHOL</t>
  </si>
  <si>
    <t>C-POWR-OVHD</t>
  </si>
  <si>
    <t>C-POWR-POLE</t>
  </si>
  <si>
    <t>C-POWR-STRC</t>
  </si>
  <si>
    <t>C-POWR-UGND</t>
  </si>
  <si>
    <t>C-PRKG</t>
  </si>
  <si>
    <t>C-PRKG-ASPH</t>
  </si>
  <si>
    <t>C-PRKG-CARS</t>
  </si>
  <si>
    <t>C-PRKG-CONC</t>
  </si>
  <si>
    <t>C-PRKG-CURB</t>
  </si>
  <si>
    <t>C-PRKG-CURB-BACK</t>
  </si>
  <si>
    <t>C-PRKG-CURB-FACE</t>
  </si>
  <si>
    <t>C-PRKG-DRAN</t>
  </si>
  <si>
    <t>C-PRKG-FIXT</t>
  </si>
  <si>
    <t>C-PRKG-FLNE</t>
  </si>
  <si>
    <t>C-PRKG-FLNE-MRKG</t>
  </si>
  <si>
    <t>C-PRKG-FLNE-SIGN</t>
  </si>
  <si>
    <t>C-PRKG-GRVL</t>
  </si>
  <si>
    <t>C-PRKG-MRKG</t>
  </si>
  <si>
    <t>C-PRKG-SIGN</t>
  </si>
  <si>
    <t>C-PRKG-STRP</t>
  </si>
  <si>
    <t>C-PRKG-UPVD</t>
  </si>
  <si>
    <t>C-PRKG-WHIT</t>
  </si>
  <si>
    <t>C-PRKG-WHIT-TICK</t>
  </si>
  <si>
    <t>C-PRKG-YELO</t>
  </si>
  <si>
    <t>C-PRKG-YELO-TICK</t>
  </si>
  <si>
    <t>C-PROP</t>
  </si>
  <si>
    <t>C-PROP-LINE</t>
  </si>
  <si>
    <t>C-PROP-SBCK</t>
  </si>
  <si>
    <t>C-PVMT</t>
  </si>
  <si>
    <t>C-PVMT-ASPH</t>
  </si>
  <si>
    <t>C-PVMT-CONC</t>
  </si>
  <si>
    <t>C-PVMT-GRVL</t>
  </si>
  <si>
    <t>C-RAIL</t>
  </si>
  <si>
    <t>C-RAIL-CNTR</t>
  </si>
  <si>
    <t>C-RAIL-EQPM</t>
  </si>
  <si>
    <t>C-RAIL-TRAK</t>
  </si>
  <si>
    <t>C-RIVR</t>
  </si>
  <si>
    <t>C-RIVR-BOTM</t>
  </si>
  <si>
    <t>C-RIVR-CNTR</t>
  </si>
  <si>
    <t>C-RIVR-EDGE</t>
  </si>
  <si>
    <t>C-RIVR-TOPB</t>
  </si>
  <si>
    <t>C-ROAD</t>
  </si>
  <si>
    <t>C-ROAD-ASPH</t>
  </si>
  <si>
    <t>C-ROAD-CNTR</t>
  </si>
  <si>
    <t>C-ROAD-CONC</t>
  </si>
  <si>
    <t>C-ROAD-CURB</t>
  </si>
  <si>
    <t>C-ROAD-CURB-BACK</t>
  </si>
  <si>
    <t>C-ROAD-CURB-FACE</t>
  </si>
  <si>
    <t>C-ROAD-FLNE</t>
  </si>
  <si>
    <t>C-ROAD-FLNE-MRKG</t>
  </si>
  <si>
    <t>C-ROAD-FLNE-SIGN</t>
  </si>
  <si>
    <t>C-ROAD-GRVL</t>
  </si>
  <si>
    <t>C-ROAD-MRKG</t>
  </si>
  <si>
    <t>C-ROAD-PROF</t>
  </si>
  <si>
    <t>C-ROAD-SIGN</t>
  </si>
  <si>
    <t>C-ROAD-STAN</t>
  </si>
  <si>
    <t>C-ROAD-UPVD</t>
  </si>
  <si>
    <t>C-ROAD-WHIT</t>
  </si>
  <si>
    <t>C-ROAD-WHIT-TICK</t>
  </si>
  <si>
    <t>C-ROAD-YELO</t>
  </si>
  <si>
    <t>C-ROAD-YELO-TICK</t>
  </si>
  <si>
    <t>C-RRAP</t>
  </si>
  <si>
    <t>C-SGHT</t>
  </si>
  <si>
    <t>C-SGHT-PROF</t>
  </si>
  <si>
    <t>C-SOIL</t>
  </si>
  <si>
    <t>C-SSWR</t>
  </si>
  <si>
    <t>C-SSWR-DIAG</t>
  </si>
  <si>
    <t>C-SSWR-FORC</t>
  </si>
  <si>
    <t>C-SSWR-LATL</t>
  </si>
  <si>
    <t>C-SSWR-MHOL</t>
  </si>
  <si>
    <t>C-SSWR-PIPE</t>
  </si>
  <si>
    <t>C-SSWR-PIPE-RCON</t>
  </si>
  <si>
    <t>C-SSWR-PIPE-STEL</t>
  </si>
  <si>
    <t>C-SSWR-PROF</t>
  </si>
  <si>
    <t>C-SSWR-STAN</t>
  </si>
  <si>
    <t>C-SSWR-STRC</t>
  </si>
  <si>
    <t>C-SSWR-UGND</t>
  </si>
  <si>
    <t>C-STEM</t>
  </si>
  <si>
    <t>C-STEM-INST</t>
  </si>
  <si>
    <t>C-STEM-MHOL</t>
  </si>
  <si>
    <t>C-STEM-PIPE</t>
  </si>
  <si>
    <t>C-STEM-STRC</t>
  </si>
  <si>
    <t>C-STEM-UGND</t>
  </si>
  <si>
    <t>C-STRM</t>
  </si>
  <si>
    <t>C-STRM-CNTR</t>
  </si>
  <si>
    <t>C-STRM-DIAG</t>
  </si>
  <si>
    <t>C-STRM-HWAL</t>
  </si>
  <si>
    <t>C-STRM-MHOL</t>
  </si>
  <si>
    <t>C-STRM-PIPE</t>
  </si>
  <si>
    <t>C-STRM-PIPE-CMTL</t>
  </si>
  <si>
    <t>C-STRM-PIPE-RCON</t>
  </si>
  <si>
    <t>C-STRM-PROF</t>
  </si>
  <si>
    <t>C-STRM-STAN</t>
  </si>
  <si>
    <t>C-STRM-STRC</t>
  </si>
  <si>
    <t>C-STRM-UGND</t>
  </si>
  <si>
    <t>C-SWLK</t>
  </si>
  <si>
    <t>C-SWLK-ASPH</t>
  </si>
  <si>
    <t>C-SWLK-CONC</t>
  </si>
  <si>
    <t>C-TINN</t>
  </si>
  <si>
    <t>C-TINN-BNDY</t>
  </si>
  <si>
    <t>C-TINN-FALT</t>
  </si>
  <si>
    <t>C-TINN-VIEW</t>
  </si>
  <si>
    <t>C-TINN-VOID</t>
  </si>
  <si>
    <t>C-TOPO</t>
  </si>
  <si>
    <t>C-TOPO-DEPR</t>
  </si>
  <si>
    <t>C-TOPO-MAJR</t>
  </si>
  <si>
    <t>C-TOPO-MINR</t>
  </si>
  <si>
    <t>C-TOPO-SPOT</t>
  </si>
  <si>
    <t>C-TOPO-TPIT</t>
  </si>
  <si>
    <t>C-TRAL</t>
  </si>
  <si>
    <t>C-TRAL-ASPH</t>
  </si>
  <si>
    <t>C-TRAL-CONC</t>
  </si>
  <si>
    <t>C-TRAL-GRVL</t>
  </si>
  <si>
    <t>C-TRAL-MRKG</t>
  </si>
  <si>
    <t>C-TRAL-SIGN</t>
  </si>
  <si>
    <t>C-TRAL-UPVD</t>
  </si>
  <si>
    <t>C-WALL</t>
  </si>
  <si>
    <t>C-WALL-CTLJ</t>
  </si>
  <si>
    <t>C-WALL-NSBR</t>
  </si>
  <si>
    <t>C-WALL-RTWL</t>
  </si>
  <si>
    <t>C-WALL-SHEA</t>
  </si>
  <si>
    <t>C-WATR</t>
  </si>
  <si>
    <t>C-WATR-DIAG</t>
  </si>
  <si>
    <t>C-WATR-INST</t>
  </si>
  <si>
    <t>C-WATR-PIPE</t>
  </si>
  <si>
    <t>C-WATR-PROF</t>
  </si>
  <si>
    <t>C-WATR-STAN</t>
  </si>
  <si>
    <t>C-WATR-STRC</t>
  </si>
  <si>
    <t>C-WATR-UGND</t>
  </si>
  <si>
    <t>C-WATR-WELL</t>
  </si>
  <si>
    <t>C-WETL</t>
  </si>
  <si>
    <t>C-WWAY</t>
  </si>
  <si>
    <t>C-WWAY-DLPH</t>
  </si>
  <si>
    <t>C-WWAY-FEND</t>
  </si>
  <si>
    <t>C-WWAY-MOOR</t>
  </si>
  <si>
    <t>E-ALRM</t>
  </si>
  <si>
    <t>E-AREA</t>
  </si>
  <si>
    <t>E-AREA-OFST</t>
  </si>
  <si>
    <t>E-AREA-SHAD</t>
  </si>
  <si>
    <t>E-AUXL</t>
  </si>
  <si>
    <t>E-BELL</t>
  </si>
  <si>
    <t>E-CABL</t>
  </si>
  <si>
    <t>E-CABL-COAX</t>
  </si>
  <si>
    <t>E-CABL-FIBR</t>
  </si>
  <si>
    <t>E-CABL-MULT</t>
  </si>
  <si>
    <t>E-CABL-TRAY</t>
  </si>
  <si>
    <t>E-CATH</t>
  </si>
  <si>
    <t>E-CATH-ANOD</t>
  </si>
  <si>
    <t>E-CATH-CURR</t>
  </si>
  <si>
    <t>E-CATH-TEST</t>
  </si>
  <si>
    <t>E-CCTV</t>
  </si>
  <si>
    <t>E-CLOK</t>
  </si>
  <si>
    <t>E-CLOK-CIRC</t>
  </si>
  <si>
    <t>E-CLOK-CLNG</t>
  </si>
  <si>
    <t>E-CLOK-CNMB</t>
  </si>
  <si>
    <t>E-CLOK-EQPM</t>
  </si>
  <si>
    <t>E-CLOK-FLOR</t>
  </si>
  <si>
    <t>E-CLOK-WALL</t>
  </si>
  <si>
    <t>E-COMM</t>
  </si>
  <si>
    <t>E-COMM-CIRC</t>
  </si>
  <si>
    <t>E-COMM-CLNG</t>
  </si>
  <si>
    <t>E-COMM-CNMB</t>
  </si>
  <si>
    <t>E-COMM-EQPM</t>
  </si>
  <si>
    <t>E-COMM-WALL</t>
  </si>
  <si>
    <t>E-CONT</t>
  </si>
  <si>
    <t>E-CONT DEVC</t>
  </si>
  <si>
    <t>E-CONT-WIRE</t>
  </si>
  <si>
    <t>E-DATA</t>
  </si>
  <si>
    <t>E-DATA-CIRC</t>
  </si>
  <si>
    <t>E-DATA-CLNG</t>
  </si>
  <si>
    <t>E-DATA-CNMB</t>
  </si>
  <si>
    <t>E-DATA-EQPM</t>
  </si>
  <si>
    <t>E-DATA-FLOR</t>
  </si>
  <si>
    <t>E-DATA-WALL</t>
  </si>
  <si>
    <t>E-DIAG</t>
  </si>
  <si>
    <t>E-DIAG-BKRS</t>
  </si>
  <si>
    <t>E-DIAG-BUSS</t>
  </si>
  <si>
    <t>E-DIAG-ENCL</t>
  </si>
  <si>
    <t>E-DIAG-EQPM</t>
  </si>
  <si>
    <t>E-DIAG-FEED</t>
  </si>
  <si>
    <t>E-DIAG-FLOR</t>
  </si>
  <si>
    <t>E-DIAG-GRND</t>
  </si>
  <si>
    <t>E-DIAG-SWCH</t>
  </si>
  <si>
    <t>E-DIAG-XFMR</t>
  </si>
  <si>
    <t>E-DICT</t>
  </si>
  <si>
    <t>E-DICT-CIRC</t>
  </si>
  <si>
    <t>E-DICT-CLNG</t>
  </si>
  <si>
    <t>E-DICT-CNMB</t>
  </si>
  <si>
    <t>E-DICT-EQPM</t>
  </si>
  <si>
    <t>E-DICT-WALL</t>
  </si>
  <si>
    <t>E-FIRE</t>
  </si>
  <si>
    <t>E-FIRE-BARR</t>
  </si>
  <si>
    <t>E-FIRE-CIRC</t>
  </si>
  <si>
    <t>E-FIRE-CLNG</t>
  </si>
  <si>
    <t>E-FIRE-CNMB</t>
  </si>
  <si>
    <t>E-FIRE-EQPM</t>
  </si>
  <si>
    <t>E-FIRE-WALL</t>
  </si>
  <si>
    <t>E-GRND</t>
  </si>
  <si>
    <t>E-GRND-CIRC</t>
  </si>
  <si>
    <t>E-GRND-CLNG</t>
  </si>
  <si>
    <t>E-GRND-CNMB</t>
  </si>
  <si>
    <t>E-GRND-DIAG</t>
  </si>
  <si>
    <t>E-GRND-EQPM</t>
  </si>
  <si>
    <t>E-GRND-EQUI</t>
  </si>
  <si>
    <t>E-GRND-WALL</t>
  </si>
  <si>
    <t>E-INST</t>
  </si>
  <si>
    <t>E-INST-CIRC</t>
  </si>
  <si>
    <t>E-INST-CLNG</t>
  </si>
  <si>
    <t>E-INST-CNMB</t>
  </si>
  <si>
    <t>E-INST-EQPM</t>
  </si>
  <si>
    <t>E-INST-WALL</t>
  </si>
  <si>
    <t>E-INTC</t>
  </si>
  <si>
    <t>E-LITE</t>
  </si>
  <si>
    <t>E-LITE-CIRC</t>
  </si>
  <si>
    <t>E-LITE-CIRC-CRIT</t>
  </si>
  <si>
    <t>E-LITE-CIRC-EMER</t>
  </si>
  <si>
    <t>E-LITE-CLNG</t>
  </si>
  <si>
    <t>E-LITE-CLNG-CRIT</t>
  </si>
  <si>
    <t>E-LITE-CLNG-EMER</t>
  </si>
  <si>
    <t>E-LITE-CLNG-EXIT</t>
  </si>
  <si>
    <t>E-LITE-CNMB</t>
  </si>
  <si>
    <t>E-LITE-CNMB-CRIT</t>
  </si>
  <si>
    <t>E-LITE-CNMB-EMER</t>
  </si>
  <si>
    <t>E-LITE-EMER</t>
  </si>
  <si>
    <t>E-LITE-EQPM</t>
  </si>
  <si>
    <t>E-LITE-EQPM-CRIT</t>
  </si>
  <si>
    <t>E-LITE-EQPM-EMER</t>
  </si>
  <si>
    <t>E-LITE-EXIT</t>
  </si>
  <si>
    <t>E-LITE-EXTR</t>
  </si>
  <si>
    <t>E-LITE-FLOR</t>
  </si>
  <si>
    <t>E-LITE-JBOX</t>
  </si>
  <si>
    <t>E-LITE-OTLN</t>
  </si>
  <si>
    <t>E-LITE-ROOF</t>
  </si>
  <si>
    <t>E-LITE-SPCL</t>
  </si>
  <si>
    <t>E-LITE-SWCH</t>
  </si>
  <si>
    <t>E-LITE-SWCH-CRIT</t>
  </si>
  <si>
    <t>E-LITE-SWCH-EMER</t>
  </si>
  <si>
    <t>E-LITE-WALL</t>
  </si>
  <si>
    <t>E-LITE-WALL-CRIT</t>
  </si>
  <si>
    <t>E-LITE-WALL-EMER</t>
  </si>
  <si>
    <t>E-LITE-WALL-EXIT</t>
  </si>
  <si>
    <t>E-LTNG</t>
  </si>
  <si>
    <t>E-LTNG-CIRC</t>
  </si>
  <si>
    <t>E-LTNG-CLNG</t>
  </si>
  <si>
    <t>E-LTNG-CNMB</t>
  </si>
  <si>
    <t>E-LTNG-EQPM</t>
  </si>
  <si>
    <t>E-LTNG-WALL</t>
  </si>
  <si>
    <t>E-MNTG</t>
  </si>
  <si>
    <t>E-NURS</t>
  </si>
  <si>
    <t>E-NURS-CIRC</t>
  </si>
  <si>
    <t>E-NURS-CLNG</t>
  </si>
  <si>
    <t>E-NURS-CNMB</t>
  </si>
  <si>
    <t>E-NURS-EQPM</t>
  </si>
  <si>
    <t>E-NURS-FLOR</t>
  </si>
  <si>
    <t>E-NURS-WALL</t>
  </si>
  <si>
    <t>E-OBST</t>
  </si>
  <si>
    <t>E-PGNG</t>
  </si>
  <si>
    <t>E-POWR</t>
  </si>
  <si>
    <t>E-POWR-BUSW</t>
  </si>
  <si>
    <t>E-POWR-CABL</t>
  </si>
  <si>
    <t>E-POWR-CBOX</t>
  </si>
  <si>
    <t>E-POWR-CBOX-FTPT</t>
  </si>
  <si>
    <t>E-POWR-CIRC</t>
  </si>
  <si>
    <t>E-POWR-CIRC-CRIT</t>
  </si>
  <si>
    <t>E-POWR-CLNG</t>
  </si>
  <si>
    <t>E-POWR-CLNG-CRIT</t>
  </si>
  <si>
    <t>E-POWR-CNDT</t>
  </si>
  <si>
    <t>E-POWR-CNMB</t>
  </si>
  <si>
    <t>E-POWR-CNMB-CRIT</t>
  </si>
  <si>
    <t>E-POWR-DEVC</t>
  </si>
  <si>
    <t>E-POWR-DSCO</t>
  </si>
  <si>
    <t>E-POWR-DSCO-ACFU</t>
  </si>
  <si>
    <t>E-POWR-DSCO-ACNF</t>
  </si>
  <si>
    <t>E-POWR-DSCO-DCFU</t>
  </si>
  <si>
    <t>E-POWR-DSCO-DCNF</t>
  </si>
  <si>
    <t>E-POWR-EQPM</t>
  </si>
  <si>
    <t>E-POWR-EQPM-CRIT</t>
  </si>
  <si>
    <t>E-POWR-EXTR</t>
  </si>
  <si>
    <t>E-POWR-FEED</t>
  </si>
  <si>
    <t>E-POWR-FLOR</t>
  </si>
  <si>
    <t>E-POWR-FLOR-CRIT</t>
  </si>
  <si>
    <t>E-POWR-JBOX</t>
  </si>
  <si>
    <t>E-POWR-PANL</t>
  </si>
  <si>
    <t>E-POWR-POCC</t>
  </si>
  <si>
    <t>E-POWR-POI~</t>
  </si>
  <si>
    <t>E-POWR-ROOF</t>
  </si>
  <si>
    <t>E-POWR-SWBD</t>
  </si>
  <si>
    <t>E-POWR-UCPT</t>
  </si>
  <si>
    <t>E-POWR-URAC</t>
  </si>
  <si>
    <t>E-POWR-WALL</t>
  </si>
  <si>
    <t>E-POWR-WALL-CRIT</t>
  </si>
  <si>
    <t>E-POWR-XFMR-PADM</t>
  </si>
  <si>
    <t>E-POWR-XFMR-POLM</t>
  </si>
  <si>
    <t>E-PVMD</t>
  </si>
  <si>
    <t>E-SITE</t>
  </si>
  <si>
    <t>E-SITE-OVHD</t>
  </si>
  <si>
    <t>E-SITE-POLE</t>
  </si>
  <si>
    <t>E-SITE-UGND</t>
  </si>
  <si>
    <t>E-SOUN</t>
  </si>
  <si>
    <t>S-ALGN</t>
  </si>
  <si>
    <t>S-BEAM</t>
  </si>
  <si>
    <t>S-BEAM-ALUM</t>
  </si>
  <si>
    <t>S-BEAM-CONC</t>
  </si>
  <si>
    <t>S-BEAM-STEL</t>
  </si>
  <si>
    <t>S-BEAM-WOOD</t>
  </si>
  <si>
    <t>S-BRCG</t>
  </si>
  <si>
    <t>S-BRCG-ALUM</t>
  </si>
  <si>
    <t>S-BRCG-ALUM-HORZ</t>
  </si>
  <si>
    <t>S-BRCG-ALUM-VERT</t>
  </si>
  <si>
    <t xml:space="preserve"> S-BRCG-METL</t>
  </si>
  <si>
    <t>S-BRCG-STEL</t>
  </si>
  <si>
    <t>S-BRCG-STEL-HORZ</t>
  </si>
  <si>
    <t>S-BRCG-STEL-VERT</t>
  </si>
  <si>
    <t>S-BRCG-WOOD</t>
  </si>
  <si>
    <t>S-BRCG-WOOD-HORZ</t>
  </si>
  <si>
    <t>S-BRCG-WOOD-VERT</t>
  </si>
  <si>
    <t>S-COLS</t>
  </si>
  <si>
    <t>S-COLS-ABLT</t>
  </si>
  <si>
    <t>S-COLS-ALUM</t>
  </si>
  <si>
    <t>S-COLS-CONC</t>
  </si>
  <si>
    <t>S-COLS-STEL</t>
  </si>
  <si>
    <t>S-COLS-WOOD</t>
  </si>
  <si>
    <t>S-DECK</t>
  </si>
  <si>
    <t>S-DECK-FLOR</t>
  </si>
  <si>
    <t>S-DECK-FLOR-OPNG</t>
  </si>
  <si>
    <t>S-DECK-ROOF</t>
  </si>
  <si>
    <t>S-DECK-ROOF-OPNG</t>
  </si>
  <si>
    <t>S-DETL</t>
  </si>
  <si>
    <t>S-DETL-HSSS</t>
  </si>
  <si>
    <t>S-DETL-PLYW</t>
  </si>
  <si>
    <t>S-DETL-W2XS</t>
  </si>
  <si>
    <t>S-FNDN</t>
  </si>
  <si>
    <t>S-FNDN-FTNG</t>
  </si>
  <si>
    <t>S-FNDN-GRBM</t>
  </si>
  <si>
    <t>S-FNDN-PCAP</t>
  </si>
  <si>
    <t>S-FNDN-PIER</t>
  </si>
  <si>
    <t>S-FNDN-PILE</t>
  </si>
  <si>
    <t>S-FNDN-RBAR</t>
  </si>
  <si>
    <t>S-FNDN-RBAR-BOT1</t>
  </si>
  <si>
    <t>S-FNDN-RBAR-BOT2</t>
  </si>
  <si>
    <t>S-FNDN-RBAR-TOP1</t>
  </si>
  <si>
    <t>S-FNDN-RBAR-TOP2</t>
  </si>
  <si>
    <t>S-FRAM</t>
  </si>
  <si>
    <t>S-FSTN</t>
  </si>
  <si>
    <t>S-GATE</t>
  </si>
  <si>
    <t>S-GRID</t>
  </si>
  <si>
    <t>S-GRID-EXTR</t>
  </si>
  <si>
    <t>S-GRID-INTR</t>
  </si>
  <si>
    <t>S-GRLN</t>
  </si>
  <si>
    <t>S-GRLN-SURF</t>
  </si>
  <si>
    <t>S-GRTG</t>
  </si>
  <si>
    <t>S-GRTG-OVHD</t>
  </si>
  <si>
    <t>S-HYDR</t>
  </si>
  <si>
    <t>S-JNTS</t>
  </si>
  <si>
    <t>S-JNTS-CNTJ</t>
  </si>
  <si>
    <t>S-JNTS-CTLJ</t>
  </si>
  <si>
    <t>S-JNTS-EXPJ</t>
  </si>
  <si>
    <t>S-JOIS</t>
  </si>
  <si>
    <t>S-JOIS-BRGX</t>
  </si>
  <si>
    <t>S-LNTL</t>
  </si>
  <si>
    <t>S-PADS</t>
  </si>
  <si>
    <t>S-PADS-EQPM</t>
  </si>
  <si>
    <t>S-PLAT</t>
  </si>
  <si>
    <t>S-PLAT-FRMG</t>
  </si>
  <si>
    <t>S-PLAT-GRTG</t>
  </si>
  <si>
    <t>S-SIGN</t>
  </si>
  <si>
    <t>S-SIGN-BOUY</t>
  </si>
  <si>
    <t>S-SIGN-FRMG</t>
  </si>
  <si>
    <t>S-SIGN-GAGE</t>
  </si>
  <si>
    <t>S-SIGN-TEXT</t>
  </si>
  <si>
    <t>S-SIGN-XTRU</t>
  </si>
  <si>
    <t>S-SLAB</t>
  </si>
  <si>
    <t>S-SLAB-CONC</t>
  </si>
  <si>
    <t>S-SLAB-EDGE</t>
  </si>
  <si>
    <t>S-SLAB-OPNG</t>
  </si>
  <si>
    <t>S-SLAB-OPNX</t>
  </si>
  <si>
    <t>S-SLAB-STEL</t>
  </si>
  <si>
    <t>S-SLAB-WOOD</t>
  </si>
  <si>
    <t>S-STIF</t>
  </si>
  <si>
    <t>S-STIF-LONG</t>
  </si>
  <si>
    <t>S-STIF-TRAV</t>
  </si>
  <si>
    <t>S-STRS</t>
  </si>
  <si>
    <t>S-STRS-LADD</t>
  </si>
  <si>
    <t>S-TRUS</t>
  </si>
  <si>
    <t>S-WALL</t>
  </si>
  <si>
    <t>S-WALL-ABOV</t>
  </si>
  <si>
    <t>S-WALL-CMUW</t>
  </si>
  <si>
    <t>S-WALL-CONC</t>
  </si>
  <si>
    <t>S-WALL-MSNW</t>
  </si>
  <si>
    <t>S-WALL-PCST</t>
  </si>
  <si>
    <t>S-WALL-SHEA</t>
  </si>
  <si>
    <t>S-WALL-STEL</t>
  </si>
  <si>
    <t>S-WALL-VENR</t>
  </si>
  <si>
    <t>S-WALL-WOOD</t>
  </si>
  <si>
    <t>V-BLDG</t>
  </si>
  <si>
    <t>V-BLDG-DECK</t>
  </si>
  <si>
    <t>V-BLDG-OTLN</t>
  </si>
  <si>
    <t>V-BLDG-OVHD</t>
  </si>
  <si>
    <t>V-BLDG-PRCH</t>
  </si>
  <si>
    <t>V-BNDY</t>
  </si>
  <si>
    <t>V-BNDY-BORO</t>
  </si>
  <si>
    <t>V-BNDY-CITY</t>
  </si>
  <si>
    <t>V-BNDY-CNTY</t>
  </si>
  <si>
    <t>V-BNDY-CORP</t>
  </si>
  <si>
    <t>V-BNDY-NATL</t>
  </si>
  <si>
    <t>V-BNDY-PROV</t>
  </si>
  <si>
    <t>V-BNDY-STAT</t>
  </si>
  <si>
    <t>V-BNDY-TSHP</t>
  </si>
  <si>
    <t>V-BNDY-ZONE</t>
  </si>
  <si>
    <t>V-BORE</t>
  </si>
  <si>
    <t>V-BRDG</t>
  </si>
  <si>
    <t>V-BRDG-BENT</t>
  </si>
  <si>
    <t>V-BRDG-CNTR</t>
  </si>
  <si>
    <t>V-BRDG-CTLJ</t>
  </si>
  <si>
    <t>V-BRDG-DECK</t>
  </si>
  <si>
    <t>V-BRDG-GRAL</t>
  </si>
  <si>
    <t>V-BRKL</t>
  </si>
  <si>
    <t>V-BRKL-BOTB</t>
  </si>
  <si>
    <t>V-BRKL-FLOW</t>
  </si>
  <si>
    <t>V-BRKL-TOPB</t>
  </si>
  <si>
    <t>V-BRLN</t>
  </si>
  <si>
    <t>V-BZNA</t>
  </si>
  <si>
    <t>V-CHAN</t>
  </si>
  <si>
    <t>V-CHAN-BWTR</t>
  </si>
  <si>
    <t>V-CHAN-CNTR</t>
  </si>
  <si>
    <t>V-CHAN-DACL</t>
  </si>
  <si>
    <t>V-CHAN-DOCK</t>
  </si>
  <si>
    <t>V-CHAN-NAID</t>
  </si>
  <si>
    <t>V-COMM</t>
  </si>
  <si>
    <t>V-COMM-MHOL</t>
  </si>
  <si>
    <t>V-COMM-OVHD</t>
  </si>
  <si>
    <t>V-COMM-POLE</t>
  </si>
  <si>
    <t>V-COMM-UGND</t>
  </si>
  <si>
    <t>V-CTRL</t>
  </si>
  <si>
    <t>V-CTRL-BMRK</t>
  </si>
  <si>
    <t>V-CTRL-FLYS</t>
  </si>
  <si>
    <t>V-CTRL-GRID</t>
  </si>
  <si>
    <t>V-CTRL-HORZ</t>
  </si>
  <si>
    <t>V-CTRL-HVPT</t>
  </si>
  <si>
    <t>V-CTRL-PNPT</t>
  </si>
  <si>
    <t>V-CTRL-TRAV</t>
  </si>
  <si>
    <t>V-CTRL-VERT</t>
  </si>
  <si>
    <t>V-DRIV</t>
  </si>
  <si>
    <t>V-DRIV-ASPH</t>
  </si>
  <si>
    <t>V-DRIV-CNTR</t>
  </si>
  <si>
    <t>V-DRIV-CONC</t>
  </si>
  <si>
    <t>V-DRIV-CURB</t>
  </si>
  <si>
    <t>V-DRIV-FLNE</t>
  </si>
  <si>
    <t>V-DRIV-GRVL</t>
  </si>
  <si>
    <t>V-DRIV-MRKG</t>
  </si>
  <si>
    <t>V-DRIV-UPVD</t>
  </si>
  <si>
    <t>V-DTCH</t>
  </si>
  <si>
    <t>V-DTCH-BOTM</t>
  </si>
  <si>
    <t>V-DTCH-CNTR</t>
  </si>
  <si>
    <t>V-DTCH-EWAT</t>
  </si>
  <si>
    <t>V-DTCH-TOP~</t>
  </si>
  <si>
    <t>V-ESMT</t>
  </si>
  <si>
    <t>V-ESMT-ACCS</t>
  </si>
  <si>
    <t>V-ESMT-CATV</t>
  </si>
  <si>
    <t>V-ESMT-CONS</t>
  </si>
  <si>
    <t>V-ESMT-CSTG</t>
  </si>
  <si>
    <t>V-ESMT-ELEC</t>
  </si>
  <si>
    <t>V-ESMT-FDPL</t>
  </si>
  <si>
    <t>V-ESMT-INEG</t>
  </si>
  <si>
    <t>V-ESMT-LSCP</t>
  </si>
  <si>
    <t>V-ESMT-NGAS</t>
  </si>
  <si>
    <t>V-ESMT-PHON</t>
  </si>
  <si>
    <t>V-ESMT-ROAD</t>
  </si>
  <si>
    <t>V-ESMT-ROAD-PERM</t>
  </si>
  <si>
    <t>V-ESMT-ROAD-TEMP</t>
  </si>
  <si>
    <t>V-ESMT-RWAY</t>
  </si>
  <si>
    <t>V-ESMT-SGHT</t>
  </si>
  <si>
    <t>V-ESMT-SSWR</t>
  </si>
  <si>
    <t>V-ESMT-STRM</t>
  </si>
  <si>
    <t>V-ESMT-SWMT</t>
  </si>
  <si>
    <t>V-ESMT-TRAL</t>
  </si>
  <si>
    <t>V-ESMT-UTIL</t>
  </si>
  <si>
    <t>V-ESMT-WATR</t>
  </si>
  <si>
    <t>V-FLHA</t>
  </si>
  <si>
    <t>V-FUEL</t>
  </si>
  <si>
    <t>V-FUEL-MHOL</t>
  </si>
  <si>
    <t>V-FUEL-PIPE</t>
  </si>
  <si>
    <t>V-FUEL-TANK</t>
  </si>
  <si>
    <t>V-FUEL-UGND</t>
  </si>
  <si>
    <t>V-NGAS</t>
  </si>
  <si>
    <t>V-NGAS-MHOL</t>
  </si>
  <si>
    <t>V-NGAS-PIPE</t>
  </si>
  <si>
    <t>V-NGAS-TANK</t>
  </si>
  <si>
    <t>V-NGAS-UGND</t>
  </si>
  <si>
    <t>V-NODE</t>
  </si>
  <si>
    <t>V-NODE-ABUT</t>
  </si>
  <si>
    <t>V-NODE-ACTL</t>
  </si>
  <si>
    <t>V-NODE-BLDG</t>
  </si>
  <si>
    <t>V-NODE-BLIN</t>
  </si>
  <si>
    <t>V-NODE-BRDG</t>
  </si>
  <si>
    <t>V-NODE-BRKL</t>
  </si>
  <si>
    <t>V-NODE-BROW</t>
  </si>
  <si>
    <t>V-NODE-BRSH</t>
  </si>
  <si>
    <t>V-NODE-CABL</t>
  </si>
  <si>
    <t>V-NODE-CURB</t>
  </si>
  <si>
    <t>V-NODE-DASP</t>
  </si>
  <si>
    <t>V-NODE-DECK</t>
  </si>
  <si>
    <t>V-NODE-DRIV</t>
  </si>
  <si>
    <t>V-NODE-EASP</t>
  </si>
  <si>
    <t>V-NODE-EXPJ</t>
  </si>
  <si>
    <t>V-NODE-GRND</t>
  </si>
  <si>
    <t>V-NODE-MHOL</t>
  </si>
  <si>
    <t>V-NODE-MRKG</t>
  </si>
  <si>
    <t>V-NODE-NGAS</t>
  </si>
  <si>
    <t>V-NODE-PASP</t>
  </si>
  <si>
    <t>V-NODE-PIPE</t>
  </si>
  <si>
    <t>V-NODE-POLE</t>
  </si>
  <si>
    <t>V-NODE-PVMT</t>
  </si>
  <si>
    <t>V-NODE-SIGN</t>
  </si>
  <si>
    <t>V-NODE-SSWR</t>
  </si>
  <si>
    <t>V-NODE-STRM</t>
  </si>
  <si>
    <t>V-NODE-SWLK</t>
  </si>
  <si>
    <t>V-NODE-TREE</t>
  </si>
  <si>
    <t>V-NODE-TROW</t>
  </si>
  <si>
    <t>V-NODE-WATR</t>
  </si>
  <si>
    <t>V-POWR</t>
  </si>
  <si>
    <t>V-POWR-FENC</t>
  </si>
  <si>
    <t>V-POWR-INST</t>
  </si>
  <si>
    <t>V-POWR-MHOL</t>
  </si>
  <si>
    <t>V-POWR-OVHD</t>
  </si>
  <si>
    <t>V-POWR-POLE</t>
  </si>
  <si>
    <t>V-POWR-STRC</t>
  </si>
  <si>
    <t>V-POWR-UGND</t>
  </si>
  <si>
    <t>V-PRKG</t>
  </si>
  <si>
    <t>V-PRKG-ASPH</t>
  </si>
  <si>
    <t>V-PRKG-CNTR</t>
  </si>
  <si>
    <t>V-PRKG-CONC</t>
  </si>
  <si>
    <t>V-PRKG-CURB</t>
  </si>
  <si>
    <t>V-PRKG-DRAN</t>
  </si>
  <si>
    <t>V-PRKG-FLNE</t>
  </si>
  <si>
    <t>V-PRKG-GRVL</t>
  </si>
  <si>
    <t>V-PRKG-MRKG</t>
  </si>
  <si>
    <t>V-PRKG-STRP</t>
  </si>
  <si>
    <t>V-PRKG-UPVD</t>
  </si>
  <si>
    <t>V-PROP</t>
  </si>
  <si>
    <t>V-PROP-LINE</t>
  </si>
  <si>
    <t>V-PROP-QTRS</t>
  </si>
  <si>
    <t>V-PROP-RSRV</t>
  </si>
  <si>
    <t>V-PROP-SBCK</t>
  </si>
  <si>
    <t>V-PROP-SECT</t>
  </si>
  <si>
    <t>V-PROP-SUBD</t>
  </si>
  <si>
    <t>V-PROP-SXTS</t>
  </si>
  <si>
    <t>V-PVMT</t>
  </si>
  <si>
    <t>V-PVMT-ASPH</t>
  </si>
  <si>
    <t>V-PVMT-CONC</t>
  </si>
  <si>
    <t>V-PVMT-GRVL</t>
  </si>
  <si>
    <t>V-RAIL</t>
  </si>
  <si>
    <t>V-RAIL-CNTR</t>
  </si>
  <si>
    <t>V-RAIL-EQPM</t>
  </si>
  <si>
    <t>V-RAIL-TRAK</t>
  </si>
  <si>
    <t>V-RIVR</t>
  </si>
  <si>
    <t>V-RIVR-BOTM</t>
  </si>
  <si>
    <t>V-RIVR-CNTR</t>
  </si>
  <si>
    <t>V-RIVR-EDGE</t>
  </si>
  <si>
    <t>V-RIVR-TOPB</t>
  </si>
  <si>
    <t>V-ROAD</t>
  </si>
  <si>
    <t>V-ROAD-ASPH</t>
  </si>
  <si>
    <t>V-ROAD-CNTR</t>
  </si>
  <si>
    <t>V-ROAD-CONC</t>
  </si>
  <si>
    <t>V-ROAD-CURB</t>
  </si>
  <si>
    <t>V-ROAD-FLNE</t>
  </si>
  <si>
    <t>V-ROAD-GRVL</t>
  </si>
  <si>
    <t>V-ROAD-MRKG</t>
  </si>
  <si>
    <t>V-ROAD-UPVD</t>
  </si>
  <si>
    <t>V-RRAP</t>
  </si>
  <si>
    <t>V-RWAY</t>
  </si>
  <si>
    <t>V-RWAY-CNTR</t>
  </si>
  <si>
    <t>V-RWAY-CTLA</t>
  </si>
  <si>
    <t>V-RWAY-LINE</t>
  </si>
  <si>
    <t>V-RWAY-LMTA</t>
  </si>
  <si>
    <t>V-RWAY-MRKR</t>
  </si>
  <si>
    <t>V-RWAY-STAN</t>
  </si>
  <si>
    <t>V-SITE</t>
  </si>
  <si>
    <t>V-SITE-EWAT</t>
  </si>
  <si>
    <t>V-SITE-FENC</t>
  </si>
  <si>
    <t>V-SITE-ROCK</t>
  </si>
  <si>
    <t>V-SITE-RTWL</t>
  </si>
  <si>
    <t>V-SITE-SIGN</t>
  </si>
  <si>
    <t>V-SITE-VEGE</t>
  </si>
  <si>
    <t>V-SSWR</t>
  </si>
  <si>
    <t>V-SSWR-MHOL</t>
  </si>
  <si>
    <t>V-SSWR-PIPE</t>
  </si>
  <si>
    <t>V-SSWR-STRC</t>
  </si>
  <si>
    <t>V-SSWR-UGND</t>
  </si>
  <si>
    <t>V-STEM</t>
  </si>
  <si>
    <t>V-STEM-INST</t>
  </si>
  <si>
    <t>V-STEM-MHOL</t>
  </si>
  <si>
    <t>V-STEM-PIPE</t>
  </si>
  <si>
    <t>V-STEM-STRC</t>
  </si>
  <si>
    <t>V-STEM-UGND</t>
  </si>
  <si>
    <t>V-STRM</t>
  </si>
  <si>
    <t>V-STRM-DTCH</t>
  </si>
  <si>
    <t>V-STRM-MHOL</t>
  </si>
  <si>
    <t>V-STRM-PIPE</t>
  </si>
  <si>
    <t>V-STRM-POND</t>
  </si>
  <si>
    <t>V-STRM-STRC</t>
  </si>
  <si>
    <t>V-STRM-UGND</t>
  </si>
  <si>
    <t>V-SURV</t>
  </si>
  <si>
    <t>V-SURV-DATA</t>
  </si>
  <si>
    <t>V-SWLK</t>
  </si>
  <si>
    <t>V-SWLK-ASPH</t>
  </si>
  <si>
    <t>V-SWLK-CONC</t>
  </si>
  <si>
    <t>V-TOPO</t>
  </si>
  <si>
    <t>V-TOPO-EWAT</t>
  </si>
  <si>
    <t>V-TOPO-GRID</t>
  </si>
  <si>
    <t>V-TOPO-MAJR</t>
  </si>
  <si>
    <t>V-TOPO-MINR</t>
  </si>
  <si>
    <t>V-TOPO-SOUN</t>
  </si>
  <si>
    <t>V-TOPO-SPOT</t>
  </si>
  <si>
    <t>V-UNID</t>
  </si>
  <si>
    <t>V-UNID-CABL</t>
  </si>
  <si>
    <t>V-UNID-PIPE</t>
  </si>
  <si>
    <t>V-UNID-TANK</t>
  </si>
  <si>
    <t>V-UNID-UTIL</t>
  </si>
  <si>
    <t>V-UNID-UTIL-OVHD</t>
  </si>
  <si>
    <t>V-UNID-UTIL-UGND</t>
  </si>
  <si>
    <t>V-WATR-INST</t>
  </si>
  <si>
    <t>V-WATR-MHOL</t>
  </si>
  <si>
    <t>V-WATR-PIPE</t>
  </si>
  <si>
    <t>V-WATR-STRC</t>
  </si>
  <si>
    <t>V-WATR-UGND</t>
  </si>
  <si>
    <t>Layer name ref</t>
  </si>
  <si>
    <t>CAD Color</t>
  </si>
  <si>
    <t>CAD Linetype</t>
  </si>
  <si>
    <t>CAD Lineweight</t>
  </si>
  <si>
    <t>CAD Transparency</t>
  </si>
  <si>
    <t>(Columnas con cabecera en color verde corresponde a adaptaciones y definiciones establecidas en el curso DAPC)</t>
  </si>
  <si>
    <t>DASHED</t>
  </si>
  <si>
    <t>Continuous</t>
  </si>
  <si>
    <t>white</t>
  </si>
  <si>
    <t>Layer - name</t>
  </si>
  <si>
    <t>cyan</t>
  </si>
  <si>
    <t>red</t>
  </si>
  <si>
    <t>yellow</t>
  </si>
  <si>
    <t>green</t>
  </si>
  <si>
    <t>Magenta</t>
  </si>
  <si>
    <t>HIDDEN2</t>
  </si>
  <si>
    <t>V-WATR</t>
  </si>
  <si>
    <t>Pass: 1234</t>
  </si>
  <si>
    <t>Tejado o cubierta</t>
  </si>
  <si>
    <t>Área (lote, predio)</t>
  </si>
  <si>
    <t>v.20250821</t>
  </si>
  <si>
    <t>Default</t>
  </si>
  <si>
    <t>CAD Description</t>
  </si>
  <si>
    <t>Comandos CAD</t>
  </si>
  <si>
    <t>Propiedades CAD</t>
  </si>
  <si>
    <t>Layer properties ISO 13567</t>
  </si>
  <si>
    <t>Asignar color</t>
  </si>
  <si>
    <t>Asignar tipo de línea</t>
  </si>
  <si>
    <t>ver notas</t>
  </si>
  <si>
    <t>Asignar grosor de línea</t>
  </si>
  <si>
    <t>Area (land boundary)</t>
  </si>
  <si>
    <t>Crear nombres de capas</t>
  </si>
  <si>
    <t>Asignar transparencia</t>
  </si>
  <si>
    <t>Asignar descripción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</si>
</sst>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sz val="10"/>
      <color theme="1"/>
      <name val="Segoe UI Light"/>
      <family val="2"/>
    </font>
    <font>
      <u/>
      <sz val="11"/>
      <color theme="10"/>
      <name val="Aptos Narrow"/>
      <family val="2"/>
      <scheme val="minor"/>
    </font>
    <font>
      <sz val="11"/>
      <color theme="10"/>
      <name val="Segoe UI Light"/>
      <family val="2"/>
    </font>
    <font>
      <sz val="9"/>
      <color indexed="81"/>
      <name val="Segoe UI Light"/>
      <family val="2"/>
    </font>
    <font>
      <sz val="9"/>
      <color theme="1"/>
      <name val="Segoe UI Light"/>
      <family val="2"/>
    </font>
    <font>
      <sz val="8"/>
      <color theme="1"/>
      <name val="Segoe UI Light"/>
      <family val="2"/>
    </font>
    <font>
      <sz val="9"/>
      <color indexed="81"/>
      <name val="Tahoma"/>
      <family val="2"/>
    </font>
    <font>
      <sz val="11"/>
      <color theme="0" tint="-0.249977111117893"/>
      <name val="Segoe UI Light"/>
      <family val="2"/>
    </font>
    <font>
      <i/>
      <sz val="11"/>
      <color theme="1"/>
      <name val="Segoe UI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5" fillId="0" borderId="0" xfId="1" applyFont="1"/>
    <xf numFmtId="49" fontId="1" fillId="0" borderId="0" xfId="0" applyNumberFormat="1" applyFont="1"/>
    <xf numFmtId="0" fontId="2" fillId="2" borderId="0" xfId="0" applyFont="1" applyFill="1"/>
    <xf numFmtId="0" fontId="1" fillId="0" borderId="1" xfId="0" applyFont="1" applyBorder="1" applyAlignment="1">
      <alignment horizontal="center" vertical="top"/>
    </xf>
    <xf numFmtId="0" fontId="8" fillId="0" borderId="0" xfId="0" applyFont="1"/>
    <xf numFmtId="0" fontId="8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horizontal="left" vertical="top"/>
    </xf>
    <xf numFmtId="0" fontId="7" fillId="0" borderId="0" xfId="0" applyFont="1" applyAlignment="1">
      <alignment vertical="top"/>
    </xf>
    <xf numFmtId="0" fontId="1" fillId="3" borderId="0" xfId="0" applyFont="1" applyFill="1" applyAlignment="1">
      <alignment horizontal="left" vertical="top"/>
    </xf>
    <xf numFmtId="0" fontId="1" fillId="3" borderId="0" xfId="0" applyFont="1" applyFill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 applyAlignment="1">
      <alignment vertical="top"/>
    </xf>
    <xf numFmtId="0" fontId="11" fillId="0" borderId="0" xfId="0" applyFont="1" applyAlignment="1">
      <alignment vertical="top"/>
    </xf>
    <xf numFmtId="0" fontId="10" fillId="0" borderId="0" xfId="0" applyFont="1" applyAlignment="1">
      <alignment horizontal="left" vertical="top"/>
    </xf>
    <xf numFmtId="49" fontId="1" fillId="0" borderId="0" xfId="0" applyNumberFormat="1" applyFont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nibs.org/" TargetMode="External"/><Relationship Id="rId1" Type="http://schemas.openxmlformats.org/officeDocument/2006/relationships/hyperlink" Target="https://facilities.duke.edu/sites/default/files/AIA%20CAD%20Layer%20Guideline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2CA5A-51EA-479E-80EC-557721136700}">
  <dimension ref="A1:C24"/>
  <sheetViews>
    <sheetView showGridLines="0" tabSelected="1" zoomScale="130" zoomScaleNormal="130" workbookViewId="0">
      <pane ySplit="3" topLeftCell="A4" activePane="bottomLeft" state="frozen"/>
      <selection pane="bottomLeft" activeCell="A4" sqref="A4"/>
    </sheetView>
  </sheetViews>
  <sheetFormatPr defaultColWidth="9.1328125" defaultRowHeight="16.5" x14ac:dyDescent="0.6"/>
  <cols>
    <col min="1" max="1" width="10.86328125" style="1" customWidth="1"/>
    <col min="2" max="2" width="23.6640625" style="1" bestFit="1" customWidth="1"/>
    <col min="3" max="3" width="23.86328125" style="1" bestFit="1" customWidth="1"/>
    <col min="4" max="16384" width="9.1328125" style="1"/>
  </cols>
  <sheetData>
    <row r="1" spans="1:3" x14ac:dyDescent="0.6">
      <c r="C1" s="9" t="s">
        <v>3810</v>
      </c>
    </row>
    <row r="2" spans="1:3" x14ac:dyDescent="0.6">
      <c r="A2" s="3" t="s">
        <v>698</v>
      </c>
    </row>
    <row r="3" spans="1:3" x14ac:dyDescent="0.6">
      <c r="A3" s="2" t="s">
        <v>2908</v>
      </c>
      <c r="B3" s="2" t="s">
        <v>2784</v>
      </c>
      <c r="C3" s="2" t="s">
        <v>2783</v>
      </c>
    </row>
    <row r="4" spans="1:3" x14ac:dyDescent="0.6">
      <c r="A4" s="1" t="s">
        <v>0</v>
      </c>
      <c r="B4" s="1" t="s">
        <v>1</v>
      </c>
      <c r="C4" s="1" t="s">
        <v>2</v>
      </c>
    </row>
    <row r="5" spans="1:3" x14ac:dyDescent="0.6">
      <c r="A5" s="1" t="s">
        <v>3</v>
      </c>
      <c r="B5" s="1" t="s">
        <v>4</v>
      </c>
      <c r="C5" s="1" t="s">
        <v>5</v>
      </c>
    </row>
    <row r="6" spans="1:3" x14ac:dyDescent="0.6">
      <c r="A6" s="1" t="s">
        <v>6</v>
      </c>
      <c r="B6" s="1" t="s">
        <v>7</v>
      </c>
      <c r="C6" s="1" t="s">
        <v>7</v>
      </c>
    </row>
    <row r="7" spans="1:3" x14ac:dyDescent="0.6">
      <c r="A7" s="1" t="s">
        <v>8</v>
      </c>
      <c r="B7" s="1" t="s">
        <v>9</v>
      </c>
      <c r="C7" s="1" t="s">
        <v>10</v>
      </c>
    </row>
    <row r="8" spans="1:3" x14ac:dyDescent="0.6">
      <c r="A8" s="1" t="s">
        <v>11</v>
      </c>
      <c r="B8" s="1" t="s">
        <v>12</v>
      </c>
      <c r="C8" s="1" t="s">
        <v>13</v>
      </c>
    </row>
    <row r="9" spans="1:3" x14ac:dyDescent="0.6">
      <c r="A9" s="1" t="s">
        <v>14</v>
      </c>
      <c r="B9" s="1" t="s">
        <v>15</v>
      </c>
      <c r="C9" s="1" t="s">
        <v>16</v>
      </c>
    </row>
    <row r="10" spans="1:3" x14ac:dyDescent="0.6">
      <c r="A10" s="1" t="s">
        <v>17</v>
      </c>
      <c r="B10" s="1" t="s">
        <v>18</v>
      </c>
      <c r="C10" s="1" t="s">
        <v>18</v>
      </c>
    </row>
    <row r="11" spans="1:3" x14ac:dyDescent="0.6">
      <c r="A11" s="1" t="s">
        <v>19</v>
      </c>
      <c r="B11" s="1" t="s">
        <v>20</v>
      </c>
      <c r="C11" s="1" t="s">
        <v>21</v>
      </c>
    </row>
    <row r="12" spans="1:3" x14ac:dyDescent="0.6">
      <c r="A12" s="1" t="s">
        <v>22</v>
      </c>
      <c r="B12" s="1" t="s">
        <v>23</v>
      </c>
      <c r="C12" s="1" t="s">
        <v>24</v>
      </c>
    </row>
    <row r="13" spans="1:3" x14ac:dyDescent="0.6">
      <c r="A13" s="1" t="s">
        <v>25</v>
      </c>
      <c r="B13" s="1" t="s">
        <v>26</v>
      </c>
      <c r="C13" s="1" t="s">
        <v>27</v>
      </c>
    </row>
    <row r="14" spans="1:3" x14ac:dyDescent="0.6">
      <c r="A14" s="1" t="s">
        <v>28</v>
      </c>
      <c r="B14" s="1" t="s">
        <v>29</v>
      </c>
      <c r="C14" s="1" t="s">
        <v>30</v>
      </c>
    </row>
    <row r="15" spans="1:3" x14ac:dyDescent="0.6">
      <c r="A15" s="1" t="s">
        <v>31</v>
      </c>
      <c r="B15" s="1" t="s">
        <v>32</v>
      </c>
      <c r="C15" s="1" t="s">
        <v>33</v>
      </c>
    </row>
    <row r="16" spans="1:3" x14ac:dyDescent="0.6">
      <c r="A16" s="1" t="s">
        <v>34</v>
      </c>
      <c r="B16" s="1" t="s">
        <v>35</v>
      </c>
      <c r="C16" s="1" t="s">
        <v>36</v>
      </c>
    </row>
    <row r="17" spans="1:3" x14ac:dyDescent="0.6">
      <c r="A17" s="1" t="s">
        <v>37</v>
      </c>
      <c r="B17" s="1" t="s">
        <v>38</v>
      </c>
      <c r="C17" s="1" t="s">
        <v>39</v>
      </c>
    </row>
    <row r="18" spans="1:3" x14ac:dyDescent="0.6">
      <c r="A18" s="1" t="s">
        <v>40</v>
      </c>
      <c r="B18" s="1" t="s">
        <v>41</v>
      </c>
      <c r="C18" s="1" t="s">
        <v>42</v>
      </c>
    </row>
    <row r="19" spans="1:3" x14ac:dyDescent="0.6">
      <c r="A19" s="1" t="s">
        <v>43</v>
      </c>
      <c r="B19" s="1" t="s">
        <v>44</v>
      </c>
      <c r="C19" s="1" t="s">
        <v>45</v>
      </c>
    </row>
    <row r="20" spans="1:3" x14ac:dyDescent="0.6">
      <c r="A20" s="1" t="s">
        <v>46</v>
      </c>
      <c r="B20" s="1" t="s">
        <v>47</v>
      </c>
      <c r="C20" s="1" t="s">
        <v>48</v>
      </c>
    </row>
    <row r="21" spans="1:3" x14ac:dyDescent="0.6">
      <c r="A21" s="1" t="s">
        <v>49</v>
      </c>
      <c r="B21" s="1" t="s">
        <v>50</v>
      </c>
      <c r="C21" s="1" t="s">
        <v>51</v>
      </c>
    </row>
    <row r="22" spans="1:3" x14ac:dyDescent="0.6">
      <c r="A22" s="1" t="s">
        <v>52</v>
      </c>
      <c r="B22" s="1" t="s">
        <v>53</v>
      </c>
      <c r="C22" s="1" t="s">
        <v>54</v>
      </c>
    </row>
    <row r="23" spans="1:3" x14ac:dyDescent="0.6">
      <c r="A23" s="1" t="s">
        <v>55</v>
      </c>
      <c r="B23" s="1" t="s">
        <v>56</v>
      </c>
      <c r="C23" s="1" t="s">
        <v>57</v>
      </c>
    </row>
    <row r="24" spans="1:3" x14ac:dyDescent="0.6">
      <c r="A24" s="1" t="s">
        <v>58</v>
      </c>
      <c r="B24" s="1" t="s">
        <v>59</v>
      </c>
      <c r="C24" s="1" t="s">
        <v>60</v>
      </c>
    </row>
  </sheetData>
  <autoFilter ref="A3:C3" xr:uid="{D8B2CA5A-51EA-479E-80EC-5577211367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01E51-1705-4944-B3FD-224301C33B8A}">
  <dimension ref="A1:C60"/>
  <sheetViews>
    <sheetView showGridLines="0" zoomScale="115" zoomScaleNormal="115" workbookViewId="0">
      <pane ySplit="3" topLeftCell="A4" activePane="bottomLeft" state="frozen"/>
      <selection pane="bottomLeft" activeCell="E9" sqref="E9"/>
    </sheetView>
  </sheetViews>
  <sheetFormatPr defaultColWidth="9.1328125" defaultRowHeight="16.5" x14ac:dyDescent="0.6"/>
  <cols>
    <col min="1" max="1" width="13.6640625" style="1" customWidth="1"/>
    <col min="2" max="2" width="36.19921875" style="1" customWidth="1"/>
    <col min="3" max="3" width="51.6640625" style="1" customWidth="1"/>
    <col min="4" max="16384" width="9.1328125" style="1"/>
  </cols>
  <sheetData>
    <row r="1" spans="1:3" x14ac:dyDescent="0.6">
      <c r="C1" s="9"/>
    </row>
    <row r="2" spans="1:3" x14ac:dyDescent="0.6">
      <c r="A2" s="3" t="s">
        <v>699</v>
      </c>
    </row>
    <row r="3" spans="1:3" x14ac:dyDescent="0.6">
      <c r="A3" s="2" t="s">
        <v>2909</v>
      </c>
      <c r="B3" s="2" t="s">
        <v>1718</v>
      </c>
      <c r="C3" s="2" t="s">
        <v>2782</v>
      </c>
    </row>
    <row r="4" spans="1:3" x14ac:dyDescent="0.6">
      <c r="A4" s="6" t="s">
        <v>0</v>
      </c>
      <c r="B4" s="6" t="s">
        <v>1</v>
      </c>
      <c r="C4" s="6" t="s">
        <v>2</v>
      </c>
    </row>
    <row r="5" spans="1:3" x14ac:dyDescent="0.6">
      <c r="A5" s="1" t="s">
        <v>61</v>
      </c>
      <c r="B5" s="1" t="s">
        <v>62</v>
      </c>
      <c r="C5" s="1" t="s">
        <v>63</v>
      </c>
    </row>
    <row r="6" spans="1:3" x14ac:dyDescent="0.6">
      <c r="A6" s="1" t="s">
        <v>64</v>
      </c>
      <c r="B6" s="1" t="s">
        <v>65</v>
      </c>
      <c r="C6" s="1" t="s">
        <v>66</v>
      </c>
    </row>
    <row r="7" spans="1:3" x14ac:dyDescent="0.6">
      <c r="A7" s="1" t="s">
        <v>67</v>
      </c>
      <c r="B7" s="1" t="s">
        <v>68</v>
      </c>
      <c r="C7" s="1" t="s">
        <v>69</v>
      </c>
    </row>
    <row r="8" spans="1:3" x14ac:dyDescent="0.6">
      <c r="A8" s="1" t="s">
        <v>70</v>
      </c>
      <c r="B8" s="1" t="s">
        <v>71</v>
      </c>
      <c r="C8" s="1" t="s">
        <v>72</v>
      </c>
    </row>
    <row r="9" spans="1:3" x14ac:dyDescent="0.6">
      <c r="A9" s="1" t="s">
        <v>73</v>
      </c>
      <c r="B9" s="1" t="s">
        <v>74</v>
      </c>
      <c r="C9" s="1" t="s">
        <v>75</v>
      </c>
    </row>
    <row r="10" spans="1:3" x14ac:dyDescent="0.6">
      <c r="A10" s="1" t="s">
        <v>76</v>
      </c>
      <c r="B10" s="1" t="s">
        <v>77</v>
      </c>
      <c r="C10" s="1" t="s">
        <v>78</v>
      </c>
    </row>
    <row r="11" spans="1:3" x14ac:dyDescent="0.6">
      <c r="A11" s="1" t="s">
        <v>79</v>
      </c>
      <c r="B11" s="1" t="s">
        <v>77</v>
      </c>
      <c r="C11" s="1" t="s">
        <v>78</v>
      </c>
    </row>
    <row r="12" spans="1:3" x14ac:dyDescent="0.6">
      <c r="A12" s="1" t="s">
        <v>80</v>
      </c>
      <c r="B12" s="1" t="s">
        <v>81</v>
      </c>
      <c r="C12" s="1" t="s">
        <v>82</v>
      </c>
    </row>
    <row r="13" spans="1:3" x14ac:dyDescent="0.6">
      <c r="A13" s="6" t="s">
        <v>6</v>
      </c>
      <c r="B13" s="6" t="s">
        <v>7</v>
      </c>
      <c r="C13" s="6" t="s">
        <v>7</v>
      </c>
    </row>
    <row r="14" spans="1:3" x14ac:dyDescent="0.6">
      <c r="A14" s="1" t="s">
        <v>83</v>
      </c>
      <c r="B14" s="1" t="s">
        <v>84</v>
      </c>
      <c r="C14" s="1" t="s">
        <v>85</v>
      </c>
    </row>
    <row r="15" spans="1:3" x14ac:dyDescent="0.6">
      <c r="A15" s="1" t="s">
        <v>86</v>
      </c>
      <c r="B15" s="1" t="s">
        <v>87</v>
      </c>
      <c r="C15" s="1" t="s">
        <v>88</v>
      </c>
    </row>
    <row r="16" spans="1:3" x14ac:dyDescent="0.6">
      <c r="A16" s="1" t="s">
        <v>89</v>
      </c>
      <c r="B16" s="1" t="s">
        <v>90</v>
      </c>
      <c r="C16" s="1" t="s">
        <v>91</v>
      </c>
    </row>
    <row r="17" spans="1:3" x14ac:dyDescent="0.6">
      <c r="A17" s="1" t="s">
        <v>92</v>
      </c>
      <c r="B17" s="1" t="s">
        <v>77</v>
      </c>
      <c r="C17" s="1" t="s">
        <v>93</v>
      </c>
    </row>
    <row r="18" spans="1:3" x14ac:dyDescent="0.6">
      <c r="A18" s="1" t="s">
        <v>94</v>
      </c>
      <c r="B18" s="1" t="s">
        <v>77</v>
      </c>
      <c r="C18" s="1" t="s">
        <v>93</v>
      </c>
    </row>
    <row r="19" spans="1:3" x14ac:dyDescent="0.6">
      <c r="A19" s="1" t="s">
        <v>95</v>
      </c>
      <c r="B19" s="1" t="s">
        <v>96</v>
      </c>
      <c r="C19" s="1" t="s">
        <v>97</v>
      </c>
    </row>
    <row r="20" spans="1:3" x14ac:dyDescent="0.6">
      <c r="A20" s="1" t="s">
        <v>98</v>
      </c>
      <c r="B20" s="1" t="s">
        <v>99</v>
      </c>
      <c r="C20" s="1" t="s">
        <v>100</v>
      </c>
    </row>
    <row r="21" spans="1:3" x14ac:dyDescent="0.6">
      <c r="A21" s="1" t="s">
        <v>101</v>
      </c>
      <c r="B21" s="1" t="s">
        <v>102</v>
      </c>
      <c r="C21" s="1" t="s">
        <v>103</v>
      </c>
    </row>
    <row r="22" spans="1:3" x14ac:dyDescent="0.6">
      <c r="A22" s="1" t="s">
        <v>104</v>
      </c>
      <c r="B22" s="1" t="s">
        <v>105</v>
      </c>
      <c r="C22" s="1" t="s">
        <v>106</v>
      </c>
    </row>
    <row r="23" spans="1:3" x14ac:dyDescent="0.6">
      <c r="A23" s="1" t="s">
        <v>107</v>
      </c>
      <c r="B23" s="1" t="s">
        <v>108</v>
      </c>
      <c r="C23" s="1" t="s">
        <v>109</v>
      </c>
    </row>
    <row r="24" spans="1:3" x14ac:dyDescent="0.6">
      <c r="A24" s="6" t="s">
        <v>11</v>
      </c>
      <c r="B24" s="6" t="s">
        <v>12</v>
      </c>
      <c r="C24" s="6" t="s">
        <v>13</v>
      </c>
    </row>
    <row r="25" spans="1:3" x14ac:dyDescent="0.6">
      <c r="A25" s="1" t="s">
        <v>110</v>
      </c>
      <c r="B25" s="1" t="s">
        <v>111</v>
      </c>
      <c r="C25" s="1" t="s">
        <v>112</v>
      </c>
    </row>
    <row r="26" spans="1:3" x14ac:dyDescent="0.6">
      <c r="A26" s="1" t="s">
        <v>113</v>
      </c>
      <c r="B26" s="1" t="s">
        <v>114</v>
      </c>
      <c r="C26" s="1" t="s">
        <v>115</v>
      </c>
    </row>
    <row r="27" spans="1:3" x14ac:dyDescent="0.6">
      <c r="A27" s="1" t="s">
        <v>116</v>
      </c>
      <c r="B27" s="1" t="s">
        <v>77</v>
      </c>
      <c r="C27" s="1" t="s">
        <v>78</v>
      </c>
    </row>
    <row r="28" spans="1:3" x14ac:dyDescent="0.6">
      <c r="A28" s="1" t="s">
        <v>117</v>
      </c>
      <c r="B28" s="1" t="s">
        <v>77</v>
      </c>
      <c r="C28" s="1" t="s">
        <v>78</v>
      </c>
    </row>
    <row r="29" spans="1:3" x14ac:dyDescent="0.6">
      <c r="A29" s="1" t="s">
        <v>118</v>
      </c>
      <c r="B29" s="1" t="s">
        <v>119</v>
      </c>
      <c r="C29" s="1" t="s">
        <v>120</v>
      </c>
    </row>
    <row r="30" spans="1:3" x14ac:dyDescent="0.6">
      <c r="A30" s="1" t="s">
        <v>121</v>
      </c>
      <c r="B30" s="1" t="s">
        <v>122</v>
      </c>
      <c r="C30" s="1" t="s">
        <v>123</v>
      </c>
    </row>
    <row r="31" spans="1:3" x14ac:dyDescent="0.6">
      <c r="A31" s="1" t="s">
        <v>124</v>
      </c>
      <c r="B31" s="1" t="s">
        <v>125</v>
      </c>
      <c r="C31" s="1" t="s">
        <v>126</v>
      </c>
    </row>
    <row r="32" spans="1:3" x14ac:dyDescent="0.6">
      <c r="A32" s="1" t="s">
        <v>127</v>
      </c>
      <c r="B32" s="1" t="s">
        <v>128</v>
      </c>
      <c r="C32" s="1" t="s">
        <v>129</v>
      </c>
    </row>
    <row r="33" spans="1:3" x14ac:dyDescent="0.6">
      <c r="A33" s="1" t="s">
        <v>130</v>
      </c>
      <c r="B33" s="1" t="s">
        <v>131</v>
      </c>
      <c r="C33" s="1" t="s">
        <v>132</v>
      </c>
    </row>
    <row r="34" spans="1:3" x14ac:dyDescent="0.6">
      <c r="A34" s="6" t="s">
        <v>43</v>
      </c>
      <c r="B34" s="6" t="s">
        <v>44</v>
      </c>
      <c r="C34" s="6" t="s">
        <v>2205</v>
      </c>
    </row>
    <row r="35" spans="1:3" x14ac:dyDescent="0.6">
      <c r="A35" s="1" t="s">
        <v>2179</v>
      </c>
      <c r="B35" s="1" t="s">
        <v>2180</v>
      </c>
      <c r="C35" s="1" t="s">
        <v>2206</v>
      </c>
    </row>
    <row r="36" spans="1:3" x14ac:dyDescent="0.6">
      <c r="A36" s="1" t="s">
        <v>2181</v>
      </c>
      <c r="B36" s="1" t="s">
        <v>2182</v>
      </c>
      <c r="C36" s="1" t="s">
        <v>2207</v>
      </c>
    </row>
    <row r="37" spans="1:3" x14ac:dyDescent="0.6">
      <c r="A37" s="1" t="s">
        <v>2183</v>
      </c>
      <c r="B37" s="1" t="s">
        <v>2184</v>
      </c>
      <c r="C37" s="1" t="s">
        <v>2208</v>
      </c>
    </row>
    <row r="38" spans="1:3" x14ac:dyDescent="0.6">
      <c r="A38" s="1" t="s">
        <v>2185</v>
      </c>
      <c r="B38" s="1" t="s">
        <v>77</v>
      </c>
      <c r="C38" s="1" t="s">
        <v>78</v>
      </c>
    </row>
    <row r="39" spans="1:3" x14ac:dyDescent="0.6">
      <c r="A39" s="1" t="s">
        <v>2186</v>
      </c>
      <c r="B39" s="1" t="s">
        <v>77</v>
      </c>
      <c r="C39" s="1" t="s">
        <v>78</v>
      </c>
    </row>
    <row r="40" spans="1:3" x14ac:dyDescent="0.6">
      <c r="A40" s="1" t="s">
        <v>2187</v>
      </c>
      <c r="B40" s="1" t="s">
        <v>2188</v>
      </c>
      <c r="C40" s="1" t="s">
        <v>2209</v>
      </c>
    </row>
    <row r="41" spans="1:3" x14ac:dyDescent="0.6">
      <c r="A41" s="6" t="s">
        <v>49</v>
      </c>
      <c r="B41" s="6" t="s">
        <v>50</v>
      </c>
      <c r="C41" s="6" t="s">
        <v>2210</v>
      </c>
    </row>
    <row r="42" spans="1:3" x14ac:dyDescent="0.6">
      <c r="A42" s="1" t="s">
        <v>2163</v>
      </c>
      <c r="B42" s="1" t="s">
        <v>2164</v>
      </c>
      <c r="C42" s="1" t="s">
        <v>2211</v>
      </c>
    </row>
    <row r="43" spans="1:3" x14ac:dyDescent="0.6">
      <c r="A43" s="1" t="s">
        <v>2165</v>
      </c>
      <c r="B43" s="1" t="s">
        <v>2166</v>
      </c>
      <c r="C43" s="1" t="s">
        <v>2212</v>
      </c>
    </row>
    <row r="44" spans="1:3" x14ac:dyDescent="0.6">
      <c r="A44" s="1" t="s">
        <v>2167</v>
      </c>
      <c r="B44" s="1" t="s">
        <v>2168</v>
      </c>
      <c r="C44" s="1" t="s">
        <v>2213</v>
      </c>
    </row>
    <row r="45" spans="1:3" x14ac:dyDescent="0.6">
      <c r="A45" s="1" t="s">
        <v>2169</v>
      </c>
      <c r="B45" s="1" t="s">
        <v>2170</v>
      </c>
      <c r="C45" s="1" t="s">
        <v>2214</v>
      </c>
    </row>
    <row r="46" spans="1:3" x14ac:dyDescent="0.6">
      <c r="A46" s="1" t="s">
        <v>2171</v>
      </c>
      <c r="B46" s="1" t="s">
        <v>77</v>
      </c>
      <c r="C46" s="1" t="s">
        <v>78</v>
      </c>
    </row>
    <row r="47" spans="1:3" x14ac:dyDescent="0.6">
      <c r="A47" s="1" t="s">
        <v>2172</v>
      </c>
      <c r="B47" s="1" t="s">
        <v>77</v>
      </c>
      <c r="C47" s="1" t="s">
        <v>78</v>
      </c>
    </row>
    <row r="48" spans="1:3" x14ac:dyDescent="0.6">
      <c r="A48" s="1" t="s">
        <v>2173</v>
      </c>
      <c r="B48" s="1" t="s">
        <v>2174</v>
      </c>
      <c r="C48" s="1" t="s">
        <v>2215</v>
      </c>
    </row>
    <row r="49" spans="1:3" x14ac:dyDescent="0.6">
      <c r="A49" s="1" t="s">
        <v>2175</v>
      </c>
      <c r="B49" s="1" t="s">
        <v>2176</v>
      </c>
      <c r="C49" s="1" t="s">
        <v>2216</v>
      </c>
    </row>
    <row r="50" spans="1:3" x14ac:dyDescent="0.6">
      <c r="A50" s="1" t="s">
        <v>2177</v>
      </c>
      <c r="B50" s="1" t="s">
        <v>2178</v>
      </c>
      <c r="C50" s="1" t="s">
        <v>2217</v>
      </c>
    </row>
    <row r="51" spans="1:3" x14ac:dyDescent="0.6">
      <c r="A51" s="6" t="s">
        <v>52</v>
      </c>
      <c r="B51" s="6" t="s">
        <v>53</v>
      </c>
      <c r="C51" s="6" t="s">
        <v>54</v>
      </c>
    </row>
    <row r="52" spans="1:3" x14ac:dyDescent="0.6">
      <c r="A52" s="1" t="s">
        <v>2189</v>
      </c>
      <c r="B52" s="1" t="s">
        <v>2190</v>
      </c>
      <c r="C52" s="1" t="s">
        <v>2218</v>
      </c>
    </row>
    <row r="53" spans="1:3" x14ac:dyDescent="0.6">
      <c r="A53" s="1" t="s">
        <v>2191</v>
      </c>
      <c r="B53" s="1" t="s">
        <v>2192</v>
      </c>
      <c r="C53" s="1" t="s">
        <v>2219</v>
      </c>
    </row>
    <row r="54" spans="1:3" x14ac:dyDescent="0.6">
      <c r="A54" s="1" t="s">
        <v>2193</v>
      </c>
      <c r="B54" s="1" t="s">
        <v>2194</v>
      </c>
      <c r="C54" s="1" t="s">
        <v>2220</v>
      </c>
    </row>
    <row r="55" spans="1:3" x14ac:dyDescent="0.6">
      <c r="A55" s="1" t="s">
        <v>2195</v>
      </c>
      <c r="B55" s="1" t="s">
        <v>77</v>
      </c>
      <c r="C55" s="1" t="s">
        <v>78</v>
      </c>
    </row>
    <row r="56" spans="1:3" x14ac:dyDescent="0.6">
      <c r="A56" s="1" t="s">
        <v>2196</v>
      </c>
      <c r="B56" s="1" t="s">
        <v>77</v>
      </c>
      <c r="C56" s="1" t="s">
        <v>78</v>
      </c>
    </row>
    <row r="57" spans="1:3" x14ac:dyDescent="0.6">
      <c r="A57" s="1" t="s">
        <v>2197</v>
      </c>
      <c r="B57" s="1" t="s">
        <v>2198</v>
      </c>
      <c r="C57" s="1" t="s">
        <v>2221</v>
      </c>
    </row>
    <row r="58" spans="1:3" x14ac:dyDescent="0.6">
      <c r="A58" s="1" t="s">
        <v>2199</v>
      </c>
      <c r="B58" s="1" t="s">
        <v>2200</v>
      </c>
      <c r="C58" s="1" t="s">
        <v>2222</v>
      </c>
    </row>
    <row r="59" spans="1:3" x14ac:dyDescent="0.6">
      <c r="A59" s="1" t="s">
        <v>2201</v>
      </c>
      <c r="B59" s="1" t="s">
        <v>2202</v>
      </c>
      <c r="C59" s="1" t="s">
        <v>2223</v>
      </c>
    </row>
    <row r="60" spans="1:3" x14ac:dyDescent="0.6">
      <c r="A60" s="1" t="s">
        <v>2203</v>
      </c>
      <c r="B60" s="1" t="s">
        <v>2204</v>
      </c>
      <c r="C60" s="1" t="s">
        <v>2224</v>
      </c>
    </row>
  </sheetData>
  <autoFilter ref="A3:C3" xr:uid="{D8B2CA5A-51EA-479E-80EC-5577211367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492EB-FFB4-4ADC-A412-FBB92DAB8918}">
  <dimension ref="A1:C193"/>
  <sheetViews>
    <sheetView showGridLines="0" zoomScale="115" zoomScaleNormal="115" workbookViewId="0">
      <pane ySplit="3" topLeftCell="A4" activePane="bottomLeft" state="frozen"/>
      <selection pane="bottomLeft" activeCell="C1" sqref="C1"/>
    </sheetView>
  </sheetViews>
  <sheetFormatPr defaultColWidth="9.1328125" defaultRowHeight="16.5" x14ac:dyDescent="0.6"/>
  <cols>
    <col min="1" max="1" width="16.86328125" style="1" customWidth="1"/>
    <col min="2" max="3" width="44.86328125" style="1" customWidth="1"/>
    <col min="4" max="16384" width="9.1328125" style="1"/>
  </cols>
  <sheetData>
    <row r="1" spans="1:3" x14ac:dyDescent="0.6">
      <c r="C1" s="9"/>
    </row>
    <row r="2" spans="1:3" x14ac:dyDescent="0.6">
      <c r="A2" s="3" t="s">
        <v>2225</v>
      </c>
    </row>
    <row r="3" spans="1:3" x14ac:dyDescent="0.6">
      <c r="A3" s="2" t="s">
        <v>2225</v>
      </c>
      <c r="B3" s="2" t="s">
        <v>1718</v>
      </c>
      <c r="C3" s="2" t="s">
        <v>2782</v>
      </c>
    </row>
    <row r="4" spans="1:3" x14ac:dyDescent="0.6">
      <c r="A4" s="1" t="s">
        <v>133</v>
      </c>
      <c r="B4" s="1" t="s">
        <v>134</v>
      </c>
      <c r="C4" s="1" t="s">
        <v>135</v>
      </c>
    </row>
    <row r="5" spans="1:3" x14ac:dyDescent="0.6">
      <c r="A5" s="1" t="s">
        <v>136</v>
      </c>
      <c r="B5" s="1" t="s">
        <v>137</v>
      </c>
      <c r="C5" s="1" t="s">
        <v>138</v>
      </c>
    </row>
    <row r="6" spans="1:3" x14ac:dyDescent="0.6">
      <c r="A6" s="1" t="s">
        <v>139</v>
      </c>
      <c r="B6" s="1" t="s">
        <v>140</v>
      </c>
      <c r="C6" s="1" t="s">
        <v>141</v>
      </c>
    </row>
    <row r="7" spans="1:3" x14ac:dyDescent="0.6">
      <c r="A7" s="1" t="s">
        <v>142</v>
      </c>
      <c r="B7" s="1" t="s">
        <v>143</v>
      </c>
      <c r="C7" s="1" t="s">
        <v>144</v>
      </c>
    </row>
    <row r="8" spans="1:3" x14ac:dyDescent="0.6">
      <c r="A8" s="1" t="s">
        <v>145</v>
      </c>
      <c r="B8" s="1" t="s">
        <v>146</v>
      </c>
      <c r="C8" s="1" t="s">
        <v>147</v>
      </c>
    </row>
    <row r="9" spans="1:3" x14ac:dyDescent="0.6">
      <c r="A9" s="1" t="s">
        <v>148</v>
      </c>
      <c r="B9" s="1" t="s">
        <v>149</v>
      </c>
      <c r="C9" s="1" t="s">
        <v>150</v>
      </c>
    </row>
    <row r="10" spans="1:3" x14ac:dyDescent="0.6">
      <c r="A10" s="1" t="s">
        <v>151</v>
      </c>
      <c r="B10" s="1" t="s">
        <v>152</v>
      </c>
      <c r="C10" s="1" t="s">
        <v>153</v>
      </c>
    </row>
    <row r="11" spans="1:3" x14ac:dyDescent="0.6">
      <c r="A11" s="1" t="s">
        <v>154</v>
      </c>
      <c r="B11" s="1" t="s">
        <v>155</v>
      </c>
      <c r="C11" s="1" t="s">
        <v>156</v>
      </c>
    </row>
    <row r="12" spans="1:3" x14ac:dyDescent="0.6">
      <c r="A12" s="1" t="s">
        <v>157</v>
      </c>
      <c r="B12" s="1" t="s">
        <v>158</v>
      </c>
      <c r="C12" s="1" t="s">
        <v>159</v>
      </c>
    </row>
    <row r="13" spans="1:3" x14ac:dyDescent="0.6">
      <c r="A13" s="1" t="s">
        <v>160</v>
      </c>
      <c r="B13" s="1" t="s">
        <v>161</v>
      </c>
      <c r="C13" s="1" t="s">
        <v>162</v>
      </c>
    </row>
    <row r="14" spans="1:3" x14ac:dyDescent="0.6">
      <c r="A14" s="1" t="s">
        <v>163</v>
      </c>
      <c r="B14" s="1" t="s">
        <v>164</v>
      </c>
      <c r="C14" s="1" t="s">
        <v>165</v>
      </c>
    </row>
    <row r="15" spans="1:3" x14ac:dyDescent="0.6">
      <c r="A15" s="1" t="s">
        <v>166</v>
      </c>
      <c r="B15" s="1" t="s">
        <v>167</v>
      </c>
      <c r="C15" s="1" t="s">
        <v>168</v>
      </c>
    </row>
    <row r="16" spans="1:3" x14ac:dyDescent="0.6">
      <c r="A16" s="1" t="s">
        <v>169</v>
      </c>
      <c r="B16" s="1" t="s">
        <v>170</v>
      </c>
      <c r="C16" s="1" t="s">
        <v>171</v>
      </c>
    </row>
    <row r="17" spans="1:3" x14ac:dyDescent="0.6">
      <c r="A17" s="1" t="s">
        <v>172</v>
      </c>
      <c r="B17" s="1" t="s">
        <v>173</v>
      </c>
      <c r="C17" s="1" t="s">
        <v>174</v>
      </c>
    </row>
    <row r="18" spans="1:3" x14ac:dyDescent="0.6">
      <c r="A18" s="1" t="s">
        <v>175</v>
      </c>
      <c r="B18" s="1" t="s">
        <v>176</v>
      </c>
      <c r="C18" s="1" t="s">
        <v>177</v>
      </c>
    </row>
    <row r="19" spans="1:3" x14ac:dyDescent="0.6">
      <c r="A19" s="1" t="s">
        <v>178</v>
      </c>
      <c r="B19" s="1" t="s">
        <v>179</v>
      </c>
      <c r="C19" s="1" t="s">
        <v>180</v>
      </c>
    </row>
    <row r="20" spans="1:3" x14ac:dyDescent="0.6">
      <c r="A20" s="1" t="s">
        <v>181</v>
      </c>
      <c r="B20" s="1" t="s">
        <v>182</v>
      </c>
      <c r="C20" s="1" t="s">
        <v>183</v>
      </c>
    </row>
    <row r="21" spans="1:3" x14ac:dyDescent="0.6">
      <c r="A21" s="1" t="s">
        <v>184</v>
      </c>
      <c r="B21" s="1" t="s">
        <v>185</v>
      </c>
      <c r="C21" s="1" t="s">
        <v>186</v>
      </c>
    </row>
    <row r="22" spans="1:3" x14ac:dyDescent="0.6">
      <c r="A22" s="1" t="s">
        <v>187</v>
      </c>
      <c r="B22" s="1" t="s">
        <v>188</v>
      </c>
      <c r="C22" s="1" t="s">
        <v>189</v>
      </c>
    </row>
    <row r="23" spans="1:3" x14ac:dyDescent="0.6">
      <c r="A23" s="1" t="s">
        <v>190</v>
      </c>
      <c r="B23" s="1" t="s">
        <v>191</v>
      </c>
      <c r="C23" s="1" t="s">
        <v>192</v>
      </c>
    </row>
    <row r="24" spans="1:3" x14ac:dyDescent="0.6">
      <c r="A24" s="1" t="s">
        <v>193</v>
      </c>
      <c r="B24" s="1" t="s">
        <v>194</v>
      </c>
      <c r="C24" s="1" t="s">
        <v>195</v>
      </c>
    </row>
    <row r="25" spans="1:3" x14ac:dyDescent="0.6">
      <c r="A25" s="1" t="s">
        <v>196</v>
      </c>
      <c r="B25" s="1" t="s">
        <v>197</v>
      </c>
      <c r="C25" s="1" t="s">
        <v>198</v>
      </c>
    </row>
    <row r="26" spans="1:3" x14ac:dyDescent="0.6">
      <c r="A26" s="1" t="s">
        <v>199</v>
      </c>
      <c r="B26" s="1" t="s">
        <v>200</v>
      </c>
      <c r="C26" s="1" t="s">
        <v>201</v>
      </c>
    </row>
    <row r="27" spans="1:3" x14ac:dyDescent="0.6">
      <c r="A27" s="1" t="s">
        <v>202</v>
      </c>
      <c r="B27" s="1" t="s">
        <v>203</v>
      </c>
      <c r="C27" s="1" t="s">
        <v>204</v>
      </c>
    </row>
    <row r="28" spans="1:3" x14ac:dyDescent="0.6">
      <c r="A28" s="1" t="s">
        <v>205</v>
      </c>
      <c r="B28" s="1" t="s">
        <v>206</v>
      </c>
      <c r="C28" s="1" t="s">
        <v>207</v>
      </c>
    </row>
    <row r="29" spans="1:3" x14ac:dyDescent="0.6">
      <c r="A29" s="1" t="s">
        <v>208</v>
      </c>
      <c r="B29" s="1" t="s">
        <v>209</v>
      </c>
      <c r="C29" s="1" t="s">
        <v>210</v>
      </c>
    </row>
    <row r="30" spans="1:3" x14ac:dyDescent="0.6">
      <c r="A30" s="1" t="s">
        <v>211</v>
      </c>
      <c r="B30" s="1" t="s">
        <v>212</v>
      </c>
      <c r="C30" s="1" t="s">
        <v>213</v>
      </c>
    </row>
    <row r="31" spans="1:3" x14ac:dyDescent="0.6">
      <c r="A31" s="1" t="s">
        <v>214</v>
      </c>
      <c r="B31" s="1" t="s">
        <v>215</v>
      </c>
      <c r="C31" s="1" t="s">
        <v>216</v>
      </c>
    </row>
    <row r="32" spans="1:3" x14ac:dyDescent="0.6">
      <c r="A32" s="1" t="s">
        <v>217</v>
      </c>
      <c r="B32" s="1" t="s">
        <v>218</v>
      </c>
      <c r="C32" s="1" t="s">
        <v>219</v>
      </c>
    </row>
    <row r="33" spans="1:3" x14ac:dyDescent="0.6">
      <c r="A33" s="1" t="s">
        <v>220</v>
      </c>
      <c r="B33" s="1" t="s">
        <v>221</v>
      </c>
      <c r="C33" s="1" t="s">
        <v>222</v>
      </c>
    </row>
    <row r="34" spans="1:3" x14ac:dyDescent="0.6">
      <c r="A34" s="1" t="s">
        <v>223</v>
      </c>
      <c r="B34" s="1" t="s">
        <v>224</v>
      </c>
      <c r="C34" s="1" t="s">
        <v>225</v>
      </c>
    </row>
    <row r="35" spans="1:3" x14ac:dyDescent="0.6">
      <c r="A35" s="1" t="s">
        <v>226</v>
      </c>
      <c r="B35" s="1" t="s">
        <v>227</v>
      </c>
      <c r="C35" s="1" t="s">
        <v>228</v>
      </c>
    </row>
    <row r="36" spans="1:3" x14ac:dyDescent="0.6">
      <c r="A36" s="1" t="s">
        <v>229</v>
      </c>
      <c r="B36" s="1" t="s">
        <v>230</v>
      </c>
      <c r="C36" s="1" t="s">
        <v>231</v>
      </c>
    </row>
    <row r="37" spans="1:3" x14ac:dyDescent="0.6">
      <c r="A37" s="1" t="s">
        <v>232</v>
      </c>
      <c r="B37" s="1" t="s">
        <v>233</v>
      </c>
      <c r="C37" s="1" t="s">
        <v>234</v>
      </c>
    </row>
    <row r="38" spans="1:3" x14ac:dyDescent="0.6">
      <c r="A38" s="1" t="s">
        <v>235</v>
      </c>
      <c r="B38" s="1" t="s">
        <v>236</v>
      </c>
      <c r="C38" s="1" t="s">
        <v>237</v>
      </c>
    </row>
    <row r="39" spans="1:3" x14ac:dyDescent="0.6">
      <c r="A39" s="1" t="s">
        <v>238</v>
      </c>
      <c r="B39" s="1" t="s">
        <v>239</v>
      </c>
      <c r="C39" s="1" t="s">
        <v>240</v>
      </c>
    </row>
    <row r="40" spans="1:3" x14ac:dyDescent="0.6">
      <c r="A40" s="1" t="s">
        <v>241</v>
      </c>
      <c r="B40" s="1" t="s">
        <v>242</v>
      </c>
      <c r="C40" s="1" t="s">
        <v>243</v>
      </c>
    </row>
    <row r="41" spans="1:3" x14ac:dyDescent="0.6">
      <c r="A41" s="1" t="s">
        <v>244</v>
      </c>
      <c r="B41" s="1" t="s">
        <v>245</v>
      </c>
      <c r="C41" s="1" t="s">
        <v>246</v>
      </c>
    </row>
    <row r="42" spans="1:3" x14ac:dyDescent="0.6">
      <c r="A42" s="1" t="s">
        <v>247</v>
      </c>
      <c r="B42" s="1" t="s">
        <v>248</v>
      </c>
      <c r="C42" s="1" t="s">
        <v>249</v>
      </c>
    </row>
    <row r="43" spans="1:3" x14ac:dyDescent="0.6">
      <c r="A43" s="1" t="s">
        <v>250</v>
      </c>
      <c r="B43" s="1" t="s">
        <v>251</v>
      </c>
      <c r="C43" s="1" t="s">
        <v>252</v>
      </c>
    </row>
    <row r="44" spans="1:3" x14ac:dyDescent="0.6">
      <c r="A44" s="1" t="s">
        <v>253</v>
      </c>
      <c r="B44" s="1" t="s">
        <v>254</v>
      </c>
      <c r="C44" s="1" t="s">
        <v>255</v>
      </c>
    </row>
    <row r="45" spans="1:3" x14ac:dyDescent="0.6">
      <c r="A45" s="1" t="s">
        <v>256</v>
      </c>
      <c r="B45" s="1" t="s">
        <v>257</v>
      </c>
      <c r="C45" s="1" t="s">
        <v>258</v>
      </c>
    </row>
    <row r="46" spans="1:3" x14ac:dyDescent="0.6">
      <c r="A46" s="1" t="s">
        <v>259</v>
      </c>
      <c r="B46" s="1" t="s">
        <v>260</v>
      </c>
      <c r="C46" s="1" t="s">
        <v>261</v>
      </c>
    </row>
    <row r="47" spans="1:3" x14ac:dyDescent="0.6">
      <c r="A47" s="1" t="s">
        <v>262</v>
      </c>
      <c r="B47" s="1" t="s">
        <v>263</v>
      </c>
      <c r="C47" s="1" t="s">
        <v>264</v>
      </c>
    </row>
    <row r="48" spans="1:3" x14ac:dyDescent="0.6">
      <c r="A48" s="1" t="s">
        <v>265</v>
      </c>
      <c r="B48" s="1" t="s">
        <v>266</v>
      </c>
      <c r="C48" s="1" t="s">
        <v>267</v>
      </c>
    </row>
    <row r="49" spans="1:3" x14ac:dyDescent="0.6">
      <c r="A49" s="1" t="s">
        <v>268</v>
      </c>
      <c r="B49" s="1" t="s">
        <v>269</v>
      </c>
      <c r="C49" s="1" t="s">
        <v>270</v>
      </c>
    </row>
    <row r="50" spans="1:3" x14ac:dyDescent="0.6">
      <c r="A50" s="1" t="s">
        <v>271</v>
      </c>
      <c r="B50" s="1" t="s">
        <v>272</v>
      </c>
      <c r="C50" s="1" t="s">
        <v>273</v>
      </c>
    </row>
    <row r="51" spans="1:3" x14ac:dyDescent="0.6">
      <c r="A51" s="1" t="s">
        <v>274</v>
      </c>
      <c r="B51" s="1" t="s">
        <v>275</v>
      </c>
      <c r="C51" s="1" t="s">
        <v>276</v>
      </c>
    </row>
    <row r="52" spans="1:3" x14ac:dyDescent="0.6">
      <c r="A52" s="1" t="s">
        <v>277</v>
      </c>
      <c r="B52" s="1" t="s">
        <v>278</v>
      </c>
      <c r="C52" s="1" t="s">
        <v>279</v>
      </c>
    </row>
    <row r="53" spans="1:3" x14ac:dyDescent="0.6">
      <c r="A53" s="1" t="s">
        <v>280</v>
      </c>
      <c r="B53" s="1" t="s">
        <v>281</v>
      </c>
      <c r="C53" s="1" t="s">
        <v>282</v>
      </c>
    </row>
    <row r="54" spans="1:3" x14ac:dyDescent="0.6">
      <c r="A54" s="1" t="s">
        <v>283</v>
      </c>
      <c r="B54" s="1" t="s">
        <v>284</v>
      </c>
      <c r="C54" s="1" t="s">
        <v>285</v>
      </c>
    </row>
    <row r="55" spans="1:3" x14ac:dyDescent="0.6">
      <c r="A55" s="1" t="s">
        <v>286</v>
      </c>
      <c r="B55" s="1" t="s">
        <v>287</v>
      </c>
      <c r="C55" s="1" t="s">
        <v>288</v>
      </c>
    </row>
    <row r="56" spans="1:3" x14ac:dyDescent="0.6">
      <c r="A56" s="1" t="s">
        <v>289</v>
      </c>
      <c r="B56" s="1" t="s">
        <v>290</v>
      </c>
      <c r="C56" s="1" t="s">
        <v>291</v>
      </c>
    </row>
    <row r="57" spans="1:3" x14ac:dyDescent="0.6">
      <c r="A57" s="1" t="s">
        <v>292</v>
      </c>
      <c r="B57" s="1" t="s">
        <v>293</v>
      </c>
      <c r="C57" s="1" t="s">
        <v>294</v>
      </c>
    </row>
    <row r="58" spans="1:3" x14ac:dyDescent="0.6">
      <c r="A58" s="1" t="s">
        <v>295</v>
      </c>
      <c r="B58" s="1" t="s">
        <v>296</v>
      </c>
      <c r="C58" s="1" t="s">
        <v>297</v>
      </c>
    </row>
    <row r="59" spans="1:3" x14ac:dyDescent="0.6">
      <c r="A59" s="1" t="s">
        <v>298</v>
      </c>
      <c r="B59" s="1" t="s">
        <v>299</v>
      </c>
      <c r="C59" s="1" t="s">
        <v>300</v>
      </c>
    </row>
    <row r="60" spans="1:3" x14ac:dyDescent="0.6">
      <c r="A60" s="1" t="s">
        <v>301</v>
      </c>
      <c r="B60" s="1" t="s">
        <v>302</v>
      </c>
      <c r="C60" s="1" t="s">
        <v>303</v>
      </c>
    </row>
    <row r="61" spans="1:3" x14ac:dyDescent="0.6">
      <c r="A61" s="1" t="s">
        <v>304</v>
      </c>
      <c r="B61" s="1" t="s">
        <v>305</v>
      </c>
      <c r="C61" s="1" t="s">
        <v>306</v>
      </c>
    </row>
    <row r="62" spans="1:3" x14ac:dyDescent="0.6">
      <c r="A62" s="1" t="s">
        <v>307</v>
      </c>
      <c r="B62" s="1" t="s">
        <v>308</v>
      </c>
      <c r="C62" s="1" t="s">
        <v>309</v>
      </c>
    </row>
    <row r="63" spans="1:3" x14ac:dyDescent="0.6">
      <c r="A63" s="1" t="s">
        <v>310</v>
      </c>
      <c r="B63" s="1" t="s">
        <v>311</v>
      </c>
      <c r="C63" s="1" t="s">
        <v>312</v>
      </c>
    </row>
    <row r="64" spans="1:3" x14ac:dyDescent="0.6">
      <c r="A64" s="1" t="s">
        <v>313</v>
      </c>
      <c r="B64" s="1" t="s">
        <v>314</v>
      </c>
      <c r="C64" s="1" t="s">
        <v>315</v>
      </c>
    </row>
    <row r="65" spans="1:3" x14ac:dyDescent="0.6">
      <c r="A65" s="1" t="s">
        <v>316</v>
      </c>
      <c r="B65" s="1" t="s">
        <v>317</v>
      </c>
      <c r="C65" s="1" t="s">
        <v>318</v>
      </c>
    </row>
    <row r="66" spans="1:3" x14ac:dyDescent="0.6">
      <c r="A66" s="1" t="s">
        <v>319</v>
      </c>
      <c r="B66" s="1" t="s">
        <v>320</v>
      </c>
      <c r="C66" s="1" t="s">
        <v>321</v>
      </c>
    </row>
    <row r="67" spans="1:3" x14ac:dyDescent="0.6">
      <c r="A67" s="1" t="s">
        <v>322</v>
      </c>
      <c r="B67" s="1" t="s">
        <v>323</v>
      </c>
      <c r="C67" s="1" t="s">
        <v>324</v>
      </c>
    </row>
    <row r="68" spans="1:3" x14ac:dyDescent="0.6">
      <c r="A68" s="1" t="s">
        <v>325</v>
      </c>
      <c r="B68" s="1" t="s">
        <v>326</v>
      </c>
      <c r="C68" s="1" t="s">
        <v>327</v>
      </c>
    </row>
    <row r="69" spans="1:3" x14ac:dyDescent="0.6">
      <c r="A69" s="1" t="s">
        <v>328</v>
      </c>
      <c r="B69" s="1" t="s">
        <v>329</v>
      </c>
      <c r="C69" s="1" t="s">
        <v>330</v>
      </c>
    </row>
    <row r="70" spans="1:3" x14ac:dyDescent="0.6">
      <c r="A70" s="1" t="s">
        <v>331</v>
      </c>
      <c r="B70" s="1" t="s">
        <v>38</v>
      </c>
      <c r="C70" s="1" t="s">
        <v>332</v>
      </c>
    </row>
    <row r="71" spans="1:3" x14ac:dyDescent="0.6">
      <c r="A71" s="1" t="s">
        <v>333</v>
      </c>
      <c r="B71" s="1" t="s">
        <v>334</v>
      </c>
      <c r="C71" s="1" t="s">
        <v>335</v>
      </c>
    </row>
    <row r="72" spans="1:3" x14ac:dyDescent="0.6">
      <c r="A72" s="1" t="s">
        <v>336</v>
      </c>
      <c r="B72" s="1" t="s">
        <v>337</v>
      </c>
      <c r="C72" s="1" t="s">
        <v>338</v>
      </c>
    </row>
    <row r="73" spans="1:3" x14ac:dyDescent="0.6">
      <c r="A73" s="1" t="s">
        <v>339</v>
      </c>
      <c r="B73" s="1" t="s">
        <v>340</v>
      </c>
      <c r="C73" s="1" t="s">
        <v>341</v>
      </c>
    </row>
    <row r="74" spans="1:3" x14ac:dyDescent="0.6">
      <c r="A74" s="1" t="s">
        <v>342</v>
      </c>
      <c r="B74" s="1" t="s">
        <v>343</v>
      </c>
      <c r="C74" s="1" t="s">
        <v>344</v>
      </c>
    </row>
    <row r="75" spans="1:3" x14ac:dyDescent="0.6">
      <c r="A75" s="1" t="s">
        <v>345</v>
      </c>
      <c r="B75" s="1" t="s">
        <v>346</v>
      </c>
      <c r="C75" s="1" t="s">
        <v>347</v>
      </c>
    </row>
    <row r="76" spans="1:3" x14ac:dyDescent="0.6">
      <c r="A76" s="1" t="s">
        <v>348</v>
      </c>
      <c r="B76" s="1" t="s">
        <v>349</v>
      </c>
      <c r="C76" s="1" t="s">
        <v>16</v>
      </c>
    </row>
    <row r="77" spans="1:3" x14ac:dyDescent="0.6">
      <c r="A77" s="1" t="s">
        <v>350</v>
      </c>
      <c r="B77" s="1" t="s">
        <v>351</v>
      </c>
      <c r="C77" s="1" t="s">
        <v>352</v>
      </c>
    </row>
    <row r="78" spans="1:3" x14ac:dyDescent="0.6">
      <c r="A78" s="1" t="s">
        <v>353</v>
      </c>
      <c r="B78" s="1" t="s">
        <v>354</v>
      </c>
      <c r="C78" s="1" t="s">
        <v>355</v>
      </c>
    </row>
    <row r="79" spans="1:3" x14ac:dyDescent="0.6">
      <c r="A79" s="1" t="s">
        <v>356</v>
      </c>
      <c r="B79" s="1" t="s">
        <v>357</v>
      </c>
      <c r="C79" s="1" t="s">
        <v>358</v>
      </c>
    </row>
    <row r="80" spans="1:3" x14ac:dyDescent="0.6">
      <c r="A80" s="1" t="s">
        <v>359</v>
      </c>
      <c r="B80" s="1" t="s">
        <v>360</v>
      </c>
      <c r="C80" s="1" t="s">
        <v>361</v>
      </c>
    </row>
    <row r="81" spans="1:3" x14ac:dyDescent="0.6">
      <c r="A81" s="1" t="s">
        <v>362</v>
      </c>
      <c r="B81" s="1" t="s">
        <v>363</v>
      </c>
      <c r="C81" s="1" t="s">
        <v>364</v>
      </c>
    </row>
    <row r="82" spans="1:3" x14ac:dyDescent="0.6">
      <c r="A82" s="1" t="s">
        <v>365</v>
      </c>
      <c r="B82" s="1" t="s">
        <v>366</v>
      </c>
      <c r="C82" s="1" t="s">
        <v>367</v>
      </c>
    </row>
    <row r="83" spans="1:3" x14ac:dyDescent="0.6">
      <c r="A83" s="1" t="s">
        <v>368</v>
      </c>
      <c r="B83" s="1" t="s">
        <v>369</v>
      </c>
      <c r="C83" s="1" t="s">
        <v>370</v>
      </c>
    </row>
    <row r="84" spans="1:3" x14ac:dyDescent="0.6">
      <c r="A84" s="1" t="s">
        <v>371</v>
      </c>
      <c r="B84" s="1" t="s">
        <v>372</v>
      </c>
      <c r="C84" s="1" t="s">
        <v>373</v>
      </c>
    </row>
    <row r="85" spans="1:3" x14ac:dyDescent="0.6">
      <c r="A85" s="1" t="s">
        <v>374</v>
      </c>
      <c r="B85" s="1" t="s">
        <v>375</v>
      </c>
      <c r="C85" s="1" t="s">
        <v>376</v>
      </c>
    </row>
    <row r="86" spans="1:3" x14ac:dyDescent="0.6">
      <c r="A86" s="1" t="s">
        <v>377</v>
      </c>
      <c r="B86" s="1" t="s">
        <v>378</v>
      </c>
      <c r="C86" s="1" t="s">
        <v>378</v>
      </c>
    </row>
    <row r="87" spans="1:3" x14ac:dyDescent="0.6">
      <c r="A87" s="1" t="s">
        <v>379</v>
      </c>
      <c r="B87" s="1" t="s">
        <v>380</v>
      </c>
      <c r="C87" s="1" t="s">
        <v>381</v>
      </c>
    </row>
    <row r="88" spans="1:3" x14ac:dyDescent="0.6">
      <c r="A88" s="1" t="s">
        <v>382</v>
      </c>
      <c r="B88" s="1" t="s">
        <v>383</v>
      </c>
      <c r="C88" s="1" t="s">
        <v>384</v>
      </c>
    </row>
    <row r="89" spans="1:3" x14ac:dyDescent="0.6">
      <c r="A89" s="1" t="s">
        <v>385</v>
      </c>
      <c r="B89" s="1" t="s">
        <v>386</v>
      </c>
      <c r="C89" s="1" t="s">
        <v>387</v>
      </c>
    </row>
    <row r="90" spans="1:3" x14ac:dyDescent="0.6">
      <c r="A90" s="1" t="s">
        <v>388</v>
      </c>
      <c r="B90" s="1" t="s">
        <v>389</v>
      </c>
      <c r="C90" s="1" t="s">
        <v>390</v>
      </c>
    </row>
    <row r="91" spans="1:3" x14ac:dyDescent="0.6">
      <c r="A91" s="1" t="s">
        <v>391</v>
      </c>
      <c r="B91" s="1" t="s">
        <v>392</v>
      </c>
      <c r="C91" s="1" t="s">
        <v>393</v>
      </c>
    </row>
    <row r="92" spans="1:3" x14ac:dyDescent="0.6">
      <c r="A92" s="1" t="s">
        <v>394</v>
      </c>
      <c r="B92" s="1" t="s">
        <v>395</v>
      </c>
      <c r="C92" s="1" t="s">
        <v>396</v>
      </c>
    </row>
    <row r="93" spans="1:3" x14ac:dyDescent="0.6">
      <c r="A93" s="1" t="s">
        <v>397</v>
      </c>
      <c r="B93" s="1" t="s">
        <v>398</v>
      </c>
      <c r="C93" s="1" t="s">
        <v>399</v>
      </c>
    </row>
    <row r="94" spans="1:3" x14ac:dyDescent="0.6">
      <c r="A94" s="1" t="s">
        <v>400</v>
      </c>
      <c r="B94" s="1" t="s">
        <v>401</v>
      </c>
      <c r="C94" s="1" t="s">
        <v>402</v>
      </c>
    </row>
    <row r="95" spans="1:3" x14ac:dyDescent="0.6">
      <c r="A95" s="1" t="s">
        <v>403</v>
      </c>
      <c r="B95" s="1" t="s">
        <v>404</v>
      </c>
      <c r="C95" s="1" t="s">
        <v>405</v>
      </c>
    </row>
    <row r="96" spans="1:3" x14ac:dyDescent="0.6">
      <c r="A96" s="1" t="s">
        <v>406</v>
      </c>
      <c r="B96" s="1" t="s">
        <v>407</v>
      </c>
      <c r="C96" s="1" t="s">
        <v>408</v>
      </c>
    </row>
    <row r="97" spans="1:3" x14ac:dyDescent="0.6">
      <c r="A97" s="1" t="s">
        <v>409</v>
      </c>
      <c r="B97" s="1" t="s">
        <v>410</v>
      </c>
      <c r="C97" s="1" t="s">
        <v>411</v>
      </c>
    </row>
    <row r="98" spans="1:3" x14ac:dyDescent="0.6">
      <c r="A98" s="1" t="s">
        <v>412</v>
      </c>
      <c r="B98" s="1" t="s">
        <v>413</v>
      </c>
      <c r="C98" s="1" t="s">
        <v>414</v>
      </c>
    </row>
    <row r="99" spans="1:3" x14ac:dyDescent="0.6">
      <c r="A99" s="1" t="s">
        <v>415</v>
      </c>
      <c r="B99" s="1" t="s">
        <v>416</v>
      </c>
      <c r="C99" s="1" t="s">
        <v>417</v>
      </c>
    </row>
    <row r="100" spans="1:3" x14ac:dyDescent="0.6">
      <c r="A100" s="1" t="s">
        <v>418</v>
      </c>
      <c r="B100" s="1" t="s">
        <v>419</v>
      </c>
      <c r="C100" s="1" t="s">
        <v>420</v>
      </c>
    </row>
    <row r="101" spans="1:3" x14ac:dyDescent="0.6">
      <c r="A101" s="1" t="s">
        <v>421</v>
      </c>
      <c r="B101" s="1" t="s">
        <v>422</v>
      </c>
      <c r="C101" s="1" t="s">
        <v>423</v>
      </c>
    </row>
    <row r="102" spans="1:3" x14ac:dyDescent="0.6">
      <c r="A102" s="1" t="s">
        <v>424</v>
      </c>
      <c r="B102" s="1" t="s">
        <v>425</v>
      </c>
      <c r="C102" s="1" t="s">
        <v>426</v>
      </c>
    </row>
    <row r="103" spans="1:3" x14ac:dyDescent="0.6">
      <c r="A103" s="1" t="s">
        <v>427</v>
      </c>
      <c r="B103" s="1" t="s">
        <v>428</v>
      </c>
      <c r="C103" s="1" t="s">
        <v>429</v>
      </c>
    </row>
    <row r="104" spans="1:3" x14ac:dyDescent="0.6">
      <c r="A104" s="1" t="s">
        <v>430</v>
      </c>
      <c r="B104" s="1" t="s">
        <v>431</v>
      </c>
      <c r="C104" s="1" t="s">
        <v>432</v>
      </c>
    </row>
    <row r="105" spans="1:3" x14ac:dyDescent="0.6">
      <c r="A105" s="1" t="s">
        <v>433</v>
      </c>
      <c r="B105" s="1" t="s">
        <v>434</v>
      </c>
      <c r="C105" s="1" t="s">
        <v>435</v>
      </c>
    </row>
    <row r="106" spans="1:3" x14ac:dyDescent="0.6">
      <c r="A106" s="1" t="s">
        <v>436</v>
      </c>
      <c r="B106" s="1" t="s">
        <v>437</v>
      </c>
      <c r="C106" s="1" t="s">
        <v>438</v>
      </c>
    </row>
    <row r="107" spans="1:3" x14ac:dyDescent="0.6">
      <c r="A107" s="1" t="s">
        <v>439</v>
      </c>
      <c r="B107" s="1" t="s">
        <v>440</v>
      </c>
      <c r="C107" s="1" t="s">
        <v>441</v>
      </c>
    </row>
    <row r="108" spans="1:3" x14ac:dyDescent="0.6">
      <c r="A108" s="1" t="s">
        <v>442</v>
      </c>
      <c r="B108" s="1" t="s">
        <v>443</v>
      </c>
      <c r="C108" s="1" t="s">
        <v>444</v>
      </c>
    </row>
    <row r="109" spans="1:3" x14ac:dyDescent="0.6">
      <c r="A109" s="1" t="s">
        <v>445</v>
      </c>
      <c r="B109" s="1" t="s">
        <v>446</v>
      </c>
      <c r="C109" s="1" t="s">
        <v>447</v>
      </c>
    </row>
    <row r="110" spans="1:3" x14ac:dyDescent="0.6">
      <c r="A110" s="1" t="s">
        <v>448</v>
      </c>
      <c r="B110" s="1" t="s">
        <v>449</v>
      </c>
      <c r="C110" s="1" t="s">
        <v>450</v>
      </c>
    </row>
    <row r="111" spans="1:3" x14ac:dyDescent="0.6">
      <c r="A111" s="1" t="s">
        <v>451</v>
      </c>
      <c r="B111" s="1" t="s">
        <v>452</v>
      </c>
      <c r="C111" s="1" t="s">
        <v>453</v>
      </c>
    </row>
    <row r="112" spans="1:3" x14ac:dyDescent="0.6">
      <c r="A112" s="1" t="s">
        <v>454</v>
      </c>
      <c r="B112" s="1" t="s">
        <v>455</v>
      </c>
      <c r="C112" s="1" t="s">
        <v>456</v>
      </c>
    </row>
    <row r="113" spans="1:3" x14ac:dyDescent="0.6">
      <c r="A113" s="1" t="s">
        <v>457</v>
      </c>
      <c r="B113" s="1" t="s">
        <v>458</v>
      </c>
      <c r="C113" s="1" t="s">
        <v>459</v>
      </c>
    </row>
    <row r="114" spans="1:3" x14ac:dyDescent="0.6">
      <c r="A114" s="1" t="s">
        <v>460</v>
      </c>
      <c r="B114" s="1" t="s">
        <v>461</v>
      </c>
      <c r="C114" s="1" t="s">
        <v>462</v>
      </c>
    </row>
    <row r="115" spans="1:3" x14ac:dyDescent="0.6">
      <c r="A115" s="1" t="s">
        <v>463</v>
      </c>
      <c r="B115" s="1" t="s">
        <v>464</v>
      </c>
      <c r="C115" s="1" t="s">
        <v>465</v>
      </c>
    </row>
    <row r="116" spans="1:3" x14ac:dyDescent="0.6">
      <c r="A116" s="1" t="s">
        <v>466</v>
      </c>
      <c r="B116" s="1" t="s">
        <v>467</v>
      </c>
      <c r="C116" s="1" t="s">
        <v>270</v>
      </c>
    </row>
    <row r="117" spans="1:3" x14ac:dyDescent="0.6">
      <c r="A117" s="1" t="s">
        <v>468</v>
      </c>
      <c r="B117" s="1" t="s">
        <v>469</v>
      </c>
      <c r="C117" s="1" t="s">
        <v>470</v>
      </c>
    </row>
    <row r="118" spans="1:3" x14ac:dyDescent="0.6">
      <c r="A118" s="1" t="s">
        <v>471</v>
      </c>
      <c r="B118" s="1" t="s">
        <v>472</v>
      </c>
      <c r="C118" s="1" t="s">
        <v>473</v>
      </c>
    </row>
    <row r="119" spans="1:3" x14ac:dyDescent="0.6">
      <c r="A119" s="1" t="s">
        <v>474</v>
      </c>
      <c r="B119" s="1" t="s">
        <v>475</v>
      </c>
      <c r="C119" s="1" t="s">
        <v>476</v>
      </c>
    </row>
    <row r="120" spans="1:3" x14ac:dyDescent="0.6">
      <c r="A120" s="1" t="s">
        <v>477</v>
      </c>
      <c r="B120" s="1" t="s">
        <v>478</v>
      </c>
      <c r="C120" s="1" t="s">
        <v>479</v>
      </c>
    </row>
    <row r="121" spans="1:3" x14ac:dyDescent="0.6">
      <c r="A121" s="1" t="s">
        <v>480</v>
      </c>
      <c r="B121" s="1" t="s">
        <v>481</v>
      </c>
      <c r="C121" s="1" t="s">
        <v>482</v>
      </c>
    </row>
    <row r="122" spans="1:3" x14ac:dyDescent="0.6">
      <c r="A122" s="1" t="s">
        <v>483</v>
      </c>
      <c r="B122" s="1" t="s">
        <v>484</v>
      </c>
      <c r="C122" s="1" t="s">
        <v>485</v>
      </c>
    </row>
    <row r="123" spans="1:3" x14ac:dyDescent="0.6">
      <c r="A123" s="1" t="s">
        <v>486</v>
      </c>
      <c r="B123" s="1" t="s">
        <v>487</v>
      </c>
      <c r="C123" s="1" t="s">
        <v>488</v>
      </c>
    </row>
    <row r="124" spans="1:3" x14ac:dyDescent="0.6">
      <c r="A124" s="1" t="s">
        <v>489</v>
      </c>
      <c r="B124" s="1" t="s">
        <v>490</v>
      </c>
      <c r="C124" s="1" t="s">
        <v>491</v>
      </c>
    </row>
    <row r="125" spans="1:3" x14ac:dyDescent="0.6">
      <c r="A125" s="1" t="s">
        <v>492</v>
      </c>
      <c r="B125" s="1" t="s">
        <v>493</v>
      </c>
      <c r="C125" s="1" t="s">
        <v>494</v>
      </c>
    </row>
    <row r="126" spans="1:3" x14ac:dyDescent="0.6">
      <c r="A126" s="1" t="s">
        <v>495</v>
      </c>
      <c r="B126" s="1" t="s">
        <v>496</v>
      </c>
      <c r="C126" s="1" t="s">
        <v>497</v>
      </c>
    </row>
    <row r="127" spans="1:3" x14ac:dyDescent="0.6">
      <c r="A127" s="1" t="s">
        <v>498</v>
      </c>
      <c r="B127" s="1" t="s">
        <v>499</v>
      </c>
      <c r="C127" s="1" t="s">
        <v>500</v>
      </c>
    </row>
    <row r="128" spans="1:3" x14ac:dyDescent="0.6">
      <c r="A128" s="1" t="s">
        <v>501</v>
      </c>
      <c r="B128" s="1" t="s">
        <v>502</v>
      </c>
      <c r="C128" s="1" t="s">
        <v>503</v>
      </c>
    </row>
    <row r="129" spans="1:3" x14ac:dyDescent="0.6">
      <c r="A129" s="1" t="s">
        <v>504</v>
      </c>
      <c r="B129" s="1" t="s">
        <v>505</v>
      </c>
      <c r="C129" s="1" t="s">
        <v>506</v>
      </c>
    </row>
    <row r="130" spans="1:3" x14ac:dyDescent="0.6">
      <c r="A130" s="1" t="s">
        <v>507</v>
      </c>
      <c r="B130" s="1" t="s">
        <v>508</v>
      </c>
      <c r="C130" s="1" t="s">
        <v>509</v>
      </c>
    </row>
    <row r="131" spans="1:3" x14ac:dyDescent="0.6">
      <c r="A131" s="1" t="s">
        <v>510</v>
      </c>
      <c r="B131" s="1" t="s">
        <v>511</v>
      </c>
      <c r="C131" s="1" t="s">
        <v>512</v>
      </c>
    </row>
    <row r="132" spans="1:3" x14ac:dyDescent="0.6">
      <c r="A132" s="1" t="s">
        <v>513</v>
      </c>
      <c r="B132" s="1" t="s">
        <v>514</v>
      </c>
      <c r="C132" s="1" t="s">
        <v>515</v>
      </c>
    </row>
    <row r="133" spans="1:3" x14ac:dyDescent="0.6">
      <c r="A133" s="1" t="s">
        <v>516</v>
      </c>
      <c r="B133" s="1" t="s">
        <v>517</v>
      </c>
      <c r="C133" s="1" t="s">
        <v>518</v>
      </c>
    </row>
    <row r="134" spans="1:3" x14ac:dyDescent="0.6">
      <c r="A134" s="1" t="s">
        <v>519</v>
      </c>
      <c r="B134" s="1" t="s">
        <v>520</v>
      </c>
      <c r="C134" s="1" t="s">
        <v>521</v>
      </c>
    </row>
    <row r="135" spans="1:3" x14ac:dyDescent="0.6">
      <c r="A135" s="1" t="s">
        <v>522</v>
      </c>
      <c r="B135" s="1" t="s">
        <v>523</v>
      </c>
      <c r="C135" s="1" t="s">
        <v>524</v>
      </c>
    </row>
    <row r="136" spans="1:3" x14ac:dyDescent="0.6">
      <c r="A136" s="1" t="s">
        <v>525</v>
      </c>
      <c r="B136" s="1" t="s">
        <v>526</v>
      </c>
      <c r="C136" s="1" t="s">
        <v>527</v>
      </c>
    </row>
    <row r="137" spans="1:3" x14ac:dyDescent="0.6">
      <c r="A137" s="1" t="s">
        <v>528</v>
      </c>
      <c r="B137" s="1" t="s">
        <v>529</v>
      </c>
      <c r="C137" s="1" t="s">
        <v>530</v>
      </c>
    </row>
    <row r="138" spans="1:3" x14ac:dyDescent="0.6">
      <c r="A138" s="1" t="s">
        <v>531</v>
      </c>
      <c r="B138" s="1" t="s">
        <v>532</v>
      </c>
      <c r="C138" s="1" t="s">
        <v>533</v>
      </c>
    </row>
    <row r="139" spans="1:3" x14ac:dyDescent="0.6">
      <c r="A139" s="1" t="s">
        <v>534</v>
      </c>
      <c r="B139" s="1" t="s">
        <v>535</v>
      </c>
      <c r="C139" s="1" t="s">
        <v>536</v>
      </c>
    </row>
    <row r="140" spans="1:3" x14ac:dyDescent="0.6">
      <c r="A140" s="1" t="s">
        <v>537</v>
      </c>
      <c r="B140" s="1" t="s">
        <v>538</v>
      </c>
      <c r="C140" s="1" t="s">
        <v>539</v>
      </c>
    </row>
    <row r="141" spans="1:3" x14ac:dyDescent="0.6">
      <c r="A141" s="1" t="s">
        <v>540</v>
      </c>
      <c r="B141" s="1" t="s">
        <v>541</v>
      </c>
      <c r="C141" s="1" t="s">
        <v>542</v>
      </c>
    </row>
    <row r="142" spans="1:3" x14ac:dyDescent="0.6">
      <c r="A142" s="1" t="s">
        <v>543</v>
      </c>
      <c r="B142" s="1" t="s">
        <v>544</v>
      </c>
      <c r="C142" s="1" t="s">
        <v>545</v>
      </c>
    </row>
    <row r="143" spans="1:3" x14ac:dyDescent="0.6">
      <c r="A143" s="1" t="s">
        <v>546</v>
      </c>
      <c r="B143" s="1" t="s">
        <v>547</v>
      </c>
      <c r="C143" s="1" t="s">
        <v>548</v>
      </c>
    </row>
    <row r="144" spans="1:3" x14ac:dyDescent="0.6">
      <c r="A144" s="1" t="s">
        <v>549</v>
      </c>
      <c r="B144" s="1" t="s">
        <v>550</v>
      </c>
      <c r="C144" s="1" t="s">
        <v>551</v>
      </c>
    </row>
    <row r="145" spans="1:3" x14ac:dyDescent="0.6">
      <c r="A145" s="1" t="s">
        <v>552</v>
      </c>
      <c r="B145" s="1" t="s">
        <v>553</v>
      </c>
      <c r="C145" s="1" t="s">
        <v>554</v>
      </c>
    </row>
    <row r="146" spans="1:3" x14ac:dyDescent="0.6">
      <c r="A146" s="1" t="s">
        <v>555</v>
      </c>
      <c r="B146" s="1" t="s">
        <v>556</v>
      </c>
      <c r="C146" s="1" t="s">
        <v>557</v>
      </c>
    </row>
    <row r="147" spans="1:3" x14ac:dyDescent="0.6">
      <c r="A147" s="1" t="s">
        <v>558</v>
      </c>
      <c r="B147" s="1" t="s">
        <v>559</v>
      </c>
      <c r="C147" s="1" t="s">
        <v>560</v>
      </c>
    </row>
    <row r="148" spans="1:3" x14ac:dyDescent="0.6">
      <c r="A148" s="1" t="s">
        <v>561</v>
      </c>
      <c r="B148" s="1" t="s">
        <v>562</v>
      </c>
      <c r="C148" s="1" t="s">
        <v>563</v>
      </c>
    </row>
    <row r="149" spans="1:3" x14ac:dyDescent="0.6">
      <c r="A149" s="1" t="s">
        <v>564</v>
      </c>
      <c r="B149" s="1" t="s">
        <v>565</v>
      </c>
      <c r="C149" s="1" t="s">
        <v>566</v>
      </c>
    </row>
    <row r="150" spans="1:3" x14ac:dyDescent="0.6">
      <c r="A150" s="1" t="s">
        <v>567</v>
      </c>
      <c r="B150" s="1" t="s">
        <v>568</v>
      </c>
      <c r="C150" s="1" t="s">
        <v>569</v>
      </c>
    </row>
    <row r="151" spans="1:3" x14ac:dyDescent="0.6">
      <c r="A151" s="1" t="s">
        <v>570</v>
      </c>
      <c r="B151" s="1" t="s">
        <v>571</v>
      </c>
      <c r="C151" s="1" t="s">
        <v>572</v>
      </c>
    </row>
    <row r="152" spans="1:3" x14ac:dyDescent="0.6">
      <c r="A152" s="1" t="s">
        <v>573</v>
      </c>
      <c r="B152" s="1" t="s">
        <v>574</v>
      </c>
      <c r="C152" s="1" t="s">
        <v>234</v>
      </c>
    </row>
    <row r="153" spans="1:3" x14ac:dyDescent="0.6">
      <c r="A153" s="1" t="s">
        <v>575</v>
      </c>
      <c r="B153" s="1" t="s">
        <v>576</v>
      </c>
      <c r="C153" s="1" t="s">
        <v>577</v>
      </c>
    </row>
    <row r="154" spans="1:3" x14ac:dyDescent="0.6">
      <c r="A154" s="1" t="s">
        <v>578</v>
      </c>
      <c r="B154" s="1" t="s">
        <v>579</v>
      </c>
      <c r="C154" s="1" t="s">
        <v>580</v>
      </c>
    </row>
    <row r="155" spans="1:3" x14ac:dyDescent="0.6">
      <c r="A155" s="1" t="s">
        <v>581</v>
      </c>
      <c r="B155" s="1" t="s">
        <v>582</v>
      </c>
      <c r="C155" s="1" t="s">
        <v>583</v>
      </c>
    </row>
    <row r="156" spans="1:3" x14ac:dyDescent="0.6">
      <c r="A156" s="1" t="s">
        <v>584</v>
      </c>
      <c r="B156" s="1" t="s">
        <v>585</v>
      </c>
      <c r="C156" s="1" t="s">
        <v>586</v>
      </c>
    </row>
    <row r="157" spans="1:3" x14ac:dyDescent="0.6">
      <c r="A157" s="1" t="s">
        <v>587</v>
      </c>
      <c r="B157" s="1" t="s">
        <v>588</v>
      </c>
      <c r="C157" s="1" t="s">
        <v>589</v>
      </c>
    </row>
    <row r="158" spans="1:3" x14ac:dyDescent="0.6">
      <c r="A158" s="1" t="s">
        <v>590</v>
      </c>
      <c r="B158" s="1" t="s">
        <v>591</v>
      </c>
      <c r="C158" s="1" t="s">
        <v>592</v>
      </c>
    </row>
    <row r="159" spans="1:3" x14ac:dyDescent="0.6">
      <c r="A159" s="1" t="s">
        <v>593</v>
      </c>
      <c r="B159" s="1" t="s">
        <v>594</v>
      </c>
      <c r="C159" s="1" t="s">
        <v>595</v>
      </c>
    </row>
    <row r="160" spans="1:3" x14ac:dyDescent="0.6">
      <c r="A160" s="1" t="s">
        <v>596</v>
      </c>
      <c r="B160" s="1" t="s">
        <v>597</v>
      </c>
      <c r="C160" s="1" t="s">
        <v>598</v>
      </c>
    </row>
    <row r="161" spans="1:3" x14ac:dyDescent="0.6">
      <c r="A161" s="1" t="s">
        <v>599</v>
      </c>
      <c r="B161" s="1" t="s">
        <v>600</v>
      </c>
      <c r="C161" s="1" t="s">
        <v>601</v>
      </c>
    </row>
    <row r="162" spans="1:3" x14ac:dyDescent="0.6">
      <c r="A162" s="1" t="s">
        <v>602</v>
      </c>
      <c r="B162" s="1" t="s">
        <v>603</v>
      </c>
      <c r="C162" s="1" t="s">
        <v>604</v>
      </c>
    </row>
    <row r="163" spans="1:3" x14ac:dyDescent="0.6">
      <c r="A163" s="1" t="s">
        <v>605</v>
      </c>
      <c r="B163" s="1" t="s">
        <v>606</v>
      </c>
      <c r="C163" s="1" t="s">
        <v>607</v>
      </c>
    </row>
    <row r="164" spans="1:3" x14ac:dyDescent="0.6">
      <c r="A164" s="1" t="s">
        <v>608</v>
      </c>
      <c r="B164" s="1" t="s">
        <v>609</v>
      </c>
      <c r="C164" s="1" t="s">
        <v>610</v>
      </c>
    </row>
    <row r="165" spans="1:3" x14ac:dyDescent="0.6">
      <c r="A165" s="1" t="s">
        <v>611</v>
      </c>
      <c r="B165" s="1" t="s">
        <v>612</v>
      </c>
      <c r="C165" s="1" t="s">
        <v>613</v>
      </c>
    </row>
    <row r="166" spans="1:3" x14ac:dyDescent="0.6">
      <c r="A166" s="1" t="s">
        <v>614</v>
      </c>
      <c r="B166" s="1" t="s">
        <v>615</v>
      </c>
      <c r="C166" s="1" t="s">
        <v>616</v>
      </c>
    </row>
    <row r="167" spans="1:3" x14ac:dyDescent="0.6">
      <c r="A167" s="1" t="s">
        <v>617</v>
      </c>
      <c r="B167" s="1" t="s">
        <v>618</v>
      </c>
      <c r="C167" s="1" t="s">
        <v>619</v>
      </c>
    </row>
    <row r="168" spans="1:3" x14ac:dyDescent="0.6">
      <c r="A168" s="1" t="s">
        <v>620</v>
      </c>
      <c r="B168" s="1" t="s">
        <v>621</v>
      </c>
      <c r="C168" s="1" t="s">
        <v>622</v>
      </c>
    </row>
    <row r="169" spans="1:3" x14ac:dyDescent="0.6">
      <c r="A169" s="1" t="s">
        <v>623</v>
      </c>
      <c r="B169" s="1" t="s">
        <v>624</v>
      </c>
      <c r="C169" s="1" t="s">
        <v>625</v>
      </c>
    </row>
    <row r="170" spans="1:3" x14ac:dyDescent="0.6">
      <c r="A170" s="1" t="s">
        <v>626</v>
      </c>
      <c r="B170" s="1" t="s">
        <v>627</v>
      </c>
      <c r="C170" s="1" t="s">
        <v>628</v>
      </c>
    </row>
    <row r="171" spans="1:3" x14ac:dyDescent="0.6">
      <c r="A171" s="1" t="s">
        <v>629</v>
      </c>
      <c r="B171" s="1" t="s">
        <v>630</v>
      </c>
      <c r="C171" s="1" t="s">
        <v>631</v>
      </c>
    </row>
    <row r="172" spans="1:3" x14ac:dyDescent="0.6">
      <c r="A172" s="1" t="s">
        <v>632</v>
      </c>
      <c r="B172" s="1" t="s">
        <v>633</v>
      </c>
      <c r="C172" s="1" t="s">
        <v>634</v>
      </c>
    </row>
    <row r="173" spans="1:3" x14ac:dyDescent="0.6">
      <c r="A173" s="1" t="s">
        <v>635</v>
      </c>
      <c r="B173" s="1" t="s">
        <v>636</v>
      </c>
      <c r="C173" s="1" t="s">
        <v>637</v>
      </c>
    </row>
    <row r="174" spans="1:3" x14ac:dyDescent="0.6">
      <c r="A174" s="1" t="s">
        <v>638</v>
      </c>
      <c r="B174" s="1" t="s">
        <v>639</v>
      </c>
      <c r="C174" s="1" t="s">
        <v>640</v>
      </c>
    </row>
    <row r="175" spans="1:3" x14ac:dyDescent="0.6">
      <c r="A175" s="1" t="s">
        <v>641</v>
      </c>
      <c r="B175" s="1" t="s">
        <v>642</v>
      </c>
      <c r="C175" s="1" t="s">
        <v>643</v>
      </c>
    </row>
    <row r="176" spans="1:3" x14ac:dyDescent="0.6">
      <c r="A176" s="1" t="s">
        <v>644</v>
      </c>
      <c r="B176" s="1" t="s">
        <v>645</v>
      </c>
      <c r="C176" s="1" t="s">
        <v>646</v>
      </c>
    </row>
    <row r="177" spans="1:3" x14ac:dyDescent="0.6">
      <c r="A177" s="1" t="s">
        <v>647</v>
      </c>
      <c r="B177" s="1" t="s">
        <v>648</v>
      </c>
      <c r="C177" s="1" t="s">
        <v>649</v>
      </c>
    </row>
    <row r="178" spans="1:3" x14ac:dyDescent="0.6">
      <c r="A178" s="1" t="s">
        <v>650</v>
      </c>
      <c r="B178" s="1" t="s">
        <v>651</v>
      </c>
      <c r="C178" s="1" t="s">
        <v>652</v>
      </c>
    </row>
    <row r="179" spans="1:3" x14ac:dyDescent="0.6">
      <c r="A179" s="1" t="s">
        <v>653</v>
      </c>
      <c r="B179" s="1" t="s">
        <v>654</v>
      </c>
      <c r="C179" s="1" t="s">
        <v>655</v>
      </c>
    </row>
    <row r="180" spans="1:3" x14ac:dyDescent="0.6">
      <c r="A180" s="1" t="s">
        <v>656</v>
      </c>
      <c r="B180" s="1" t="s">
        <v>657</v>
      </c>
      <c r="C180" s="1" t="s">
        <v>658</v>
      </c>
    </row>
    <row r="181" spans="1:3" x14ac:dyDescent="0.6">
      <c r="A181" s="1" t="s">
        <v>659</v>
      </c>
      <c r="B181" s="1" t="s">
        <v>660</v>
      </c>
      <c r="C181" s="1" t="s">
        <v>661</v>
      </c>
    </row>
    <row r="182" spans="1:3" x14ac:dyDescent="0.6">
      <c r="A182" s="1" t="s">
        <v>662</v>
      </c>
      <c r="B182" s="1" t="s">
        <v>663</v>
      </c>
      <c r="C182" s="1" t="s">
        <v>664</v>
      </c>
    </row>
    <row r="183" spans="1:3" x14ac:dyDescent="0.6">
      <c r="A183" s="1" t="s">
        <v>665</v>
      </c>
      <c r="B183" s="1" t="s">
        <v>666</v>
      </c>
      <c r="C183" s="1" t="s">
        <v>667</v>
      </c>
    </row>
    <row r="184" spans="1:3" x14ac:dyDescent="0.6">
      <c r="A184" s="1" t="s">
        <v>668</v>
      </c>
      <c r="B184" s="1" t="s">
        <v>669</v>
      </c>
      <c r="C184" s="1" t="s">
        <v>670</v>
      </c>
    </row>
    <row r="185" spans="1:3" x14ac:dyDescent="0.6">
      <c r="A185" s="1" t="s">
        <v>671</v>
      </c>
      <c r="B185" s="1" t="s">
        <v>672</v>
      </c>
      <c r="C185" s="1" t="s">
        <v>673</v>
      </c>
    </row>
    <row r="186" spans="1:3" x14ac:dyDescent="0.6">
      <c r="A186" s="1" t="s">
        <v>674</v>
      </c>
      <c r="B186" s="1" t="s">
        <v>675</v>
      </c>
      <c r="C186" s="1" t="s">
        <v>676</v>
      </c>
    </row>
    <row r="187" spans="1:3" x14ac:dyDescent="0.6">
      <c r="A187" s="1" t="s">
        <v>677</v>
      </c>
      <c r="B187" s="1" t="s">
        <v>678</v>
      </c>
      <c r="C187" s="1" t="s">
        <v>679</v>
      </c>
    </row>
    <row r="188" spans="1:3" x14ac:dyDescent="0.6">
      <c r="A188" s="1" t="s">
        <v>680</v>
      </c>
      <c r="B188" s="1" t="s">
        <v>681</v>
      </c>
      <c r="C188" s="1" t="s">
        <v>682</v>
      </c>
    </row>
    <row r="189" spans="1:3" x14ac:dyDescent="0.6">
      <c r="A189" s="1" t="s">
        <v>683</v>
      </c>
      <c r="B189" s="1" t="s">
        <v>684</v>
      </c>
      <c r="C189" s="1" t="s">
        <v>685</v>
      </c>
    </row>
    <row r="190" spans="1:3" x14ac:dyDescent="0.6">
      <c r="A190" s="1" t="s">
        <v>686</v>
      </c>
      <c r="B190" s="1" t="s">
        <v>687</v>
      </c>
      <c r="C190" s="1" t="s">
        <v>688</v>
      </c>
    </row>
    <row r="191" spans="1:3" x14ac:dyDescent="0.6">
      <c r="A191" s="1" t="s">
        <v>689</v>
      </c>
      <c r="B191" s="1" t="s">
        <v>690</v>
      </c>
      <c r="C191" s="1" t="s">
        <v>691</v>
      </c>
    </row>
    <row r="192" spans="1:3" x14ac:dyDescent="0.6">
      <c r="A192" s="1" t="s">
        <v>692</v>
      </c>
      <c r="B192" s="1" t="s">
        <v>693</v>
      </c>
      <c r="C192" s="1" t="s">
        <v>694</v>
      </c>
    </row>
    <row r="193" spans="1:3" x14ac:dyDescent="0.6">
      <c r="A193" s="1" t="s">
        <v>695</v>
      </c>
      <c r="B193" s="1" t="s">
        <v>696</v>
      </c>
      <c r="C193" s="1" t="s">
        <v>697</v>
      </c>
    </row>
  </sheetData>
  <autoFilter ref="A3:C3" xr:uid="{D8B2CA5A-51EA-479E-80EC-5577211367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1777B-1AA3-48B5-86FA-B375601B16B9}">
  <dimension ref="A1:C12"/>
  <sheetViews>
    <sheetView showGridLines="0" zoomScale="130" zoomScaleNormal="130" workbookViewId="0">
      <pane ySplit="3" topLeftCell="A4" activePane="bottomLeft" state="frozen"/>
      <selection pane="bottomLeft" activeCell="C1" sqref="C1"/>
    </sheetView>
  </sheetViews>
  <sheetFormatPr defaultColWidth="9.1328125" defaultRowHeight="16.5" x14ac:dyDescent="0.6"/>
  <cols>
    <col min="1" max="1" width="15.46484375" style="1" bestFit="1" customWidth="1"/>
    <col min="2" max="3" width="25.6640625" style="1" customWidth="1"/>
    <col min="4" max="16384" width="9.1328125" style="1"/>
  </cols>
  <sheetData>
    <row r="1" spans="1:3" x14ac:dyDescent="0.6">
      <c r="C1" s="9"/>
    </row>
    <row r="2" spans="1:3" x14ac:dyDescent="0.6">
      <c r="A2" s="3" t="s">
        <v>703</v>
      </c>
    </row>
    <row r="3" spans="1:3" x14ac:dyDescent="0.6">
      <c r="A3" s="2" t="s">
        <v>703</v>
      </c>
      <c r="B3" s="2" t="s">
        <v>1718</v>
      </c>
      <c r="C3" s="2" t="s">
        <v>2782</v>
      </c>
    </row>
    <row r="4" spans="1:3" x14ac:dyDescent="0.6">
      <c r="A4" s="1" t="s">
        <v>0</v>
      </c>
      <c r="B4" s="1" t="s">
        <v>704</v>
      </c>
      <c r="C4" s="1" t="s">
        <v>705</v>
      </c>
    </row>
    <row r="5" spans="1:3" x14ac:dyDescent="0.6">
      <c r="A5" s="1" t="s">
        <v>8</v>
      </c>
      <c r="B5" s="1" t="s">
        <v>706</v>
      </c>
      <c r="C5" s="1" t="s">
        <v>707</v>
      </c>
    </row>
    <row r="6" spans="1:3" x14ac:dyDescent="0.6">
      <c r="A6" s="1" t="s">
        <v>11</v>
      </c>
      <c r="B6" s="1" t="s">
        <v>708</v>
      </c>
      <c r="C6" s="1" t="s">
        <v>709</v>
      </c>
    </row>
    <row r="7" spans="1:3" x14ac:dyDescent="0.6">
      <c r="A7" s="1" t="s">
        <v>14</v>
      </c>
      <c r="B7" s="1" t="s">
        <v>710</v>
      </c>
      <c r="C7" s="1" t="s">
        <v>711</v>
      </c>
    </row>
    <row r="8" spans="1:3" x14ac:dyDescent="0.6">
      <c r="A8" s="1" t="s">
        <v>28</v>
      </c>
      <c r="B8" s="1" t="s">
        <v>712</v>
      </c>
      <c r="C8" s="1" t="s">
        <v>713</v>
      </c>
    </row>
    <row r="9" spans="1:3" x14ac:dyDescent="0.6">
      <c r="A9" s="1" t="s">
        <v>714</v>
      </c>
      <c r="B9" s="1" t="s">
        <v>715</v>
      </c>
      <c r="C9" s="1" t="s">
        <v>716</v>
      </c>
    </row>
    <row r="10" spans="1:3" x14ac:dyDescent="0.6">
      <c r="A10" s="1" t="s">
        <v>46</v>
      </c>
      <c r="B10" s="1" t="s">
        <v>717</v>
      </c>
      <c r="C10" s="1" t="s">
        <v>718</v>
      </c>
    </row>
    <row r="11" spans="1:3" x14ac:dyDescent="0.6">
      <c r="A11" s="1" t="s">
        <v>55</v>
      </c>
      <c r="B11" s="1" t="s">
        <v>719</v>
      </c>
      <c r="C11" s="1" t="s">
        <v>720</v>
      </c>
    </row>
    <row r="12" spans="1:3" x14ac:dyDescent="0.6">
      <c r="A12" s="5" t="s">
        <v>723</v>
      </c>
      <c r="B12" s="1" t="s">
        <v>721</v>
      </c>
      <c r="C12" s="1" t="s">
        <v>722</v>
      </c>
    </row>
  </sheetData>
  <autoFilter ref="A3:C12" xr:uid="{9581777B-1AA3-48B5-86FA-B375601B16B9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60E93-22D8-4E5B-AC58-CD121D74306E}">
  <dimension ref="A1:S865"/>
  <sheetViews>
    <sheetView showGridLines="0" zoomScaleNormal="100" workbookViewId="0">
      <pane xSplit="4" ySplit="3" topLeftCell="F4" activePane="bottomRight" state="frozen"/>
      <selection pane="topRight" activeCell="E1" sqref="E1"/>
      <selection pane="bottomLeft" activeCell="A3" sqref="A3"/>
      <selection pane="bottomRight" activeCell="F4" sqref="F4"/>
    </sheetView>
  </sheetViews>
  <sheetFormatPr defaultColWidth="9.1328125" defaultRowHeight="16.5" x14ac:dyDescent="0.45"/>
  <cols>
    <col min="1" max="1" width="8.33203125" style="10" customWidth="1"/>
    <col min="2" max="2" width="19.1328125" style="11" customWidth="1"/>
    <col min="3" max="3" width="21.6640625" style="11" customWidth="1"/>
    <col min="4" max="4" width="47.86328125" style="11" customWidth="1"/>
    <col min="5" max="5" width="69.46484375" style="11" hidden="1" customWidth="1"/>
    <col min="6" max="6" width="11.1328125" style="10" customWidth="1"/>
    <col min="7" max="7" width="14.1328125" style="10" bestFit="1" customWidth="1"/>
    <col min="8" max="8" width="16.1328125" style="10" bestFit="1" customWidth="1"/>
    <col min="9" max="9" width="18.1328125" style="10" bestFit="1" customWidth="1"/>
    <col min="10" max="10" width="55.1328125" style="10" bestFit="1" customWidth="1"/>
    <col min="11" max="11" width="19.1328125" style="11" customWidth="1"/>
    <col min="12" max="12" width="15.19921875" style="11" bestFit="1" customWidth="1"/>
    <col min="13" max="13" width="46.46484375" style="11" bestFit="1" customWidth="1"/>
    <col min="14" max="14" width="24.59765625" style="11" customWidth="1"/>
    <col min="15" max="15" width="30.19921875" style="11" customWidth="1"/>
    <col min="16" max="16" width="34.06640625" style="11" customWidth="1"/>
    <col min="17" max="17" width="33.33203125" style="11" customWidth="1"/>
    <col min="18" max="18" width="27.265625" style="11" customWidth="1"/>
    <col min="19" max="19" width="80.3984375" style="11" customWidth="1"/>
    <col min="20" max="16384" width="9.1328125" style="11"/>
  </cols>
  <sheetData>
    <row r="1" spans="1:19" x14ac:dyDescent="0.45">
      <c r="F1" s="11"/>
      <c r="G1" s="9"/>
    </row>
    <row r="2" spans="1:19" x14ac:dyDescent="0.45">
      <c r="A2" s="12" t="s">
        <v>2781</v>
      </c>
      <c r="B2" s="13" t="s">
        <v>3795</v>
      </c>
      <c r="F2" s="11" t="s">
        <v>3814</v>
      </c>
      <c r="K2" s="11" t="s">
        <v>3815</v>
      </c>
      <c r="N2" s="11" t="s">
        <v>3813</v>
      </c>
      <c r="P2" s="11" t="s">
        <v>3818</v>
      </c>
      <c r="Q2" s="11" t="s">
        <v>3818</v>
      </c>
      <c r="R2" s="11" t="s">
        <v>3818</v>
      </c>
      <c r="S2" s="11" t="s">
        <v>3818</v>
      </c>
    </row>
    <row r="3" spans="1:19" x14ac:dyDescent="0.45">
      <c r="A3" s="14" t="s">
        <v>2910</v>
      </c>
      <c r="B3" s="15" t="s">
        <v>3799</v>
      </c>
      <c r="C3" s="15" t="s">
        <v>2783</v>
      </c>
      <c r="D3" s="15" t="s">
        <v>2907</v>
      </c>
      <c r="E3" s="15" t="s">
        <v>2929</v>
      </c>
      <c r="F3" s="14" t="s">
        <v>3791</v>
      </c>
      <c r="G3" s="14" t="s">
        <v>3792</v>
      </c>
      <c r="H3" s="14" t="s">
        <v>3793</v>
      </c>
      <c r="I3" s="14" t="s">
        <v>3794</v>
      </c>
      <c r="J3" s="14" t="s">
        <v>3812</v>
      </c>
      <c r="K3" s="16" t="s">
        <v>3790</v>
      </c>
      <c r="L3" s="16" t="s">
        <v>2784</v>
      </c>
      <c r="M3" s="16" t="s">
        <v>2906</v>
      </c>
      <c r="N3" s="17" t="s">
        <v>3821</v>
      </c>
      <c r="O3" s="17" t="s">
        <v>3816</v>
      </c>
      <c r="P3" s="17" t="s">
        <v>3817</v>
      </c>
      <c r="Q3" s="17" t="s">
        <v>3819</v>
      </c>
      <c r="R3" s="17" t="s">
        <v>3822</v>
      </c>
      <c r="S3" s="17" t="s">
        <v>3823</v>
      </c>
    </row>
    <row r="4" spans="1:19" x14ac:dyDescent="0.45">
      <c r="A4" s="7">
        <v>1</v>
      </c>
      <c r="B4" s="11" t="s">
        <v>2930</v>
      </c>
      <c r="C4" s="11" t="s">
        <v>2</v>
      </c>
      <c r="D4" s="11" t="s">
        <v>3809</v>
      </c>
      <c r="E4" s="11" t="str">
        <f t="shared" ref="E4:E67" si="0">_xlfn.CONCAT(B4," (",C4," - ",D4,")")</f>
        <v>A-AREA (Arquitectura - Área (lote, predio))</v>
      </c>
      <c r="F4" s="10" t="s">
        <v>3798</v>
      </c>
      <c r="G4" s="10" t="s">
        <v>3797</v>
      </c>
      <c r="H4" s="10">
        <v>0.05</v>
      </c>
      <c r="I4" s="10">
        <v>0</v>
      </c>
      <c r="J4" s="10" t="str">
        <f>_xlfn.CONCAT(C4," - ",D4)</f>
        <v>Arquitectura - Área (lote, predio)</v>
      </c>
      <c r="K4" s="11" t="s">
        <v>724</v>
      </c>
      <c r="L4" s="11" t="s">
        <v>1</v>
      </c>
      <c r="M4" s="11" t="s">
        <v>3820</v>
      </c>
      <c r="N4" s="18" t="str">
        <f>_xlfn.CONCAT("-LAYER N ", B4," ")</f>
        <v xml:space="preserve">-LAYER N A-AREA </v>
      </c>
      <c r="O4" s="11" t="str">
        <f>_xlfn.CONCAT("-LAYER C ",F4," ", B4," ")</f>
        <v xml:space="preserve">-LAYER C white A-AREA </v>
      </c>
      <c r="P4" s="11" t="str">
        <f>_xlfn.CONCAT("-LAYER L ",G4,CHAR(10), B4,"  ")</f>
        <v xml:space="preserve">-LAYER L Continuous
A-AREA  </v>
      </c>
      <c r="Q4" s="11" t="str">
        <f>_xlfn.CONCAT("-LAYER LW ",H4,CHAR(10), B4,"  ")</f>
        <v xml:space="preserve">-LAYER LW 0.05
A-AREA  </v>
      </c>
      <c r="R4" s="11" t="str">
        <f>_xlfn.CONCAT("-LAYER TR ",I4,CHAR(10), B4,"  ")</f>
        <v xml:space="preserve">-LAYER TR 0
A-AREA  </v>
      </c>
      <c r="S4" s="11" t="str">
        <f>_xlfn.CONCAT("-LAYER D ",J4,CHAR(10), B4,"  ")</f>
        <v xml:space="preserve">-LAYER D Arquitectura - Área (lote, predio)
A-AREA  </v>
      </c>
    </row>
    <row r="5" spans="1:19" x14ac:dyDescent="0.45">
      <c r="A5" s="7">
        <v>0</v>
      </c>
      <c r="B5" s="11" t="s">
        <v>2931</v>
      </c>
      <c r="C5" s="11" t="s">
        <v>2</v>
      </c>
      <c r="D5" s="11" t="s">
        <v>727</v>
      </c>
      <c r="E5" s="11" t="str">
        <f t="shared" si="0"/>
        <v>A-AREA-OCCP (Arquitectura - Área: nombres de ocupantes o empleados)</v>
      </c>
      <c r="F5" s="19" t="s">
        <v>3798</v>
      </c>
      <c r="G5" s="19" t="s">
        <v>3797</v>
      </c>
      <c r="H5" s="19" t="s">
        <v>3811</v>
      </c>
      <c r="I5" s="10">
        <v>0</v>
      </c>
      <c r="J5" s="10" t="str">
        <f t="shared" ref="J5:J68" si="1">_xlfn.CONCAT(C5," - ",D5)</f>
        <v>Arquitectura - Área: nombres de ocupantes o empleados</v>
      </c>
      <c r="K5" s="11" t="s">
        <v>725</v>
      </c>
      <c r="L5" s="11" t="s">
        <v>1</v>
      </c>
      <c r="M5" s="11" t="s">
        <v>726</v>
      </c>
      <c r="N5" s="18" t="str">
        <f t="shared" ref="N5:N68" si="2">_xlfn.CONCAT("-LAYER N ", B5," ")</f>
        <v xml:space="preserve">-LAYER N A-AREA-OCCP </v>
      </c>
      <c r="O5" s="11" t="str">
        <f t="shared" ref="O5:O68" si="3">_xlfn.CONCAT("-LAYER C ",F5," ", B5," ")</f>
        <v xml:space="preserve">-LAYER C white A-AREA-OCCP </v>
      </c>
      <c r="P5" s="11" t="str">
        <f t="shared" ref="P5:P68" si="4">_xlfn.CONCAT("-LAYER L ",G5,CHAR(10), B5,"  ")</f>
        <v xml:space="preserve">-LAYER L Continuous
A-AREA-OCCP  </v>
      </c>
      <c r="Q5" s="11" t="str">
        <f t="shared" ref="Q5:Q68" si="5">_xlfn.CONCAT("-LAYER LW ",H5,CHAR(10), B5,"  ")</f>
        <v xml:space="preserve">-LAYER LW Default
A-AREA-OCCP  </v>
      </c>
      <c r="R5" s="11" t="str">
        <f t="shared" ref="R5:R68" si="6">_xlfn.CONCAT("-LAYER TR ",I5,CHAR(10), B5,"  ")</f>
        <v xml:space="preserve">-LAYER TR 0
A-AREA-OCCP  </v>
      </c>
      <c r="S5" s="11" t="str">
        <f t="shared" ref="S5:S68" si="7">_xlfn.CONCAT("-LAYER D ",J5,CHAR(10), B5,"  ")</f>
        <v xml:space="preserve">-LAYER D Arquitectura - Área: nombres de ocupantes o empleados
A-AREA-OCCP  </v>
      </c>
    </row>
    <row r="6" spans="1:19" x14ac:dyDescent="0.45">
      <c r="A6" s="7">
        <v>0</v>
      </c>
      <c r="B6" s="11" t="s">
        <v>2932</v>
      </c>
      <c r="C6" s="11" t="s">
        <v>2</v>
      </c>
      <c r="D6" s="11" t="s">
        <v>168</v>
      </c>
      <c r="E6" s="11" t="str">
        <f t="shared" si="0"/>
        <v>A-BARR (Arquitectura - Barrera)</v>
      </c>
      <c r="F6" s="19" t="s">
        <v>3798</v>
      </c>
      <c r="G6" s="19" t="s">
        <v>3797</v>
      </c>
      <c r="H6" s="19" t="s">
        <v>3811</v>
      </c>
      <c r="I6" s="10">
        <v>0</v>
      </c>
      <c r="J6" s="10" t="str">
        <f t="shared" si="1"/>
        <v>Arquitectura - Barrera</v>
      </c>
      <c r="K6" s="11" t="s">
        <v>728</v>
      </c>
      <c r="L6" s="11" t="s">
        <v>1</v>
      </c>
      <c r="M6" s="11" t="s">
        <v>167</v>
      </c>
      <c r="N6" s="18" t="str">
        <f t="shared" si="2"/>
        <v xml:space="preserve">-LAYER N A-BARR </v>
      </c>
      <c r="O6" s="11" t="str">
        <f t="shared" si="3"/>
        <v xml:space="preserve">-LAYER C white A-BARR </v>
      </c>
      <c r="P6" s="11" t="str">
        <f t="shared" si="4"/>
        <v xml:space="preserve">-LAYER L Continuous
A-BARR  </v>
      </c>
      <c r="Q6" s="11" t="str">
        <f t="shared" si="5"/>
        <v xml:space="preserve">-LAYER LW Default
A-BARR  </v>
      </c>
      <c r="R6" s="11" t="str">
        <f t="shared" si="6"/>
        <v xml:space="preserve">-LAYER TR 0
A-BARR  </v>
      </c>
      <c r="S6" s="11" t="str">
        <f t="shared" si="7"/>
        <v xml:space="preserve">-LAYER D Arquitectura - Barrera
A-BARR  </v>
      </c>
    </row>
    <row r="7" spans="1:19" x14ac:dyDescent="0.45">
      <c r="A7" s="7">
        <v>0</v>
      </c>
      <c r="B7" s="11" t="s">
        <v>2933</v>
      </c>
      <c r="C7" s="11" t="s">
        <v>2</v>
      </c>
      <c r="D7" s="11" t="s">
        <v>731</v>
      </c>
      <c r="E7" s="11" t="str">
        <f t="shared" si="0"/>
        <v>A-BARR-AIR~ (Arquitectura - Barrera: aire)</v>
      </c>
      <c r="F7" s="19" t="s">
        <v>3798</v>
      </c>
      <c r="G7" s="19" t="s">
        <v>3797</v>
      </c>
      <c r="H7" s="19" t="s">
        <v>3811</v>
      </c>
      <c r="I7" s="10">
        <v>0</v>
      </c>
      <c r="J7" s="10" t="str">
        <f t="shared" si="1"/>
        <v>Arquitectura - Barrera: aire</v>
      </c>
      <c r="K7" s="11" t="s">
        <v>729</v>
      </c>
      <c r="L7" s="11" t="s">
        <v>1</v>
      </c>
      <c r="M7" s="11" t="s">
        <v>730</v>
      </c>
      <c r="N7" s="18" t="str">
        <f t="shared" si="2"/>
        <v xml:space="preserve">-LAYER N A-BARR-AIR~ </v>
      </c>
      <c r="O7" s="11" t="str">
        <f t="shared" si="3"/>
        <v xml:space="preserve">-LAYER C white A-BARR-AIR~ </v>
      </c>
      <c r="P7" s="11" t="str">
        <f t="shared" si="4"/>
        <v xml:space="preserve">-LAYER L Continuous
A-BARR-AIR~  </v>
      </c>
      <c r="Q7" s="11" t="str">
        <f t="shared" si="5"/>
        <v xml:space="preserve">-LAYER LW Default
A-BARR-AIR~  </v>
      </c>
      <c r="R7" s="11" t="str">
        <f t="shared" si="6"/>
        <v xml:space="preserve">-LAYER TR 0
A-BARR-AIR~  </v>
      </c>
      <c r="S7" s="11" t="str">
        <f t="shared" si="7"/>
        <v xml:space="preserve">-LAYER D Arquitectura - Barrera: aire
A-BARR-AIR~  </v>
      </c>
    </row>
    <row r="8" spans="1:19" x14ac:dyDescent="0.45">
      <c r="A8" s="7">
        <v>1</v>
      </c>
      <c r="B8" s="11" t="s">
        <v>2934</v>
      </c>
      <c r="C8" s="11" t="s">
        <v>2</v>
      </c>
      <c r="D8" s="11" t="s">
        <v>234</v>
      </c>
      <c r="E8" s="11" t="str">
        <f t="shared" si="0"/>
        <v>A-CLNG (Arquitectura - Techo)</v>
      </c>
      <c r="F8" s="10">
        <v>226</v>
      </c>
      <c r="G8" s="10" t="s">
        <v>3797</v>
      </c>
      <c r="H8" s="10">
        <v>0.25</v>
      </c>
      <c r="I8" s="10">
        <v>0</v>
      </c>
      <c r="J8" s="10" t="str">
        <f t="shared" si="1"/>
        <v>Arquitectura - Techo</v>
      </c>
      <c r="K8" s="11" t="s">
        <v>732</v>
      </c>
      <c r="L8" s="11" t="s">
        <v>1</v>
      </c>
      <c r="M8" s="11" t="s">
        <v>233</v>
      </c>
      <c r="N8" s="18" t="str">
        <f t="shared" si="2"/>
        <v xml:space="preserve">-LAYER N A-CLNG </v>
      </c>
      <c r="O8" s="11" t="str">
        <f t="shared" si="3"/>
        <v xml:space="preserve">-LAYER C 226 A-CLNG </v>
      </c>
      <c r="P8" s="11" t="str">
        <f t="shared" si="4"/>
        <v xml:space="preserve">-LAYER L Continuous
A-CLNG  </v>
      </c>
      <c r="Q8" s="11" t="str">
        <f t="shared" si="5"/>
        <v xml:space="preserve">-LAYER LW 0.25
A-CLNG  </v>
      </c>
      <c r="R8" s="11" t="str">
        <f t="shared" si="6"/>
        <v xml:space="preserve">-LAYER TR 0
A-CLNG  </v>
      </c>
      <c r="S8" s="11" t="str">
        <f t="shared" si="7"/>
        <v xml:space="preserve">-LAYER D Arquitectura - Techo
A-CLNG  </v>
      </c>
    </row>
    <row r="9" spans="1:19" x14ac:dyDescent="0.45">
      <c r="A9" s="7">
        <v>0</v>
      </c>
      <c r="B9" s="11" t="s">
        <v>2935</v>
      </c>
      <c r="C9" s="11" t="s">
        <v>2</v>
      </c>
      <c r="D9" s="11" t="s">
        <v>735</v>
      </c>
      <c r="E9" s="11" t="str">
        <f t="shared" si="0"/>
        <v>A-CLNG-ACCS (Arquitectura - Techo: acceso)</v>
      </c>
      <c r="F9" s="19" t="s">
        <v>3798</v>
      </c>
      <c r="G9" s="19" t="s">
        <v>3797</v>
      </c>
      <c r="H9" s="19" t="s">
        <v>3811</v>
      </c>
      <c r="I9" s="10">
        <v>0</v>
      </c>
      <c r="J9" s="10" t="str">
        <f t="shared" si="1"/>
        <v>Arquitectura - Techo: acceso</v>
      </c>
      <c r="K9" s="11" t="s">
        <v>733</v>
      </c>
      <c r="L9" s="11" t="s">
        <v>1</v>
      </c>
      <c r="M9" s="11" t="s">
        <v>734</v>
      </c>
      <c r="N9" s="18" t="str">
        <f t="shared" si="2"/>
        <v xml:space="preserve">-LAYER N A-CLNG-ACCS </v>
      </c>
      <c r="O9" s="11" t="str">
        <f t="shared" si="3"/>
        <v xml:space="preserve">-LAYER C white A-CLNG-ACCS </v>
      </c>
      <c r="P9" s="11" t="str">
        <f t="shared" si="4"/>
        <v xml:space="preserve">-LAYER L Continuous
A-CLNG-ACCS  </v>
      </c>
      <c r="Q9" s="11" t="str">
        <f t="shared" si="5"/>
        <v xml:space="preserve">-LAYER LW Default
A-CLNG-ACCS  </v>
      </c>
      <c r="R9" s="11" t="str">
        <f t="shared" si="6"/>
        <v xml:space="preserve">-LAYER TR 0
A-CLNG-ACCS  </v>
      </c>
      <c r="S9" s="11" t="str">
        <f t="shared" si="7"/>
        <v xml:space="preserve">-LAYER D Arquitectura - Techo: acceso
A-CLNG-ACCS  </v>
      </c>
    </row>
    <row r="10" spans="1:19" x14ac:dyDescent="0.45">
      <c r="A10" s="7">
        <v>0</v>
      </c>
      <c r="B10" s="11" t="s">
        <v>2936</v>
      </c>
      <c r="C10" s="11" t="s">
        <v>2</v>
      </c>
      <c r="D10" s="11" t="s">
        <v>738</v>
      </c>
      <c r="E10" s="11" t="str">
        <f t="shared" si="0"/>
        <v>A-CLNG-GRID (Arquitectura - Techo: rejilla)</v>
      </c>
      <c r="F10" s="19" t="s">
        <v>3798</v>
      </c>
      <c r="G10" s="19" t="s">
        <v>3797</v>
      </c>
      <c r="H10" s="19" t="s">
        <v>3811</v>
      </c>
      <c r="I10" s="10">
        <v>0</v>
      </c>
      <c r="J10" s="10" t="str">
        <f t="shared" si="1"/>
        <v>Arquitectura - Techo: rejilla</v>
      </c>
      <c r="K10" s="11" t="s">
        <v>736</v>
      </c>
      <c r="L10" s="11" t="s">
        <v>1</v>
      </c>
      <c r="M10" s="11" t="s">
        <v>737</v>
      </c>
      <c r="N10" s="18" t="str">
        <f t="shared" si="2"/>
        <v xml:space="preserve">-LAYER N A-CLNG-GRID </v>
      </c>
      <c r="O10" s="11" t="str">
        <f t="shared" si="3"/>
        <v xml:space="preserve">-LAYER C white A-CLNG-GRID </v>
      </c>
      <c r="P10" s="11" t="str">
        <f t="shared" si="4"/>
        <v xml:space="preserve">-LAYER L Continuous
A-CLNG-GRID  </v>
      </c>
      <c r="Q10" s="11" t="str">
        <f t="shared" si="5"/>
        <v xml:space="preserve">-LAYER LW Default
A-CLNG-GRID  </v>
      </c>
      <c r="R10" s="11" t="str">
        <f t="shared" si="6"/>
        <v xml:space="preserve">-LAYER TR 0
A-CLNG-GRID  </v>
      </c>
      <c r="S10" s="11" t="str">
        <f t="shared" si="7"/>
        <v xml:space="preserve">-LAYER D Arquitectura - Techo: rejilla
A-CLNG-GRID  </v>
      </c>
    </row>
    <row r="11" spans="1:19" x14ac:dyDescent="0.45">
      <c r="A11" s="7">
        <v>0</v>
      </c>
      <c r="B11" s="11" t="s">
        <v>2937</v>
      </c>
      <c r="C11" s="11" t="s">
        <v>2</v>
      </c>
      <c r="D11" s="11" t="s">
        <v>741</v>
      </c>
      <c r="E11" s="11" t="str">
        <f t="shared" si="0"/>
        <v>A-CLNG-OPNG (Arquitectura - Techo: aberturas)</v>
      </c>
      <c r="F11" s="19" t="s">
        <v>3798</v>
      </c>
      <c r="G11" s="19" t="s">
        <v>3797</v>
      </c>
      <c r="H11" s="19" t="s">
        <v>3811</v>
      </c>
      <c r="I11" s="10">
        <v>0</v>
      </c>
      <c r="J11" s="10" t="str">
        <f t="shared" si="1"/>
        <v>Arquitectura - Techo: aberturas</v>
      </c>
      <c r="K11" s="11" t="s">
        <v>739</v>
      </c>
      <c r="L11" s="11" t="s">
        <v>1</v>
      </c>
      <c r="M11" s="11" t="s">
        <v>740</v>
      </c>
      <c r="N11" s="18" t="str">
        <f t="shared" si="2"/>
        <v xml:space="preserve">-LAYER N A-CLNG-OPNG </v>
      </c>
      <c r="O11" s="11" t="str">
        <f t="shared" si="3"/>
        <v xml:space="preserve">-LAYER C white A-CLNG-OPNG </v>
      </c>
      <c r="P11" s="11" t="str">
        <f t="shared" si="4"/>
        <v xml:space="preserve">-LAYER L Continuous
A-CLNG-OPNG  </v>
      </c>
      <c r="Q11" s="11" t="str">
        <f t="shared" si="5"/>
        <v xml:space="preserve">-LAYER LW Default
A-CLNG-OPNG  </v>
      </c>
      <c r="R11" s="11" t="str">
        <f t="shared" si="6"/>
        <v xml:space="preserve">-LAYER TR 0
A-CLNG-OPNG  </v>
      </c>
      <c r="S11" s="11" t="str">
        <f t="shared" si="7"/>
        <v xml:space="preserve">-LAYER D Arquitectura - Techo: aberturas
A-CLNG-OPNG  </v>
      </c>
    </row>
    <row r="12" spans="1:19" x14ac:dyDescent="0.45">
      <c r="A12" s="7">
        <v>0</v>
      </c>
      <c r="B12" s="20" t="s">
        <v>2938</v>
      </c>
      <c r="C12" s="11" t="s">
        <v>2</v>
      </c>
      <c r="D12" s="11" t="s">
        <v>744</v>
      </c>
      <c r="E12" s="11" t="str">
        <f t="shared" si="0"/>
        <v>A-CLNG-SUSP (Arquitectura - Techo: elementos suspendidos)</v>
      </c>
      <c r="F12" s="19" t="s">
        <v>3798</v>
      </c>
      <c r="G12" s="19" t="s">
        <v>3797</v>
      </c>
      <c r="H12" s="19" t="s">
        <v>3811</v>
      </c>
      <c r="I12" s="10">
        <v>0</v>
      </c>
      <c r="J12" s="10" t="str">
        <f t="shared" si="1"/>
        <v>Arquitectura - Techo: elementos suspendidos</v>
      </c>
      <c r="K12" s="20" t="s">
        <v>742</v>
      </c>
      <c r="L12" s="11" t="s">
        <v>1</v>
      </c>
      <c r="M12" s="11" t="s">
        <v>743</v>
      </c>
      <c r="N12" s="18" t="str">
        <f t="shared" si="2"/>
        <v xml:space="preserve">-LAYER N A-CLNG-SUSP </v>
      </c>
      <c r="O12" s="11" t="str">
        <f t="shared" si="3"/>
        <v xml:space="preserve">-LAYER C white A-CLNG-SUSP </v>
      </c>
      <c r="P12" s="11" t="str">
        <f t="shared" si="4"/>
        <v xml:space="preserve">-LAYER L Continuous
A-CLNG-SUSP  </v>
      </c>
      <c r="Q12" s="11" t="str">
        <f t="shared" si="5"/>
        <v xml:space="preserve">-LAYER LW Default
A-CLNG-SUSP  </v>
      </c>
      <c r="R12" s="11" t="str">
        <f t="shared" si="6"/>
        <v xml:space="preserve">-LAYER TR 0
A-CLNG-SUSP  </v>
      </c>
      <c r="S12" s="11" t="str">
        <f t="shared" si="7"/>
        <v xml:space="preserve">-LAYER D Arquitectura - Techo: elementos suspendidos
A-CLNG-SUSP  </v>
      </c>
    </row>
    <row r="13" spans="1:19" x14ac:dyDescent="0.45">
      <c r="A13" s="7">
        <v>0</v>
      </c>
      <c r="B13" s="11" t="s">
        <v>2939</v>
      </c>
      <c r="C13" s="11" t="s">
        <v>2</v>
      </c>
      <c r="D13" s="11" t="s">
        <v>747</v>
      </c>
      <c r="E13" s="11" t="str">
        <f t="shared" si="0"/>
        <v>A-CLNG-TEES (Arquitectura - Techo: tes principales)</v>
      </c>
      <c r="F13" s="19" t="s">
        <v>3798</v>
      </c>
      <c r="G13" s="19" t="s">
        <v>3797</v>
      </c>
      <c r="H13" s="19" t="s">
        <v>3811</v>
      </c>
      <c r="I13" s="10">
        <v>0</v>
      </c>
      <c r="J13" s="10" t="str">
        <f t="shared" si="1"/>
        <v>Arquitectura - Techo: tes principales</v>
      </c>
      <c r="K13" s="11" t="s">
        <v>745</v>
      </c>
      <c r="L13" s="11" t="s">
        <v>1</v>
      </c>
      <c r="M13" s="11" t="s">
        <v>746</v>
      </c>
      <c r="N13" s="18" t="str">
        <f t="shared" si="2"/>
        <v xml:space="preserve">-LAYER N A-CLNG-TEES </v>
      </c>
      <c r="O13" s="11" t="str">
        <f t="shared" si="3"/>
        <v xml:space="preserve">-LAYER C white A-CLNG-TEES </v>
      </c>
      <c r="P13" s="11" t="str">
        <f t="shared" si="4"/>
        <v xml:space="preserve">-LAYER L Continuous
A-CLNG-TEES  </v>
      </c>
      <c r="Q13" s="11" t="str">
        <f t="shared" si="5"/>
        <v xml:space="preserve">-LAYER LW Default
A-CLNG-TEES  </v>
      </c>
      <c r="R13" s="11" t="str">
        <f t="shared" si="6"/>
        <v xml:space="preserve">-LAYER TR 0
A-CLNG-TEES  </v>
      </c>
      <c r="S13" s="11" t="str">
        <f t="shared" si="7"/>
        <v xml:space="preserve">-LAYER D Arquitectura - Techo: tes principales
A-CLNG-TEES  </v>
      </c>
    </row>
    <row r="14" spans="1:19" x14ac:dyDescent="0.45">
      <c r="A14" s="7">
        <v>1</v>
      </c>
      <c r="B14" s="11" t="s">
        <v>2940</v>
      </c>
      <c r="C14" s="11" t="s">
        <v>2</v>
      </c>
      <c r="D14" s="11" t="s">
        <v>255</v>
      </c>
      <c r="E14" s="11" t="str">
        <f t="shared" si="0"/>
        <v>A-COLS (Arquitectura - Columnas)</v>
      </c>
      <c r="F14" s="10" t="s">
        <v>3801</v>
      </c>
      <c r="G14" s="10" t="s">
        <v>3797</v>
      </c>
      <c r="H14" s="10">
        <v>0.5</v>
      </c>
      <c r="I14" s="10">
        <v>0</v>
      </c>
      <c r="J14" s="10" t="str">
        <f t="shared" si="1"/>
        <v>Arquitectura - Columnas</v>
      </c>
      <c r="K14" s="11" t="s">
        <v>748</v>
      </c>
      <c r="L14" s="11" t="s">
        <v>1</v>
      </c>
      <c r="M14" s="11" t="s">
        <v>254</v>
      </c>
      <c r="N14" s="18" t="str">
        <f t="shared" si="2"/>
        <v xml:space="preserve">-LAYER N A-COLS </v>
      </c>
      <c r="O14" s="11" t="str">
        <f t="shared" si="3"/>
        <v xml:space="preserve">-LAYER C red A-COLS </v>
      </c>
      <c r="P14" s="11" t="str">
        <f t="shared" si="4"/>
        <v xml:space="preserve">-LAYER L Continuous
A-COLS  </v>
      </c>
      <c r="Q14" s="11" t="str">
        <f t="shared" si="5"/>
        <v xml:space="preserve">-LAYER LW 0.5
A-COLS  </v>
      </c>
      <c r="R14" s="11" t="str">
        <f t="shared" si="6"/>
        <v xml:space="preserve">-LAYER TR 0
A-COLS  </v>
      </c>
      <c r="S14" s="11" t="str">
        <f t="shared" si="7"/>
        <v xml:space="preserve">-LAYER D Arquitectura - Columnas
A-COLS  </v>
      </c>
    </row>
    <row r="15" spans="1:19" x14ac:dyDescent="0.45">
      <c r="A15" s="7">
        <v>0</v>
      </c>
      <c r="B15" s="11" t="s">
        <v>2941</v>
      </c>
      <c r="C15" s="11" t="s">
        <v>2</v>
      </c>
      <c r="D15" s="11" t="s">
        <v>264</v>
      </c>
      <c r="E15" s="11" t="str">
        <f t="shared" si="0"/>
        <v>A-CONV (Arquitectura - Sistemas de transporte)</v>
      </c>
      <c r="F15" s="19" t="s">
        <v>3798</v>
      </c>
      <c r="G15" s="19" t="s">
        <v>3797</v>
      </c>
      <c r="H15" s="19" t="s">
        <v>3811</v>
      </c>
      <c r="I15" s="10">
        <v>0</v>
      </c>
      <c r="J15" s="10" t="str">
        <f t="shared" si="1"/>
        <v>Arquitectura - Sistemas de transporte</v>
      </c>
      <c r="K15" s="11" t="s">
        <v>749</v>
      </c>
      <c r="L15" s="11" t="s">
        <v>1</v>
      </c>
      <c r="M15" s="11" t="s">
        <v>263</v>
      </c>
      <c r="N15" s="18" t="str">
        <f t="shared" si="2"/>
        <v xml:space="preserve">-LAYER N A-CONV </v>
      </c>
      <c r="O15" s="11" t="str">
        <f t="shared" si="3"/>
        <v xml:space="preserve">-LAYER C white A-CONV </v>
      </c>
      <c r="P15" s="11" t="str">
        <f t="shared" si="4"/>
        <v xml:space="preserve">-LAYER L Continuous
A-CONV  </v>
      </c>
      <c r="Q15" s="11" t="str">
        <f t="shared" si="5"/>
        <v xml:space="preserve">-LAYER LW Default
A-CONV  </v>
      </c>
      <c r="R15" s="11" t="str">
        <f t="shared" si="6"/>
        <v xml:space="preserve">-LAYER TR 0
A-CONV  </v>
      </c>
      <c r="S15" s="11" t="str">
        <f t="shared" si="7"/>
        <v xml:space="preserve">-LAYER D Arquitectura - Sistemas de transporte
A-CONV  </v>
      </c>
    </row>
    <row r="16" spans="1:19" x14ac:dyDescent="0.45">
      <c r="A16" s="7">
        <v>1</v>
      </c>
      <c r="B16" s="11" t="s">
        <v>2942</v>
      </c>
      <c r="C16" s="11" t="s">
        <v>2</v>
      </c>
      <c r="D16" s="11" t="s">
        <v>300</v>
      </c>
      <c r="E16" s="11" t="str">
        <f t="shared" si="0"/>
        <v>A-DOOR (Arquitectura - Puertas)</v>
      </c>
      <c r="F16" s="10">
        <v>251</v>
      </c>
      <c r="G16" s="10" t="s">
        <v>3797</v>
      </c>
      <c r="H16" s="10">
        <v>0.18</v>
      </c>
      <c r="I16" s="10">
        <v>0</v>
      </c>
      <c r="J16" s="10" t="str">
        <f t="shared" si="1"/>
        <v>Arquitectura - Puertas</v>
      </c>
      <c r="K16" s="11" t="s">
        <v>750</v>
      </c>
      <c r="L16" s="11" t="s">
        <v>1</v>
      </c>
      <c r="M16" s="11" t="s">
        <v>299</v>
      </c>
      <c r="N16" s="18" t="str">
        <f t="shared" si="2"/>
        <v xml:space="preserve">-LAYER N A-DOOR </v>
      </c>
      <c r="O16" s="11" t="str">
        <f t="shared" si="3"/>
        <v xml:space="preserve">-LAYER C 251 A-DOOR </v>
      </c>
      <c r="P16" s="11" t="str">
        <f t="shared" si="4"/>
        <v xml:space="preserve">-LAYER L Continuous
A-DOOR  </v>
      </c>
      <c r="Q16" s="11" t="str">
        <f t="shared" si="5"/>
        <v xml:space="preserve">-LAYER LW 0.18
A-DOOR  </v>
      </c>
      <c r="R16" s="11" t="str">
        <f t="shared" si="6"/>
        <v xml:space="preserve">-LAYER TR 0
A-DOOR  </v>
      </c>
      <c r="S16" s="11" t="str">
        <f t="shared" si="7"/>
        <v xml:space="preserve">-LAYER D Arquitectura - Puertas
A-DOOR  </v>
      </c>
    </row>
    <row r="17" spans="1:19" x14ac:dyDescent="0.45">
      <c r="A17" s="7">
        <v>0</v>
      </c>
      <c r="B17" s="11" t="s">
        <v>2943</v>
      </c>
      <c r="C17" s="11" t="s">
        <v>2</v>
      </c>
      <c r="D17" s="11" t="s">
        <v>753</v>
      </c>
      <c r="E17" s="11" t="str">
        <f t="shared" si="0"/>
        <v>A-DOOR-FULL (Arquitectura - Puertas: altura completa (batientes y de hoja))</v>
      </c>
      <c r="F17" s="19" t="s">
        <v>3798</v>
      </c>
      <c r="G17" s="19" t="s">
        <v>3797</v>
      </c>
      <c r="H17" s="19" t="s">
        <v>3811</v>
      </c>
      <c r="I17" s="10">
        <v>0</v>
      </c>
      <c r="J17" s="10" t="str">
        <f t="shared" si="1"/>
        <v>Arquitectura - Puertas: altura completa (batientes y de hoja)</v>
      </c>
      <c r="K17" s="11" t="s">
        <v>751</v>
      </c>
      <c r="L17" s="11" t="s">
        <v>1</v>
      </c>
      <c r="M17" s="11" t="s">
        <v>752</v>
      </c>
      <c r="N17" s="18" t="str">
        <f t="shared" si="2"/>
        <v xml:space="preserve">-LAYER N A-DOOR-FULL </v>
      </c>
      <c r="O17" s="11" t="str">
        <f t="shared" si="3"/>
        <v xml:space="preserve">-LAYER C white A-DOOR-FULL </v>
      </c>
      <c r="P17" s="11" t="str">
        <f t="shared" si="4"/>
        <v xml:space="preserve">-LAYER L Continuous
A-DOOR-FULL  </v>
      </c>
      <c r="Q17" s="11" t="str">
        <f t="shared" si="5"/>
        <v xml:space="preserve">-LAYER LW Default
A-DOOR-FULL  </v>
      </c>
      <c r="R17" s="11" t="str">
        <f t="shared" si="6"/>
        <v xml:space="preserve">-LAYER TR 0
A-DOOR-FULL  </v>
      </c>
      <c r="S17" s="11" t="str">
        <f t="shared" si="7"/>
        <v xml:space="preserve">-LAYER D Arquitectura - Puertas: altura completa (batientes y de hoja)
A-DOOR-FULL  </v>
      </c>
    </row>
    <row r="18" spans="1:19" x14ac:dyDescent="0.45">
      <c r="A18" s="7">
        <v>0</v>
      </c>
      <c r="B18" s="11" t="s">
        <v>2944</v>
      </c>
      <c r="C18" s="11" t="s">
        <v>2</v>
      </c>
      <c r="D18" s="11" t="s">
        <v>756</v>
      </c>
      <c r="E18" s="11" t="str">
        <f t="shared" si="0"/>
        <v>A-DOOR-PRHT (Arquitectura - Puertas: altura parcial (batientes y de hoja))</v>
      </c>
      <c r="F18" s="19" t="s">
        <v>3798</v>
      </c>
      <c r="G18" s="19" t="s">
        <v>3797</v>
      </c>
      <c r="H18" s="19" t="s">
        <v>3811</v>
      </c>
      <c r="I18" s="10">
        <v>0</v>
      </c>
      <c r="J18" s="10" t="str">
        <f t="shared" si="1"/>
        <v>Arquitectura - Puertas: altura parcial (batientes y de hoja)</v>
      </c>
      <c r="K18" s="11" t="s">
        <v>754</v>
      </c>
      <c r="L18" s="11" t="s">
        <v>1</v>
      </c>
      <c r="M18" s="11" t="s">
        <v>755</v>
      </c>
      <c r="N18" s="18" t="str">
        <f t="shared" si="2"/>
        <v xml:space="preserve">-LAYER N A-DOOR-PRHT </v>
      </c>
      <c r="O18" s="11" t="str">
        <f t="shared" si="3"/>
        <v xml:space="preserve">-LAYER C white A-DOOR-PRHT </v>
      </c>
      <c r="P18" s="11" t="str">
        <f t="shared" si="4"/>
        <v xml:space="preserve">-LAYER L Continuous
A-DOOR-PRHT  </v>
      </c>
      <c r="Q18" s="11" t="str">
        <f t="shared" si="5"/>
        <v xml:space="preserve">-LAYER LW Default
A-DOOR-PRHT  </v>
      </c>
      <c r="R18" s="11" t="str">
        <f t="shared" si="6"/>
        <v xml:space="preserve">-LAYER TR 0
A-DOOR-PRHT  </v>
      </c>
      <c r="S18" s="11" t="str">
        <f t="shared" si="7"/>
        <v xml:space="preserve">-LAYER D Arquitectura - Puertas: altura parcial (batientes y de hoja)
A-DOOR-PRHT  </v>
      </c>
    </row>
    <row r="19" spans="1:19" x14ac:dyDescent="0.45">
      <c r="A19" s="7">
        <v>1</v>
      </c>
      <c r="B19" s="11" t="s">
        <v>2945</v>
      </c>
      <c r="C19" s="11" t="s">
        <v>2</v>
      </c>
      <c r="D19" s="11" t="s">
        <v>332</v>
      </c>
      <c r="E19" s="11" t="str">
        <f t="shared" si="0"/>
        <v>A-EQPM (Arquitectura - Equipo)</v>
      </c>
      <c r="F19" s="10">
        <v>46</v>
      </c>
      <c r="G19" s="10" t="s">
        <v>3797</v>
      </c>
      <c r="H19" s="10">
        <v>0.18</v>
      </c>
      <c r="I19" s="10">
        <v>0</v>
      </c>
      <c r="J19" s="10" t="str">
        <f t="shared" si="1"/>
        <v>Arquitectura - Equipo</v>
      </c>
      <c r="K19" s="11" t="s">
        <v>757</v>
      </c>
      <c r="L19" s="11" t="s">
        <v>1</v>
      </c>
      <c r="M19" s="11" t="s">
        <v>38</v>
      </c>
      <c r="N19" s="18" t="str">
        <f t="shared" si="2"/>
        <v xml:space="preserve">-LAYER N A-EQPM </v>
      </c>
      <c r="O19" s="11" t="str">
        <f t="shared" si="3"/>
        <v xml:space="preserve">-LAYER C 46 A-EQPM </v>
      </c>
      <c r="P19" s="11" t="str">
        <f t="shared" si="4"/>
        <v xml:space="preserve">-LAYER L Continuous
A-EQPM  </v>
      </c>
      <c r="Q19" s="11" t="str">
        <f t="shared" si="5"/>
        <v xml:space="preserve">-LAYER LW 0.18
A-EQPM  </v>
      </c>
      <c r="R19" s="11" t="str">
        <f t="shared" si="6"/>
        <v xml:space="preserve">-LAYER TR 0
A-EQPM  </v>
      </c>
      <c r="S19" s="11" t="str">
        <f t="shared" si="7"/>
        <v xml:space="preserve">-LAYER D Arquitectura - Equipo
A-EQPM  </v>
      </c>
    </row>
    <row r="20" spans="1:19" x14ac:dyDescent="0.45">
      <c r="A20" s="7">
        <v>0</v>
      </c>
      <c r="B20" s="11" t="s">
        <v>2946</v>
      </c>
      <c r="C20" s="11" t="s">
        <v>2</v>
      </c>
      <c r="D20" s="11" t="s">
        <v>760</v>
      </c>
      <c r="E20" s="11" t="str">
        <f t="shared" si="0"/>
        <v>A-EQPM-ACCS (Arquitectura - Equipo: acceso)</v>
      </c>
      <c r="F20" s="19" t="s">
        <v>3798</v>
      </c>
      <c r="G20" s="19" t="s">
        <v>3797</v>
      </c>
      <c r="H20" s="19" t="s">
        <v>3811</v>
      </c>
      <c r="I20" s="10">
        <v>0</v>
      </c>
      <c r="J20" s="10" t="str">
        <f t="shared" si="1"/>
        <v>Arquitectura - Equipo: acceso</v>
      </c>
      <c r="K20" s="11" t="s">
        <v>758</v>
      </c>
      <c r="L20" s="11" t="s">
        <v>1</v>
      </c>
      <c r="M20" s="11" t="s">
        <v>759</v>
      </c>
      <c r="N20" s="18" t="str">
        <f t="shared" si="2"/>
        <v xml:space="preserve">-LAYER N A-EQPM-ACCS </v>
      </c>
      <c r="O20" s="11" t="str">
        <f t="shared" si="3"/>
        <v xml:space="preserve">-LAYER C white A-EQPM-ACCS </v>
      </c>
      <c r="P20" s="11" t="str">
        <f t="shared" si="4"/>
        <v xml:space="preserve">-LAYER L Continuous
A-EQPM-ACCS  </v>
      </c>
      <c r="Q20" s="11" t="str">
        <f t="shared" si="5"/>
        <v xml:space="preserve">-LAYER LW Default
A-EQPM-ACCS  </v>
      </c>
      <c r="R20" s="11" t="str">
        <f t="shared" si="6"/>
        <v xml:space="preserve">-LAYER TR 0
A-EQPM-ACCS  </v>
      </c>
      <c r="S20" s="11" t="str">
        <f t="shared" si="7"/>
        <v xml:space="preserve">-LAYER D Arquitectura - Equipo: acceso
A-EQPM-ACCS  </v>
      </c>
    </row>
    <row r="21" spans="1:19" x14ac:dyDescent="0.45">
      <c r="A21" s="7">
        <v>0</v>
      </c>
      <c r="B21" s="11" t="s">
        <v>2947</v>
      </c>
      <c r="C21" s="11" t="s">
        <v>2</v>
      </c>
      <c r="D21" s="11" t="s">
        <v>763</v>
      </c>
      <c r="E21" s="11" t="str">
        <f t="shared" si="0"/>
        <v>A-EQPM-FIXD (Arquitectura - Equipo: fijo)</v>
      </c>
      <c r="F21" s="19" t="s">
        <v>3798</v>
      </c>
      <c r="G21" s="19" t="s">
        <v>3797</v>
      </c>
      <c r="H21" s="19" t="s">
        <v>3811</v>
      </c>
      <c r="I21" s="10">
        <v>0</v>
      </c>
      <c r="J21" s="10" t="str">
        <f t="shared" si="1"/>
        <v>Arquitectura - Equipo: fijo</v>
      </c>
      <c r="K21" s="11" t="s">
        <v>761</v>
      </c>
      <c r="L21" s="11" t="s">
        <v>1</v>
      </c>
      <c r="M21" s="11" t="s">
        <v>762</v>
      </c>
      <c r="N21" s="18" t="str">
        <f t="shared" si="2"/>
        <v xml:space="preserve">-LAYER N A-EQPM-FIXD </v>
      </c>
      <c r="O21" s="11" t="str">
        <f t="shared" si="3"/>
        <v xml:space="preserve">-LAYER C white A-EQPM-FIXD </v>
      </c>
      <c r="P21" s="11" t="str">
        <f t="shared" si="4"/>
        <v xml:space="preserve">-LAYER L Continuous
A-EQPM-FIXD  </v>
      </c>
      <c r="Q21" s="11" t="str">
        <f t="shared" si="5"/>
        <v xml:space="preserve">-LAYER LW Default
A-EQPM-FIXD  </v>
      </c>
      <c r="R21" s="11" t="str">
        <f t="shared" si="6"/>
        <v xml:space="preserve">-LAYER TR 0
A-EQPM-FIXD  </v>
      </c>
      <c r="S21" s="11" t="str">
        <f t="shared" si="7"/>
        <v xml:space="preserve">-LAYER D Arquitectura - Equipo: fijo
A-EQPM-FIXD  </v>
      </c>
    </row>
    <row r="22" spans="1:19" x14ac:dyDescent="0.45">
      <c r="A22" s="7">
        <v>0</v>
      </c>
      <c r="B22" s="11" t="s">
        <v>2948</v>
      </c>
      <c r="C22" s="11" t="s">
        <v>2</v>
      </c>
      <c r="D22" s="11" t="s">
        <v>766</v>
      </c>
      <c r="E22" s="11" t="str">
        <f t="shared" si="0"/>
        <v>A-EQPM-OVHD (Arquitectura - Equipo: suspendido)</v>
      </c>
      <c r="F22" s="19" t="s">
        <v>3798</v>
      </c>
      <c r="G22" s="19" t="s">
        <v>3797</v>
      </c>
      <c r="H22" s="19" t="s">
        <v>3811</v>
      </c>
      <c r="I22" s="10">
        <v>0</v>
      </c>
      <c r="J22" s="10" t="str">
        <f t="shared" si="1"/>
        <v>Arquitectura - Equipo: suspendido</v>
      </c>
      <c r="K22" s="11" t="s">
        <v>764</v>
      </c>
      <c r="L22" s="11" t="s">
        <v>1</v>
      </c>
      <c r="M22" s="11" t="s">
        <v>765</v>
      </c>
      <c r="N22" s="18" t="str">
        <f t="shared" si="2"/>
        <v xml:space="preserve">-LAYER N A-EQPM-OVHD </v>
      </c>
      <c r="O22" s="11" t="str">
        <f t="shared" si="3"/>
        <v xml:space="preserve">-LAYER C white A-EQPM-OVHD </v>
      </c>
      <c r="P22" s="11" t="str">
        <f t="shared" si="4"/>
        <v xml:space="preserve">-LAYER L Continuous
A-EQPM-OVHD  </v>
      </c>
      <c r="Q22" s="11" t="str">
        <f t="shared" si="5"/>
        <v xml:space="preserve">-LAYER LW Default
A-EQPM-OVHD  </v>
      </c>
      <c r="R22" s="11" t="str">
        <f t="shared" si="6"/>
        <v xml:space="preserve">-LAYER TR 0
A-EQPM-OVHD  </v>
      </c>
      <c r="S22" s="11" t="str">
        <f t="shared" si="7"/>
        <v xml:space="preserve">-LAYER D Arquitectura - Equipo: suspendido
A-EQPM-OVHD  </v>
      </c>
    </row>
    <row r="23" spans="1:19" x14ac:dyDescent="0.45">
      <c r="A23" s="7">
        <v>1</v>
      </c>
      <c r="B23" s="11" t="s">
        <v>2949</v>
      </c>
      <c r="C23" s="11" t="s">
        <v>2</v>
      </c>
      <c r="D23" s="11" t="s">
        <v>355</v>
      </c>
      <c r="E23" s="11" t="str">
        <f t="shared" si="0"/>
        <v>A-FLOR (Arquitectura - Piso)</v>
      </c>
      <c r="F23" s="10">
        <v>252</v>
      </c>
      <c r="G23" s="10" t="s">
        <v>3797</v>
      </c>
      <c r="H23" s="10">
        <v>0.35</v>
      </c>
      <c r="I23" s="10">
        <v>0</v>
      </c>
      <c r="J23" s="10" t="str">
        <f t="shared" si="1"/>
        <v>Arquitectura - Piso</v>
      </c>
      <c r="K23" s="11" t="s">
        <v>767</v>
      </c>
      <c r="L23" s="11" t="s">
        <v>1</v>
      </c>
      <c r="M23" s="11" t="s">
        <v>354</v>
      </c>
      <c r="N23" s="18" t="str">
        <f t="shared" si="2"/>
        <v xml:space="preserve">-LAYER N A-FLOR </v>
      </c>
      <c r="O23" s="11" t="str">
        <f t="shared" si="3"/>
        <v xml:space="preserve">-LAYER C 252 A-FLOR </v>
      </c>
      <c r="P23" s="11" t="str">
        <f t="shared" si="4"/>
        <v xml:space="preserve">-LAYER L Continuous
A-FLOR  </v>
      </c>
      <c r="Q23" s="11" t="str">
        <f t="shared" si="5"/>
        <v xml:space="preserve">-LAYER LW 0.35
A-FLOR  </v>
      </c>
      <c r="R23" s="11" t="str">
        <f t="shared" si="6"/>
        <v xml:space="preserve">-LAYER TR 0
A-FLOR  </v>
      </c>
      <c r="S23" s="11" t="str">
        <f t="shared" si="7"/>
        <v xml:space="preserve">-LAYER D Arquitectura - Piso
A-FLOR  </v>
      </c>
    </row>
    <row r="24" spans="1:19" x14ac:dyDescent="0.45">
      <c r="A24" s="7">
        <v>0</v>
      </c>
      <c r="B24" s="11" t="s">
        <v>2950</v>
      </c>
      <c r="C24" s="11" t="s">
        <v>2</v>
      </c>
      <c r="D24" s="11" t="s">
        <v>770</v>
      </c>
      <c r="E24" s="11" t="str">
        <f t="shared" si="0"/>
        <v>A-FLOR-CSWK (Arquitectura - Piso: carpintería)</v>
      </c>
      <c r="F24" s="19" t="s">
        <v>3798</v>
      </c>
      <c r="G24" s="19" t="s">
        <v>3797</v>
      </c>
      <c r="H24" s="19" t="s">
        <v>3811</v>
      </c>
      <c r="I24" s="10">
        <v>0</v>
      </c>
      <c r="J24" s="10" t="str">
        <f t="shared" si="1"/>
        <v>Arquitectura - Piso: carpintería</v>
      </c>
      <c r="K24" s="11" t="s">
        <v>768</v>
      </c>
      <c r="L24" s="11" t="s">
        <v>1</v>
      </c>
      <c r="M24" s="11" t="s">
        <v>769</v>
      </c>
      <c r="N24" s="18" t="str">
        <f t="shared" si="2"/>
        <v xml:space="preserve">-LAYER N A-FLOR-CSWK </v>
      </c>
      <c r="O24" s="11" t="str">
        <f t="shared" si="3"/>
        <v xml:space="preserve">-LAYER C white A-FLOR-CSWK </v>
      </c>
      <c r="P24" s="11" t="str">
        <f t="shared" si="4"/>
        <v xml:space="preserve">-LAYER L Continuous
A-FLOR-CSWK  </v>
      </c>
      <c r="Q24" s="11" t="str">
        <f t="shared" si="5"/>
        <v xml:space="preserve">-LAYER LW Default
A-FLOR-CSWK  </v>
      </c>
      <c r="R24" s="11" t="str">
        <f t="shared" si="6"/>
        <v xml:space="preserve">-LAYER TR 0
A-FLOR-CSWK  </v>
      </c>
      <c r="S24" s="11" t="str">
        <f t="shared" si="7"/>
        <v xml:space="preserve">-LAYER D Arquitectura - Piso: carpintería
A-FLOR-CSWK  </v>
      </c>
    </row>
    <row r="25" spans="1:19" x14ac:dyDescent="0.45">
      <c r="A25" s="7">
        <v>0</v>
      </c>
      <c r="B25" s="11" t="s">
        <v>2951</v>
      </c>
      <c r="C25" s="11" t="s">
        <v>2</v>
      </c>
      <c r="D25" s="11" t="s">
        <v>773</v>
      </c>
      <c r="E25" s="11" t="str">
        <f t="shared" si="0"/>
        <v>A-FLOR-EVTR (Arquitectura - Piso: cabinas y equipo de ascensor)</v>
      </c>
      <c r="F25" s="19" t="s">
        <v>3798</v>
      </c>
      <c r="G25" s="19" t="s">
        <v>3797</v>
      </c>
      <c r="H25" s="19" t="s">
        <v>3811</v>
      </c>
      <c r="I25" s="10">
        <v>0</v>
      </c>
      <c r="J25" s="10" t="str">
        <f t="shared" si="1"/>
        <v>Arquitectura - Piso: cabinas y equipo de ascensor</v>
      </c>
      <c r="K25" s="11" t="s">
        <v>771</v>
      </c>
      <c r="L25" s="11" t="s">
        <v>1</v>
      </c>
      <c r="M25" s="11" t="s">
        <v>772</v>
      </c>
      <c r="N25" s="18" t="str">
        <f t="shared" si="2"/>
        <v xml:space="preserve">-LAYER N A-FLOR-EVTR </v>
      </c>
      <c r="O25" s="11" t="str">
        <f t="shared" si="3"/>
        <v xml:space="preserve">-LAYER C white A-FLOR-EVTR </v>
      </c>
      <c r="P25" s="11" t="str">
        <f t="shared" si="4"/>
        <v xml:space="preserve">-LAYER L Continuous
A-FLOR-EVTR  </v>
      </c>
      <c r="Q25" s="11" t="str">
        <f t="shared" si="5"/>
        <v xml:space="preserve">-LAYER LW Default
A-FLOR-EVTR  </v>
      </c>
      <c r="R25" s="11" t="str">
        <f t="shared" si="6"/>
        <v xml:space="preserve">-LAYER TR 0
A-FLOR-EVTR  </v>
      </c>
      <c r="S25" s="11" t="str">
        <f t="shared" si="7"/>
        <v xml:space="preserve">-LAYER D Arquitectura - Piso: cabinas y equipo de ascensor
A-FLOR-EVTR  </v>
      </c>
    </row>
    <row r="26" spans="1:19" x14ac:dyDescent="0.45">
      <c r="A26" s="7">
        <v>0</v>
      </c>
      <c r="B26" s="11" t="s">
        <v>2952</v>
      </c>
      <c r="C26" s="11" t="s">
        <v>2</v>
      </c>
      <c r="D26" s="11" t="s">
        <v>776</v>
      </c>
      <c r="E26" s="11" t="str">
        <f t="shared" si="0"/>
        <v>A-FLOR-FIXT (Arquitectura - Piso: accesorios (fontanería))</v>
      </c>
      <c r="F26" s="19" t="s">
        <v>3798</v>
      </c>
      <c r="G26" s="19" t="s">
        <v>3797</v>
      </c>
      <c r="H26" s="19" t="s">
        <v>3811</v>
      </c>
      <c r="I26" s="10">
        <v>0</v>
      </c>
      <c r="J26" s="10" t="str">
        <f t="shared" si="1"/>
        <v>Arquitectura - Piso: accesorios (fontanería)</v>
      </c>
      <c r="K26" s="11" t="s">
        <v>774</v>
      </c>
      <c r="L26" s="11" t="s">
        <v>1</v>
      </c>
      <c r="M26" s="11" t="s">
        <v>775</v>
      </c>
      <c r="N26" s="18" t="str">
        <f t="shared" si="2"/>
        <v xml:space="preserve">-LAYER N A-FLOR-FIXT </v>
      </c>
      <c r="O26" s="11" t="str">
        <f t="shared" si="3"/>
        <v xml:space="preserve">-LAYER C white A-FLOR-FIXT </v>
      </c>
      <c r="P26" s="11" t="str">
        <f t="shared" si="4"/>
        <v xml:space="preserve">-LAYER L Continuous
A-FLOR-FIXT  </v>
      </c>
      <c r="Q26" s="11" t="str">
        <f t="shared" si="5"/>
        <v xml:space="preserve">-LAYER LW Default
A-FLOR-FIXT  </v>
      </c>
      <c r="R26" s="11" t="str">
        <f t="shared" si="6"/>
        <v xml:space="preserve">-LAYER TR 0
A-FLOR-FIXT  </v>
      </c>
      <c r="S26" s="11" t="str">
        <f t="shared" si="7"/>
        <v xml:space="preserve">-LAYER D Arquitectura - Piso: accesorios (fontanería)
A-FLOR-FIXT  </v>
      </c>
    </row>
    <row r="27" spans="1:19" x14ac:dyDescent="0.45">
      <c r="A27" s="7">
        <v>0</v>
      </c>
      <c r="B27" s="11" t="s">
        <v>2953</v>
      </c>
      <c r="C27" s="11" t="s">
        <v>2</v>
      </c>
      <c r="D27" s="11" t="s">
        <v>779</v>
      </c>
      <c r="E27" s="11" t="str">
        <f t="shared" si="0"/>
        <v>A-FLOR-HRAL (Arquitectura - Piso: pasamanos/barandillas)</v>
      </c>
      <c r="F27" s="19" t="s">
        <v>3798</v>
      </c>
      <c r="G27" s="19" t="s">
        <v>3797</v>
      </c>
      <c r="H27" s="19" t="s">
        <v>3811</v>
      </c>
      <c r="I27" s="10">
        <v>0</v>
      </c>
      <c r="J27" s="10" t="str">
        <f t="shared" si="1"/>
        <v>Arquitectura - Piso: pasamanos/barandillas</v>
      </c>
      <c r="K27" s="11" t="s">
        <v>777</v>
      </c>
      <c r="L27" s="11" t="s">
        <v>1</v>
      </c>
      <c r="M27" s="11" t="s">
        <v>778</v>
      </c>
      <c r="N27" s="18" t="str">
        <f t="shared" si="2"/>
        <v xml:space="preserve">-LAYER N A-FLOR-HRAL </v>
      </c>
      <c r="O27" s="11" t="str">
        <f t="shared" si="3"/>
        <v xml:space="preserve">-LAYER C white A-FLOR-HRAL </v>
      </c>
      <c r="P27" s="11" t="str">
        <f t="shared" si="4"/>
        <v xml:space="preserve">-LAYER L Continuous
A-FLOR-HRAL  </v>
      </c>
      <c r="Q27" s="11" t="str">
        <f t="shared" si="5"/>
        <v xml:space="preserve">-LAYER LW Default
A-FLOR-HRAL  </v>
      </c>
      <c r="R27" s="11" t="str">
        <f t="shared" si="6"/>
        <v xml:space="preserve">-LAYER TR 0
A-FLOR-HRAL  </v>
      </c>
      <c r="S27" s="11" t="str">
        <f t="shared" si="7"/>
        <v xml:space="preserve">-LAYER D Arquitectura - Piso: pasamanos/barandillas
A-FLOR-HRAL  </v>
      </c>
    </row>
    <row r="28" spans="1:19" x14ac:dyDescent="0.45">
      <c r="A28" s="7">
        <v>1</v>
      </c>
      <c r="B28" s="11" t="s">
        <v>2954</v>
      </c>
      <c r="C28" s="11" t="s">
        <v>2</v>
      </c>
      <c r="D28" s="11" t="s">
        <v>782</v>
      </c>
      <c r="E28" s="11" t="str">
        <f t="shared" si="0"/>
        <v>A-FLOR-LEVL (Arquitectura - Piso: cambios de nivel (rampas, fosos, depresiones))</v>
      </c>
      <c r="F28" s="10">
        <v>145</v>
      </c>
      <c r="G28" s="10" t="s">
        <v>3797</v>
      </c>
      <c r="H28" s="10">
        <v>0.18</v>
      </c>
      <c r="I28" s="10">
        <v>0</v>
      </c>
      <c r="J28" s="10" t="str">
        <f t="shared" si="1"/>
        <v>Arquitectura - Piso: cambios de nivel (rampas, fosos, depresiones)</v>
      </c>
      <c r="K28" s="11" t="s">
        <v>780</v>
      </c>
      <c r="L28" s="11" t="s">
        <v>1</v>
      </c>
      <c r="M28" s="11" t="s">
        <v>781</v>
      </c>
      <c r="N28" s="18" t="str">
        <f t="shared" si="2"/>
        <v xml:space="preserve">-LAYER N A-FLOR-LEVL </v>
      </c>
      <c r="O28" s="11" t="str">
        <f t="shared" si="3"/>
        <v xml:space="preserve">-LAYER C 145 A-FLOR-LEVL </v>
      </c>
      <c r="P28" s="11" t="str">
        <f t="shared" si="4"/>
        <v xml:space="preserve">-LAYER L Continuous
A-FLOR-LEVL  </v>
      </c>
      <c r="Q28" s="11" t="str">
        <f t="shared" si="5"/>
        <v xml:space="preserve">-LAYER LW 0.18
A-FLOR-LEVL  </v>
      </c>
      <c r="R28" s="11" t="str">
        <f t="shared" si="6"/>
        <v xml:space="preserve">-LAYER TR 0
A-FLOR-LEVL  </v>
      </c>
      <c r="S28" s="11" t="str">
        <f t="shared" si="7"/>
        <v xml:space="preserve">-LAYER D Arquitectura - Piso: cambios de nivel (rampas, fosos, depresiones)
A-FLOR-LEVL  </v>
      </c>
    </row>
    <row r="29" spans="1:19" x14ac:dyDescent="0.45">
      <c r="A29" s="7">
        <v>0</v>
      </c>
      <c r="B29" s="11" t="s">
        <v>2955</v>
      </c>
      <c r="C29" s="11" t="s">
        <v>2</v>
      </c>
      <c r="D29" s="11" t="s">
        <v>785</v>
      </c>
      <c r="E29" s="11" t="str">
        <f t="shared" si="0"/>
        <v>A-FLOR-OTLN (Arquitectura - Piso: contorno)</v>
      </c>
      <c r="F29" s="19" t="s">
        <v>3798</v>
      </c>
      <c r="G29" s="19" t="s">
        <v>3797</v>
      </c>
      <c r="H29" s="19" t="s">
        <v>3811</v>
      </c>
      <c r="I29" s="10">
        <v>0</v>
      </c>
      <c r="J29" s="10" t="str">
        <f t="shared" si="1"/>
        <v>Arquitectura - Piso: contorno</v>
      </c>
      <c r="K29" s="11" t="s">
        <v>783</v>
      </c>
      <c r="L29" s="11" t="s">
        <v>1</v>
      </c>
      <c r="M29" s="11" t="s">
        <v>784</v>
      </c>
      <c r="N29" s="18" t="str">
        <f t="shared" si="2"/>
        <v xml:space="preserve">-LAYER N A-FLOR-OTLN </v>
      </c>
      <c r="O29" s="11" t="str">
        <f t="shared" si="3"/>
        <v xml:space="preserve">-LAYER C white A-FLOR-OTLN </v>
      </c>
      <c r="P29" s="11" t="str">
        <f t="shared" si="4"/>
        <v xml:space="preserve">-LAYER L Continuous
A-FLOR-OTLN  </v>
      </c>
      <c r="Q29" s="11" t="str">
        <f t="shared" si="5"/>
        <v xml:space="preserve">-LAYER LW Default
A-FLOR-OTLN  </v>
      </c>
      <c r="R29" s="11" t="str">
        <f t="shared" si="6"/>
        <v xml:space="preserve">-LAYER TR 0
A-FLOR-OTLN  </v>
      </c>
      <c r="S29" s="11" t="str">
        <f t="shared" si="7"/>
        <v xml:space="preserve">-LAYER D Arquitectura - Piso: contorno
A-FLOR-OTLN  </v>
      </c>
    </row>
    <row r="30" spans="1:19" x14ac:dyDescent="0.45">
      <c r="A30" s="7">
        <v>0</v>
      </c>
      <c r="B30" s="11" t="s">
        <v>2956</v>
      </c>
      <c r="C30" s="11" t="s">
        <v>2</v>
      </c>
      <c r="D30" s="11" t="s">
        <v>788</v>
      </c>
      <c r="E30" s="11" t="str">
        <f t="shared" si="0"/>
        <v>A-FLOR-OVHD (Arquitectura - Piso: suspendido)</v>
      </c>
      <c r="F30" s="19" t="s">
        <v>3798</v>
      </c>
      <c r="G30" s="19" t="s">
        <v>3797</v>
      </c>
      <c r="H30" s="19" t="s">
        <v>3811</v>
      </c>
      <c r="I30" s="10">
        <v>0</v>
      </c>
      <c r="J30" s="10" t="str">
        <f t="shared" si="1"/>
        <v>Arquitectura - Piso: suspendido</v>
      </c>
      <c r="K30" s="11" t="s">
        <v>786</v>
      </c>
      <c r="L30" s="11" t="s">
        <v>1</v>
      </c>
      <c r="M30" s="11" t="s">
        <v>787</v>
      </c>
      <c r="N30" s="18" t="str">
        <f t="shared" si="2"/>
        <v xml:space="preserve">-LAYER N A-FLOR-OVHD </v>
      </c>
      <c r="O30" s="11" t="str">
        <f t="shared" si="3"/>
        <v xml:space="preserve">-LAYER C white A-FLOR-OVHD </v>
      </c>
      <c r="P30" s="11" t="str">
        <f t="shared" si="4"/>
        <v xml:space="preserve">-LAYER L Continuous
A-FLOR-OVHD  </v>
      </c>
      <c r="Q30" s="11" t="str">
        <f t="shared" si="5"/>
        <v xml:space="preserve">-LAYER LW Default
A-FLOR-OVHD  </v>
      </c>
      <c r="R30" s="11" t="str">
        <f t="shared" si="6"/>
        <v xml:space="preserve">-LAYER TR 0
A-FLOR-OVHD  </v>
      </c>
      <c r="S30" s="11" t="str">
        <f t="shared" si="7"/>
        <v xml:space="preserve">-LAYER D Arquitectura - Piso: suspendido
A-FLOR-OVHD  </v>
      </c>
    </row>
    <row r="31" spans="1:19" x14ac:dyDescent="0.45">
      <c r="A31" s="7">
        <v>0</v>
      </c>
      <c r="B31" s="11" t="s">
        <v>2957</v>
      </c>
      <c r="C31" s="11" t="s">
        <v>2</v>
      </c>
      <c r="D31" s="11" t="s">
        <v>791</v>
      </c>
      <c r="E31" s="11" t="str">
        <f t="shared" si="0"/>
        <v>A-FLOR-RAIS (Arquitectura - Piso: elevado)</v>
      </c>
      <c r="F31" s="19" t="s">
        <v>3798</v>
      </c>
      <c r="G31" s="19" t="s">
        <v>3797</v>
      </c>
      <c r="H31" s="19" t="s">
        <v>3811</v>
      </c>
      <c r="I31" s="10">
        <v>0</v>
      </c>
      <c r="J31" s="10" t="str">
        <f t="shared" si="1"/>
        <v>Arquitectura - Piso: elevado</v>
      </c>
      <c r="K31" s="11" t="s">
        <v>789</v>
      </c>
      <c r="L31" s="11" t="s">
        <v>1</v>
      </c>
      <c r="M31" s="11" t="s">
        <v>790</v>
      </c>
      <c r="N31" s="18" t="str">
        <f t="shared" si="2"/>
        <v xml:space="preserve">-LAYER N A-FLOR-RAIS </v>
      </c>
      <c r="O31" s="11" t="str">
        <f t="shared" si="3"/>
        <v xml:space="preserve">-LAYER C white A-FLOR-RAIS </v>
      </c>
      <c r="P31" s="11" t="str">
        <f t="shared" si="4"/>
        <v xml:space="preserve">-LAYER L Continuous
A-FLOR-RAIS  </v>
      </c>
      <c r="Q31" s="11" t="str">
        <f t="shared" si="5"/>
        <v xml:space="preserve">-LAYER LW Default
A-FLOR-RAIS  </v>
      </c>
      <c r="R31" s="11" t="str">
        <f t="shared" si="6"/>
        <v xml:space="preserve">-LAYER TR 0
A-FLOR-RAIS  </v>
      </c>
      <c r="S31" s="11" t="str">
        <f t="shared" si="7"/>
        <v xml:space="preserve">-LAYER D Arquitectura - Piso: elevado
A-FLOR-RAIS  </v>
      </c>
    </row>
    <row r="32" spans="1:19" x14ac:dyDescent="0.45">
      <c r="A32" s="7">
        <v>0</v>
      </c>
      <c r="B32" s="11" t="s">
        <v>2958</v>
      </c>
      <c r="C32" s="11" t="s">
        <v>2</v>
      </c>
      <c r="D32" s="11" t="s">
        <v>794</v>
      </c>
      <c r="E32" s="11" t="str">
        <f t="shared" si="0"/>
        <v>A-FLOR-RISR (Arquitectura - Piso: contrahuellas)</v>
      </c>
      <c r="F32" s="19" t="s">
        <v>3798</v>
      </c>
      <c r="G32" s="19" t="s">
        <v>3797</v>
      </c>
      <c r="H32" s="19" t="s">
        <v>3811</v>
      </c>
      <c r="I32" s="10">
        <v>0</v>
      </c>
      <c r="J32" s="10" t="str">
        <f t="shared" si="1"/>
        <v>Arquitectura - Piso: contrahuellas</v>
      </c>
      <c r="K32" s="11" t="s">
        <v>792</v>
      </c>
      <c r="L32" s="11" t="s">
        <v>1</v>
      </c>
      <c r="M32" s="11" t="s">
        <v>793</v>
      </c>
      <c r="N32" s="18" t="str">
        <f t="shared" si="2"/>
        <v xml:space="preserve">-LAYER N A-FLOR-RISR </v>
      </c>
      <c r="O32" s="11" t="str">
        <f t="shared" si="3"/>
        <v xml:space="preserve">-LAYER C white A-FLOR-RISR </v>
      </c>
      <c r="P32" s="11" t="str">
        <f t="shared" si="4"/>
        <v xml:space="preserve">-LAYER L Continuous
A-FLOR-RISR  </v>
      </c>
      <c r="Q32" s="11" t="str">
        <f t="shared" si="5"/>
        <v xml:space="preserve">-LAYER LW Default
A-FLOR-RISR  </v>
      </c>
      <c r="R32" s="11" t="str">
        <f t="shared" si="6"/>
        <v xml:space="preserve">-LAYER TR 0
A-FLOR-RISR  </v>
      </c>
      <c r="S32" s="11" t="str">
        <f t="shared" si="7"/>
        <v xml:space="preserve">-LAYER D Arquitectura - Piso: contrahuellas
A-FLOR-RISR  </v>
      </c>
    </row>
    <row r="33" spans="1:19" x14ac:dyDescent="0.45">
      <c r="A33" s="7">
        <v>0</v>
      </c>
      <c r="B33" s="11" t="s">
        <v>2959</v>
      </c>
      <c r="C33" s="11" t="s">
        <v>2</v>
      </c>
      <c r="D33" s="11" t="s">
        <v>797</v>
      </c>
      <c r="E33" s="11" t="str">
        <f t="shared" si="0"/>
        <v>A-FLOR-SIGN (Arquitectura - Piso: señalización)</v>
      </c>
      <c r="F33" s="19" t="s">
        <v>3798</v>
      </c>
      <c r="G33" s="19" t="s">
        <v>3797</v>
      </c>
      <c r="H33" s="19" t="s">
        <v>3811</v>
      </c>
      <c r="I33" s="10">
        <v>0</v>
      </c>
      <c r="J33" s="10" t="str">
        <f t="shared" si="1"/>
        <v>Arquitectura - Piso: señalización</v>
      </c>
      <c r="K33" s="11" t="s">
        <v>795</v>
      </c>
      <c r="L33" s="11" t="s">
        <v>1</v>
      </c>
      <c r="M33" s="11" t="s">
        <v>796</v>
      </c>
      <c r="N33" s="18" t="str">
        <f t="shared" si="2"/>
        <v xml:space="preserve">-LAYER N A-FLOR-SIGN </v>
      </c>
      <c r="O33" s="11" t="str">
        <f t="shared" si="3"/>
        <v xml:space="preserve">-LAYER C white A-FLOR-SIGN </v>
      </c>
      <c r="P33" s="11" t="str">
        <f t="shared" si="4"/>
        <v xml:space="preserve">-LAYER L Continuous
A-FLOR-SIGN  </v>
      </c>
      <c r="Q33" s="11" t="str">
        <f t="shared" si="5"/>
        <v xml:space="preserve">-LAYER LW Default
A-FLOR-SIGN  </v>
      </c>
      <c r="R33" s="11" t="str">
        <f t="shared" si="6"/>
        <v xml:space="preserve">-LAYER TR 0
A-FLOR-SIGN  </v>
      </c>
      <c r="S33" s="11" t="str">
        <f t="shared" si="7"/>
        <v xml:space="preserve">-LAYER D Arquitectura - Piso: señalización
A-FLOR-SIGN  </v>
      </c>
    </row>
    <row r="34" spans="1:19" x14ac:dyDescent="0.45">
      <c r="A34" s="7">
        <v>0</v>
      </c>
      <c r="B34" s="11" t="s">
        <v>2960</v>
      </c>
      <c r="C34" s="11" t="s">
        <v>2</v>
      </c>
      <c r="D34" s="11" t="s">
        <v>800</v>
      </c>
      <c r="E34" s="11" t="str">
        <f t="shared" si="0"/>
        <v>A-FLOR-SPCL (Arquitectura - Piso: artículos especiales (accesorios para baños, vitrinas))</v>
      </c>
      <c r="F34" s="19" t="s">
        <v>3798</v>
      </c>
      <c r="G34" s="19" t="s">
        <v>3797</v>
      </c>
      <c r="H34" s="19" t="s">
        <v>3811</v>
      </c>
      <c r="I34" s="10">
        <v>0</v>
      </c>
      <c r="J34" s="10" t="str">
        <f t="shared" si="1"/>
        <v>Arquitectura - Piso: artículos especiales (accesorios para baños, vitrinas)</v>
      </c>
      <c r="K34" s="11" t="s">
        <v>798</v>
      </c>
      <c r="L34" s="11" t="s">
        <v>1</v>
      </c>
      <c r="M34" s="11" t="s">
        <v>799</v>
      </c>
      <c r="N34" s="18" t="str">
        <f t="shared" si="2"/>
        <v xml:space="preserve">-LAYER N A-FLOR-SPCL </v>
      </c>
      <c r="O34" s="11" t="str">
        <f t="shared" si="3"/>
        <v xml:space="preserve">-LAYER C white A-FLOR-SPCL </v>
      </c>
      <c r="P34" s="11" t="str">
        <f t="shared" si="4"/>
        <v xml:space="preserve">-LAYER L Continuous
A-FLOR-SPCL  </v>
      </c>
      <c r="Q34" s="11" t="str">
        <f t="shared" si="5"/>
        <v xml:space="preserve">-LAYER LW Default
A-FLOR-SPCL  </v>
      </c>
      <c r="R34" s="11" t="str">
        <f t="shared" si="6"/>
        <v xml:space="preserve">-LAYER TR 0
A-FLOR-SPCL  </v>
      </c>
      <c r="S34" s="11" t="str">
        <f t="shared" si="7"/>
        <v xml:space="preserve">-LAYER D Arquitectura - Piso: artículos especiales (accesorios para baños, vitrinas)
A-FLOR-SPCL  </v>
      </c>
    </row>
    <row r="35" spans="1:19" x14ac:dyDescent="0.45">
      <c r="A35" s="7">
        <v>0</v>
      </c>
      <c r="B35" s="11" t="s">
        <v>2961</v>
      </c>
      <c r="C35" s="11" t="s">
        <v>2</v>
      </c>
      <c r="D35" s="11" t="s">
        <v>803</v>
      </c>
      <c r="E35" s="11" t="str">
        <f t="shared" si="0"/>
        <v>A-FLOR-STRS (Arquitectura - Piso: escalones de escaleras (escaleras mecánicas, escaleras de mano))</v>
      </c>
      <c r="F35" s="19" t="s">
        <v>3798</v>
      </c>
      <c r="G35" s="19" t="s">
        <v>3797</v>
      </c>
      <c r="H35" s="19" t="s">
        <v>3811</v>
      </c>
      <c r="I35" s="10">
        <v>0</v>
      </c>
      <c r="J35" s="10" t="str">
        <f t="shared" si="1"/>
        <v>Arquitectura - Piso: escalones de escaleras (escaleras mecánicas, escaleras de mano)</v>
      </c>
      <c r="K35" s="11" t="s">
        <v>801</v>
      </c>
      <c r="L35" s="11" t="s">
        <v>1</v>
      </c>
      <c r="M35" s="11" t="s">
        <v>802</v>
      </c>
      <c r="N35" s="18" t="str">
        <f t="shared" si="2"/>
        <v xml:space="preserve">-LAYER N A-FLOR-STRS </v>
      </c>
      <c r="O35" s="11" t="str">
        <f t="shared" si="3"/>
        <v xml:space="preserve">-LAYER C white A-FLOR-STRS </v>
      </c>
      <c r="P35" s="11" t="str">
        <f t="shared" si="4"/>
        <v xml:space="preserve">-LAYER L Continuous
A-FLOR-STRS  </v>
      </c>
      <c r="Q35" s="11" t="str">
        <f t="shared" si="5"/>
        <v xml:space="preserve">-LAYER LW Default
A-FLOR-STRS  </v>
      </c>
      <c r="R35" s="11" t="str">
        <f t="shared" si="6"/>
        <v xml:space="preserve">-LAYER TR 0
A-FLOR-STRS  </v>
      </c>
      <c r="S35" s="11" t="str">
        <f t="shared" si="7"/>
        <v xml:space="preserve">-LAYER D Arquitectura - Piso: escalones de escaleras (escaleras mecánicas, escaleras de mano)
A-FLOR-STRS  </v>
      </c>
    </row>
    <row r="36" spans="1:19" x14ac:dyDescent="0.45">
      <c r="A36" s="7">
        <v>0</v>
      </c>
      <c r="B36" s="11" t="s">
        <v>2962</v>
      </c>
      <c r="C36" s="11" t="s">
        <v>2</v>
      </c>
      <c r="D36" s="11" t="s">
        <v>806</v>
      </c>
      <c r="E36" s="11" t="str">
        <f t="shared" si="0"/>
        <v>A-FLOR-TPTN (Arquitectura - Suelo: mamparas de baño)</v>
      </c>
      <c r="F36" s="19" t="s">
        <v>3798</v>
      </c>
      <c r="G36" s="19" t="s">
        <v>3797</v>
      </c>
      <c r="H36" s="19" t="s">
        <v>3811</v>
      </c>
      <c r="I36" s="10">
        <v>0</v>
      </c>
      <c r="J36" s="10" t="str">
        <f t="shared" si="1"/>
        <v>Arquitectura - Suelo: mamparas de baño</v>
      </c>
      <c r="K36" s="11" t="s">
        <v>804</v>
      </c>
      <c r="L36" s="11" t="s">
        <v>1</v>
      </c>
      <c r="M36" s="11" t="s">
        <v>805</v>
      </c>
      <c r="N36" s="18" t="str">
        <f t="shared" si="2"/>
        <v xml:space="preserve">-LAYER N A-FLOR-TPTN </v>
      </c>
      <c r="O36" s="11" t="str">
        <f t="shared" si="3"/>
        <v xml:space="preserve">-LAYER C white A-FLOR-TPTN </v>
      </c>
      <c r="P36" s="11" t="str">
        <f t="shared" si="4"/>
        <v xml:space="preserve">-LAYER L Continuous
A-FLOR-TPTN  </v>
      </c>
      <c r="Q36" s="11" t="str">
        <f t="shared" si="5"/>
        <v xml:space="preserve">-LAYER LW Default
A-FLOR-TPTN  </v>
      </c>
      <c r="R36" s="11" t="str">
        <f t="shared" si="6"/>
        <v xml:space="preserve">-LAYER TR 0
A-FLOR-TPTN  </v>
      </c>
      <c r="S36" s="11" t="str">
        <f t="shared" si="7"/>
        <v xml:space="preserve">-LAYER D Arquitectura - Suelo: mamparas de baño
A-FLOR-TPTN  </v>
      </c>
    </row>
    <row r="37" spans="1:19" x14ac:dyDescent="0.45">
      <c r="A37" s="7">
        <v>0</v>
      </c>
      <c r="B37" s="11" t="s">
        <v>2963</v>
      </c>
      <c r="C37" s="11" t="s">
        <v>2</v>
      </c>
      <c r="D37" s="11" t="s">
        <v>809</v>
      </c>
      <c r="E37" s="11" t="str">
        <f t="shared" si="0"/>
        <v>A-FLOR-WDWK (Arquitectura - Suelo: carpintería arquitectónica)</v>
      </c>
      <c r="F37" s="19" t="s">
        <v>3798</v>
      </c>
      <c r="G37" s="19" t="s">
        <v>3797</v>
      </c>
      <c r="H37" s="19" t="s">
        <v>3811</v>
      </c>
      <c r="I37" s="10">
        <v>0</v>
      </c>
      <c r="J37" s="10" t="str">
        <f t="shared" si="1"/>
        <v>Arquitectura - Suelo: carpintería arquitectónica</v>
      </c>
      <c r="K37" s="11" t="s">
        <v>807</v>
      </c>
      <c r="L37" s="11" t="s">
        <v>1</v>
      </c>
      <c r="M37" s="11" t="s">
        <v>808</v>
      </c>
      <c r="N37" s="18" t="str">
        <f t="shared" si="2"/>
        <v xml:space="preserve">-LAYER N A-FLOR-WDWK </v>
      </c>
      <c r="O37" s="11" t="str">
        <f t="shared" si="3"/>
        <v xml:space="preserve">-LAYER C white A-FLOR-WDWK </v>
      </c>
      <c r="P37" s="11" t="str">
        <f t="shared" si="4"/>
        <v xml:space="preserve">-LAYER L Continuous
A-FLOR-WDWK  </v>
      </c>
      <c r="Q37" s="11" t="str">
        <f t="shared" si="5"/>
        <v xml:space="preserve">-LAYER LW Default
A-FLOR-WDWK  </v>
      </c>
      <c r="R37" s="11" t="str">
        <f t="shared" si="6"/>
        <v xml:space="preserve">-LAYER TR 0
A-FLOR-WDWK  </v>
      </c>
      <c r="S37" s="11" t="str">
        <f t="shared" si="7"/>
        <v xml:space="preserve">-LAYER D Arquitectura - Suelo: carpintería arquitectónica
A-FLOR-WDWK  </v>
      </c>
    </row>
    <row r="38" spans="1:19" x14ac:dyDescent="0.45">
      <c r="A38" s="7">
        <v>1</v>
      </c>
      <c r="B38" s="11" t="s">
        <v>2964</v>
      </c>
      <c r="C38" s="11" t="s">
        <v>2</v>
      </c>
      <c r="D38" s="11" t="s">
        <v>376</v>
      </c>
      <c r="E38" s="11" t="str">
        <f t="shared" si="0"/>
        <v>A-FURN (Arquitectura - Mobiliario)</v>
      </c>
      <c r="F38" s="10">
        <v>46</v>
      </c>
      <c r="G38" s="10" t="s">
        <v>3797</v>
      </c>
      <c r="H38" s="10">
        <v>0.18</v>
      </c>
      <c r="I38" s="10">
        <v>0</v>
      </c>
      <c r="J38" s="10" t="str">
        <f t="shared" si="1"/>
        <v>Arquitectura - Mobiliario</v>
      </c>
      <c r="K38" s="11" t="s">
        <v>810</v>
      </c>
      <c r="L38" s="11" t="s">
        <v>1</v>
      </c>
      <c r="M38" s="11" t="s">
        <v>375</v>
      </c>
      <c r="N38" s="18" t="str">
        <f t="shared" si="2"/>
        <v xml:space="preserve">-LAYER N A-FURN </v>
      </c>
      <c r="O38" s="11" t="str">
        <f t="shared" si="3"/>
        <v xml:space="preserve">-LAYER C 46 A-FURN </v>
      </c>
      <c r="P38" s="11" t="str">
        <f t="shared" si="4"/>
        <v xml:space="preserve">-LAYER L Continuous
A-FURN  </v>
      </c>
      <c r="Q38" s="11" t="str">
        <f t="shared" si="5"/>
        <v xml:space="preserve">-LAYER LW 0.18
A-FURN  </v>
      </c>
      <c r="R38" s="11" t="str">
        <f t="shared" si="6"/>
        <v xml:space="preserve">-LAYER TR 0
A-FURN  </v>
      </c>
      <c r="S38" s="11" t="str">
        <f t="shared" si="7"/>
        <v xml:space="preserve">-LAYER D Arquitectura - Mobiliario
A-FURN  </v>
      </c>
    </row>
    <row r="39" spans="1:19" x14ac:dyDescent="0.45">
      <c r="A39" s="7">
        <v>0</v>
      </c>
      <c r="B39" s="11" t="s">
        <v>2965</v>
      </c>
      <c r="C39" s="11" t="s">
        <v>2</v>
      </c>
      <c r="D39" s="11" t="s">
        <v>813</v>
      </c>
      <c r="E39" s="11" t="str">
        <f t="shared" si="0"/>
        <v>A-FURN-FILE (Arquitectura - Mobiliario: archivadores)</v>
      </c>
      <c r="F39" s="19" t="s">
        <v>3798</v>
      </c>
      <c r="G39" s="19" t="s">
        <v>3797</v>
      </c>
      <c r="H39" s="19" t="s">
        <v>3811</v>
      </c>
      <c r="I39" s="10">
        <v>0</v>
      </c>
      <c r="J39" s="10" t="str">
        <f t="shared" si="1"/>
        <v>Arquitectura - Mobiliario: archivadores</v>
      </c>
      <c r="K39" s="11" t="s">
        <v>811</v>
      </c>
      <c r="L39" s="11" t="s">
        <v>1</v>
      </c>
      <c r="M39" s="11" t="s">
        <v>812</v>
      </c>
      <c r="N39" s="18" t="str">
        <f t="shared" si="2"/>
        <v xml:space="preserve">-LAYER N A-FURN-FILE </v>
      </c>
      <c r="O39" s="11" t="str">
        <f t="shared" si="3"/>
        <v xml:space="preserve">-LAYER C white A-FURN-FILE </v>
      </c>
      <c r="P39" s="11" t="str">
        <f t="shared" si="4"/>
        <v xml:space="preserve">-LAYER L Continuous
A-FURN-FILE  </v>
      </c>
      <c r="Q39" s="11" t="str">
        <f t="shared" si="5"/>
        <v xml:space="preserve">-LAYER LW Default
A-FURN-FILE  </v>
      </c>
      <c r="R39" s="11" t="str">
        <f t="shared" si="6"/>
        <v xml:space="preserve">-LAYER TR 0
A-FURN-FILE  </v>
      </c>
      <c r="S39" s="11" t="str">
        <f t="shared" si="7"/>
        <v xml:space="preserve">-LAYER D Arquitectura - Mobiliario: archivadores
A-FURN-FILE  </v>
      </c>
    </row>
    <row r="40" spans="1:19" x14ac:dyDescent="0.45">
      <c r="A40" s="7">
        <v>0</v>
      </c>
      <c r="B40" s="11" t="s">
        <v>2966</v>
      </c>
      <c r="C40" s="11" t="s">
        <v>2</v>
      </c>
      <c r="D40" s="11" t="s">
        <v>816</v>
      </c>
      <c r="E40" s="11" t="str">
        <f t="shared" si="0"/>
        <v>A-FURN-FIXD (Arquitectura - Mobiliario: fijo)</v>
      </c>
      <c r="F40" s="19" t="s">
        <v>3798</v>
      </c>
      <c r="G40" s="19" t="s">
        <v>3797</v>
      </c>
      <c r="H40" s="19" t="s">
        <v>3811</v>
      </c>
      <c r="I40" s="10">
        <v>0</v>
      </c>
      <c r="J40" s="10" t="str">
        <f t="shared" si="1"/>
        <v>Arquitectura - Mobiliario: fijo</v>
      </c>
      <c r="K40" s="11" t="s">
        <v>814</v>
      </c>
      <c r="L40" s="11" t="s">
        <v>1</v>
      </c>
      <c r="M40" s="11" t="s">
        <v>815</v>
      </c>
      <c r="N40" s="18" t="str">
        <f t="shared" si="2"/>
        <v xml:space="preserve">-LAYER N A-FURN-FIXD </v>
      </c>
      <c r="O40" s="11" t="str">
        <f t="shared" si="3"/>
        <v xml:space="preserve">-LAYER C white A-FURN-FIXD </v>
      </c>
      <c r="P40" s="11" t="str">
        <f t="shared" si="4"/>
        <v xml:space="preserve">-LAYER L Continuous
A-FURN-FIXD  </v>
      </c>
      <c r="Q40" s="11" t="str">
        <f t="shared" si="5"/>
        <v xml:space="preserve">-LAYER LW Default
A-FURN-FIXD  </v>
      </c>
      <c r="R40" s="11" t="str">
        <f t="shared" si="6"/>
        <v xml:space="preserve">-LAYER TR 0
A-FURN-FIXD  </v>
      </c>
      <c r="S40" s="11" t="str">
        <f t="shared" si="7"/>
        <v xml:space="preserve">-LAYER D Arquitectura - Mobiliario: fijo
A-FURN-FIXD  </v>
      </c>
    </row>
    <row r="41" spans="1:19" x14ac:dyDescent="0.45">
      <c r="A41" s="7">
        <v>0</v>
      </c>
      <c r="B41" s="11" t="s">
        <v>2967</v>
      </c>
      <c r="C41" s="11" t="s">
        <v>2</v>
      </c>
      <c r="D41" s="11" t="s">
        <v>819</v>
      </c>
      <c r="E41" s="11" t="str">
        <f t="shared" si="0"/>
        <v>A-FURN-FREE (Arquitectura - Mobiliario: independiente)</v>
      </c>
      <c r="F41" s="19" t="s">
        <v>3798</v>
      </c>
      <c r="G41" s="19" t="s">
        <v>3797</v>
      </c>
      <c r="H41" s="19" t="s">
        <v>3811</v>
      </c>
      <c r="I41" s="10">
        <v>0</v>
      </c>
      <c r="J41" s="10" t="str">
        <f t="shared" si="1"/>
        <v>Arquitectura - Mobiliario: independiente</v>
      </c>
      <c r="K41" s="11" t="s">
        <v>817</v>
      </c>
      <c r="L41" s="11" t="s">
        <v>1</v>
      </c>
      <c r="M41" s="11" t="s">
        <v>818</v>
      </c>
      <c r="N41" s="18" t="str">
        <f t="shared" si="2"/>
        <v xml:space="preserve">-LAYER N A-FURN-FREE </v>
      </c>
      <c r="O41" s="11" t="str">
        <f t="shared" si="3"/>
        <v xml:space="preserve">-LAYER C white A-FURN-FREE </v>
      </c>
      <c r="P41" s="11" t="str">
        <f t="shared" si="4"/>
        <v xml:space="preserve">-LAYER L Continuous
A-FURN-FREE  </v>
      </c>
      <c r="Q41" s="11" t="str">
        <f t="shared" si="5"/>
        <v xml:space="preserve">-LAYER LW Default
A-FURN-FREE  </v>
      </c>
      <c r="R41" s="11" t="str">
        <f t="shared" si="6"/>
        <v xml:space="preserve">-LAYER TR 0
A-FURN-FREE  </v>
      </c>
      <c r="S41" s="11" t="str">
        <f t="shared" si="7"/>
        <v xml:space="preserve">-LAYER D Arquitectura - Mobiliario: independiente
A-FURN-FREE  </v>
      </c>
    </row>
    <row r="42" spans="1:19" x14ac:dyDescent="0.45">
      <c r="A42" s="7">
        <v>0</v>
      </c>
      <c r="B42" s="11" t="s">
        <v>2968</v>
      </c>
      <c r="C42" s="11" t="s">
        <v>2</v>
      </c>
      <c r="D42" s="11" t="s">
        <v>822</v>
      </c>
      <c r="E42" s="11" t="str">
        <f t="shared" si="0"/>
        <v>A-FURN-PLNT (Arquitectura - Mobiliario: plantas)</v>
      </c>
      <c r="F42" s="19" t="s">
        <v>3798</v>
      </c>
      <c r="G42" s="19" t="s">
        <v>3797</v>
      </c>
      <c r="H42" s="19" t="s">
        <v>3811</v>
      </c>
      <c r="I42" s="10">
        <v>0</v>
      </c>
      <c r="J42" s="10" t="str">
        <f t="shared" si="1"/>
        <v>Arquitectura - Mobiliario: plantas</v>
      </c>
      <c r="K42" s="11" t="s">
        <v>820</v>
      </c>
      <c r="L42" s="11" t="s">
        <v>1</v>
      </c>
      <c r="M42" s="11" t="s">
        <v>821</v>
      </c>
      <c r="N42" s="18" t="str">
        <f t="shared" si="2"/>
        <v xml:space="preserve">-LAYER N A-FURN-PLNT </v>
      </c>
      <c r="O42" s="11" t="str">
        <f t="shared" si="3"/>
        <v xml:space="preserve">-LAYER C white A-FURN-PLNT </v>
      </c>
      <c r="P42" s="11" t="str">
        <f t="shared" si="4"/>
        <v xml:space="preserve">-LAYER L Continuous
A-FURN-PLNT  </v>
      </c>
      <c r="Q42" s="11" t="str">
        <f t="shared" si="5"/>
        <v xml:space="preserve">-LAYER LW Default
A-FURN-PLNT  </v>
      </c>
      <c r="R42" s="11" t="str">
        <f t="shared" si="6"/>
        <v xml:space="preserve">-LAYER TR 0
A-FURN-PLNT  </v>
      </c>
      <c r="S42" s="11" t="str">
        <f t="shared" si="7"/>
        <v xml:space="preserve">-LAYER D Arquitectura - Mobiliario: plantas
A-FURN-PLNT  </v>
      </c>
    </row>
    <row r="43" spans="1:19" x14ac:dyDescent="0.45">
      <c r="A43" s="7">
        <v>0</v>
      </c>
      <c r="B43" s="11" t="s">
        <v>2969</v>
      </c>
      <c r="C43" s="11" t="s">
        <v>2</v>
      </c>
      <c r="D43" s="11" t="s">
        <v>825</v>
      </c>
      <c r="E43" s="11" t="str">
        <f t="shared" si="0"/>
        <v>A-FURN-PNLS (Arquitectura - Mobiliario: paneles de sistema)</v>
      </c>
      <c r="F43" s="19" t="s">
        <v>3798</v>
      </c>
      <c r="G43" s="19" t="s">
        <v>3797</v>
      </c>
      <c r="H43" s="19" t="s">
        <v>3811</v>
      </c>
      <c r="I43" s="10">
        <v>0</v>
      </c>
      <c r="J43" s="10" t="str">
        <f t="shared" si="1"/>
        <v>Arquitectura - Mobiliario: paneles de sistema</v>
      </c>
      <c r="K43" s="11" t="s">
        <v>823</v>
      </c>
      <c r="L43" s="11" t="s">
        <v>1</v>
      </c>
      <c r="M43" s="11" t="s">
        <v>824</v>
      </c>
      <c r="N43" s="18" t="str">
        <f t="shared" si="2"/>
        <v xml:space="preserve">-LAYER N A-FURN-PNLS </v>
      </c>
      <c r="O43" s="11" t="str">
        <f t="shared" si="3"/>
        <v xml:space="preserve">-LAYER C white A-FURN-PNLS </v>
      </c>
      <c r="P43" s="11" t="str">
        <f t="shared" si="4"/>
        <v xml:space="preserve">-LAYER L Continuous
A-FURN-PNLS  </v>
      </c>
      <c r="Q43" s="11" t="str">
        <f t="shared" si="5"/>
        <v xml:space="preserve">-LAYER LW Default
A-FURN-PNLS  </v>
      </c>
      <c r="R43" s="11" t="str">
        <f t="shared" si="6"/>
        <v xml:space="preserve">-LAYER TR 0
A-FURN-PNLS  </v>
      </c>
      <c r="S43" s="11" t="str">
        <f t="shared" si="7"/>
        <v xml:space="preserve">-LAYER D Arquitectura - Mobiliario: paneles de sistema
A-FURN-PNLS  </v>
      </c>
    </row>
    <row r="44" spans="1:19" x14ac:dyDescent="0.45">
      <c r="A44" s="7">
        <v>0</v>
      </c>
      <c r="B44" s="11" t="s">
        <v>2970</v>
      </c>
      <c r="C44" s="11" t="s">
        <v>2</v>
      </c>
      <c r="D44" s="11" t="s">
        <v>828</v>
      </c>
      <c r="E44" s="11" t="str">
        <f t="shared" si="0"/>
        <v>A-FURN-SEAT (Arquitectura - Mobiliario: asientos)</v>
      </c>
      <c r="F44" s="19" t="s">
        <v>3798</v>
      </c>
      <c r="G44" s="19" t="s">
        <v>3797</v>
      </c>
      <c r="H44" s="19" t="s">
        <v>3811</v>
      </c>
      <c r="I44" s="10">
        <v>0</v>
      </c>
      <c r="J44" s="10" t="str">
        <f t="shared" si="1"/>
        <v>Arquitectura - Mobiliario: asientos</v>
      </c>
      <c r="K44" s="11" t="s">
        <v>826</v>
      </c>
      <c r="L44" s="11" t="s">
        <v>1</v>
      </c>
      <c r="M44" s="11" t="s">
        <v>827</v>
      </c>
      <c r="N44" s="18" t="str">
        <f t="shared" si="2"/>
        <v xml:space="preserve">-LAYER N A-FURN-SEAT </v>
      </c>
      <c r="O44" s="11" t="str">
        <f t="shared" si="3"/>
        <v xml:space="preserve">-LAYER C white A-FURN-SEAT </v>
      </c>
      <c r="P44" s="11" t="str">
        <f t="shared" si="4"/>
        <v xml:space="preserve">-LAYER L Continuous
A-FURN-SEAT  </v>
      </c>
      <c r="Q44" s="11" t="str">
        <f t="shared" si="5"/>
        <v xml:space="preserve">-LAYER LW Default
A-FURN-SEAT  </v>
      </c>
      <c r="R44" s="11" t="str">
        <f t="shared" si="6"/>
        <v xml:space="preserve">-LAYER TR 0
A-FURN-SEAT  </v>
      </c>
      <c r="S44" s="11" t="str">
        <f t="shared" si="7"/>
        <v xml:space="preserve">-LAYER D Arquitectura - Mobiliario: asientos
A-FURN-SEAT  </v>
      </c>
    </row>
    <row r="45" spans="1:19" x14ac:dyDescent="0.45">
      <c r="A45" s="7">
        <v>0</v>
      </c>
      <c r="B45" s="11" t="s">
        <v>2971</v>
      </c>
      <c r="C45" s="11" t="s">
        <v>2</v>
      </c>
      <c r="D45" s="11" t="s">
        <v>831</v>
      </c>
      <c r="E45" s="11" t="str">
        <f t="shared" si="0"/>
        <v>A-FURN-STOR (Arquitectura - Mobiliario: almacenamiento (sistema de componentes))</v>
      </c>
      <c r="F45" s="19" t="s">
        <v>3798</v>
      </c>
      <c r="G45" s="19" t="s">
        <v>3797</v>
      </c>
      <c r="H45" s="19" t="s">
        <v>3811</v>
      </c>
      <c r="I45" s="10">
        <v>0</v>
      </c>
      <c r="J45" s="10" t="str">
        <f t="shared" si="1"/>
        <v>Arquitectura - Mobiliario: almacenamiento (sistema de componentes)</v>
      </c>
      <c r="K45" s="11" t="s">
        <v>829</v>
      </c>
      <c r="L45" s="11" t="s">
        <v>1</v>
      </c>
      <c r="M45" s="11" t="s">
        <v>830</v>
      </c>
      <c r="N45" s="18" t="str">
        <f t="shared" si="2"/>
        <v xml:space="preserve">-LAYER N A-FURN-STOR </v>
      </c>
      <c r="O45" s="11" t="str">
        <f t="shared" si="3"/>
        <v xml:space="preserve">-LAYER C white A-FURN-STOR </v>
      </c>
      <c r="P45" s="11" t="str">
        <f t="shared" si="4"/>
        <v xml:space="preserve">-LAYER L Continuous
A-FURN-STOR  </v>
      </c>
      <c r="Q45" s="11" t="str">
        <f t="shared" si="5"/>
        <v xml:space="preserve">-LAYER LW Default
A-FURN-STOR  </v>
      </c>
      <c r="R45" s="11" t="str">
        <f t="shared" si="6"/>
        <v xml:space="preserve">-LAYER TR 0
A-FURN-STOR  </v>
      </c>
      <c r="S45" s="11" t="str">
        <f t="shared" si="7"/>
        <v xml:space="preserve">-LAYER D Arquitectura - Mobiliario: almacenamiento (sistema de componentes)
A-FURN-STOR  </v>
      </c>
    </row>
    <row r="46" spans="1:19" x14ac:dyDescent="0.45">
      <c r="A46" s="7">
        <v>0</v>
      </c>
      <c r="B46" s="11" t="s">
        <v>2972</v>
      </c>
      <c r="C46" s="11" t="s">
        <v>2</v>
      </c>
      <c r="D46" s="11" t="s">
        <v>834</v>
      </c>
      <c r="E46" s="11" t="str">
        <f t="shared" si="0"/>
        <v>A-FURN-WKSF (Arquitectura - Mobiliario: superficie de trabajo (sistema de componentes))</v>
      </c>
      <c r="F46" s="19" t="s">
        <v>3798</v>
      </c>
      <c r="G46" s="19" t="s">
        <v>3797</v>
      </c>
      <c r="H46" s="19" t="s">
        <v>3811</v>
      </c>
      <c r="I46" s="10">
        <v>0</v>
      </c>
      <c r="J46" s="10" t="str">
        <f t="shared" si="1"/>
        <v>Arquitectura - Mobiliario: superficie de trabajo (sistema de componentes)</v>
      </c>
      <c r="K46" s="11" t="s">
        <v>832</v>
      </c>
      <c r="L46" s="11" t="s">
        <v>1</v>
      </c>
      <c r="M46" s="11" t="s">
        <v>833</v>
      </c>
      <c r="N46" s="18" t="str">
        <f t="shared" si="2"/>
        <v xml:space="preserve">-LAYER N A-FURN-WKSF </v>
      </c>
      <c r="O46" s="11" t="str">
        <f t="shared" si="3"/>
        <v xml:space="preserve">-LAYER C white A-FURN-WKSF </v>
      </c>
      <c r="P46" s="11" t="str">
        <f t="shared" si="4"/>
        <v xml:space="preserve">-LAYER L Continuous
A-FURN-WKSF  </v>
      </c>
      <c r="Q46" s="11" t="str">
        <f t="shared" si="5"/>
        <v xml:space="preserve">-LAYER LW Default
A-FURN-WKSF  </v>
      </c>
      <c r="R46" s="11" t="str">
        <f t="shared" si="6"/>
        <v xml:space="preserve">-LAYER TR 0
A-FURN-WKSF  </v>
      </c>
      <c r="S46" s="11" t="str">
        <f t="shared" si="7"/>
        <v xml:space="preserve">-LAYER D Arquitectura - Mobiliario: superficie de trabajo (sistema de componentes)
A-FURN-WKSF  </v>
      </c>
    </row>
    <row r="47" spans="1:19" x14ac:dyDescent="0.45">
      <c r="A47" s="7">
        <v>1</v>
      </c>
      <c r="B47" s="11" t="s">
        <v>2973</v>
      </c>
      <c r="C47" s="11" t="s">
        <v>2</v>
      </c>
      <c r="D47" s="11" t="s">
        <v>2925</v>
      </c>
      <c r="E47" s="11" t="str">
        <f t="shared" si="0"/>
        <v>A-GLAZ (Arquitectura - Acristalamiento (muros transparentes y ventanas))</v>
      </c>
      <c r="F47" s="10" t="s">
        <v>3802</v>
      </c>
      <c r="G47" s="10" t="s">
        <v>3797</v>
      </c>
      <c r="H47" s="10">
        <v>0.18</v>
      </c>
      <c r="I47" s="10">
        <v>0</v>
      </c>
      <c r="J47" s="10" t="str">
        <f t="shared" si="1"/>
        <v>Arquitectura - Acristalamiento (muros transparentes y ventanas)</v>
      </c>
      <c r="K47" s="11" t="s">
        <v>835</v>
      </c>
      <c r="L47" s="11" t="s">
        <v>1</v>
      </c>
      <c r="M47" s="11" t="s">
        <v>383</v>
      </c>
      <c r="N47" s="18" t="str">
        <f t="shared" si="2"/>
        <v xml:space="preserve">-LAYER N A-GLAZ </v>
      </c>
      <c r="O47" s="11" t="str">
        <f t="shared" si="3"/>
        <v xml:space="preserve">-LAYER C yellow A-GLAZ </v>
      </c>
      <c r="P47" s="11" t="str">
        <f t="shared" si="4"/>
        <v xml:space="preserve">-LAYER L Continuous
A-GLAZ  </v>
      </c>
      <c r="Q47" s="11" t="str">
        <f t="shared" si="5"/>
        <v xml:space="preserve">-LAYER LW 0.18
A-GLAZ  </v>
      </c>
      <c r="R47" s="11" t="str">
        <f t="shared" si="6"/>
        <v xml:space="preserve">-LAYER TR 0
A-GLAZ  </v>
      </c>
      <c r="S47" s="11" t="str">
        <f t="shared" si="7"/>
        <v xml:space="preserve">-LAYER D Arquitectura - Acristalamiento (muros transparentes y ventanas)
A-GLAZ  </v>
      </c>
    </row>
    <row r="48" spans="1:19" x14ac:dyDescent="0.45">
      <c r="A48" s="7">
        <v>0</v>
      </c>
      <c r="B48" s="11" t="s">
        <v>2974</v>
      </c>
      <c r="C48" s="11" t="s">
        <v>2</v>
      </c>
      <c r="D48" s="11" t="s">
        <v>838</v>
      </c>
      <c r="E48" s="11" t="str">
        <f t="shared" si="0"/>
        <v>A-GLAZ-FULL (Arquitectura - Acristalamiento: altura completa)</v>
      </c>
      <c r="F48" s="19" t="s">
        <v>3798</v>
      </c>
      <c r="G48" s="19" t="s">
        <v>3797</v>
      </c>
      <c r="H48" s="19" t="s">
        <v>3811</v>
      </c>
      <c r="I48" s="10">
        <v>0</v>
      </c>
      <c r="J48" s="10" t="str">
        <f t="shared" si="1"/>
        <v>Arquitectura - Acristalamiento: altura completa</v>
      </c>
      <c r="K48" s="11" t="s">
        <v>836</v>
      </c>
      <c r="L48" s="11" t="s">
        <v>1</v>
      </c>
      <c r="M48" s="11" t="s">
        <v>837</v>
      </c>
      <c r="N48" s="18" t="str">
        <f t="shared" si="2"/>
        <v xml:space="preserve">-LAYER N A-GLAZ-FULL </v>
      </c>
      <c r="O48" s="11" t="str">
        <f t="shared" si="3"/>
        <v xml:space="preserve">-LAYER C white A-GLAZ-FULL </v>
      </c>
      <c r="P48" s="11" t="str">
        <f t="shared" si="4"/>
        <v xml:space="preserve">-LAYER L Continuous
A-GLAZ-FULL  </v>
      </c>
      <c r="Q48" s="11" t="str">
        <f t="shared" si="5"/>
        <v xml:space="preserve">-LAYER LW Default
A-GLAZ-FULL  </v>
      </c>
      <c r="R48" s="11" t="str">
        <f t="shared" si="6"/>
        <v xml:space="preserve">-LAYER TR 0
A-GLAZ-FULL  </v>
      </c>
      <c r="S48" s="11" t="str">
        <f t="shared" si="7"/>
        <v xml:space="preserve">-LAYER D Arquitectura - Acristalamiento: altura completa
A-GLAZ-FULL  </v>
      </c>
    </row>
    <row r="49" spans="1:19" x14ac:dyDescent="0.45">
      <c r="A49" s="7">
        <v>0</v>
      </c>
      <c r="B49" s="11" t="s">
        <v>2975</v>
      </c>
      <c r="C49" s="11" t="s">
        <v>2</v>
      </c>
      <c r="D49" s="11" t="s">
        <v>841</v>
      </c>
      <c r="E49" s="11" t="str">
        <f t="shared" si="0"/>
        <v>A-GLAZ-PRHT (Arquitectura - Acristalamiento: altura parcial)</v>
      </c>
      <c r="F49" s="19" t="s">
        <v>3798</v>
      </c>
      <c r="G49" s="19" t="s">
        <v>3797</v>
      </c>
      <c r="H49" s="19" t="s">
        <v>3811</v>
      </c>
      <c r="I49" s="10">
        <v>0</v>
      </c>
      <c r="J49" s="10" t="str">
        <f t="shared" si="1"/>
        <v>Arquitectura - Acristalamiento: altura parcial</v>
      </c>
      <c r="K49" s="11" t="s">
        <v>839</v>
      </c>
      <c r="L49" s="11" t="s">
        <v>1</v>
      </c>
      <c r="M49" s="11" t="s">
        <v>840</v>
      </c>
      <c r="N49" s="18" t="str">
        <f t="shared" si="2"/>
        <v xml:space="preserve">-LAYER N A-GLAZ-PRHT </v>
      </c>
      <c r="O49" s="11" t="str">
        <f t="shared" si="3"/>
        <v xml:space="preserve">-LAYER C white A-GLAZ-PRHT </v>
      </c>
      <c r="P49" s="11" t="str">
        <f t="shared" si="4"/>
        <v xml:space="preserve">-LAYER L Continuous
A-GLAZ-PRHT  </v>
      </c>
      <c r="Q49" s="11" t="str">
        <f t="shared" si="5"/>
        <v xml:space="preserve">-LAYER LW Default
A-GLAZ-PRHT  </v>
      </c>
      <c r="R49" s="11" t="str">
        <f t="shared" si="6"/>
        <v xml:space="preserve">-LAYER TR 0
A-GLAZ-PRHT  </v>
      </c>
      <c r="S49" s="11" t="str">
        <f t="shared" si="7"/>
        <v xml:space="preserve">-LAYER D Arquitectura - Acristalamiento: altura parcial
A-GLAZ-PRHT  </v>
      </c>
    </row>
    <row r="50" spans="1:19" x14ac:dyDescent="0.45">
      <c r="A50" s="7">
        <v>0</v>
      </c>
      <c r="B50" s="11" t="s">
        <v>2976</v>
      </c>
      <c r="C50" s="11" t="s">
        <v>2</v>
      </c>
      <c r="D50" s="11" t="s">
        <v>844</v>
      </c>
      <c r="E50" s="11" t="str">
        <f t="shared" si="0"/>
        <v>A-GLAZ-SILL (Arquitectura - Acristalamiento: alféizares de ventanas)</v>
      </c>
      <c r="F50" s="19" t="s">
        <v>3798</v>
      </c>
      <c r="G50" s="19" t="s">
        <v>3797</v>
      </c>
      <c r="H50" s="19" t="s">
        <v>3811</v>
      </c>
      <c r="I50" s="10">
        <v>0</v>
      </c>
      <c r="J50" s="10" t="str">
        <f t="shared" si="1"/>
        <v>Arquitectura - Acristalamiento: alféizares de ventanas</v>
      </c>
      <c r="K50" s="11" t="s">
        <v>842</v>
      </c>
      <c r="L50" s="11" t="s">
        <v>1</v>
      </c>
      <c r="M50" s="11" t="s">
        <v>843</v>
      </c>
      <c r="N50" s="18" t="str">
        <f t="shared" si="2"/>
        <v xml:space="preserve">-LAYER N A-GLAZ-SILL </v>
      </c>
      <c r="O50" s="11" t="str">
        <f t="shared" si="3"/>
        <v xml:space="preserve">-LAYER C white A-GLAZ-SILL </v>
      </c>
      <c r="P50" s="11" t="str">
        <f t="shared" si="4"/>
        <v xml:space="preserve">-LAYER L Continuous
A-GLAZ-SILL  </v>
      </c>
      <c r="Q50" s="11" t="str">
        <f t="shared" si="5"/>
        <v xml:space="preserve">-LAYER LW Default
A-GLAZ-SILL  </v>
      </c>
      <c r="R50" s="11" t="str">
        <f t="shared" si="6"/>
        <v xml:space="preserve">-LAYER TR 0
A-GLAZ-SILL  </v>
      </c>
      <c r="S50" s="11" t="str">
        <f t="shared" si="7"/>
        <v xml:space="preserve">-LAYER D Arquitectura - Acristalamiento: alféizares de ventanas
A-GLAZ-SILL  </v>
      </c>
    </row>
    <row r="51" spans="1:19" x14ac:dyDescent="0.45">
      <c r="A51" s="7">
        <v>0</v>
      </c>
      <c r="B51" s="11" t="s">
        <v>2977</v>
      </c>
      <c r="C51" s="11" t="s">
        <v>2</v>
      </c>
      <c r="D51" s="11" t="s">
        <v>402</v>
      </c>
      <c r="E51" s="11" t="str">
        <f t="shared" si="0"/>
        <v>A-HVAC (Arquitectura - Sistemas de climatización (HVAC))</v>
      </c>
      <c r="F51" s="19" t="s">
        <v>3798</v>
      </c>
      <c r="G51" s="19" t="s">
        <v>3797</v>
      </c>
      <c r="H51" s="19" t="s">
        <v>3811</v>
      </c>
      <c r="I51" s="10">
        <v>0</v>
      </c>
      <c r="J51" s="10" t="str">
        <f t="shared" si="1"/>
        <v>Arquitectura - Sistemas de climatización (HVAC)</v>
      </c>
      <c r="K51" s="11" t="s">
        <v>845</v>
      </c>
      <c r="L51" s="11" t="s">
        <v>1</v>
      </c>
      <c r="M51" s="11" t="s">
        <v>401</v>
      </c>
      <c r="N51" s="18" t="str">
        <f t="shared" si="2"/>
        <v xml:space="preserve">-LAYER N A-HVAC </v>
      </c>
      <c r="O51" s="11" t="str">
        <f t="shared" si="3"/>
        <v xml:space="preserve">-LAYER C white A-HVAC </v>
      </c>
      <c r="P51" s="11" t="str">
        <f t="shared" si="4"/>
        <v xml:space="preserve">-LAYER L Continuous
A-HVAC  </v>
      </c>
      <c r="Q51" s="11" t="str">
        <f t="shared" si="5"/>
        <v xml:space="preserve">-LAYER LW Default
A-HVAC  </v>
      </c>
      <c r="R51" s="11" t="str">
        <f t="shared" si="6"/>
        <v xml:space="preserve">-LAYER TR 0
A-HVAC  </v>
      </c>
      <c r="S51" s="11" t="str">
        <f t="shared" si="7"/>
        <v xml:space="preserve">-LAYER D Arquitectura - Sistemas de climatización (HVAC)
A-HVAC  </v>
      </c>
    </row>
    <row r="52" spans="1:19" x14ac:dyDescent="0.45">
      <c r="A52" s="7">
        <v>0</v>
      </c>
      <c r="B52" s="11" t="s">
        <v>2978</v>
      </c>
      <c r="C52" s="11" t="s">
        <v>2</v>
      </c>
      <c r="D52" s="11" t="s">
        <v>848</v>
      </c>
      <c r="E52" s="11" t="str">
        <f t="shared" si="0"/>
        <v>A-HVAC-RDFF (Arquitectura - Sistemas de climatización (HVAC): difusores de aire de retorno)</v>
      </c>
      <c r="F52" s="19" t="s">
        <v>3798</v>
      </c>
      <c r="G52" s="19" t="s">
        <v>3797</v>
      </c>
      <c r="H52" s="19" t="s">
        <v>3811</v>
      </c>
      <c r="I52" s="10">
        <v>0</v>
      </c>
      <c r="J52" s="10" t="str">
        <f t="shared" si="1"/>
        <v>Arquitectura - Sistemas de climatización (HVAC): difusores de aire de retorno</v>
      </c>
      <c r="K52" s="11" t="s">
        <v>846</v>
      </c>
      <c r="L52" s="11" t="s">
        <v>1</v>
      </c>
      <c r="M52" s="11" t="s">
        <v>847</v>
      </c>
      <c r="N52" s="18" t="str">
        <f t="shared" si="2"/>
        <v xml:space="preserve">-LAYER N A-HVAC-RDFF </v>
      </c>
      <c r="O52" s="11" t="str">
        <f t="shared" si="3"/>
        <v xml:space="preserve">-LAYER C white A-HVAC-RDFF </v>
      </c>
      <c r="P52" s="11" t="str">
        <f t="shared" si="4"/>
        <v xml:space="preserve">-LAYER L Continuous
A-HVAC-RDFF  </v>
      </c>
      <c r="Q52" s="11" t="str">
        <f t="shared" si="5"/>
        <v xml:space="preserve">-LAYER LW Default
A-HVAC-RDFF  </v>
      </c>
      <c r="R52" s="11" t="str">
        <f t="shared" si="6"/>
        <v xml:space="preserve">-LAYER TR 0
A-HVAC-RDFF  </v>
      </c>
      <c r="S52" s="11" t="str">
        <f t="shared" si="7"/>
        <v xml:space="preserve">-LAYER D Arquitectura - Sistemas de climatización (HVAC): difusores de aire de retorno
A-HVAC-RDFF  </v>
      </c>
    </row>
    <row r="53" spans="1:19" x14ac:dyDescent="0.45">
      <c r="A53" s="7">
        <v>0</v>
      </c>
      <c r="B53" s="11" t="s">
        <v>2979</v>
      </c>
      <c r="C53" s="11" t="s">
        <v>2</v>
      </c>
      <c r="D53" s="11" t="s">
        <v>851</v>
      </c>
      <c r="E53" s="11" t="str">
        <f t="shared" si="0"/>
        <v>A-HVAC-SDFF (Arquitectura - Sistemas de climatización (HVAC): difusores de suministro)</v>
      </c>
      <c r="F53" s="19" t="s">
        <v>3798</v>
      </c>
      <c r="G53" s="19" t="s">
        <v>3797</v>
      </c>
      <c r="H53" s="19" t="s">
        <v>3811</v>
      </c>
      <c r="I53" s="10">
        <v>0</v>
      </c>
      <c r="J53" s="10" t="str">
        <f t="shared" si="1"/>
        <v>Arquitectura - Sistemas de climatización (HVAC): difusores de suministro</v>
      </c>
      <c r="K53" s="11" t="s">
        <v>849</v>
      </c>
      <c r="L53" s="11" t="s">
        <v>1</v>
      </c>
      <c r="M53" s="11" t="s">
        <v>850</v>
      </c>
      <c r="N53" s="18" t="str">
        <f t="shared" si="2"/>
        <v xml:space="preserve">-LAYER N A-HVAC-SDFF </v>
      </c>
      <c r="O53" s="11" t="str">
        <f t="shared" si="3"/>
        <v xml:space="preserve">-LAYER C white A-HVAC-SDFF </v>
      </c>
      <c r="P53" s="11" t="str">
        <f t="shared" si="4"/>
        <v xml:space="preserve">-LAYER L Continuous
A-HVAC-SDFF  </v>
      </c>
      <c r="Q53" s="11" t="str">
        <f t="shared" si="5"/>
        <v xml:space="preserve">-LAYER LW Default
A-HVAC-SDFF  </v>
      </c>
      <c r="R53" s="11" t="str">
        <f t="shared" si="6"/>
        <v xml:space="preserve">-LAYER TR 0
A-HVAC-SDFF  </v>
      </c>
      <c r="S53" s="11" t="str">
        <f t="shared" si="7"/>
        <v xml:space="preserve">-LAYER D Arquitectura - Sistemas de climatización (HVAC): difusores de suministro
A-HVAC-SDFF  </v>
      </c>
    </row>
    <row r="54" spans="1:19" x14ac:dyDescent="0.45">
      <c r="A54" s="7">
        <v>0</v>
      </c>
      <c r="B54" s="11" t="s">
        <v>2980</v>
      </c>
      <c r="C54" s="11" t="s">
        <v>2</v>
      </c>
      <c r="D54" s="11" t="s">
        <v>447</v>
      </c>
      <c r="E54" s="11" t="str">
        <f t="shared" si="0"/>
        <v>A-LITE (Arquitectura - Iluminación)</v>
      </c>
      <c r="F54" s="19" t="s">
        <v>3798</v>
      </c>
      <c r="G54" s="19" t="s">
        <v>3797</v>
      </c>
      <c r="H54" s="19" t="s">
        <v>3811</v>
      </c>
      <c r="I54" s="10">
        <v>0</v>
      </c>
      <c r="J54" s="10" t="str">
        <f t="shared" si="1"/>
        <v>Arquitectura - Iluminación</v>
      </c>
      <c r="K54" s="11" t="s">
        <v>852</v>
      </c>
      <c r="L54" s="11" t="s">
        <v>1</v>
      </c>
      <c r="M54" s="11" t="s">
        <v>446</v>
      </c>
      <c r="N54" s="18" t="str">
        <f t="shared" si="2"/>
        <v xml:space="preserve">-LAYER N A-LITE </v>
      </c>
      <c r="O54" s="11" t="str">
        <f t="shared" si="3"/>
        <v xml:space="preserve">-LAYER C white A-LITE </v>
      </c>
      <c r="P54" s="11" t="str">
        <f t="shared" si="4"/>
        <v xml:space="preserve">-LAYER L Continuous
A-LITE  </v>
      </c>
      <c r="Q54" s="11" t="str">
        <f t="shared" si="5"/>
        <v xml:space="preserve">-LAYER LW Default
A-LITE  </v>
      </c>
      <c r="R54" s="11" t="str">
        <f t="shared" si="6"/>
        <v xml:space="preserve">-LAYER TR 0
A-LITE  </v>
      </c>
      <c r="S54" s="11" t="str">
        <f t="shared" si="7"/>
        <v xml:space="preserve">-LAYER D Arquitectura - Iluminación
A-LITE  </v>
      </c>
    </row>
    <row r="55" spans="1:19" x14ac:dyDescent="0.45">
      <c r="A55" s="7">
        <v>1</v>
      </c>
      <c r="B55" s="11" t="s">
        <v>2981</v>
      </c>
      <c r="C55" s="11" t="s">
        <v>2</v>
      </c>
      <c r="D55" s="11" t="s">
        <v>3808</v>
      </c>
      <c r="E55" s="11" t="str">
        <f t="shared" si="0"/>
        <v>A-ROOF (Arquitectura - Tejado o cubierta)</v>
      </c>
      <c r="F55" s="10">
        <v>226</v>
      </c>
      <c r="G55" s="10" t="s">
        <v>3797</v>
      </c>
      <c r="H55" s="10">
        <v>0.53</v>
      </c>
      <c r="I55" s="10">
        <v>0</v>
      </c>
      <c r="J55" s="10" t="str">
        <f t="shared" si="1"/>
        <v>Arquitectura - Tejado o cubierta</v>
      </c>
      <c r="K55" s="11" t="s">
        <v>853</v>
      </c>
      <c r="L55" s="11" t="s">
        <v>1</v>
      </c>
      <c r="M55" s="11" t="s">
        <v>574</v>
      </c>
      <c r="N55" s="18" t="str">
        <f t="shared" si="2"/>
        <v xml:space="preserve">-LAYER N A-ROOF </v>
      </c>
      <c r="O55" s="11" t="str">
        <f t="shared" si="3"/>
        <v xml:space="preserve">-LAYER C 226 A-ROOF </v>
      </c>
      <c r="P55" s="11" t="str">
        <f t="shared" si="4"/>
        <v xml:space="preserve">-LAYER L Continuous
A-ROOF  </v>
      </c>
      <c r="Q55" s="11" t="str">
        <f t="shared" si="5"/>
        <v xml:space="preserve">-LAYER LW 0.53
A-ROOF  </v>
      </c>
      <c r="R55" s="11" t="str">
        <f t="shared" si="6"/>
        <v xml:space="preserve">-LAYER TR 0
A-ROOF  </v>
      </c>
      <c r="S55" s="11" t="str">
        <f t="shared" si="7"/>
        <v xml:space="preserve">-LAYER D Arquitectura - Tejado o cubierta
A-ROOF  </v>
      </c>
    </row>
    <row r="56" spans="1:19" x14ac:dyDescent="0.45">
      <c r="A56" s="7">
        <v>0</v>
      </c>
      <c r="B56" s="11" t="s">
        <v>2982</v>
      </c>
      <c r="C56" s="11" t="s">
        <v>2</v>
      </c>
      <c r="D56" s="11" t="s">
        <v>2911</v>
      </c>
      <c r="E56" s="11" t="str">
        <f t="shared" si="0"/>
        <v>A-ROOF-HRAL (Arquitectura - Tejado: pasamanos/barandillas)</v>
      </c>
      <c r="F56" s="19" t="s">
        <v>3798</v>
      </c>
      <c r="G56" s="19" t="s">
        <v>3797</v>
      </c>
      <c r="H56" s="19" t="s">
        <v>3811</v>
      </c>
      <c r="I56" s="10">
        <v>0</v>
      </c>
      <c r="J56" s="10" t="str">
        <f t="shared" si="1"/>
        <v>Arquitectura - Tejado: pasamanos/barandillas</v>
      </c>
      <c r="K56" s="11" t="s">
        <v>854</v>
      </c>
      <c r="L56" s="11" t="s">
        <v>1</v>
      </c>
      <c r="M56" s="11" t="s">
        <v>855</v>
      </c>
      <c r="N56" s="18" t="str">
        <f t="shared" si="2"/>
        <v xml:space="preserve">-LAYER N A-ROOF-HRAL </v>
      </c>
      <c r="O56" s="11" t="str">
        <f t="shared" si="3"/>
        <v xml:space="preserve">-LAYER C white A-ROOF-HRAL </v>
      </c>
      <c r="P56" s="11" t="str">
        <f t="shared" si="4"/>
        <v xml:space="preserve">-LAYER L Continuous
A-ROOF-HRAL  </v>
      </c>
      <c r="Q56" s="11" t="str">
        <f t="shared" si="5"/>
        <v xml:space="preserve">-LAYER LW Default
A-ROOF-HRAL  </v>
      </c>
      <c r="R56" s="11" t="str">
        <f t="shared" si="6"/>
        <v xml:space="preserve">-LAYER TR 0
A-ROOF-HRAL  </v>
      </c>
      <c r="S56" s="11" t="str">
        <f t="shared" si="7"/>
        <v xml:space="preserve">-LAYER D Arquitectura - Tejado: pasamanos/barandillas
A-ROOF-HRAL  </v>
      </c>
    </row>
    <row r="57" spans="1:19" x14ac:dyDescent="0.45">
      <c r="A57" s="7">
        <v>0</v>
      </c>
      <c r="B57" s="11" t="s">
        <v>2983</v>
      </c>
      <c r="C57" s="11" t="s">
        <v>2</v>
      </c>
      <c r="D57" s="11" t="s">
        <v>2912</v>
      </c>
      <c r="E57" s="11" t="str">
        <f t="shared" si="0"/>
        <v>A-ROOF-LEVL (Arquitectura - Tejado: cambios de nivel)</v>
      </c>
      <c r="F57" s="19" t="s">
        <v>3798</v>
      </c>
      <c r="G57" s="19" t="s">
        <v>3797</v>
      </c>
      <c r="H57" s="19" t="s">
        <v>3811</v>
      </c>
      <c r="I57" s="10">
        <v>0</v>
      </c>
      <c r="J57" s="10" t="str">
        <f t="shared" si="1"/>
        <v>Arquitectura - Tejado: cambios de nivel</v>
      </c>
      <c r="K57" s="11" t="s">
        <v>856</v>
      </c>
      <c r="L57" s="11" t="s">
        <v>1</v>
      </c>
      <c r="M57" s="11" t="s">
        <v>857</v>
      </c>
      <c r="N57" s="18" t="str">
        <f t="shared" si="2"/>
        <v xml:space="preserve">-LAYER N A-ROOF-LEVL </v>
      </c>
      <c r="O57" s="11" t="str">
        <f t="shared" si="3"/>
        <v xml:space="preserve">-LAYER C white A-ROOF-LEVL </v>
      </c>
      <c r="P57" s="11" t="str">
        <f t="shared" si="4"/>
        <v xml:space="preserve">-LAYER L Continuous
A-ROOF-LEVL  </v>
      </c>
      <c r="Q57" s="11" t="str">
        <f t="shared" si="5"/>
        <v xml:space="preserve">-LAYER LW Default
A-ROOF-LEVL  </v>
      </c>
      <c r="R57" s="11" t="str">
        <f t="shared" si="6"/>
        <v xml:space="preserve">-LAYER TR 0
A-ROOF-LEVL  </v>
      </c>
      <c r="S57" s="11" t="str">
        <f t="shared" si="7"/>
        <v xml:space="preserve">-LAYER D Arquitectura - Tejado: cambios de nivel
A-ROOF-LEVL  </v>
      </c>
    </row>
    <row r="58" spans="1:19" x14ac:dyDescent="0.45">
      <c r="A58" s="7">
        <v>0</v>
      </c>
      <c r="B58" s="11" t="s">
        <v>2984</v>
      </c>
      <c r="C58" s="11" t="s">
        <v>2</v>
      </c>
      <c r="D58" s="11" t="s">
        <v>2913</v>
      </c>
      <c r="E58" s="11" t="str">
        <f t="shared" si="0"/>
        <v>A-ROOF-OTLN (Arquitectura - Tejado: contorno)</v>
      </c>
      <c r="F58" s="19" t="s">
        <v>3798</v>
      </c>
      <c r="G58" s="19" t="s">
        <v>3797</v>
      </c>
      <c r="H58" s="19" t="s">
        <v>3811</v>
      </c>
      <c r="I58" s="10">
        <v>0</v>
      </c>
      <c r="J58" s="10" t="str">
        <f t="shared" si="1"/>
        <v>Arquitectura - Tejado: contorno</v>
      </c>
      <c r="K58" s="11" t="s">
        <v>858</v>
      </c>
      <c r="L58" s="11" t="s">
        <v>1</v>
      </c>
      <c r="M58" s="11" t="s">
        <v>859</v>
      </c>
      <c r="N58" s="18" t="str">
        <f t="shared" si="2"/>
        <v xml:space="preserve">-LAYER N A-ROOF-OTLN </v>
      </c>
      <c r="O58" s="11" t="str">
        <f t="shared" si="3"/>
        <v xml:space="preserve">-LAYER C white A-ROOF-OTLN </v>
      </c>
      <c r="P58" s="11" t="str">
        <f t="shared" si="4"/>
        <v xml:space="preserve">-LAYER L Continuous
A-ROOF-OTLN  </v>
      </c>
      <c r="Q58" s="11" t="str">
        <f t="shared" si="5"/>
        <v xml:space="preserve">-LAYER LW Default
A-ROOF-OTLN  </v>
      </c>
      <c r="R58" s="11" t="str">
        <f t="shared" si="6"/>
        <v xml:space="preserve">-LAYER TR 0
A-ROOF-OTLN  </v>
      </c>
      <c r="S58" s="11" t="str">
        <f t="shared" si="7"/>
        <v xml:space="preserve">-LAYER D Arquitectura - Tejado: contorno
A-ROOF-OTLN  </v>
      </c>
    </row>
    <row r="59" spans="1:19" x14ac:dyDescent="0.45">
      <c r="A59" s="7">
        <v>0</v>
      </c>
      <c r="B59" s="11" t="s">
        <v>2985</v>
      </c>
      <c r="C59" s="11" t="s">
        <v>2</v>
      </c>
      <c r="D59" s="11" t="s">
        <v>2914</v>
      </c>
      <c r="E59" s="11" t="str">
        <f t="shared" si="0"/>
        <v>A-ROOF-RISR (Arquitectura - Tejado: contrahuellas)</v>
      </c>
      <c r="F59" s="19" t="s">
        <v>3798</v>
      </c>
      <c r="G59" s="19" t="s">
        <v>3797</v>
      </c>
      <c r="H59" s="19" t="s">
        <v>3811</v>
      </c>
      <c r="I59" s="10">
        <v>0</v>
      </c>
      <c r="J59" s="10" t="str">
        <f t="shared" si="1"/>
        <v>Arquitectura - Tejado: contrahuellas</v>
      </c>
      <c r="K59" s="11" t="s">
        <v>860</v>
      </c>
      <c r="L59" s="11" t="s">
        <v>1</v>
      </c>
      <c r="M59" s="11" t="s">
        <v>861</v>
      </c>
      <c r="N59" s="18" t="str">
        <f t="shared" si="2"/>
        <v xml:space="preserve">-LAYER N A-ROOF-RISR </v>
      </c>
      <c r="O59" s="11" t="str">
        <f t="shared" si="3"/>
        <v xml:space="preserve">-LAYER C white A-ROOF-RISR </v>
      </c>
      <c r="P59" s="11" t="str">
        <f t="shared" si="4"/>
        <v xml:space="preserve">-LAYER L Continuous
A-ROOF-RISR  </v>
      </c>
      <c r="Q59" s="11" t="str">
        <f t="shared" si="5"/>
        <v xml:space="preserve">-LAYER LW Default
A-ROOF-RISR  </v>
      </c>
      <c r="R59" s="11" t="str">
        <f t="shared" si="6"/>
        <v xml:space="preserve">-LAYER TR 0
A-ROOF-RISR  </v>
      </c>
      <c r="S59" s="11" t="str">
        <f t="shared" si="7"/>
        <v xml:space="preserve">-LAYER D Arquitectura - Tejado: contrahuellas
A-ROOF-RISR  </v>
      </c>
    </row>
    <row r="60" spans="1:19" x14ac:dyDescent="0.45">
      <c r="A60" s="7">
        <v>0</v>
      </c>
      <c r="B60" s="11" t="s">
        <v>2986</v>
      </c>
      <c r="C60" s="11" t="s">
        <v>2</v>
      </c>
      <c r="D60" s="11" t="s">
        <v>2915</v>
      </c>
      <c r="E60" s="11" t="str">
        <f t="shared" si="0"/>
        <v>A-ROOF-STRS (Arquitectura - Tejado: peldaños de escalera)</v>
      </c>
      <c r="F60" s="19" t="s">
        <v>3798</v>
      </c>
      <c r="G60" s="19" t="s">
        <v>3797</v>
      </c>
      <c r="H60" s="19" t="s">
        <v>3811</v>
      </c>
      <c r="I60" s="10">
        <v>0</v>
      </c>
      <c r="J60" s="10" t="str">
        <f t="shared" si="1"/>
        <v>Arquitectura - Tejado: peldaños de escalera</v>
      </c>
      <c r="K60" s="11" t="s">
        <v>862</v>
      </c>
      <c r="L60" s="11" t="s">
        <v>1</v>
      </c>
      <c r="M60" s="11" t="s">
        <v>863</v>
      </c>
      <c r="N60" s="18" t="str">
        <f t="shared" si="2"/>
        <v xml:space="preserve">-LAYER N A-ROOF-STRS </v>
      </c>
      <c r="O60" s="11" t="str">
        <f t="shared" si="3"/>
        <v xml:space="preserve">-LAYER C white A-ROOF-STRS </v>
      </c>
      <c r="P60" s="11" t="str">
        <f t="shared" si="4"/>
        <v xml:space="preserve">-LAYER L Continuous
A-ROOF-STRS  </v>
      </c>
      <c r="Q60" s="11" t="str">
        <f t="shared" si="5"/>
        <v xml:space="preserve">-LAYER LW Default
A-ROOF-STRS  </v>
      </c>
      <c r="R60" s="11" t="str">
        <f t="shared" si="6"/>
        <v xml:space="preserve">-LAYER TR 0
A-ROOF-STRS  </v>
      </c>
      <c r="S60" s="11" t="str">
        <f t="shared" si="7"/>
        <v xml:space="preserve">-LAYER D Arquitectura - Tejado: peldaños de escalera
A-ROOF-STRS  </v>
      </c>
    </row>
    <row r="61" spans="1:19" x14ac:dyDescent="0.45">
      <c r="A61" s="7">
        <v>1</v>
      </c>
      <c r="B61" s="11" t="s">
        <v>2987</v>
      </c>
      <c r="C61" s="11" t="s">
        <v>2</v>
      </c>
      <c r="D61" s="11" t="s">
        <v>865</v>
      </c>
      <c r="E61" s="11" t="str">
        <f t="shared" si="0"/>
        <v>A-WALL (Arquitectura - Paredes)</v>
      </c>
      <c r="F61" s="10" t="s">
        <v>3798</v>
      </c>
      <c r="G61" s="10" t="s">
        <v>3797</v>
      </c>
      <c r="H61" s="10">
        <v>0.6</v>
      </c>
      <c r="I61" s="10">
        <v>0</v>
      </c>
      <c r="J61" s="10" t="str">
        <f t="shared" si="1"/>
        <v>Arquitectura - Paredes</v>
      </c>
      <c r="K61" s="11" t="s">
        <v>864</v>
      </c>
      <c r="L61" s="11" t="s">
        <v>1</v>
      </c>
      <c r="M61" s="11" t="s">
        <v>684</v>
      </c>
      <c r="N61" s="18" t="str">
        <f t="shared" si="2"/>
        <v xml:space="preserve">-LAYER N A-WALL </v>
      </c>
      <c r="O61" s="11" t="str">
        <f t="shared" si="3"/>
        <v xml:space="preserve">-LAYER C white A-WALL </v>
      </c>
      <c r="P61" s="11" t="str">
        <f t="shared" si="4"/>
        <v xml:space="preserve">-LAYER L Continuous
A-WALL  </v>
      </c>
      <c r="Q61" s="11" t="str">
        <f t="shared" si="5"/>
        <v xml:space="preserve">-LAYER LW 0.6
A-WALL  </v>
      </c>
      <c r="R61" s="11" t="str">
        <f t="shared" si="6"/>
        <v xml:space="preserve">-LAYER TR 0
A-WALL  </v>
      </c>
      <c r="S61" s="11" t="str">
        <f t="shared" si="7"/>
        <v xml:space="preserve">-LAYER D Arquitectura - Paredes
A-WALL  </v>
      </c>
    </row>
    <row r="62" spans="1:19" x14ac:dyDescent="0.45">
      <c r="A62" s="7">
        <v>0</v>
      </c>
      <c r="B62" s="11" t="s">
        <v>2988</v>
      </c>
      <c r="C62" s="11" t="s">
        <v>2</v>
      </c>
      <c r="D62" s="11" t="s">
        <v>868</v>
      </c>
      <c r="E62" s="11" t="str">
        <f t="shared" si="0"/>
        <v>A-WALL-CAVI (Arquitectura - Paredes: cámara de aire)</v>
      </c>
      <c r="F62" s="19" t="s">
        <v>3798</v>
      </c>
      <c r="G62" s="19" t="s">
        <v>3797</v>
      </c>
      <c r="H62" s="19" t="s">
        <v>3811</v>
      </c>
      <c r="I62" s="10">
        <v>0</v>
      </c>
      <c r="J62" s="10" t="str">
        <f t="shared" si="1"/>
        <v>Arquitectura - Paredes: cámara de aire</v>
      </c>
      <c r="K62" s="11" t="s">
        <v>866</v>
      </c>
      <c r="L62" s="11" t="s">
        <v>1</v>
      </c>
      <c r="M62" s="11" t="s">
        <v>867</v>
      </c>
      <c r="N62" s="18" t="str">
        <f t="shared" si="2"/>
        <v xml:space="preserve">-LAYER N A-WALL-CAVI </v>
      </c>
      <c r="O62" s="11" t="str">
        <f t="shared" si="3"/>
        <v xml:space="preserve">-LAYER C white A-WALL-CAVI </v>
      </c>
      <c r="P62" s="11" t="str">
        <f t="shared" si="4"/>
        <v xml:space="preserve">-LAYER L Continuous
A-WALL-CAVI  </v>
      </c>
      <c r="Q62" s="11" t="str">
        <f t="shared" si="5"/>
        <v xml:space="preserve">-LAYER LW Default
A-WALL-CAVI  </v>
      </c>
      <c r="R62" s="11" t="str">
        <f t="shared" si="6"/>
        <v xml:space="preserve">-LAYER TR 0
A-WALL-CAVI  </v>
      </c>
      <c r="S62" s="11" t="str">
        <f t="shared" si="7"/>
        <v xml:space="preserve">-LAYER D Arquitectura - Paredes: cámara de aire
A-WALL-CAVI  </v>
      </c>
    </row>
    <row r="63" spans="1:19" x14ac:dyDescent="0.45">
      <c r="A63" s="7">
        <v>0</v>
      </c>
      <c r="B63" s="11" t="s">
        <v>2989</v>
      </c>
      <c r="C63" s="11" t="s">
        <v>2</v>
      </c>
      <c r="D63" s="11" t="s">
        <v>871</v>
      </c>
      <c r="E63" s="11" t="str">
        <f t="shared" si="0"/>
        <v>A-WALL-CNTR (Arquitectura - Paredes: centro)</v>
      </c>
      <c r="F63" s="19" t="s">
        <v>3798</v>
      </c>
      <c r="G63" s="19" t="s">
        <v>3797</v>
      </c>
      <c r="H63" s="19" t="s">
        <v>3811</v>
      </c>
      <c r="I63" s="10">
        <v>0</v>
      </c>
      <c r="J63" s="10" t="str">
        <f t="shared" si="1"/>
        <v>Arquitectura - Paredes: centro</v>
      </c>
      <c r="K63" s="11" t="s">
        <v>869</v>
      </c>
      <c r="L63" s="11" t="s">
        <v>1</v>
      </c>
      <c r="M63" s="11" t="s">
        <v>870</v>
      </c>
      <c r="N63" s="18" t="str">
        <f t="shared" si="2"/>
        <v xml:space="preserve">-LAYER N A-WALL-CNTR </v>
      </c>
      <c r="O63" s="11" t="str">
        <f t="shared" si="3"/>
        <v xml:space="preserve">-LAYER C white A-WALL-CNTR </v>
      </c>
      <c r="P63" s="11" t="str">
        <f t="shared" si="4"/>
        <v xml:space="preserve">-LAYER L Continuous
A-WALL-CNTR  </v>
      </c>
      <c r="Q63" s="11" t="str">
        <f t="shared" si="5"/>
        <v xml:space="preserve">-LAYER LW Default
A-WALL-CNTR  </v>
      </c>
      <c r="R63" s="11" t="str">
        <f t="shared" si="6"/>
        <v xml:space="preserve">-LAYER TR 0
A-WALL-CNTR  </v>
      </c>
      <c r="S63" s="11" t="str">
        <f t="shared" si="7"/>
        <v xml:space="preserve">-LAYER D Arquitectura - Paredes: centro
A-WALL-CNTR  </v>
      </c>
    </row>
    <row r="64" spans="1:19" x14ac:dyDescent="0.45">
      <c r="A64" s="7">
        <v>0</v>
      </c>
      <c r="B64" s="11" t="s">
        <v>2990</v>
      </c>
      <c r="C64" s="11" t="s">
        <v>2</v>
      </c>
      <c r="D64" s="11" t="s">
        <v>874</v>
      </c>
      <c r="E64" s="11" t="str">
        <f t="shared" si="0"/>
        <v>A-WALL-CURT (Arquitectura - Paredes: cortina)</v>
      </c>
      <c r="F64" s="19" t="s">
        <v>3798</v>
      </c>
      <c r="G64" s="19" t="s">
        <v>3797</v>
      </c>
      <c r="H64" s="19" t="s">
        <v>3811</v>
      </c>
      <c r="I64" s="10">
        <v>0</v>
      </c>
      <c r="J64" s="10" t="str">
        <f t="shared" si="1"/>
        <v>Arquitectura - Paredes: cortina</v>
      </c>
      <c r="K64" s="11" t="s">
        <v>872</v>
      </c>
      <c r="L64" s="11" t="s">
        <v>1</v>
      </c>
      <c r="M64" s="11" t="s">
        <v>873</v>
      </c>
      <c r="N64" s="18" t="str">
        <f t="shared" si="2"/>
        <v xml:space="preserve">-LAYER N A-WALL-CURT </v>
      </c>
      <c r="O64" s="11" t="str">
        <f t="shared" si="3"/>
        <v xml:space="preserve">-LAYER C white A-WALL-CURT </v>
      </c>
      <c r="P64" s="11" t="str">
        <f t="shared" si="4"/>
        <v xml:space="preserve">-LAYER L Continuous
A-WALL-CURT  </v>
      </c>
      <c r="Q64" s="11" t="str">
        <f t="shared" si="5"/>
        <v xml:space="preserve">-LAYER LW Default
A-WALL-CURT  </v>
      </c>
      <c r="R64" s="11" t="str">
        <f t="shared" si="6"/>
        <v xml:space="preserve">-LAYER TR 0
A-WALL-CURT  </v>
      </c>
      <c r="S64" s="11" t="str">
        <f t="shared" si="7"/>
        <v xml:space="preserve">-LAYER D Arquitectura - Paredes: cortina
A-WALL-CURT  </v>
      </c>
    </row>
    <row r="65" spans="1:19" x14ac:dyDescent="0.45">
      <c r="A65" s="7">
        <v>0</v>
      </c>
      <c r="B65" s="11" t="s">
        <v>2991</v>
      </c>
      <c r="C65" s="11" t="s">
        <v>2</v>
      </c>
      <c r="D65" s="11" t="s">
        <v>877</v>
      </c>
      <c r="E65" s="11" t="str">
        <f t="shared" si="0"/>
        <v>A-WALL-FIRE (Arquitectura - Paredes: protección contra incendios)</v>
      </c>
      <c r="F65" s="19" t="s">
        <v>3798</v>
      </c>
      <c r="G65" s="19" t="s">
        <v>3797</v>
      </c>
      <c r="H65" s="19" t="s">
        <v>3811</v>
      </c>
      <c r="I65" s="10">
        <v>0</v>
      </c>
      <c r="J65" s="10" t="str">
        <f t="shared" si="1"/>
        <v>Arquitectura - Paredes: protección contra incendios</v>
      </c>
      <c r="K65" s="11" t="s">
        <v>875</v>
      </c>
      <c r="L65" s="11" t="s">
        <v>1</v>
      </c>
      <c r="M65" s="11" t="s">
        <v>876</v>
      </c>
      <c r="N65" s="18" t="str">
        <f t="shared" si="2"/>
        <v xml:space="preserve">-LAYER N A-WALL-FIRE </v>
      </c>
      <c r="O65" s="11" t="str">
        <f t="shared" si="3"/>
        <v xml:space="preserve">-LAYER C white A-WALL-FIRE </v>
      </c>
      <c r="P65" s="11" t="str">
        <f t="shared" si="4"/>
        <v xml:space="preserve">-LAYER L Continuous
A-WALL-FIRE  </v>
      </c>
      <c r="Q65" s="11" t="str">
        <f t="shared" si="5"/>
        <v xml:space="preserve">-LAYER LW Default
A-WALL-FIRE  </v>
      </c>
      <c r="R65" s="11" t="str">
        <f t="shared" si="6"/>
        <v xml:space="preserve">-LAYER TR 0
A-WALL-FIRE  </v>
      </c>
      <c r="S65" s="11" t="str">
        <f t="shared" si="7"/>
        <v xml:space="preserve">-LAYER D Arquitectura - Paredes: protección contra incendios
A-WALL-FIRE  </v>
      </c>
    </row>
    <row r="66" spans="1:19" x14ac:dyDescent="0.45">
      <c r="A66" s="7">
        <v>0</v>
      </c>
      <c r="B66" s="11" t="s">
        <v>2992</v>
      </c>
      <c r="C66" s="11" t="s">
        <v>2</v>
      </c>
      <c r="D66" s="11" t="s">
        <v>880</v>
      </c>
      <c r="E66" s="11" t="str">
        <f t="shared" si="0"/>
        <v>A-WALL-FULL (Arquitectura - Paredes: Altura completa)</v>
      </c>
      <c r="F66" s="19" t="s">
        <v>3798</v>
      </c>
      <c r="G66" s="19" t="s">
        <v>3797</v>
      </c>
      <c r="H66" s="19" t="s">
        <v>3811</v>
      </c>
      <c r="I66" s="10">
        <v>0</v>
      </c>
      <c r="J66" s="10" t="str">
        <f t="shared" si="1"/>
        <v>Arquitectura - Paredes: Altura completa</v>
      </c>
      <c r="K66" s="11" t="s">
        <v>878</v>
      </c>
      <c r="L66" s="11" t="s">
        <v>1</v>
      </c>
      <c r="M66" s="11" t="s">
        <v>879</v>
      </c>
      <c r="N66" s="18" t="str">
        <f t="shared" si="2"/>
        <v xml:space="preserve">-LAYER N A-WALL-FULL </v>
      </c>
      <c r="O66" s="11" t="str">
        <f t="shared" si="3"/>
        <v xml:space="preserve">-LAYER C white A-WALL-FULL </v>
      </c>
      <c r="P66" s="11" t="str">
        <f t="shared" si="4"/>
        <v xml:space="preserve">-LAYER L Continuous
A-WALL-FULL  </v>
      </c>
      <c r="Q66" s="11" t="str">
        <f t="shared" si="5"/>
        <v xml:space="preserve">-LAYER LW Default
A-WALL-FULL  </v>
      </c>
      <c r="R66" s="11" t="str">
        <f t="shared" si="6"/>
        <v xml:space="preserve">-LAYER TR 0
A-WALL-FULL  </v>
      </c>
      <c r="S66" s="11" t="str">
        <f t="shared" si="7"/>
        <v xml:space="preserve">-LAYER D Arquitectura - Paredes: Altura completa
A-WALL-FULL  </v>
      </c>
    </row>
    <row r="67" spans="1:19" x14ac:dyDescent="0.45">
      <c r="A67" s="7">
        <v>0</v>
      </c>
      <c r="B67" s="11" t="s">
        <v>2993</v>
      </c>
      <c r="C67" s="11" t="s">
        <v>2</v>
      </c>
      <c r="D67" s="11" t="s">
        <v>883</v>
      </c>
      <c r="E67" s="11" t="str">
        <f t="shared" si="0"/>
        <v>A-WALL-FULL-EXTR (Arquitectura - Paredes: altura completa: exterior)</v>
      </c>
      <c r="F67" s="19" t="s">
        <v>3798</v>
      </c>
      <c r="G67" s="19" t="s">
        <v>3797</v>
      </c>
      <c r="H67" s="19" t="s">
        <v>3811</v>
      </c>
      <c r="I67" s="10">
        <v>0</v>
      </c>
      <c r="J67" s="10" t="str">
        <f t="shared" si="1"/>
        <v>Arquitectura - Paredes: altura completa: exterior</v>
      </c>
      <c r="K67" s="11" t="s">
        <v>881</v>
      </c>
      <c r="L67" s="11" t="s">
        <v>1</v>
      </c>
      <c r="M67" s="11" t="s">
        <v>882</v>
      </c>
      <c r="N67" s="18" t="str">
        <f t="shared" si="2"/>
        <v xml:space="preserve">-LAYER N A-WALL-FULL-EXTR </v>
      </c>
      <c r="O67" s="11" t="str">
        <f t="shared" si="3"/>
        <v xml:space="preserve">-LAYER C white A-WALL-FULL-EXTR </v>
      </c>
      <c r="P67" s="11" t="str">
        <f t="shared" si="4"/>
        <v xml:space="preserve">-LAYER L Continuous
A-WALL-FULL-EXTR  </v>
      </c>
      <c r="Q67" s="11" t="str">
        <f t="shared" si="5"/>
        <v xml:space="preserve">-LAYER LW Default
A-WALL-FULL-EXTR  </v>
      </c>
      <c r="R67" s="11" t="str">
        <f t="shared" si="6"/>
        <v xml:space="preserve">-LAYER TR 0
A-WALL-FULL-EXTR  </v>
      </c>
      <c r="S67" s="11" t="str">
        <f t="shared" si="7"/>
        <v xml:space="preserve">-LAYER D Arquitectura - Paredes: altura completa: exterior
A-WALL-FULL-EXTR  </v>
      </c>
    </row>
    <row r="68" spans="1:19" x14ac:dyDescent="0.45">
      <c r="A68" s="7">
        <v>0</v>
      </c>
      <c r="B68" s="11" t="s">
        <v>2994</v>
      </c>
      <c r="C68" s="11" t="s">
        <v>2</v>
      </c>
      <c r="D68" s="11" t="s">
        <v>886</v>
      </c>
      <c r="E68" s="11" t="str">
        <f t="shared" ref="E68:E131" si="8">_xlfn.CONCAT(B68," (",C68," - ",D68,")")</f>
        <v>A-WALL-FULL-INTR (Arquitectura - Paredes: altura completa: interior)</v>
      </c>
      <c r="F68" s="19" t="s">
        <v>3798</v>
      </c>
      <c r="G68" s="19" t="s">
        <v>3797</v>
      </c>
      <c r="H68" s="19" t="s">
        <v>3811</v>
      </c>
      <c r="I68" s="10">
        <v>0</v>
      </c>
      <c r="J68" s="10" t="str">
        <f t="shared" si="1"/>
        <v>Arquitectura - Paredes: altura completa: interior</v>
      </c>
      <c r="K68" s="11" t="s">
        <v>884</v>
      </c>
      <c r="L68" s="11" t="s">
        <v>1</v>
      </c>
      <c r="M68" s="11" t="s">
        <v>885</v>
      </c>
      <c r="N68" s="18" t="str">
        <f t="shared" si="2"/>
        <v xml:space="preserve">-LAYER N A-WALL-FULL-INTR </v>
      </c>
      <c r="O68" s="11" t="str">
        <f t="shared" si="3"/>
        <v xml:space="preserve">-LAYER C white A-WALL-FULL-INTR </v>
      </c>
      <c r="P68" s="11" t="str">
        <f t="shared" si="4"/>
        <v xml:space="preserve">-LAYER L Continuous
A-WALL-FULL-INTR  </v>
      </c>
      <c r="Q68" s="11" t="str">
        <f t="shared" si="5"/>
        <v xml:space="preserve">-LAYER LW Default
A-WALL-FULL-INTR  </v>
      </c>
      <c r="R68" s="11" t="str">
        <f t="shared" si="6"/>
        <v xml:space="preserve">-LAYER TR 0
A-WALL-FULL-INTR  </v>
      </c>
      <c r="S68" s="11" t="str">
        <f t="shared" si="7"/>
        <v xml:space="preserve">-LAYER D Arquitectura - Paredes: altura completa: interior
A-WALL-FULL-INTR  </v>
      </c>
    </row>
    <row r="69" spans="1:19" x14ac:dyDescent="0.45">
      <c r="A69" s="7">
        <v>0</v>
      </c>
      <c r="B69" s="11" t="s">
        <v>2995</v>
      </c>
      <c r="C69" s="11" t="s">
        <v>2</v>
      </c>
      <c r="D69" s="11" t="s">
        <v>889</v>
      </c>
      <c r="E69" s="11" t="str">
        <f t="shared" si="8"/>
        <v>A-WALL-HEAD (Arquitectura - Paredes: dintel de puertas y ventanas)</v>
      </c>
      <c r="F69" s="19" t="s">
        <v>3798</v>
      </c>
      <c r="G69" s="19" t="s">
        <v>3797</v>
      </c>
      <c r="H69" s="19" t="s">
        <v>3811</v>
      </c>
      <c r="I69" s="10">
        <v>0</v>
      </c>
      <c r="J69" s="10" t="str">
        <f t="shared" ref="J69:J132" si="9">_xlfn.CONCAT(C69," - ",D69)</f>
        <v>Arquitectura - Paredes: dintel de puertas y ventanas</v>
      </c>
      <c r="K69" s="11" t="s">
        <v>887</v>
      </c>
      <c r="L69" s="11" t="s">
        <v>1</v>
      </c>
      <c r="M69" s="11" t="s">
        <v>888</v>
      </c>
      <c r="N69" s="18" t="str">
        <f t="shared" ref="N69:N132" si="10">_xlfn.CONCAT("-LAYER N ", B69," ")</f>
        <v xml:space="preserve">-LAYER N A-WALL-HEAD </v>
      </c>
      <c r="O69" s="11" t="str">
        <f t="shared" ref="O69:O132" si="11">_xlfn.CONCAT("-LAYER C ",F69," ", B69," ")</f>
        <v xml:space="preserve">-LAYER C white A-WALL-HEAD </v>
      </c>
      <c r="P69" s="11" t="str">
        <f t="shared" ref="P69:P132" si="12">_xlfn.CONCAT("-LAYER L ",G69,CHAR(10), B69,"  ")</f>
        <v xml:space="preserve">-LAYER L Continuous
A-WALL-HEAD  </v>
      </c>
      <c r="Q69" s="11" t="str">
        <f t="shared" ref="Q69:Q132" si="13">_xlfn.CONCAT("-LAYER LW ",H69,CHAR(10), B69,"  ")</f>
        <v xml:space="preserve">-LAYER LW Default
A-WALL-HEAD  </v>
      </c>
      <c r="R69" s="11" t="str">
        <f t="shared" ref="R69:R132" si="14">_xlfn.CONCAT("-LAYER TR ",I69,CHAR(10), B69,"  ")</f>
        <v xml:space="preserve">-LAYER TR 0
A-WALL-HEAD  </v>
      </c>
      <c r="S69" s="11" t="str">
        <f t="shared" ref="S69:S132" si="15">_xlfn.CONCAT("-LAYER D ",J69,CHAR(10), B69,"  ")</f>
        <v xml:space="preserve">-LAYER D Arquitectura - Paredes: dintel de puertas y ventanas
A-WALL-HEAD  </v>
      </c>
    </row>
    <row r="70" spans="1:19" x14ac:dyDescent="0.45">
      <c r="A70" s="7">
        <v>0</v>
      </c>
      <c r="B70" s="11" t="s">
        <v>2996</v>
      </c>
      <c r="C70" s="11" t="s">
        <v>2</v>
      </c>
      <c r="D70" s="11" t="s">
        <v>892</v>
      </c>
      <c r="E70" s="11" t="str">
        <f t="shared" si="8"/>
        <v>A-WALL-JAMB (Arquitectura - Paredes: jambas de puertas y ventanas)</v>
      </c>
      <c r="F70" s="19" t="s">
        <v>3798</v>
      </c>
      <c r="G70" s="19" t="s">
        <v>3797</v>
      </c>
      <c r="H70" s="19" t="s">
        <v>3811</v>
      </c>
      <c r="I70" s="10">
        <v>0</v>
      </c>
      <c r="J70" s="10" t="str">
        <f t="shared" si="9"/>
        <v>Arquitectura - Paredes: jambas de puertas y ventanas</v>
      </c>
      <c r="K70" s="11" t="s">
        <v>890</v>
      </c>
      <c r="L70" s="11" t="s">
        <v>1</v>
      </c>
      <c r="M70" s="11" t="s">
        <v>891</v>
      </c>
      <c r="N70" s="18" t="str">
        <f t="shared" si="10"/>
        <v xml:space="preserve">-LAYER N A-WALL-JAMB </v>
      </c>
      <c r="O70" s="11" t="str">
        <f t="shared" si="11"/>
        <v xml:space="preserve">-LAYER C white A-WALL-JAMB </v>
      </c>
      <c r="P70" s="11" t="str">
        <f t="shared" si="12"/>
        <v xml:space="preserve">-LAYER L Continuous
A-WALL-JAMB  </v>
      </c>
      <c r="Q70" s="11" t="str">
        <f t="shared" si="13"/>
        <v xml:space="preserve">-LAYER LW Default
A-WALL-JAMB  </v>
      </c>
      <c r="R70" s="11" t="str">
        <f t="shared" si="14"/>
        <v xml:space="preserve">-LAYER TR 0
A-WALL-JAMB  </v>
      </c>
      <c r="S70" s="11" t="str">
        <f t="shared" si="15"/>
        <v xml:space="preserve">-LAYER D Arquitectura - Paredes: jambas de puertas y ventanas
A-WALL-JAMB  </v>
      </c>
    </row>
    <row r="71" spans="1:19" x14ac:dyDescent="0.45">
      <c r="A71" s="7">
        <v>0</v>
      </c>
      <c r="B71" s="11" t="s">
        <v>2997</v>
      </c>
      <c r="C71" s="11" t="s">
        <v>2</v>
      </c>
      <c r="D71" s="11" t="s">
        <v>895</v>
      </c>
      <c r="E71" s="11" t="str">
        <f t="shared" si="8"/>
        <v>A-WALL-MESH (Arquitectura - Paredes: malla o alambre)</v>
      </c>
      <c r="F71" s="19" t="s">
        <v>3798</v>
      </c>
      <c r="G71" s="19" t="s">
        <v>3797</v>
      </c>
      <c r="H71" s="19" t="s">
        <v>3811</v>
      </c>
      <c r="I71" s="10">
        <v>0</v>
      </c>
      <c r="J71" s="10" t="str">
        <f t="shared" si="9"/>
        <v>Arquitectura - Paredes: malla o alambre</v>
      </c>
      <c r="K71" s="11" t="s">
        <v>893</v>
      </c>
      <c r="L71" s="11" t="s">
        <v>1</v>
      </c>
      <c r="M71" s="11" t="s">
        <v>894</v>
      </c>
      <c r="N71" s="18" t="str">
        <f t="shared" si="10"/>
        <v xml:space="preserve">-LAYER N A-WALL-MESH </v>
      </c>
      <c r="O71" s="11" t="str">
        <f t="shared" si="11"/>
        <v xml:space="preserve">-LAYER C white A-WALL-MESH </v>
      </c>
      <c r="P71" s="11" t="str">
        <f t="shared" si="12"/>
        <v xml:space="preserve">-LAYER L Continuous
A-WALL-MESH  </v>
      </c>
      <c r="Q71" s="11" t="str">
        <f t="shared" si="13"/>
        <v xml:space="preserve">-LAYER LW Default
A-WALL-MESH  </v>
      </c>
      <c r="R71" s="11" t="str">
        <f t="shared" si="14"/>
        <v xml:space="preserve">-LAYER TR 0
A-WALL-MESH  </v>
      </c>
      <c r="S71" s="11" t="str">
        <f t="shared" si="15"/>
        <v xml:space="preserve">-LAYER D Arquitectura - Paredes: malla o alambre
A-WALL-MESH  </v>
      </c>
    </row>
    <row r="72" spans="1:19" x14ac:dyDescent="0.45">
      <c r="A72" s="7">
        <v>0</v>
      </c>
      <c r="B72" s="11" t="s">
        <v>2998</v>
      </c>
      <c r="C72" s="11" t="s">
        <v>2</v>
      </c>
      <c r="D72" s="11" t="s">
        <v>898</v>
      </c>
      <c r="E72" s="11" t="str">
        <f t="shared" si="8"/>
        <v>A-WALL-MOVE (Arquitectura - Paredes: móviles)</v>
      </c>
      <c r="F72" s="19" t="s">
        <v>3798</v>
      </c>
      <c r="G72" s="19" t="s">
        <v>3797</v>
      </c>
      <c r="H72" s="19" t="s">
        <v>3811</v>
      </c>
      <c r="I72" s="10">
        <v>0</v>
      </c>
      <c r="J72" s="10" t="str">
        <f t="shared" si="9"/>
        <v>Arquitectura - Paredes: móviles</v>
      </c>
      <c r="K72" s="11" t="s">
        <v>896</v>
      </c>
      <c r="L72" s="11" t="s">
        <v>1</v>
      </c>
      <c r="M72" s="11" t="s">
        <v>897</v>
      </c>
      <c r="N72" s="18" t="str">
        <f t="shared" si="10"/>
        <v xml:space="preserve">-LAYER N A-WALL-MOVE </v>
      </c>
      <c r="O72" s="11" t="str">
        <f t="shared" si="11"/>
        <v xml:space="preserve">-LAYER C white A-WALL-MOVE </v>
      </c>
      <c r="P72" s="11" t="str">
        <f t="shared" si="12"/>
        <v xml:space="preserve">-LAYER L Continuous
A-WALL-MOVE  </v>
      </c>
      <c r="Q72" s="11" t="str">
        <f t="shared" si="13"/>
        <v xml:space="preserve">-LAYER LW Default
A-WALL-MOVE  </v>
      </c>
      <c r="R72" s="11" t="str">
        <f t="shared" si="14"/>
        <v xml:space="preserve">-LAYER TR 0
A-WALL-MOVE  </v>
      </c>
      <c r="S72" s="11" t="str">
        <f t="shared" si="15"/>
        <v xml:space="preserve">-LAYER D Arquitectura - Paredes: móviles
A-WALL-MOVE  </v>
      </c>
    </row>
    <row r="73" spans="1:19" x14ac:dyDescent="0.45">
      <c r="A73" s="7">
        <v>0</v>
      </c>
      <c r="B73" s="11" t="s">
        <v>2999</v>
      </c>
      <c r="C73" s="11" t="s">
        <v>2</v>
      </c>
      <c r="D73" s="11" t="s">
        <v>901</v>
      </c>
      <c r="E73" s="11" t="str">
        <f t="shared" si="8"/>
        <v>A-WALL-PATT (Arquitectura - Paredes: textura y patrones de tramado)</v>
      </c>
      <c r="F73" s="19" t="s">
        <v>3798</v>
      </c>
      <c r="G73" s="19" t="s">
        <v>3797</v>
      </c>
      <c r="H73" s="19" t="s">
        <v>3811</v>
      </c>
      <c r="I73" s="10">
        <v>0</v>
      </c>
      <c r="J73" s="10" t="str">
        <f t="shared" si="9"/>
        <v>Arquitectura - Paredes: textura y patrones de tramado</v>
      </c>
      <c r="K73" s="11" t="s">
        <v>899</v>
      </c>
      <c r="L73" s="11" t="s">
        <v>1</v>
      </c>
      <c r="M73" s="11" t="s">
        <v>900</v>
      </c>
      <c r="N73" s="18" t="str">
        <f t="shared" si="10"/>
        <v xml:space="preserve">-LAYER N A-WALL-PATT </v>
      </c>
      <c r="O73" s="11" t="str">
        <f t="shared" si="11"/>
        <v xml:space="preserve">-LAYER C white A-WALL-PATT </v>
      </c>
      <c r="P73" s="11" t="str">
        <f t="shared" si="12"/>
        <v xml:space="preserve">-LAYER L Continuous
A-WALL-PATT  </v>
      </c>
      <c r="Q73" s="11" t="str">
        <f t="shared" si="13"/>
        <v xml:space="preserve">-LAYER LW Default
A-WALL-PATT  </v>
      </c>
      <c r="R73" s="11" t="str">
        <f t="shared" si="14"/>
        <v xml:space="preserve">-LAYER TR 0
A-WALL-PATT  </v>
      </c>
      <c r="S73" s="11" t="str">
        <f t="shared" si="15"/>
        <v xml:space="preserve">-LAYER D Arquitectura - Paredes: textura y patrones de tramado
A-WALL-PATT  </v>
      </c>
    </row>
    <row r="74" spans="1:19" x14ac:dyDescent="0.45">
      <c r="A74" s="7">
        <v>0</v>
      </c>
      <c r="B74" s="11" t="s">
        <v>3000</v>
      </c>
      <c r="C74" s="11" t="s">
        <v>2</v>
      </c>
      <c r="D74" s="11" t="s">
        <v>904</v>
      </c>
      <c r="E74" s="11" t="str">
        <f t="shared" si="8"/>
        <v>A-WALL-PRHT (Arquitectura - Paredes: altura parcial)</v>
      </c>
      <c r="F74" s="19" t="s">
        <v>3798</v>
      </c>
      <c r="G74" s="19" t="s">
        <v>3797</v>
      </c>
      <c r="H74" s="19" t="s">
        <v>3811</v>
      </c>
      <c r="I74" s="10">
        <v>0</v>
      </c>
      <c r="J74" s="10" t="str">
        <f t="shared" si="9"/>
        <v>Arquitectura - Paredes: altura parcial</v>
      </c>
      <c r="K74" s="11" t="s">
        <v>902</v>
      </c>
      <c r="L74" s="11" t="s">
        <v>1</v>
      </c>
      <c r="M74" s="11" t="s">
        <v>903</v>
      </c>
      <c r="N74" s="18" t="str">
        <f t="shared" si="10"/>
        <v xml:space="preserve">-LAYER N A-WALL-PRHT </v>
      </c>
      <c r="O74" s="11" t="str">
        <f t="shared" si="11"/>
        <v xml:space="preserve">-LAYER C white A-WALL-PRHT </v>
      </c>
      <c r="P74" s="11" t="str">
        <f t="shared" si="12"/>
        <v xml:space="preserve">-LAYER L Continuous
A-WALL-PRHT  </v>
      </c>
      <c r="Q74" s="11" t="str">
        <f t="shared" si="13"/>
        <v xml:space="preserve">-LAYER LW Default
A-WALL-PRHT  </v>
      </c>
      <c r="R74" s="11" t="str">
        <f t="shared" si="14"/>
        <v xml:space="preserve">-LAYER TR 0
A-WALL-PRHT  </v>
      </c>
      <c r="S74" s="11" t="str">
        <f t="shared" si="15"/>
        <v xml:space="preserve">-LAYER D Arquitectura - Paredes: altura parcial
A-WALL-PRHT  </v>
      </c>
    </row>
    <row r="75" spans="1:19" x14ac:dyDescent="0.45">
      <c r="A75" s="7">
        <v>0</v>
      </c>
      <c r="B75" s="11" t="s">
        <v>3001</v>
      </c>
      <c r="C75" s="11" t="s">
        <v>7</v>
      </c>
      <c r="D75" s="11" t="s">
        <v>147</v>
      </c>
      <c r="E75" s="11" t="str">
        <f t="shared" si="8"/>
        <v>C-AFLD (Civil - Aeródromos)</v>
      </c>
      <c r="F75" s="19" t="s">
        <v>3798</v>
      </c>
      <c r="G75" s="19" t="s">
        <v>3797</v>
      </c>
      <c r="H75" s="19" t="s">
        <v>3811</v>
      </c>
      <c r="I75" s="10">
        <v>0</v>
      </c>
      <c r="J75" s="10" t="str">
        <f t="shared" si="9"/>
        <v>Civil - Aeródromos</v>
      </c>
      <c r="K75" s="11" t="s">
        <v>905</v>
      </c>
      <c r="L75" s="11" t="s">
        <v>7</v>
      </c>
      <c r="M75" s="11" t="s">
        <v>146</v>
      </c>
      <c r="N75" s="18" t="str">
        <f t="shared" si="10"/>
        <v xml:space="preserve">-LAYER N C-AFLD </v>
      </c>
      <c r="O75" s="11" t="str">
        <f t="shared" si="11"/>
        <v xml:space="preserve">-LAYER C white C-AFLD </v>
      </c>
      <c r="P75" s="11" t="str">
        <f t="shared" si="12"/>
        <v xml:space="preserve">-LAYER L Continuous
C-AFLD  </v>
      </c>
      <c r="Q75" s="11" t="str">
        <f t="shared" si="13"/>
        <v xml:space="preserve">-LAYER LW Default
C-AFLD  </v>
      </c>
      <c r="R75" s="11" t="str">
        <f t="shared" si="14"/>
        <v xml:space="preserve">-LAYER TR 0
C-AFLD  </v>
      </c>
      <c r="S75" s="11" t="str">
        <f t="shared" si="15"/>
        <v xml:space="preserve">-LAYER D Civil - Aeródromos
C-AFLD  </v>
      </c>
    </row>
    <row r="76" spans="1:19" x14ac:dyDescent="0.45">
      <c r="A76" s="7">
        <v>0</v>
      </c>
      <c r="B76" s="11" t="s">
        <v>3002</v>
      </c>
      <c r="C76" s="11" t="s">
        <v>7</v>
      </c>
      <c r="D76" s="11" t="s">
        <v>908</v>
      </c>
      <c r="E76" s="11" t="str">
        <f t="shared" si="8"/>
        <v>C-AFLD-ASPH (Civil - Aeródromos: asfalto)</v>
      </c>
      <c r="F76" s="19" t="s">
        <v>3798</v>
      </c>
      <c r="G76" s="19" t="s">
        <v>3797</v>
      </c>
      <c r="H76" s="19" t="s">
        <v>3811</v>
      </c>
      <c r="I76" s="10">
        <v>0</v>
      </c>
      <c r="J76" s="10" t="str">
        <f t="shared" si="9"/>
        <v>Civil - Aeródromos: asfalto</v>
      </c>
      <c r="K76" s="11" t="s">
        <v>906</v>
      </c>
      <c r="L76" s="11" t="s">
        <v>7</v>
      </c>
      <c r="M76" s="11" t="s">
        <v>907</v>
      </c>
      <c r="N76" s="18" t="str">
        <f t="shared" si="10"/>
        <v xml:space="preserve">-LAYER N C-AFLD-ASPH </v>
      </c>
      <c r="O76" s="11" t="str">
        <f t="shared" si="11"/>
        <v xml:space="preserve">-LAYER C white C-AFLD-ASPH </v>
      </c>
      <c r="P76" s="11" t="str">
        <f t="shared" si="12"/>
        <v xml:space="preserve">-LAYER L Continuous
C-AFLD-ASPH  </v>
      </c>
      <c r="Q76" s="11" t="str">
        <f t="shared" si="13"/>
        <v xml:space="preserve">-LAYER LW Default
C-AFLD-ASPH  </v>
      </c>
      <c r="R76" s="11" t="str">
        <f t="shared" si="14"/>
        <v xml:space="preserve">-LAYER TR 0
C-AFLD-ASPH  </v>
      </c>
      <c r="S76" s="11" t="str">
        <f t="shared" si="15"/>
        <v xml:space="preserve">-LAYER D Civil - Aeródromos: asfalto
C-AFLD-ASPH  </v>
      </c>
    </row>
    <row r="77" spans="1:19" x14ac:dyDescent="0.45">
      <c r="A77" s="7">
        <v>0</v>
      </c>
      <c r="B77" s="11" t="s">
        <v>3003</v>
      </c>
      <c r="C77" s="11" t="s">
        <v>7</v>
      </c>
      <c r="D77" s="11" t="s">
        <v>911</v>
      </c>
      <c r="E77" s="11" t="str">
        <f t="shared" si="8"/>
        <v>C-AFLD-CNTR (Civil - Aeródromos: centro)</v>
      </c>
      <c r="F77" s="19" t="s">
        <v>3798</v>
      </c>
      <c r="G77" s="19" t="s">
        <v>3797</v>
      </c>
      <c r="H77" s="19" t="s">
        <v>3811</v>
      </c>
      <c r="I77" s="10">
        <v>0</v>
      </c>
      <c r="J77" s="10" t="str">
        <f t="shared" si="9"/>
        <v>Civil - Aeródromos: centro</v>
      </c>
      <c r="K77" s="11" t="s">
        <v>909</v>
      </c>
      <c r="L77" s="11" t="s">
        <v>7</v>
      </c>
      <c r="M77" s="11" t="s">
        <v>910</v>
      </c>
      <c r="N77" s="18" t="str">
        <f t="shared" si="10"/>
        <v xml:space="preserve">-LAYER N C-AFLD-CNTR </v>
      </c>
      <c r="O77" s="11" t="str">
        <f t="shared" si="11"/>
        <v xml:space="preserve">-LAYER C white C-AFLD-CNTR </v>
      </c>
      <c r="P77" s="11" t="str">
        <f t="shared" si="12"/>
        <v xml:space="preserve">-LAYER L Continuous
C-AFLD-CNTR  </v>
      </c>
      <c r="Q77" s="11" t="str">
        <f t="shared" si="13"/>
        <v xml:space="preserve">-LAYER LW Default
C-AFLD-CNTR  </v>
      </c>
      <c r="R77" s="11" t="str">
        <f t="shared" si="14"/>
        <v xml:space="preserve">-LAYER TR 0
C-AFLD-CNTR  </v>
      </c>
      <c r="S77" s="11" t="str">
        <f t="shared" si="15"/>
        <v xml:space="preserve">-LAYER D Civil - Aeródromos: centro
C-AFLD-CNTR  </v>
      </c>
    </row>
    <row r="78" spans="1:19" x14ac:dyDescent="0.45">
      <c r="A78" s="7">
        <v>0</v>
      </c>
      <c r="B78" s="11" t="s">
        <v>3004</v>
      </c>
      <c r="C78" s="11" t="s">
        <v>7</v>
      </c>
      <c r="D78" s="11" t="s">
        <v>914</v>
      </c>
      <c r="E78" s="11" t="str">
        <f t="shared" si="8"/>
        <v>C-AFLD-CONC (Civil - Aeródromos: hormigón)</v>
      </c>
      <c r="F78" s="19" t="s">
        <v>3798</v>
      </c>
      <c r="G78" s="19" t="s">
        <v>3797</v>
      </c>
      <c r="H78" s="19" t="s">
        <v>3811</v>
      </c>
      <c r="I78" s="10">
        <v>0</v>
      </c>
      <c r="J78" s="10" t="str">
        <f t="shared" si="9"/>
        <v>Civil - Aeródromos: hormigón</v>
      </c>
      <c r="K78" s="11" t="s">
        <v>912</v>
      </c>
      <c r="L78" s="11" t="s">
        <v>7</v>
      </c>
      <c r="M78" s="11" t="s">
        <v>913</v>
      </c>
      <c r="N78" s="18" t="str">
        <f t="shared" si="10"/>
        <v xml:space="preserve">-LAYER N C-AFLD-CONC </v>
      </c>
      <c r="O78" s="11" t="str">
        <f t="shared" si="11"/>
        <v xml:space="preserve">-LAYER C white C-AFLD-CONC </v>
      </c>
      <c r="P78" s="11" t="str">
        <f t="shared" si="12"/>
        <v xml:space="preserve">-LAYER L Continuous
C-AFLD-CONC  </v>
      </c>
      <c r="Q78" s="11" t="str">
        <f t="shared" si="13"/>
        <v xml:space="preserve">-LAYER LW Default
C-AFLD-CONC  </v>
      </c>
      <c r="R78" s="11" t="str">
        <f t="shared" si="14"/>
        <v xml:space="preserve">-LAYER TR 0
C-AFLD-CONC  </v>
      </c>
      <c r="S78" s="11" t="str">
        <f t="shared" si="15"/>
        <v xml:space="preserve">-LAYER D Civil - Aeródromos: hormigón
C-AFLD-CONC  </v>
      </c>
    </row>
    <row r="79" spans="1:19" x14ac:dyDescent="0.45">
      <c r="A79" s="7">
        <v>0</v>
      </c>
      <c r="B79" s="11" t="s">
        <v>3005</v>
      </c>
      <c r="C79" s="11" t="s">
        <v>7</v>
      </c>
      <c r="D79" s="11" t="s">
        <v>917</v>
      </c>
      <c r="E79" s="11" t="str">
        <f t="shared" si="8"/>
        <v>C-AFLD-FLNE (Civil - Aeródromos: carril cortafuegos)</v>
      </c>
      <c r="F79" s="19" t="s">
        <v>3798</v>
      </c>
      <c r="G79" s="19" t="s">
        <v>3797</v>
      </c>
      <c r="H79" s="19" t="s">
        <v>3811</v>
      </c>
      <c r="I79" s="10">
        <v>0</v>
      </c>
      <c r="J79" s="10" t="str">
        <f t="shared" si="9"/>
        <v>Civil - Aeródromos: carril cortafuegos</v>
      </c>
      <c r="K79" s="11" t="s">
        <v>915</v>
      </c>
      <c r="L79" s="11" t="s">
        <v>7</v>
      </c>
      <c r="M79" s="11" t="s">
        <v>916</v>
      </c>
      <c r="N79" s="18" t="str">
        <f t="shared" si="10"/>
        <v xml:space="preserve">-LAYER N C-AFLD-FLNE </v>
      </c>
      <c r="O79" s="11" t="str">
        <f t="shared" si="11"/>
        <v xml:space="preserve">-LAYER C white C-AFLD-FLNE </v>
      </c>
      <c r="P79" s="11" t="str">
        <f t="shared" si="12"/>
        <v xml:space="preserve">-LAYER L Continuous
C-AFLD-FLNE  </v>
      </c>
      <c r="Q79" s="11" t="str">
        <f t="shared" si="13"/>
        <v xml:space="preserve">-LAYER LW Default
C-AFLD-FLNE  </v>
      </c>
      <c r="R79" s="11" t="str">
        <f t="shared" si="14"/>
        <v xml:space="preserve">-LAYER TR 0
C-AFLD-FLNE  </v>
      </c>
      <c r="S79" s="11" t="str">
        <f t="shared" si="15"/>
        <v xml:space="preserve">-LAYER D Civil - Aeródromos: carril cortafuegos
C-AFLD-FLNE  </v>
      </c>
    </row>
    <row r="80" spans="1:19" x14ac:dyDescent="0.45">
      <c r="A80" s="7">
        <v>0</v>
      </c>
      <c r="B80" s="11" t="s">
        <v>3006</v>
      </c>
      <c r="C80" s="11" t="s">
        <v>7</v>
      </c>
      <c r="D80" s="11" t="s">
        <v>920</v>
      </c>
      <c r="E80" s="11" t="str">
        <f t="shared" si="8"/>
        <v>C-AFLD-FLNE-MRKG (Civil - Aeródromos: carril cortafuegos: marcas en el pavimento)</v>
      </c>
      <c r="F80" s="19" t="s">
        <v>3798</v>
      </c>
      <c r="G80" s="19" t="s">
        <v>3797</v>
      </c>
      <c r="H80" s="19" t="s">
        <v>3811</v>
      </c>
      <c r="I80" s="10">
        <v>0</v>
      </c>
      <c r="J80" s="10" t="str">
        <f t="shared" si="9"/>
        <v>Civil - Aeródromos: carril cortafuegos: marcas en el pavimento</v>
      </c>
      <c r="K80" s="11" t="s">
        <v>918</v>
      </c>
      <c r="L80" s="11" t="s">
        <v>7</v>
      </c>
      <c r="M80" s="11" t="s">
        <v>919</v>
      </c>
      <c r="N80" s="18" t="str">
        <f t="shared" si="10"/>
        <v xml:space="preserve">-LAYER N C-AFLD-FLNE-MRKG </v>
      </c>
      <c r="O80" s="11" t="str">
        <f t="shared" si="11"/>
        <v xml:space="preserve">-LAYER C white C-AFLD-FLNE-MRKG </v>
      </c>
      <c r="P80" s="11" t="str">
        <f t="shared" si="12"/>
        <v xml:space="preserve">-LAYER L Continuous
C-AFLD-FLNE-MRKG  </v>
      </c>
      <c r="Q80" s="11" t="str">
        <f t="shared" si="13"/>
        <v xml:space="preserve">-LAYER LW Default
C-AFLD-FLNE-MRKG  </v>
      </c>
      <c r="R80" s="11" t="str">
        <f t="shared" si="14"/>
        <v xml:space="preserve">-LAYER TR 0
C-AFLD-FLNE-MRKG  </v>
      </c>
      <c r="S80" s="11" t="str">
        <f t="shared" si="15"/>
        <v xml:space="preserve">-LAYER D Civil - Aeródromos: carril cortafuegos: marcas en el pavimento
C-AFLD-FLNE-MRKG  </v>
      </c>
    </row>
    <row r="81" spans="1:19" x14ac:dyDescent="0.45">
      <c r="A81" s="7">
        <v>0</v>
      </c>
      <c r="B81" s="11" t="s">
        <v>3007</v>
      </c>
      <c r="C81" s="11" t="s">
        <v>7</v>
      </c>
      <c r="D81" s="11" t="s">
        <v>923</v>
      </c>
      <c r="E81" s="11" t="str">
        <f t="shared" si="8"/>
        <v>C-AFLD-FLNE-SIGN (Civil - Aeródromos: carril cortafuegos: señalización)</v>
      </c>
      <c r="F81" s="19" t="s">
        <v>3798</v>
      </c>
      <c r="G81" s="19" t="s">
        <v>3797</v>
      </c>
      <c r="H81" s="19" t="s">
        <v>3811</v>
      </c>
      <c r="I81" s="10">
        <v>0</v>
      </c>
      <c r="J81" s="10" t="str">
        <f t="shared" si="9"/>
        <v>Civil - Aeródromos: carril cortafuegos: señalización</v>
      </c>
      <c r="K81" s="11" t="s">
        <v>921</v>
      </c>
      <c r="L81" s="11" t="s">
        <v>7</v>
      </c>
      <c r="M81" s="11" t="s">
        <v>922</v>
      </c>
      <c r="N81" s="18" t="str">
        <f t="shared" si="10"/>
        <v xml:space="preserve">-LAYER N C-AFLD-FLNE-SIGN </v>
      </c>
      <c r="O81" s="11" t="str">
        <f t="shared" si="11"/>
        <v xml:space="preserve">-LAYER C white C-AFLD-FLNE-SIGN </v>
      </c>
      <c r="P81" s="11" t="str">
        <f t="shared" si="12"/>
        <v xml:space="preserve">-LAYER L Continuous
C-AFLD-FLNE-SIGN  </v>
      </c>
      <c r="Q81" s="11" t="str">
        <f t="shared" si="13"/>
        <v xml:space="preserve">-LAYER LW Default
C-AFLD-FLNE-SIGN  </v>
      </c>
      <c r="R81" s="11" t="str">
        <f t="shared" si="14"/>
        <v xml:space="preserve">-LAYER TR 0
C-AFLD-FLNE-SIGN  </v>
      </c>
      <c r="S81" s="11" t="str">
        <f t="shared" si="15"/>
        <v xml:space="preserve">-LAYER D Civil - Aeródromos: carril cortafuegos: señalización
C-AFLD-FLNE-SIGN  </v>
      </c>
    </row>
    <row r="82" spans="1:19" x14ac:dyDescent="0.45">
      <c r="A82" s="7">
        <v>0</v>
      </c>
      <c r="B82" s="11" t="s">
        <v>3008</v>
      </c>
      <c r="C82" s="11" t="s">
        <v>7</v>
      </c>
      <c r="D82" s="11" t="s">
        <v>926</v>
      </c>
      <c r="E82" s="11" t="str">
        <f t="shared" si="8"/>
        <v>C-AFLD-GRVL (Civil - Aeródromos: grava)</v>
      </c>
      <c r="F82" s="19" t="s">
        <v>3798</v>
      </c>
      <c r="G82" s="19" t="s">
        <v>3797</v>
      </c>
      <c r="H82" s="19" t="s">
        <v>3811</v>
      </c>
      <c r="I82" s="10">
        <v>0</v>
      </c>
      <c r="J82" s="10" t="str">
        <f t="shared" si="9"/>
        <v>Civil - Aeródromos: grava</v>
      </c>
      <c r="K82" s="11" t="s">
        <v>924</v>
      </c>
      <c r="L82" s="11" t="s">
        <v>7</v>
      </c>
      <c r="M82" s="11" t="s">
        <v>925</v>
      </c>
      <c r="N82" s="18" t="str">
        <f t="shared" si="10"/>
        <v xml:space="preserve">-LAYER N C-AFLD-GRVL </v>
      </c>
      <c r="O82" s="11" t="str">
        <f t="shared" si="11"/>
        <v xml:space="preserve">-LAYER C white C-AFLD-GRVL </v>
      </c>
      <c r="P82" s="11" t="str">
        <f t="shared" si="12"/>
        <v xml:space="preserve">-LAYER L Continuous
C-AFLD-GRVL  </v>
      </c>
      <c r="Q82" s="11" t="str">
        <f t="shared" si="13"/>
        <v xml:space="preserve">-LAYER LW Default
C-AFLD-GRVL  </v>
      </c>
      <c r="R82" s="11" t="str">
        <f t="shared" si="14"/>
        <v xml:space="preserve">-LAYER TR 0
C-AFLD-GRVL  </v>
      </c>
      <c r="S82" s="11" t="str">
        <f t="shared" si="15"/>
        <v xml:space="preserve">-LAYER D Civil - Aeródromos: grava
C-AFLD-GRVL  </v>
      </c>
    </row>
    <row r="83" spans="1:19" x14ac:dyDescent="0.45">
      <c r="A83" s="7">
        <v>0</v>
      </c>
      <c r="B83" s="20" t="s">
        <v>3009</v>
      </c>
      <c r="C83" s="11" t="s">
        <v>7</v>
      </c>
      <c r="D83" s="11" t="s">
        <v>929</v>
      </c>
      <c r="E83" s="11" t="str">
        <f t="shared" si="8"/>
        <v>C-AFLD-MRKG (Civil - Aeródromos: marcas en el pavimento)</v>
      </c>
      <c r="F83" s="19" t="s">
        <v>3798</v>
      </c>
      <c r="G83" s="19" t="s">
        <v>3797</v>
      </c>
      <c r="H83" s="19" t="s">
        <v>3811</v>
      </c>
      <c r="I83" s="10">
        <v>0</v>
      </c>
      <c r="J83" s="10" t="str">
        <f t="shared" si="9"/>
        <v>Civil - Aeródromos: marcas en el pavimento</v>
      </c>
      <c r="K83" s="20" t="s">
        <v>927</v>
      </c>
      <c r="L83" s="11" t="s">
        <v>7</v>
      </c>
      <c r="M83" s="11" t="s">
        <v>928</v>
      </c>
      <c r="N83" s="18" t="str">
        <f t="shared" si="10"/>
        <v xml:space="preserve">-LAYER N C-AFLD-MRKG </v>
      </c>
      <c r="O83" s="11" t="str">
        <f t="shared" si="11"/>
        <v xml:space="preserve">-LAYER C white C-AFLD-MRKG </v>
      </c>
      <c r="P83" s="11" t="str">
        <f t="shared" si="12"/>
        <v xml:space="preserve">-LAYER L Continuous
C-AFLD-MRKG  </v>
      </c>
      <c r="Q83" s="11" t="str">
        <f t="shared" si="13"/>
        <v xml:space="preserve">-LAYER LW Default
C-AFLD-MRKG  </v>
      </c>
      <c r="R83" s="11" t="str">
        <f t="shared" si="14"/>
        <v xml:space="preserve">-LAYER TR 0
C-AFLD-MRKG  </v>
      </c>
      <c r="S83" s="11" t="str">
        <f t="shared" si="15"/>
        <v xml:space="preserve">-LAYER D Civil - Aeródromos: marcas en el pavimento
C-AFLD-MRKG  </v>
      </c>
    </row>
    <row r="84" spans="1:19" x14ac:dyDescent="0.45">
      <c r="A84" s="7">
        <v>0</v>
      </c>
      <c r="B84" s="11" t="s">
        <v>3010</v>
      </c>
      <c r="C84" s="11" t="s">
        <v>7</v>
      </c>
      <c r="D84" s="11" t="s">
        <v>932</v>
      </c>
      <c r="E84" s="11" t="str">
        <f t="shared" si="8"/>
        <v>C-AFLD-SIGN (Civil - Aeródromos: señalización)</v>
      </c>
      <c r="F84" s="19" t="s">
        <v>3798</v>
      </c>
      <c r="G84" s="19" t="s">
        <v>3797</v>
      </c>
      <c r="H84" s="19" t="s">
        <v>3811</v>
      </c>
      <c r="I84" s="10">
        <v>0</v>
      </c>
      <c r="J84" s="10" t="str">
        <f t="shared" si="9"/>
        <v>Civil - Aeródromos: señalización</v>
      </c>
      <c r="K84" s="11" t="s">
        <v>930</v>
      </c>
      <c r="L84" s="11" t="s">
        <v>7</v>
      </c>
      <c r="M84" s="11" t="s">
        <v>931</v>
      </c>
      <c r="N84" s="18" t="str">
        <f t="shared" si="10"/>
        <v xml:space="preserve">-LAYER N C-AFLD-SIGN </v>
      </c>
      <c r="O84" s="11" t="str">
        <f t="shared" si="11"/>
        <v xml:space="preserve">-LAYER C white C-AFLD-SIGN </v>
      </c>
      <c r="P84" s="11" t="str">
        <f t="shared" si="12"/>
        <v xml:space="preserve">-LAYER L Continuous
C-AFLD-SIGN  </v>
      </c>
      <c r="Q84" s="11" t="str">
        <f t="shared" si="13"/>
        <v xml:space="preserve">-LAYER LW Default
C-AFLD-SIGN  </v>
      </c>
      <c r="R84" s="11" t="str">
        <f t="shared" si="14"/>
        <v xml:space="preserve">-LAYER TR 0
C-AFLD-SIGN  </v>
      </c>
      <c r="S84" s="11" t="str">
        <f t="shared" si="15"/>
        <v xml:space="preserve">-LAYER D Civil - Aeródromos: señalización
C-AFLD-SIGN  </v>
      </c>
    </row>
    <row r="85" spans="1:19" x14ac:dyDescent="0.45">
      <c r="A85" s="7">
        <v>0</v>
      </c>
      <c r="B85" s="11" t="s">
        <v>3011</v>
      </c>
      <c r="C85" s="11" t="s">
        <v>7</v>
      </c>
      <c r="D85" s="11" t="s">
        <v>935</v>
      </c>
      <c r="E85" s="11" t="str">
        <f t="shared" si="8"/>
        <v>C-AFLD-STAN (Civil - Aeródromos: estacionamiento)</v>
      </c>
      <c r="F85" s="19" t="s">
        <v>3798</v>
      </c>
      <c r="G85" s="19" t="s">
        <v>3797</v>
      </c>
      <c r="H85" s="19" t="s">
        <v>3811</v>
      </c>
      <c r="I85" s="10">
        <v>0</v>
      </c>
      <c r="J85" s="10" t="str">
        <f t="shared" si="9"/>
        <v>Civil - Aeródromos: estacionamiento</v>
      </c>
      <c r="K85" s="11" t="s">
        <v>933</v>
      </c>
      <c r="L85" s="11" t="s">
        <v>7</v>
      </c>
      <c r="M85" s="11" t="s">
        <v>934</v>
      </c>
      <c r="N85" s="18" t="str">
        <f t="shared" si="10"/>
        <v xml:space="preserve">-LAYER N C-AFLD-STAN </v>
      </c>
      <c r="O85" s="11" t="str">
        <f t="shared" si="11"/>
        <v xml:space="preserve">-LAYER C white C-AFLD-STAN </v>
      </c>
      <c r="P85" s="11" t="str">
        <f t="shared" si="12"/>
        <v xml:space="preserve">-LAYER L Continuous
C-AFLD-STAN  </v>
      </c>
      <c r="Q85" s="11" t="str">
        <f t="shared" si="13"/>
        <v xml:space="preserve">-LAYER LW Default
C-AFLD-STAN  </v>
      </c>
      <c r="R85" s="11" t="str">
        <f t="shared" si="14"/>
        <v xml:space="preserve">-LAYER TR 0
C-AFLD-STAN  </v>
      </c>
      <c r="S85" s="11" t="str">
        <f t="shared" si="15"/>
        <v xml:space="preserve">-LAYER D Civil - Aeródromos: estacionamiento
C-AFLD-STAN  </v>
      </c>
    </row>
    <row r="86" spans="1:19" x14ac:dyDescent="0.45">
      <c r="A86" s="7">
        <v>0</v>
      </c>
      <c r="B86" s="11" t="s">
        <v>3012</v>
      </c>
      <c r="C86" s="11" t="s">
        <v>7</v>
      </c>
      <c r="D86" s="11" t="s">
        <v>938</v>
      </c>
      <c r="E86" s="11" t="str">
        <f t="shared" si="8"/>
        <v>C-AFLD-WHIT (Civil - Aeródromos: pintura blanca)</v>
      </c>
      <c r="F86" s="19" t="s">
        <v>3798</v>
      </c>
      <c r="G86" s="19" t="s">
        <v>3797</v>
      </c>
      <c r="H86" s="19" t="s">
        <v>3811</v>
      </c>
      <c r="I86" s="10">
        <v>0</v>
      </c>
      <c r="J86" s="10" t="str">
        <f t="shared" si="9"/>
        <v>Civil - Aeródromos: pintura blanca</v>
      </c>
      <c r="K86" s="11" t="s">
        <v>936</v>
      </c>
      <c r="L86" s="11" t="s">
        <v>7</v>
      </c>
      <c r="M86" s="11" t="s">
        <v>937</v>
      </c>
      <c r="N86" s="18" t="str">
        <f t="shared" si="10"/>
        <v xml:space="preserve">-LAYER N C-AFLD-WHIT </v>
      </c>
      <c r="O86" s="11" t="str">
        <f t="shared" si="11"/>
        <v xml:space="preserve">-LAYER C white C-AFLD-WHIT </v>
      </c>
      <c r="P86" s="11" t="str">
        <f t="shared" si="12"/>
        <v xml:space="preserve">-LAYER L Continuous
C-AFLD-WHIT  </v>
      </c>
      <c r="Q86" s="11" t="str">
        <f t="shared" si="13"/>
        <v xml:space="preserve">-LAYER LW Default
C-AFLD-WHIT  </v>
      </c>
      <c r="R86" s="11" t="str">
        <f t="shared" si="14"/>
        <v xml:space="preserve">-LAYER TR 0
C-AFLD-WHIT  </v>
      </c>
      <c r="S86" s="11" t="str">
        <f t="shared" si="15"/>
        <v xml:space="preserve">-LAYER D Civil - Aeródromos: pintura blanca
C-AFLD-WHIT  </v>
      </c>
    </row>
    <row r="87" spans="1:19" x14ac:dyDescent="0.45">
      <c r="A87" s="7">
        <v>0</v>
      </c>
      <c r="B87" s="11" t="s">
        <v>3013</v>
      </c>
      <c r="C87" s="11" t="s">
        <v>7</v>
      </c>
      <c r="D87" s="11" t="s">
        <v>941</v>
      </c>
      <c r="E87" s="11" t="str">
        <f t="shared" si="8"/>
        <v>C-AFLD-WHIT-TICK (Civil - Aeródromos: pintura blanca: marcas de verificación)</v>
      </c>
      <c r="F87" s="19" t="s">
        <v>3798</v>
      </c>
      <c r="G87" s="19" t="s">
        <v>3797</v>
      </c>
      <c r="H87" s="19" t="s">
        <v>3811</v>
      </c>
      <c r="I87" s="10">
        <v>0</v>
      </c>
      <c r="J87" s="10" t="str">
        <f t="shared" si="9"/>
        <v>Civil - Aeródromos: pintura blanca: marcas de verificación</v>
      </c>
      <c r="K87" s="11" t="s">
        <v>939</v>
      </c>
      <c r="L87" s="11" t="s">
        <v>7</v>
      </c>
      <c r="M87" s="11" t="s">
        <v>940</v>
      </c>
      <c r="N87" s="18" t="str">
        <f t="shared" si="10"/>
        <v xml:space="preserve">-LAYER N C-AFLD-WHIT-TICK </v>
      </c>
      <c r="O87" s="11" t="str">
        <f t="shared" si="11"/>
        <v xml:space="preserve">-LAYER C white C-AFLD-WHIT-TICK </v>
      </c>
      <c r="P87" s="11" t="str">
        <f t="shared" si="12"/>
        <v xml:space="preserve">-LAYER L Continuous
C-AFLD-WHIT-TICK  </v>
      </c>
      <c r="Q87" s="11" t="str">
        <f t="shared" si="13"/>
        <v xml:space="preserve">-LAYER LW Default
C-AFLD-WHIT-TICK  </v>
      </c>
      <c r="R87" s="11" t="str">
        <f t="shared" si="14"/>
        <v xml:space="preserve">-LAYER TR 0
C-AFLD-WHIT-TICK  </v>
      </c>
      <c r="S87" s="11" t="str">
        <f t="shared" si="15"/>
        <v xml:space="preserve">-LAYER D Civil - Aeródromos: pintura blanca: marcas de verificación
C-AFLD-WHIT-TICK  </v>
      </c>
    </row>
    <row r="88" spans="1:19" x14ac:dyDescent="0.45">
      <c r="A88" s="7">
        <v>0</v>
      </c>
      <c r="B88" s="11" t="s">
        <v>3014</v>
      </c>
      <c r="C88" s="11" t="s">
        <v>7</v>
      </c>
      <c r="D88" s="11" t="s">
        <v>944</v>
      </c>
      <c r="E88" s="11" t="str">
        <f t="shared" si="8"/>
        <v>C-AFLD-YELO (Civil - Aeródromos: pintura amarilla)</v>
      </c>
      <c r="F88" s="19" t="s">
        <v>3798</v>
      </c>
      <c r="G88" s="19" t="s">
        <v>3797</v>
      </c>
      <c r="H88" s="19" t="s">
        <v>3811</v>
      </c>
      <c r="I88" s="10">
        <v>0</v>
      </c>
      <c r="J88" s="10" t="str">
        <f t="shared" si="9"/>
        <v>Civil - Aeródromos: pintura amarilla</v>
      </c>
      <c r="K88" s="11" t="s">
        <v>942</v>
      </c>
      <c r="L88" s="11" t="s">
        <v>7</v>
      </c>
      <c r="M88" s="11" t="s">
        <v>943</v>
      </c>
      <c r="N88" s="18" t="str">
        <f t="shared" si="10"/>
        <v xml:space="preserve">-LAYER N C-AFLD-YELO </v>
      </c>
      <c r="O88" s="11" t="str">
        <f t="shared" si="11"/>
        <v xml:space="preserve">-LAYER C white C-AFLD-YELO </v>
      </c>
      <c r="P88" s="11" t="str">
        <f t="shared" si="12"/>
        <v xml:space="preserve">-LAYER L Continuous
C-AFLD-YELO  </v>
      </c>
      <c r="Q88" s="11" t="str">
        <f t="shared" si="13"/>
        <v xml:space="preserve">-LAYER LW Default
C-AFLD-YELO  </v>
      </c>
      <c r="R88" s="11" t="str">
        <f t="shared" si="14"/>
        <v xml:space="preserve">-LAYER TR 0
C-AFLD-YELO  </v>
      </c>
      <c r="S88" s="11" t="str">
        <f t="shared" si="15"/>
        <v xml:space="preserve">-LAYER D Civil - Aeródromos: pintura amarilla
C-AFLD-YELO  </v>
      </c>
    </row>
    <row r="89" spans="1:19" x14ac:dyDescent="0.45">
      <c r="A89" s="7">
        <v>0</v>
      </c>
      <c r="B89" s="11" t="s">
        <v>3015</v>
      </c>
      <c r="C89" s="11" t="s">
        <v>7</v>
      </c>
      <c r="D89" s="11" t="s">
        <v>947</v>
      </c>
      <c r="E89" s="11" t="str">
        <f t="shared" si="8"/>
        <v>C-AFLD-YELO-TICK (Civil - Aeródromos: pintura amarilla: marcas de verificación)</v>
      </c>
      <c r="F89" s="19" t="s">
        <v>3798</v>
      </c>
      <c r="G89" s="19" t="s">
        <v>3797</v>
      </c>
      <c r="H89" s="19" t="s">
        <v>3811</v>
      </c>
      <c r="I89" s="10">
        <v>0</v>
      </c>
      <c r="J89" s="10" t="str">
        <f t="shared" si="9"/>
        <v>Civil - Aeródromos: pintura amarilla: marcas de verificación</v>
      </c>
      <c r="K89" s="11" t="s">
        <v>945</v>
      </c>
      <c r="L89" s="11" t="s">
        <v>7</v>
      </c>
      <c r="M89" s="11" t="s">
        <v>946</v>
      </c>
      <c r="N89" s="18" t="str">
        <f t="shared" si="10"/>
        <v xml:space="preserve">-LAYER N C-AFLD-YELO-TICK </v>
      </c>
      <c r="O89" s="11" t="str">
        <f t="shared" si="11"/>
        <v xml:space="preserve">-LAYER C white C-AFLD-YELO-TICK </v>
      </c>
      <c r="P89" s="11" t="str">
        <f t="shared" si="12"/>
        <v xml:space="preserve">-LAYER L Continuous
C-AFLD-YELO-TICK  </v>
      </c>
      <c r="Q89" s="11" t="str">
        <f t="shared" si="13"/>
        <v xml:space="preserve">-LAYER LW Default
C-AFLD-YELO-TICK  </v>
      </c>
      <c r="R89" s="11" t="str">
        <f t="shared" si="14"/>
        <v xml:space="preserve">-LAYER TR 0
C-AFLD-YELO-TICK  </v>
      </c>
      <c r="S89" s="11" t="str">
        <f t="shared" si="15"/>
        <v xml:space="preserve">-LAYER D Civil - Aeródromos: pintura amarilla: marcas de verificación
C-AFLD-YELO-TICK  </v>
      </c>
    </row>
    <row r="90" spans="1:19" x14ac:dyDescent="0.45">
      <c r="A90" s="7">
        <v>1</v>
      </c>
      <c r="B90" s="11" t="s">
        <v>3016</v>
      </c>
      <c r="C90" s="11" t="s">
        <v>7</v>
      </c>
      <c r="D90" s="11" t="s">
        <v>949</v>
      </c>
      <c r="E90" s="11" t="str">
        <f t="shared" si="8"/>
        <v>C-BLDG (Civil - Edificios y estructuras principales)</v>
      </c>
      <c r="F90" s="19" t="s">
        <v>3798</v>
      </c>
      <c r="G90" s="19" t="s">
        <v>3797</v>
      </c>
      <c r="H90" s="19" t="s">
        <v>3811</v>
      </c>
      <c r="I90" s="10">
        <v>0</v>
      </c>
      <c r="J90" s="10" t="str">
        <f t="shared" si="9"/>
        <v>Civil - Edificios y estructuras principales</v>
      </c>
      <c r="K90" s="11" t="s">
        <v>948</v>
      </c>
      <c r="L90" s="11" t="s">
        <v>7</v>
      </c>
      <c r="M90" s="11" t="s">
        <v>179</v>
      </c>
      <c r="N90" s="18" t="str">
        <f t="shared" si="10"/>
        <v xml:space="preserve">-LAYER N C-BLDG </v>
      </c>
      <c r="O90" s="11" t="str">
        <f t="shared" si="11"/>
        <v xml:space="preserve">-LAYER C white C-BLDG </v>
      </c>
      <c r="P90" s="11" t="str">
        <f t="shared" si="12"/>
        <v xml:space="preserve">-LAYER L Continuous
C-BLDG  </v>
      </c>
      <c r="Q90" s="11" t="str">
        <f t="shared" si="13"/>
        <v xml:space="preserve">-LAYER LW Default
C-BLDG  </v>
      </c>
      <c r="R90" s="11" t="str">
        <f t="shared" si="14"/>
        <v xml:space="preserve">-LAYER TR 0
C-BLDG  </v>
      </c>
      <c r="S90" s="11" t="str">
        <f t="shared" si="15"/>
        <v xml:space="preserve">-LAYER D Civil - Edificios y estructuras principales
C-BLDG  </v>
      </c>
    </row>
    <row r="91" spans="1:19" x14ac:dyDescent="0.45">
      <c r="A91" s="7">
        <v>0</v>
      </c>
      <c r="B91" s="11" t="s">
        <v>3017</v>
      </c>
      <c r="C91" s="11" t="s">
        <v>7</v>
      </c>
      <c r="D91" s="11" t="s">
        <v>952</v>
      </c>
      <c r="E91" s="11" t="str">
        <f t="shared" si="8"/>
        <v>C-BLDG-DECK (Civil - Edificios y estructuras principales: cubierta (adosada, sin techo))</v>
      </c>
      <c r="F91" s="19" t="s">
        <v>3798</v>
      </c>
      <c r="G91" s="19" t="s">
        <v>3797</v>
      </c>
      <c r="H91" s="19" t="s">
        <v>3811</v>
      </c>
      <c r="I91" s="10">
        <v>0</v>
      </c>
      <c r="J91" s="10" t="str">
        <f t="shared" si="9"/>
        <v>Civil - Edificios y estructuras principales: cubierta (adosada, sin techo)</v>
      </c>
      <c r="K91" s="11" t="s">
        <v>950</v>
      </c>
      <c r="L91" s="11" t="s">
        <v>7</v>
      </c>
      <c r="M91" s="11" t="s">
        <v>951</v>
      </c>
      <c r="N91" s="18" t="str">
        <f t="shared" si="10"/>
        <v xml:space="preserve">-LAYER N C-BLDG-DECK </v>
      </c>
      <c r="O91" s="11" t="str">
        <f t="shared" si="11"/>
        <v xml:space="preserve">-LAYER C white C-BLDG-DECK </v>
      </c>
      <c r="P91" s="11" t="str">
        <f t="shared" si="12"/>
        <v xml:space="preserve">-LAYER L Continuous
C-BLDG-DECK  </v>
      </c>
      <c r="Q91" s="11" t="str">
        <f t="shared" si="13"/>
        <v xml:space="preserve">-LAYER LW Default
C-BLDG-DECK  </v>
      </c>
      <c r="R91" s="11" t="str">
        <f t="shared" si="14"/>
        <v xml:space="preserve">-LAYER TR 0
C-BLDG-DECK  </v>
      </c>
      <c r="S91" s="11" t="str">
        <f t="shared" si="15"/>
        <v xml:space="preserve">-LAYER D Civil - Edificios y estructuras principales: cubierta (adosada, sin techo)
C-BLDG-DECK  </v>
      </c>
    </row>
    <row r="92" spans="1:19" x14ac:dyDescent="0.45">
      <c r="A92" s="7">
        <v>0</v>
      </c>
      <c r="B92" s="11" t="s">
        <v>3018</v>
      </c>
      <c r="C92" s="11" t="s">
        <v>7</v>
      </c>
      <c r="D92" s="11" t="s">
        <v>955</v>
      </c>
      <c r="E92" s="11" t="str">
        <f t="shared" si="8"/>
        <v>C-BLDG-OTLN (Civil - Edificios y estructuras principales: contorno)</v>
      </c>
      <c r="F92" s="19" t="s">
        <v>3798</v>
      </c>
      <c r="G92" s="19" t="s">
        <v>3797</v>
      </c>
      <c r="H92" s="19" t="s">
        <v>3811</v>
      </c>
      <c r="I92" s="10">
        <v>0</v>
      </c>
      <c r="J92" s="10" t="str">
        <f t="shared" si="9"/>
        <v>Civil - Edificios y estructuras principales: contorno</v>
      </c>
      <c r="K92" s="11" t="s">
        <v>953</v>
      </c>
      <c r="L92" s="11" t="s">
        <v>7</v>
      </c>
      <c r="M92" s="11" t="s">
        <v>954</v>
      </c>
      <c r="N92" s="18" t="str">
        <f t="shared" si="10"/>
        <v xml:space="preserve">-LAYER N C-BLDG-OTLN </v>
      </c>
      <c r="O92" s="11" t="str">
        <f t="shared" si="11"/>
        <v xml:space="preserve">-LAYER C white C-BLDG-OTLN </v>
      </c>
      <c r="P92" s="11" t="str">
        <f t="shared" si="12"/>
        <v xml:space="preserve">-LAYER L Continuous
C-BLDG-OTLN  </v>
      </c>
      <c r="Q92" s="11" t="str">
        <f t="shared" si="13"/>
        <v xml:space="preserve">-LAYER LW Default
C-BLDG-OTLN  </v>
      </c>
      <c r="R92" s="11" t="str">
        <f t="shared" si="14"/>
        <v xml:space="preserve">-LAYER TR 0
C-BLDG-OTLN  </v>
      </c>
      <c r="S92" s="11" t="str">
        <f t="shared" si="15"/>
        <v xml:space="preserve">-LAYER D Civil - Edificios y estructuras principales: contorno
C-BLDG-OTLN  </v>
      </c>
    </row>
    <row r="93" spans="1:19" x14ac:dyDescent="0.45">
      <c r="A93" s="7">
        <v>0</v>
      </c>
      <c r="B93" s="11" t="s">
        <v>3019</v>
      </c>
      <c r="C93" s="11" t="s">
        <v>7</v>
      </c>
      <c r="D93" s="11" t="s">
        <v>958</v>
      </c>
      <c r="E93" s="11" t="str">
        <f t="shared" si="8"/>
        <v>C-BLDG-OVHD (Civil - Edificios y estructuras principales: cubierta)</v>
      </c>
      <c r="F93" s="19" t="s">
        <v>3798</v>
      </c>
      <c r="G93" s="19" t="s">
        <v>3797</v>
      </c>
      <c r="H93" s="19" t="s">
        <v>3811</v>
      </c>
      <c r="I93" s="10">
        <v>0</v>
      </c>
      <c r="J93" s="10" t="str">
        <f t="shared" si="9"/>
        <v>Civil - Edificios y estructuras principales: cubierta</v>
      </c>
      <c r="K93" s="11" t="s">
        <v>956</v>
      </c>
      <c r="L93" s="11" t="s">
        <v>7</v>
      </c>
      <c r="M93" s="11" t="s">
        <v>957</v>
      </c>
      <c r="N93" s="18" t="str">
        <f t="shared" si="10"/>
        <v xml:space="preserve">-LAYER N C-BLDG-OVHD </v>
      </c>
      <c r="O93" s="11" t="str">
        <f t="shared" si="11"/>
        <v xml:space="preserve">-LAYER C white C-BLDG-OVHD </v>
      </c>
      <c r="P93" s="11" t="str">
        <f t="shared" si="12"/>
        <v xml:space="preserve">-LAYER L Continuous
C-BLDG-OVHD  </v>
      </c>
      <c r="Q93" s="11" t="str">
        <f t="shared" si="13"/>
        <v xml:space="preserve">-LAYER LW Default
C-BLDG-OVHD  </v>
      </c>
      <c r="R93" s="11" t="str">
        <f t="shared" si="14"/>
        <v xml:space="preserve">-LAYER TR 0
C-BLDG-OVHD  </v>
      </c>
      <c r="S93" s="11" t="str">
        <f t="shared" si="15"/>
        <v xml:space="preserve">-LAYER D Civil - Edificios y estructuras principales: cubierta
C-BLDG-OVHD  </v>
      </c>
    </row>
    <row r="94" spans="1:19" x14ac:dyDescent="0.45">
      <c r="A94" s="7">
        <v>0</v>
      </c>
      <c r="B94" s="11" t="s">
        <v>3020</v>
      </c>
      <c r="C94" s="11" t="s">
        <v>7</v>
      </c>
      <c r="D94" s="11" t="s">
        <v>961</v>
      </c>
      <c r="E94" s="11" t="str">
        <f t="shared" si="8"/>
        <v>C-BLDG-PRCH (Civil - Edificios y estructuras principales: pórtico (adosado, techo))</v>
      </c>
      <c r="F94" s="19" t="s">
        <v>3798</v>
      </c>
      <c r="G94" s="19" t="s">
        <v>3797</v>
      </c>
      <c r="H94" s="19" t="s">
        <v>3811</v>
      </c>
      <c r="I94" s="10">
        <v>0</v>
      </c>
      <c r="J94" s="10" t="str">
        <f t="shared" si="9"/>
        <v>Civil - Edificios y estructuras principales: pórtico (adosado, techo)</v>
      </c>
      <c r="K94" s="11" t="s">
        <v>959</v>
      </c>
      <c r="L94" s="11" t="s">
        <v>7</v>
      </c>
      <c r="M94" s="11" t="s">
        <v>960</v>
      </c>
      <c r="N94" s="18" t="str">
        <f t="shared" si="10"/>
        <v xml:space="preserve">-LAYER N C-BLDG-PRCH </v>
      </c>
      <c r="O94" s="11" t="str">
        <f t="shared" si="11"/>
        <v xml:space="preserve">-LAYER C white C-BLDG-PRCH </v>
      </c>
      <c r="P94" s="11" t="str">
        <f t="shared" si="12"/>
        <v xml:space="preserve">-LAYER L Continuous
C-BLDG-PRCH  </v>
      </c>
      <c r="Q94" s="11" t="str">
        <f t="shared" si="13"/>
        <v xml:space="preserve">-LAYER LW Default
C-BLDG-PRCH  </v>
      </c>
      <c r="R94" s="11" t="str">
        <f t="shared" si="14"/>
        <v xml:space="preserve">-LAYER TR 0
C-BLDG-PRCH  </v>
      </c>
      <c r="S94" s="11" t="str">
        <f t="shared" si="15"/>
        <v xml:space="preserve">-LAYER D Civil - Edificios y estructuras principales: pórtico (adosado, techo)
C-BLDG-PRCH  </v>
      </c>
    </row>
    <row r="95" spans="1:19" x14ac:dyDescent="0.45">
      <c r="A95" s="7">
        <v>0</v>
      </c>
      <c r="B95" s="11" t="s">
        <v>3021</v>
      </c>
      <c r="C95" s="11" t="s">
        <v>7</v>
      </c>
      <c r="D95" s="11" t="s">
        <v>183</v>
      </c>
      <c r="E95" s="11" t="str">
        <f t="shared" si="8"/>
        <v>C-BLIN (Civil - Línea base)</v>
      </c>
      <c r="F95" s="19" t="s">
        <v>3798</v>
      </c>
      <c r="G95" s="19" t="s">
        <v>3797</v>
      </c>
      <c r="H95" s="19" t="s">
        <v>3811</v>
      </c>
      <c r="I95" s="10">
        <v>0</v>
      </c>
      <c r="J95" s="10" t="str">
        <f t="shared" si="9"/>
        <v>Civil - Línea base</v>
      </c>
      <c r="K95" s="11" t="s">
        <v>962</v>
      </c>
      <c r="L95" s="11" t="s">
        <v>7</v>
      </c>
      <c r="M95" s="11" t="s">
        <v>182</v>
      </c>
      <c r="N95" s="18" t="str">
        <f t="shared" si="10"/>
        <v xml:space="preserve">-LAYER N C-BLIN </v>
      </c>
      <c r="O95" s="11" t="str">
        <f t="shared" si="11"/>
        <v xml:space="preserve">-LAYER C white C-BLIN </v>
      </c>
      <c r="P95" s="11" t="str">
        <f t="shared" si="12"/>
        <v xml:space="preserve">-LAYER L Continuous
C-BLIN  </v>
      </c>
      <c r="Q95" s="11" t="str">
        <f t="shared" si="13"/>
        <v xml:space="preserve">-LAYER LW Default
C-BLIN  </v>
      </c>
      <c r="R95" s="11" t="str">
        <f t="shared" si="14"/>
        <v xml:space="preserve">-LAYER TR 0
C-BLIN  </v>
      </c>
      <c r="S95" s="11" t="str">
        <f t="shared" si="15"/>
        <v xml:space="preserve">-LAYER D Civil - Línea base
C-BLIN  </v>
      </c>
    </row>
    <row r="96" spans="1:19" x14ac:dyDescent="0.45">
      <c r="A96" s="7">
        <v>0</v>
      </c>
      <c r="B96" s="11" t="s">
        <v>3022</v>
      </c>
      <c r="C96" s="11" t="s">
        <v>7</v>
      </c>
      <c r="D96" s="11" t="s">
        <v>965</v>
      </c>
      <c r="E96" s="11" t="str">
        <f t="shared" si="8"/>
        <v>C-BLIN-STAN (Civil - Línea base: estacionamiento)</v>
      </c>
      <c r="F96" s="19" t="s">
        <v>3798</v>
      </c>
      <c r="G96" s="19" t="s">
        <v>3797</v>
      </c>
      <c r="H96" s="19" t="s">
        <v>3811</v>
      </c>
      <c r="I96" s="10">
        <v>0</v>
      </c>
      <c r="J96" s="10" t="str">
        <f t="shared" si="9"/>
        <v>Civil - Línea base: estacionamiento</v>
      </c>
      <c r="K96" s="11" t="s">
        <v>963</v>
      </c>
      <c r="L96" s="11" t="s">
        <v>7</v>
      </c>
      <c r="M96" s="11" t="s">
        <v>964</v>
      </c>
      <c r="N96" s="18" t="str">
        <f t="shared" si="10"/>
        <v xml:space="preserve">-LAYER N C-BLIN-STAN </v>
      </c>
      <c r="O96" s="11" t="str">
        <f t="shared" si="11"/>
        <v xml:space="preserve">-LAYER C white C-BLIN-STAN </v>
      </c>
      <c r="P96" s="11" t="str">
        <f t="shared" si="12"/>
        <v xml:space="preserve">-LAYER L Continuous
C-BLIN-STAN  </v>
      </c>
      <c r="Q96" s="11" t="str">
        <f t="shared" si="13"/>
        <v xml:space="preserve">-LAYER LW Default
C-BLIN-STAN  </v>
      </c>
      <c r="R96" s="11" t="str">
        <f t="shared" si="14"/>
        <v xml:space="preserve">-LAYER TR 0
C-BLIN-STAN  </v>
      </c>
      <c r="S96" s="11" t="str">
        <f t="shared" si="15"/>
        <v xml:space="preserve">-LAYER D Civil - Línea base: estacionamiento
C-BLIN-STAN  </v>
      </c>
    </row>
    <row r="97" spans="1:19" x14ac:dyDescent="0.45">
      <c r="A97" s="7">
        <v>0</v>
      </c>
      <c r="B97" s="11" t="s">
        <v>3023</v>
      </c>
      <c r="C97" s="11" t="s">
        <v>7</v>
      </c>
      <c r="D97" s="11" t="s">
        <v>189</v>
      </c>
      <c r="E97" s="11" t="str">
        <f t="shared" si="8"/>
        <v>C-BORE (Civil - Perforaciones)</v>
      </c>
      <c r="F97" s="19" t="s">
        <v>3798</v>
      </c>
      <c r="G97" s="19" t="s">
        <v>3797</v>
      </c>
      <c r="H97" s="19" t="s">
        <v>3811</v>
      </c>
      <c r="I97" s="10">
        <v>0</v>
      </c>
      <c r="J97" s="10" t="str">
        <f t="shared" si="9"/>
        <v>Civil - Perforaciones</v>
      </c>
      <c r="K97" s="11" t="s">
        <v>966</v>
      </c>
      <c r="L97" s="11" t="s">
        <v>7</v>
      </c>
      <c r="M97" s="11" t="s">
        <v>188</v>
      </c>
      <c r="N97" s="18" t="str">
        <f t="shared" si="10"/>
        <v xml:space="preserve">-LAYER N C-BORE </v>
      </c>
      <c r="O97" s="11" t="str">
        <f t="shared" si="11"/>
        <v xml:space="preserve">-LAYER C white C-BORE </v>
      </c>
      <c r="P97" s="11" t="str">
        <f t="shared" si="12"/>
        <v xml:space="preserve">-LAYER L Continuous
C-BORE  </v>
      </c>
      <c r="Q97" s="11" t="str">
        <f t="shared" si="13"/>
        <v xml:space="preserve">-LAYER LW Default
C-BORE  </v>
      </c>
      <c r="R97" s="11" t="str">
        <f t="shared" si="14"/>
        <v xml:space="preserve">-LAYER TR 0
C-BORE  </v>
      </c>
      <c r="S97" s="11" t="str">
        <f t="shared" si="15"/>
        <v xml:space="preserve">-LAYER D Civil - Perforaciones
C-BORE  </v>
      </c>
    </row>
    <row r="98" spans="1:19" x14ac:dyDescent="0.45">
      <c r="A98" s="7">
        <v>0</v>
      </c>
      <c r="B98" s="11" t="s">
        <v>3024</v>
      </c>
      <c r="C98" s="11" t="s">
        <v>7</v>
      </c>
      <c r="D98" s="11" t="s">
        <v>195</v>
      </c>
      <c r="E98" s="11" t="str">
        <f t="shared" si="8"/>
        <v>C-BRDG (Civil - Puente)</v>
      </c>
      <c r="F98" s="19" t="s">
        <v>3798</v>
      </c>
      <c r="G98" s="19" t="s">
        <v>3797</v>
      </c>
      <c r="H98" s="19" t="s">
        <v>3811</v>
      </c>
      <c r="I98" s="10">
        <v>0</v>
      </c>
      <c r="J98" s="10" t="str">
        <f t="shared" si="9"/>
        <v>Civil - Puente</v>
      </c>
      <c r="K98" s="11" t="s">
        <v>967</v>
      </c>
      <c r="L98" s="11" t="s">
        <v>7</v>
      </c>
      <c r="M98" s="11" t="s">
        <v>194</v>
      </c>
      <c r="N98" s="18" t="str">
        <f t="shared" si="10"/>
        <v xml:space="preserve">-LAYER N C-BRDG </v>
      </c>
      <c r="O98" s="11" t="str">
        <f t="shared" si="11"/>
        <v xml:space="preserve">-LAYER C white C-BRDG </v>
      </c>
      <c r="P98" s="11" t="str">
        <f t="shared" si="12"/>
        <v xml:space="preserve">-LAYER L Continuous
C-BRDG  </v>
      </c>
      <c r="Q98" s="11" t="str">
        <f t="shared" si="13"/>
        <v xml:space="preserve">-LAYER LW Default
C-BRDG  </v>
      </c>
      <c r="R98" s="11" t="str">
        <f t="shared" si="14"/>
        <v xml:space="preserve">-LAYER TR 0
C-BRDG  </v>
      </c>
      <c r="S98" s="11" t="str">
        <f t="shared" si="15"/>
        <v xml:space="preserve">-LAYER D Civil - Puente
C-BRDG  </v>
      </c>
    </row>
    <row r="99" spans="1:19" x14ac:dyDescent="0.45">
      <c r="A99" s="7">
        <v>0</v>
      </c>
      <c r="B99" s="11" t="s">
        <v>3025</v>
      </c>
      <c r="C99" s="11" t="s">
        <v>7</v>
      </c>
      <c r="D99" s="11" t="s">
        <v>970</v>
      </c>
      <c r="E99" s="11" t="str">
        <f t="shared" si="8"/>
        <v>C-BRDG-CNTJ (Civil - Puente: junta de construcción)</v>
      </c>
      <c r="F99" s="19" t="s">
        <v>3798</v>
      </c>
      <c r="G99" s="19" t="s">
        <v>3797</v>
      </c>
      <c r="H99" s="19" t="s">
        <v>3811</v>
      </c>
      <c r="I99" s="10">
        <v>0</v>
      </c>
      <c r="J99" s="10" t="str">
        <f t="shared" si="9"/>
        <v>Civil - Puente: junta de construcción</v>
      </c>
      <c r="K99" s="11" t="s">
        <v>968</v>
      </c>
      <c r="L99" s="11" t="s">
        <v>7</v>
      </c>
      <c r="M99" s="11" t="s">
        <v>969</v>
      </c>
      <c r="N99" s="18" t="str">
        <f t="shared" si="10"/>
        <v xml:space="preserve">-LAYER N C-BRDG-CNTJ </v>
      </c>
      <c r="O99" s="11" t="str">
        <f t="shared" si="11"/>
        <v xml:space="preserve">-LAYER C white C-BRDG-CNTJ </v>
      </c>
      <c r="P99" s="11" t="str">
        <f t="shared" si="12"/>
        <v xml:space="preserve">-LAYER L Continuous
C-BRDG-CNTJ  </v>
      </c>
      <c r="Q99" s="11" t="str">
        <f t="shared" si="13"/>
        <v xml:space="preserve">-LAYER LW Default
C-BRDG-CNTJ  </v>
      </c>
      <c r="R99" s="11" t="str">
        <f t="shared" si="14"/>
        <v xml:space="preserve">-LAYER TR 0
C-BRDG-CNTJ  </v>
      </c>
      <c r="S99" s="11" t="str">
        <f t="shared" si="15"/>
        <v xml:space="preserve">-LAYER D Civil - Puente: junta de construcción
C-BRDG-CNTJ  </v>
      </c>
    </row>
    <row r="100" spans="1:19" x14ac:dyDescent="0.45">
      <c r="A100" s="7">
        <v>0</v>
      </c>
      <c r="B100" s="11" t="s">
        <v>3026</v>
      </c>
      <c r="C100" s="11" t="s">
        <v>7</v>
      </c>
      <c r="D100" s="11" t="s">
        <v>973</v>
      </c>
      <c r="E100" s="11" t="str">
        <f t="shared" si="8"/>
        <v>C-BRDG-CNTR (Civil - Puente: centro)</v>
      </c>
      <c r="F100" s="19" t="s">
        <v>3798</v>
      </c>
      <c r="G100" s="19" t="s">
        <v>3797</v>
      </c>
      <c r="H100" s="19" t="s">
        <v>3811</v>
      </c>
      <c r="I100" s="10">
        <v>0</v>
      </c>
      <c r="J100" s="10" t="str">
        <f t="shared" si="9"/>
        <v>Civil - Puente: centro</v>
      </c>
      <c r="K100" s="11" t="s">
        <v>971</v>
      </c>
      <c r="L100" s="11" t="s">
        <v>7</v>
      </c>
      <c r="M100" s="11" t="s">
        <v>972</v>
      </c>
      <c r="N100" s="18" t="str">
        <f t="shared" si="10"/>
        <v xml:space="preserve">-LAYER N C-BRDG-CNTR </v>
      </c>
      <c r="O100" s="11" t="str">
        <f t="shared" si="11"/>
        <v xml:space="preserve">-LAYER C white C-BRDG-CNTR </v>
      </c>
      <c r="P100" s="11" t="str">
        <f t="shared" si="12"/>
        <v xml:space="preserve">-LAYER L Continuous
C-BRDG-CNTR  </v>
      </c>
      <c r="Q100" s="11" t="str">
        <f t="shared" si="13"/>
        <v xml:space="preserve">-LAYER LW Default
C-BRDG-CNTR  </v>
      </c>
      <c r="R100" s="11" t="str">
        <f t="shared" si="14"/>
        <v xml:space="preserve">-LAYER TR 0
C-BRDG-CNTR  </v>
      </c>
      <c r="S100" s="11" t="str">
        <f t="shared" si="15"/>
        <v xml:space="preserve">-LAYER D Civil - Puente: centro
C-BRDG-CNTR  </v>
      </c>
    </row>
    <row r="101" spans="1:19" x14ac:dyDescent="0.45">
      <c r="A101" s="7">
        <v>0</v>
      </c>
      <c r="B101" s="11" t="s">
        <v>3027</v>
      </c>
      <c r="C101" s="11" t="s">
        <v>7</v>
      </c>
      <c r="D101" s="11" t="s">
        <v>976</v>
      </c>
      <c r="E101" s="11" t="str">
        <f t="shared" si="8"/>
        <v>C-BRDG-DECK (Civil - Puente: cubierta)</v>
      </c>
      <c r="F101" s="19" t="s">
        <v>3798</v>
      </c>
      <c r="G101" s="19" t="s">
        <v>3797</v>
      </c>
      <c r="H101" s="19" t="s">
        <v>3811</v>
      </c>
      <c r="I101" s="10">
        <v>0</v>
      </c>
      <c r="J101" s="10" t="str">
        <f t="shared" si="9"/>
        <v>Civil - Puente: cubierta</v>
      </c>
      <c r="K101" s="11" t="s">
        <v>974</v>
      </c>
      <c r="L101" s="11" t="s">
        <v>7</v>
      </c>
      <c r="M101" s="11" t="s">
        <v>975</v>
      </c>
      <c r="N101" s="18" t="str">
        <f t="shared" si="10"/>
        <v xml:space="preserve">-LAYER N C-BRDG-DECK </v>
      </c>
      <c r="O101" s="11" t="str">
        <f t="shared" si="11"/>
        <v xml:space="preserve">-LAYER C white C-BRDG-DECK </v>
      </c>
      <c r="P101" s="11" t="str">
        <f t="shared" si="12"/>
        <v xml:space="preserve">-LAYER L Continuous
C-BRDG-DECK  </v>
      </c>
      <c r="Q101" s="11" t="str">
        <f t="shared" si="13"/>
        <v xml:space="preserve">-LAYER LW Default
C-BRDG-DECK  </v>
      </c>
      <c r="R101" s="11" t="str">
        <f t="shared" si="14"/>
        <v xml:space="preserve">-LAYER TR 0
C-BRDG-DECK  </v>
      </c>
      <c r="S101" s="11" t="str">
        <f t="shared" si="15"/>
        <v xml:space="preserve">-LAYER D Civil - Puente: cubierta
C-BRDG-DECK  </v>
      </c>
    </row>
    <row r="102" spans="1:19" x14ac:dyDescent="0.45">
      <c r="A102" s="7">
        <v>0</v>
      </c>
      <c r="B102" s="11" t="s">
        <v>3028</v>
      </c>
      <c r="C102" s="11" t="s">
        <v>7</v>
      </c>
      <c r="D102" s="11" t="s">
        <v>979</v>
      </c>
      <c r="E102" s="11" t="str">
        <f t="shared" si="8"/>
        <v>C-BRDG-EXPJ (Civil - Puente: junta de dilatación)</v>
      </c>
      <c r="F102" s="19" t="s">
        <v>3798</v>
      </c>
      <c r="G102" s="19" t="s">
        <v>3797</v>
      </c>
      <c r="H102" s="19" t="s">
        <v>3811</v>
      </c>
      <c r="I102" s="10">
        <v>0</v>
      </c>
      <c r="J102" s="10" t="str">
        <f t="shared" si="9"/>
        <v>Civil - Puente: junta de dilatación</v>
      </c>
      <c r="K102" s="11" t="s">
        <v>977</v>
      </c>
      <c r="L102" s="11" t="s">
        <v>7</v>
      </c>
      <c r="M102" s="11" t="s">
        <v>978</v>
      </c>
      <c r="N102" s="18" t="str">
        <f t="shared" si="10"/>
        <v xml:space="preserve">-LAYER N C-BRDG-EXPJ </v>
      </c>
      <c r="O102" s="11" t="str">
        <f t="shared" si="11"/>
        <v xml:space="preserve">-LAYER C white C-BRDG-EXPJ </v>
      </c>
      <c r="P102" s="11" t="str">
        <f t="shared" si="12"/>
        <v xml:space="preserve">-LAYER L Continuous
C-BRDG-EXPJ  </v>
      </c>
      <c r="Q102" s="11" t="str">
        <f t="shared" si="13"/>
        <v xml:space="preserve">-LAYER LW Default
C-BRDG-EXPJ  </v>
      </c>
      <c r="R102" s="11" t="str">
        <f t="shared" si="14"/>
        <v xml:space="preserve">-LAYER TR 0
C-BRDG-EXPJ  </v>
      </c>
      <c r="S102" s="11" t="str">
        <f t="shared" si="15"/>
        <v xml:space="preserve">-LAYER D Civil - Puente: junta de dilatación
C-BRDG-EXPJ  </v>
      </c>
    </row>
    <row r="103" spans="1:19" x14ac:dyDescent="0.45">
      <c r="A103" s="7">
        <v>0</v>
      </c>
      <c r="B103" s="11" t="s">
        <v>3029</v>
      </c>
      <c r="C103" s="11" t="s">
        <v>7</v>
      </c>
      <c r="D103" s="11" t="s">
        <v>982</v>
      </c>
      <c r="E103" s="11" t="str">
        <f t="shared" si="8"/>
        <v>C-BRDG-FALT (Civil - Puente: línea de falla/rotura)</v>
      </c>
      <c r="F103" s="19" t="s">
        <v>3798</v>
      </c>
      <c r="G103" s="19" t="s">
        <v>3797</v>
      </c>
      <c r="H103" s="19" t="s">
        <v>3811</v>
      </c>
      <c r="I103" s="10">
        <v>0</v>
      </c>
      <c r="J103" s="10" t="str">
        <f t="shared" si="9"/>
        <v>Civil - Puente: línea de falla/rotura</v>
      </c>
      <c r="K103" s="11" t="s">
        <v>980</v>
      </c>
      <c r="L103" s="11" t="s">
        <v>7</v>
      </c>
      <c r="M103" s="11" t="s">
        <v>981</v>
      </c>
      <c r="N103" s="18" t="str">
        <f t="shared" si="10"/>
        <v xml:space="preserve">-LAYER N C-BRDG-FALT </v>
      </c>
      <c r="O103" s="11" t="str">
        <f t="shared" si="11"/>
        <v xml:space="preserve">-LAYER C white C-BRDG-FALT </v>
      </c>
      <c r="P103" s="11" t="str">
        <f t="shared" si="12"/>
        <v xml:space="preserve">-LAYER L Continuous
C-BRDG-FALT  </v>
      </c>
      <c r="Q103" s="11" t="str">
        <f t="shared" si="13"/>
        <v xml:space="preserve">-LAYER LW Default
C-BRDG-FALT  </v>
      </c>
      <c r="R103" s="11" t="str">
        <f t="shared" si="14"/>
        <v xml:space="preserve">-LAYER TR 0
C-BRDG-FALT  </v>
      </c>
      <c r="S103" s="11" t="str">
        <f t="shared" si="15"/>
        <v xml:space="preserve">-LAYER D Civil - Puente: línea de falla/rotura
C-BRDG-FALT  </v>
      </c>
    </row>
    <row r="104" spans="1:19" x14ac:dyDescent="0.45">
      <c r="A104" s="7">
        <v>0</v>
      </c>
      <c r="B104" s="11" t="s">
        <v>3030</v>
      </c>
      <c r="C104" s="11" t="s">
        <v>7</v>
      </c>
      <c r="D104" s="11" t="s">
        <v>985</v>
      </c>
      <c r="E104" s="11" t="str">
        <f t="shared" si="8"/>
        <v>C-BRDG-HIDD (Civil - Puente: objetos o líneas ocultos Vista)</v>
      </c>
      <c r="F104" s="19" t="s">
        <v>3798</v>
      </c>
      <c r="G104" s="19" t="s">
        <v>3797</v>
      </c>
      <c r="H104" s="19" t="s">
        <v>3811</v>
      </c>
      <c r="I104" s="10">
        <v>0</v>
      </c>
      <c r="J104" s="10" t="str">
        <f t="shared" si="9"/>
        <v>Civil - Puente: objetos o líneas ocultos Vista</v>
      </c>
      <c r="K104" s="11" t="s">
        <v>983</v>
      </c>
      <c r="L104" s="11" t="s">
        <v>7</v>
      </c>
      <c r="M104" s="11" t="s">
        <v>984</v>
      </c>
      <c r="N104" s="18" t="str">
        <f t="shared" si="10"/>
        <v xml:space="preserve">-LAYER N C-BRDG-HIDD </v>
      </c>
      <c r="O104" s="11" t="str">
        <f t="shared" si="11"/>
        <v xml:space="preserve">-LAYER C white C-BRDG-HIDD </v>
      </c>
      <c r="P104" s="11" t="str">
        <f t="shared" si="12"/>
        <v xml:space="preserve">-LAYER L Continuous
C-BRDG-HIDD  </v>
      </c>
      <c r="Q104" s="11" t="str">
        <f t="shared" si="13"/>
        <v xml:space="preserve">-LAYER LW Default
C-BRDG-HIDD  </v>
      </c>
      <c r="R104" s="11" t="str">
        <f t="shared" si="14"/>
        <v xml:space="preserve">-LAYER TR 0
C-BRDG-HIDD  </v>
      </c>
      <c r="S104" s="11" t="str">
        <f t="shared" si="15"/>
        <v xml:space="preserve">-LAYER D Civil - Puente: objetos o líneas ocultos Vista
C-BRDG-HIDD  </v>
      </c>
    </row>
    <row r="105" spans="1:19" x14ac:dyDescent="0.45">
      <c r="A105" s="7">
        <v>0</v>
      </c>
      <c r="B105" s="11" t="s">
        <v>3031</v>
      </c>
      <c r="C105" s="11" t="s">
        <v>7</v>
      </c>
      <c r="D105" s="11" t="s">
        <v>988</v>
      </c>
      <c r="E105" s="11" t="str">
        <f t="shared" si="8"/>
        <v>C-BRDG-OBJT (Civil - Puente: objetos)</v>
      </c>
      <c r="F105" s="19" t="s">
        <v>3798</v>
      </c>
      <c r="G105" s="19" t="s">
        <v>3797</v>
      </c>
      <c r="H105" s="19" t="s">
        <v>3811</v>
      </c>
      <c r="I105" s="10">
        <v>0</v>
      </c>
      <c r="J105" s="10" t="str">
        <f t="shared" si="9"/>
        <v>Civil - Puente: objetos</v>
      </c>
      <c r="K105" s="11" t="s">
        <v>986</v>
      </c>
      <c r="L105" s="11" t="s">
        <v>7</v>
      </c>
      <c r="M105" s="11" t="s">
        <v>987</v>
      </c>
      <c r="N105" s="18" t="str">
        <f t="shared" si="10"/>
        <v xml:space="preserve">-LAYER N C-BRDG-OBJT </v>
      </c>
      <c r="O105" s="11" t="str">
        <f t="shared" si="11"/>
        <v xml:space="preserve">-LAYER C white C-BRDG-OBJT </v>
      </c>
      <c r="P105" s="11" t="str">
        <f t="shared" si="12"/>
        <v xml:space="preserve">-LAYER L Continuous
C-BRDG-OBJT  </v>
      </c>
      <c r="Q105" s="11" t="str">
        <f t="shared" si="13"/>
        <v xml:space="preserve">-LAYER LW Default
C-BRDG-OBJT  </v>
      </c>
      <c r="R105" s="11" t="str">
        <f t="shared" si="14"/>
        <v xml:space="preserve">-LAYER TR 0
C-BRDG-OBJT  </v>
      </c>
      <c r="S105" s="11" t="str">
        <f t="shared" si="15"/>
        <v xml:space="preserve">-LAYER D Civil - Puente: objetos
C-BRDG-OBJT  </v>
      </c>
    </row>
    <row r="106" spans="1:19" x14ac:dyDescent="0.45">
      <c r="A106" s="7">
        <v>0</v>
      </c>
      <c r="B106" s="11" t="s">
        <v>3032</v>
      </c>
      <c r="C106" s="11" t="s">
        <v>7</v>
      </c>
      <c r="D106" s="11" t="s">
        <v>991</v>
      </c>
      <c r="E106" s="11" t="str">
        <f t="shared" si="8"/>
        <v>C-BRDG-OBJT-PRIM (Civil - Puente: objetos: principal)</v>
      </c>
      <c r="F106" s="19" t="s">
        <v>3798</v>
      </c>
      <c r="G106" s="19" t="s">
        <v>3797</v>
      </c>
      <c r="H106" s="19" t="s">
        <v>3811</v>
      </c>
      <c r="I106" s="10">
        <v>0</v>
      </c>
      <c r="J106" s="10" t="str">
        <f t="shared" si="9"/>
        <v>Civil - Puente: objetos: principal</v>
      </c>
      <c r="K106" s="11" t="s">
        <v>989</v>
      </c>
      <c r="L106" s="11" t="s">
        <v>7</v>
      </c>
      <c r="M106" s="11" t="s">
        <v>990</v>
      </c>
      <c r="N106" s="18" t="str">
        <f t="shared" si="10"/>
        <v xml:space="preserve">-LAYER N C-BRDG-OBJT-PRIM </v>
      </c>
      <c r="O106" s="11" t="str">
        <f t="shared" si="11"/>
        <v xml:space="preserve">-LAYER C white C-BRDG-OBJT-PRIM </v>
      </c>
      <c r="P106" s="11" t="str">
        <f t="shared" si="12"/>
        <v xml:space="preserve">-LAYER L Continuous
C-BRDG-OBJT-PRIM  </v>
      </c>
      <c r="Q106" s="11" t="str">
        <f t="shared" si="13"/>
        <v xml:space="preserve">-LAYER LW Default
C-BRDG-OBJT-PRIM  </v>
      </c>
      <c r="R106" s="11" t="str">
        <f t="shared" si="14"/>
        <v xml:space="preserve">-LAYER TR 0
C-BRDG-OBJT-PRIM  </v>
      </c>
      <c r="S106" s="11" t="str">
        <f t="shared" si="15"/>
        <v xml:space="preserve">-LAYER D Civil - Puente: objetos: principal
C-BRDG-OBJT-PRIM  </v>
      </c>
    </row>
    <row r="107" spans="1:19" x14ac:dyDescent="0.45">
      <c r="A107" s="7">
        <v>0</v>
      </c>
      <c r="B107" s="11" t="s">
        <v>3033</v>
      </c>
      <c r="C107" s="11" t="s">
        <v>7</v>
      </c>
      <c r="D107" s="11" t="s">
        <v>994</v>
      </c>
      <c r="E107" s="11" t="str">
        <f t="shared" si="8"/>
        <v>C-BRDG-OBJT-SECD (Civil - Puente: objetos: secundario)</v>
      </c>
      <c r="F107" s="19" t="s">
        <v>3798</v>
      </c>
      <c r="G107" s="19" t="s">
        <v>3797</v>
      </c>
      <c r="H107" s="19" t="s">
        <v>3811</v>
      </c>
      <c r="I107" s="10">
        <v>0</v>
      </c>
      <c r="J107" s="10" t="str">
        <f t="shared" si="9"/>
        <v>Civil - Puente: objetos: secundario</v>
      </c>
      <c r="K107" s="11" t="s">
        <v>992</v>
      </c>
      <c r="L107" s="11" t="s">
        <v>7</v>
      </c>
      <c r="M107" s="11" t="s">
        <v>993</v>
      </c>
      <c r="N107" s="18" t="str">
        <f t="shared" si="10"/>
        <v xml:space="preserve">-LAYER N C-BRDG-OBJT-SECD </v>
      </c>
      <c r="O107" s="11" t="str">
        <f t="shared" si="11"/>
        <v xml:space="preserve">-LAYER C white C-BRDG-OBJT-SECD </v>
      </c>
      <c r="P107" s="11" t="str">
        <f t="shared" si="12"/>
        <v xml:space="preserve">-LAYER L Continuous
C-BRDG-OBJT-SECD  </v>
      </c>
      <c r="Q107" s="11" t="str">
        <f t="shared" si="13"/>
        <v xml:space="preserve">-LAYER LW Default
C-BRDG-OBJT-SECD  </v>
      </c>
      <c r="R107" s="11" t="str">
        <f t="shared" si="14"/>
        <v xml:space="preserve">-LAYER TR 0
C-BRDG-OBJT-SECD  </v>
      </c>
      <c r="S107" s="11" t="str">
        <f t="shared" si="15"/>
        <v xml:space="preserve">-LAYER D Civil - Puente: objetos: secundario
C-BRDG-OBJT-SECD  </v>
      </c>
    </row>
    <row r="108" spans="1:19" x14ac:dyDescent="0.45">
      <c r="A108" s="7">
        <v>0</v>
      </c>
      <c r="B108" s="11" t="s">
        <v>3034</v>
      </c>
      <c r="C108" s="11" t="s">
        <v>7</v>
      </c>
      <c r="D108" s="11" t="s">
        <v>997</v>
      </c>
      <c r="E108" s="11" t="str">
        <f t="shared" si="8"/>
        <v>C-BRDG-RBAR (Civil - Puente: barra de refuerzo)</v>
      </c>
      <c r="F108" s="19" t="s">
        <v>3798</v>
      </c>
      <c r="G108" s="19" t="s">
        <v>3797</v>
      </c>
      <c r="H108" s="19" t="s">
        <v>3811</v>
      </c>
      <c r="I108" s="10">
        <v>0</v>
      </c>
      <c r="J108" s="10" t="str">
        <f t="shared" si="9"/>
        <v>Civil - Puente: barra de refuerzo</v>
      </c>
      <c r="K108" s="11" t="s">
        <v>995</v>
      </c>
      <c r="L108" s="11" t="s">
        <v>7</v>
      </c>
      <c r="M108" s="11" t="s">
        <v>996</v>
      </c>
      <c r="N108" s="18" t="str">
        <f t="shared" si="10"/>
        <v xml:space="preserve">-LAYER N C-BRDG-RBAR </v>
      </c>
      <c r="O108" s="11" t="str">
        <f t="shared" si="11"/>
        <v xml:space="preserve">-LAYER C white C-BRDG-RBAR </v>
      </c>
      <c r="P108" s="11" t="str">
        <f t="shared" si="12"/>
        <v xml:space="preserve">-LAYER L Continuous
C-BRDG-RBAR  </v>
      </c>
      <c r="Q108" s="11" t="str">
        <f t="shared" si="13"/>
        <v xml:space="preserve">-LAYER LW Default
C-BRDG-RBAR  </v>
      </c>
      <c r="R108" s="11" t="str">
        <f t="shared" si="14"/>
        <v xml:space="preserve">-LAYER TR 0
C-BRDG-RBAR  </v>
      </c>
      <c r="S108" s="11" t="str">
        <f t="shared" si="15"/>
        <v xml:space="preserve">-LAYER D Civil - Puente: barra de refuerzo
C-BRDG-RBAR  </v>
      </c>
    </row>
    <row r="109" spans="1:19" x14ac:dyDescent="0.45">
      <c r="A109" s="7">
        <v>0</v>
      </c>
      <c r="B109" s="11" t="s">
        <v>3035</v>
      </c>
      <c r="C109" s="11" t="s">
        <v>7</v>
      </c>
      <c r="D109" s="11" t="s">
        <v>216</v>
      </c>
      <c r="E109" s="11" t="str">
        <f t="shared" si="8"/>
        <v>C-CATV (Civil - Sistema de televisión por cable)</v>
      </c>
      <c r="F109" s="19" t="s">
        <v>3798</v>
      </c>
      <c r="G109" s="19" t="s">
        <v>3797</v>
      </c>
      <c r="H109" s="19" t="s">
        <v>3811</v>
      </c>
      <c r="I109" s="10">
        <v>0</v>
      </c>
      <c r="J109" s="10" t="str">
        <f t="shared" si="9"/>
        <v>Civil - Sistema de televisión por cable</v>
      </c>
      <c r="K109" s="11" t="s">
        <v>998</v>
      </c>
      <c r="L109" s="11" t="s">
        <v>7</v>
      </c>
      <c r="M109" s="11" t="s">
        <v>215</v>
      </c>
      <c r="N109" s="18" t="str">
        <f t="shared" si="10"/>
        <v xml:space="preserve">-LAYER N C-CATV </v>
      </c>
      <c r="O109" s="11" t="str">
        <f t="shared" si="11"/>
        <v xml:space="preserve">-LAYER C white C-CATV </v>
      </c>
      <c r="P109" s="11" t="str">
        <f t="shared" si="12"/>
        <v xml:space="preserve">-LAYER L Continuous
C-CATV  </v>
      </c>
      <c r="Q109" s="11" t="str">
        <f t="shared" si="13"/>
        <v xml:space="preserve">-LAYER LW Default
C-CATV  </v>
      </c>
      <c r="R109" s="11" t="str">
        <f t="shared" si="14"/>
        <v xml:space="preserve">-LAYER TR 0
C-CATV  </v>
      </c>
      <c r="S109" s="11" t="str">
        <f t="shared" si="15"/>
        <v xml:space="preserve">-LAYER D Civil - Sistema de televisión por cable
C-CATV  </v>
      </c>
    </row>
    <row r="110" spans="1:19" x14ac:dyDescent="0.45">
      <c r="A110" s="7">
        <v>0</v>
      </c>
      <c r="B110" s="11" t="s">
        <v>3036</v>
      </c>
      <c r="C110" s="11" t="s">
        <v>7</v>
      </c>
      <c r="D110" s="11" t="s">
        <v>1001</v>
      </c>
      <c r="E110" s="11" t="str">
        <f t="shared" si="8"/>
        <v>C-CATV-OVHD (Civil - Sistema de televisión por cable: aéreo)</v>
      </c>
      <c r="F110" s="19" t="s">
        <v>3798</v>
      </c>
      <c r="G110" s="19" t="s">
        <v>3797</v>
      </c>
      <c r="H110" s="19" t="s">
        <v>3811</v>
      </c>
      <c r="I110" s="10">
        <v>0</v>
      </c>
      <c r="J110" s="10" t="str">
        <f t="shared" si="9"/>
        <v>Civil - Sistema de televisión por cable: aéreo</v>
      </c>
      <c r="K110" s="11" t="s">
        <v>999</v>
      </c>
      <c r="L110" s="11" t="s">
        <v>7</v>
      </c>
      <c r="M110" s="11" t="s">
        <v>1000</v>
      </c>
      <c r="N110" s="18" t="str">
        <f t="shared" si="10"/>
        <v xml:space="preserve">-LAYER N C-CATV-OVHD </v>
      </c>
      <c r="O110" s="11" t="str">
        <f t="shared" si="11"/>
        <v xml:space="preserve">-LAYER C white C-CATV-OVHD </v>
      </c>
      <c r="P110" s="11" t="str">
        <f t="shared" si="12"/>
        <v xml:space="preserve">-LAYER L Continuous
C-CATV-OVHD  </v>
      </c>
      <c r="Q110" s="11" t="str">
        <f t="shared" si="13"/>
        <v xml:space="preserve">-LAYER LW Default
C-CATV-OVHD  </v>
      </c>
      <c r="R110" s="11" t="str">
        <f t="shared" si="14"/>
        <v xml:space="preserve">-LAYER TR 0
C-CATV-OVHD  </v>
      </c>
      <c r="S110" s="11" t="str">
        <f t="shared" si="15"/>
        <v xml:space="preserve">-LAYER D Civil - Sistema de televisión por cable: aéreo
C-CATV-OVHD  </v>
      </c>
    </row>
    <row r="111" spans="1:19" x14ac:dyDescent="0.45">
      <c r="A111" s="7">
        <v>0</v>
      </c>
      <c r="B111" s="11" t="s">
        <v>3037</v>
      </c>
      <c r="C111" s="11" t="s">
        <v>7</v>
      </c>
      <c r="D111" s="11" t="s">
        <v>1004</v>
      </c>
      <c r="E111" s="11" t="str">
        <f t="shared" si="8"/>
        <v>C-CATV-POLE (Civil - Sistema de televisión por cable: poste)</v>
      </c>
      <c r="F111" s="19" t="s">
        <v>3798</v>
      </c>
      <c r="G111" s="19" t="s">
        <v>3797</v>
      </c>
      <c r="H111" s="19" t="s">
        <v>3811</v>
      </c>
      <c r="I111" s="10">
        <v>0</v>
      </c>
      <c r="J111" s="10" t="str">
        <f t="shared" si="9"/>
        <v>Civil - Sistema de televisión por cable: poste</v>
      </c>
      <c r="K111" s="11" t="s">
        <v>1002</v>
      </c>
      <c r="L111" s="11" t="s">
        <v>7</v>
      </c>
      <c r="M111" s="11" t="s">
        <v>1003</v>
      </c>
      <c r="N111" s="18" t="str">
        <f t="shared" si="10"/>
        <v xml:space="preserve">-LAYER N C-CATV-POLE </v>
      </c>
      <c r="O111" s="11" t="str">
        <f t="shared" si="11"/>
        <v xml:space="preserve">-LAYER C white C-CATV-POLE </v>
      </c>
      <c r="P111" s="11" t="str">
        <f t="shared" si="12"/>
        <v xml:space="preserve">-LAYER L Continuous
C-CATV-POLE  </v>
      </c>
      <c r="Q111" s="11" t="str">
        <f t="shared" si="13"/>
        <v xml:space="preserve">-LAYER LW Default
C-CATV-POLE  </v>
      </c>
      <c r="R111" s="11" t="str">
        <f t="shared" si="14"/>
        <v xml:space="preserve">-LAYER TR 0
C-CATV-POLE  </v>
      </c>
      <c r="S111" s="11" t="str">
        <f t="shared" si="15"/>
        <v xml:space="preserve">-LAYER D Civil - Sistema de televisión por cable: poste
C-CATV-POLE  </v>
      </c>
    </row>
    <row r="112" spans="1:19" x14ac:dyDescent="0.45">
      <c r="A112" s="7">
        <v>0</v>
      </c>
      <c r="B112" s="11" t="s">
        <v>3038</v>
      </c>
      <c r="C112" s="11" t="s">
        <v>7</v>
      </c>
      <c r="D112" s="11" t="s">
        <v>1007</v>
      </c>
      <c r="E112" s="11" t="str">
        <f t="shared" si="8"/>
        <v>C-CATV-UGND (Civil - Sistema de televisión por cable: subterráneo)</v>
      </c>
      <c r="F112" s="19" t="s">
        <v>3798</v>
      </c>
      <c r="G112" s="19" t="s">
        <v>3797</v>
      </c>
      <c r="H112" s="19" t="s">
        <v>3811</v>
      </c>
      <c r="I112" s="10">
        <v>0</v>
      </c>
      <c r="J112" s="10" t="str">
        <f t="shared" si="9"/>
        <v>Civil - Sistema de televisión por cable: subterráneo</v>
      </c>
      <c r="K112" s="11" t="s">
        <v>1005</v>
      </c>
      <c r="L112" s="11" t="s">
        <v>7</v>
      </c>
      <c r="M112" s="11" t="s">
        <v>1006</v>
      </c>
      <c r="N112" s="18" t="str">
        <f t="shared" si="10"/>
        <v xml:space="preserve">-LAYER N C-CATV-UGND </v>
      </c>
      <c r="O112" s="11" t="str">
        <f t="shared" si="11"/>
        <v xml:space="preserve">-LAYER C white C-CATV-UGND </v>
      </c>
      <c r="P112" s="11" t="str">
        <f t="shared" si="12"/>
        <v xml:space="preserve">-LAYER L Continuous
C-CATV-UGND  </v>
      </c>
      <c r="Q112" s="11" t="str">
        <f t="shared" si="13"/>
        <v xml:space="preserve">-LAYER LW Default
C-CATV-UGND  </v>
      </c>
      <c r="R112" s="11" t="str">
        <f t="shared" si="14"/>
        <v xml:space="preserve">-LAYER TR 0
C-CATV-UGND  </v>
      </c>
      <c r="S112" s="11" t="str">
        <f t="shared" si="15"/>
        <v xml:space="preserve">-LAYER D Civil - Sistema de televisión por cable: subterráneo
C-CATV-UGND  </v>
      </c>
    </row>
    <row r="113" spans="1:19" x14ac:dyDescent="0.45">
      <c r="A113" s="7">
        <v>0</v>
      </c>
      <c r="B113" s="11" t="s">
        <v>3039</v>
      </c>
      <c r="C113" s="11" t="s">
        <v>7</v>
      </c>
      <c r="D113" s="11" t="s">
        <v>222</v>
      </c>
      <c r="E113" s="11" t="str">
        <f t="shared" si="8"/>
        <v>C-CEME (Civil - Cementerio)</v>
      </c>
      <c r="F113" s="19" t="s">
        <v>3798</v>
      </c>
      <c r="G113" s="19" t="s">
        <v>3797</v>
      </c>
      <c r="H113" s="19" t="s">
        <v>3811</v>
      </c>
      <c r="I113" s="10">
        <v>0</v>
      </c>
      <c r="J113" s="10" t="str">
        <f t="shared" si="9"/>
        <v>Civil - Cementerio</v>
      </c>
      <c r="K113" s="11" t="s">
        <v>1008</v>
      </c>
      <c r="L113" s="11" t="s">
        <v>7</v>
      </c>
      <c r="M113" s="11" t="s">
        <v>221</v>
      </c>
      <c r="N113" s="18" t="str">
        <f t="shared" si="10"/>
        <v xml:space="preserve">-LAYER N C-CEME </v>
      </c>
      <c r="O113" s="11" t="str">
        <f t="shared" si="11"/>
        <v xml:space="preserve">-LAYER C white C-CEME </v>
      </c>
      <c r="P113" s="11" t="str">
        <f t="shared" si="12"/>
        <v xml:space="preserve">-LAYER L Continuous
C-CEME  </v>
      </c>
      <c r="Q113" s="11" t="str">
        <f t="shared" si="13"/>
        <v xml:space="preserve">-LAYER LW Default
C-CEME  </v>
      </c>
      <c r="R113" s="11" t="str">
        <f t="shared" si="14"/>
        <v xml:space="preserve">-LAYER TR 0
C-CEME  </v>
      </c>
      <c r="S113" s="11" t="str">
        <f t="shared" si="15"/>
        <v xml:space="preserve">-LAYER D Civil - Cementerio
C-CEME  </v>
      </c>
    </row>
    <row r="114" spans="1:19" x14ac:dyDescent="0.45">
      <c r="A114" s="7">
        <v>0</v>
      </c>
      <c r="B114" s="11" t="s">
        <v>3040</v>
      </c>
      <c r="C114" s="11" t="s">
        <v>7</v>
      </c>
      <c r="D114" s="11" t="s">
        <v>225</v>
      </c>
      <c r="E114" s="11" t="str">
        <f t="shared" si="8"/>
        <v>C-CHAN (Civil - Canales navegables)</v>
      </c>
      <c r="F114" s="19" t="s">
        <v>3798</v>
      </c>
      <c r="G114" s="19" t="s">
        <v>3797</v>
      </c>
      <c r="H114" s="19" t="s">
        <v>3811</v>
      </c>
      <c r="I114" s="10">
        <v>0</v>
      </c>
      <c r="J114" s="10" t="str">
        <f t="shared" si="9"/>
        <v>Civil - Canales navegables</v>
      </c>
      <c r="K114" s="11" t="s">
        <v>1009</v>
      </c>
      <c r="L114" s="11" t="s">
        <v>7</v>
      </c>
      <c r="M114" s="11" t="s">
        <v>224</v>
      </c>
      <c r="N114" s="18" t="str">
        <f t="shared" si="10"/>
        <v xml:space="preserve">-LAYER N C-CHAN </v>
      </c>
      <c r="O114" s="11" t="str">
        <f t="shared" si="11"/>
        <v xml:space="preserve">-LAYER C white C-CHAN </v>
      </c>
      <c r="P114" s="11" t="str">
        <f t="shared" si="12"/>
        <v xml:space="preserve">-LAYER L Continuous
C-CHAN  </v>
      </c>
      <c r="Q114" s="11" t="str">
        <f t="shared" si="13"/>
        <v xml:space="preserve">-LAYER LW Default
C-CHAN  </v>
      </c>
      <c r="R114" s="11" t="str">
        <f t="shared" si="14"/>
        <v xml:space="preserve">-LAYER TR 0
C-CHAN  </v>
      </c>
      <c r="S114" s="11" t="str">
        <f t="shared" si="15"/>
        <v xml:space="preserve">-LAYER D Civil - Canales navegables
C-CHAN  </v>
      </c>
    </row>
    <row r="115" spans="1:19" x14ac:dyDescent="0.45">
      <c r="A115" s="7">
        <v>0</v>
      </c>
      <c r="B115" s="11" t="s">
        <v>3041</v>
      </c>
      <c r="C115" s="11" t="s">
        <v>7</v>
      </c>
      <c r="D115" s="11" t="s">
        <v>1012</v>
      </c>
      <c r="E115" s="11" t="str">
        <f t="shared" si="8"/>
        <v>C-CHAN-BWTR (Civil - Canales navegables: rompeolas)</v>
      </c>
      <c r="F115" s="19" t="s">
        <v>3798</v>
      </c>
      <c r="G115" s="19" t="s">
        <v>3797</v>
      </c>
      <c r="H115" s="19" t="s">
        <v>3811</v>
      </c>
      <c r="I115" s="10">
        <v>0</v>
      </c>
      <c r="J115" s="10" t="str">
        <f t="shared" si="9"/>
        <v>Civil - Canales navegables: rompeolas</v>
      </c>
      <c r="K115" s="11" t="s">
        <v>1010</v>
      </c>
      <c r="L115" s="11" t="s">
        <v>7</v>
      </c>
      <c r="M115" s="11" t="s">
        <v>1011</v>
      </c>
      <c r="N115" s="18" t="str">
        <f t="shared" si="10"/>
        <v xml:space="preserve">-LAYER N C-CHAN-BWTR </v>
      </c>
      <c r="O115" s="11" t="str">
        <f t="shared" si="11"/>
        <v xml:space="preserve">-LAYER C white C-CHAN-BWTR </v>
      </c>
      <c r="P115" s="11" t="str">
        <f t="shared" si="12"/>
        <v xml:space="preserve">-LAYER L Continuous
C-CHAN-BWTR  </v>
      </c>
      <c r="Q115" s="11" t="str">
        <f t="shared" si="13"/>
        <v xml:space="preserve">-LAYER LW Default
C-CHAN-BWTR  </v>
      </c>
      <c r="R115" s="11" t="str">
        <f t="shared" si="14"/>
        <v xml:space="preserve">-LAYER TR 0
C-CHAN-BWTR  </v>
      </c>
      <c r="S115" s="11" t="str">
        <f t="shared" si="15"/>
        <v xml:space="preserve">-LAYER D Civil - Canales navegables: rompeolas
C-CHAN-BWTR  </v>
      </c>
    </row>
    <row r="116" spans="1:19" x14ac:dyDescent="0.45">
      <c r="A116" s="7">
        <v>0</v>
      </c>
      <c r="B116" s="11" t="s">
        <v>3042</v>
      </c>
      <c r="C116" s="11" t="s">
        <v>7</v>
      </c>
      <c r="D116" s="11" t="s">
        <v>1015</v>
      </c>
      <c r="E116" s="11" t="str">
        <f t="shared" si="8"/>
        <v>C-CHAN-CNTR (Civil - Canales navegables: centro)</v>
      </c>
      <c r="F116" s="19" t="s">
        <v>3798</v>
      </c>
      <c r="G116" s="19" t="s">
        <v>3797</v>
      </c>
      <c r="H116" s="19" t="s">
        <v>3811</v>
      </c>
      <c r="I116" s="10">
        <v>0</v>
      </c>
      <c r="J116" s="10" t="str">
        <f t="shared" si="9"/>
        <v>Civil - Canales navegables: centro</v>
      </c>
      <c r="K116" s="11" t="s">
        <v>1013</v>
      </c>
      <c r="L116" s="11" t="s">
        <v>7</v>
      </c>
      <c r="M116" s="11" t="s">
        <v>1014</v>
      </c>
      <c r="N116" s="18" t="str">
        <f t="shared" si="10"/>
        <v xml:space="preserve">-LAYER N C-CHAN-CNTR </v>
      </c>
      <c r="O116" s="11" t="str">
        <f t="shared" si="11"/>
        <v xml:space="preserve">-LAYER C white C-CHAN-CNTR </v>
      </c>
      <c r="P116" s="11" t="str">
        <f t="shared" si="12"/>
        <v xml:space="preserve">-LAYER L Continuous
C-CHAN-CNTR  </v>
      </c>
      <c r="Q116" s="11" t="str">
        <f t="shared" si="13"/>
        <v xml:space="preserve">-LAYER LW Default
C-CHAN-CNTR  </v>
      </c>
      <c r="R116" s="11" t="str">
        <f t="shared" si="14"/>
        <v xml:space="preserve">-LAYER TR 0
C-CHAN-CNTR  </v>
      </c>
      <c r="S116" s="11" t="str">
        <f t="shared" si="15"/>
        <v xml:space="preserve">-LAYER D Civil - Canales navegables: centro
C-CHAN-CNTR  </v>
      </c>
    </row>
    <row r="117" spans="1:19" x14ac:dyDescent="0.45">
      <c r="A117" s="7">
        <v>0</v>
      </c>
      <c r="B117" s="11" t="s">
        <v>3043</v>
      </c>
      <c r="C117" s="11" t="s">
        <v>7</v>
      </c>
      <c r="D117" s="11" t="s">
        <v>1018</v>
      </c>
      <c r="E117" s="11" t="str">
        <f t="shared" si="8"/>
        <v>C-CHAN-DACL (Civil - Canales navegables: límites de canales no autorizados, fondeaderos, etc.)</v>
      </c>
      <c r="F117" s="19" t="s">
        <v>3798</v>
      </c>
      <c r="G117" s="19" t="s">
        <v>3797</v>
      </c>
      <c r="H117" s="19" t="s">
        <v>3811</v>
      </c>
      <c r="I117" s="10">
        <v>0</v>
      </c>
      <c r="J117" s="10" t="str">
        <f t="shared" si="9"/>
        <v>Civil - Canales navegables: límites de canales no autorizados, fondeaderos, etc.</v>
      </c>
      <c r="K117" s="11" t="s">
        <v>1016</v>
      </c>
      <c r="L117" s="11" t="s">
        <v>7</v>
      </c>
      <c r="M117" s="11" t="s">
        <v>1017</v>
      </c>
      <c r="N117" s="18" t="str">
        <f t="shared" si="10"/>
        <v xml:space="preserve">-LAYER N C-CHAN-DACL </v>
      </c>
      <c r="O117" s="11" t="str">
        <f t="shared" si="11"/>
        <v xml:space="preserve">-LAYER C white C-CHAN-DACL </v>
      </c>
      <c r="P117" s="11" t="str">
        <f t="shared" si="12"/>
        <v xml:space="preserve">-LAYER L Continuous
C-CHAN-DACL  </v>
      </c>
      <c r="Q117" s="11" t="str">
        <f t="shared" si="13"/>
        <v xml:space="preserve">-LAYER LW Default
C-CHAN-DACL  </v>
      </c>
      <c r="R117" s="11" t="str">
        <f t="shared" si="14"/>
        <v xml:space="preserve">-LAYER TR 0
C-CHAN-DACL  </v>
      </c>
      <c r="S117" s="11" t="str">
        <f t="shared" si="15"/>
        <v xml:space="preserve">-LAYER D Civil - Canales navegables: límites de canales no autorizados, fondeaderos, etc.
C-CHAN-DACL  </v>
      </c>
    </row>
    <row r="118" spans="1:19" x14ac:dyDescent="0.45">
      <c r="A118" s="7">
        <v>0</v>
      </c>
      <c r="B118" s="11" t="s">
        <v>3044</v>
      </c>
      <c r="C118" s="11" t="s">
        <v>7</v>
      </c>
      <c r="D118" s="11" t="s">
        <v>1021</v>
      </c>
      <c r="E118" s="11" t="str">
        <f t="shared" si="8"/>
        <v>C-CHAN-DOCK (Civil - Canales navegables: cubiertas, muelles, flotadores, embarcaderos)</v>
      </c>
      <c r="F118" s="19" t="s">
        <v>3798</v>
      </c>
      <c r="G118" s="19" t="s">
        <v>3797</v>
      </c>
      <c r="H118" s="19" t="s">
        <v>3811</v>
      </c>
      <c r="I118" s="10">
        <v>0</v>
      </c>
      <c r="J118" s="10" t="str">
        <f t="shared" si="9"/>
        <v>Civil - Canales navegables: cubiertas, muelles, flotadores, embarcaderos</v>
      </c>
      <c r="K118" s="11" t="s">
        <v>1019</v>
      </c>
      <c r="L118" s="11" t="s">
        <v>7</v>
      </c>
      <c r="M118" s="11" t="s">
        <v>1020</v>
      </c>
      <c r="N118" s="18" t="str">
        <f t="shared" si="10"/>
        <v xml:space="preserve">-LAYER N C-CHAN-DOCK </v>
      </c>
      <c r="O118" s="11" t="str">
        <f t="shared" si="11"/>
        <v xml:space="preserve">-LAYER C white C-CHAN-DOCK </v>
      </c>
      <c r="P118" s="11" t="str">
        <f t="shared" si="12"/>
        <v xml:space="preserve">-LAYER L Continuous
C-CHAN-DOCK  </v>
      </c>
      <c r="Q118" s="11" t="str">
        <f t="shared" si="13"/>
        <v xml:space="preserve">-LAYER LW Default
C-CHAN-DOCK  </v>
      </c>
      <c r="R118" s="11" t="str">
        <f t="shared" si="14"/>
        <v xml:space="preserve">-LAYER TR 0
C-CHAN-DOCK  </v>
      </c>
      <c r="S118" s="11" t="str">
        <f t="shared" si="15"/>
        <v xml:space="preserve">-LAYER D Civil - Canales navegables: cubiertas, muelles, flotadores, embarcaderos
C-CHAN-DOCK  </v>
      </c>
    </row>
    <row r="119" spans="1:19" x14ac:dyDescent="0.45">
      <c r="A119" s="7">
        <v>0</v>
      </c>
      <c r="B119" s="11" t="s">
        <v>3045</v>
      </c>
      <c r="C119" s="11" t="s">
        <v>7</v>
      </c>
      <c r="D119" s="11" t="s">
        <v>1024</v>
      </c>
      <c r="E119" s="11" t="str">
        <f t="shared" si="8"/>
        <v>C-CHAN-NAID (Civil - Canales navegables: ayudas a la navegación)</v>
      </c>
      <c r="F119" s="19" t="s">
        <v>3798</v>
      </c>
      <c r="G119" s="19" t="s">
        <v>3797</v>
      </c>
      <c r="H119" s="19" t="s">
        <v>3811</v>
      </c>
      <c r="I119" s="10">
        <v>0</v>
      </c>
      <c r="J119" s="10" t="str">
        <f t="shared" si="9"/>
        <v>Civil - Canales navegables: ayudas a la navegación</v>
      </c>
      <c r="K119" s="11" t="s">
        <v>1022</v>
      </c>
      <c r="L119" s="11" t="s">
        <v>7</v>
      </c>
      <c r="M119" s="11" t="s">
        <v>1023</v>
      </c>
      <c r="N119" s="18" t="str">
        <f t="shared" si="10"/>
        <v xml:space="preserve">-LAYER N C-CHAN-NAID </v>
      </c>
      <c r="O119" s="11" t="str">
        <f t="shared" si="11"/>
        <v xml:space="preserve">-LAYER C white C-CHAN-NAID </v>
      </c>
      <c r="P119" s="11" t="str">
        <f t="shared" si="12"/>
        <v xml:space="preserve">-LAYER L Continuous
C-CHAN-NAID  </v>
      </c>
      <c r="Q119" s="11" t="str">
        <f t="shared" si="13"/>
        <v xml:space="preserve">-LAYER LW Default
C-CHAN-NAID  </v>
      </c>
      <c r="R119" s="11" t="str">
        <f t="shared" si="14"/>
        <v xml:space="preserve">-LAYER TR 0
C-CHAN-NAID  </v>
      </c>
      <c r="S119" s="11" t="str">
        <f t="shared" si="15"/>
        <v xml:space="preserve">-LAYER D Civil - Canales navegables: ayudas a la navegación
C-CHAN-NAID  </v>
      </c>
    </row>
    <row r="120" spans="1:19" x14ac:dyDescent="0.45">
      <c r="A120" s="7">
        <v>0</v>
      </c>
      <c r="B120" s="11" t="s">
        <v>3046</v>
      </c>
      <c r="C120" s="11" t="s">
        <v>7</v>
      </c>
      <c r="D120" s="11" t="s">
        <v>258</v>
      </c>
      <c r="E120" s="11" t="str">
        <f t="shared" si="8"/>
        <v>C-COMM (Civil - Comunicaciones)</v>
      </c>
      <c r="F120" s="19" t="s">
        <v>3798</v>
      </c>
      <c r="G120" s="19" t="s">
        <v>3797</v>
      </c>
      <c r="H120" s="19" t="s">
        <v>3811</v>
      </c>
      <c r="I120" s="10">
        <v>0</v>
      </c>
      <c r="J120" s="10" t="str">
        <f t="shared" si="9"/>
        <v>Civil - Comunicaciones</v>
      </c>
      <c r="K120" s="11" t="s">
        <v>1025</v>
      </c>
      <c r="L120" s="11" t="s">
        <v>7</v>
      </c>
      <c r="M120" s="11" t="s">
        <v>257</v>
      </c>
      <c r="N120" s="18" t="str">
        <f t="shared" si="10"/>
        <v xml:space="preserve">-LAYER N C-COMM </v>
      </c>
      <c r="O120" s="11" t="str">
        <f t="shared" si="11"/>
        <v xml:space="preserve">-LAYER C white C-COMM </v>
      </c>
      <c r="P120" s="11" t="str">
        <f t="shared" si="12"/>
        <v xml:space="preserve">-LAYER L Continuous
C-COMM  </v>
      </c>
      <c r="Q120" s="11" t="str">
        <f t="shared" si="13"/>
        <v xml:space="preserve">-LAYER LW Default
C-COMM  </v>
      </c>
      <c r="R120" s="11" t="str">
        <f t="shared" si="14"/>
        <v xml:space="preserve">-LAYER TR 0
C-COMM  </v>
      </c>
      <c r="S120" s="11" t="str">
        <f t="shared" si="15"/>
        <v xml:space="preserve">-LAYER D Civil - Comunicaciones
C-COMM  </v>
      </c>
    </row>
    <row r="121" spans="1:19" x14ac:dyDescent="0.45">
      <c r="A121" s="7">
        <v>0</v>
      </c>
      <c r="B121" s="11" t="s">
        <v>3047</v>
      </c>
      <c r="C121" s="11" t="s">
        <v>7</v>
      </c>
      <c r="D121" s="11" t="s">
        <v>1028</v>
      </c>
      <c r="E121" s="11" t="str">
        <f t="shared" si="8"/>
        <v>C-COMM-OVHD (Civil - Comunicaciones: aéreas)</v>
      </c>
      <c r="F121" s="19" t="s">
        <v>3798</v>
      </c>
      <c r="G121" s="19" t="s">
        <v>3797</v>
      </c>
      <c r="H121" s="19" t="s">
        <v>3811</v>
      </c>
      <c r="I121" s="10">
        <v>0</v>
      </c>
      <c r="J121" s="10" t="str">
        <f t="shared" si="9"/>
        <v>Civil - Comunicaciones: aéreas</v>
      </c>
      <c r="K121" s="11" t="s">
        <v>1026</v>
      </c>
      <c r="L121" s="11" t="s">
        <v>7</v>
      </c>
      <c r="M121" s="11" t="s">
        <v>1027</v>
      </c>
      <c r="N121" s="18" t="str">
        <f t="shared" si="10"/>
        <v xml:space="preserve">-LAYER N C-COMM-OVHD </v>
      </c>
      <c r="O121" s="11" t="str">
        <f t="shared" si="11"/>
        <v xml:space="preserve">-LAYER C white C-COMM-OVHD </v>
      </c>
      <c r="P121" s="11" t="str">
        <f t="shared" si="12"/>
        <v xml:space="preserve">-LAYER L Continuous
C-COMM-OVHD  </v>
      </c>
      <c r="Q121" s="11" t="str">
        <f t="shared" si="13"/>
        <v xml:space="preserve">-LAYER LW Default
C-COMM-OVHD  </v>
      </c>
      <c r="R121" s="11" t="str">
        <f t="shared" si="14"/>
        <v xml:space="preserve">-LAYER TR 0
C-COMM-OVHD  </v>
      </c>
      <c r="S121" s="11" t="str">
        <f t="shared" si="15"/>
        <v xml:space="preserve">-LAYER D Civil - Comunicaciones: aéreas
C-COMM-OVHD  </v>
      </c>
    </row>
    <row r="122" spans="1:19" x14ac:dyDescent="0.45">
      <c r="A122" s="7">
        <v>0</v>
      </c>
      <c r="B122" s="11" t="s">
        <v>3048</v>
      </c>
      <c r="C122" s="11" t="s">
        <v>7</v>
      </c>
      <c r="D122" s="11" t="s">
        <v>1031</v>
      </c>
      <c r="E122" s="11" t="str">
        <f t="shared" si="8"/>
        <v>C-COMM-POLE (Civil - Comunicaciones: poste)</v>
      </c>
      <c r="F122" s="19" t="s">
        <v>3798</v>
      </c>
      <c r="G122" s="19" t="s">
        <v>3797</v>
      </c>
      <c r="H122" s="19" t="s">
        <v>3811</v>
      </c>
      <c r="I122" s="10">
        <v>0</v>
      </c>
      <c r="J122" s="10" t="str">
        <f t="shared" si="9"/>
        <v>Civil - Comunicaciones: poste</v>
      </c>
      <c r="K122" s="11" t="s">
        <v>1029</v>
      </c>
      <c r="L122" s="11" t="s">
        <v>7</v>
      </c>
      <c r="M122" s="11" t="s">
        <v>1030</v>
      </c>
      <c r="N122" s="18" t="str">
        <f t="shared" si="10"/>
        <v xml:space="preserve">-LAYER N C-COMM-POLE </v>
      </c>
      <c r="O122" s="11" t="str">
        <f t="shared" si="11"/>
        <v xml:space="preserve">-LAYER C white C-COMM-POLE </v>
      </c>
      <c r="P122" s="11" t="str">
        <f t="shared" si="12"/>
        <v xml:space="preserve">-LAYER L Continuous
C-COMM-POLE  </v>
      </c>
      <c r="Q122" s="11" t="str">
        <f t="shared" si="13"/>
        <v xml:space="preserve">-LAYER LW Default
C-COMM-POLE  </v>
      </c>
      <c r="R122" s="11" t="str">
        <f t="shared" si="14"/>
        <v xml:space="preserve">-LAYER TR 0
C-COMM-POLE  </v>
      </c>
      <c r="S122" s="11" t="str">
        <f t="shared" si="15"/>
        <v xml:space="preserve">-LAYER D Civil - Comunicaciones: poste
C-COMM-POLE  </v>
      </c>
    </row>
    <row r="123" spans="1:19" x14ac:dyDescent="0.45">
      <c r="A123" s="7">
        <v>0</v>
      </c>
      <c r="B123" s="11" t="s">
        <v>3049</v>
      </c>
      <c r="C123" s="11" t="s">
        <v>7</v>
      </c>
      <c r="D123" s="11" t="s">
        <v>1034</v>
      </c>
      <c r="E123" s="11" t="str">
        <f t="shared" si="8"/>
        <v>C- COMM-UGND (Civil - Comunicaciones: subterráneas)</v>
      </c>
      <c r="F123" s="19" t="s">
        <v>3798</v>
      </c>
      <c r="G123" s="19" t="s">
        <v>3797</v>
      </c>
      <c r="H123" s="19" t="s">
        <v>3811</v>
      </c>
      <c r="I123" s="10">
        <v>0</v>
      </c>
      <c r="J123" s="10" t="str">
        <f t="shared" si="9"/>
        <v>Civil - Comunicaciones: subterráneas</v>
      </c>
      <c r="K123" s="11" t="s">
        <v>1032</v>
      </c>
      <c r="L123" s="11" t="s">
        <v>7</v>
      </c>
      <c r="M123" s="11" t="s">
        <v>1033</v>
      </c>
      <c r="N123" s="18" t="str">
        <f t="shared" si="10"/>
        <v xml:space="preserve">-LAYER N C- COMM-UGND </v>
      </c>
      <c r="O123" s="11" t="str">
        <f t="shared" si="11"/>
        <v xml:space="preserve">-LAYER C white C- COMM-UGND </v>
      </c>
      <c r="P123" s="11" t="str">
        <f t="shared" si="12"/>
        <v xml:space="preserve">-LAYER L Continuous
C- COMM-UGND  </v>
      </c>
      <c r="Q123" s="11" t="str">
        <f t="shared" si="13"/>
        <v xml:space="preserve">-LAYER LW Default
C- COMM-UGND  </v>
      </c>
      <c r="R123" s="11" t="str">
        <f t="shared" si="14"/>
        <v xml:space="preserve">-LAYER TR 0
C- COMM-UGND  </v>
      </c>
      <c r="S123" s="11" t="str">
        <f t="shared" si="15"/>
        <v xml:space="preserve">-LAYER D Civil - Comunicaciones: subterráneas
C- COMM-UGND  </v>
      </c>
    </row>
    <row r="124" spans="1:19" x14ac:dyDescent="0.45">
      <c r="A124" s="7">
        <v>1</v>
      </c>
      <c r="B124" s="11" t="s">
        <v>3050</v>
      </c>
      <c r="C124" s="11" t="s">
        <v>7</v>
      </c>
      <c r="D124" s="11" t="s">
        <v>273</v>
      </c>
      <c r="E124" s="11" t="str">
        <f t="shared" si="8"/>
        <v>C-CTRL (Civil - Puntos de control)</v>
      </c>
      <c r="F124" s="19" t="s">
        <v>3798</v>
      </c>
      <c r="G124" s="19" t="s">
        <v>3797</v>
      </c>
      <c r="H124" s="19" t="s">
        <v>3811</v>
      </c>
      <c r="I124" s="10">
        <v>0</v>
      </c>
      <c r="J124" s="10" t="str">
        <f t="shared" si="9"/>
        <v>Civil - Puntos de control</v>
      </c>
      <c r="K124" s="11" t="s">
        <v>1035</v>
      </c>
      <c r="L124" s="11" t="s">
        <v>7</v>
      </c>
      <c r="M124" s="11" t="s">
        <v>272</v>
      </c>
      <c r="N124" s="18" t="str">
        <f t="shared" si="10"/>
        <v xml:space="preserve">-LAYER N C-CTRL </v>
      </c>
      <c r="O124" s="11" t="str">
        <f t="shared" si="11"/>
        <v xml:space="preserve">-LAYER C white C-CTRL </v>
      </c>
      <c r="P124" s="11" t="str">
        <f t="shared" si="12"/>
        <v xml:space="preserve">-LAYER L Continuous
C-CTRL  </v>
      </c>
      <c r="Q124" s="11" t="str">
        <f t="shared" si="13"/>
        <v xml:space="preserve">-LAYER LW Default
C-CTRL  </v>
      </c>
      <c r="R124" s="11" t="str">
        <f t="shared" si="14"/>
        <v xml:space="preserve">-LAYER TR 0
C-CTRL  </v>
      </c>
      <c r="S124" s="11" t="str">
        <f t="shared" si="15"/>
        <v xml:space="preserve">-LAYER D Civil - Puntos de control
C-CTRL  </v>
      </c>
    </row>
    <row r="125" spans="1:19" x14ac:dyDescent="0.45">
      <c r="A125" s="7">
        <v>0</v>
      </c>
      <c r="B125" s="11" t="s">
        <v>3051</v>
      </c>
      <c r="C125" s="11" t="s">
        <v>7</v>
      </c>
      <c r="D125" s="11" t="s">
        <v>1038</v>
      </c>
      <c r="E125" s="11" t="str">
        <f t="shared" si="8"/>
        <v>C-CTR L-BMRK (Civil - Puntos de control: puntos de referencia)</v>
      </c>
      <c r="F125" s="19" t="s">
        <v>3798</v>
      </c>
      <c r="G125" s="19" t="s">
        <v>3797</v>
      </c>
      <c r="H125" s="19" t="s">
        <v>3811</v>
      </c>
      <c r="I125" s="10">
        <v>0</v>
      </c>
      <c r="J125" s="10" t="str">
        <f t="shared" si="9"/>
        <v>Civil - Puntos de control: puntos de referencia</v>
      </c>
      <c r="K125" s="11" t="s">
        <v>1036</v>
      </c>
      <c r="L125" s="11" t="s">
        <v>7</v>
      </c>
      <c r="M125" s="11" t="s">
        <v>1037</v>
      </c>
      <c r="N125" s="18" t="str">
        <f t="shared" si="10"/>
        <v xml:space="preserve">-LAYER N C-CTR L-BMRK </v>
      </c>
      <c r="O125" s="11" t="str">
        <f t="shared" si="11"/>
        <v xml:space="preserve">-LAYER C white C-CTR L-BMRK </v>
      </c>
      <c r="P125" s="11" t="str">
        <f t="shared" si="12"/>
        <v xml:space="preserve">-LAYER L Continuous
C-CTR L-BMRK  </v>
      </c>
      <c r="Q125" s="11" t="str">
        <f t="shared" si="13"/>
        <v xml:space="preserve">-LAYER LW Default
C-CTR L-BMRK  </v>
      </c>
      <c r="R125" s="11" t="str">
        <f t="shared" si="14"/>
        <v xml:space="preserve">-LAYER TR 0
C-CTR L-BMRK  </v>
      </c>
      <c r="S125" s="11" t="str">
        <f t="shared" si="15"/>
        <v xml:space="preserve">-LAYER D Civil - Puntos de control: puntos de referencia
C-CTR L-BMRK  </v>
      </c>
    </row>
    <row r="126" spans="1:19" x14ac:dyDescent="0.45">
      <c r="A126" s="7">
        <v>0</v>
      </c>
      <c r="B126" s="11" t="s">
        <v>3052</v>
      </c>
      <c r="C126" s="11" t="s">
        <v>7</v>
      </c>
      <c r="D126" s="11" t="s">
        <v>1041</v>
      </c>
      <c r="E126" s="11" t="str">
        <f t="shared" si="8"/>
        <v>C-CTRL-FLYS (Civil - Puntos de control: estación de vuelo)</v>
      </c>
      <c r="F126" s="19" t="s">
        <v>3798</v>
      </c>
      <c r="G126" s="19" t="s">
        <v>3797</v>
      </c>
      <c r="H126" s="19" t="s">
        <v>3811</v>
      </c>
      <c r="I126" s="10">
        <v>0</v>
      </c>
      <c r="J126" s="10" t="str">
        <f t="shared" si="9"/>
        <v>Civil - Puntos de control: estación de vuelo</v>
      </c>
      <c r="K126" s="11" t="s">
        <v>1039</v>
      </c>
      <c r="L126" s="11" t="s">
        <v>7</v>
      </c>
      <c r="M126" s="11" t="s">
        <v>1040</v>
      </c>
      <c r="N126" s="18" t="str">
        <f t="shared" si="10"/>
        <v xml:space="preserve">-LAYER N C-CTRL-FLYS </v>
      </c>
      <c r="O126" s="11" t="str">
        <f t="shared" si="11"/>
        <v xml:space="preserve">-LAYER C white C-CTRL-FLYS </v>
      </c>
      <c r="P126" s="11" t="str">
        <f t="shared" si="12"/>
        <v xml:space="preserve">-LAYER L Continuous
C-CTRL-FLYS  </v>
      </c>
      <c r="Q126" s="11" t="str">
        <f t="shared" si="13"/>
        <v xml:space="preserve">-LAYER LW Default
C-CTRL-FLYS  </v>
      </c>
      <c r="R126" s="11" t="str">
        <f t="shared" si="14"/>
        <v xml:space="preserve">-LAYER TR 0
C-CTRL-FLYS  </v>
      </c>
      <c r="S126" s="11" t="str">
        <f t="shared" si="15"/>
        <v xml:space="preserve">-LAYER D Civil - Puntos de control: estación de vuelo
C-CTRL-FLYS  </v>
      </c>
    </row>
    <row r="127" spans="1:19" x14ac:dyDescent="0.45">
      <c r="A127" s="7">
        <v>0</v>
      </c>
      <c r="B127" s="11" t="s">
        <v>3053</v>
      </c>
      <c r="C127" s="11" t="s">
        <v>7</v>
      </c>
      <c r="D127" s="11" t="s">
        <v>1044</v>
      </c>
      <c r="E127" s="11" t="str">
        <f t="shared" si="8"/>
        <v>C-CTRL-GRID (Civil - Puntos de control: cuadrícula)</v>
      </c>
      <c r="F127" s="19" t="s">
        <v>3798</v>
      </c>
      <c r="G127" s="19" t="s">
        <v>3797</v>
      </c>
      <c r="H127" s="19" t="s">
        <v>3811</v>
      </c>
      <c r="I127" s="10">
        <v>0</v>
      </c>
      <c r="J127" s="10" t="str">
        <f t="shared" si="9"/>
        <v>Civil - Puntos de control: cuadrícula</v>
      </c>
      <c r="K127" s="11" t="s">
        <v>1042</v>
      </c>
      <c r="L127" s="11" t="s">
        <v>7</v>
      </c>
      <c r="M127" s="11" t="s">
        <v>1043</v>
      </c>
      <c r="N127" s="18" t="str">
        <f t="shared" si="10"/>
        <v xml:space="preserve">-LAYER N C-CTRL-GRID </v>
      </c>
      <c r="O127" s="11" t="str">
        <f t="shared" si="11"/>
        <v xml:space="preserve">-LAYER C white C-CTRL-GRID </v>
      </c>
      <c r="P127" s="11" t="str">
        <f t="shared" si="12"/>
        <v xml:space="preserve">-LAYER L Continuous
C-CTRL-GRID  </v>
      </c>
      <c r="Q127" s="11" t="str">
        <f t="shared" si="13"/>
        <v xml:space="preserve">-LAYER LW Default
C-CTRL-GRID  </v>
      </c>
      <c r="R127" s="11" t="str">
        <f t="shared" si="14"/>
        <v xml:space="preserve">-LAYER TR 0
C-CTRL-GRID  </v>
      </c>
      <c r="S127" s="11" t="str">
        <f t="shared" si="15"/>
        <v xml:space="preserve">-LAYER D Civil - Puntos de control: cuadrícula
C-CTRL-GRID  </v>
      </c>
    </row>
    <row r="128" spans="1:19" x14ac:dyDescent="0.45">
      <c r="A128" s="7">
        <v>0</v>
      </c>
      <c r="B128" s="11" t="s">
        <v>3054</v>
      </c>
      <c r="C128" s="11" t="s">
        <v>7</v>
      </c>
      <c r="D128" s="11" t="s">
        <v>1047</v>
      </c>
      <c r="E128" s="11" t="str">
        <f t="shared" si="8"/>
        <v>C-CTRL-HORZ (Civil - Puntos de control: horizontal)</v>
      </c>
      <c r="F128" s="19" t="s">
        <v>3798</v>
      </c>
      <c r="G128" s="19" t="s">
        <v>3797</v>
      </c>
      <c r="H128" s="19" t="s">
        <v>3811</v>
      </c>
      <c r="I128" s="10">
        <v>0</v>
      </c>
      <c r="J128" s="10" t="str">
        <f t="shared" si="9"/>
        <v>Civil - Puntos de control: horizontal</v>
      </c>
      <c r="K128" s="11" t="s">
        <v>1045</v>
      </c>
      <c r="L128" s="11" t="s">
        <v>7</v>
      </c>
      <c r="M128" s="11" t="s">
        <v>1046</v>
      </c>
      <c r="N128" s="18" t="str">
        <f t="shared" si="10"/>
        <v xml:space="preserve">-LAYER N C-CTRL-HORZ </v>
      </c>
      <c r="O128" s="11" t="str">
        <f t="shared" si="11"/>
        <v xml:space="preserve">-LAYER C white C-CTRL-HORZ </v>
      </c>
      <c r="P128" s="11" t="str">
        <f t="shared" si="12"/>
        <v xml:space="preserve">-LAYER L Continuous
C-CTRL-HORZ  </v>
      </c>
      <c r="Q128" s="11" t="str">
        <f t="shared" si="13"/>
        <v xml:space="preserve">-LAYER LW Default
C-CTRL-HORZ  </v>
      </c>
      <c r="R128" s="11" t="str">
        <f t="shared" si="14"/>
        <v xml:space="preserve">-LAYER TR 0
C-CTRL-HORZ  </v>
      </c>
      <c r="S128" s="11" t="str">
        <f t="shared" si="15"/>
        <v xml:space="preserve">-LAYER D Civil - Puntos de control: horizontal
C-CTRL-HORZ  </v>
      </c>
    </row>
    <row r="129" spans="1:19" x14ac:dyDescent="0.45">
      <c r="A129" s="7">
        <v>0</v>
      </c>
      <c r="B129" s="11" t="s">
        <v>3055</v>
      </c>
      <c r="C129" s="11" t="s">
        <v>7</v>
      </c>
      <c r="D129" s="11" t="s">
        <v>1050</v>
      </c>
      <c r="E129" s="11" t="str">
        <f t="shared" si="8"/>
        <v>C-CTRL-HVPT (Civil - Puntos de control: horizontal/vertical)</v>
      </c>
      <c r="F129" s="19" t="s">
        <v>3798</v>
      </c>
      <c r="G129" s="19" t="s">
        <v>3797</v>
      </c>
      <c r="H129" s="19" t="s">
        <v>3811</v>
      </c>
      <c r="I129" s="10">
        <v>0</v>
      </c>
      <c r="J129" s="10" t="str">
        <f t="shared" si="9"/>
        <v>Civil - Puntos de control: horizontal/vertical</v>
      </c>
      <c r="K129" s="11" t="s">
        <v>1048</v>
      </c>
      <c r="L129" s="11" t="s">
        <v>7</v>
      </c>
      <c r="M129" s="11" t="s">
        <v>1049</v>
      </c>
      <c r="N129" s="18" t="str">
        <f t="shared" si="10"/>
        <v xml:space="preserve">-LAYER N C-CTRL-HVPT </v>
      </c>
      <c r="O129" s="11" t="str">
        <f t="shared" si="11"/>
        <v xml:space="preserve">-LAYER C white C-CTRL-HVPT </v>
      </c>
      <c r="P129" s="11" t="str">
        <f t="shared" si="12"/>
        <v xml:space="preserve">-LAYER L Continuous
C-CTRL-HVPT  </v>
      </c>
      <c r="Q129" s="11" t="str">
        <f t="shared" si="13"/>
        <v xml:space="preserve">-LAYER LW Default
C-CTRL-HVPT  </v>
      </c>
      <c r="R129" s="11" t="str">
        <f t="shared" si="14"/>
        <v xml:space="preserve">-LAYER TR 0
C-CTRL-HVPT  </v>
      </c>
      <c r="S129" s="11" t="str">
        <f t="shared" si="15"/>
        <v xml:space="preserve">-LAYER D Civil - Puntos de control: horizontal/vertical
C-CTRL-HVPT  </v>
      </c>
    </row>
    <row r="130" spans="1:19" x14ac:dyDescent="0.45">
      <c r="A130" s="7">
        <v>0</v>
      </c>
      <c r="B130" s="11" t="s">
        <v>3056</v>
      </c>
      <c r="C130" s="11" t="s">
        <v>7</v>
      </c>
      <c r="D130" s="11" t="s">
        <v>1053</v>
      </c>
      <c r="E130" s="11" t="str">
        <f t="shared" si="8"/>
        <v>C-CTRL-PNPT (Civil - Puntos de control: puntos de panel)</v>
      </c>
      <c r="F130" s="19" t="s">
        <v>3798</v>
      </c>
      <c r="G130" s="19" t="s">
        <v>3797</v>
      </c>
      <c r="H130" s="19" t="s">
        <v>3811</v>
      </c>
      <c r="I130" s="10">
        <v>0</v>
      </c>
      <c r="J130" s="10" t="str">
        <f t="shared" si="9"/>
        <v>Civil - Puntos de control: puntos de panel</v>
      </c>
      <c r="K130" s="11" t="s">
        <v>1051</v>
      </c>
      <c r="L130" s="11" t="s">
        <v>7</v>
      </c>
      <c r="M130" s="11" t="s">
        <v>1052</v>
      </c>
      <c r="N130" s="18" t="str">
        <f t="shared" si="10"/>
        <v xml:space="preserve">-LAYER N C-CTRL-PNPT </v>
      </c>
      <c r="O130" s="11" t="str">
        <f t="shared" si="11"/>
        <v xml:space="preserve">-LAYER C white C-CTRL-PNPT </v>
      </c>
      <c r="P130" s="11" t="str">
        <f t="shared" si="12"/>
        <v xml:space="preserve">-LAYER L Continuous
C-CTRL-PNPT  </v>
      </c>
      <c r="Q130" s="11" t="str">
        <f t="shared" si="13"/>
        <v xml:space="preserve">-LAYER LW Default
C-CTRL-PNPT  </v>
      </c>
      <c r="R130" s="11" t="str">
        <f t="shared" si="14"/>
        <v xml:space="preserve">-LAYER TR 0
C-CTRL-PNPT  </v>
      </c>
      <c r="S130" s="11" t="str">
        <f t="shared" si="15"/>
        <v xml:space="preserve">-LAYER D Civil - Puntos de control: puntos de panel
C-CTRL-PNPT  </v>
      </c>
    </row>
    <row r="131" spans="1:19" x14ac:dyDescent="0.45">
      <c r="A131" s="7">
        <v>0</v>
      </c>
      <c r="B131" s="11" t="s">
        <v>3057</v>
      </c>
      <c r="C131" s="11" t="s">
        <v>7</v>
      </c>
      <c r="D131" s="11" t="s">
        <v>1056</v>
      </c>
      <c r="E131" s="11" t="str">
        <f t="shared" si="8"/>
        <v>C-CTRL-TRAV (Civil - Puntos de control: transversal)</v>
      </c>
      <c r="F131" s="19" t="s">
        <v>3798</v>
      </c>
      <c r="G131" s="19" t="s">
        <v>3797</v>
      </c>
      <c r="H131" s="19" t="s">
        <v>3811</v>
      </c>
      <c r="I131" s="10">
        <v>0</v>
      </c>
      <c r="J131" s="10" t="str">
        <f t="shared" si="9"/>
        <v>Civil - Puntos de control: transversal</v>
      </c>
      <c r="K131" s="11" t="s">
        <v>1054</v>
      </c>
      <c r="L131" s="11" t="s">
        <v>7</v>
      </c>
      <c r="M131" s="11" t="s">
        <v>1055</v>
      </c>
      <c r="N131" s="18" t="str">
        <f t="shared" si="10"/>
        <v xml:space="preserve">-LAYER N C-CTRL-TRAV </v>
      </c>
      <c r="O131" s="11" t="str">
        <f t="shared" si="11"/>
        <v xml:space="preserve">-LAYER C white C-CTRL-TRAV </v>
      </c>
      <c r="P131" s="11" t="str">
        <f t="shared" si="12"/>
        <v xml:space="preserve">-LAYER L Continuous
C-CTRL-TRAV  </v>
      </c>
      <c r="Q131" s="11" t="str">
        <f t="shared" si="13"/>
        <v xml:space="preserve">-LAYER LW Default
C-CTRL-TRAV  </v>
      </c>
      <c r="R131" s="11" t="str">
        <f t="shared" si="14"/>
        <v xml:space="preserve">-LAYER TR 0
C-CTRL-TRAV  </v>
      </c>
      <c r="S131" s="11" t="str">
        <f t="shared" si="15"/>
        <v xml:space="preserve">-LAYER D Civil - Puntos de control: transversal
C-CTRL-TRAV  </v>
      </c>
    </row>
    <row r="132" spans="1:19" x14ac:dyDescent="0.45">
      <c r="A132" s="7">
        <v>0</v>
      </c>
      <c r="B132" s="11" t="s">
        <v>3058</v>
      </c>
      <c r="C132" s="11" t="s">
        <v>7</v>
      </c>
      <c r="D132" s="11" t="s">
        <v>1059</v>
      </c>
      <c r="E132" s="11" t="str">
        <f t="shared" ref="E132:E195" si="16">_xlfn.CONCAT(B132," (",C132," - ",D132,")")</f>
        <v>C-CTRL-VERT (Civil - Puntos de control: vertical)</v>
      </c>
      <c r="F132" s="19" t="s">
        <v>3798</v>
      </c>
      <c r="G132" s="19" t="s">
        <v>3797</v>
      </c>
      <c r="H132" s="19" t="s">
        <v>3811</v>
      </c>
      <c r="I132" s="10">
        <v>0</v>
      </c>
      <c r="J132" s="10" t="str">
        <f t="shared" si="9"/>
        <v>Civil - Puntos de control: vertical</v>
      </c>
      <c r="K132" s="11" t="s">
        <v>1057</v>
      </c>
      <c r="L132" s="11" t="s">
        <v>7</v>
      </c>
      <c r="M132" s="11" t="s">
        <v>1058</v>
      </c>
      <c r="N132" s="18" t="str">
        <f t="shared" si="10"/>
        <v xml:space="preserve">-LAYER N C-CTRL-VERT </v>
      </c>
      <c r="O132" s="11" t="str">
        <f t="shared" si="11"/>
        <v xml:space="preserve">-LAYER C white C-CTRL-VERT </v>
      </c>
      <c r="P132" s="11" t="str">
        <f t="shared" si="12"/>
        <v xml:space="preserve">-LAYER L Continuous
C-CTRL-VERT  </v>
      </c>
      <c r="Q132" s="11" t="str">
        <f t="shared" si="13"/>
        <v xml:space="preserve">-LAYER LW Default
C-CTRL-VERT  </v>
      </c>
      <c r="R132" s="11" t="str">
        <f t="shared" si="14"/>
        <v xml:space="preserve">-LAYER TR 0
C-CTRL-VERT  </v>
      </c>
      <c r="S132" s="11" t="str">
        <f t="shared" si="15"/>
        <v xml:space="preserve">-LAYER D Civil - Puntos de control: vertical
C-CTRL-VERT  </v>
      </c>
    </row>
    <row r="133" spans="1:19" x14ac:dyDescent="0.45">
      <c r="A133" s="7">
        <v>0</v>
      </c>
      <c r="B133" s="11" t="s">
        <v>3059</v>
      </c>
      <c r="C133" s="11" t="s">
        <v>7</v>
      </c>
      <c r="D133" s="11" t="s">
        <v>288</v>
      </c>
      <c r="E133" s="11" t="str">
        <f t="shared" si="16"/>
        <v>C-DFLD (Civil - Campos de drenaje)</v>
      </c>
      <c r="F133" s="19" t="s">
        <v>3798</v>
      </c>
      <c r="G133" s="19" t="s">
        <v>3797</v>
      </c>
      <c r="H133" s="19" t="s">
        <v>3811</v>
      </c>
      <c r="I133" s="10">
        <v>0</v>
      </c>
      <c r="J133" s="10" t="str">
        <f t="shared" ref="J133:J196" si="17">_xlfn.CONCAT(C133," - ",D133)</f>
        <v>Civil - Campos de drenaje</v>
      </c>
      <c r="K133" s="11" t="s">
        <v>1060</v>
      </c>
      <c r="L133" s="11" t="s">
        <v>7</v>
      </c>
      <c r="M133" s="11" t="s">
        <v>287</v>
      </c>
      <c r="N133" s="18" t="str">
        <f t="shared" ref="N133:N196" si="18">_xlfn.CONCAT("-LAYER N ", B133," ")</f>
        <v xml:space="preserve">-LAYER N C-DFLD </v>
      </c>
      <c r="O133" s="11" t="str">
        <f t="shared" ref="O133:O196" si="19">_xlfn.CONCAT("-LAYER C ",F133," ", B133," ")</f>
        <v xml:space="preserve">-LAYER C white C-DFLD </v>
      </c>
      <c r="P133" s="11" t="str">
        <f t="shared" ref="P133:P196" si="20">_xlfn.CONCAT("-LAYER L ",G133,CHAR(10), B133,"  ")</f>
        <v xml:space="preserve">-LAYER L Continuous
C-DFLD  </v>
      </c>
      <c r="Q133" s="11" t="str">
        <f t="shared" ref="Q133:Q196" si="21">_xlfn.CONCAT("-LAYER LW ",H133,CHAR(10), B133,"  ")</f>
        <v xml:space="preserve">-LAYER LW Default
C-DFLD  </v>
      </c>
      <c r="R133" s="11" t="str">
        <f t="shared" ref="R133:R196" si="22">_xlfn.CONCAT("-LAYER TR ",I133,CHAR(10), B133,"  ")</f>
        <v xml:space="preserve">-LAYER TR 0
C-DFLD  </v>
      </c>
      <c r="S133" s="11" t="str">
        <f t="shared" ref="S133:S196" si="23">_xlfn.CONCAT("-LAYER D ",J133,CHAR(10), B133,"  ")</f>
        <v xml:space="preserve">-LAYER D Civil - Campos de drenaje
C-DFLD  </v>
      </c>
    </row>
    <row r="134" spans="1:19" x14ac:dyDescent="0.45">
      <c r="A134" s="7">
        <v>0</v>
      </c>
      <c r="B134" s="11" t="s">
        <v>3060</v>
      </c>
      <c r="C134" s="11" t="s">
        <v>7</v>
      </c>
      <c r="D134" s="11" t="s">
        <v>1063</v>
      </c>
      <c r="E134" s="11" t="str">
        <f t="shared" si="16"/>
        <v>C-DFLD-OTLN (Civil - Campos de drenaje: contorno)</v>
      </c>
      <c r="F134" s="19" t="s">
        <v>3798</v>
      </c>
      <c r="G134" s="19" t="s">
        <v>3797</v>
      </c>
      <c r="H134" s="19" t="s">
        <v>3811</v>
      </c>
      <c r="I134" s="10">
        <v>0</v>
      </c>
      <c r="J134" s="10" t="str">
        <f t="shared" si="17"/>
        <v>Civil - Campos de drenaje: contorno</v>
      </c>
      <c r="K134" s="11" t="s">
        <v>1061</v>
      </c>
      <c r="L134" s="11" t="s">
        <v>7</v>
      </c>
      <c r="M134" s="11" t="s">
        <v>1062</v>
      </c>
      <c r="N134" s="18" t="str">
        <f t="shared" si="18"/>
        <v xml:space="preserve">-LAYER N C-DFLD-OTLN </v>
      </c>
      <c r="O134" s="11" t="str">
        <f t="shared" si="19"/>
        <v xml:space="preserve">-LAYER C white C-DFLD-OTLN </v>
      </c>
      <c r="P134" s="11" t="str">
        <f t="shared" si="20"/>
        <v xml:space="preserve">-LAYER L Continuous
C-DFLD-OTLN  </v>
      </c>
      <c r="Q134" s="11" t="str">
        <f t="shared" si="21"/>
        <v xml:space="preserve">-LAYER LW Default
C-DFLD-OTLN  </v>
      </c>
      <c r="R134" s="11" t="str">
        <f t="shared" si="22"/>
        <v xml:space="preserve">-LAYER TR 0
C-DFLD-OTLN  </v>
      </c>
      <c r="S134" s="11" t="str">
        <f t="shared" si="23"/>
        <v xml:space="preserve">-LAYER D Civil - Campos de drenaje: contorno
C-DFLD-OTLN  </v>
      </c>
    </row>
    <row r="135" spans="1:19" x14ac:dyDescent="0.45">
      <c r="A135" s="7">
        <v>0</v>
      </c>
      <c r="B135" s="11" t="s">
        <v>3061</v>
      </c>
      <c r="C135" s="11" t="s">
        <v>7</v>
      </c>
      <c r="D135" s="11" t="s">
        <v>1066</v>
      </c>
      <c r="E135" s="11" t="str">
        <f t="shared" si="16"/>
        <v>C-DFLD-PROF (Civil - Campos de drenaje: perfil)</v>
      </c>
      <c r="F135" s="19" t="s">
        <v>3798</v>
      </c>
      <c r="G135" s="19" t="s">
        <v>3797</v>
      </c>
      <c r="H135" s="19" t="s">
        <v>3811</v>
      </c>
      <c r="I135" s="10">
        <v>0</v>
      </c>
      <c r="J135" s="10" t="str">
        <f t="shared" si="17"/>
        <v>Civil - Campos de drenaje: perfil</v>
      </c>
      <c r="K135" s="11" t="s">
        <v>1064</v>
      </c>
      <c r="L135" s="11" t="s">
        <v>7</v>
      </c>
      <c r="M135" s="11" t="s">
        <v>1065</v>
      </c>
      <c r="N135" s="18" t="str">
        <f t="shared" si="18"/>
        <v xml:space="preserve">-LAYER N C-DFLD-PROF </v>
      </c>
      <c r="O135" s="11" t="str">
        <f t="shared" si="19"/>
        <v xml:space="preserve">-LAYER C white C-DFLD-PROF </v>
      </c>
      <c r="P135" s="11" t="str">
        <f t="shared" si="20"/>
        <v xml:space="preserve">-LAYER L Continuous
C-DFLD-PROF  </v>
      </c>
      <c r="Q135" s="11" t="str">
        <f t="shared" si="21"/>
        <v xml:space="preserve">-LAYER LW Default
C-DFLD-PROF  </v>
      </c>
      <c r="R135" s="11" t="str">
        <f t="shared" si="22"/>
        <v xml:space="preserve">-LAYER TR 0
C-DFLD-PROF  </v>
      </c>
      <c r="S135" s="11" t="str">
        <f t="shared" si="23"/>
        <v xml:space="preserve">-LAYER D Civil - Campos de drenaje: perfil
C-DFLD-PROF  </v>
      </c>
    </row>
    <row r="136" spans="1:19" x14ac:dyDescent="0.45">
      <c r="A136" s="7">
        <v>1</v>
      </c>
      <c r="B136" s="11" t="s">
        <v>3062</v>
      </c>
      <c r="C136" s="11" t="s">
        <v>7</v>
      </c>
      <c r="D136" s="11" t="s">
        <v>1068</v>
      </c>
      <c r="E136" s="11" t="str">
        <f t="shared" si="16"/>
        <v>C-DRIV (Civil - Accesos vehiculares)</v>
      </c>
      <c r="F136" s="10" t="s">
        <v>3800</v>
      </c>
      <c r="G136" s="10" t="s">
        <v>3797</v>
      </c>
      <c r="H136" s="10">
        <v>0.4</v>
      </c>
      <c r="I136" s="10">
        <v>0</v>
      </c>
      <c r="J136" s="10" t="str">
        <f t="shared" si="17"/>
        <v>Civil - Accesos vehiculares</v>
      </c>
      <c r="K136" s="11" t="s">
        <v>1067</v>
      </c>
      <c r="L136" s="11" t="s">
        <v>7</v>
      </c>
      <c r="M136" s="11" t="s">
        <v>305</v>
      </c>
      <c r="N136" s="18" t="str">
        <f t="shared" si="18"/>
        <v xml:space="preserve">-LAYER N C-DRIV </v>
      </c>
      <c r="O136" s="11" t="str">
        <f t="shared" si="19"/>
        <v xml:space="preserve">-LAYER C cyan C-DRIV </v>
      </c>
      <c r="P136" s="11" t="str">
        <f t="shared" si="20"/>
        <v xml:space="preserve">-LAYER L Continuous
C-DRIV  </v>
      </c>
      <c r="Q136" s="11" t="str">
        <f t="shared" si="21"/>
        <v xml:space="preserve">-LAYER LW 0.4
C-DRIV  </v>
      </c>
      <c r="R136" s="11" t="str">
        <f t="shared" si="22"/>
        <v xml:space="preserve">-LAYER TR 0
C-DRIV  </v>
      </c>
      <c r="S136" s="11" t="str">
        <f t="shared" si="23"/>
        <v xml:space="preserve">-LAYER D Civil - Accesos vehiculares
C-DRIV  </v>
      </c>
    </row>
    <row r="137" spans="1:19" x14ac:dyDescent="0.45">
      <c r="A137" s="7">
        <v>0</v>
      </c>
      <c r="B137" s="11" t="s">
        <v>3063</v>
      </c>
      <c r="C137" s="11" t="s">
        <v>7</v>
      </c>
      <c r="D137" s="11" t="s">
        <v>1071</v>
      </c>
      <c r="E137" s="11" t="str">
        <f t="shared" si="16"/>
        <v>C-DRIV-ASPH (Civil - Accesos vehiculares: asfalto)</v>
      </c>
      <c r="F137" s="19" t="s">
        <v>3798</v>
      </c>
      <c r="G137" s="19" t="s">
        <v>3797</v>
      </c>
      <c r="H137" s="19" t="s">
        <v>3811</v>
      </c>
      <c r="I137" s="10">
        <v>0</v>
      </c>
      <c r="J137" s="10" t="str">
        <f t="shared" si="17"/>
        <v>Civil - Accesos vehiculares: asfalto</v>
      </c>
      <c r="K137" s="11" t="s">
        <v>1069</v>
      </c>
      <c r="L137" s="11" t="s">
        <v>7</v>
      </c>
      <c r="M137" s="11" t="s">
        <v>1070</v>
      </c>
      <c r="N137" s="18" t="str">
        <f t="shared" si="18"/>
        <v xml:space="preserve">-LAYER N C-DRIV-ASPH </v>
      </c>
      <c r="O137" s="11" t="str">
        <f t="shared" si="19"/>
        <v xml:space="preserve">-LAYER C white C-DRIV-ASPH </v>
      </c>
      <c r="P137" s="11" t="str">
        <f t="shared" si="20"/>
        <v xml:space="preserve">-LAYER L Continuous
C-DRIV-ASPH  </v>
      </c>
      <c r="Q137" s="11" t="str">
        <f t="shared" si="21"/>
        <v xml:space="preserve">-LAYER LW Default
C-DRIV-ASPH  </v>
      </c>
      <c r="R137" s="11" t="str">
        <f t="shared" si="22"/>
        <v xml:space="preserve">-LAYER TR 0
C-DRIV-ASPH  </v>
      </c>
      <c r="S137" s="11" t="str">
        <f t="shared" si="23"/>
        <v xml:space="preserve">-LAYER D Civil - Accesos vehiculares: asfalto
C-DRIV-ASPH  </v>
      </c>
    </row>
    <row r="138" spans="1:19" x14ac:dyDescent="0.45">
      <c r="A138" s="7">
        <v>0</v>
      </c>
      <c r="B138" s="11" t="s">
        <v>3064</v>
      </c>
      <c r="C138" s="11" t="s">
        <v>7</v>
      </c>
      <c r="D138" s="11" t="s">
        <v>1074</v>
      </c>
      <c r="E138" s="11" t="str">
        <f t="shared" si="16"/>
        <v>C-DRIV-CNTR (Civil - Accesos vehiculares: centro)</v>
      </c>
      <c r="F138" s="19" t="s">
        <v>3798</v>
      </c>
      <c r="G138" s="19" t="s">
        <v>3797</v>
      </c>
      <c r="H138" s="19" t="s">
        <v>3811</v>
      </c>
      <c r="I138" s="10">
        <v>0</v>
      </c>
      <c r="J138" s="10" t="str">
        <f t="shared" si="17"/>
        <v>Civil - Accesos vehiculares: centro</v>
      </c>
      <c r="K138" s="11" t="s">
        <v>1072</v>
      </c>
      <c r="L138" s="11" t="s">
        <v>7</v>
      </c>
      <c r="M138" s="11" t="s">
        <v>1073</v>
      </c>
      <c r="N138" s="18" t="str">
        <f t="shared" si="18"/>
        <v xml:space="preserve">-LAYER N C-DRIV-CNTR </v>
      </c>
      <c r="O138" s="11" t="str">
        <f t="shared" si="19"/>
        <v xml:space="preserve">-LAYER C white C-DRIV-CNTR </v>
      </c>
      <c r="P138" s="11" t="str">
        <f t="shared" si="20"/>
        <v xml:space="preserve">-LAYER L Continuous
C-DRIV-CNTR  </v>
      </c>
      <c r="Q138" s="11" t="str">
        <f t="shared" si="21"/>
        <v xml:space="preserve">-LAYER LW Default
C-DRIV-CNTR  </v>
      </c>
      <c r="R138" s="11" t="str">
        <f t="shared" si="22"/>
        <v xml:space="preserve">-LAYER TR 0
C-DRIV-CNTR  </v>
      </c>
      <c r="S138" s="11" t="str">
        <f t="shared" si="23"/>
        <v xml:space="preserve">-LAYER D Civil - Accesos vehiculares: centro
C-DRIV-CNTR  </v>
      </c>
    </row>
    <row r="139" spans="1:19" x14ac:dyDescent="0.45">
      <c r="A139" s="7">
        <v>0</v>
      </c>
      <c r="B139" s="11" t="s">
        <v>3065</v>
      </c>
      <c r="C139" s="11" t="s">
        <v>7</v>
      </c>
      <c r="D139" s="11" t="s">
        <v>1077</v>
      </c>
      <c r="E139" s="11" t="str">
        <f t="shared" si="16"/>
        <v>C-DRIV-CONC (Civil - Accesos vehiculares: hormigón)</v>
      </c>
      <c r="F139" s="19" t="s">
        <v>3798</v>
      </c>
      <c r="G139" s="19" t="s">
        <v>3797</v>
      </c>
      <c r="H139" s="19" t="s">
        <v>3811</v>
      </c>
      <c r="I139" s="10">
        <v>0</v>
      </c>
      <c r="J139" s="10" t="str">
        <f t="shared" si="17"/>
        <v>Civil - Accesos vehiculares: hormigón</v>
      </c>
      <c r="K139" s="11" t="s">
        <v>1075</v>
      </c>
      <c r="L139" s="11" t="s">
        <v>7</v>
      </c>
      <c r="M139" s="11" t="s">
        <v>1076</v>
      </c>
      <c r="N139" s="18" t="str">
        <f t="shared" si="18"/>
        <v xml:space="preserve">-LAYER N C-DRIV-CONC </v>
      </c>
      <c r="O139" s="11" t="str">
        <f t="shared" si="19"/>
        <v xml:space="preserve">-LAYER C white C-DRIV-CONC </v>
      </c>
      <c r="P139" s="11" t="str">
        <f t="shared" si="20"/>
        <v xml:space="preserve">-LAYER L Continuous
C-DRIV-CONC  </v>
      </c>
      <c r="Q139" s="11" t="str">
        <f t="shared" si="21"/>
        <v xml:space="preserve">-LAYER LW Default
C-DRIV-CONC  </v>
      </c>
      <c r="R139" s="11" t="str">
        <f t="shared" si="22"/>
        <v xml:space="preserve">-LAYER TR 0
C-DRIV-CONC  </v>
      </c>
      <c r="S139" s="11" t="str">
        <f t="shared" si="23"/>
        <v xml:space="preserve">-LAYER D Civil - Accesos vehiculares: hormigón
C-DRIV-CONC  </v>
      </c>
    </row>
    <row r="140" spans="1:19" x14ac:dyDescent="0.45">
      <c r="A140" s="7">
        <v>0</v>
      </c>
      <c r="B140" s="11" t="s">
        <v>3066</v>
      </c>
      <c r="C140" s="11" t="s">
        <v>7</v>
      </c>
      <c r="D140" s="11" t="s">
        <v>1080</v>
      </c>
      <c r="E140" s="11" t="str">
        <f t="shared" si="16"/>
        <v>C-DRIV-CURB (Civil - Accesos vehiculares: Bordillo)</v>
      </c>
      <c r="F140" s="19" t="s">
        <v>3798</v>
      </c>
      <c r="G140" s="19" t="s">
        <v>3797</v>
      </c>
      <c r="H140" s="19" t="s">
        <v>3811</v>
      </c>
      <c r="I140" s="10">
        <v>0</v>
      </c>
      <c r="J140" s="10" t="str">
        <f t="shared" si="17"/>
        <v>Civil - Accesos vehiculares: Bordillo</v>
      </c>
      <c r="K140" s="11" t="s">
        <v>1078</v>
      </c>
      <c r="L140" s="11" t="s">
        <v>7</v>
      </c>
      <c r="M140" s="11" t="s">
        <v>1079</v>
      </c>
      <c r="N140" s="18" t="str">
        <f t="shared" si="18"/>
        <v xml:space="preserve">-LAYER N C-DRIV-CURB </v>
      </c>
      <c r="O140" s="11" t="str">
        <f t="shared" si="19"/>
        <v xml:space="preserve">-LAYER C white C-DRIV-CURB </v>
      </c>
      <c r="P140" s="11" t="str">
        <f t="shared" si="20"/>
        <v xml:space="preserve">-LAYER L Continuous
C-DRIV-CURB  </v>
      </c>
      <c r="Q140" s="11" t="str">
        <f t="shared" si="21"/>
        <v xml:space="preserve">-LAYER LW Default
C-DRIV-CURB  </v>
      </c>
      <c r="R140" s="11" t="str">
        <f t="shared" si="22"/>
        <v xml:space="preserve">-LAYER TR 0
C-DRIV-CURB  </v>
      </c>
      <c r="S140" s="11" t="str">
        <f t="shared" si="23"/>
        <v xml:space="preserve">-LAYER D Civil - Accesos vehiculares: Bordillo
C-DRIV-CURB  </v>
      </c>
    </row>
    <row r="141" spans="1:19" x14ac:dyDescent="0.45">
      <c r="A141" s="7">
        <v>0</v>
      </c>
      <c r="B141" s="11" t="s">
        <v>3067</v>
      </c>
      <c r="C141" s="11" t="s">
        <v>7</v>
      </c>
      <c r="D141" s="11" t="s">
        <v>1083</v>
      </c>
      <c r="E141" s="11" t="str">
        <f t="shared" si="16"/>
        <v>C-DRIV-CURB-BACK (Civil - Entradas: Bordillo: Parte trasera)</v>
      </c>
      <c r="F141" s="19" t="s">
        <v>3798</v>
      </c>
      <c r="G141" s="19" t="s">
        <v>3797</v>
      </c>
      <c r="H141" s="19" t="s">
        <v>3811</v>
      </c>
      <c r="I141" s="10">
        <v>0</v>
      </c>
      <c r="J141" s="10" t="str">
        <f t="shared" si="17"/>
        <v>Civil - Entradas: Bordillo: Parte trasera</v>
      </c>
      <c r="K141" s="11" t="s">
        <v>1081</v>
      </c>
      <c r="L141" s="11" t="s">
        <v>7</v>
      </c>
      <c r="M141" s="11" t="s">
        <v>1082</v>
      </c>
      <c r="N141" s="18" t="str">
        <f t="shared" si="18"/>
        <v xml:space="preserve">-LAYER N C-DRIV-CURB-BACK </v>
      </c>
      <c r="O141" s="11" t="str">
        <f t="shared" si="19"/>
        <v xml:space="preserve">-LAYER C white C-DRIV-CURB-BACK </v>
      </c>
      <c r="P141" s="11" t="str">
        <f t="shared" si="20"/>
        <v xml:space="preserve">-LAYER L Continuous
C-DRIV-CURB-BACK  </v>
      </c>
      <c r="Q141" s="11" t="str">
        <f t="shared" si="21"/>
        <v xml:space="preserve">-LAYER LW Default
C-DRIV-CURB-BACK  </v>
      </c>
      <c r="R141" s="11" t="str">
        <f t="shared" si="22"/>
        <v xml:space="preserve">-LAYER TR 0
C-DRIV-CURB-BACK  </v>
      </c>
      <c r="S141" s="11" t="str">
        <f t="shared" si="23"/>
        <v xml:space="preserve">-LAYER D Civil - Entradas: Bordillo: Parte trasera
C-DRIV-CURB-BACK  </v>
      </c>
    </row>
    <row r="142" spans="1:19" x14ac:dyDescent="0.45">
      <c r="A142" s="7">
        <v>0</v>
      </c>
      <c r="B142" s="11" t="s">
        <v>3068</v>
      </c>
      <c r="C142" s="11" t="s">
        <v>7</v>
      </c>
      <c r="D142" s="11" t="s">
        <v>1086</v>
      </c>
      <c r="E142" s="11" t="str">
        <f t="shared" si="16"/>
        <v>C-DRIV-CURB-FACE (Civil - Entradas: Bordillo: Cara)</v>
      </c>
      <c r="F142" s="19" t="s">
        <v>3798</v>
      </c>
      <c r="G142" s="19" t="s">
        <v>3797</v>
      </c>
      <c r="H142" s="19" t="s">
        <v>3811</v>
      </c>
      <c r="I142" s="10">
        <v>0</v>
      </c>
      <c r="J142" s="10" t="str">
        <f t="shared" si="17"/>
        <v>Civil - Entradas: Bordillo: Cara</v>
      </c>
      <c r="K142" s="11" t="s">
        <v>1084</v>
      </c>
      <c r="L142" s="11" t="s">
        <v>7</v>
      </c>
      <c r="M142" s="11" t="s">
        <v>1085</v>
      </c>
      <c r="N142" s="18" t="str">
        <f t="shared" si="18"/>
        <v xml:space="preserve">-LAYER N C-DRIV-CURB-FACE </v>
      </c>
      <c r="O142" s="11" t="str">
        <f t="shared" si="19"/>
        <v xml:space="preserve">-LAYER C white C-DRIV-CURB-FACE </v>
      </c>
      <c r="P142" s="11" t="str">
        <f t="shared" si="20"/>
        <v xml:space="preserve">-LAYER L Continuous
C-DRIV-CURB-FACE  </v>
      </c>
      <c r="Q142" s="11" t="str">
        <f t="shared" si="21"/>
        <v xml:space="preserve">-LAYER LW Default
C-DRIV-CURB-FACE  </v>
      </c>
      <c r="R142" s="11" t="str">
        <f t="shared" si="22"/>
        <v xml:space="preserve">-LAYER TR 0
C-DRIV-CURB-FACE  </v>
      </c>
      <c r="S142" s="11" t="str">
        <f t="shared" si="23"/>
        <v xml:space="preserve">-LAYER D Civil - Entradas: Bordillo: Cara
C-DRIV-CURB-FACE  </v>
      </c>
    </row>
    <row r="143" spans="1:19" x14ac:dyDescent="0.45">
      <c r="A143" s="7">
        <v>0</v>
      </c>
      <c r="B143" s="11" t="s">
        <v>3069</v>
      </c>
      <c r="C143" s="11" t="s">
        <v>7</v>
      </c>
      <c r="D143" s="11" t="s">
        <v>1089</v>
      </c>
      <c r="E143" s="11" t="str">
        <f t="shared" si="16"/>
        <v>C-DRIV-FLNE (Civil - Entradas: Carril contra incendios)</v>
      </c>
      <c r="F143" s="19" t="s">
        <v>3798</v>
      </c>
      <c r="G143" s="19" t="s">
        <v>3797</v>
      </c>
      <c r="H143" s="19" t="s">
        <v>3811</v>
      </c>
      <c r="I143" s="10">
        <v>0</v>
      </c>
      <c r="J143" s="10" t="str">
        <f t="shared" si="17"/>
        <v>Civil - Entradas: Carril contra incendios</v>
      </c>
      <c r="K143" s="11" t="s">
        <v>1087</v>
      </c>
      <c r="L143" s="11" t="s">
        <v>7</v>
      </c>
      <c r="M143" s="11" t="s">
        <v>1088</v>
      </c>
      <c r="N143" s="18" t="str">
        <f t="shared" si="18"/>
        <v xml:space="preserve">-LAYER N C-DRIV-FLNE </v>
      </c>
      <c r="O143" s="11" t="str">
        <f t="shared" si="19"/>
        <v xml:space="preserve">-LAYER C white C-DRIV-FLNE </v>
      </c>
      <c r="P143" s="11" t="str">
        <f t="shared" si="20"/>
        <v xml:space="preserve">-LAYER L Continuous
C-DRIV-FLNE  </v>
      </c>
      <c r="Q143" s="11" t="str">
        <f t="shared" si="21"/>
        <v xml:space="preserve">-LAYER LW Default
C-DRIV-FLNE  </v>
      </c>
      <c r="R143" s="11" t="str">
        <f t="shared" si="22"/>
        <v xml:space="preserve">-LAYER TR 0
C-DRIV-FLNE  </v>
      </c>
      <c r="S143" s="11" t="str">
        <f t="shared" si="23"/>
        <v xml:space="preserve">-LAYER D Civil - Entradas: Carril contra incendios
C-DRIV-FLNE  </v>
      </c>
    </row>
    <row r="144" spans="1:19" x14ac:dyDescent="0.45">
      <c r="A144" s="7">
        <v>0</v>
      </c>
      <c r="B144" s="11" t="s">
        <v>3070</v>
      </c>
      <c r="C144" s="11" t="s">
        <v>7</v>
      </c>
      <c r="D144" s="11" t="s">
        <v>1092</v>
      </c>
      <c r="E144" s="11" t="str">
        <f t="shared" si="16"/>
        <v>C-DRIV-FLNE-MRKG (Civil - Entradas: Carril contra incendios: Marcas en el pavimento)</v>
      </c>
      <c r="F144" s="19" t="s">
        <v>3798</v>
      </c>
      <c r="G144" s="19" t="s">
        <v>3797</v>
      </c>
      <c r="H144" s="19" t="s">
        <v>3811</v>
      </c>
      <c r="I144" s="10">
        <v>0</v>
      </c>
      <c r="J144" s="10" t="str">
        <f t="shared" si="17"/>
        <v>Civil - Entradas: Carril contra incendios: Marcas en el pavimento</v>
      </c>
      <c r="K144" s="11" t="s">
        <v>1090</v>
      </c>
      <c r="L144" s="11" t="s">
        <v>7</v>
      </c>
      <c r="M144" s="11" t="s">
        <v>1091</v>
      </c>
      <c r="N144" s="18" t="str">
        <f t="shared" si="18"/>
        <v xml:space="preserve">-LAYER N C-DRIV-FLNE-MRKG </v>
      </c>
      <c r="O144" s="11" t="str">
        <f t="shared" si="19"/>
        <v xml:space="preserve">-LAYER C white C-DRIV-FLNE-MRKG </v>
      </c>
      <c r="P144" s="11" t="str">
        <f t="shared" si="20"/>
        <v xml:space="preserve">-LAYER L Continuous
C-DRIV-FLNE-MRKG  </v>
      </c>
      <c r="Q144" s="11" t="str">
        <f t="shared" si="21"/>
        <v xml:space="preserve">-LAYER LW Default
C-DRIV-FLNE-MRKG  </v>
      </c>
      <c r="R144" s="11" t="str">
        <f t="shared" si="22"/>
        <v xml:space="preserve">-LAYER TR 0
C-DRIV-FLNE-MRKG  </v>
      </c>
      <c r="S144" s="11" t="str">
        <f t="shared" si="23"/>
        <v xml:space="preserve">-LAYER D Civil - Entradas: Carril contra incendios: Marcas en el pavimento
C-DRIV-FLNE-MRKG  </v>
      </c>
    </row>
    <row r="145" spans="1:19" x14ac:dyDescent="0.45">
      <c r="A145" s="7">
        <v>0</v>
      </c>
      <c r="B145" s="11" t="s">
        <v>3071</v>
      </c>
      <c r="C145" s="11" t="s">
        <v>7</v>
      </c>
      <c r="D145" s="11" t="s">
        <v>1095</v>
      </c>
      <c r="E145" s="11" t="str">
        <f t="shared" si="16"/>
        <v>C-DRIV-FLNE-SIGN (Civil - Entradas: Carril contra incendios: Señalización)</v>
      </c>
      <c r="F145" s="19" t="s">
        <v>3798</v>
      </c>
      <c r="G145" s="19" t="s">
        <v>3797</v>
      </c>
      <c r="H145" s="19" t="s">
        <v>3811</v>
      </c>
      <c r="I145" s="10">
        <v>0</v>
      </c>
      <c r="J145" s="10" t="str">
        <f t="shared" si="17"/>
        <v>Civil - Entradas: Carril contra incendios: Señalización</v>
      </c>
      <c r="K145" s="11" t="s">
        <v>1093</v>
      </c>
      <c r="L145" s="11" t="s">
        <v>7</v>
      </c>
      <c r="M145" s="11" t="s">
        <v>1094</v>
      </c>
      <c r="N145" s="18" t="str">
        <f t="shared" si="18"/>
        <v xml:space="preserve">-LAYER N C-DRIV-FLNE-SIGN </v>
      </c>
      <c r="O145" s="11" t="str">
        <f t="shared" si="19"/>
        <v xml:space="preserve">-LAYER C white C-DRIV-FLNE-SIGN </v>
      </c>
      <c r="P145" s="11" t="str">
        <f t="shared" si="20"/>
        <v xml:space="preserve">-LAYER L Continuous
C-DRIV-FLNE-SIGN  </v>
      </c>
      <c r="Q145" s="11" t="str">
        <f t="shared" si="21"/>
        <v xml:space="preserve">-LAYER LW Default
C-DRIV-FLNE-SIGN  </v>
      </c>
      <c r="R145" s="11" t="str">
        <f t="shared" si="22"/>
        <v xml:space="preserve">-LAYER TR 0
C-DRIV-FLNE-SIGN  </v>
      </c>
      <c r="S145" s="11" t="str">
        <f t="shared" si="23"/>
        <v xml:space="preserve">-LAYER D Civil - Entradas: Carril contra incendios: Señalización
C-DRIV-FLNE-SIGN  </v>
      </c>
    </row>
    <row r="146" spans="1:19" x14ac:dyDescent="0.45">
      <c r="A146" s="7">
        <v>0</v>
      </c>
      <c r="B146" s="11" t="s">
        <v>3072</v>
      </c>
      <c r="C146" s="11" t="s">
        <v>7</v>
      </c>
      <c r="D146" s="11" t="s">
        <v>1098</v>
      </c>
      <c r="E146" s="11" t="str">
        <f t="shared" si="16"/>
        <v>C-DRIV-GRVL (Civil - Entradas: Grava)</v>
      </c>
      <c r="F146" s="19" t="s">
        <v>3798</v>
      </c>
      <c r="G146" s="19" t="s">
        <v>3797</v>
      </c>
      <c r="H146" s="19" t="s">
        <v>3811</v>
      </c>
      <c r="I146" s="10">
        <v>0</v>
      </c>
      <c r="J146" s="10" t="str">
        <f t="shared" si="17"/>
        <v>Civil - Entradas: Grava</v>
      </c>
      <c r="K146" s="11" t="s">
        <v>1096</v>
      </c>
      <c r="L146" s="11" t="s">
        <v>7</v>
      </c>
      <c r="M146" s="11" t="s">
        <v>1097</v>
      </c>
      <c r="N146" s="18" t="str">
        <f t="shared" si="18"/>
        <v xml:space="preserve">-LAYER N C-DRIV-GRVL </v>
      </c>
      <c r="O146" s="11" t="str">
        <f t="shared" si="19"/>
        <v xml:space="preserve">-LAYER C white C-DRIV-GRVL </v>
      </c>
      <c r="P146" s="11" t="str">
        <f t="shared" si="20"/>
        <v xml:space="preserve">-LAYER L Continuous
C-DRIV-GRVL  </v>
      </c>
      <c r="Q146" s="11" t="str">
        <f t="shared" si="21"/>
        <v xml:space="preserve">-LAYER LW Default
C-DRIV-GRVL  </v>
      </c>
      <c r="R146" s="11" t="str">
        <f t="shared" si="22"/>
        <v xml:space="preserve">-LAYER TR 0
C-DRIV-GRVL  </v>
      </c>
      <c r="S146" s="11" t="str">
        <f t="shared" si="23"/>
        <v xml:space="preserve">-LAYER D Civil - Entradas: Grava
C-DRIV-GRVL  </v>
      </c>
    </row>
    <row r="147" spans="1:19" x14ac:dyDescent="0.45">
      <c r="A147" s="7">
        <v>0</v>
      </c>
      <c r="B147" s="11" t="s">
        <v>3073</v>
      </c>
      <c r="C147" s="11" t="s">
        <v>7</v>
      </c>
      <c r="D147" s="11" t="s">
        <v>1101</v>
      </c>
      <c r="E147" s="11" t="str">
        <f t="shared" si="16"/>
        <v>C-DRIV-MRKG (Civil - Entradas: Marcas en el pavimento)</v>
      </c>
      <c r="F147" s="19" t="s">
        <v>3798</v>
      </c>
      <c r="G147" s="19" t="s">
        <v>3797</v>
      </c>
      <c r="H147" s="19" t="s">
        <v>3811</v>
      </c>
      <c r="I147" s="10">
        <v>0</v>
      </c>
      <c r="J147" s="10" t="str">
        <f t="shared" si="17"/>
        <v>Civil - Entradas: Marcas en el pavimento</v>
      </c>
      <c r="K147" s="11" t="s">
        <v>1099</v>
      </c>
      <c r="L147" s="11" t="s">
        <v>7</v>
      </c>
      <c r="M147" s="11" t="s">
        <v>1100</v>
      </c>
      <c r="N147" s="18" t="str">
        <f t="shared" si="18"/>
        <v xml:space="preserve">-LAYER N C-DRIV-MRKG </v>
      </c>
      <c r="O147" s="11" t="str">
        <f t="shared" si="19"/>
        <v xml:space="preserve">-LAYER C white C-DRIV-MRKG </v>
      </c>
      <c r="P147" s="11" t="str">
        <f t="shared" si="20"/>
        <v xml:space="preserve">-LAYER L Continuous
C-DRIV-MRKG  </v>
      </c>
      <c r="Q147" s="11" t="str">
        <f t="shared" si="21"/>
        <v xml:space="preserve">-LAYER LW Default
C-DRIV-MRKG  </v>
      </c>
      <c r="R147" s="11" t="str">
        <f t="shared" si="22"/>
        <v xml:space="preserve">-LAYER TR 0
C-DRIV-MRKG  </v>
      </c>
      <c r="S147" s="11" t="str">
        <f t="shared" si="23"/>
        <v xml:space="preserve">-LAYER D Civil - Entradas: Marcas en el pavimento
C-DRIV-MRKG  </v>
      </c>
    </row>
    <row r="148" spans="1:19" x14ac:dyDescent="0.45">
      <c r="A148" s="7">
        <v>0</v>
      </c>
      <c r="B148" s="11" t="s">
        <v>3074</v>
      </c>
      <c r="C148" s="11" t="s">
        <v>7</v>
      </c>
      <c r="D148" s="11" t="s">
        <v>1104</v>
      </c>
      <c r="E148" s="11" t="str">
        <f t="shared" si="16"/>
        <v>C-DRIV-SIGN (Civil - Entradas: Señalización)</v>
      </c>
      <c r="F148" s="19" t="s">
        <v>3798</v>
      </c>
      <c r="G148" s="19" t="s">
        <v>3797</v>
      </c>
      <c r="H148" s="19" t="s">
        <v>3811</v>
      </c>
      <c r="I148" s="10">
        <v>0</v>
      </c>
      <c r="J148" s="10" t="str">
        <f t="shared" si="17"/>
        <v>Civil - Entradas: Señalización</v>
      </c>
      <c r="K148" s="11" t="s">
        <v>1102</v>
      </c>
      <c r="L148" s="11" t="s">
        <v>7</v>
      </c>
      <c r="M148" s="11" t="s">
        <v>1103</v>
      </c>
      <c r="N148" s="18" t="str">
        <f t="shared" si="18"/>
        <v xml:space="preserve">-LAYER N C-DRIV-SIGN </v>
      </c>
      <c r="O148" s="11" t="str">
        <f t="shared" si="19"/>
        <v xml:space="preserve">-LAYER C white C-DRIV-SIGN </v>
      </c>
      <c r="P148" s="11" t="str">
        <f t="shared" si="20"/>
        <v xml:space="preserve">-LAYER L Continuous
C-DRIV-SIGN  </v>
      </c>
      <c r="Q148" s="11" t="str">
        <f t="shared" si="21"/>
        <v xml:space="preserve">-LAYER LW Default
C-DRIV-SIGN  </v>
      </c>
      <c r="R148" s="11" t="str">
        <f t="shared" si="22"/>
        <v xml:space="preserve">-LAYER TR 0
C-DRIV-SIGN  </v>
      </c>
      <c r="S148" s="11" t="str">
        <f t="shared" si="23"/>
        <v xml:space="preserve">-LAYER D Civil - Entradas: Señalización
C-DRIV-SIGN  </v>
      </c>
    </row>
    <row r="149" spans="1:19" x14ac:dyDescent="0.45">
      <c r="A149" s="7">
        <v>0</v>
      </c>
      <c r="B149" s="11" t="s">
        <v>3075</v>
      </c>
      <c r="C149" s="11" t="s">
        <v>7</v>
      </c>
      <c r="D149" s="11" t="s">
        <v>1107</v>
      </c>
      <c r="E149" s="11" t="str">
        <f t="shared" si="16"/>
        <v>C-DRI V-UPVD (Civil - Entradas: Superficie sin pavimentar)</v>
      </c>
      <c r="F149" s="19" t="s">
        <v>3798</v>
      </c>
      <c r="G149" s="19" t="s">
        <v>3797</v>
      </c>
      <c r="H149" s="19" t="s">
        <v>3811</v>
      </c>
      <c r="I149" s="10">
        <v>0</v>
      </c>
      <c r="J149" s="10" t="str">
        <f t="shared" si="17"/>
        <v>Civil - Entradas: Superficie sin pavimentar</v>
      </c>
      <c r="K149" s="11" t="s">
        <v>1105</v>
      </c>
      <c r="L149" s="11" t="s">
        <v>7</v>
      </c>
      <c r="M149" s="11" t="s">
        <v>1106</v>
      </c>
      <c r="N149" s="18" t="str">
        <f t="shared" si="18"/>
        <v xml:space="preserve">-LAYER N C-DRI V-UPVD </v>
      </c>
      <c r="O149" s="11" t="str">
        <f t="shared" si="19"/>
        <v xml:space="preserve">-LAYER C white C-DRI V-UPVD </v>
      </c>
      <c r="P149" s="11" t="str">
        <f t="shared" si="20"/>
        <v xml:space="preserve">-LAYER L Continuous
C-DRI V-UPVD  </v>
      </c>
      <c r="Q149" s="11" t="str">
        <f t="shared" si="21"/>
        <v xml:space="preserve">-LAYER LW Default
C-DRI V-UPVD  </v>
      </c>
      <c r="R149" s="11" t="str">
        <f t="shared" si="22"/>
        <v xml:space="preserve">-LAYER TR 0
C-DRI V-UPVD  </v>
      </c>
      <c r="S149" s="11" t="str">
        <f t="shared" si="23"/>
        <v xml:space="preserve">-LAYER D Civil - Entradas: Superficie sin pavimentar
C-DRI V-UPVD  </v>
      </c>
    </row>
    <row r="150" spans="1:19" x14ac:dyDescent="0.45">
      <c r="A150" s="7">
        <v>0</v>
      </c>
      <c r="B150" s="11" t="s">
        <v>3076</v>
      </c>
      <c r="C150" s="11" t="s">
        <v>7</v>
      </c>
      <c r="D150" s="11" t="s">
        <v>1110</v>
      </c>
      <c r="E150" s="11" t="str">
        <f t="shared" si="16"/>
        <v>C-DRIV-WHIT (Civil - Entradas: Pintura blanca)</v>
      </c>
      <c r="F150" s="19" t="s">
        <v>3798</v>
      </c>
      <c r="G150" s="19" t="s">
        <v>3797</v>
      </c>
      <c r="H150" s="19" t="s">
        <v>3811</v>
      </c>
      <c r="I150" s="10">
        <v>0</v>
      </c>
      <c r="J150" s="10" t="str">
        <f t="shared" si="17"/>
        <v>Civil - Entradas: Pintura blanca</v>
      </c>
      <c r="K150" s="11" t="s">
        <v>1108</v>
      </c>
      <c r="L150" s="11" t="s">
        <v>7</v>
      </c>
      <c r="M150" s="11" t="s">
        <v>1109</v>
      </c>
      <c r="N150" s="18" t="str">
        <f t="shared" si="18"/>
        <v xml:space="preserve">-LAYER N C-DRIV-WHIT </v>
      </c>
      <c r="O150" s="11" t="str">
        <f t="shared" si="19"/>
        <v xml:space="preserve">-LAYER C white C-DRIV-WHIT </v>
      </c>
      <c r="P150" s="11" t="str">
        <f t="shared" si="20"/>
        <v xml:space="preserve">-LAYER L Continuous
C-DRIV-WHIT  </v>
      </c>
      <c r="Q150" s="11" t="str">
        <f t="shared" si="21"/>
        <v xml:space="preserve">-LAYER LW Default
C-DRIV-WHIT  </v>
      </c>
      <c r="R150" s="11" t="str">
        <f t="shared" si="22"/>
        <v xml:space="preserve">-LAYER TR 0
C-DRIV-WHIT  </v>
      </c>
      <c r="S150" s="11" t="str">
        <f t="shared" si="23"/>
        <v xml:space="preserve">-LAYER D Civil - Entradas: Pintura blanca
C-DRIV-WHIT  </v>
      </c>
    </row>
    <row r="151" spans="1:19" x14ac:dyDescent="0.45">
      <c r="A151" s="7">
        <v>0</v>
      </c>
      <c r="B151" s="11" t="s">
        <v>3077</v>
      </c>
      <c r="C151" s="11" t="s">
        <v>7</v>
      </c>
      <c r="D151" s="11" t="s">
        <v>1113</v>
      </c>
      <c r="E151" s="11" t="str">
        <f t="shared" si="16"/>
        <v>C-DRIV-WHIT-TICK (Civil - Entradas: Pintura blanca: Marcas de verificación)</v>
      </c>
      <c r="F151" s="19" t="s">
        <v>3798</v>
      </c>
      <c r="G151" s="19" t="s">
        <v>3797</v>
      </c>
      <c r="H151" s="19" t="s">
        <v>3811</v>
      </c>
      <c r="I151" s="10">
        <v>0</v>
      </c>
      <c r="J151" s="10" t="str">
        <f t="shared" si="17"/>
        <v>Civil - Entradas: Pintura blanca: Marcas de verificación</v>
      </c>
      <c r="K151" s="11" t="s">
        <v>1111</v>
      </c>
      <c r="L151" s="11" t="s">
        <v>7</v>
      </c>
      <c r="M151" s="11" t="s">
        <v>1112</v>
      </c>
      <c r="N151" s="18" t="str">
        <f t="shared" si="18"/>
        <v xml:space="preserve">-LAYER N C-DRIV-WHIT-TICK </v>
      </c>
      <c r="O151" s="11" t="str">
        <f t="shared" si="19"/>
        <v xml:space="preserve">-LAYER C white C-DRIV-WHIT-TICK </v>
      </c>
      <c r="P151" s="11" t="str">
        <f t="shared" si="20"/>
        <v xml:space="preserve">-LAYER L Continuous
C-DRIV-WHIT-TICK  </v>
      </c>
      <c r="Q151" s="11" t="str">
        <f t="shared" si="21"/>
        <v xml:space="preserve">-LAYER LW Default
C-DRIV-WHIT-TICK  </v>
      </c>
      <c r="R151" s="11" t="str">
        <f t="shared" si="22"/>
        <v xml:space="preserve">-LAYER TR 0
C-DRIV-WHIT-TICK  </v>
      </c>
      <c r="S151" s="11" t="str">
        <f t="shared" si="23"/>
        <v xml:space="preserve">-LAYER D Civil - Entradas: Pintura blanca: Marcas de verificación
C-DRIV-WHIT-TICK  </v>
      </c>
    </row>
    <row r="152" spans="1:19" x14ac:dyDescent="0.45">
      <c r="A152" s="7">
        <v>0</v>
      </c>
      <c r="B152" s="11" t="s">
        <v>3078</v>
      </c>
      <c r="C152" s="11" t="s">
        <v>7</v>
      </c>
      <c r="D152" s="11" t="s">
        <v>1116</v>
      </c>
      <c r="E152" s="11" t="str">
        <f t="shared" si="16"/>
        <v>C-DRIV-YELO (Civil - Entradas: Pintura amarilla)</v>
      </c>
      <c r="F152" s="19" t="s">
        <v>3798</v>
      </c>
      <c r="G152" s="19" t="s">
        <v>3797</v>
      </c>
      <c r="H152" s="19" t="s">
        <v>3811</v>
      </c>
      <c r="I152" s="10">
        <v>0</v>
      </c>
      <c r="J152" s="10" t="str">
        <f t="shared" si="17"/>
        <v>Civil - Entradas: Pintura amarilla</v>
      </c>
      <c r="K152" s="11" t="s">
        <v>1114</v>
      </c>
      <c r="L152" s="11" t="s">
        <v>7</v>
      </c>
      <c r="M152" s="11" t="s">
        <v>1115</v>
      </c>
      <c r="N152" s="18" t="str">
        <f t="shared" si="18"/>
        <v xml:space="preserve">-LAYER N C-DRIV-YELO </v>
      </c>
      <c r="O152" s="11" t="str">
        <f t="shared" si="19"/>
        <v xml:space="preserve">-LAYER C white C-DRIV-YELO </v>
      </c>
      <c r="P152" s="11" t="str">
        <f t="shared" si="20"/>
        <v xml:space="preserve">-LAYER L Continuous
C-DRIV-YELO  </v>
      </c>
      <c r="Q152" s="11" t="str">
        <f t="shared" si="21"/>
        <v xml:space="preserve">-LAYER LW Default
C-DRIV-YELO  </v>
      </c>
      <c r="R152" s="11" t="str">
        <f t="shared" si="22"/>
        <v xml:space="preserve">-LAYER TR 0
C-DRIV-YELO  </v>
      </c>
      <c r="S152" s="11" t="str">
        <f t="shared" si="23"/>
        <v xml:space="preserve">-LAYER D Civil - Entradas: Pintura amarilla
C-DRIV-YELO  </v>
      </c>
    </row>
    <row r="153" spans="1:19" x14ac:dyDescent="0.45">
      <c r="A153" s="7">
        <v>0</v>
      </c>
      <c r="B153" s="11" t="s">
        <v>3079</v>
      </c>
      <c r="C153" s="11" t="s">
        <v>7</v>
      </c>
      <c r="D153" s="11" t="s">
        <v>1119</v>
      </c>
      <c r="E153" s="11" t="str">
        <f t="shared" si="16"/>
        <v>C-DRIV-YELO-TICK (Civil - Entradas: Pintura amarilla: Marcas de verificación)</v>
      </c>
      <c r="F153" s="19" t="s">
        <v>3798</v>
      </c>
      <c r="G153" s="19" t="s">
        <v>3797</v>
      </c>
      <c r="H153" s="19" t="s">
        <v>3811</v>
      </c>
      <c r="I153" s="10">
        <v>0</v>
      </c>
      <c r="J153" s="10" t="str">
        <f t="shared" si="17"/>
        <v>Civil - Entradas: Pintura amarilla: Marcas de verificación</v>
      </c>
      <c r="K153" s="11" t="s">
        <v>1117</v>
      </c>
      <c r="L153" s="11" t="s">
        <v>7</v>
      </c>
      <c r="M153" s="11" t="s">
        <v>1118</v>
      </c>
      <c r="N153" s="18" t="str">
        <f t="shared" si="18"/>
        <v xml:space="preserve">-LAYER N C-DRIV-YELO-TICK </v>
      </c>
      <c r="O153" s="11" t="str">
        <f t="shared" si="19"/>
        <v xml:space="preserve">-LAYER C white C-DRIV-YELO-TICK </v>
      </c>
      <c r="P153" s="11" t="str">
        <f t="shared" si="20"/>
        <v xml:space="preserve">-LAYER L Continuous
C-DRIV-YELO-TICK  </v>
      </c>
      <c r="Q153" s="11" t="str">
        <f t="shared" si="21"/>
        <v xml:space="preserve">-LAYER LW Default
C-DRIV-YELO-TICK  </v>
      </c>
      <c r="R153" s="11" t="str">
        <f t="shared" si="22"/>
        <v xml:space="preserve">-LAYER TR 0
C-DRIV-YELO-TICK  </v>
      </c>
      <c r="S153" s="11" t="str">
        <f t="shared" si="23"/>
        <v xml:space="preserve">-LAYER D Civil - Entradas: Pintura amarilla: Marcas de verificación
C-DRIV-YELO-TICK  </v>
      </c>
    </row>
    <row r="154" spans="1:19" x14ac:dyDescent="0.45">
      <c r="A154" s="7">
        <v>0</v>
      </c>
      <c r="B154" s="11" t="s">
        <v>3080</v>
      </c>
      <c r="C154" s="11" t="s">
        <v>7</v>
      </c>
      <c r="D154" s="11" t="s">
        <v>1121</v>
      </c>
      <c r="E154" s="11" t="str">
        <f t="shared" si="16"/>
        <v>C-DTCH (Civil - Cuencas o zanjas)</v>
      </c>
      <c r="F154" s="19" t="s">
        <v>3798</v>
      </c>
      <c r="G154" s="19" t="s">
        <v>3797</v>
      </c>
      <c r="H154" s="19" t="s">
        <v>3811</v>
      </c>
      <c r="I154" s="10">
        <v>0</v>
      </c>
      <c r="J154" s="10" t="str">
        <f t="shared" si="17"/>
        <v>Civil - Cuencas o zanjas</v>
      </c>
      <c r="K154" s="11" t="s">
        <v>1120</v>
      </c>
      <c r="L154" s="11" t="s">
        <v>7</v>
      </c>
      <c r="M154" s="11" t="s">
        <v>308</v>
      </c>
      <c r="N154" s="18" t="str">
        <f t="shared" si="18"/>
        <v xml:space="preserve">-LAYER N C-DTCH </v>
      </c>
      <c r="O154" s="11" t="str">
        <f t="shared" si="19"/>
        <v xml:space="preserve">-LAYER C white C-DTCH </v>
      </c>
      <c r="P154" s="11" t="str">
        <f t="shared" si="20"/>
        <v xml:space="preserve">-LAYER L Continuous
C-DTCH  </v>
      </c>
      <c r="Q154" s="11" t="str">
        <f t="shared" si="21"/>
        <v xml:space="preserve">-LAYER LW Default
C-DTCH  </v>
      </c>
      <c r="R154" s="11" t="str">
        <f t="shared" si="22"/>
        <v xml:space="preserve">-LAYER TR 0
C-DTCH  </v>
      </c>
      <c r="S154" s="11" t="str">
        <f t="shared" si="23"/>
        <v xml:space="preserve">-LAYER D Civil - Cuencas o zanjas
C-DTCH  </v>
      </c>
    </row>
    <row r="155" spans="1:19" x14ac:dyDescent="0.45">
      <c r="A155" s="7">
        <v>0</v>
      </c>
      <c r="B155" s="11" t="s">
        <v>3081</v>
      </c>
      <c r="C155" s="11" t="s">
        <v>7</v>
      </c>
      <c r="D155" s="11" t="s">
        <v>1124</v>
      </c>
      <c r="E155" s="11" t="str">
        <f t="shared" si="16"/>
        <v>C-DTCH-BOTM (Civil - Cuencas o zanjas: Parte inferior)</v>
      </c>
      <c r="F155" s="19" t="s">
        <v>3798</v>
      </c>
      <c r="G155" s="19" t="s">
        <v>3797</v>
      </c>
      <c r="H155" s="19" t="s">
        <v>3811</v>
      </c>
      <c r="I155" s="10">
        <v>0</v>
      </c>
      <c r="J155" s="10" t="str">
        <f t="shared" si="17"/>
        <v>Civil - Cuencas o zanjas: Parte inferior</v>
      </c>
      <c r="K155" s="11" t="s">
        <v>1122</v>
      </c>
      <c r="L155" s="11" t="s">
        <v>7</v>
      </c>
      <c r="M155" s="11" t="s">
        <v>1123</v>
      </c>
      <c r="N155" s="18" t="str">
        <f t="shared" si="18"/>
        <v xml:space="preserve">-LAYER N C-DTCH-BOTM </v>
      </c>
      <c r="O155" s="11" t="str">
        <f t="shared" si="19"/>
        <v xml:space="preserve">-LAYER C white C-DTCH-BOTM </v>
      </c>
      <c r="P155" s="11" t="str">
        <f t="shared" si="20"/>
        <v xml:space="preserve">-LAYER L Continuous
C-DTCH-BOTM  </v>
      </c>
      <c r="Q155" s="11" t="str">
        <f t="shared" si="21"/>
        <v xml:space="preserve">-LAYER LW Default
C-DTCH-BOTM  </v>
      </c>
      <c r="R155" s="11" t="str">
        <f t="shared" si="22"/>
        <v xml:space="preserve">-LAYER TR 0
C-DTCH-BOTM  </v>
      </c>
      <c r="S155" s="11" t="str">
        <f t="shared" si="23"/>
        <v xml:space="preserve">-LAYER D Civil - Cuencas o zanjas: Parte inferior
C-DTCH-BOTM  </v>
      </c>
    </row>
    <row r="156" spans="1:19" x14ac:dyDescent="0.45">
      <c r="A156" s="7">
        <v>0</v>
      </c>
      <c r="B156" s="11" t="s">
        <v>3082</v>
      </c>
      <c r="C156" s="11" t="s">
        <v>7</v>
      </c>
      <c r="D156" s="11" t="s">
        <v>1127</v>
      </c>
      <c r="E156" s="11" t="str">
        <f t="shared" si="16"/>
        <v>C-DTCH-CNTR (Civil - Cuencas o zanjas: Centro)</v>
      </c>
      <c r="F156" s="19" t="s">
        <v>3798</v>
      </c>
      <c r="G156" s="19" t="s">
        <v>3797</v>
      </c>
      <c r="H156" s="19" t="s">
        <v>3811</v>
      </c>
      <c r="I156" s="10">
        <v>0</v>
      </c>
      <c r="J156" s="10" t="str">
        <f t="shared" si="17"/>
        <v>Civil - Cuencas o zanjas: Centro</v>
      </c>
      <c r="K156" s="11" t="s">
        <v>1125</v>
      </c>
      <c r="L156" s="11" t="s">
        <v>7</v>
      </c>
      <c r="M156" s="11" t="s">
        <v>1126</v>
      </c>
      <c r="N156" s="18" t="str">
        <f t="shared" si="18"/>
        <v xml:space="preserve">-LAYER N C-DTCH-CNTR </v>
      </c>
      <c r="O156" s="11" t="str">
        <f t="shared" si="19"/>
        <v xml:space="preserve">-LAYER C white C-DTCH-CNTR </v>
      </c>
      <c r="P156" s="11" t="str">
        <f t="shared" si="20"/>
        <v xml:space="preserve">-LAYER L Continuous
C-DTCH-CNTR  </v>
      </c>
      <c r="Q156" s="11" t="str">
        <f t="shared" si="21"/>
        <v xml:space="preserve">-LAYER LW Default
C-DTCH-CNTR  </v>
      </c>
      <c r="R156" s="11" t="str">
        <f t="shared" si="22"/>
        <v xml:space="preserve">-LAYER TR 0
C-DTCH-CNTR  </v>
      </c>
      <c r="S156" s="11" t="str">
        <f t="shared" si="23"/>
        <v xml:space="preserve">-LAYER D Civil - Cuencas o zanjas: Centro
C-DTCH-CNTR  </v>
      </c>
    </row>
    <row r="157" spans="1:19" x14ac:dyDescent="0.45">
      <c r="A157" s="7">
        <v>0</v>
      </c>
      <c r="B157" s="11" t="s">
        <v>3083</v>
      </c>
      <c r="C157" s="11" t="s">
        <v>7</v>
      </c>
      <c r="D157" s="11" t="s">
        <v>1130</v>
      </c>
      <c r="E157" s="11" t="str">
        <f t="shared" si="16"/>
        <v>C-DTCH-EWAT (Civil - Cuencas o zanjas: Borde del agua)</v>
      </c>
      <c r="F157" s="19" t="s">
        <v>3798</v>
      </c>
      <c r="G157" s="19" t="s">
        <v>3797</v>
      </c>
      <c r="H157" s="19" t="s">
        <v>3811</v>
      </c>
      <c r="I157" s="10">
        <v>0</v>
      </c>
      <c r="J157" s="10" t="str">
        <f t="shared" si="17"/>
        <v>Civil - Cuencas o zanjas: Borde del agua</v>
      </c>
      <c r="K157" s="11" t="s">
        <v>1128</v>
      </c>
      <c r="L157" s="11" t="s">
        <v>7</v>
      </c>
      <c r="M157" s="11" t="s">
        <v>1129</v>
      </c>
      <c r="N157" s="18" t="str">
        <f t="shared" si="18"/>
        <v xml:space="preserve">-LAYER N C-DTCH-EWAT </v>
      </c>
      <c r="O157" s="11" t="str">
        <f t="shared" si="19"/>
        <v xml:space="preserve">-LAYER C white C-DTCH-EWAT </v>
      </c>
      <c r="P157" s="11" t="str">
        <f t="shared" si="20"/>
        <v xml:space="preserve">-LAYER L Continuous
C-DTCH-EWAT  </v>
      </c>
      <c r="Q157" s="11" t="str">
        <f t="shared" si="21"/>
        <v xml:space="preserve">-LAYER LW Default
C-DTCH-EWAT  </v>
      </c>
      <c r="R157" s="11" t="str">
        <f t="shared" si="22"/>
        <v xml:space="preserve">-LAYER TR 0
C-DTCH-EWAT  </v>
      </c>
      <c r="S157" s="11" t="str">
        <f t="shared" si="23"/>
        <v xml:space="preserve">-LAYER D Civil - Cuencas o zanjas: Borde del agua
C-DTCH-EWAT  </v>
      </c>
    </row>
    <row r="158" spans="1:19" x14ac:dyDescent="0.45">
      <c r="A158" s="7">
        <v>0</v>
      </c>
      <c r="B158" s="11" t="s">
        <v>3084</v>
      </c>
      <c r="C158" s="11" t="s">
        <v>7</v>
      </c>
      <c r="D158" s="11" t="s">
        <v>1133</v>
      </c>
      <c r="E158" s="11" t="str">
        <f t="shared" si="16"/>
        <v>C-DTCH-TOP~ (Civil - Cuencas o zanjas: Parte superior)</v>
      </c>
      <c r="F158" s="19" t="s">
        <v>3798</v>
      </c>
      <c r="G158" s="19" t="s">
        <v>3797</v>
      </c>
      <c r="H158" s="19" t="s">
        <v>3811</v>
      </c>
      <c r="I158" s="10">
        <v>0</v>
      </c>
      <c r="J158" s="10" t="str">
        <f t="shared" si="17"/>
        <v>Civil - Cuencas o zanjas: Parte superior</v>
      </c>
      <c r="K158" s="11" t="s">
        <v>1131</v>
      </c>
      <c r="L158" s="11" t="s">
        <v>7</v>
      </c>
      <c r="M158" s="11" t="s">
        <v>1132</v>
      </c>
      <c r="N158" s="18" t="str">
        <f t="shared" si="18"/>
        <v xml:space="preserve">-LAYER N C-DTCH-TOP~ </v>
      </c>
      <c r="O158" s="11" t="str">
        <f t="shared" si="19"/>
        <v xml:space="preserve">-LAYER C white C-DTCH-TOP~ </v>
      </c>
      <c r="P158" s="11" t="str">
        <f t="shared" si="20"/>
        <v xml:space="preserve">-LAYER L Continuous
C-DTCH-TOP~  </v>
      </c>
      <c r="Q158" s="11" t="str">
        <f t="shared" si="21"/>
        <v xml:space="preserve">-LAYER LW Default
C-DTCH-TOP~  </v>
      </c>
      <c r="R158" s="11" t="str">
        <f t="shared" si="22"/>
        <v xml:space="preserve">-LAYER TR 0
C-DTCH-TOP~  </v>
      </c>
      <c r="S158" s="11" t="str">
        <f t="shared" si="23"/>
        <v xml:space="preserve">-LAYER D Civil - Cuencas o zanjas: Parte superior
C-DTCH-TOP~  </v>
      </c>
    </row>
    <row r="159" spans="1:19" x14ac:dyDescent="0.45">
      <c r="A159" s="7">
        <v>0</v>
      </c>
      <c r="B159" s="11" t="s">
        <v>3085</v>
      </c>
      <c r="C159" s="11" t="s">
        <v>7</v>
      </c>
      <c r="D159" s="11" t="s">
        <v>335</v>
      </c>
      <c r="E159" s="11" t="str">
        <f t="shared" si="16"/>
        <v>C-EROS (Civil - Control de erosión y sedimentos)</v>
      </c>
      <c r="F159" s="19" t="s">
        <v>3798</v>
      </c>
      <c r="G159" s="19" t="s">
        <v>3797</v>
      </c>
      <c r="H159" s="19" t="s">
        <v>3811</v>
      </c>
      <c r="I159" s="10">
        <v>0</v>
      </c>
      <c r="J159" s="10" t="str">
        <f t="shared" si="17"/>
        <v>Civil - Control de erosión y sedimentos</v>
      </c>
      <c r="K159" s="11" t="s">
        <v>1134</v>
      </c>
      <c r="L159" s="11" t="s">
        <v>7</v>
      </c>
      <c r="M159" s="11" t="s">
        <v>334</v>
      </c>
      <c r="N159" s="18" t="str">
        <f t="shared" si="18"/>
        <v xml:space="preserve">-LAYER N C-EROS </v>
      </c>
      <c r="O159" s="11" t="str">
        <f t="shared" si="19"/>
        <v xml:space="preserve">-LAYER C white C-EROS </v>
      </c>
      <c r="P159" s="11" t="str">
        <f t="shared" si="20"/>
        <v xml:space="preserve">-LAYER L Continuous
C-EROS  </v>
      </c>
      <c r="Q159" s="11" t="str">
        <f t="shared" si="21"/>
        <v xml:space="preserve">-LAYER LW Default
C-EROS  </v>
      </c>
      <c r="R159" s="11" t="str">
        <f t="shared" si="22"/>
        <v xml:space="preserve">-LAYER TR 0
C-EROS  </v>
      </c>
      <c r="S159" s="11" t="str">
        <f t="shared" si="23"/>
        <v xml:space="preserve">-LAYER D Civil - Control de erosión y sedimentos
C-EROS  </v>
      </c>
    </row>
    <row r="160" spans="1:19" x14ac:dyDescent="0.45">
      <c r="A160" s="7">
        <v>0</v>
      </c>
      <c r="B160" s="11" t="s">
        <v>3086</v>
      </c>
      <c r="C160" s="11" t="s">
        <v>7</v>
      </c>
      <c r="D160" s="11" t="s">
        <v>1137</v>
      </c>
      <c r="E160" s="11" t="str">
        <f t="shared" si="16"/>
        <v>C-EROS-CIPR (Civil - Control de erosión y sedimentos: Protección de la entrada de la alcantarilla)</v>
      </c>
      <c r="F160" s="19" t="s">
        <v>3798</v>
      </c>
      <c r="G160" s="19" t="s">
        <v>3797</v>
      </c>
      <c r="H160" s="19" t="s">
        <v>3811</v>
      </c>
      <c r="I160" s="10">
        <v>0</v>
      </c>
      <c r="J160" s="10" t="str">
        <f t="shared" si="17"/>
        <v>Civil - Control de erosión y sedimentos: Protección de la entrada de la alcantarilla</v>
      </c>
      <c r="K160" s="11" t="s">
        <v>1135</v>
      </c>
      <c r="L160" s="11" t="s">
        <v>7</v>
      </c>
      <c r="M160" s="11" t="s">
        <v>1136</v>
      </c>
      <c r="N160" s="18" t="str">
        <f t="shared" si="18"/>
        <v xml:space="preserve">-LAYER N C-EROS-CIPR </v>
      </c>
      <c r="O160" s="11" t="str">
        <f t="shared" si="19"/>
        <v xml:space="preserve">-LAYER C white C-EROS-CIPR </v>
      </c>
      <c r="P160" s="11" t="str">
        <f t="shared" si="20"/>
        <v xml:space="preserve">-LAYER L Continuous
C-EROS-CIPR  </v>
      </c>
      <c r="Q160" s="11" t="str">
        <f t="shared" si="21"/>
        <v xml:space="preserve">-LAYER LW Default
C-EROS-CIPR  </v>
      </c>
      <c r="R160" s="11" t="str">
        <f t="shared" si="22"/>
        <v xml:space="preserve">-LAYER TR 0
C-EROS-CIPR  </v>
      </c>
      <c r="S160" s="11" t="str">
        <f t="shared" si="23"/>
        <v xml:space="preserve">-LAYER D Civil - Control de erosión y sedimentos: Protección de la entrada de la alcantarilla
C-EROS-CIPR  </v>
      </c>
    </row>
    <row r="161" spans="1:19" x14ac:dyDescent="0.45">
      <c r="A161" s="7">
        <v>0</v>
      </c>
      <c r="B161" s="11" t="s">
        <v>3087</v>
      </c>
      <c r="C161" s="11" t="s">
        <v>7</v>
      </c>
      <c r="D161" s="11" t="s">
        <v>1140</v>
      </c>
      <c r="E161" s="11" t="str">
        <f t="shared" si="16"/>
        <v>C-EROS-CNTE (Civil - Control de erosión y sedimentos: Entrada de la construcción)</v>
      </c>
      <c r="F161" s="19" t="s">
        <v>3798</v>
      </c>
      <c r="G161" s="19" t="s">
        <v>3797</v>
      </c>
      <c r="H161" s="19" t="s">
        <v>3811</v>
      </c>
      <c r="I161" s="10">
        <v>0</v>
      </c>
      <c r="J161" s="10" t="str">
        <f t="shared" si="17"/>
        <v>Civil - Control de erosión y sedimentos: Entrada de la construcción</v>
      </c>
      <c r="K161" s="11" t="s">
        <v>1138</v>
      </c>
      <c r="L161" s="11" t="s">
        <v>7</v>
      </c>
      <c r="M161" s="11" t="s">
        <v>1139</v>
      </c>
      <c r="N161" s="18" t="str">
        <f t="shared" si="18"/>
        <v xml:space="preserve">-LAYER N C-EROS-CNTE </v>
      </c>
      <c r="O161" s="11" t="str">
        <f t="shared" si="19"/>
        <v xml:space="preserve">-LAYER C white C-EROS-CNTE </v>
      </c>
      <c r="P161" s="11" t="str">
        <f t="shared" si="20"/>
        <v xml:space="preserve">-LAYER L Continuous
C-EROS-CNTE  </v>
      </c>
      <c r="Q161" s="11" t="str">
        <f t="shared" si="21"/>
        <v xml:space="preserve">-LAYER LW Default
C-EROS-CNTE  </v>
      </c>
      <c r="R161" s="11" t="str">
        <f t="shared" si="22"/>
        <v xml:space="preserve">-LAYER TR 0
C-EROS-CNTE  </v>
      </c>
      <c r="S161" s="11" t="str">
        <f t="shared" si="23"/>
        <v xml:space="preserve">-LAYER D Civil - Control de erosión y sedimentos: Entrada de la construcción
C-EROS-CNTE  </v>
      </c>
    </row>
    <row r="162" spans="1:19" x14ac:dyDescent="0.45">
      <c r="A162" s="7">
        <v>0</v>
      </c>
      <c r="B162" s="11" t="s">
        <v>3088</v>
      </c>
      <c r="C162" s="11" t="s">
        <v>7</v>
      </c>
      <c r="D162" s="11" t="s">
        <v>1143</v>
      </c>
      <c r="E162" s="11" t="str">
        <f t="shared" si="16"/>
        <v>C-EROS-DDIV (Civil - Control de erosión y sedimentos: Divisorias de drenaje)</v>
      </c>
      <c r="F162" s="19" t="s">
        <v>3798</v>
      </c>
      <c r="G162" s="19" t="s">
        <v>3797</v>
      </c>
      <c r="H162" s="19" t="s">
        <v>3811</v>
      </c>
      <c r="I162" s="10">
        <v>0</v>
      </c>
      <c r="J162" s="10" t="str">
        <f t="shared" si="17"/>
        <v>Civil - Control de erosión y sedimentos: Divisorias de drenaje</v>
      </c>
      <c r="K162" s="11" t="s">
        <v>1141</v>
      </c>
      <c r="L162" s="11" t="s">
        <v>7</v>
      </c>
      <c r="M162" s="11" t="s">
        <v>1142</v>
      </c>
      <c r="N162" s="18" t="str">
        <f t="shared" si="18"/>
        <v xml:space="preserve">-LAYER N C-EROS-DDIV </v>
      </c>
      <c r="O162" s="11" t="str">
        <f t="shared" si="19"/>
        <v xml:space="preserve">-LAYER C white C-EROS-DDIV </v>
      </c>
      <c r="P162" s="11" t="str">
        <f t="shared" si="20"/>
        <v xml:space="preserve">-LAYER L Continuous
C-EROS-DDIV  </v>
      </c>
      <c r="Q162" s="11" t="str">
        <f t="shared" si="21"/>
        <v xml:space="preserve">-LAYER LW Default
C-EROS-DDIV  </v>
      </c>
      <c r="R162" s="11" t="str">
        <f t="shared" si="22"/>
        <v xml:space="preserve">-LAYER TR 0
C-EROS-DDIV  </v>
      </c>
      <c r="S162" s="11" t="str">
        <f t="shared" si="23"/>
        <v xml:space="preserve">-LAYER D Civil - Control de erosión y sedimentos: Divisorias de drenaje
C-EROS-DDIV  </v>
      </c>
    </row>
    <row r="163" spans="1:19" x14ac:dyDescent="0.45">
      <c r="A163" s="7">
        <v>0</v>
      </c>
      <c r="B163" s="11" t="s">
        <v>3089</v>
      </c>
      <c r="C163" s="11" t="s">
        <v>7</v>
      </c>
      <c r="D163" s="11" t="s">
        <v>1146</v>
      </c>
      <c r="E163" s="11" t="str">
        <f t="shared" si="16"/>
        <v>C-EROS-DVDK (Civil - Control de erosión y sedimentos: Dique de derivación)</v>
      </c>
      <c r="F163" s="19" t="s">
        <v>3798</v>
      </c>
      <c r="G163" s="19" t="s">
        <v>3797</v>
      </c>
      <c r="H163" s="19" t="s">
        <v>3811</v>
      </c>
      <c r="I163" s="10">
        <v>0</v>
      </c>
      <c r="J163" s="10" t="str">
        <f t="shared" si="17"/>
        <v>Civil - Control de erosión y sedimentos: Dique de derivación</v>
      </c>
      <c r="K163" s="11" t="s">
        <v>1144</v>
      </c>
      <c r="L163" s="11" t="s">
        <v>7</v>
      </c>
      <c r="M163" s="11" t="s">
        <v>1145</v>
      </c>
      <c r="N163" s="18" t="str">
        <f t="shared" si="18"/>
        <v xml:space="preserve">-LAYER N C-EROS-DVDK </v>
      </c>
      <c r="O163" s="11" t="str">
        <f t="shared" si="19"/>
        <v xml:space="preserve">-LAYER C white C-EROS-DVDK </v>
      </c>
      <c r="P163" s="11" t="str">
        <f t="shared" si="20"/>
        <v xml:space="preserve">-LAYER L Continuous
C-EROS-DVDK  </v>
      </c>
      <c r="Q163" s="11" t="str">
        <f t="shared" si="21"/>
        <v xml:space="preserve">-LAYER LW Default
C-EROS-DVDK  </v>
      </c>
      <c r="R163" s="11" t="str">
        <f t="shared" si="22"/>
        <v xml:space="preserve">-LAYER TR 0
C-EROS-DVDK  </v>
      </c>
      <c r="S163" s="11" t="str">
        <f t="shared" si="23"/>
        <v xml:space="preserve">-LAYER D Civil - Control de erosión y sedimentos: Dique de derivación
C-EROS-DVDK  </v>
      </c>
    </row>
    <row r="164" spans="1:19" x14ac:dyDescent="0.45">
      <c r="A164" s="7">
        <v>0</v>
      </c>
      <c r="B164" s="11" t="s">
        <v>3090</v>
      </c>
      <c r="C164" s="11" t="s">
        <v>7</v>
      </c>
      <c r="D164" s="11" t="s">
        <v>1149</v>
      </c>
      <c r="E164" s="11" t="str">
        <f t="shared" si="16"/>
        <v>C-EROS-INPR (Civil - Control de erosión y sedimentos: Protección de la entrada)</v>
      </c>
      <c r="F164" s="19" t="s">
        <v>3798</v>
      </c>
      <c r="G164" s="19" t="s">
        <v>3797</v>
      </c>
      <c r="H164" s="19" t="s">
        <v>3811</v>
      </c>
      <c r="I164" s="10">
        <v>0</v>
      </c>
      <c r="J164" s="10" t="str">
        <f t="shared" si="17"/>
        <v>Civil - Control de erosión y sedimentos: Protección de la entrada</v>
      </c>
      <c r="K164" s="11" t="s">
        <v>1147</v>
      </c>
      <c r="L164" s="11" t="s">
        <v>7</v>
      </c>
      <c r="M164" s="11" t="s">
        <v>1148</v>
      </c>
      <c r="N164" s="18" t="str">
        <f t="shared" si="18"/>
        <v xml:space="preserve">-LAYER N C-EROS-INPR </v>
      </c>
      <c r="O164" s="11" t="str">
        <f t="shared" si="19"/>
        <v xml:space="preserve">-LAYER C white C-EROS-INPR </v>
      </c>
      <c r="P164" s="11" t="str">
        <f t="shared" si="20"/>
        <v xml:space="preserve">-LAYER L Continuous
C-EROS-INPR  </v>
      </c>
      <c r="Q164" s="11" t="str">
        <f t="shared" si="21"/>
        <v xml:space="preserve">-LAYER LW Default
C-EROS-INPR  </v>
      </c>
      <c r="R164" s="11" t="str">
        <f t="shared" si="22"/>
        <v xml:space="preserve">-LAYER TR 0
C-EROS-INPR  </v>
      </c>
      <c r="S164" s="11" t="str">
        <f t="shared" si="23"/>
        <v xml:space="preserve">-LAYER D Civil - Control de erosión y sedimentos: Protección de la entrada
C-EROS-INPR  </v>
      </c>
    </row>
    <row r="165" spans="1:19" x14ac:dyDescent="0.45">
      <c r="A165" s="7">
        <v>0</v>
      </c>
      <c r="B165" s="11" t="s">
        <v>3091</v>
      </c>
      <c r="C165" s="11" t="s">
        <v>7</v>
      </c>
      <c r="D165" s="11" t="s">
        <v>1152</v>
      </c>
      <c r="E165" s="11" t="str">
        <f t="shared" si="16"/>
        <v>C-EROS-SILT (Civil - Control de erosión y sedimentos: Barrera de sedimentos)</v>
      </c>
      <c r="F165" s="19" t="s">
        <v>3798</v>
      </c>
      <c r="G165" s="19" t="s">
        <v>3797</v>
      </c>
      <c r="H165" s="19" t="s">
        <v>3811</v>
      </c>
      <c r="I165" s="10">
        <v>0</v>
      </c>
      <c r="J165" s="10" t="str">
        <f t="shared" si="17"/>
        <v>Civil - Control de erosión y sedimentos: Barrera de sedimentos</v>
      </c>
      <c r="K165" s="11" t="s">
        <v>1150</v>
      </c>
      <c r="L165" s="11" t="s">
        <v>7</v>
      </c>
      <c r="M165" s="11" t="s">
        <v>1151</v>
      </c>
      <c r="N165" s="18" t="str">
        <f t="shared" si="18"/>
        <v xml:space="preserve">-LAYER N C-EROS-SILT </v>
      </c>
      <c r="O165" s="11" t="str">
        <f t="shared" si="19"/>
        <v xml:space="preserve">-LAYER C white C-EROS-SILT </v>
      </c>
      <c r="P165" s="11" t="str">
        <f t="shared" si="20"/>
        <v xml:space="preserve">-LAYER L Continuous
C-EROS-SILT  </v>
      </c>
      <c r="Q165" s="11" t="str">
        <f t="shared" si="21"/>
        <v xml:space="preserve">-LAYER LW Default
C-EROS-SILT  </v>
      </c>
      <c r="R165" s="11" t="str">
        <f t="shared" si="22"/>
        <v xml:space="preserve">-LAYER TR 0
C-EROS-SILT  </v>
      </c>
      <c r="S165" s="11" t="str">
        <f t="shared" si="23"/>
        <v xml:space="preserve">-LAYER D Civil - Control de erosión y sedimentos: Barrera de sedimentos
C-EROS-SILT  </v>
      </c>
    </row>
    <row r="166" spans="1:19" x14ac:dyDescent="0.45">
      <c r="A166" s="7">
        <v>0</v>
      </c>
      <c r="B166" s="11" t="s">
        <v>3092</v>
      </c>
      <c r="C166" s="11" t="s">
        <v>7</v>
      </c>
      <c r="D166" s="11" t="s">
        <v>1155</v>
      </c>
      <c r="E166" s="11" t="str">
        <f t="shared" si="16"/>
        <v>C-EROS-SSLT (Civil - Control de erosión y sedimentos: Superlimo Cerca)</v>
      </c>
      <c r="F166" s="19" t="s">
        <v>3798</v>
      </c>
      <c r="G166" s="19" t="s">
        <v>3797</v>
      </c>
      <c r="H166" s="19" t="s">
        <v>3811</v>
      </c>
      <c r="I166" s="10">
        <v>0</v>
      </c>
      <c r="J166" s="10" t="str">
        <f t="shared" si="17"/>
        <v>Civil - Control de erosión y sedimentos: Superlimo Cerca</v>
      </c>
      <c r="K166" s="11" t="s">
        <v>1153</v>
      </c>
      <c r="L166" s="11" t="s">
        <v>7</v>
      </c>
      <c r="M166" s="11" t="s">
        <v>1154</v>
      </c>
      <c r="N166" s="18" t="str">
        <f t="shared" si="18"/>
        <v xml:space="preserve">-LAYER N C-EROS-SSLT </v>
      </c>
      <c r="O166" s="11" t="str">
        <f t="shared" si="19"/>
        <v xml:space="preserve">-LAYER C white C-EROS-SSLT </v>
      </c>
      <c r="P166" s="11" t="str">
        <f t="shared" si="20"/>
        <v xml:space="preserve">-LAYER L Continuous
C-EROS-SSLT  </v>
      </c>
      <c r="Q166" s="11" t="str">
        <f t="shared" si="21"/>
        <v xml:space="preserve">-LAYER LW Default
C-EROS-SSLT  </v>
      </c>
      <c r="R166" s="11" t="str">
        <f t="shared" si="22"/>
        <v xml:space="preserve">-LAYER TR 0
C-EROS-SSLT  </v>
      </c>
      <c r="S166" s="11" t="str">
        <f t="shared" si="23"/>
        <v xml:space="preserve">-LAYER D Civil - Control de erosión y sedimentos: Superlimo Cerca
C-EROS-SSLT  </v>
      </c>
    </row>
    <row r="167" spans="1:19" x14ac:dyDescent="0.45">
      <c r="A167" s="7">
        <v>1</v>
      </c>
      <c r="B167" s="11" t="s">
        <v>3093</v>
      </c>
      <c r="C167" s="11" t="s">
        <v>7</v>
      </c>
      <c r="D167" s="11" t="s">
        <v>338</v>
      </c>
      <c r="E167" s="11" t="str">
        <f t="shared" si="16"/>
        <v>C-ESMT (Civil - Servidumbres)</v>
      </c>
      <c r="F167" s="19" t="s">
        <v>3798</v>
      </c>
      <c r="G167" s="19" t="s">
        <v>3797</v>
      </c>
      <c r="H167" s="19" t="s">
        <v>3811</v>
      </c>
      <c r="I167" s="10">
        <v>0</v>
      </c>
      <c r="J167" s="10" t="str">
        <f t="shared" si="17"/>
        <v>Civil - Servidumbres</v>
      </c>
      <c r="K167" s="11" t="s">
        <v>1156</v>
      </c>
      <c r="L167" s="11" t="s">
        <v>7</v>
      </c>
      <c r="M167" s="11" t="s">
        <v>337</v>
      </c>
      <c r="N167" s="18" t="str">
        <f t="shared" si="18"/>
        <v xml:space="preserve">-LAYER N C-ESMT </v>
      </c>
      <c r="O167" s="11" t="str">
        <f t="shared" si="19"/>
        <v xml:space="preserve">-LAYER C white C-ESMT </v>
      </c>
      <c r="P167" s="11" t="str">
        <f t="shared" si="20"/>
        <v xml:space="preserve">-LAYER L Continuous
C-ESMT  </v>
      </c>
      <c r="Q167" s="11" t="str">
        <f t="shared" si="21"/>
        <v xml:space="preserve">-LAYER LW Default
C-ESMT  </v>
      </c>
      <c r="R167" s="11" t="str">
        <f t="shared" si="22"/>
        <v xml:space="preserve">-LAYER TR 0
C-ESMT  </v>
      </c>
      <c r="S167" s="11" t="str">
        <f t="shared" si="23"/>
        <v xml:space="preserve">-LAYER D Civil - Servidumbres
C-ESMT  </v>
      </c>
    </row>
    <row r="168" spans="1:19" x14ac:dyDescent="0.45">
      <c r="A168" s="7">
        <v>0</v>
      </c>
      <c r="B168" s="11" t="s">
        <v>3094</v>
      </c>
      <c r="C168" s="11" t="s">
        <v>7</v>
      </c>
      <c r="D168" s="11" t="s">
        <v>1159</v>
      </c>
      <c r="E168" s="11" t="str">
        <f t="shared" si="16"/>
        <v>C-ESMT-ACCS (Civil - Servidumbres: acceso (solo para peatones; acceso privado))</v>
      </c>
      <c r="F168" s="19" t="s">
        <v>3798</v>
      </c>
      <c r="G168" s="19" t="s">
        <v>3797</v>
      </c>
      <c r="H168" s="19" t="s">
        <v>3811</v>
      </c>
      <c r="I168" s="10">
        <v>0</v>
      </c>
      <c r="J168" s="10" t="str">
        <f t="shared" si="17"/>
        <v>Civil - Servidumbres: acceso (solo para peatones; acceso privado)</v>
      </c>
      <c r="K168" s="11" t="s">
        <v>1157</v>
      </c>
      <c r="L168" s="11" t="s">
        <v>7</v>
      </c>
      <c r="M168" s="11" t="s">
        <v>1158</v>
      </c>
      <c r="N168" s="18" t="str">
        <f t="shared" si="18"/>
        <v xml:space="preserve">-LAYER N C-ESMT-ACCS </v>
      </c>
      <c r="O168" s="11" t="str">
        <f t="shared" si="19"/>
        <v xml:space="preserve">-LAYER C white C-ESMT-ACCS </v>
      </c>
      <c r="P168" s="11" t="str">
        <f t="shared" si="20"/>
        <v xml:space="preserve">-LAYER L Continuous
C-ESMT-ACCS  </v>
      </c>
      <c r="Q168" s="11" t="str">
        <f t="shared" si="21"/>
        <v xml:space="preserve">-LAYER LW Default
C-ESMT-ACCS  </v>
      </c>
      <c r="R168" s="11" t="str">
        <f t="shared" si="22"/>
        <v xml:space="preserve">-LAYER TR 0
C-ESMT-ACCS  </v>
      </c>
      <c r="S168" s="11" t="str">
        <f t="shared" si="23"/>
        <v xml:space="preserve">-LAYER D Civil - Servidumbres: acceso (solo para peatones; acceso privado)
C-ESMT-ACCS  </v>
      </c>
    </row>
    <row r="169" spans="1:19" x14ac:dyDescent="0.45">
      <c r="A169" s="7">
        <v>0</v>
      </c>
      <c r="B169" s="11" t="s">
        <v>3095</v>
      </c>
      <c r="C169" s="11" t="s">
        <v>7</v>
      </c>
      <c r="D169" s="11" t="s">
        <v>1162</v>
      </c>
      <c r="E169" s="11" t="str">
        <f t="shared" si="16"/>
        <v>C-ESMT-CATV (Civil - Servidumbres: servicios públicos - sistema de televisión por cable)</v>
      </c>
      <c r="F169" s="19" t="s">
        <v>3798</v>
      </c>
      <c r="G169" s="19" t="s">
        <v>3797</v>
      </c>
      <c r="H169" s="19" t="s">
        <v>3811</v>
      </c>
      <c r="I169" s="10">
        <v>0</v>
      </c>
      <c r="J169" s="10" t="str">
        <f t="shared" si="17"/>
        <v>Civil - Servidumbres: servicios públicos - sistema de televisión por cable</v>
      </c>
      <c r="K169" s="11" t="s">
        <v>1160</v>
      </c>
      <c r="L169" s="11" t="s">
        <v>7</v>
      </c>
      <c r="M169" s="11" t="s">
        <v>1161</v>
      </c>
      <c r="N169" s="18" t="str">
        <f t="shared" si="18"/>
        <v xml:space="preserve">-LAYER N C-ESMT-CATV </v>
      </c>
      <c r="O169" s="11" t="str">
        <f t="shared" si="19"/>
        <v xml:space="preserve">-LAYER C white C-ESMT-CATV </v>
      </c>
      <c r="P169" s="11" t="str">
        <f t="shared" si="20"/>
        <v xml:space="preserve">-LAYER L Continuous
C-ESMT-CATV  </v>
      </c>
      <c r="Q169" s="11" t="str">
        <f t="shared" si="21"/>
        <v xml:space="preserve">-LAYER LW Default
C-ESMT-CATV  </v>
      </c>
      <c r="R169" s="11" t="str">
        <f t="shared" si="22"/>
        <v xml:space="preserve">-LAYER TR 0
C-ESMT-CATV  </v>
      </c>
      <c r="S169" s="11" t="str">
        <f t="shared" si="23"/>
        <v xml:space="preserve">-LAYER D Civil - Servidumbres: servicios públicos - sistema de televisión por cable
C-ESMT-CATV  </v>
      </c>
    </row>
    <row r="170" spans="1:19" x14ac:dyDescent="0.45">
      <c r="A170" s="7">
        <v>0</v>
      </c>
      <c r="B170" s="11" t="s">
        <v>3096</v>
      </c>
      <c r="C170" s="11" t="s">
        <v>7</v>
      </c>
      <c r="D170" s="11" t="s">
        <v>1165</v>
      </c>
      <c r="E170" s="11" t="str">
        <f t="shared" si="16"/>
        <v>C-ESMT-CONS (Civil - Servidumbres: conservación)</v>
      </c>
      <c r="F170" s="19" t="s">
        <v>3798</v>
      </c>
      <c r="G170" s="19" t="s">
        <v>3797</v>
      </c>
      <c r="H170" s="19" t="s">
        <v>3811</v>
      </c>
      <c r="I170" s="10">
        <v>0</v>
      </c>
      <c r="J170" s="10" t="str">
        <f t="shared" si="17"/>
        <v>Civil - Servidumbres: conservación</v>
      </c>
      <c r="K170" s="11" t="s">
        <v>1163</v>
      </c>
      <c r="L170" s="11" t="s">
        <v>7</v>
      </c>
      <c r="M170" s="11" t="s">
        <v>1164</v>
      </c>
      <c r="N170" s="18" t="str">
        <f t="shared" si="18"/>
        <v xml:space="preserve">-LAYER N C-ESMT-CONS </v>
      </c>
      <c r="O170" s="11" t="str">
        <f t="shared" si="19"/>
        <v xml:space="preserve">-LAYER C white C-ESMT-CONS </v>
      </c>
      <c r="P170" s="11" t="str">
        <f t="shared" si="20"/>
        <v xml:space="preserve">-LAYER L Continuous
C-ESMT-CONS  </v>
      </c>
      <c r="Q170" s="11" t="str">
        <f t="shared" si="21"/>
        <v xml:space="preserve">-LAYER LW Default
C-ESMT-CONS  </v>
      </c>
      <c r="R170" s="11" t="str">
        <f t="shared" si="22"/>
        <v xml:space="preserve">-LAYER TR 0
C-ESMT-CONS  </v>
      </c>
      <c r="S170" s="11" t="str">
        <f t="shared" si="23"/>
        <v xml:space="preserve">-LAYER D Civil - Servidumbres: conservación
C-ESMT-CONS  </v>
      </c>
    </row>
    <row r="171" spans="1:19" x14ac:dyDescent="0.45">
      <c r="A171" s="7">
        <v>0</v>
      </c>
      <c r="B171" s="11" t="s">
        <v>3097</v>
      </c>
      <c r="C171" s="11" t="s">
        <v>7</v>
      </c>
      <c r="D171" s="11" t="s">
        <v>1168</v>
      </c>
      <c r="E171" s="11" t="str">
        <f t="shared" si="16"/>
        <v>C-ESMT-CSTG (Civil - Servidumbres: construcción/nivelación)</v>
      </c>
      <c r="F171" s="19" t="s">
        <v>3798</v>
      </c>
      <c r="G171" s="19" t="s">
        <v>3797</v>
      </c>
      <c r="H171" s="19" t="s">
        <v>3811</v>
      </c>
      <c r="I171" s="10">
        <v>0</v>
      </c>
      <c r="J171" s="10" t="str">
        <f t="shared" si="17"/>
        <v>Civil - Servidumbres: construcción/nivelación</v>
      </c>
      <c r="K171" s="11" t="s">
        <v>1166</v>
      </c>
      <c r="L171" s="11" t="s">
        <v>7</v>
      </c>
      <c r="M171" s="11" t="s">
        <v>1167</v>
      </c>
      <c r="N171" s="18" t="str">
        <f t="shared" si="18"/>
        <v xml:space="preserve">-LAYER N C-ESMT-CSTG </v>
      </c>
      <c r="O171" s="11" t="str">
        <f t="shared" si="19"/>
        <v xml:space="preserve">-LAYER C white C-ESMT-CSTG </v>
      </c>
      <c r="P171" s="11" t="str">
        <f t="shared" si="20"/>
        <v xml:space="preserve">-LAYER L Continuous
C-ESMT-CSTG  </v>
      </c>
      <c r="Q171" s="11" t="str">
        <f t="shared" si="21"/>
        <v xml:space="preserve">-LAYER LW Default
C-ESMT-CSTG  </v>
      </c>
      <c r="R171" s="11" t="str">
        <f t="shared" si="22"/>
        <v xml:space="preserve">-LAYER TR 0
C-ESMT-CSTG  </v>
      </c>
      <c r="S171" s="11" t="str">
        <f t="shared" si="23"/>
        <v xml:space="preserve">-LAYER D Civil - Servidumbres: construcción/nivelación
C-ESMT-CSTG  </v>
      </c>
    </row>
    <row r="172" spans="1:19" x14ac:dyDescent="0.45">
      <c r="A172" s="7">
        <v>0</v>
      </c>
      <c r="B172" s="11" t="s">
        <v>3098</v>
      </c>
      <c r="C172" s="11" t="s">
        <v>7</v>
      </c>
      <c r="D172" s="11" t="s">
        <v>1171</v>
      </c>
      <c r="E172" s="11" t="str">
        <f t="shared" si="16"/>
        <v>C-ESMT-ELEC (Civil - Servidumbres: electricidad)</v>
      </c>
      <c r="F172" s="19" t="s">
        <v>3798</v>
      </c>
      <c r="G172" s="19" t="s">
        <v>3797</v>
      </c>
      <c r="H172" s="19" t="s">
        <v>3811</v>
      </c>
      <c r="I172" s="10">
        <v>0</v>
      </c>
      <c r="J172" s="10" t="str">
        <f t="shared" si="17"/>
        <v>Civil - Servidumbres: electricidad</v>
      </c>
      <c r="K172" s="11" t="s">
        <v>1169</v>
      </c>
      <c r="L172" s="11" t="s">
        <v>7</v>
      </c>
      <c r="M172" s="11" t="s">
        <v>1170</v>
      </c>
      <c r="N172" s="18" t="str">
        <f t="shared" si="18"/>
        <v xml:space="preserve">-LAYER N C-ESMT-ELEC </v>
      </c>
      <c r="O172" s="11" t="str">
        <f t="shared" si="19"/>
        <v xml:space="preserve">-LAYER C white C-ESMT-ELEC </v>
      </c>
      <c r="P172" s="11" t="str">
        <f t="shared" si="20"/>
        <v xml:space="preserve">-LAYER L Continuous
C-ESMT-ELEC  </v>
      </c>
      <c r="Q172" s="11" t="str">
        <f t="shared" si="21"/>
        <v xml:space="preserve">-LAYER LW Default
C-ESMT-ELEC  </v>
      </c>
      <c r="R172" s="11" t="str">
        <f t="shared" si="22"/>
        <v xml:space="preserve">-LAYER TR 0
C-ESMT-ELEC  </v>
      </c>
      <c r="S172" s="11" t="str">
        <f t="shared" si="23"/>
        <v xml:space="preserve">-LAYER D Civil - Servidumbres: electricidad
C-ESMT-ELEC  </v>
      </c>
    </row>
    <row r="173" spans="1:19" x14ac:dyDescent="0.45">
      <c r="A173" s="7">
        <v>0</v>
      </c>
      <c r="B173" s="11" t="s">
        <v>3099</v>
      </c>
      <c r="C173" s="11" t="s">
        <v>7</v>
      </c>
      <c r="D173" s="11" t="s">
        <v>1174</v>
      </c>
      <c r="E173" s="11" t="str">
        <f t="shared" si="16"/>
        <v>C-ESMT-FDPL (Civil - Servidumbres: llanura aluvial)</v>
      </c>
      <c r="F173" s="19" t="s">
        <v>3798</v>
      </c>
      <c r="G173" s="19" t="s">
        <v>3797</v>
      </c>
      <c r="H173" s="19" t="s">
        <v>3811</v>
      </c>
      <c r="I173" s="10">
        <v>0</v>
      </c>
      <c r="J173" s="10" t="str">
        <f t="shared" si="17"/>
        <v>Civil - Servidumbres: llanura aluvial</v>
      </c>
      <c r="K173" s="11" t="s">
        <v>1172</v>
      </c>
      <c r="L173" s="11" t="s">
        <v>7</v>
      </c>
      <c r="M173" s="11" t="s">
        <v>1173</v>
      </c>
      <c r="N173" s="18" t="str">
        <f t="shared" si="18"/>
        <v xml:space="preserve">-LAYER N C-ESMT-FDPL </v>
      </c>
      <c r="O173" s="11" t="str">
        <f t="shared" si="19"/>
        <v xml:space="preserve">-LAYER C white C-ESMT-FDPL </v>
      </c>
      <c r="P173" s="11" t="str">
        <f t="shared" si="20"/>
        <v xml:space="preserve">-LAYER L Continuous
C-ESMT-FDPL  </v>
      </c>
      <c r="Q173" s="11" t="str">
        <f t="shared" si="21"/>
        <v xml:space="preserve">-LAYER LW Default
C-ESMT-FDPL  </v>
      </c>
      <c r="R173" s="11" t="str">
        <f t="shared" si="22"/>
        <v xml:space="preserve">-LAYER TR 0
C-ESMT-FDPL  </v>
      </c>
      <c r="S173" s="11" t="str">
        <f t="shared" si="23"/>
        <v xml:space="preserve">-LAYER D Civil - Servidumbres: llanura aluvial
C-ESMT-FDPL  </v>
      </c>
    </row>
    <row r="174" spans="1:19" x14ac:dyDescent="0.45">
      <c r="A174" s="7">
        <v>0</v>
      </c>
      <c r="B174" s="11" t="s">
        <v>3100</v>
      </c>
      <c r="C174" s="11" t="s">
        <v>7</v>
      </c>
      <c r="D174" s="11" t="s">
        <v>1177</v>
      </c>
      <c r="E174" s="11" t="str">
        <f t="shared" si="16"/>
        <v>C-ESMT-INEG (Civil - Servidumbres: entrada/salida (vehículos; acceso privado))</v>
      </c>
      <c r="F174" s="19" t="s">
        <v>3798</v>
      </c>
      <c r="G174" s="19" t="s">
        <v>3797</v>
      </c>
      <c r="H174" s="19" t="s">
        <v>3811</v>
      </c>
      <c r="I174" s="10">
        <v>0</v>
      </c>
      <c r="J174" s="10" t="str">
        <f t="shared" si="17"/>
        <v>Civil - Servidumbres: entrada/salida (vehículos; acceso privado)</v>
      </c>
      <c r="K174" s="11" t="s">
        <v>1175</v>
      </c>
      <c r="L174" s="11" t="s">
        <v>7</v>
      </c>
      <c r="M174" s="11" t="s">
        <v>1176</v>
      </c>
      <c r="N174" s="18" t="str">
        <f t="shared" si="18"/>
        <v xml:space="preserve">-LAYER N C-ESMT-INEG </v>
      </c>
      <c r="O174" s="11" t="str">
        <f t="shared" si="19"/>
        <v xml:space="preserve">-LAYER C white C-ESMT-INEG </v>
      </c>
      <c r="P174" s="11" t="str">
        <f t="shared" si="20"/>
        <v xml:space="preserve">-LAYER L Continuous
C-ESMT-INEG  </v>
      </c>
      <c r="Q174" s="11" t="str">
        <f t="shared" si="21"/>
        <v xml:space="preserve">-LAYER LW Default
C-ESMT-INEG  </v>
      </c>
      <c r="R174" s="11" t="str">
        <f t="shared" si="22"/>
        <v xml:space="preserve">-LAYER TR 0
C-ESMT-INEG  </v>
      </c>
      <c r="S174" s="11" t="str">
        <f t="shared" si="23"/>
        <v xml:space="preserve">-LAYER D Civil - Servidumbres: entrada/salida (vehículos; acceso privado)
C-ESMT-INEG  </v>
      </c>
    </row>
    <row r="175" spans="1:19" x14ac:dyDescent="0.45">
      <c r="A175" s="7">
        <v>0</v>
      </c>
      <c r="B175" s="11" t="s">
        <v>3101</v>
      </c>
      <c r="C175" s="11" t="s">
        <v>7</v>
      </c>
      <c r="D175" s="11" t="s">
        <v>1180</v>
      </c>
      <c r="E175" s="11" t="str">
        <f t="shared" si="16"/>
        <v>C-ESMT-LSCP (Civil - Servidumbres: paisajismo)</v>
      </c>
      <c r="F175" s="19" t="s">
        <v>3798</v>
      </c>
      <c r="G175" s="19" t="s">
        <v>3797</v>
      </c>
      <c r="H175" s="19" t="s">
        <v>3811</v>
      </c>
      <c r="I175" s="10">
        <v>0</v>
      </c>
      <c r="J175" s="10" t="str">
        <f t="shared" si="17"/>
        <v>Civil - Servidumbres: paisajismo</v>
      </c>
      <c r="K175" s="11" t="s">
        <v>1178</v>
      </c>
      <c r="L175" s="11" t="s">
        <v>7</v>
      </c>
      <c r="M175" s="11" t="s">
        <v>1179</v>
      </c>
      <c r="N175" s="18" t="str">
        <f t="shared" si="18"/>
        <v xml:space="preserve">-LAYER N C-ESMT-LSCP </v>
      </c>
      <c r="O175" s="11" t="str">
        <f t="shared" si="19"/>
        <v xml:space="preserve">-LAYER C white C-ESMT-LSCP </v>
      </c>
      <c r="P175" s="11" t="str">
        <f t="shared" si="20"/>
        <v xml:space="preserve">-LAYER L Continuous
C-ESMT-LSCP  </v>
      </c>
      <c r="Q175" s="11" t="str">
        <f t="shared" si="21"/>
        <v xml:space="preserve">-LAYER LW Default
C-ESMT-LSCP  </v>
      </c>
      <c r="R175" s="11" t="str">
        <f t="shared" si="22"/>
        <v xml:space="preserve">-LAYER TR 0
C-ESMT-LSCP  </v>
      </c>
      <c r="S175" s="11" t="str">
        <f t="shared" si="23"/>
        <v xml:space="preserve">-LAYER D Civil - Servidumbres: paisajismo
C-ESMT-LSCP  </v>
      </c>
    </row>
    <row r="176" spans="1:19" x14ac:dyDescent="0.45">
      <c r="A176" s="7">
        <v>0</v>
      </c>
      <c r="B176" s="11" t="s">
        <v>3102</v>
      </c>
      <c r="C176" s="11" t="s">
        <v>7</v>
      </c>
      <c r="D176" s="11" t="s">
        <v>1183</v>
      </c>
      <c r="E176" s="11" t="str">
        <f t="shared" si="16"/>
        <v>C-ESMT-NGAS (Civil - Servidumbres: línea de gas natural)</v>
      </c>
      <c r="F176" s="19" t="s">
        <v>3798</v>
      </c>
      <c r="G176" s="19" t="s">
        <v>3797</v>
      </c>
      <c r="H176" s="19" t="s">
        <v>3811</v>
      </c>
      <c r="I176" s="10">
        <v>0</v>
      </c>
      <c r="J176" s="10" t="str">
        <f t="shared" si="17"/>
        <v>Civil - Servidumbres: línea de gas natural</v>
      </c>
      <c r="K176" s="11" t="s">
        <v>1181</v>
      </c>
      <c r="L176" s="11" t="s">
        <v>7</v>
      </c>
      <c r="M176" s="11" t="s">
        <v>1182</v>
      </c>
      <c r="N176" s="18" t="str">
        <f t="shared" si="18"/>
        <v xml:space="preserve">-LAYER N C-ESMT-NGAS </v>
      </c>
      <c r="O176" s="11" t="str">
        <f t="shared" si="19"/>
        <v xml:space="preserve">-LAYER C white C-ESMT-NGAS </v>
      </c>
      <c r="P176" s="11" t="str">
        <f t="shared" si="20"/>
        <v xml:space="preserve">-LAYER L Continuous
C-ESMT-NGAS  </v>
      </c>
      <c r="Q176" s="11" t="str">
        <f t="shared" si="21"/>
        <v xml:space="preserve">-LAYER LW Default
C-ESMT-NGAS  </v>
      </c>
      <c r="R176" s="11" t="str">
        <f t="shared" si="22"/>
        <v xml:space="preserve">-LAYER TR 0
C-ESMT-NGAS  </v>
      </c>
      <c r="S176" s="11" t="str">
        <f t="shared" si="23"/>
        <v xml:space="preserve">-LAYER D Civil - Servidumbres: línea de gas natural
C-ESMT-NGAS  </v>
      </c>
    </row>
    <row r="177" spans="1:19" x14ac:dyDescent="0.45">
      <c r="A177" s="7">
        <v>0</v>
      </c>
      <c r="B177" s="11" t="s">
        <v>3103</v>
      </c>
      <c r="C177" s="11" t="s">
        <v>7</v>
      </c>
      <c r="D177" s="11" t="s">
        <v>1186</v>
      </c>
      <c r="E177" s="11" t="str">
        <f t="shared" si="16"/>
        <v>C-ESMT-PHON (Civil - Servidumbres: línea telefónica)</v>
      </c>
      <c r="F177" s="19" t="s">
        <v>3798</v>
      </c>
      <c r="G177" s="19" t="s">
        <v>3797</v>
      </c>
      <c r="H177" s="19" t="s">
        <v>3811</v>
      </c>
      <c r="I177" s="10">
        <v>0</v>
      </c>
      <c r="J177" s="10" t="str">
        <f t="shared" si="17"/>
        <v>Civil - Servidumbres: línea telefónica</v>
      </c>
      <c r="K177" s="11" t="s">
        <v>1184</v>
      </c>
      <c r="L177" s="11" t="s">
        <v>7</v>
      </c>
      <c r="M177" s="11" t="s">
        <v>1185</v>
      </c>
      <c r="N177" s="18" t="str">
        <f t="shared" si="18"/>
        <v xml:space="preserve">-LAYER N C-ESMT-PHON </v>
      </c>
      <c r="O177" s="11" t="str">
        <f t="shared" si="19"/>
        <v xml:space="preserve">-LAYER C white C-ESMT-PHON </v>
      </c>
      <c r="P177" s="11" t="str">
        <f t="shared" si="20"/>
        <v xml:space="preserve">-LAYER L Continuous
C-ESMT-PHON  </v>
      </c>
      <c r="Q177" s="11" t="str">
        <f t="shared" si="21"/>
        <v xml:space="preserve">-LAYER LW Default
C-ESMT-PHON  </v>
      </c>
      <c r="R177" s="11" t="str">
        <f t="shared" si="22"/>
        <v xml:space="preserve">-LAYER TR 0
C-ESMT-PHON  </v>
      </c>
      <c r="S177" s="11" t="str">
        <f t="shared" si="23"/>
        <v xml:space="preserve">-LAYER D Civil - Servidumbres: línea telefónica
C-ESMT-PHON  </v>
      </c>
    </row>
    <row r="178" spans="1:19" x14ac:dyDescent="0.45">
      <c r="A178" s="7">
        <v>0</v>
      </c>
      <c r="B178" s="11" t="s">
        <v>3104</v>
      </c>
      <c r="C178" s="11" t="s">
        <v>7</v>
      </c>
      <c r="D178" s="11" t="s">
        <v>1189</v>
      </c>
      <c r="E178" s="11" t="str">
        <f t="shared" si="16"/>
        <v>C-ESMT-ROAD (Civil - Servidumbres: carretera)</v>
      </c>
      <c r="F178" s="19" t="s">
        <v>3798</v>
      </c>
      <c r="G178" s="19" t="s">
        <v>3797</v>
      </c>
      <c r="H178" s="19" t="s">
        <v>3811</v>
      </c>
      <c r="I178" s="10">
        <v>0</v>
      </c>
      <c r="J178" s="10" t="str">
        <f t="shared" si="17"/>
        <v>Civil - Servidumbres: carretera</v>
      </c>
      <c r="K178" s="11" t="s">
        <v>1187</v>
      </c>
      <c r="L178" s="11" t="s">
        <v>7</v>
      </c>
      <c r="M178" s="11" t="s">
        <v>1188</v>
      </c>
      <c r="N178" s="18" t="str">
        <f t="shared" si="18"/>
        <v xml:space="preserve">-LAYER N C-ESMT-ROAD </v>
      </c>
      <c r="O178" s="11" t="str">
        <f t="shared" si="19"/>
        <v xml:space="preserve">-LAYER C white C-ESMT-ROAD </v>
      </c>
      <c r="P178" s="11" t="str">
        <f t="shared" si="20"/>
        <v xml:space="preserve">-LAYER L Continuous
C-ESMT-ROAD  </v>
      </c>
      <c r="Q178" s="11" t="str">
        <f t="shared" si="21"/>
        <v xml:space="preserve">-LAYER LW Default
C-ESMT-ROAD  </v>
      </c>
      <c r="R178" s="11" t="str">
        <f t="shared" si="22"/>
        <v xml:space="preserve">-LAYER TR 0
C-ESMT-ROAD  </v>
      </c>
      <c r="S178" s="11" t="str">
        <f t="shared" si="23"/>
        <v xml:space="preserve">-LAYER D Civil - Servidumbres: carretera
C-ESMT-ROAD  </v>
      </c>
    </row>
    <row r="179" spans="1:19" x14ac:dyDescent="0.45">
      <c r="A179" s="7">
        <v>0</v>
      </c>
      <c r="B179" s="11" t="s">
        <v>3105</v>
      </c>
      <c r="C179" s="11" t="s">
        <v>7</v>
      </c>
      <c r="D179" s="11" t="s">
        <v>1192</v>
      </c>
      <c r="E179" s="11" t="str">
        <f t="shared" si="16"/>
        <v>C-ESMT-ROAD-PERM (Civil - Servidumbres: carretera: permanente)</v>
      </c>
      <c r="F179" s="19" t="s">
        <v>3798</v>
      </c>
      <c r="G179" s="19" t="s">
        <v>3797</v>
      </c>
      <c r="H179" s="19" t="s">
        <v>3811</v>
      </c>
      <c r="I179" s="10">
        <v>0</v>
      </c>
      <c r="J179" s="10" t="str">
        <f t="shared" si="17"/>
        <v>Civil - Servidumbres: carretera: permanente</v>
      </c>
      <c r="K179" s="11" t="s">
        <v>1190</v>
      </c>
      <c r="L179" s="11" t="s">
        <v>7</v>
      </c>
      <c r="M179" s="11" t="s">
        <v>1191</v>
      </c>
      <c r="N179" s="18" t="str">
        <f t="shared" si="18"/>
        <v xml:space="preserve">-LAYER N C-ESMT-ROAD-PERM </v>
      </c>
      <c r="O179" s="11" t="str">
        <f t="shared" si="19"/>
        <v xml:space="preserve">-LAYER C white C-ESMT-ROAD-PERM </v>
      </c>
      <c r="P179" s="11" t="str">
        <f t="shared" si="20"/>
        <v xml:space="preserve">-LAYER L Continuous
C-ESMT-ROAD-PERM  </v>
      </c>
      <c r="Q179" s="11" t="str">
        <f t="shared" si="21"/>
        <v xml:space="preserve">-LAYER LW Default
C-ESMT-ROAD-PERM  </v>
      </c>
      <c r="R179" s="11" t="str">
        <f t="shared" si="22"/>
        <v xml:space="preserve">-LAYER TR 0
C-ESMT-ROAD-PERM  </v>
      </c>
      <c r="S179" s="11" t="str">
        <f t="shared" si="23"/>
        <v xml:space="preserve">-LAYER D Civil - Servidumbres: carretera: permanente
C-ESMT-ROAD-PERM  </v>
      </c>
    </row>
    <row r="180" spans="1:19" x14ac:dyDescent="0.45">
      <c r="A180" s="7">
        <v>0</v>
      </c>
      <c r="B180" s="11" t="s">
        <v>3106</v>
      </c>
      <c r="C180" s="11" t="s">
        <v>7</v>
      </c>
      <c r="D180" s="11" t="s">
        <v>1195</v>
      </c>
      <c r="E180" s="11" t="str">
        <f t="shared" si="16"/>
        <v>C-ESMT-ROAD-TEMP (Civil - Servidumbres: carretera: temporal)</v>
      </c>
      <c r="F180" s="19" t="s">
        <v>3798</v>
      </c>
      <c r="G180" s="19" t="s">
        <v>3797</v>
      </c>
      <c r="H180" s="19" t="s">
        <v>3811</v>
      </c>
      <c r="I180" s="10">
        <v>0</v>
      </c>
      <c r="J180" s="10" t="str">
        <f t="shared" si="17"/>
        <v>Civil - Servidumbres: carretera: temporal</v>
      </c>
      <c r="K180" s="11" t="s">
        <v>1193</v>
      </c>
      <c r="L180" s="11" t="s">
        <v>7</v>
      </c>
      <c r="M180" s="11" t="s">
        <v>1194</v>
      </c>
      <c r="N180" s="18" t="str">
        <f t="shared" si="18"/>
        <v xml:space="preserve">-LAYER N C-ESMT-ROAD-TEMP </v>
      </c>
      <c r="O180" s="11" t="str">
        <f t="shared" si="19"/>
        <v xml:space="preserve">-LAYER C white C-ESMT-ROAD-TEMP </v>
      </c>
      <c r="P180" s="11" t="str">
        <f t="shared" si="20"/>
        <v xml:space="preserve">-LAYER L Continuous
C-ESMT-ROAD-TEMP  </v>
      </c>
      <c r="Q180" s="11" t="str">
        <f t="shared" si="21"/>
        <v xml:space="preserve">-LAYER LW Default
C-ESMT-ROAD-TEMP  </v>
      </c>
      <c r="R180" s="11" t="str">
        <f t="shared" si="22"/>
        <v xml:space="preserve">-LAYER TR 0
C-ESMT-ROAD-TEMP  </v>
      </c>
      <c r="S180" s="11" t="str">
        <f t="shared" si="23"/>
        <v xml:space="preserve">-LAYER D Civil - Servidumbres: carretera: temporal
C-ESMT-ROAD-TEMP  </v>
      </c>
    </row>
    <row r="181" spans="1:19" x14ac:dyDescent="0.45">
      <c r="A181" s="7">
        <v>0</v>
      </c>
      <c r="B181" s="11" t="s">
        <v>3107</v>
      </c>
      <c r="C181" s="11" t="s">
        <v>7</v>
      </c>
      <c r="D181" s="11" t="s">
        <v>1198</v>
      </c>
      <c r="E181" s="11" t="str">
        <f t="shared" si="16"/>
        <v>C-ESMT-RWAY (Civil - Servidumbres: derecho de paso (acceso público))</v>
      </c>
      <c r="F181" s="19" t="s">
        <v>3798</v>
      </c>
      <c r="G181" s="19" t="s">
        <v>3797</v>
      </c>
      <c r="H181" s="19" t="s">
        <v>3811</v>
      </c>
      <c r="I181" s="10">
        <v>0</v>
      </c>
      <c r="J181" s="10" t="str">
        <f t="shared" si="17"/>
        <v>Civil - Servidumbres: derecho de paso (acceso público)</v>
      </c>
      <c r="K181" s="11" t="s">
        <v>1196</v>
      </c>
      <c r="L181" s="11" t="s">
        <v>7</v>
      </c>
      <c r="M181" s="11" t="s">
        <v>1197</v>
      </c>
      <c r="N181" s="18" t="str">
        <f t="shared" si="18"/>
        <v xml:space="preserve">-LAYER N C-ESMT-RWAY </v>
      </c>
      <c r="O181" s="11" t="str">
        <f t="shared" si="19"/>
        <v xml:space="preserve">-LAYER C white C-ESMT-RWAY </v>
      </c>
      <c r="P181" s="11" t="str">
        <f t="shared" si="20"/>
        <v xml:space="preserve">-LAYER L Continuous
C-ESMT-RWAY  </v>
      </c>
      <c r="Q181" s="11" t="str">
        <f t="shared" si="21"/>
        <v xml:space="preserve">-LAYER LW Default
C-ESMT-RWAY  </v>
      </c>
      <c r="R181" s="11" t="str">
        <f t="shared" si="22"/>
        <v xml:space="preserve">-LAYER TR 0
C-ESMT-RWAY  </v>
      </c>
      <c r="S181" s="11" t="str">
        <f t="shared" si="23"/>
        <v xml:space="preserve">-LAYER D Civil - Servidumbres: derecho de paso (acceso público)
C-ESMT-RWAY  </v>
      </c>
    </row>
    <row r="182" spans="1:19" x14ac:dyDescent="0.45">
      <c r="A182" s="7">
        <v>0</v>
      </c>
      <c r="B182" s="11" t="s">
        <v>3108</v>
      </c>
      <c r="C182" s="11" t="s">
        <v>7</v>
      </c>
      <c r="D182" s="11" t="s">
        <v>1201</v>
      </c>
      <c r="E182" s="11" t="str">
        <f t="shared" si="16"/>
        <v>C-ESMT-SGHT (Civil - Servidumbres: distancia de visibilidad)</v>
      </c>
      <c r="F182" s="19" t="s">
        <v>3798</v>
      </c>
      <c r="G182" s="19" t="s">
        <v>3797</v>
      </c>
      <c r="H182" s="19" t="s">
        <v>3811</v>
      </c>
      <c r="I182" s="10">
        <v>0</v>
      </c>
      <c r="J182" s="10" t="str">
        <f t="shared" si="17"/>
        <v>Civil - Servidumbres: distancia de visibilidad</v>
      </c>
      <c r="K182" s="11" t="s">
        <v>1199</v>
      </c>
      <c r="L182" s="11" t="s">
        <v>7</v>
      </c>
      <c r="M182" s="11" t="s">
        <v>1200</v>
      </c>
      <c r="N182" s="18" t="str">
        <f t="shared" si="18"/>
        <v xml:space="preserve">-LAYER N C-ESMT-SGHT </v>
      </c>
      <c r="O182" s="11" t="str">
        <f t="shared" si="19"/>
        <v xml:space="preserve">-LAYER C white C-ESMT-SGHT </v>
      </c>
      <c r="P182" s="11" t="str">
        <f t="shared" si="20"/>
        <v xml:space="preserve">-LAYER L Continuous
C-ESMT-SGHT  </v>
      </c>
      <c r="Q182" s="11" t="str">
        <f t="shared" si="21"/>
        <v xml:space="preserve">-LAYER LW Default
C-ESMT-SGHT  </v>
      </c>
      <c r="R182" s="11" t="str">
        <f t="shared" si="22"/>
        <v xml:space="preserve">-LAYER TR 0
C-ESMT-SGHT  </v>
      </c>
      <c r="S182" s="11" t="str">
        <f t="shared" si="23"/>
        <v xml:space="preserve">-LAYER D Civil - Servidumbres: distancia de visibilidad
C-ESMT-SGHT  </v>
      </c>
    </row>
    <row r="183" spans="1:19" x14ac:dyDescent="0.45">
      <c r="A183" s="7">
        <v>0</v>
      </c>
      <c r="B183" s="11" t="s">
        <v>3109</v>
      </c>
      <c r="C183" s="11" t="s">
        <v>7</v>
      </c>
      <c r="D183" s="11" t="s">
        <v>1204</v>
      </c>
      <c r="E183" s="11" t="str">
        <f t="shared" si="16"/>
        <v>C-ESMT-SSWR (Civil - Servidumbres: alcantarillado sanitario)</v>
      </c>
      <c r="F183" s="19" t="s">
        <v>3798</v>
      </c>
      <c r="G183" s="19" t="s">
        <v>3797</v>
      </c>
      <c r="H183" s="19" t="s">
        <v>3811</v>
      </c>
      <c r="I183" s="10">
        <v>0</v>
      </c>
      <c r="J183" s="10" t="str">
        <f t="shared" si="17"/>
        <v>Civil - Servidumbres: alcantarillado sanitario</v>
      </c>
      <c r="K183" s="11" t="s">
        <v>1202</v>
      </c>
      <c r="L183" s="11" t="s">
        <v>7</v>
      </c>
      <c r="M183" s="11" t="s">
        <v>1203</v>
      </c>
      <c r="N183" s="18" t="str">
        <f t="shared" si="18"/>
        <v xml:space="preserve">-LAYER N C-ESMT-SSWR </v>
      </c>
      <c r="O183" s="11" t="str">
        <f t="shared" si="19"/>
        <v xml:space="preserve">-LAYER C white C-ESMT-SSWR </v>
      </c>
      <c r="P183" s="11" t="str">
        <f t="shared" si="20"/>
        <v xml:space="preserve">-LAYER L Continuous
C-ESMT-SSWR  </v>
      </c>
      <c r="Q183" s="11" t="str">
        <f t="shared" si="21"/>
        <v xml:space="preserve">-LAYER LW Default
C-ESMT-SSWR  </v>
      </c>
      <c r="R183" s="11" t="str">
        <f t="shared" si="22"/>
        <v xml:space="preserve">-LAYER TR 0
C-ESMT-SSWR  </v>
      </c>
      <c r="S183" s="11" t="str">
        <f t="shared" si="23"/>
        <v xml:space="preserve">-LAYER D Civil - Servidumbres: alcantarillado sanitario
C-ESMT-SSWR  </v>
      </c>
    </row>
    <row r="184" spans="1:19" x14ac:dyDescent="0.45">
      <c r="A184" s="7">
        <v>0</v>
      </c>
      <c r="B184" s="11" t="s">
        <v>3110</v>
      </c>
      <c r="C184" s="11" t="s">
        <v>7</v>
      </c>
      <c r="D184" s="11" t="s">
        <v>1207</v>
      </c>
      <c r="E184" s="11" t="str">
        <f t="shared" si="16"/>
        <v>C-ESMT-STRM (Civil - Servidumbres: alcantarillado pluvial)</v>
      </c>
      <c r="F184" s="19" t="s">
        <v>3798</v>
      </c>
      <c r="G184" s="19" t="s">
        <v>3797</v>
      </c>
      <c r="H184" s="19" t="s">
        <v>3811</v>
      </c>
      <c r="I184" s="10">
        <v>0</v>
      </c>
      <c r="J184" s="10" t="str">
        <f t="shared" si="17"/>
        <v>Civil - Servidumbres: alcantarillado pluvial</v>
      </c>
      <c r="K184" s="11" t="s">
        <v>1205</v>
      </c>
      <c r="L184" s="11" t="s">
        <v>7</v>
      </c>
      <c r="M184" s="11" t="s">
        <v>1206</v>
      </c>
      <c r="N184" s="18" t="str">
        <f t="shared" si="18"/>
        <v xml:space="preserve">-LAYER N C-ESMT-STRM </v>
      </c>
      <c r="O184" s="11" t="str">
        <f t="shared" si="19"/>
        <v xml:space="preserve">-LAYER C white C-ESMT-STRM </v>
      </c>
      <c r="P184" s="11" t="str">
        <f t="shared" si="20"/>
        <v xml:space="preserve">-LAYER L Continuous
C-ESMT-STRM  </v>
      </c>
      <c r="Q184" s="11" t="str">
        <f t="shared" si="21"/>
        <v xml:space="preserve">-LAYER LW Default
C-ESMT-STRM  </v>
      </c>
      <c r="R184" s="11" t="str">
        <f t="shared" si="22"/>
        <v xml:space="preserve">-LAYER TR 0
C-ESMT-STRM  </v>
      </c>
      <c r="S184" s="11" t="str">
        <f t="shared" si="23"/>
        <v xml:space="preserve">-LAYER D Civil - Servidumbres: alcantarillado pluvial
C-ESMT-STRM  </v>
      </c>
    </row>
    <row r="185" spans="1:19" x14ac:dyDescent="0.45">
      <c r="A185" s="7">
        <v>0</v>
      </c>
      <c r="B185" s="11" t="s">
        <v>3111</v>
      </c>
      <c r="C185" s="11" t="s">
        <v>7</v>
      </c>
      <c r="D185" s="11" t="s">
        <v>1210</v>
      </c>
      <c r="E185" s="11" t="str">
        <f t="shared" si="16"/>
        <v>C-ESMT-SWMT (Civil - Servidumbres: gestión de aguas pluviales)</v>
      </c>
      <c r="F185" s="19" t="s">
        <v>3798</v>
      </c>
      <c r="G185" s="19" t="s">
        <v>3797</v>
      </c>
      <c r="H185" s="19" t="s">
        <v>3811</v>
      </c>
      <c r="I185" s="10">
        <v>0</v>
      </c>
      <c r="J185" s="10" t="str">
        <f t="shared" si="17"/>
        <v>Civil - Servidumbres: gestión de aguas pluviales</v>
      </c>
      <c r="K185" s="11" t="s">
        <v>1208</v>
      </c>
      <c r="L185" s="11" t="s">
        <v>7</v>
      </c>
      <c r="M185" s="11" t="s">
        <v>1209</v>
      </c>
      <c r="N185" s="18" t="str">
        <f t="shared" si="18"/>
        <v xml:space="preserve">-LAYER N C-ESMT-SWMT </v>
      </c>
      <c r="O185" s="11" t="str">
        <f t="shared" si="19"/>
        <v xml:space="preserve">-LAYER C white C-ESMT-SWMT </v>
      </c>
      <c r="P185" s="11" t="str">
        <f t="shared" si="20"/>
        <v xml:space="preserve">-LAYER L Continuous
C-ESMT-SWMT  </v>
      </c>
      <c r="Q185" s="11" t="str">
        <f t="shared" si="21"/>
        <v xml:space="preserve">-LAYER LW Default
C-ESMT-SWMT  </v>
      </c>
      <c r="R185" s="11" t="str">
        <f t="shared" si="22"/>
        <v xml:space="preserve">-LAYER TR 0
C-ESMT-SWMT  </v>
      </c>
      <c r="S185" s="11" t="str">
        <f t="shared" si="23"/>
        <v xml:space="preserve">-LAYER D Civil - Servidumbres: gestión de aguas pluviales
C-ESMT-SWMT  </v>
      </c>
    </row>
    <row r="186" spans="1:19" x14ac:dyDescent="0.45">
      <c r="A186" s="7">
        <v>0</v>
      </c>
      <c r="B186" s="11" t="s">
        <v>3112</v>
      </c>
      <c r="C186" s="11" t="s">
        <v>7</v>
      </c>
      <c r="D186" s="11" t="s">
        <v>1213</v>
      </c>
      <c r="E186" s="11" t="str">
        <f t="shared" si="16"/>
        <v>C-ESMT-TRAL (Civil - Servidumbres: sendero o camino (acceso público))</v>
      </c>
      <c r="F186" s="19" t="s">
        <v>3798</v>
      </c>
      <c r="G186" s="19" t="s">
        <v>3797</v>
      </c>
      <c r="H186" s="19" t="s">
        <v>3811</v>
      </c>
      <c r="I186" s="10">
        <v>0</v>
      </c>
      <c r="J186" s="10" t="str">
        <f t="shared" si="17"/>
        <v>Civil - Servidumbres: sendero o camino (acceso público)</v>
      </c>
      <c r="K186" s="11" t="s">
        <v>1211</v>
      </c>
      <c r="L186" s="11" t="s">
        <v>7</v>
      </c>
      <c r="M186" s="11" t="s">
        <v>1212</v>
      </c>
      <c r="N186" s="18" t="str">
        <f t="shared" si="18"/>
        <v xml:space="preserve">-LAYER N C-ESMT-TRAL </v>
      </c>
      <c r="O186" s="11" t="str">
        <f t="shared" si="19"/>
        <v xml:space="preserve">-LAYER C white C-ESMT-TRAL </v>
      </c>
      <c r="P186" s="11" t="str">
        <f t="shared" si="20"/>
        <v xml:space="preserve">-LAYER L Continuous
C-ESMT-TRAL  </v>
      </c>
      <c r="Q186" s="11" t="str">
        <f t="shared" si="21"/>
        <v xml:space="preserve">-LAYER LW Default
C-ESMT-TRAL  </v>
      </c>
      <c r="R186" s="11" t="str">
        <f t="shared" si="22"/>
        <v xml:space="preserve">-LAYER TR 0
C-ESMT-TRAL  </v>
      </c>
      <c r="S186" s="11" t="str">
        <f t="shared" si="23"/>
        <v xml:space="preserve">-LAYER D Civil - Servidumbres: sendero o camino (acceso público)
C-ESMT-TRAL  </v>
      </c>
    </row>
    <row r="187" spans="1:19" x14ac:dyDescent="0.45">
      <c r="A187" s="7">
        <v>0</v>
      </c>
      <c r="B187" s="11" t="s">
        <v>3113</v>
      </c>
      <c r="C187" s="11" t="s">
        <v>7</v>
      </c>
      <c r="D187" s="11" t="s">
        <v>1216</v>
      </c>
      <c r="E187" s="11" t="str">
        <f t="shared" si="16"/>
        <v>C-ESMT-UTIL (Civil - Servidumbres: líneas de servicios públicos)</v>
      </c>
      <c r="F187" s="19" t="s">
        <v>3798</v>
      </c>
      <c r="G187" s="19" t="s">
        <v>3797</v>
      </c>
      <c r="H187" s="19" t="s">
        <v>3811</v>
      </c>
      <c r="I187" s="10">
        <v>0</v>
      </c>
      <c r="J187" s="10" t="str">
        <f t="shared" si="17"/>
        <v>Civil - Servidumbres: líneas de servicios públicos</v>
      </c>
      <c r="K187" s="11" t="s">
        <v>1214</v>
      </c>
      <c r="L187" s="11" t="s">
        <v>7</v>
      </c>
      <c r="M187" s="11" t="s">
        <v>1215</v>
      </c>
      <c r="N187" s="18" t="str">
        <f t="shared" si="18"/>
        <v xml:space="preserve">-LAYER N C-ESMT-UTIL </v>
      </c>
      <c r="O187" s="11" t="str">
        <f t="shared" si="19"/>
        <v xml:space="preserve">-LAYER C white C-ESMT-UTIL </v>
      </c>
      <c r="P187" s="11" t="str">
        <f t="shared" si="20"/>
        <v xml:space="preserve">-LAYER L Continuous
C-ESMT-UTIL  </v>
      </c>
      <c r="Q187" s="11" t="str">
        <f t="shared" si="21"/>
        <v xml:space="preserve">-LAYER LW Default
C-ESMT-UTIL  </v>
      </c>
      <c r="R187" s="11" t="str">
        <f t="shared" si="22"/>
        <v xml:space="preserve">-LAYER TR 0
C-ESMT-UTIL  </v>
      </c>
      <c r="S187" s="11" t="str">
        <f t="shared" si="23"/>
        <v xml:space="preserve">-LAYER D Civil - Servidumbres: líneas de servicios públicos
C-ESMT-UTIL  </v>
      </c>
    </row>
    <row r="188" spans="1:19" x14ac:dyDescent="0.45">
      <c r="A188" s="7">
        <v>0</v>
      </c>
      <c r="B188" s="11" t="s">
        <v>3114</v>
      </c>
      <c r="C188" s="11" t="s">
        <v>7</v>
      </c>
      <c r="D188" s="11" t="s">
        <v>1219</v>
      </c>
      <c r="E188" s="11" t="str">
        <f t="shared" si="16"/>
        <v>C-ESMT-WATR (Civil - Servidumbres: suministro de agua)</v>
      </c>
      <c r="F188" s="19" t="s">
        <v>3798</v>
      </c>
      <c r="G188" s="19" t="s">
        <v>3797</v>
      </c>
      <c r="H188" s="19" t="s">
        <v>3811</v>
      </c>
      <c r="I188" s="10">
        <v>0</v>
      </c>
      <c r="J188" s="10" t="str">
        <f t="shared" si="17"/>
        <v>Civil - Servidumbres: suministro de agua</v>
      </c>
      <c r="K188" s="11" t="s">
        <v>1217</v>
      </c>
      <c r="L188" s="11" t="s">
        <v>7</v>
      </c>
      <c r="M188" s="11" t="s">
        <v>1218</v>
      </c>
      <c r="N188" s="18" t="str">
        <f t="shared" si="18"/>
        <v xml:space="preserve">-LAYER N C-ESMT-WATR </v>
      </c>
      <c r="O188" s="11" t="str">
        <f t="shared" si="19"/>
        <v xml:space="preserve">-LAYER C white C-ESMT-WATR </v>
      </c>
      <c r="P188" s="11" t="str">
        <f t="shared" si="20"/>
        <v xml:space="preserve">-LAYER L Continuous
C-ESMT-WATR  </v>
      </c>
      <c r="Q188" s="11" t="str">
        <f t="shared" si="21"/>
        <v xml:space="preserve">-LAYER LW Default
C-ESMT-WATR  </v>
      </c>
      <c r="R188" s="11" t="str">
        <f t="shared" si="22"/>
        <v xml:space="preserve">-LAYER TR 0
C-ESMT-WATR  </v>
      </c>
      <c r="S188" s="11" t="str">
        <f t="shared" si="23"/>
        <v xml:space="preserve">-LAYER D Civil - Servidumbres: suministro de agua
C-ESMT-WATR  </v>
      </c>
    </row>
    <row r="189" spans="1:19" x14ac:dyDescent="0.45">
      <c r="A189" s="7">
        <v>1</v>
      </c>
      <c r="B189" s="11" t="s">
        <v>3115</v>
      </c>
      <c r="C189" s="11" t="s">
        <v>7</v>
      </c>
      <c r="D189" s="11" t="s">
        <v>347</v>
      </c>
      <c r="E189" s="11" t="str">
        <f t="shared" si="16"/>
        <v>C-FENC (Civil - Cercas)</v>
      </c>
      <c r="F189" s="19" t="s">
        <v>3798</v>
      </c>
      <c r="G189" s="19" t="s">
        <v>3797</v>
      </c>
      <c r="H189" s="19" t="s">
        <v>3811</v>
      </c>
      <c r="I189" s="10">
        <v>0</v>
      </c>
      <c r="J189" s="10" t="str">
        <f t="shared" si="17"/>
        <v>Civil - Cercas</v>
      </c>
      <c r="K189" s="11" t="s">
        <v>1220</v>
      </c>
      <c r="L189" s="11" t="s">
        <v>7</v>
      </c>
      <c r="M189" s="11" t="s">
        <v>346</v>
      </c>
      <c r="N189" s="18" t="str">
        <f t="shared" si="18"/>
        <v xml:space="preserve">-LAYER N C-FENC </v>
      </c>
      <c r="O189" s="11" t="str">
        <f t="shared" si="19"/>
        <v xml:space="preserve">-LAYER C white C-FENC </v>
      </c>
      <c r="P189" s="11" t="str">
        <f t="shared" si="20"/>
        <v xml:space="preserve">-LAYER L Continuous
C-FENC  </v>
      </c>
      <c r="Q189" s="11" t="str">
        <f t="shared" si="21"/>
        <v xml:space="preserve">-LAYER LW Default
C-FENC  </v>
      </c>
      <c r="R189" s="11" t="str">
        <f t="shared" si="22"/>
        <v xml:space="preserve">-LAYER TR 0
C-FENC  </v>
      </c>
      <c r="S189" s="11" t="str">
        <f t="shared" si="23"/>
        <v xml:space="preserve">-LAYER D Civil - Cercas
C-FENC  </v>
      </c>
    </row>
    <row r="190" spans="1:19" x14ac:dyDescent="0.45">
      <c r="A190" s="7">
        <v>0</v>
      </c>
      <c r="B190" s="11" t="s">
        <v>3116</v>
      </c>
      <c r="C190" s="11" t="s">
        <v>7</v>
      </c>
      <c r="D190" s="11" t="s">
        <v>1223</v>
      </c>
      <c r="E190" s="11" t="str">
        <f t="shared" si="16"/>
        <v>C-FENC-GRAL (Civil - Cercas: barandilla)</v>
      </c>
      <c r="F190" s="19" t="s">
        <v>3798</v>
      </c>
      <c r="G190" s="19" t="s">
        <v>3797</v>
      </c>
      <c r="H190" s="19" t="s">
        <v>3811</v>
      </c>
      <c r="I190" s="10">
        <v>0</v>
      </c>
      <c r="J190" s="10" t="str">
        <f t="shared" si="17"/>
        <v>Civil - Cercas: barandilla</v>
      </c>
      <c r="K190" s="11" t="s">
        <v>1221</v>
      </c>
      <c r="L190" s="11" t="s">
        <v>7</v>
      </c>
      <c r="M190" s="11" t="s">
        <v>1222</v>
      </c>
      <c r="N190" s="18" t="str">
        <f t="shared" si="18"/>
        <v xml:space="preserve">-LAYER N C-FENC-GRAL </v>
      </c>
      <c r="O190" s="11" t="str">
        <f t="shared" si="19"/>
        <v xml:space="preserve">-LAYER C white C-FENC-GRAL </v>
      </c>
      <c r="P190" s="11" t="str">
        <f t="shared" si="20"/>
        <v xml:space="preserve">-LAYER L Continuous
C-FENC-GRAL  </v>
      </c>
      <c r="Q190" s="11" t="str">
        <f t="shared" si="21"/>
        <v xml:space="preserve">-LAYER LW Default
C-FENC-GRAL  </v>
      </c>
      <c r="R190" s="11" t="str">
        <f t="shared" si="22"/>
        <v xml:space="preserve">-LAYER TR 0
C-FENC-GRAL  </v>
      </c>
      <c r="S190" s="11" t="str">
        <f t="shared" si="23"/>
        <v xml:space="preserve">-LAYER D Civil - Cercas: barandilla
C-FENC-GRAL  </v>
      </c>
    </row>
    <row r="191" spans="1:19" x14ac:dyDescent="0.45">
      <c r="A191" s="7">
        <v>0</v>
      </c>
      <c r="B191" s="11" t="s">
        <v>3117</v>
      </c>
      <c r="C191" s="11" t="s">
        <v>7</v>
      </c>
      <c r="D191" s="11" t="s">
        <v>1226</v>
      </c>
      <c r="E191" s="11" t="str">
        <f t="shared" si="16"/>
        <v>C-FENC-POST (Civil - Cercas: postes)</v>
      </c>
      <c r="F191" s="19" t="s">
        <v>3798</v>
      </c>
      <c r="G191" s="19" t="s">
        <v>3797</v>
      </c>
      <c r="H191" s="19" t="s">
        <v>3811</v>
      </c>
      <c r="I191" s="10">
        <v>0</v>
      </c>
      <c r="J191" s="10" t="str">
        <f t="shared" si="17"/>
        <v>Civil - Cercas: postes</v>
      </c>
      <c r="K191" s="11" t="s">
        <v>1224</v>
      </c>
      <c r="L191" s="11" t="s">
        <v>7</v>
      </c>
      <c r="M191" s="11" t="s">
        <v>1225</v>
      </c>
      <c r="N191" s="18" t="str">
        <f t="shared" si="18"/>
        <v xml:space="preserve">-LAYER N C-FENC-POST </v>
      </c>
      <c r="O191" s="11" t="str">
        <f t="shared" si="19"/>
        <v xml:space="preserve">-LAYER C white C-FENC-POST </v>
      </c>
      <c r="P191" s="11" t="str">
        <f t="shared" si="20"/>
        <v xml:space="preserve">-LAYER L Continuous
C-FENC-POST  </v>
      </c>
      <c r="Q191" s="11" t="str">
        <f t="shared" si="21"/>
        <v xml:space="preserve">-LAYER LW Default
C-FENC-POST  </v>
      </c>
      <c r="R191" s="11" t="str">
        <f t="shared" si="22"/>
        <v xml:space="preserve">-LAYER TR 0
C-FENC-POST  </v>
      </c>
      <c r="S191" s="11" t="str">
        <f t="shared" si="23"/>
        <v xml:space="preserve">-LAYER D Civil - Cercas: postes
C-FENC-POST  </v>
      </c>
    </row>
    <row r="192" spans="1:19" x14ac:dyDescent="0.45">
      <c r="A192" s="7">
        <v>0</v>
      </c>
      <c r="B192" s="11" t="s">
        <v>1227</v>
      </c>
      <c r="C192" s="11" t="s">
        <v>7</v>
      </c>
      <c r="D192" s="11" t="s">
        <v>1229</v>
      </c>
      <c r="E192" s="11" t="str">
        <f t="shared" si="16"/>
        <v>C -FENC-STEL (Civil - Cercas: acero (alambre de púas y/o malla metálica))</v>
      </c>
      <c r="F192" s="19" t="s">
        <v>3798</v>
      </c>
      <c r="G192" s="19" t="s">
        <v>3797</v>
      </c>
      <c r="H192" s="19" t="s">
        <v>3811</v>
      </c>
      <c r="I192" s="10">
        <v>0</v>
      </c>
      <c r="J192" s="10" t="str">
        <f t="shared" si="17"/>
        <v>Civil - Cercas: acero (alambre de púas y/o malla metálica)</v>
      </c>
      <c r="K192" s="11" t="s">
        <v>1227</v>
      </c>
      <c r="L192" s="11" t="s">
        <v>7</v>
      </c>
      <c r="M192" s="11" t="s">
        <v>1228</v>
      </c>
      <c r="N192" s="18" t="str">
        <f t="shared" si="18"/>
        <v xml:space="preserve">-LAYER N C -FENC-STEL </v>
      </c>
      <c r="O192" s="11" t="str">
        <f t="shared" si="19"/>
        <v xml:space="preserve">-LAYER C white C -FENC-STEL </v>
      </c>
      <c r="P192" s="11" t="str">
        <f t="shared" si="20"/>
        <v xml:space="preserve">-LAYER L Continuous
C -FENC-STEL  </v>
      </c>
      <c r="Q192" s="11" t="str">
        <f t="shared" si="21"/>
        <v xml:space="preserve">-LAYER LW Default
C -FENC-STEL  </v>
      </c>
      <c r="R192" s="11" t="str">
        <f t="shared" si="22"/>
        <v xml:space="preserve">-LAYER TR 0
C -FENC-STEL  </v>
      </c>
      <c r="S192" s="11" t="str">
        <f t="shared" si="23"/>
        <v xml:space="preserve">-LAYER D Civil - Cercas: acero (alambre de púas y/o malla metálica)
C -FENC-STEL  </v>
      </c>
    </row>
    <row r="193" spans="1:19" x14ac:dyDescent="0.45">
      <c r="A193" s="7">
        <v>0</v>
      </c>
      <c r="B193" s="11" t="s">
        <v>3118</v>
      </c>
      <c r="C193" s="11" t="s">
        <v>7</v>
      </c>
      <c r="D193" s="11" t="s">
        <v>1232</v>
      </c>
      <c r="E193" s="11" t="str">
        <f t="shared" si="16"/>
        <v>C-FENC-WOOD (Civil - Cercas: madera)</v>
      </c>
      <c r="F193" s="19" t="s">
        <v>3798</v>
      </c>
      <c r="G193" s="19" t="s">
        <v>3797</v>
      </c>
      <c r="H193" s="19" t="s">
        <v>3811</v>
      </c>
      <c r="I193" s="10">
        <v>0</v>
      </c>
      <c r="J193" s="10" t="str">
        <f t="shared" si="17"/>
        <v>Civil - Cercas: madera</v>
      </c>
      <c r="K193" s="11" t="s">
        <v>1230</v>
      </c>
      <c r="L193" s="11" t="s">
        <v>7</v>
      </c>
      <c r="M193" s="11" t="s">
        <v>1231</v>
      </c>
      <c r="N193" s="18" t="str">
        <f t="shared" si="18"/>
        <v xml:space="preserve">-LAYER N C-FENC-WOOD </v>
      </c>
      <c r="O193" s="11" t="str">
        <f t="shared" si="19"/>
        <v xml:space="preserve">-LAYER C white C-FENC-WOOD </v>
      </c>
      <c r="P193" s="11" t="str">
        <f t="shared" si="20"/>
        <v xml:space="preserve">-LAYER L Continuous
C-FENC-WOOD  </v>
      </c>
      <c r="Q193" s="11" t="str">
        <f t="shared" si="21"/>
        <v xml:space="preserve">-LAYER LW Default
C-FENC-WOOD  </v>
      </c>
      <c r="R193" s="11" t="str">
        <f t="shared" si="22"/>
        <v xml:space="preserve">-LAYER TR 0
C-FENC-WOOD  </v>
      </c>
      <c r="S193" s="11" t="str">
        <f t="shared" si="23"/>
        <v xml:space="preserve">-LAYER D Civil - Cercas: madera
C-FENC-WOOD  </v>
      </c>
    </row>
    <row r="194" spans="1:19" x14ac:dyDescent="0.45">
      <c r="A194" s="7">
        <v>1</v>
      </c>
      <c r="B194" s="11" t="s">
        <v>3119</v>
      </c>
      <c r="C194" s="11" t="s">
        <v>7</v>
      </c>
      <c r="D194" s="11" t="s">
        <v>16</v>
      </c>
      <c r="E194" s="11" t="str">
        <f t="shared" si="16"/>
        <v>C-FIRE (Civil - Protección contra incendios)</v>
      </c>
      <c r="F194" s="19" t="s">
        <v>3798</v>
      </c>
      <c r="G194" s="19" t="s">
        <v>3797</v>
      </c>
      <c r="H194" s="19" t="s">
        <v>3811</v>
      </c>
      <c r="I194" s="10">
        <v>0</v>
      </c>
      <c r="J194" s="10" t="str">
        <f t="shared" si="17"/>
        <v>Civil - Protección contra incendios</v>
      </c>
      <c r="K194" s="11" t="s">
        <v>1233</v>
      </c>
      <c r="L194" s="11" t="s">
        <v>7</v>
      </c>
      <c r="M194" s="11" t="s">
        <v>349</v>
      </c>
      <c r="N194" s="18" t="str">
        <f t="shared" si="18"/>
        <v xml:space="preserve">-LAYER N C-FIRE </v>
      </c>
      <c r="O194" s="11" t="str">
        <f t="shared" si="19"/>
        <v xml:space="preserve">-LAYER C white C-FIRE </v>
      </c>
      <c r="P194" s="11" t="str">
        <f t="shared" si="20"/>
        <v xml:space="preserve">-LAYER L Continuous
C-FIRE  </v>
      </c>
      <c r="Q194" s="11" t="str">
        <f t="shared" si="21"/>
        <v xml:space="preserve">-LAYER LW Default
C-FIRE  </v>
      </c>
      <c r="R194" s="11" t="str">
        <f t="shared" si="22"/>
        <v xml:space="preserve">-LAYER TR 0
C-FIRE  </v>
      </c>
      <c r="S194" s="11" t="str">
        <f t="shared" si="23"/>
        <v xml:space="preserve">-LAYER D Civil - Protección contra incendios
C-FIRE  </v>
      </c>
    </row>
    <row r="195" spans="1:19" x14ac:dyDescent="0.45">
      <c r="A195" s="7">
        <v>0</v>
      </c>
      <c r="B195" s="11" t="s">
        <v>3120</v>
      </c>
      <c r="C195" s="11" t="s">
        <v>7</v>
      </c>
      <c r="D195" s="11" t="s">
        <v>1236</v>
      </c>
      <c r="E195" s="11" t="str">
        <f t="shared" si="16"/>
        <v>C-FIRE-HYDT (Civil - Protección contra incendios: Hidrantes y conexiones)</v>
      </c>
      <c r="F195" s="19" t="s">
        <v>3798</v>
      </c>
      <c r="G195" s="19" t="s">
        <v>3797</v>
      </c>
      <c r="H195" s="19" t="s">
        <v>3811</v>
      </c>
      <c r="I195" s="10">
        <v>0</v>
      </c>
      <c r="J195" s="10" t="str">
        <f t="shared" si="17"/>
        <v>Civil - Protección contra incendios: Hidrantes y conexiones</v>
      </c>
      <c r="K195" s="11" t="s">
        <v>1234</v>
      </c>
      <c r="L195" s="11" t="s">
        <v>7</v>
      </c>
      <c r="M195" s="11" t="s">
        <v>1235</v>
      </c>
      <c r="N195" s="18" t="str">
        <f t="shared" si="18"/>
        <v xml:space="preserve">-LAYER N C-FIRE-HYDT </v>
      </c>
      <c r="O195" s="11" t="str">
        <f t="shared" si="19"/>
        <v xml:space="preserve">-LAYER C white C-FIRE-HYDT </v>
      </c>
      <c r="P195" s="11" t="str">
        <f t="shared" si="20"/>
        <v xml:space="preserve">-LAYER L Continuous
C-FIRE-HYDT  </v>
      </c>
      <c r="Q195" s="11" t="str">
        <f t="shared" si="21"/>
        <v xml:space="preserve">-LAYER LW Default
C-FIRE-HYDT  </v>
      </c>
      <c r="R195" s="11" t="str">
        <f t="shared" si="22"/>
        <v xml:space="preserve">-LAYER TR 0
C-FIRE-HYDT  </v>
      </c>
      <c r="S195" s="11" t="str">
        <f t="shared" si="23"/>
        <v xml:space="preserve">-LAYER D Civil - Protección contra incendios: Hidrantes y conexiones
C-FIRE-HYDT  </v>
      </c>
    </row>
    <row r="196" spans="1:19" x14ac:dyDescent="0.45">
      <c r="A196" s="7">
        <v>0</v>
      </c>
      <c r="B196" s="11" t="s">
        <v>3121</v>
      </c>
      <c r="C196" s="11" t="s">
        <v>7</v>
      </c>
      <c r="D196" s="11" t="s">
        <v>1239</v>
      </c>
      <c r="E196" s="11" t="str">
        <f t="shared" ref="E196:E259" si="24">_xlfn.CONCAT(B196," (",C196," - ",D196,")")</f>
        <v>C-FIRE-PIPE (Civil - Protección contra incendios: tuberías)</v>
      </c>
      <c r="F196" s="19" t="s">
        <v>3798</v>
      </c>
      <c r="G196" s="19" t="s">
        <v>3797</v>
      </c>
      <c r="H196" s="19" t="s">
        <v>3811</v>
      </c>
      <c r="I196" s="10">
        <v>0</v>
      </c>
      <c r="J196" s="10" t="str">
        <f t="shared" si="17"/>
        <v>Civil - Protección contra incendios: tuberías</v>
      </c>
      <c r="K196" s="11" t="s">
        <v>1237</v>
      </c>
      <c r="L196" s="11" t="s">
        <v>7</v>
      </c>
      <c r="M196" s="11" t="s">
        <v>1238</v>
      </c>
      <c r="N196" s="18" t="str">
        <f t="shared" si="18"/>
        <v xml:space="preserve">-LAYER N C-FIRE-PIPE </v>
      </c>
      <c r="O196" s="11" t="str">
        <f t="shared" si="19"/>
        <v xml:space="preserve">-LAYER C white C-FIRE-PIPE </v>
      </c>
      <c r="P196" s="11" t="str">
        <f t="shared" si="20"/>
        <v xml:space="preserve">-LAYER L Continuous
C-FIRE-PIPE  </v>
      </c>
      <c r="Q196" s="11" t="str">
        <f t="shared" si="21"/>
        <v xml:space="preserve">-LAYER LW Default
C-FIRE-PIPE  </v>
      </c>
      <c r="R196" s="11" t="str">
        <f t="shared" si="22"/>
        <v xml:space="preserve">-LAYER TR 0
C-FIRE-PIPE  </v>
      </c>
      <c r="S196" s="11" t="str">
        <f t="shared" si="23"/>
        <v xml:space="preserve">-LAYER D Civil - Protección contra incendios: tuberías
C-FIRE-PIPE  </v>
      </c>
    </row>
    <row r="197" spans="1:19" x14ac:dyDescent="0.45">
      <c r="A197" s="7">
        <v>0</v>
      </c>
      <c r="B197" s="11" t="s">
        <v>3122</v>
      </c>
      <c r="C197" s="11" t="s">
        <v>7</v>
      </c>
      <c r="D197" s="11" t="s">
        <v>1242</v>
      </c>
      <c r="E197" s="11" t="str">
        <f t="shared" si="24"/>
        <v>C-FIRE-UGND (Civil - Protección contra incendios: subterránea)</v>
      </c>
      <c r="F197" s="19" t="s">
        <v>3798</v>
      </c>
      <c r="G197" s="19" t="s">
        <v>3797</v>
      </c>
      <c r="H197" s="19" t="s">
        <v>3811</v>
      </c>
      <c r="I197" s="10">
        <v>0</v>
      </c>
      <c r="J197" s="10" t="str">
        <f t="shared" ref="J197:J260" si="25">_xlfn.CONCAT(C197," - ",D197)</f>
        <v>Civil - Protección contra incendios: subterránea</v>
      </c>
      <c r="K197" s="11" t="s">
        <v>1240</v>
      </c>
      <c r="L197" s="11" t="s">
        <v>7</v>
      </c>
      <c r="M197" s="11" t="s">
        <v>1241</v>
      </c>
      <c r="N197" s="18" t="str">
        <f t="shared" ref="N197:N260" si="26">_xlfn.CONCAT("-LAYER N ", B197," ")</f>
        <v xml:space="preserve">-LAYER N C-FIRE-UGND </v>
      </c>
      <c r="O197" s="11" t="str">
        <f t="shared" ref="O197:O260" si="27">_xlfn.CONCAT("-LAYER C ",F197," ", B197," ")</f>
        <v xml:space="preserve">-LAYER C white C-FIRE-UGND </v>
      </c>
      <c r="P197" s="11" t="str">
        <f t="shared" ref="P197:P260" si="28">_xlfn.CONCAT("-LAYER L ",G197,CHAR(10), B197,"  ")</f>
        <v xml:space="preserve">-LAYER L Continuous
C-FIRE-UGND  </v>
      </c>
      <c r="Q197" s="11" t="str">
        <f t="shared" ref="Q197:Q260" si="29">_xlfn.CONCAT("-LAYER LW ",H197,CHAR(10), B197,"  ")</f>
        <v xml:space="preserve">-LAYER LW Default
C-FIRE-UGND  </v>
      </c>
      <c r="R197" s="11" t="str">
        <f t="shared" ref="R197:R260" si="30">_xlfn.CONCAT("-LAYER TR ",I197,CHAR(10), B197,"  ")</f>
        <v xml:space="preserve">-LAYER TR 0
C-FIRE-UGND  </v>
      </c>
      <c r="S197" s="11" t="str">
        <f t="shared" ref="S197:S260" si="31">_xlfn.CONCAT("-LAYER D ",J197,CHAR(10), B197,"  ")</f>
        <v xml:space="preserve">-LAYER D Civil - Protección contra incendios: subterránea
C-FIRE-UGND  </v>
      </c>
    </row>
    <row r="198" spans="1:19" x14ac:dyDescent="0.45">
      <c r="A198" s="7">
        <v>0</v>
      </c>
      <c r="B198" s="11" t="s">
        <v>3123</v>
      </c>
      <c r="C198" s="11" t="s">
        <v>7</v>
      </c>
      <c r="D198" s="11" t="s">
        <v>1244</v>
      </c>
      <c r="E198" s="11" t="str">
        <f t="shared" si="24"/>
        <v>C-FLHA (Civil - Zona de riesgo de inundación)</v>
      </c>
      <c r="F198" s="19" t="s">
        <v>3798</v>
      </c>
      <c r="G198" s="19" t="s">
        <v>3797</v>
      </c>
      <c r="H198" s="19" t="s">
        <v>3811</v>
      </c>
      <c r="I198" s="10">
        <v>0</v>
      </c>
      <c r="J198" s="10" t="str">
        <f t="shared" si="25"/>
        <v>Civil - Zona de riesgo de inundación</v>
      </c>
      <c r="K198" s="11" t="s">
        <v>1243</v>
      </c>
      <c r="L198" s="11" t="s">
        <v>7</v>
      </c>
      <c r="M198" s="11" t="s">
        <v>351</v>
      </c>
      <c r="N198" s="18" t="str">
        <f t="shared" si="26"/>
        <v xml:space="preserve">-LAYER N C-FLHA </v>
      </c>
      <c r="O198" s="11" t="str">
        <f t="shared" si="27"/>
        <v xml:space="preserve">-LAYER C white C-FLHA </v>
      </c>
      <c r="P198" s="11" t="str">
        <f t="shared" si="28"/>
        <v xml:space="preserve">-LAYER L Continuous
C-FLHA  </v>
      </c>
      <c r="Q198" s="11" t="str">
        <f t="shared" si="29"/>
        <v xml:space="preserve">-LAYER LW Default
C-FLHA  </v>
      </c>
      <c r="R198" s="11" t="str">
        <f t="shared" si="30"/>
        <v xml:space="preserve">-LAYER TR 0
C-FLHA  </v>
      </c>
      <c r="S198" s="11" t="str">
        <f t="shared" si="31"/>
        <v xml:space="preserve">-LAYER D Civil - Zona de riesgo de inundación
C-FLHA  </v>
      </c>
    </row>
    <row r="199" spans="1:19" x14ac:dyDescent="0.45">
      <c r="A199" s="7">
        <v>0</v>
      </c>
      <c r="B199" s="11" t="s">
        <v>3124</v>
      </c>
      <c r="C199" s="11" t="s">
        <v>7</v>
      </c>
      <c r="D199" s="11" t="s">
        <v>1247</v>
      </c>
      <c r="E199" s="11" t="str">
        <f t="shared" si="24"/>
        <v>C-FLHA-025Y (Civil - Zona de riesgo de inundación: 25 años)</v>
      </c>
      <c r="F199" s="19" t="s">
        <v>3798</v>
      </c>
      <c r="G199" s="19" t="s">
        <v>3797</v>
      </c>
      <c r="H199" s="19" t="s">
        <v>3811</v>
      </c>
      <c r="I199" s="10">
        <v>0</v>
      </c>
      <c r="J199" s="10" t="str">
        <f t="shared" si="25"/>
        <v>Civil - Zona de riesgo de inundación: 25 años</v>
      </c>
      <c r="K199" s="11" t="s">
        <v>1245</v>
      </c>
      <c r="L199" s="11" t="s">
        <v>7</v>
      </c>
      <c r="M199" s="11" t="s">
        <v>1246</v>
      </c>
      <c r="N199" s="18" t="str">
        <f t="shared" si="26"/>
        <v xml:space="preserve">-LAYER N C-FLHA-025Y </v>
      </c>
      <c r="O199" s="11" t="str">
        <f t="shared" si="27"/>
        <v xml:space="preserve">-LAYER C white C-FLHA-025Y </v>
      </c>
      <c r="P199" s="11" t="str">
        <f t="shared" si="28"/>
        <v xml:space="preserve">-LAYER L Continuous
C-FLHA-025Y  </v>
      </c>
      <c r="Q199" s="11" t="str">
        <f t="shared" si="29"/>
        <v xml:space="preserve">-LAYER LW Default
C-FLHA-025Y  </v>
      </c>
      <c r="R199" s="11" t="str">
        <f t="shared" si="30"/>
        <v xml:space="preserve">-LAYER TR 0
C-FLHA-025Y  </v>
      </c>
      <c r="S199" s="11" t="str">
        <f t="shared" si="31"/>
        <v xml:space="preserve">-LAYER D Civil - Zona de riesgo de inundación: 25 años
C-FLHA-025Y  </v>
      </c>
    </row>
    <row r="200" spans="1:19" x14ac:dyDescent="0.45">
      <c r="A200" s="7">
        <v>0</v>
      </c>
      <c r="B200" s="11" t="s">
        <v>3125</v>
      </c>
      <c r="C200" s="11" t="s">
        <v>7</v>
      </c>
      <c r="D200" s="11" t="s">
        <v>1250</v>
      </c>
      <c r="E200" s="11" t="str">
        <f t="shared" si="24"/>
        <v>C-FLHA-050Y (Civil - Zona de riesgo de inundación: 50 años)</v>
      </c>
      <c r="F200" s="19" t="s">
        <v>3798</v>
      </c>
      <c r="G200" s="19" t="s">
        <v>3797</v>
      </c>
      <c r="H200" s="19" t="s">
        <v>3811</v>
      </c>
      <c r="I200" s="10">
        <v>0</v>
      </c>
      <c r="J200" s="10" t="str">
        <f t="shared" si="25"/>
        <v>Civil - Zona de riesgo de inundación: 50 años</v>
      </c>
      <c r="K200" s="11" t="s">
        <v>1248</v>
      </c>
      <c r="L200" s="11" t="s">
        <v>7</v>
      </c>
      <c r="M200" s="11" t="s">
        <v>1249</v>
      </c>
      <c r="N200" s="18" t="str">
        <f t="shared" si="26"/>
        <v xml:space="preserve">-LAYER N C-FLHA-050Y </v>
      </c>
      <c r="O200" s="11" t="str">
        <f t="shared" si="27"/>
        <v xml:space="preserve">-LAYER C white C-FLHA-050Y </v>
      </c>
      <c r="P200" s="11" t="str">
        <f t="shared" si="28"/>
        <v xml:space="preserve">-LAYER L Continuous
C-FLHA-050Y  </v>
      </c>
      <c r="Q200" s="11" t="str">
        <f t="shared" si="29"/>
        <v xml:space="preserve">-LAYER LW Default
C-FLHA-050Y  </v>
      </c>
      <c r="R200" s="11" t="str">
        <f t="shared" si="30"/>
        <v xml:space="preserve">-LAYER TR 0
C-FLHA-050Y  </v>
      </c>
      <c r="S200" s="11" t="str">
        <f t="shared" si="31"/>
        <v xml:space="preserve">-LAYER D Civil - Zona de riesgo de inundación: 50 años
C-FLHA-050Y  </v>
      </c>
    </row>
    <row r="201" spans="1:19" x14ac:dyDescent="0.45">
      <c r="A201" s="7">
        <v>0</v>
      </c>
      <c r="B201" s="11" t="s">
        <v>3126</v>
      </c>
      <c r="C201" s="11" t="s">
        <v>7</v>
      </c>
      <c r="D201" s="11" t="s">
        <v>1253</v>
      </c>
      <c r="E201" s="11" t="str">
        <f t="shared" si="24"/>
        <v>C-FLHA-100Y (Civil - Zona de riesgo de inundación: 100 años)</v>
      </c>
      <c r="F201" s="19" t="s">
        <v>3798</v>
      </c>
      <c r="G201" s="19" t="s">
        <v>3797</v>
      </c>
      <c r="H201" s="19" t="s">
        <v>3811</v>
      </c>
      <c r="I201" s="10">
        <v>0</v>
      </c>
      <c r="J201" s="10" t="str">
        <f t="shared" si="25"/>
        <v>Civil - Zona de riesgo de inundación: 100 años</v>
      </c>
      <c r="K201" s="11" t="s">
        <v>1251</v>
      </c>
      <c r="L201" s="11" t="s">
        <v>7</v>
      </c>
      <c r="M201" s="11" t="s">
        <v>1252</v>
      </c>
      <c r="N201" s="18" t="str">
        <f t="shared" si="26"/>
        <v xml:space="preserve">-LAYER N C-FLHA-100Y </v>
      </c>
      <c r="O201" s="11" t="str">
        <f t="shared" si="27"/>
        <v xml:space="preserve">-LAYER C white C-FLHA-100Y </v>
      </c>
      <c r="P201" s="11" t="str">
        <f t="shared" si="28"/>
        <v xml:space="preserve">-LAYER L Continuous
C-FLHA-100Y  </v>
      </c>
      <c r="Q201" s="11" t="str">
        <f t="shared" si="29"/>
        <v xml:space="preserve">-LAYER LW Default
C-FLHA-100Y  </v>
      </c>
      <c r="R201" s="11" t="str">
        <f t="shared" si="30"/>
        <v xml:space="preserve">-LAYER TR 0
C-FLHA-100Y  </v>
      </c>
      <c r="S201" s="11" t="str">
        <f t="shared" si="31"/>
        <v xml:space="preserve">-LAYER D Civil - Zona de riesgo de inundación: 100 años
C-FLHA-100Y  </v>
      </c>
    </row>
    <row r="202" spans="1:19" x14ac:dyDescent="0.45">
      <c r="A202" s="7">
        <v>0</v>
      </c>
      <c r="B202" s="11" t="s">
        <v>3127</v>
      </c>
      <c r="C202" s="11" t="s">
        <v>7</v>
      </c>
      <c r="D202" s="11" t="s">
        <v>1256</v>
      </c>
      <c r="E202" s="11" t="str">
        <f t="shared" si="24"/>
        <v>C-FLHA-200Y (Civil - Zona de riesgo de inundación: 200 años)</v>
      </c>
      <c r="F202" s="19" t="s">
        <v>3798</v>
      </c>
      <c r="G202" s="19" t="s">
        <v>3797</v>
      </c>
      <c r="H202" s="19" t="s">
        <v>3811</v>
      </c>
      <c r="I202" s="10">
        <v>0</v>
      </c>
      <c r="J202" s="10" t="str">
        <f t="shared" si="25"/>
        <v>Civil - Zona de riesgo de inundación: 200 años</v>
      </c>
      <c r="K202" s="11" t="s">
        <v>1254</v>
      </c>
      <c r="L202" s="11" t="s">
        <v>7</v>
      </c>
      <c r="M202" s="11" t="s">
        <v>1255</v>
      </c>
      <c r="N202" s="18" t="str">
        <f t="shared" si="26"/>
        <v xml:space="preserve">-LAYER N C-FLHA-200Y </v>
      </c>
      <c r="O202" s="11" t="str">
        <f t="shared" si="27"/>
        <v xml:space="preserve">-LAYER C white C-FLHA-200Y </v>
      </c>
      <c r="P202" s="11" t="str">
        <f t="shared" si="28"/>
        <v xml:space="preserve">-LAYER L Continuous
C-FLHA-200Y  </v>
      </c>
      <c r="Q202" s="11" t="str">
        <f t="shared" si="29"/>
        <v xml:space="preserve">-LAYER LW Default
C-FLHA-200Y  </v>
      </c>
      <c r="R202" s="11" t="str">
        <f t="shared" si="30"/>
        <v xml:space="preserve">-LAYER TR 0
C-FLHA-200Y  </v>
      </c>
      <c r="S202" s="11" t="str">
        <f t="shared" si="31"/>
        <v xml:space="preserve">-LAYER D Civil - Zona de riesgo de inundación: 200 años
C-FLHA-200Y  </v>
      </c>
    </row>
    <row r="203" spans="1:19" x14ac:dyDescent="0.45">
      <c r="A203" s="7">
        <v>0</v>
      </c>
      <c r="B203" s="11" t="s">
        <v>3128</v>
      </c>
      <c r="C203" s="11" t="s">
        <v>7</v>
      </c>
      <c r="D203" s="11" t="s">
        <v>370</v>
      </c>
      <c r="E203" s="11" t="str">
        <f t="shared" si="24"/>
        <v>C-FUEL (Civil - Sistemas de combustible)</v>
      </c>
      <c r="F203" s="19" t="s">
        <v>3798</v>
      </c>
      <c r="G203" s="19" t="s">
        <v>3797</v>
      </c>
      <c r="H203" s="19" t="s">
        <v>3811</v>
      </c>
      <c r="I203" s="10">
        <v>0</v>
      </c>
      <c r="J203" s="10" t="str">
        <f t="shared" si="25"/>
        <v>Civil - Sistemas de combustible</v>
      </c>
      <c r="K203" s="11" t="s">
        <v>1257</v>
      </c>
      <c r="L203" s="11" t="s">
        <v>7</v>
      </c>
      <c r="M203" s="11" t="s">
        <v>369</v>
      </c>
      <c r="N203" s="18" t="str">
        <f t="shared" si="26"/>
        <v xml:space="preserve">-LAYER N C-FUEL </v>
      </c>
      <c r="O203" s="11" t="str">
        <f t="shared" si="27"/>
        <v xml:space="preserve">-LAYER C white C-FUEL </v>
      </c>
      <c r="P203" s="11" t="str">
        <f t="shared" si="28"/>
        <v xml:space="preserve">-LAYER L Continuous
C-FUEL  </v>
      </c>
      <c r="Q203" s="11" t="str">
        <f t="shared" si="29"/>
        <v xml:space="preserve">-LAYER LW Default
C-FUEL  </v>
      </c>
      <c r="R203" s="11" t="str">
        <f t="shared" si="30"/>
        <v xml:space="preserve">-LAYER TR 0
C-FUEL  </v>
      </c>
      <c r="S203" s="11" t="str">
        <f t="shared" si="31"/>
        <v xml:space="preserve">-LAYER D Civil - Sistemas de combustible
C-FUEL  </v>
      </c>
    </row>
    <row r="204" spans="1:19" x14ac:dyDescent="0.45">
      <c r="A204" s="7">
        <v>0</v>
      </c>
      <c r="B204" s="11" t="s">
        <v>3129</v>
      </c>
      <c r="C204" s="11" t="s">
        <v>7</v>
      </c>
      <c r="D204" s="11" t="s">
        <v>1260</v>
      </c>
      <c r="E204" s="11" t="str">
        <f t="shared" si="24"/>
        <v>C-FUEL-EQPM (Civil - Sistemas de combustible: equipos (bombas, motores))</v>
      </c>
      <c r="F204" s="19" t="s">
        <v>3798</v>
      </c>
      <c r="G204" s="19" t="s">
        <v>3797</v>
      </c>
      <c r="H204" s="19" t="s">
        <v>3811</v>
      </c>
      <c r="I204" s="10">
        <v>0</v>
      </c>
      <c r="J204" s="10" t="str">
        <f t="shared" si="25"/>
        <v>Civil - Sistemas de combustible: equipos (bombas, motores)</v>
      </c>
      <c r="K204" s="11" t="s">
        <v>1258</v>
      </c>
      <c r="L204" s="11" t="s">
        <v>7</v>
      </c>
      <c r="M204" s="11" t="s">
        <v>1259</v>
      </c>
      <c r="N204" s="18" t="str">
        <f t="shared" si="26"/>
        <v xml:space="preserve">-LAYER N C-FUEL-EQPM </v>
      </c>
      <c r="O204" s="11" t="str">
        <f t="shared" si="27"/>
        <v xml:space="preserve">-LAYER C white C-FUEL-EQPM </v>
      </c>
      <c r="P204" s="11" t="str">
        <f t="shared" si="28"/>
        <v xml:space="preserve">-LAYER L Continuous
C-FUEL-EQPM  </v>
      </c>
      <c r="Q204" s="11" t="str">
        <f t="shared" si="29"/>
        <v xml:space="preserve">-LAYER LW Default
C-FUEL-EQPM  </v>
      </c>
      <c r="R204" s="11" t="str">
        <f t="shared" si="30"/>
        <v xml:space="preserve">-LAYER TR 0
C-FUEL-EQPM  </v>
      </c>
      <c r="S204" s="11" t="str">
        <f t="shared" si="31"/>
        <v xml:space="preserve">-LAYER D Civil - Sistemas de combustible: equipos (bombas, motores)
C-FUEL-EQPM  </v>
      </c>
    </row>
    <row r="205" spans="1:19" x14ac:dyDescent="0.45">
      <c r="A205" s="7">
        <v>0</v>
      </c>
      <c r="B205" s="11" t="s">
        <v>3130</v>
      </c>
      <c r="C205" s="11" t="s">
        <v>7</v>
      </c>
      <c r="D205" s="11" t="s">
        <v>1263</v>
      </c>
      <c r="E205" s="11" t="str">
        <f t="shared" si="24"/>
        <v>C-FUEL-INST (Civil - Sistemas de combustible: instrumentación (medidores, válvulas, etc.))</v>
      </c>
      <c r="F205" s="19" t="s">
        <v>3798</v>
      </c>
      <c r="G205" s="19" t="s">
        <v>3797</v>
      </c>
      <c r="H205" s="19" t="s">
        <v>3811</v>
      </c>
      <c r="I205" s="10">
        <v>0</v>
      </c>
      <c r="J205" s="10" t="str">
        <f t="shared" si="25"/>
        <v>Civil - Sistemas de combustible: instrumentación (medidores, válvulas, etc.)</v>
      </c>
      <c r="K205" s="11" t="s">
        <v>1261</v>
      </c>
      <c r="L205" s="11" t="s">
        <v>7</v>
      </c>
      <c r="M205" s="11" t="s">
        <v>1262</v>
      </c>
      <c r="N205" s="18" t="str">
        <f t="shared" si="26"/>
        <v xml:space="preserve">-LAYER N C-FUEL-INST </v>
      </c>
      <c r="O205" s="11" t="str">
        <f t="shared" si="27"/>
        <v xml:space="preserve">-LAYER C white C-FUEL-INST </v>
      </c>
      <c r="P205" s="11" t="str">
        <f t="shared" si="28"/>
        <v xml:space="preserve">-LAYER L Continuous
C-FUEL-INST  </v>
      </c>
      <c r="Q205" s="11" t="str">
        <f t="shared" si="29"/>
        <v xml:space="preserve">-LAYER LW Default
C-FUEL-INST  </v>
      </c>
      <c r="R205" s="11" t="str">
        <f t="shared" si="30"/>
        <v xml:space="preserve">-LAYER TR 0
C-FUEL-INST  </v>
      </c>
      <c r="S205" s="11" t="str">
        <f t="shared" si="31"/>
        <v xml:space="preserve">-LAYER D Civil - Sistemas de combustible: instrumentación (medidores, válvulas, etc.)
C-FUEL-INST  </v>
      </c>
    </row>
    <row r="206" spans="1:19" x14ac:dyDescent="0.45">
      <c r="A206" s="7">
        <v>0</v>
      </c>
      <c r="B206" s="11" t="s">
        <v>3131</v>
      </c>
      <c r="C206" s="11" t="s">
        <v>7</v>
      </c>
      <c r="D206" s="11" t="s">
        <v>1266</v>
      </c>
      <c r="E206" s="11" t="str">
        <f t="shared" si="24"/>
        <v>C-FUEL-MHOL (Civil - Sistemas de combustible: pozo de registro)</v>
      </c>
      <c r="F206" s="19" t="s">
        <v>3798</v>
      </c>
      <c r="G206" s="19" t="s">
        <v>3797</v>
      </c>
      <c r="H206" s="19" t="s">
        <v>3811</v>
      </c>
      <c r="I206" s="10">
        <v>0</v>
      </c>
      <c r="J206" s="10" t="str">
        <f t="shared" si="25"/>
        <v>Civil - Sistemas de combustible: pozo de registro</v>
      </c>
      <c r="K206" s="11" t="s">
        <v>1264</v>
      </c>
      <c r="L206" s="11" t="s">
        <v>7</v>
      </c>
      <c r="M206" s="11" t="s">
        <v>1265</v>
      </c>
      <c r="N206" s="18" t="str">
        <f t="shared" si="26"/>
        <v xml:space="preserve">-LAYER N C-FUEL-MHOL </v>
      </c>
      <c r="O206" s="11" t="str">
        <f t="shared" si="27"/>
        <v xml:space="preserve">-LAYER C white C-FUEL-MHOL </v>
      </c>
      <c r="P206" s="11" t="str">
        <f t="shared" si="28"/>
        <v xml:space="preserve">-LAYER L Continuous
C-FUEL-MHOL  </v>
      </c>
      <c r="Q206" s="11" t="str">
        <f t="shared" si="29"/>
        <v xml:space="preserve">-LAYER LW Default
C-FUEL-MHOL  </v>
      </c>
      <c r="R206" s="11" t="str">
        <f t="shared" si="30"/>
        <v xml:space="preserve">-LAYER TR 0
C-FUEL-MHOL  </v>
      </c>
      <c r="S206" s="11" t="str">
        <f t="shared" si="31"/>
        <v xml:space="preserve">-LAYER D Civil - Sistemas de combustible: pozo de registro
C-FUEL-MHOL  </v>
      </c>
    </row>
    <row r="207" spans="1:19" x14ac:dyDescent="0.45">
      <c r="A207" s="7">
        <v>0</v>
      </c>
      <c r="B207" s="11" t="s">
        <v>3132</v>
      </c>
      <c r="C207" s="11" t="s">
        <v>7</v>
      </c>
      <c r="D207" s="11" t="s">
        <v>1269</v>
      </c>
      <c r="E207" s="11" t="str">
        <f t="shared" si="24"/>
        <v>C-FUEL-PIPE (Civil - Sistemas de combustible: tuberías)</v>
      </c>
      <c r="F207" s="19" t="s">
        <v>3798</v>
      </c>
      <c r="G207" s="19" t="s">
        <v>3797</v>
      </c>
      <c r="H207" s="19" t="s">
        <v>3811</v>
      </c>
      <c r="I207" s="10">
        <v>0</v>
      </c>
      <c r="J207" s="10" t="str">
        <f t="shared" si="25"/>
        <v>Civil - Sistemas de combustible: tuberías</v>
      </c>
      <c r="K207" s="11" t="s">
        <v>1267</v>
      </c>
      <c r="L207" s="11" t="s">
        <v>7</v>
      </c>
      <c r="M207" s="11" t="s">
        <v>1268</v>
      </c>
      <c r="N207" s="18" t="str">
        <f t="shared" si="26"/>
        <v xml:space="preserve">-LAYER N C-FUEL-PIPE </v>
      </c>
      <c r="O207" s="11" t="str">
        <f t="shared" si="27"/>
        <v xml:space="preserve">-LAYER C white C-FUEL-PIPE </v>
      </c>
      <c r="P207" s="11" t="str">
        <f t="shared" si="28"/>
        <v xml:space="preserve">-LAYER L Continuous
C-FUEL-PIPE  </v>
      </c>
      <c r="Q207" s="11" t="str">
        <f t="shared" si="29"/>
        <v xml:space="preserve">-LAYER LW Default
C-FUEL-PIPE  </v>
      </c>
      <c r="R207" s="11" t="str">
        <f t="shared" si="30"/>
        <v xml:space="preserve">-LAYER TR 0
C-FUEL-PIPE  </v>
      </c>
      <c r="S207" s="11" t="str">
        <f t="shared" si="31"/>
        <v xml:space="preserve">-LAYER D Civil - Sistemas de combustible: tuberías
C-FUEL-PIPE  </v>
      </c>
    </row>
    <row r="208" spans="1:19" x14ac:dyDescent="0.45">
      <c r="A208" s="7">
        <v>0</v>
      </c>
      <c r="B208" s="11" t="s">
        <v>3133</v>
      </c>
      <c r="C208" s="11" t="s">
        <v>7</v>
      </c>
      <c r="D208" s="11" t="s">
        <v>1272</v>
      </c>
      <c r="E208" s="11" t="str">
        <f t="shared" si="24"/>
        <v>C-FUEL-TANK (Civil - Sistemas de combustible: tanques de almacenamiento)</v>
      </c>
      <c r="F208" s="19" t="s">
        <v>3798</v>
      </c>
      <c r="G208" s="19" t="s">
        <v>3797</v>
      </c>
      <c r="H208" s="19" t="s">
        <v>3811</v>
      </c>
      <c r="I208" s="10">
        <v>0</v>
      </c>
      <c r="J208" s="10" t="str">
        <f t="shared" si="25"/>
        <v>Civil - Sistemas de combustible: tanques de almacenamiento</v>
      </c>
      <c r="K208" s="11" t="s">
        <v>1270</v>
      </c>
      <c r="L208" s="11" t="s">
        <v>7</v>
      </c>
      <c r="M208" s="11" t="s">
        <v>1271</v>
      </c>
      <c r="N208" s="18" t="str">
        <f t="shared" si="26"/>
        <v xml:space="preserve">-LAYER N C-FUEL-TANK </v>
      </c>
      <c r="O208" s="11" t="str">
        <f t="shared" si="27"/>
        <v xml:space="preserve">-LAYER C white C-FUEL-TANK </v>
      </c>
      <c r="P208" s="11" t="str">
        <f t="shared" si="28"/>
        <v xml:space="preserve">-LAYER L Continuous
C-FUEL-TANK  </v>
      </c>
      <c r="Q208" s="11" t="str">
        <f t="shared" si="29"/>
        <v xml:space="preserve">-LAYER LW Default
C-FUEL-TANK  </v>
      </c>
      <c r="R208" s="11" t="str">
        <f t="shared" si="30"/>
        <v xml:space="preserve">-LAYER TR 0
C-FUEL-TANK  </v>
      </c>
      <c r="S208" s="11" t="str">
        <f t="shared" si="31"/>
        <v xml:space="preserve">-LAYER D Civil - Sistemas de combustible: tanques de almacenamiento
C-FUEL-TANK  </v>
      </c>
    </row>
    <row r="209" spans="1:19" x14ac:dyDescent="0.45">
      <c r="A209" s="7">
        <v>0</v>
      </c>
      <c r="B209" s="11" t="s">
        <v>3134</v>
      </c>
      <c r="C209" s="11" t="s">
        <v>7</v>
      </c>
      <c r="D209" s="11" t="s">
        <v>1275</v>
      </c>
      <c r="E209" s="11" t="str">
        <f t="shared" si="24"/>
        <v>C-FUEL-UGND (Civil - Sistemas de combustible: subterráneos)</v>
      </c>
      <c r="F209" s="19" t="s">
        <v>3798</v>
      </c>
      <c r="G209" s="19" t="s">
        <v>3797</v>
      </c>
      <c r="H209" s="19" t="s">
        <v>3811</v>
      </c>
      <c r="I209" s="10">
        <v>0</v>
      </c>
      <c r="J209" s="10" t="str">
        <f t="shared" si="25"/>
        <v>Civil - Sistemas de combustible: subterráneos</v>
      </c>
      <c r="K209" s="11" t="s">
        <v>1273</v>
      </c>
      <c r="L209" s="11" t="s">
        <v>7</v>
      </c>
      <c r="M209" s="11" t="s">
        <v>1274</v>
      </c>
      <c r="N209" s="18" t="str">
        <f t="shared" si="26"/>
        <v xml:space="preserve">-LAYER N C-FUEL-UGND </v>
      </c>
      <c r="O209" s="11" t="str">
        <f t="shared" si="27"/>
        <v xml:space="preserve">-LAYER C white C-FUEL-UGND </v>
      </c>
      <c r="P209" s="11" t="str">
        <f t="shared" si="28"/>
        <v xml:space="preserve">-LAYER L Continuous
C-FUEL-UGND  </v>
      </c>
      <c r="Q209" s="11" t="str">
        <f t="shared" si="29"/>
        <v xml:space="preserve">-LAYER LW Default
C-FUEL-UGND  </v>
      </c>
      <c r="R209" s="11" t="str">
        <f t="shared" si="30"/>
        <v xml:space="preserve">-LAYER TR 0
C-FUEL-UGND  </v>
      </c>
      <c r="S209" s="11" t="str">
        <f t="shared" si="31"/>
        <v xml:space="preserve">-LAYER D Civil - Sistemas de combustible: subterráneos
C-FUEL-UGND  </v>
      </c>
    </row>
    <row r="210" spans="1:19" x14ac:dyDescent="0.45">
      <c r="A210" s="7">
        <v>0</v>
      </c>
      <c r="B210" s="11" t="s">
        <v>3135</v>
      </c>
      <c r="C210" s="11" t="s">
        <v>7</v>
      </c>
      <c r="D210" s="11" t="s">
        <v>408</v>
      </c>
      <c r="E210" s="11" t="str">
        <f t="shared" si="24"/>
        <v>C-HYDR (Civil - Estructura hidráulica)</v>
      </c>
      <c r="F210" s="19" t="s">
        <v>3798</v>
      </c>
      <c r="G210" s="19" t="s">
        <v>3797</v>
      </c>
      <c r="H210" s="19" t="s">
        <v>3811</v>
      </c>
      <c r="I210" s="10">
        <v>0</v>
      </c>
      <c r="J210" s="10" t="str">
        <f t="shared" si="25"/>
        <v>Civil - Estructura hidráulica</v>
      </c>
      <c r="K210" s="11" t="s">
        <v>1276</v>
      </c>
      <c r="L210" s="11" t="s">
        <v>7</v>
      </c>
      <c r="M210" s="11" t="s">
        <v>407</v>
      </c>
      <c r="N210" s="18" t="str">
        <f t="shared" si="26"/>
        <v xml:space="preserve">-LAYER N C-HYDR </v>
      </c>
      <c r="O210" s="11" t="str">
        <f t="shared" si="27"/>
        <v xml:space="preserve">-LAYER C white C-HYDR </v>
      </c>
      <c r="P210" s="11" t="str">
        <f t="shared" si="28"/>
        <v xml:space="preserve">-LAYER L Continuous
C-HYDR  </v>
      </c>
      <c r="Q210" s="11" t="str">
        <f t="shared" si="29"/>
        <v xml:space="preserve">-LAYER LW Default
C-HYDR  </v>
      </c>
      <c r="R210" s="11" t="str">
        <f t="shared" si="30"/>
        <v xml:space="preserve">-LAYER TR 0
C-HYDR  </v>
      </c>
      <c r="S210" s="11" t="str">
        <f t="shared" si="31"/>
        <v xml:space="preserve">-LAYER D Civil - Estructura hidráulica
C-HYDR  </v>
      </c>
    </row>
    <row r="211" spans="1:19" x14ac:dyDescent="0.45">
      <c r="A211" s="7">
        <v>0</v>
      </c>
      <c r="B211" s="11" t="s">
        <v>3136</v>
      </c>
      <c r="C211" s="11" t="s">
        <v>7</v>
      </c>
      <c r="D211" s="11" t="s">
        <v>1279</v>
      </c>
      <c r="E211" s="11" t="str">
        <f t="shared" si="24"/>
        <v>C-HYDR-BAFL (Civil - Estructura hidráulica: bloque deflector y plataforma antisalpicaduras)</v>
      </c>
      <c r="F211" s="19" t="s">
        <v>3798</v>
      </c>
      <c r="G211" s="19" t="s">
        <v>3797</v>
      </c>
      <c r="H211" s="19" t="s">
        <v>3811</v>
      </c>
      <c r="I211" s="10">
        <v>0</v>
      </c>
      <c r="J211" s="10" t="str">
        <f t="shared" si="25"/>
        <v>Civil - Estructura hidráulica: bloque deflector y plataforma antisalpicaduras</v>
      </c>
      <c r="K211" s="11" t="s">
        <v>1277</v>
      </c>
      <c r="L211" s="11" t="s">
        <v>7</v>
      </c>
      <c r="M211" s="11" t="s">
        <v>1278</v>
      </c>
      <c r="N211" s="18" t="str">
        <f t="shared" si="26"/>
        <v xml:space="preserve">-LAYER N C-HYDR-BAFL </v>
      </c>
      <c r="O211" s="11" t="str">
        <f t="shared" si="27"/>
        <v xml:space="preserve">-LAYER C white C-HYDR-BAFL </v>
      </c>
      <c r="P211" s="11" t="str">
        <f t="shared" si="28"/>
        <v xml:space="preserve">-LAYER L Continuous
C-HYDR-BAFL  </v>
      </c>
      <c r="Q211" s="11" t="str">
        <f t="shared" si="29"/>
        <v xml:space="preserve">-LAYER LW Default
C-HYDR-BAFL  </v>
      </c>
      <c r="R211" s="11" t="str">
        <f t="shared" si="30"/>
        <v xml:space="preserve">-LAYER TR 0
C-HYDR-BAFL  </v>
      </c>
      <c r="S211" s="11" t="str">
        <f t="shared" si="31"/>
        <v xml:space="preserve">-LAYER D Civil - Estructura hidráulica: bloque deflector y plataforma antisalpicaduras
C-HYDR-BAFL  </v>
      </c>
    </row>
    <row r="212" spans="1:19" x14ac:dyDescent="0.45">
      <c r="A212" s="7">
        <v>0</v>
      </c>
      <c r="B212" s="11" t="s">
        <v>3137</v>
      </c>
      <c r="C212" s="11" t="s">
        <v>7</v>
      </c>
      <c r="D212" s="11" t="s">
        <v>1282</v>
      </c>
      <c r="E212" s="11" t="str">
        <f t="shared" si="24"/>
        <v>C-HYDR-BASN (Civil - Estructura hidráulica: estanques de amortiguación y sedimentación)</v>
      </c>
      <c r="F212" s="19" t="s">
        <v>3798</v>
      </c>
      <c r="G212" s="19" t="s">
        <v>3797</v>
      </c>
      <c r="H212" s="19" t="s">
        <v>3811</v>
      </c>
      <c r="I212" s="10">
        <v>0</v>
      </c>
      <c r="J212" s="10" t="str">
        <f t="shared" si="25"/>
        <v>Civil - Estructura hidráulica: estanques de amortiguación y sedimentación</v>
      </c>
      <c r="K212" s="11" t="s">
        <v>1280</v>
      </c>
      <c r="L212" s="11" t="s">
        <v>7</v>
      </c>
      <c r="M212" s="11" t="s">
        <v>1281</v>
      </c>
      <c r="N212" s="18" t="str">
        <f t="shared" si="26"/>
        <v xml:space="preserve">-LAYER N C-HYDR-BASN </v>
      </c>
      <c r="O212" s="11" t="str">
        <f t="shared" si="27"/>
        <v xml:space="preserve">-LAYER C white C-HYDR-BASN </v>
      </c>
      <c r="P212" s="11" t="str">
        <f t="shared" si="28"/>
        <v xml:space="preserve">-LAYER L Continuous
C-HYDR-BASN  </v>
      </c>
      <c r="Q212" s="11" t="str">
        <f t="shared" si="29"/>
        <v xml:space="preserve">-LAYER LW Default
C-HYDR-BASN  </v>
      </c>
      <c r="R212" s="11" t="str">
        <f t="shared" si="30"/>
        <v xml:space="preserve">-LAYER TR 0
C-HYDR-BASN  </v>
      </c>
      <c r="S212" s="11" t="str">
        <f t="shared" si="31"/>
        <v xml:space="preserve">-LAYER D Civil - Estructura hidráulica: estanques de amortiguación y sedimentación
C-HYDR-BASN  </v>
      </c>
    </row>
    <row r="213" spans="1:19" x14ac:dyDescent="0.45">
      <c r="A213" s="7">
        <v>0</v>
      </c>
      <c r="B213" s="11" t="s">
        <v>3138</v>
      </c>
      <c r="C213" s="11" t="s">
        <v>7</v>
      </c>
      <c r="D213" s="11" t="s">
        <v>1285</v>
      </c>
      <c r="E213" s="11" t="str">
        <f t="shared" si="24"/>
        <v>C-HYDR-CNDT (Civil - Estructura hidráulica: conductos de derivación/bypass/alcantarillas)</v>
      </c>
      <c r="F213" s="19" t="s">
        <v>3798</v>
      </c>
      <c r="G213" s="19" t="s">
        <v>3797</v>
      </c>
      <c r="H213" s="19" t="s">
        <v>3811</v>
      </c>
      <c r="I213" s="10">
        <v>0</v>
      </c>
      <c r="J213" s="10" t="str">
        <f t="shared" si="25"/>
        <v>Civil - Estructura hidráulica: conductos de derivación/bypass/alcantarillas</v>
      </c>
      <c r="K213" s="11" t="s">
        <v>1283</v>
      </c>
      <c r="L213" s="11" t="s">
        <v>7</v>
      </c>
      <c r="M213" s="11" t="s">
        <v>1284</v>
      </c>
      <c r="N213" s="18" t="str">
        <f t="shared" si="26"/>
        <v xml:space="preserve">-LAYER N C-HYDR-CNDT </v>
      </c>
      <c r="O213" s="11" t="str">
        <f t="shared" si="27"/>
        <v xml:space="preserve">-LAYER C white C-HYDR-CNDT </v>
      </c>
      <c r="P213" s="11" t="str">
        <f t="shared" si="28"/>
        <v xml:space="preserve">-LAYER L Continuous
C-HYDR-CNDT  </v>
      </c>
      <c r="Q213" s="11" t="str">
        <f t="shared" si="29"/>
        <v xml:space="preserve">-LAYER LW Default
C-HYDR-CNDT  </v>
      </c>
      <c r="R213" s="11" t="str">
        <f t="shared" si="30"/>
        <v xml:space="preserve">-LAYER TR 0
C-HYDR-CNDT  </v>
      </c>
      <c r="S213" s="11" t="str">
        <f t="shared" si="31"/>
        <v xml:space="preserve">-LAYER D Civil - Estructura hidráulica: conductos de derivación/bypass/alcantarillas
C-HYDR-CNDT  </v>
      </c>
    </row>
    <row r="214" spans="1:19" x14ac:dyDescent="0.45">
      <c r="A214" s="7">
        <v>0</v>
      </c>
      <c r="B214" s="11" t="s">
        <v>3139</v>
      </c>
      <c r="C214" s="11" t="s">
        <v>7</v>
      </c>
      <c r="D214" s="11" t="s">
        <v>1288</v>
      </c>
      <c r="E214" s="11" t="str">
        <f t="shared" si="24"/>
        <v>C-HYDR-COFF (Civil - Estructura hidráulica: ataguía)</v>
      </c>
      <c r="F214" s="19" t="s">
        <v>3798</v>
      </c>
      <c r="G214" s="19" t="s">
        <v>3797</v>
      </c>
      <c r="H214" s="19" t="s">
        <v>3811</v>
      </c>
      <c r="I214" s="10">
        <v>0</v>
      </c>
      <c r="J214" s="10" t="str">
        <f t="shared" si="25"/>
        <v>Civil - Estructura hidráulica: ataguía</v>
      </c>
      <c r="K214" s="11" t="s">
        <v>1286</v>
      </c>
      <c r="L214" s="11" t="s">
        <v>7</v>
      </c>
      <c r="M214" s="11" t="s">
        <v>1287</v>
      </c>
      <c r="N214" s="18" t="str">
        <f t="shared" si="26"/>
        <v xml:space="preserve">-LAYER N C-HYDR-COFF </v>
      </c>
      <c r="O214" s="11" t="str">
        <f t="shared" si="27"/>
        <v xml:space="preserve">-LAYER C white C-HYDR-COFF </v>
      </c>
      <c r="P214" s="11" t="str">
        <f t="shared" si="28"/>
        <v xml:space="preserve">-LAYER L Continuous
C-HYDR-COFF  </v>
      </c>
      <c r="Q214" s="11" t="str">
        <f t="shared" si="29"/>
        <v xml:space="preserve">-LAYER LW Default
C-HYDR-COFF  </v>
      </c>
      <c r="R214" s="11" t="str">
        <f t="shared" si="30"/>
        <v xml:space="preserve">-LAYER TR 0
C-HYDR-COFF  </v>
      </c>
      <c r="S214" s="11" t="str">
        <f t="shared" si="31"/>
        <v xml:space="preserve">-LAYER D Civil - Estructura hidráulica: ataguía
C-HYDR-COFF  </v>
      </c>
    </row>
    <row r="215" spans="1:19" x14ac:dyDescent="0.45">
      <c r="A215" s="7">
        <v>0</v>
      </c>
      <c r="B215" s="11" t="s">
        <v>3140</v>
      </c>
      <c r="C215" s="11" t="s">
        <v>7</v>
      </c>
      <c r="D215" s="11" t="s">
        <v>1291</v>
      </c>
      <c r="E215" s="11" t="str">
        <f t="shared" si="24"/>
        <v>C-HYDR-DAM~ (Civil - Estructura hidráulica: presa)</v>
      </c>
      <c r="F215" s="19" t="s">
        <v>3798</v>
      </c>
      <c r="G215" s="19" t="s">
        <v>3797</v>
      </c>
      <c r="H215" s="19" t="s">
        <v>3811</v>
      </c>
      <c r="I215" s="10">
        <v>0</v>
      </c>
      <c r="J215" s="10" t="str">
        <f t="shared" si="25"/>
        <v>Civil - Estructura hidráulica: presa</v>
      </c>
      <c r="K215" s="11" t="s">
        <v>1289</v>
      </c>
      <c r="L215" s="11" t="s">
        <v>7</v>
      </c>
      <c r="M215" s="11" t="s">
        <v>1290</v>
      </c>
      <c r="N215" s="18" t="str">
        <f t="shared" si="26"/>
        <v xml:space="preserve">-LAYER N C-HYDR-DAM~ </v>
      </c>
      <c r="O215" s="11" t="str">
        <f t="shared" si="27"/>
        <v xml:space="preserve">-LAYER C white C-HYDR-DAM~ </v>
      </c>
      <c r="P215" s="11" t="str">
        <f t="shared" si="28"/>
        <v xml:space="preserve">-LAYER L Continuous
C-HYDR-DAM~  </v>
      </c>
      <c r="Q215" s="11" t="str">
        <f t="shared" si="29"/>
        <v xml:space="preserve">-LAYER LW Default
C-HYDR-DAM~  </v>
      </c>
      <c r="R215" s="11" t="str">
        <f t="shared" si="30"/>
        <v xml:space="preserve">-LAYER TR 0
C-HYDR-DAM~  </v>
      </c>
      <c r="S215" s="11" t="str">
        <f t="shared" si="31"/>
        <v xml:space="preserve">-LAYER D Civil - Estructura hidráulica: presa
C-HYDR-DAM~  </v>
      </c>
    </row>
    <row r="216" spans="1:19" x14ac:dyDescent="0.45">
      <c r="A216" s="7">
        <v>0</v>
      </c>
      <c r="B216" s="11" t="s">
        <v>3141</v>
      </c>
      <c r="C216" s="11" t="s">
        <v>7</v>
      </c>
      <c r="D216" s="11" t="s">
        <v>1294</v>
      </c>
      <c r="E216" s="11" t="str">
        <f t="shared" si="24"/>
        <v>C-HYDR-FISH (Civil - Estructura hidráulica: escala/pasaje para peces)</v>
      </c>
      <c r="F216" s="19" t="s">
        <v>3798</v>
      </c>
      <c r="G216" s="19" t="s">
        <v>3797</v>
      </c>
      <c r="H216" s="19" t="s">
        <v>3811</v>
      </c>
      <c r="I216" s="10">
        <v>0</v>
      </c>
      <c r="J216" s="10" t="str">
        <f t="shared" si="25"/>
        <v>Civil - Estructura hidráulica: escala/pasaje para peces</v>
      </c>
      <c r="K216" s="11" t="s">
        <v>1292</v>
      </c>
      <c r="L216" s="11" t="s">
        <v>7</v>
      </c>
      <c r="M216" s="11" t="s">
        <v>1293</v>
      </c>
      <c r="N216" s="18" t="str">
        <f t="shared" si="26"/>
        <v xml:space="preserve">-LAYER N C-HYDR-FISH </v>
      </c>
      <c r="O216" s="11" t="str">
        <f t="shared" si="27"/>
        <v xml:space="preserve">-LAYER C white C-HYDR-FISH </v>
      </c>
      <c r="P216" s="11" t="str">
        <f t="shared" si="28"/>
        <v xml:space="preserve">-LAYER L Continuous
C-HYDR-FISH  </v>
      </c>
      <c r="Q216" s="11" t="str">
        <f t="shared" si="29"/>
        <v xml:space="preserve">-LAYER LW Default
C-HYDR-FISH  </v>
      </c>
      <c r="R216" s="11" t="str">
        <f t="shared" si="30"/>
        <v xml:space="preserve">-LAYER TR 0
C-HYDR-FISH  </v>
      </c>
      <c r="S216" s="11" t="str">
        <f t="shared" si="31"/>
        <v xml:space="preserve">-LAYER D Civil - Estructura hidráulica: escala/pasaje para peces
C-HYDR-FISH  </v>
      </c>
    </row>
    <row r="217" spans="1:19" x14ac:dyDescent="0.45">
      <c r="A217" s="7">
        <v>0</v>
      </c>
      <c r="B217" s="11" t="s">
        <v>3142</v>
      </c>
      <c r="C217" s="11" t="s">
        <v>7</v>
      </c>
      <c r="D217" s="11" t="s">
        <v>1297</v>
      </c>
      <c r="E217" s="11" t="str">
        <f t="shared" si="24"/>
        <v>C-HYDR-FLUM (Civil - Estructura hidráulica: canal)</v>
      </c>
      <c r="F217" s="19" t="s">
        <v>3798</v>
      </c>
      <c r="G217" s="19" t="s">
        <v>3797</v>
      </c>
      <c r="H217" s="19" t="s">
        <v>3811</v>
      </c>
      <c r="I217" s="10">
        <v>0</v>
      </c>
      <c r="J217" s="10" t="str">
        <f t="shared" si="25"/>
        <v>Civil - Estructura hidráulica: canal</v>
      </c>
      <c r="K217" s="11" t="s">
        <v>1295</v>
      </c>
      <c r="L217" s="11" t="s">
        <v>7</v>
      </c>
      <c r="M217" s="11" t="s">
        <v>1296</v>
      </c>
      <c r="N217" s="18" t="str">
        <f t="shared" si="26"/>
        <v xml:space="preserve">-LAYER N C-HYDR-FLUM </v>
      </c>
      <c r="O217" s="11" t="str">
        <f t="shared" si="27"/>
        <v xml:space="preserve">-LAYER C white C-HYDR-FLUM </v>
      </c>
      <c r="P217" s="11" t="str">
        <f t="shared" si="28"/>
        <v xml:space="preserve">-LAYER L Continuous
C-HYDR-FLUM  </v>
      </c>
      <c r="Q217" s="11" t="str">
        <f t="shared" si="29"/>
        <v xml:space="preserve">-LAYER LW Default
C-HYDR-FLUM  </v>
      </c>
      <c r="R217" s="11" t="str">
        <f t="shared" si="30"/>
        <v xml:space="preserve">-LAYER TR 0
C-HYDR-FLUM  </v>
      </c>
      <c r="S217" s="11" t="str">
        <f t="shared" si="31"/>
        <v xml:space="preserve">-LAYER D Civil - Estructura hidráulica: canal
C-HYDR-FLUM  </v>
      </c>
    </row>
    <row r="218" spans="1:19" x14ac:dyDescent="0.45">
      <c r="A218" s="7">
        <v>0</v>
      </c>
      <c r="B218" s="11" t="s">
        <v>3143</v>
      </c>
      <c r="C218" s="11" t="s">
        <v>7</v>
      </c>
      <c r="D218" s="11" t="s">
        <v>1715</v>
      </c>
      <c r="E218" s="11" t="str">
        <f t="shared" si="24"/>
        <v>C-HYDR-INTK (Civil - Hidráulica Estructura: toma)</v>
      </c>
      <c r="F218" s="19" t="s">
        <v>3798</v>
      </c>
      <c r="G218" s="19" t="s">
        <v>3797</v>
      </c>
      <c r="H218" s="19" t="s">
        <v>3811</v>
      </c>
      <c r="I218" s="10">
        <v>0</v>
      </c>
      <c r="J218" s="10" t="str">
        <f t="shared" si="25"/>
        <v>Civil - Hidráulica Estructura: toma</v>
      </c>
      <c r="K218" s="11" t="s">
        <v>1298</v>
      </c>
      <c r="L218" s="11" t="s">
        <v>7</v>
      </c>
      <c r="M218" s="11" t="s">
        <v>1299</v>
      </c>
      <c r="N218" s="18" t="str">
        <f t="shared" si="26"/>
        <v xml:space="preserve">-LAYER N C-HYDR-INTK </v>
      </c>
      <c r="O218" s="11" t="str">
        <f t="shared" si="27"/>
        <v xml:space="preserve">-LAYER C white C-HYDR-INTK </v>
      </c>
      <c r="P218" s="11" t="str">
        <f t="shared" si="28"/>
        <v xml:space="preserve">-LAYER L Continuous
C-HYDR-INTK  </v>
      </c>
      <c r="Q218" s="11" t="str">
        <f t="shared" si="29"/>
        <v xml:space="preserve">-LAYER LW Default
C-HYDR-INTK  </v>
      </c>
      <c r="R218" s="11" t="str">
        <f t="shared" si="30"/>
        <v xml:space="preserve">-LAYER TR 0
C-HYDR-INTK  </v>
      </c>
      <c r="S218" s="11" t="str">
        <f t="shared" si="31"/>
        <v xml:space="preserve">-LAYER D Civil - Hidráulica Estructura: toma
C-HYDR-INTK  </v>
      </c>
    </row>
    <row r="219" spans="1:19" x14ac:dyDescent="0.45">
      <c r="A219" s="7">
        <v>0</v>
      </c>
      <c r="B219" s="11" t="s">
        <v>3144</v>
      </c>
      <c r="C219" s="11" t="s">
        <v>7</v>
      </c>
      <c r="D219" s="11" t="s">
        <v>1716</v>
      </c>
      <c r="E219" s="11" t="str">
        <f t="shared" si="24"/>
        <v>C-HYDR-NOVR (Civil - Estructura hidráulica: estructura antidesbordamiento)</v>
      </c>
      <c r="F219" s="19" t="s">
        <v>3798</v>
      </c>
      <c r="G219" s="19" t="s">
        <v>3797</v>
      </c>
      <c r="H219" s="19" t="s">
        <v>3811</v>
      </c>
      <c r="I219" s="10">
        <v>0</v>
      </c>
      <c r="J219" s="10" t="str">
        <f t="shared" si="25"/>
        <v>Civil - Estructura hidráulica: estructura antidesbordamiento</v>
      </c>
      <c r="K219" s="11" t="s">
        <v>1300</v>
      </c>
      <c r="L219" s="11" t="s">
        <v>7</v>
      </c>
      <c r="M219" s="11" t="s">
        <v>1301</v>
      </c>
      <c r="N219" s="18" t="str">
        <f t="shared" si="26"/>
        <v xml:space="preserve">-LAYER N C-HYDR-NOVR </v>
      </c>
      <c r="O219" s="11" t="str">
        <f t="shared" si="27"/>
        <v xml:space="preserve">-LAYER C white C-HYDR-NOVR </v>
      </c>
      <c r="P219" s="11" t="str">
        <f t="shared" si="28"/>
        <v xml:space="preserve">-LAYER L Continuous
C-HYDR-NOVR  </v>
      </c>
      <c r="Q219" s="11" t="str">
        <f t="shared" si="29"/>
        <v xml:space="preserve">-LAYER LW Default
C-HYDR-NOVR  </v>
      </c>
      <c r="R219" s="11" t="str">
        <f t="shared" si="30"/>
        <v xml:space="preserve">-LAYER TR 0
C-HYDR-NOVR  </v>
      </c>
      <c r="S219" s="11" t="str">
        <f t="shared" si="31"/>
        <v xml:space="preserve">-LAYER D Civil - Estructura hidráulica: estructura antidesbordamiento
C-HYDR-NOVR  </v>
      </c>
    </row>
    <row r="220" spans="1:19" x14ac:dyDescent="0.45">
      <c r="A220" s="7">
        <v>0</v>
      </c>
      <c r="B220" s="11" t="s">
        <v>3145</v>
      </c>
      <c r="C220" s="11" t="s">
        <v>7</v>
      </c>
      <c r="D220" s="11" t="s">
        <v>1717</v>
      </c>
      <c r="E220" s="11" t="str">
        <f t="shared" si="24"/>
        <v>C-HYDR-PENS (Civil - Estructura hidráulica: tubería forzada)</v>
      </c>
      <c r="F220" s="19" t="s">
        <v>3798</v>
      </c>
      <c r="G220" s="19" t="s">
        <v>3797</v>
      </c>
      <c r="H220" s="19" t="s">
        <v>3811</v>
      </c>
      <c r="I220" s="10">
        <v>0</v>
      </c>
      <c r="J220" s="10" t="str">
        <f t="shared" si="25"/>
        <v>Civil - Estructura hidráulica: tubería forzada</v>
      </c>
      <c r="K220" s="11" t="s">
        <v>1302</v>
      </c>
      <c r="L220" s="11" t="s">
        <v>7</v>
      </c>
      <c r="M220" s="11" t="s">
        <v>1303</v>
      </c>
      <c r="N220" s="18" t="str">
        <f t="shared" si="26"/>
        <v xml:space="preserve">-LAYER N C-HYDR-PENS </v>
      </c>
      <c r="O220" s="11" t="str">
        <f t="shared" si="27"/>
        <v xml:space="preserve">-LAYER C white C-HYDR-PENS </v>
      </c>
      <c r="P220" s="11" t="str">
        <f t="shared" si="28"/>
        <v xml:space="preserve">-LAYER L Continuous
C-HYDR-PENS  </v>
      </c>
      <c r="Q220" s="11" t="str">
        <f t="shared" si="29"/>
        <v xml:space="preserve">-LAYER LW Default
C-HYDR-PENS  </v>
      </c>
      <c r="R220" s="11" t="str">
        <f t="shared" si="30"/>
        <v xml:space="preserve">-LAYER TR 0
C-HYDR-PENS  </v>
      </c>
      <c r="S220" s="11" t="str">
        <f t="shared" si="31"/>
        <v xml:space="preserve">-LAYER D Civil - Estructura hidráulica: tubería forzada
C-HYDR-PENS  </v>
      </c>
    </row>
    <row r="221" spans="1:19" x14ac:dyDescent="0.45">
      <c r="A221" s="7">
        <v>0</v>
      </c>
      <c r="B221" s="11" t="s">
        <v>3146</v>
      </c>
      <c r="C221" s="11" t="s">
        <v>7</v>
      </c>
      <c r="D221" s="11" t="s">
        <v>453</v>
      </c>
      <c r="E221" s="11" t="str">
        <f t="shared" si="24"/>
        <v>C-LOCN (Civil - Límites de construcción)</v>
      </c>
      <c r="F221" s="19" t="s">
        <v>3798</v>
      </c>
      <c r="G221" s="19" t="s">
        <v>3797</v>
      </c>
      <c r="H221" s="19" t="s">
        <v>3811</v>
      </c>
      <c r="I221" s="10">
        <v>0</v>
      </c>
      <c r="J221" s="10" t="str">
        <f t="shared" si="25"/>
        <v>Civil - Límites de construcción</v>
      </c>
      <c r="K221" s="11" t="s">
        <v>1304</v>
      </c>
      <c r="L221" s="11" t="s">
        <v>7</v>
      </c>
      <c r="M221" s="11" t="s">
        <v>452</v>
      </c>
      <c r="N221" s="18" t="str">
        <f t="shared" si="26"/>
        <v xml:space="preserve">-LAYER N C-LOCN </v>
      </c>
      <c r="O221" s="11" t="str">
        <f t="shared" si="27"/>
        <v xml:space="preserve">-LAYER C white C-LOCN </v>
      </c>
      <c r="P221" s="11" t="str">
        <f t="shared" si="28"/>
        <v xml:space="preserve">-LAYER L Continuous
C-LOCN  </v>
      </c>
      <c r="Q221" s="11" t="str">
        <f t="shared" si="29"/>
        <v xml:space="preserve">-LAYER LW Default
C-LOCN  </v>
      </c>
      <c r="R221" s="11" t="str">
        <f t="shared" si="30"/>
        <v xml:space="preserve">-LAYER TR 0
C-LOCN  </v>
      </c>
      <c r="S221" s="11" t="str">
        <f t="shared" si="31"/>
        <v xml:space="preserve">-LAYER D Civil - Límites de construcción
C-LOCN  </v>
      </c>
    </row>
    <row r="222" spans="1:19" x14ac:dyDescent="0.45">
      <c r="A222" s="7">
        <v>1</v>
      </c>
      <c r="B222" s="11" t="s">
        <v>3147</v>
      </c>
      <c r="C222" s="11" t="s">
        <v>7</v>
      </c>
      <c r="D222" s="11" t="s">
        <v>482</v>
      </c>
      <c r="E222" s="11" t="str">
        <f t="shared" si="24"/>
        <v>C-NGAS (Civil - Sistemas de gas natural)</v>
      </c>
      <c r="F222" s="19" t="s">
        <v>3798</v>
      </c>
      <c r="G222" s="19" t="s">
        <v>3797</v>
      </c>
      <c r="H222" s="19" t="s">
        <v>3811</v>
      </c>
      <c r="I222" s="10">
        <v>0</v>
      </c>
      <c r="J222" s="10" t="str">
        <f t="shared" si="25"/>
        <v>Civil - Sistemas de gas natural</v>
      </c>
      <c r="K222" s="11" t="s">
        <v>1305</v>
      </c>
      <c r="L222" s="11" t="s">
        <v>7</v>
      </c>
      <c r="M222" s="11" t="s">
        <v>481</v>
      </c>
      <c r="N222" s="18" t="str">
        <f t="shared" si="26"/>
        <v xml:space="preserve">-LAYER N C-NGAS </v>
      </c>
      <c r="O222" s="11" t="str">
        <f t="shared" si="27"/>
        <v xml:space="preserve">-LAYER C white C-NGAS </v>
      </c>
      <c r="P222" s="11" t="str">
        <f t="shared" si="28"/>
        <v xml:space="preserve">-LAYER L Continuous
C-NGAS  </v>
      </c>
      <c r="Q222" s="11" t="str">
        <f t="shared" si="29"/>
        <v xml:space="preserve">-LAYER LW Default
C-NGAS  </v>
      </c>
      <c r="R222" s="11" t="str">
        <f t="shared" si="30"/>
        <v xml:space="preserve">-LAYER TR 0
C-NGAS  </v>
      </c>
      <c r="S222" s="11" t="str">
        <f t="shared" si="31"/>
        <v xml:space="preserve">-LAYER D Civil - Sistemas de gas natural
C-NGAS  </v>
      </c>
    </row>
    <row r="223" spans="1:19" x14ac:dyDescent="0.45">
      <c r="A223" s="7">
        <v>0</v>
      </c>
      <c r="B223" s="11" t="s">
        <v>3148</v>
      </c>
      <c r="C223" s="11" t="s">
        <v>7</v>
      </c>
      <c r="D223" s="11" t="s">
        <v>1308</v>
      </c>
      <c r="E223" s="11" t="str">
        <f t="shared" si="24"/>
        <v>C-NGAS-EQPM (Civil - Sistemas de gas natural: Equipos (bombas, motores))</v>
      </c>
      <c r="F223" s="19" t="s">
        <v>3798</v>
      </c>
      <c r="G223" s="19" t="s">
        <v>3797</v>
      </c>
      <c r="H223" s="19" t="s">
        <v>3811</v>
      </c>
      <c r="I223" s="10">
        <v>0</v>
      </c>
      <c r="J223" s="10" t="str">
        <f t="shared" si="25"/>
        <v>Civil - Sistemas de gas natural: Equipos (bombas, motores)</v>
      </c>
      <c r="K223" s="11" t="s">
        <v>1306</v>
      </c>
      <c r="L223" s="11" t="s">
        <v>7</v>
      </c>
      <c r="M223" s="11" t="s">
        <v>1307</v>
      </c>
      <c r="N223" s="18" t="str">
        <f t="shared" si="26"/>
        <v xml:space="preserve">-LAYER N C-NGAS-EQPM </v>
      </c>
      <c r="O223" s="11" t="str">
        <f t="shared" si="27"/>
        <v xml:space="preserve">-LAYER C white C-NGAS-EQPM </v>
      </c>
      <c r="P223" s="11" t="str">
        <f t="shared" si="28"/>
        <v xml:space="preserve">-LAYER L Continuous
C-NGAS-EQPM  </v>
      </c>
      <c r="Q223" s="11" t="str">
        <f t="shared" si="29"/>
        <v xml:space="preserve">-LAYER LW Default
C-NGAS-EQPM  </v>
      </c>
      <c r="R223" s="11" t="str">
        <f t="shared" si="30"/>
        <v xml:space="preserve">-LAYER TR 0
C-NGAS-EQPM  </v>
      </c>
      <c r="S223" s="11" t="str">
        <f t="shared" si="31"/>
        <v xml:space="preserve">-LAYER D Civil - Sistemas de gas natural: Equipos (bombas, motores)
C-NGAS-EQPM  </v>
      </c>
    </row>
    <row r="224" spans="1:19" x14ac:dyDescent="0.45">
      <c r="A224" s="7">
        <v>0</v>
      </c>
      <c r="B224" s="11" t="s">
        <v>3149</v>
      </c>
      <c r="C224" s="11" t="s">
        <v>7</v>
      </c>
      <c r="D224" s="11" t="s">
        <v>1311</v>
      </c>
      <c r="E224" s="11" t="str">
        <f t="shared" si="24"/>
        <v>C-NGAS-INST (Civil - Sistemas de gas natural: Instrumentación (medidores, válvulas, etc.))</v>
      </c>
      <c r="F224" s="19" t="s">
        <v>3798</v>
      </c>
      <c r="G224" s="19" t="s">
        <v>3797</v>
      </c>
      <c r="H224" s="19" t="s">
        <v>3811</v>
      </c>
      <c r="I224" s="10">
        <v>0</v>
      </c>
      <c r="J224" s="10" t="str">
        <f t="shared" si="25"/>
        <v>Civil - Sistemas de gas natural: Instrumentación (medidores, válvulas, etc.)</v>
      </c>
      <c r="K224" s="11" t="s">
        <v>1309</v>
      </c>
      <c r="L224" s="11" t="s">
        <v>7</v>
      </c>
      <c r="M224" s="11" t="s">
        <v>1310</v>
      </c>
      <c r="N224" s="18" t="str">
        <f t="shared" si="26"/>
        <v xml:space="preserve">-LAYER N C-NGAS-INST </v>
      </c>
      <c r="O224" s="11" t="str">
        <f t="shared" si="27"/>
        <v xml:space="preserve">-LAYER C white C-NGAS-INST </v>
      </c>
      <c r="P224" s="11" t="str">
        <f t="shared" si="28"/>
        <v xml:space="preserve">-LAYER L Continuous
C-NGAS-INST  </v>
      </c>
      <c r="Q224" s="11" t="str">
        <f t="shared" si="29"/>
        <v xml:space="preserve">-LAYER LW Default
C-NGAS-INST  </v>
      </c>
      <c r="R224" s="11" t="str">
        <f t="shared" si="30"/>
        <v xml:space="preserve">-LAYER TR 0
C-NGAS-INST  </v>
      </c>
      <c r="S224" s="11" t="str">
        <f t="shared" si="31"/>
        <v xml:space="preserve">-LAYER D Civil - Sistemas de gas natural: Instrumentación (medidores, válvulas, etc.)
C-NGAS-INST  </v>
      </c>
    </row>
    <row r="225" spans="1:19" x14ac:dyDescent="0.45">
      <c r="A225" s="7">
        <v>0</v>
      </c>
      <c r="B225" s="11" t="s">
        <v>3150</v>
      </c>
      <c r="C225" s="11" t="s">
        <v>7</v>
      </c>
      <c r="D225" s="11" t="s">
        <v>1314</v>
      </c>
      <c r="E225" s="11" t="str">
        <f t="shared" si="24"/>
        <v>C-NGAS-MHOL (Civil - Sistemas de gas natural: Pozo de registro)</v>
      </c>
      <c r="F225" s="19" t="s">
        <v>3798</v>
      </c>
      <c r="G225" s="19" t="s">
        <v>3797</v>
      </c>
      <c r="H225" s="19" t="s">
        <v>3811</v>
      </c>
      <c r="I225" s="10">
        <v>0</v>
      </c>
      <c r="J225" s="10" t="str">
        <f t="shared" si="25"/>
        <v>Civil - Sistemas de gas natural: Pozo de registro</v>
      </c>
      <c r="K225" s="11" t="s">
        <v>1312</v>
      </c>
      <c r="L225" s="11" t="s">
        <v>7</v>
      </c>
      <c r="M225" s="11" t="s">
        <v>1313</v>
      </c>
      <c r="N225" s="18" t="str">
        <f t="shared" si="26"/>
        <v xml:space="preserve">-LAYER N C-NGAS-MHOL </v>
      </c>
      <c r="O225" s="11" t="str">
        <f t="shared" si="27"/>
        <v xml:space="preserve">-LAYER C white C-NGAS-MHOL </v>
      </c>
      <c r="P225" s="11" t="str">
        <f t="shared" si="28"/>
        <v xml:space="preserve">-LAYER L Continuous
C-NGAS-MHOL  </v>
      </c>
      <c r="Q225" s="11" t="str">
        <f t="shared" si="29"/>
        <v xml:space="preserve">-LAYER LW Default
C-NGAS-MHOL  </v>
      </c>
      <c r="R225" s="11" t="str">
        <f t="shared" si="30"/>
        <v xml:space="preserve">-LAYER TR 0
C-NGAS-MHOL  </v>
      </c>
      <c r="S225" s="11" t="str">
        <f t="shared" si="31"/>
        <v xml:space="preserve">-LAYER D Civil - Sistemas de gas natural: Pozo de registro
C-NGAS-MHOL  </v>
      </c>
    </row>
    <row r="226" spans="1:19" x14ac:dyDescent="0.45">
      <c r="A226" s="7">
        <v>0</v>
      </c>
      <c r="B226" s="11" t="s">
        <v>3151</v>
      </c>
      <c r="C226" s="11" t="s">
        <v>7</v>
      </c>
      <c r="D226" s="11" t="s">
        <v>1317</v>
      </c>
      <c r="E226" s="11" t="str">
        <f t="shared" si="24"/>
        <v>C-NGAS-PIPE (Civil - Sistemas de gas natural: Tuberías)</v>
      </c>
      <c r="F226" s="19" t="s">
        <v>3798</v>
      </c>
      <c r="G226" s="19" t="s">
        <v>3797</v>
      </c>
      <c r="H226" s="19" t="s">
        <v>3811</v>
      </c>
      <c r="I226" s="10">
        <v>0</v>
      </c>
      <c r="J226" s="10" t="str">
        <f t="shared" si="25"/>
        <v>Civil - Sistemas de gas natural: Tuberías</v>
      </c>
      <c r="K226" s="11" t="s">
        <v>1315</v>
      </c>
      <c r="L226" s="11" t="s">
        <v>7</v>
      </c>
      <c r="M226" s="11" t="s">
        <v>1316</v>
      </c>
      <c r="N226" s="18" t="str">
        <f t="shared" si="26"/>
        <v xml:space="preserve">-LAYER N C-NGAS-PIPE </v>
      </c>
      <c r="O226" s="11" t="str">
        <f t="shared" si="27"/>
        <v xml:space="preserve">-LAYER C white C-NGAS-PIPE </v>
      </c>
      <c r="P226" s="11" t="str">
        <f t="shared" si="28"/>
        <v xml:space="preserve">-LAYER L Continuous
C-NGAS-PIPE  </v>
      </c>
      <c r="Q226" s="11" t="str">
        <f t="shared" si="29"/>
        <v xml:space="preserve">-LAYER LW Default
C-NGAS-PIPE  </v>
      </c>
      <c r="R226" s="11" t="str">
        <f t="shared" si="30"/>
        <v xml:space="preserve">-LAYER TR 0
C-NGAS-PIPE  </v>
      </c>
      <c r="S226" s="11" t="str">
        <f t="shared" si="31"/>
        <v xml:space="preserve">-LAYER D Civil - Sistemas de gas natural: Tuberías
C-NGAS-PIPE  </v>
      </c>
    </row>
    <row r="227" spans="1:19" x14ac:dyDescent="0.45">
      <c r="A227" s="7">
        <v>0</v>
      </c>
      <c r="B227" s="11" t="s">
        <v>3152</v>
      </c>
      <c r="C227" s="11" t="s">
        <v>7</v>
      </c>
      <c r="D227" s="11" t="s">
        <v>1320</v>
      </c>
      <c r="E227" s="11" t="str">
        <f t="shared" si="24"/>
        <v>C-NGAS-TANK (Civil - Sistemas de gas natural: Tanques de almacenamiento)</v>
      </c>
      <c r="F227" s="19" t="s">
        <v>3798</v>
      </c>
      <c r="G227" s="19" t="s">
        <v>3797</v>
      </c>
      <c r="H227" s="19" t="s">
        <v>3811</v>
      </c>
      <c r="I227" s="10">
        <v>0</v>
      </c>
      <c r="J227" s="10" t="str">
        <f t="shared" si="25"/>
        <v>Civil - Sistemas de gas natural: Tanques de almacenamiento</v>
      </c>
      <c r="K227" s="11" t="s">
        <v>1318</v>
      </c>
      <c r="L227" s="11" t="s">
        <v>7</v>
      </c>
      <c r="M227" s="11" t="s">
        <v>1319</v>
      </c>
      <c r="N227" s="18" t="str">
        <f t="shared" si="26"/>
        <v xml:space="preserve">-LAYER N C-NGAS-TANK </v>
      </c>
      <c r="O227" s="11" t="str">
        <f t="shared" si="27"/>
        <v xml:space="preserve">-LAYER C white C-NGAS-TANK </v>
      </c>
      <c r="P227" s="11" t="str">
        <f t="shared" si="28"/>
        <v xml:space="preserve">-LAYER L Continuous
C-NGAS-TANK  </v>
      </c>
      <c r="Q227" s="11" t="str">
        <f t="shared" si="29"/>
        <v xml:space="preserve">-LAYER LW Default
C-NGAS-TANK  </v>
      </c>
      <c r="R227" s="11" t="str">
        <f t="shared" si="30"/>
        <v xml:space="preserve">-LAYER TR 0
C-NGAS-TANK  </v>
      </c>
      <c r="S227" s="11" t="str">
        <f t="shared" si="31"/>
        <v xml:space="preserve">-LAYER D Civil - Sistemas de gas natural: Tanques de almacenamiento
C-NGAS-TANK  </v>
      </c>
    </row>
    <row r="228" spans="1:19" x14ac:dyDescent="0.45">
      <c r="A228" s="7">
        <v>0</v>
      </c>
      <c r="B228" s="11" t="s">
        <v>3153</v>
      </c>
      <c r="C228" s="11" t="s">
        <v>7</v>
      </c>
      <c r="D228" s="11" t="s">
        <v>1323</v>
      </c>
      <c r="E228" s="11" t="str">
        <f t="shared" si="24"/>
        <v>C-NGAS-UGND (Civil - Sistemas de gas natural: Subterráneos)</v>
      </c>
      <c r="F228" s="19" t="s">
        <v>3798</v>
      </c>
      <c r="G228" s="19" t="s">
        <v>3797</v>
      </c>
      <c r="H228" s="19" t="s">
        <v>3811</v>
      </c>
      <c r="I228" s="10">
        <v>0</v>
      </c>
      <c r="J228" s="10" t="str">
        <f t="shared" si="25"/>
        <v>Civil - Sistemas de gas natural: Subterráneos</v>
      </c>
      <c r="K228" s="11" t="s">
        <v>1321</v>
      </c>
      <c r="L228" s="11" t="s">
        <v>7</v>
      </c>
      <c r="M228" s="11" t="s">
        <v>1322</v>
      </c>
      <c r="N228" s="18" t="str">
        <f t="shared" si="26"/>
        <v xml:space="preserve">-LAYER N C-NGAS-UGND </v>
      </c>
      <c r="O228" s="11" t="str">
        <f t="shared" si="27"/>
        <v xml:space="preserve">-LAYER C white C-NGAS-UGND </v>
      </c>
      <c r="P228" s="11" t="str">
        <f t="shared" si="28"/>
        <v xml:space="preserve">-LAYER L Continuous
C-NGAS-UGND  </v>
      </c>
      <c r="Q228" s="11" t="str">
        <f t="shared" si="29"/>
        <v xml:space="preserve">-LAYER LW Default
C-NGAS-UGND  </v>
      </c>
      <c r="R228" s="11" t="str">
        <f t="shared" si="30"/>
        <v xml:space="preserve">-LAYER TR 0
C-NGAS-UGND  </v>
      </c>
      <c r="S228" s="11" t="str">
        <f t="shared" si="31"/>
        <v xml:space="preserve">-LAYER D Civil - Sistemas de gas natural: Subterráneos
C-NGAS-UGND  </v>
      </c>
    </row>
    <row r="229" spans="1:19" x14ac:dyDescent="0.45">
      <c r="A229" s="7">
        <v>0</v>
      </c>
      <c r="B229" s="11" t="s">
        <v>3154</v>
      </c>
      <c r="C229" s="11" t="s">
        <v>7</v>
      </c>
      <c r="D229" s="11" t="s">
        <v>1325</v>
      </c>
      <c r="E229" s="11" t="str">
        <f t="shared" si="24"/>
        <v>C-PERC (Civil - Pruebas de percolación)</v>
      </c>
      <c r="F229" s="19" t="s">
        <v>3798</v>
      </c>
      <c r="G229" s="19" t="s">
        <v>3797</v>
      </c>
      <c r="H229" s="19" t="s">
        <v>3811</v>
      </c>
      <c r="I229" s="10">
        <v>0</v>
      </c>
      <c r="J229" s="10" t="str">
        <f t="shared" si="25"/>
        <v>Civil - Pruebas de percolación</v>
      </c>
      <c r="K229" s="11" t="s">
        <v>1324</v>
      </c>
      <c r="L229" s="11" t="s">
        <v>7</v>
      </c>
      <c r="M229" s="11" t="s">
        <v>502</v>
      </c>
      <c r="N229" s="18" t="str">
        <f t="shared" si="26"/>
        <v xml:space="preserve">-LAYER N C-PERC </v>
      </c>
      <c r="O229" s="11" t="str">
        <f t="shared" si="27"/>
        <v xml:space="preserve">-LAYER C white C-PERC </v>
      </c>
      <c r="P229" s="11" t="str">
        <f t="shared" si="28"/>
        <v xml:space="preserve">-LAYER L Continuous
C-PERC  </v>
      </c>
      <c r="Q229" s="11" t="str">
        <f t="shared" si="29"/>
        <v xml:space="preserve">-LAYER LW Default
C-PERC  </v>
      </c>
      <c r="R229" s="11" t="str">
        <f t="shared" si="30"/>
        <v xml:space="preserve">-LAYER TR 0
C-PERC  </v>
      </c>
      <c r="S229" s="11" t="str">
        <f t="shared" si="31"/>
        <v xml:space="preserve">-LAYER D Civil - Pruebas de percolación
C-PERC  </v>
      </c>
    </row>
    <row r="230" spans="1:19" x14ac:dyDescent="0.45">
      <c r="A230" s="7">
        <v>0</v>
      </c>
      <c r="B230" s="11" t="s">
        <v>3155</v>
      </c>
      <c r="C230" s="11" t="s">
        <v>7</v>
      </c>
      <c r="D230" s="11" t="s">
        <v>1328</v>
      </c>
      <c r="E230" s="11" t="str">
        <f t="shared" si="24"/>
        <v>C-PERC-HOLE (Civil - Pruebas de percolación: Pozos)</v>
      </c>
      <c r="F230" s="19" t="s">
        <v>3798</v>
      </c>
      <c r="G230" s="19" t="s">
        <v>3797</v>
      </c>
      <c r="H230" s="19" t="s">
        <v>3811</v>
      </c>
      <c r="I230" s="10">
        <v>0</v>
      </c>
      <c r="J230" s="10" t="str">
        <f t="shared" si="25"/>
        <v>Civil - Pruebas de percolación: Pozos</v>
      </c>
      <c r="K230" s="11" t="s">
        <v>1326</v>
      </c>
      <c r="L230" s="11" t="s">
        <v>7</v>
      </c>
      <c r="M230" s="11" t="s">
        <v>1327</v>
      </c>
      <c r="N230" s="18" t="str">
        <f t="shared" si="26"/>
        <v xml:space="preserve">-LAYER N C-PERC-HOLE </v>
      </c>
      <c r="O230" s="11" t="str">
        <f t="shared" si="27"/>
        <v xml:space="preserve">-LAYER C white C-PERC-HOLE </v>
      </c>
      <c r="P230" s="11" t="str">
        <f t="shared" si="28"/>
        <v xml:space="preserve">-LAYER L Continuous
C-PERC-HOLE  </v>
      </c>
      <c r="Q230" s="11" t="str">
        <f t="shared" si="29"/>
        <v xml:space="preserve">-LAYER LW Default
C-PERC-HOLE  </v>
      </c>
      <c r="R230" s="11" t="str">
        <f t="shared" si="30"/>
        <v xml:space="preserve">-LAYER TR 0
C-PERC-HOLE  </v>
      </c>
      <c r="S230" s="11" t="str">
        <f t="shared" si="31"/>
        <v xml:space="preserve">-LAYER D Civil - Pruebas de percolación: Pozos
C-PERC-HOLE  </v>
      </c>
    </row>
    <row r="231" spans="1:19" x14ac:dyDescent="0.45">
      <c r="A231" s="7">
        <v>0</v>
      </c>
      <c r="B231" s="11" t="s">
        <v>3156</v>
      </c>
      <c r="C231" s="11" t="s">
        <v>7</v>
      </c>
      <c r="D231" s="11" t="s">
        <v>524</v>
      </c>
      <c r="E231" s="11" t="str">
        <f t="shared" si="24"/>
        <v>C-POND (Civil - Estanques)</v>
      </c>
      <c r="F231" s="19" t="s">
        <v>3798</v>
      </c>
      <c r="G231" s="19" t="s">
        <v>3797</v>
      </c>
      <c r="H231" s="19" t="s">
        <v>3811</v>
      </c>
      <c r="I231" s="10">
        <v>0</v>
      </c>
      <c r="J231" s="10" t="str">
        <f t="shared" si="25"/>
        <v>Civil - Estanques</v>
      </c>
      <c r="K231" s="11" t="s">
        <v>1329</v>
      </c>
      <c r="L231" s="11" t="s">
        <v>7</v>
      </c>
      <c r="M231" s="11" t="s">
        <v>523</v>
      </c>
      <c r="N231" s="18" t="str">
        <f t="shared" si="26"/>
        <v xml:space="preserve">-LAYER N C-POND </v>
      </c>
      <c r="O231" s="11" t="str">
        <f t="shared" si="27"/>
        <v xml:space="preserve">-LAYER C white C-POND </v>
      </c>
      <c r="P231" s="11" t="str">
        <f t="shared" si="28"/>
        <v xml:space="preserve">-LAYER L Continuous
C-POND  </v>
      </c>
      <c r="Q231" s="11" t="str">
        <f t="shared" si="29"/>
        <v xml:space="preserve">-LAYER LW Default
C-POND  </v>
      </c>
      <c r="R231" s="11" t="str">
        <f t="shared" si="30"/>
        <v xml:space="preserve">-LAYER TR 0
C-POND  </v>
      </c>
      <c r="S231" s="11" t="str">
        <f t="shared" si="31"/>
        <v xml:space="preserve">-LAYER D Civil - Estanques
C-POND  </v>
      </c>
    </row>
    <row r="232" spans="1:19" x14ac:dyDescent="0.45">
      <c r="A232" s="7">
        <v>0</v>
      </c>
      <c r="B232" s="11" t="s">
        <v>3157</v>
      </c>
      <c r="C232" s="11" t="s">
        <v>7</v>
      </c>
      <c r="D232" s="11" t="s">
        <v>1332</v>
      </c>
      <c r="E232" s="11" t="str">
        <f t="shared" si="24"/>
        <v>C-POND-EDGE (Civil - Estanques: borde)</v>
      </c>
      <c r="F232" s="19" t="s">
        <v>3798</v>
      </c>
      <c r="G232" s="19" t="s">
        <v>3797</v>
      </c>
      <c r="H232" s="19" t="s">
        <v>3811</v>
      </c>
      <c r="I232" s="10">
        <v>0</v>
      </c>
      <c r="J232" s="10" t="str">
        <f t="shared" si="25"/>
        <v>Civil - Estanques: borde</v>
      </c>
      <c r="K232" s="11" t="s">
        <v>1330</v>
      </c>
      <c r="L232" s="11" t="s">
        <v>7</v>
      </c>
      <c r="M232" s="11" t="s">
        <v>1331</v>
      </c>
      <c r="N232" s="18" t="str">
        <f t="shared" si="26"/>
        <v xml:space="preserve">-LAYER N C-POND-EDGE </v>
      </c>
      <c r="O232" s="11" t="str">
        <f t="shared" si="27"/>
        <v xml:space="preserve">-LAYER C white C-POND-EDGE </v>
      </c>
      <c r="P232" s="11" t="str">
        <f t="shared" si="28"/>
        <v xml:space="preserve">-LAYER L Continuous
C-POND-EDGE  </v>
      </c>
      <c r="Q232" s="11" t="str">
        <f t="shared" si="29"/>
        <v xml:space="preserve">-LAYER LW Default
C-POND-EDGE  </v>
      </c>
      <c r="R232" s="11" t="str">
        <f t="shared" si="30"/>
        <v xml:space="preserve">-LAYER TR 0
C-POND-EDGE  </v>
      </c>
      <c r="S232" s="11" t="str">
        <f t="shared" si="31"/>
        <v xml:space="preserve">-LAYER D Civil - Estanques: borde
C-POND-EDGE  </v>
      </c>
    </row>
    <row r="233" spans="1:19" x14ac:dyDescent="0.45">
      <c r="A233" s="7">
        <v>0</v>
      </c>
      <c r="B233" s="11" t="s">
        <v>3158</v>
      </c>
      <c r="C233" s="11" t="s">
        <v>7</v>
      </c>
      <c r="D233" s="11" t="s">
        <v>1335</v>
      </c>
      <c r="E233" s="11" t="str">
        <f t="shared" si="24"/>
        <v>C-POND-SWAY (Civil - Estanques: aliviadero)</v>
      </c>
      <c r="F233" s="19" t="s">
        <v>3798</v>
      </c>
      <c r="G233" s="19" t="s">
        <v>3797</v>
      </c>
      <c r="H233" s="19" t="s">
        <v>3811</v>
      </c>
      <c r="I233" s="10">
        <v>0</v>
      </c>
      <c r="J233" s="10" t="str">
        <f t="shared" si="25"/>
        <v>Civil - Estanques: aliviadero</v>
      </c>
      <c r="K233" s="11" t="s">
        <v>1333</v>
      </c>
      <c r="L233" s="11" t="s">
        <v>7</v>
      </c>
      <c r="M233" s="11" t="s">
        <v>1334</v>
      </c>
      <c r="N233" s="18" t="str">
        <f t="shared" si="26"/>
        <v xml:space="preserve">-LAYER N C-POND-SWAY </v>
      </c>
      <c r="O233" s="11" t="str">
        <f t="shared" si="27"/>
        <v xml:space="preserve">-LAYER C white C-POND-SWAY </v>
      </c>
      <c r="P233" s="11" t="str">
        <f t="shared" si="28"/>
        <v xml:space="preserve">-LAYER L Continuous
C-POND-SWAY  </v>
      </c>
      <c r="Q233" s="11" t="str">
        <f t="shared" si="29"/>
        <v xml:space="preserve">-LAYER LW Default
C-POND-SWAY  </v>
      </c>
      <c r="R233" s="11" t="str">
        <f t="shared" si="30"/>
        <v xml:space="preserve">-LAYER TR 0
C-POND-SWAY  </v>
      </c>
      <c r="S233" s="11" t="str">
        <f t="shared" si="31"/>
        <v xml:space="preserve">-LAYER D Civil - Estanques: aliviadero
C-POND-SWAY  </v>
      </c>
    </row>
    <row r="234" spans="1:19" x14ac:dyDescent="0.45">
      <c r="A234" s="7">
        <v>0</v>
      </c>
      <c r="B234" s="11" t="s">
        <v>3159</v>
      </c>
      <c r="C234" s="11" t="s">
        <v>7</v>
      </c>
      <c r="D234" s="11" t="s">
        <v>1338</v>
      </c>
      <c r="E234" s="11" t="str">
        <f t="shared" si="24"/>
        <v>C-POND-TOPB (Civil - Estanques: parte superior de la ribera)</v>
      </c>
      <c r="F234" s="19" t="s">
        <v>3798</v>
      </c>
      <c r="G234" s="19" t="s">
        <v>3797</v>
      </c>
      <c r="H234" s="19" t="s">
        <v>3811</v>
      </c>
      <c r="I234" s="10">
        <v>0</v>
      </c>
      <c r="J234" s="10" t="str">
        <f t="shared" si="25"/>
        <v>Civil - Estanques: parte superior de la ribera</v>
      </c>
      <c r="K234" s="11" t="s">
        <v>1336</v>
      </c>
      <c r="L234" s="11" t="s">
        <v>7</v>
      </c>
      <c r="M234" s="11" t="s">
        <v>1337</v>
      </c>
      <c r="N234" s="18" t="str">
        <f t="shared" si="26"/>
        <v xml:space="preserve">-LAYER N C-POND-TOPB </v>
      </c>
      <c r="O234" s="11" t="str">
        <f t="shared" si="27"/>
        <v xml:space="preserve">-LAYER C white C-POND-TOPB </v>
      </c>
      <c r="P234" s="11" t="str">
        <f t="shared" si="28"/>
        <v xml:space="preserve">-LAYER L Continuous
C-POND-TOPB  </v>
      </c>
      <c r="Q234" s="11" t="str">
        <f t="shared" si="29"/>
        <v xml:space="preserve">-LAYER LW Default
C-POND-TOPB  </v>
      </c>
      <c r="R234" s="11" t="str">
        <f t="shared" si="30"/>
        <v xml:space="preserve">-LAYER TR 0
C-POND-TOPB  </v>
      </c>
      <c r="S234" s="11" t="str">
        <f t="shared" si="31"/>
        <v xml:space="preserve">-LAYER D Civil - Estanques: parte superior de la ribera
C-POND-TOPB  </v>
      </c>
    </row>
    <row r="235" spans="1:19" x14ac:dyDescent="0.45">
      <c r="A235" s="7">
        <v>1</v>
      </c>
      <c r="B235" s="11" t="s">
        <v>3160</v>
      </c>
      <c r="C235" s="11" t="s">
        <v>7</v>
      </c>
      <c r="D235" s="11" t="s">
        <v>527</v>
      </c>
      <c r="E235" s="11" t="str">
        <f t="shared" si="24"/>
        <v>C-POWR (Civil - Energía)</v>
      </c>
      <c r="F235" s="10" t="s">
        <v>3798</v>
      </c>
      <c r="G235" s="10" t="s">
        <v>3796</v>
      </c>
      <c r="H235" s="10">
        <v>0.15</v>
      </c>
      <c r="I235" s="10">
        <v>0</v>
      </c>
      <c r="J235" s="10" t="str">
        <f t="shared" si="25"/>
        <v>Civil - Energía</v>
      </c>
      <c r="K235" s="11" t="s">
        <v>1339</v>
      </c>
      <c r="L235" s="11" t="s">
        <v>7</v>
      </c>
      <c r="M235" s="11" t="s">
        <v>526</v>
      </c>
      <c r="N235" s="18" t="str">
        <f t="shared" si="26"/>
        <v xml:space="preserve">-LAYER N C-POWR </v>
      </c>
      <c r="O235" s="11" t="str">
        <f t="shared" si="27"/>
        <v xml:space="preserve">-LAYER C white C-POWR </v>
      </c>
      <c r="P235" s="11" t="str">
        <f t="shared" si="28"/>
        <v xml:space="preserve">-LAYER L DASHED
C-POWR  </v>
      </c>
      <c r="Q235" s="11" t="str">
        <f t="shared" si="29"/>
        <v xml:space="preserve">-LAYER LW 0.15
C-POWR  </v>
      </c>
      <c r="R235" s="11" t="str">
        <f t="shared" si="30"/>
        <v xml:space="preserve">-LAYER TR 0
C-POWR  </v>
      </c>
      <c r="S235" s="11" t="str">
        <f t="shared" si="31"/>
        <v xml:space="preserve">-LAYER D Civil - Energía
C-POWR  </v>
      </c>
    </row>
    <row r="236" spans="1:19" x14ac:dyDescent="0.45">
      <c r="A236" s="7">
        <v>0</v>
      </c>
      <c r="B236" s="11" t="s">
        <v>3161</v>
      </c>
      <c r="C236" s="11" t="s">
        <v>7</v>
      </c>
      <c r="D236" s="11" t="s">
        <v>1342</v>
      </c>
      <c r="E236" s="11" t="str">
        <f t="shared" si="24"/>
        <v>C-POWR-FENC (Civil - Energía: cercas)</v>
      </c>
      <c r="F236" s="19" t="s">
        <v>3798</v>
      </c>
      <c r="G236" s="19" t="s">
        <v>3797</v>
      </c>
      <c r="H236" s="19" t="s">
        <v>3811</v>
      </c>
      <c r="I236" s="10">
        <v>0</v>
      </c>
      <c r="J236" s="10" t="str">
        <f t="shared" si="25"/>
        <v>Civil - Energía: cercas</v>
      </c>
      <c r="K236" s="11" t="s">
        <v>1340</v>
      </c>
      <c r="L236" s="11" t="s">
        <v>7</v>
      </c>
      <c r="M236" s="11" t="s">
        <v>1341</v>
      </c>
      <c r="N236" s="18" t="str">
        <f t="shared" si="26"/>
        <v xml:space="preserve">-LAYER N C-POWR-FENC </v>
      </c>
      <c r="O236" s="11" t="str">
        <f t="shared" si="27"/>
        <v xml:space="preserve">-LAYER C white C-POWR-FENC </v>
      </c>
      <c r="P236" s="11" t="str">
        <f t="shared" si="28"/>
        <v xml:space="preserve">-LAYER L Continuous
C-POWR-FENC  </v>
      </c>
      <c r="Q236" s="11" t="str">
        <f t="shared" si="29"/>
        <v xml:space="preserve">-LAYER LW Default
C-POWR-FENC  </v>
      </c>
      <c r="R236" s="11" t="str">
        <f t="shared" si="30"/>
        <v xml:space="preserve">-LAYER TR 0
C-POWR-FENC  </v>
      </c>
      <c r="S236" s="11" t="str">
        <f t="shared" si="31"/>
        <v xml:space="preserve">-LAYER D Civil - Energía: cercas
C-POWR-FENC  </v>
      </c>
    </row>
    <row r="237" spans="1:19" x14ac:dyDescent="0.45">
      <c r="A237" s="7">
        <v>0</v>
      </c>
      <c r="B237" s="11" t="s">
        <v>3162</v>
      </c>
      <c r="C237" s="11" t="s">
        <v>7</v>
      </c>
      <c r="D237" s="11" t="s">
        <v>1345</v>
      </c>
      <c r="E237" s="11" t="str">
        <f t="shared" si="24"/>
        <v>C-POWR-INST (Civil - Energía: instrumentación (medidores, transformadores))</v>
      </c>
      <c r="F237" s="19" t="s">
        <v>3798</v>
      </c>
      <c r="G237" s="19" t="s">
        <v>3797</v>
      </c>
      <c r="H237" s="19" t="s">
        <v>3811</v>
      </c>
      <c r="I237" s="10">
        <v>0</v>
      </c>
      <c r="J237" s="10" t="str">
        <f t="shared" si="25"/>
        <v>Civil - Energía: instrumentación (medidores, transformadores)</v>
      </c>
      <c r="K237" s="11" t="s">
        <v>1343</v>
      </c>
      <c r="L237" s="11" t="s">
        <v>7</v>
      </c>
      <c r="M237" s="11" t="s">
        <v>1344</v>
      </c>
      <c r="N237" s="18" t="str">
        <f t="shared" si="26"/>
        <v xml:space="preserve">-LAYER N C-POWR-INST </v>
      </c>
      <c r="O237" s="11" t="str">
        <f t="shared" si="27"/>
        <v xml:space="preserve">-LAYER C white C-POWR-INST </v>
      </c>
      <c r="P237" s="11" t="str">
        <f t="shared" si="28"/>
        <v xml:space="preserve">-LAYER L Continuous
C-POWR-INST  </v>
      </c>
      <c r="Q237" s="11" t="str">
        <f t="shared" si="29"/>
        <v xml:space="preserve">-LAYER LW Default
C-POWR-INST  </v>
      </c>
      <c r="R237" s="11" t="str">
        <f t="shared" si="30"/>
        <v xml:space="preserve">-LAYER TR 0
C-POWR-INST  </v>
      </c>
      <c r="S237" s="11" t="str">
        <f t="shared" si="31"/>
        <v xml:space="preserve">-LAYER D Civil - Energía: instrumentación (medidores, transformadores)
C-POWR-INST  </v>
      </c>
    </row>
    <row r="238" spans="1:19" x14ac:dyDescent="0.45">
      <c r="A238" s="7">
        <v>0</v>
      </c>
      <c r="B238" s="11" t="s">
        <v>3163</v>
      </c>
      <c r="C238" s="11" t="s">
        <v>7</v>
      </c>
      <c r="D238" s="11" t="s">
        <v>1348</v>
      </c>
      <c r="E238" s="11" t="str">
        <f t="shared" si="24"/>
        <v>C-POWR-MHOL (Civil - Energía: pozo de registro)</v>
      </c>
      <c r="F238" s="19" t="s">
        <v>3798</v>
      </c>
      <c r="G238" s="19" t="s">
        <v>3797</v>
      </c>
      <c r="H238" s="19" t="s">
        <v>3811</v>
      </c>
      <c r="I238" s="10">
        <v>0</v>
      </c>
      <c r="J238" s="10" t="str">
        <f t="shared" si="25"/>
        <v>Civil - Energía: pozo de registro</v>
      </c>
      <c r="K238" s="11" t="s">
        <v>1346</v>
      </c>
      <c r="L238" s="11" t="s">
        <v>7</v>
      </c>
      <c r="M238" s="11" t="s">
        <v>1347</v>
      </c>
      <c r="N238" s="18" t="str">
        <f t="shared" si="26"/>
        <v xml:space="preserve">-LAYER N C-POWR-MHOL </v>
      </c>
      <c r="O238" s="11" t="str">
        <f t="shared" si="27"/>
        <v xml:space="preserve">-LAYER C white C-POWR-MHOL </v>
      </c>
      <c r="P238" s="11" t="str">
        <f t="shared" si="28"/>
        <v xml:space="preserve">-LAYER L Continuous
C-POWR-MHOL  </v>
      </c>
      <c r="Q238" s="11" t="str">
        <f t="shared" si="29"/>
        <v xml:space="preserve">-LAYER LW Default
C-POWR-MHOL  </v>
      </c>
      <c r="R238" s="11" t="str">
        <f t="shared" si="30"/>
        <v xml:space="preserve">-LAYER TR 0
C-POWR-MHOL  </v>
      </c>
      <c r="S238" s="11" t="str">
        <f t="shared" si="31"/>
        <v xml:space="preserve">-LAYER D Civil - Energía: pozo de registro
C-POWR-MHOL  </v>
      </c>
    </row>
    <row r="239" spans="1:19" x14ac:dyDescent="0.45">
      <c r="A239" s="7">
        <v>0</v>
      </c>
      <c r="B239" s="11" t="s">
        <v>3164</v>
      </c>
      <c r="C239" s="11" t="s">
        <v>7</v>
      </c>
      <c r="D239" s="11" t="s">
        <v>1351</v>
      </c>
      <c r="E239" s="11" t="str">
        <f t="shared" si="24"/>
        <v>C-POWR-OVHD (Civil - Energía: aérea)</v>
      </c>
      <c r="F239" s="19" t="s">
        <v>3798</v>
      </c>
      <c r="G239" s="19" t="s">
        <v>3797</v>
      </c>
      <c r="H239" s="19" t="s">
        <v>3811</v>
      </c>
      <c r="I239" s="10">
        <v>0</v>
      </c>
      <c r="J239" s="10" t="str">
        <f t="shared" si="25"/>
        <v>Civil - Energía: aérea</v>
      </c>
      <c r="K239" s="11" t="s">
        <v>1349</v>
      </c>
      <c r="L239" s="11" t="s">
        <v>7</v>
      </c>
      <c r="M239" s="11" t="s">
        <v>1350</v>
      </c>
      <c r="N239" s="18" t="str">
        <f t="shared" si="26"/>
        <v xml:space="preserve">-LAYER N C-POWR-OVHD </v>
      </c>
      <c r="O239" s="11" t="str">
        <f t="shared" si="27"/>
        <v xml:space="preserve">-LAYER C white C-POWR-OVHD </v>
      </c>
      <c r="P239" s="11" t="str">
        <f t="shared" si="28"/>
        <v xml:space="preserve">-LAYER L Continuous
C-POWR-OVHD  </v>
      </c>
      <c r="Q239" s="11" t="str">
        <f t="shared" si="29"/>
        <v xml:space="preserve">-LAYER LW Default
C-POWR-OVHD  </v>
      </c>
      <c r="R239" s="11" t="str">
        <f t="shared" si="30"/>
        <v xml:space="preserve">-LAYER TR 0
C-POWR-OVHD  </v>
      </c>
      <c r="S239" s="11" t="str">
        <f t="shared" si="31"/>
        <v xml:space="preserve">-LAYER D Civil - Energía: aérea
C-POWR-OVHD  </v>
      </c>
    </row>
    <row r="240" spans="1:19" x14ac:dyDescent="0.45">
      <c r="A240" s="7">
        <v>0</v>
      </c>
      <c r="B240" s="11" t="s">
        <v>3165</v>
      </c>
      <c r="C240" s="11" t="s">
        <v>7</v>
      </c>
      <c r="D240" s="11" t="s">
        <v>1354</v>
      </c>
      <c r="E240" s="11" t="str">
        <f t="shared" si="24"/>
        <v>C-POWR-POLE (Civil - Energía: poste)</v>
      </c>
      <c r="F240" s="19" t="s">
        <v>3798</v>
      </c>
      <c r="G240" s="19" t="s">
        <v>3797</v>
      </c>
      <c r="H240" s="19" t="s">
        <v>3811</v>
      </c>
      <c r="I240" s="10">
        <v>0</v>
      </c>
      <c r="J240" s="10" t="str">
        <f t="shared" si="25"/>
        <v>Civil - Energía: poste</v>
      </c>
      <c r="K240" s="11" t="s">
        <v>1352</v>
      </c>
      <c r="L240" s="11" t="s">
        <v>7</v>
      </c>
      <c r="M240" s="11" t="s">
        <v>1353</v>
      </c>
      <c r="N240" s="18" t="str">
        <f t="shared" si="26"/>
        <v xml:space="preserve">-LAYER N C-POWR-POLE </v>
      </c>
      <c r="O240" s="11" t="str">
        <f t="shared" si="27"/>
        <v xml:space="preserve">-LAYER C white C-POWR-POLE </v>
      </c>
      <c r="P240" s="11" t="str">
        <f t="shared" si="28"/>
        <v xml:space="preserve">-LAYER L Continuous
C-POWR-POLE  </v>
      </c>
      <c r="Q240" s="11" t="str">
        <f t="shared" si="29"/>
        <v xml:space="preserve">-LAYER LW Default
C-POWR-POLE  </v>
      </c>
      <c r="R240" s="11" t="str">
        <f t="shared" si="30"/>
        <v xml:space="preserve">-LAYER TR 0
C-POWR-POLE  </v>
      </c>
      <c r="S240" s="11" t="str">
        <f t="shared" si="31"/>
        <v xml:space="preserve">-LAYER D Civil - Energía: poste
C-POWR-POLE  </v>
      </c>
    </row>
    <row r="241" spans="1:19" x14ac:dyDescent="0.45">
      <c r="A241" s="7">
        <v>0</v>
      </c>
      <c r="B241" s="11" t="s">
        <v>3166</v>
      </c>
      <c r="C241" s="11" t="s">
        <v>7</v>
      </c>
      <c r="D241" s="11" t="s">
        <v>1357</v>
      </c>
      <c r="E241" s="11" t="str">
        <f t="shared" si="24"/>
        <v>C-POWR-STRC (Civil - Energía: estructuras)</v>
      </c>
      <c r="F241" s="19" t="s">
        <v>3798</v>
      </c>
      <c r="G241" s="19" t="s">
        <v>3797</v>
      </c>
      <c r="H241" s="19" t="s">
        <v>3811</v>
      </c>
      <c r="I241" s="10">
        <v>0</v>
      </c>
      <c r="J241" s="10" t="str">
        <f t="shared" si="25"/>
        <v>Civil - Energía: estructuras</v>
      </c>
      <c r="K241" s="11" t="s">
        <v>1355</v>
      </c>
      <c r="L241" s="11" t="s">
        <v>7</v>
      </c>
      <c r="M241" s="11" t="s">
        <v>1356</v>
      </c>
      <c r="N241" s="18" t="str">
        <f t="shared" si="26"/>
        <v xml:space="preserve">-LAYER N C-POWR-STRC </v>
      </c>
      <c r="O241" s="11" t="str">
        <f t="shared" si="27"/>
        <v xml:space="preserve">-LAYER C white C-POWR-STRC </v>
      </c>
      <c r="P241" s="11" t="str">
        <f t="shared" si="28"/>
        <v xml:space="preserve">-LAYER L Continuous
C-POWR-STRC  </v>
      </c>
      <c r="Q241" s="11" t="str">
        <f t="shared" si="29"/>
        <v xml:space="preserve">-LAYER LW Default
C-POWR-STRC  </v>
      </c>
      <c r="R241" s="11" t="str">
        <f t="shared" si="30"/>
        <v xml:space="preserve">-LAYER TR 0
C-POWR-STRC  </v>
      </c>
      <c r="S241" s="11" t="str">
        <f t="shared" si="31"/>
        <v xml:space="preserve">-LAYER D Civil - Energía: estructuras
C-POWR-STRC  </v>
      </c>
    </row>
    <row r="242" spans="1:19" x14ac:dyDescent="0.45">
      <c r="A242" s="7">
        <v>0</v>
      </c>
      <c r="B242" s="11" t="s">
        <v>3167</v>
      </c>
      <c r="C242" s="11" t="s">
        <v>7</v>
      </c>
      <c r="D242" s="11" t="s">
        <v>1360</v>
      </c>
      <c r="E242" s="11" t="str">
        <f t="shared" si="24"/>
        <v>C-POWR-UGND (Civil - Energía: subterránea)</v>
      </c>
      <c r="F242" s="19" t="s">
        <v>3798</v>
      </c>
      <c r="G242" s="19" t="s">
        <v>3797</v>
      </c>
      <c r="H242" s="19" t="s">
        <v>3811</v>
      </c>
      <c r="I242" s="10">
        <v>0</v>
      </c>
      <c r="J242" s="10" t="str">
        <f t="shared" si="25"/>
        <v>Civil - Energía: subterránea</v>
      </c>
      <c r="K242" s="11" t="s">
        <v>1358</v>
      </c>
      <c r="L242" s="11" t="s">
        <v>7</v>
      </c>
      <c r="M242" s="11" t="s">
        <v>1359</v>
      </c>
      <c r="N242" s="18" t="str">
        <f t="shared" si="26"/>
        <v xml:space="preserve">-LAYER N C-POWR-UGND </v>
      </c>
      <c r="O242" s="11" t="str">
        <f t="shared" si="27"/>
        <v xml:space="preserve">-LAYER C white C-POWR-UGND </v>
      </c>
      <c r="P242" s="11" t="str">
        <f t="shared" si="28"/>
        <v xml:space="preserve">-LAYER L Continuous
C-POWR-UGND  </v>
      </c>
      <c r="Q242" s="11" t="str">
        <f t="shared" si="29"/>
        <v xml:space="preserve">-LAYER LW Default
C-POWR-UGND  </v>
      </c>
      <c r="R242" s="11" t="str">
        <f t="shared" si="30"/>
        <v xml:space="preserve">-LAYER TR 0
C-POWR-UGND  </v>
      </c>
      <c r="S242" s="11" t="str">
        <f t="shared" si="31"/>
        <v xml:space="preserve">-LAYER D Civil - Energía: subterránea
C-POWR-UGND  </v>
      </c>
    </row>
    <row r="243" spans="1:19" x14ac:dyDescent="0.45">
      <c r="A243" s="7">
        <v>0</v>
      </c>
      <c r="B243" s="11" t="s">
        <v>3168</v>
      </c>
      <c r="C243" s="11" t="s">
        <v>7</v>
      </c>
      <c r="D243" s="11" t="s">
        <v>530</v>
      </c>
      <c r="E243" s="11" t="str">
        <f t="shared" si="24"/>
        <v>C-PRKG (Civil - Estacionamientos)</v>
      </c>
      <c r="F243" s="19" t="s">
        <v>3798</v>
      </c>
      <c r="G243" s="19" t="s">
        <v>3797</v>
      </c>
      <c r="H243" s="19" t="s">
        <v>3811</v>
      </c>
      <c r="I243" s="10">
        <v>0</v>
      </c>
      <c r="J243" s="10" t="str">
        <f t="shared" si="25"/>
        <v>Civil - Estacionamientos</v>
      </c>
      <c r="K243" s="11" t="s">
        <v>1361</v>
      </c>
      <c r="L243" s="11" t="s">
        <v>7</v>
      </c>
      <c r="M243" s="11" t="s">
        <v>529</v>
      </c>
      <c r="N243" s="18" t="str">
        <f t="shared" si="26"/>
        <v xml:space="preserve">-LAYER N C-PRKG </v>
      </c>
      <c r="O243" s="11" t="str">
        <f t="shared" si="27"/>
        <v xml:space="preserve">-LAYER C white C-PRKG </v>
      </c>
      <c r="P243" s="11" t="str">
        <f t="shared" si="28"/>
        <v xml:space="preserve">-LAYER L Continuous
C-PRKG  </v>
      </c>
      <c r="Q243" s="11" t="str">
        <f t="shared" si="29"/>
        <v xml:space="preserve">-LAYER LW Default
C-PRKG  </v>
      </c>
      <c r="R243" s="11" t="str">
        <f t="shared" si="30"/>
        <v xml:space="preserve">-LAYER TR 0
C-PRKG  </v>
      </c>
      <c r="S243" s="11" t="str">
        <f t="shared" si="31"/>
        <v xml:space="preserve">-LAYER D Civil - Estacionamientos
C-PRKG  </v>
      </c>
    </row>
    <row r="244" spans="1:19" x14ac:dyDescent="0.45">
      <c r="A244" s="7">
        <v>0</v>
      </c>
      <c r="B244" s="11" t="s">
        <v>3169</v>
      </c>
      <c r="C244" s="11" t="s">
        <v>7</v>
      </c>
      <c r="D244" s="11" t="s">
        <v>1364</v>
      </c>
      <c r="E244" s="11" t="str">
        <f t="shared" si="24"/>
        <v>C-PRKG-ASPH (Civil - Estacionamientos: asfalto)</v>
      </c>
      <c r="F244" s="19" t="s">
        <v>3798</v>
      </c>
      <c r="G244" s="19" t="s">
        <v>3797</v>
      </c>
      <c r="H244" s="19" t="s">
        <v>3811</v>
      </c>
      <c r="I244" s="10">
        <v>0</v>
      </c>
      <c r="J244" s="10" t="str">
        <f t="shared" si="25"/>
        <v>Civil - Estacionamientos: asfalto</v>
      </c>
      <c r="K244" s="11" t="s">
        <v>1362</v>
      </c>
      <c r="L244" s="11" t="s">
        <v>7</v>
      </c>
      <c r="M244" s="11" t="s">
        <v>1363</v>
      </c>
      <c r="N244" s="18" t="str">
        <f t="shared" si="26"/>
        <v xml:space="preserve">-LAYER N C-PRKG-ASPH </v>
      </c>
      <c r="O244" s="11" t="str">
        <f t="shared" si="27"/>
        <v xml:space="preserve">-LAYER C white C-PRKG-ASPH </v>
      </c>
      <c r="P244" s="11" t="str">
        <f t="shared" si="28"/>
        <v xml:space="preserve">-LAYER L Continuous
C-PRKG-ASPH  </v>
      </c>
      <c r="Q244" s="11" t="str">
        <f t="shared" si="29"/>
        <v xml:space="preserve">-LAYER LW Default
C-PRKG-ASPH  </v>
      </c>
      <c r="R244" s="11" t="str">
        <f t="shared" si="30"/>
        <v xml:space="preserve">-LAYER TR 0
C-PRKG-ASPH  </v>
      </c>
      <c r="S244" s="11" t="str">
        <f t="shared" si="31"/>
        <v xml:space="preserve">-LAYER D Civil - Estacionamientos: asfalto
C-PRKG-ASPH  </v>
      </c>
    </row>
    <row r="245" spans="1:19" x14ac:dyDescent="0.45">
      <c r="A245" s="7">
        <v>0</v>
      </c>
      <c r="B245" s="11" t="s">
        <v>3170</v>
      </c>
      <c r="C245" s="11" t="s">
        <v>7</v>
      </c>
      <c r="D245" s="11" t="s">
        <v>1367</v>
      </c>
      <c r="E245" s="11" t="str">
        <f t="shared" si="24"/>
        <v>C-PRKG-CARS (Civil - Estacionamientos: automóviles y otros vehículos)</v>
      </c>
      <c r="F245" s="19" t="s">
        <v>3798</v>
      </c>
      <c r="G245" s="19" t="s">
        <v>3797</v>
      </c>
      <c r="H245" s="19" t="s">
        <v>3811</v>
      </c>
      <c r="I245" s="10">
        <v>0</v>
      </c>
      <c r="J245" s="10" t="str">
        <f t="shared" si="25"/>
        <v>Civil - Estacionamientos: automóviles y otros vehículos</v>
      </c>
      <c r="K245" s="11" t="s">
        <v>1365</v>
      </c>
      <c r="L245" s="11" t="s">
        <v>7</v>
      </c>
      <c r="M245" s="11" t="s">
        <v>1366</v>
      </c>
      <c r="N245" s="18" t="str">
        <f t="shared" si="26"/>
        <v xml:space="preserve">-LAYER N C-PRKG-CARS </v>
      </c>
      <c r="O245" s="11" t="str">
        <f t="shared" si="27"/>
        <v xml:space="preserve">-LAYER C white C-PRKG-CARS </v>
      </c>
      <c r="P245" s="11" t="str">
        <f t="shared" si="28"/>
        <v xml:space="preserve">-LAYER L Continuous
C-PRKG-CARS  </v>
      </c>
      <c r="Q245" s="11" t="str">
        <f t="shared" si="29"/>
        <v xml:space="preserve">-LAYER LW Default
C-PRKG-CARS  </v>
      </c>
      <c r="R245" s="11" t="str">
        <f t="shared" si="30"/>
        <v xml:space="preserve">-LAYER TR 0
C-PRKG-CARS  </v>
      </c>
      <c r="S245" s="11" t="str">
        <f t="shared" si="31"/>
        <v xml:space="preserve">-LAYER D Civil - Estacionamientos: automóviles y otros vehículos
C-PRKG-CARS  </v>
      </c>
    </row>
    <row r="246" spans="1:19" x14ac:dyDescent="0.45">
      <c r="A246" s="7">
        <v>0</v>
      </c>
      <c r="B246" s="11" t="s">
        <v>3171</v>
      </c>
      <c r="C246" s="11" t="s">
        <v>7</v>
      </c>
      <c r="D246" s="11" t="s">
        <v>1370</v>
      </c>
      <c r="E246" s="11" t="str">
        <f t="shared" si="24"/>
        <v>C-PRKG-CONC (Civil - Estacionamientos: concreto)</v>
      </c>
      <c r="F246" s="19" t="s">
        <v>3798</v>
      </c>
      <c r="G246" s="19" t="s">
        <v>3797</v>
      </c>
      <c r="H246" s="19" t="s">
        <v>3811</v>
      </c>
      <c r="I246" s="10">
        <v>0</v>
      </c>
      <c r="J246" s="10" t="str">
        <f t="shared" si="25"/>
        <v>Civil - Estacionamientos: concreto</v>
      </c>
      <c r="K246" s="11" t="s">
        <v>1368</v>
      </c>
      <c r="L246" s="11" t="s">
        <v>7</v>
      </c>
      <c r="M246" s="11" t="s">
        <v>1369</v>
      </c>
      <c r="N246" s="18" t="str">
        <f t="shared" si="26"/>
        <v xml:space="preserve">-LAYER N C-PRKG-CONC </v>
      </c>
      <c r="O246" s="11" t="str">
        <f t="shared" si="27"/>
        <v xml:space="preserve">-LAYER C white C-PRKG-CONC </v>
      </c>
      <c r="P246" s="11" t="str">
        <f t="shared" si="28"/>
        <v xml:space="preserve">-LAYER L Continuous
C-PRKG-CONC  </v>
      </c>
      <c r="Q246" s="11" t="str">
        <f t="shared" si="29"/>
        <v xml:space="preserve">-LAYER LW Default
C-PRKG-CONC  </v>
      </c>
      <c r="R246" s="11" t="str">
        <f t="shared" si="30"/>
        <v xml:space="preserve">-LAYER TR 0
C-PRKG-CONC  </v>
      </c>
      <c r="S246" s="11" t="str">
        <f t="shared" si="31"/>
        <v xml:space="preserve">-LAYER D Civil - Estacionamientos: concreto
C-PRKG-CONC  </v>
      </c>
    </row>
    <row r="247" spans="1:19" x14ac:dyDescent="0.45">
      <c r="A247" s="7">
        <v>0</v>
      </c>
      <c r="B247" s="11" t="s">
        <v>3172</v>
      </c>
      <c r="C247" s="11" t="s">
        <v>7</v>
      </c>
      <c r="D247" s="11" t="s">
        <v>1373</v>
      </c>
      <c r="E247" s="11" t="str">
        <f t="shared" si="24"/>
        <v>C-PRKG-CURB (Civil - Estacionamientos: bordillo)</v>
      </c>
      <c r="F247" s="19" t="s">
        <v>3798</v>
      </c>
      <c r="G247" s="19" t="s">
        <v>3797</v>
      </c>
      <c r="H247" s="19" t="s">
        <v>3811</v>
      </c>
      <c r="I247" s="10">
        <v>0</v>
      </c>
      <c r="J247" s="10" t="str">
        <f t="shared" si="25"/>
        <v>Civil - Estacionamientos: bordillo</v>
      </c>
      <c r="K247" s="11" t="s">
        <v>1371</v>
      </c>
      <c r="L247" s="11" t="s">
        <v>7</v>
      </c>
      <c r="M247" s="11" t="s">
        <v>1372</v>
      </c>
      <c r="N247" s="18" t="str">
        <f t="shared" si="26"/>
        <v xml:space="preserve">-LAYER N C-PRKG-CURB </v>
      </c>
      <c r="O247" s="11" t="str">
        <f t="shared" si="27"/>
        <v xml:space="preserve">-LAYER C white C-PRKG-CURB </v>
      </c>
      <c r="P247" s="11" t="str">
        <f t="shared" si="28"/>
        <v xml:space="preserve">-LAYER L Continuous
C-PRKG-CURB  </v>
      </c>
      <c r="Q247" s="11" t="str">
        <f t="shared" si="29"/>
        <v xml:space="preserve">-LAYER LW Default
C-PRKG-CURB  </v>
      </c>
      <c r="R247" s="11" t="str">
        <f t="shared" si="30"/>
        <v xml:space="preserve">-LAYER TR 0
C-PRKG-CURB  </v>
      </c>
      <c r="S247" s="11" t="str">
        <f t="shared" si="31"/>
        <v xml:space="preserve">-LAYER D Civil - Estacionamientos: bordillo
C-PRKG-CURB  </v>
      </c>
    </row>
    <row r="248" spans="1:19" x14ac:dyDescent="0.45">
      <c r="A248" s="7">
        <v>0</v>
      </c>
      <c r="B248" s="11" t="s">
        <v>3173</v>
      </c>
      <c r="C248" s="11" t="s">
        <v>7</v>
      </c>
      <c r="D248" s="11" t="s">
        <v>1376</v>
      </c>
      <c r="E248" s="11" t="str">
        <f t="shared" si="24"/>
        <v>C-PRKG-CURB-BACK (Civil - Estacionamientos: bordillo: trasero)</v>
      </c>
      <c r="F248" s="19" t="s">
        <v>3798</v>
      </c>
      <c r="G248" s="19" t="s">
        <v>3797</v>
      </c>
      <c r="H248" s="19" t="s">
        <v>3811</v>
      </c>
      <c r="I248" s="10">
        <v>0</v>
      </c>
      <c r="J248" s="10" t="str">
        <f t="shared" si="25"/>
        <v>Civil - Estacionamientos: bordillo: trasero</v>
      </c>
      <c r="K248" s="11" t="s">
        <v>1374</v>
      </c>
      <c r="L248" s="11" t="s">
        <v>7</v>
      </c>
      <c r="M248" s="11" t="s">
        <v>1375</v>
      </c>
      <c r="N248" s="18" t="str">
        <f t="shared" si="26"/>
        <v xml:space="preserve">-LAYER N C-PRKG-CURB-BACK </v>
      </c>
      <c r="O248" s="11" t="str">
        <f t="shared" si="27"/>
        <v xml:space="preserve">-LAYER C white C-PRKG-CURB-BACK </v>
      </c>
      <c r="P248" s="11" t="str">
        <f t="shared" si="28"/>
        <v xml:space="preserve">-LAYER L Continuous
C-PRKG-CURB-BACK  </v>
      </c>
      <c r="Q248" s="11" t="str">
        <f t="shared" si="29"/>
        <v xml:space="preserve">-LAYER LW Default
C-PRKG-CURB-BACK  </v>
      </c>
      <c r="R248" s="11" t="str">
        <f t="shared" si="30"/>
        <v xml:space="preserve">-LAYER TR 0
C-PRKG-CURB-BACK  </v>
      </c>
      <c r="S248" s="11" t="str">
        <f t="shared" si="31"/>
        <v xml:space="preserve">-LAYER D Civil - Estacionamientos: bordillo: trasero
C-PRKG-CURB-BACK  </v>
      </c>
    </row>
    <row r="249" spans="1:19" x14ac:dyDescent="0.45">
      <c r="A249" s="7">
        <v>0</v>
      </c>
      <c r="B249" s="11" t="s">
        <v>3174</v>
      </c>
      <c r="C249" s="11" t="s">
        <v>7</v>
      </c>
      <c r="D249" s="11" t="s">
        <v>1379</v>
      </c>
      <c r="E249" s="11" t="str">
        <f t="shared" si="24"/>
        <v>C-PRKG-CURB-FACE (Civil - Estacionamientos: bordillo: frente)</v>
      </c>
      <c r="F249" s="19" t="s">
        <v>3798</v>
      </c>
      <c r="G249" s="19" t="s">
        <v>3797</v>
      </c>
      <c r="H249" s="19" t="s">
        <v>3811</v>
      </c>
      <c r="I249" s="10">
        <v>0</v>
      </c>
      <c r="J249" s="10" t="str">
        <f t="shared" si="25"/>
        <v>Civil - Estacionamientos: bordillo: frente</v>
      </c>
      <c r="K249" s="11" t="s">
        <v>1377</v>
      </c>
      <c r="L249" s="11" t="s">
        <v>7</v>
      </c>
      <c r="M249" s="11" t="s">
        <v>1378</v>
      </c>
      <c r="N249" s="18" t="str">
        <f t="shared" si="26"/>
        <v xml:space="preserve">-LAYER N C-PRKG-CURB-FACE </v>
      </c>
      <c r="O249" s="11" t="str">
        <f t="shared" si="27"/>
        <v xml:space="preserve">-LAYER C white C-PRKG-CURB-FACE </v>
      </c>
      <c r="P249" s="11" t="str">
        <f t="shared" si="28"/>
        <v xml:space="preserve">-LAYER L Continuous
C-PRKG-CURB-FACE  </v>
      </c>
      <c r="Q249" s="11" t="str">
        <f t="shared" si="29"/>
        <v xml:space="preserve">-LAYER LW Default
C-PRKG-CURB-FACE  </v>
      </c>
      <c r="R249" s="11" t="str">
        <f t="shared" si="30"/>
        <v xml:space="preserve">-LAYER TR 0
C-PRKG-CURB-FACE  </v>
      </c>
      <c r="S249" s="11" t="str">
        <f t="shared" si="31"/>
        <v xml:space="preserve">-LAYER D Civil - Estacionamientos: bordillo: frente
C-PRKG-CURB-FACE  </v>
      </c>
    </row>
    <row r="250" spans="1:19" x14ac:dyDescent="0.45">
      <c r="A250" s="7">
        <v>0</v>
      </c>
      <c r="B250" s="11" t="s">
        <v>3175</v>
      </c>
      <c r="C250" s="11" t="s">
        <v>7</v>
      </c>
      <c r="D250" s="11" t="s">
        <v>1382</v>
      </c>
      <c r="E250" s="11" t="str">
        <f t="shared" si="24"/>
        <v>C-PRKG-DRAN (Civil - Estacionamientos: indicaciones de pendiente de drenaje)</v>
      </c>
      <c r="F250" s="19" t="s">
        <v>3798</v>
      </c>
      <c r="G250" s="19" t="s">
        <v>3797</v>
      </c>
      <c r="H250" s="19" t="s">
        <v>3811</v>
      </c>
      <c r="I250" s="10">
        <v>0</v>
      </c>
      <c r="J250" s="10" t="str">
        <f t="shared" si="25"/>
        <v>Civil - Estacionamientos: indicaciones de pendiente de drenaje</v>
      </c>
      <c r="K250" s="11" t="s">
        <v>1380</v>
      </c>
      <c r="L250" s="11" t="s">
        <v>7</v>
      </c>
      <c r="M250" s="11" t="s">
        <v>1381</v>
      </c>
      <c r="N250" s="18" t="str">
        <f t="shared" si="26"/>
        <v xml:space="preserve">-LAYER N C-PRKG-DRAN </v>
      </c>
      <c r="O250" s="11" t="str">
        <f t="shared" si="27"/>
        <v xml:space="preserve">-LAYER C white C-PRKG-DRAN </v>
      </c>
      <c r="P250" s="11" t="str">
        <f t="shared" si="28"/>
        <v xml:space="preserve">-LAYER L Continuous
C-PRKG-DRAN  </v>
      </c>
      <c r="Q250" s="11" t="str">
        <f t="shared" si="29"/>
        <v xml:space="preserve">-LAYER LW Default
C-PRKG-DRAN  </v>
      </c>
      <c r="R250" s="11" t="str">
        <f t="shared" si="30"/>
        <v xml:space="preserve">-LAYER TR 0
C-PRKG-DRAN  </v>
      </c>
      <c r="S250" s="11" t="str">
        <f t="shared" si="31"/>
        <v xml:space="preserve">-LAYER D Civil - Estacionamientos: indicaciones de pendiente de drenaje
C-PRKG-DRAN  </v>
      </c>
    </row>
    <row r="251" spans="1:19" x14ac:dyDescent="0.45">
      <c r="A251" s="7">
        <v>0</v>
      </c>
      <c r="B251" s="11" t="s">
        <v>3176</v>
      </c>
      <c r="C251" s="11" t="s">
        <v>7</v>
      </c>
      <c r="D251" s="11" t="s">
        <v>1385</v>
      </c>
      <c r="E251" s="11" t="str">
        <f t="shared" si="24"/>
        <v>C-PRKG-FIXT (Civil - Estacionamientos: accesorios (frenos de rueda, parquímetros, etc.))</v>
      </c>
      <c r="F251" s="19" t="s">
        <v>3798</v>
      </c>
      <c r="G251" s="19" t="s">
        <v>3797</v>
      </c>
      <c r="H251" s="19" t="s">
        <v>3811</v>
      </c>
      <c r="I251" s="10">
        <v>0</v>
      </c>
      <c r="J251" s="10" t="str">
        <f t="shared" si="25"/>
        <v>Civil - Estacionamientos: accesorios (frenos de rueda, parquímetros, etc.)</v>
      </c>
      <c r="K251" s="11" t="s">
        <v>1383</v>
      </c>
      <c r="L251" s="11" t="s">
        <v>7</v>
      </c>
      <c r="M251" s="11" t="s">
        <v>1384</v>
      </c>
      <c r="N251" s="18" t="str">
        <f t="shared" si="26"/>
        <v xml:space="preserve">-LAYER N C-PRKG-FIXT </v>
      </c>
      <c r="O251" s="11" t="str">
        <f t="shared" si="27"/>
        <v xml:space="preserve">-LAYER C white C-PRKG-FIXT </v>
      </c>
      <c r="P251" s="11" t="str">
        <f t="shared" si="28"/>
        <v xml:space="preserve">-LAYER L Continuous
C-PRKG-FIXT  </v>
      </c>
      <c r="Q251" s="11" t="str">
        <f t="shared" si="29"/>
        <v xml:space="preserve">-LAYER LW Default
C-PRKG-FIXT  </v>
      </c>
      <c r="R251" s="11" t="str">
        <f t="shared" si="30"/>
        <v xml:space="preserve">-LAYER TR 0
C-PRKG-FIXT  </v>
      </c>
      <c r="S251" s="11" t="str">
        <f t="shared" si="31"/>
        <v xml:space="preserve">-LAYER D Civil - Estacionamientos: accesorios (frenos de rueda, parquímetros, etc.)
C-PRKG-FIXT  </v>
      </c>
    </row>
    <row r="252" spans="1:19" x14ac:dyDescent="0.45">
      <c r="A252" s="7">
        <v>0</v>
      </c>
      <c r="B252" s="11" t="s">
        <v>3177</v>
      </c>
      <c r="C252" s="11" t="s">
        <v>7</v>
      </c>
      <c r="D252" s="11" t="s">
        <v>1388</v>
      </c>
      <c r="E252" s="11" t="str">
        <f t="shared" si="24"/>
        <v>C-PRKG-FLNE (Civil - Estacionamientos: carril de incendios)</v>
      </c>
      <c r="F252" s="19" t="s">
        <v>3798</v>
      </c>
      <c r="G252" s="19" t="s">
        <v>3797</v>
      </c>
      <c r="H252" s="19" t="s">
        <v>3811</v>
      </c>
      <c r="I252" s="10">
        <v>0</v>
      </c>
      <c r="J252" s="10" t="str">
        <f t="shared" si="25"/>
        <v>Civil - Estacionamientos: carril de incendios</v>
      </c>
      <c r="K252" s="11" t="s">
        <v>1386</v>
      </c>
      <c r="L252" s="11" t="s">
        <v>7</v>
      </c>
      <c r="M252" s="11" t="s">
        <v>1387</v>
      </c>
      <c r="N252" s="18" t="str">
        <f t="shared" si="26"/>
        <v xml:space="preserve">-LAYER N C-PRKG-FLNE </v>
      </c>
      <c r="O252" s="11" t="str">
        <f t="shared" si="27"/>
        <v xml:space="preserve">-LAYER C white C-PRKG-FLNE </v>
      </c>
      <c r="P252" s="11" t="str">
        <f t="shared" si="28"/>
        <v xml:space="preserve">-LAYER L Continuous
C-PRKG-FLNE  </v>
      </c>
      <c r="Q252" s="11" t="str">
        <f t="shared" si="29"/>
        <v xml:space="preserve">-LAYER LW Default
C-PRKG-FLNE  </v>
      </c>
      <c r="R252" s="11" t="str">
        <f t="shared" si="30"/>
        <v xml:space="preserve">-LAYER TR 0
C-PRKG-FLNE  </v>
      </c>
      <c r="S252" s="11" t="str">
        <f t="shared" si="31"/>
        <v xml:space="preserve">-LAYER D Civil - Estacionamientos: carril de incendios
C-PRKG-FLNE  </v>
      </c>
    </row>
    <row r="253" spans="1:19" x14ac:dyDescent="0.45">
      <c r="A253" s="7">
        <v>0</v>
      </c>
      <c r="B253" s="11" t="s">
        <v>3178</v>
      </c>
      <c r="C253" s="11" t="s">
        <v>7</v>
      </c>
      <c r="D253" s="11" t="s">
        <v>1391</v>
      </c>
      <c r="E253" s="11" t="str">
        <f t="shared" si="24"/>
        <v>C-PRKG-FLNE-MRKG (Civil - Estacionamientos: carril de incendios: marcas en el pavimento)</v>
      </c>
      <c r="F253" s="19" t="s">
        <v>3798</v>
      </c>
      <c r="G253" s="19" t="s">
        <v>3797</v>
      </c>
      <c r="H253" s="19" t="s">
        <v>3811</v>
      </c>
      <c r="I253" s="10">
        <v>0</v>
      </c>
      <c r="J253" s="10" t="str">
        <f t="shared" si="25"/>
        <v>Civil - Estacionamientos: carril de incendios: marcas en el pavimento</v>
      </c>
      <c r="K253" s="11" t="s">
        <v>1389</v>
      </c>
      <c r="L253" s="11" t="s">
        <v>7</v>
      </c>
      <c r="M253" s="11" t="s">
        <v>1390</v>
      </c>
      <c r="N253" s="18" t="str">
        <f t="shared" si="26"/>
        <v xml:space="preserve">-LAYER N C-PRKG-FLNE-MRKG </v>
      </c>
      <c r="O253" s="11" t="str">
        <f t="shared" si="27"/>
        <v xml:space="preserve">-LAYER C white C-PRKG-FLNE-MRKG </v>
      </c>
      <c r="P253" s="11" t="str">
        <f t="shared" si="28"/>
        <v xml:space="preserve">-LAYER L Continuous
C-PRKG-FLNE-MRKG  </v>
      </c>
      <c r="Q253" s="11" t="str">
        <f t="shared" si="29"/>
        <v xml:space="preserve">-LAYER LW Default
C-PRKG-FLNE-MRKG  </v>
      </c>
      <c r="R253" s="11" t="str">
        <f t="shared" si="30"/>
        <v xml:space="preserve">-LAYER TR 0
C-PRKG-FLNE-MRKG  </v>
      </c>
      <c r="S253" s="11" t="str">
        <f t="shared" si="31"/>
        <v xml:space="preserve">-LAYER D Civil - Estacionamientos: carril de incendios: marcas en el pavimento
C-PRKG-FLNE-MRKG  </v>
      </c>
    </row>
    <row r="254" spans="1:19" x14ac:dyDescent="0.45">
      <c r="A254" s="7">
        <v>0</v>
      </c>
      <c r="B254" s="11" t="s">
        <v>3179</v>
      </c>
      <c r="C254" s="11" t="s">
        <v>7</v>
      </c>
      <c r="D254" s="11" t="s">
        <v>1394</v>
      </c>
      <c r="E254" s="11" t="str">
        <f t="shared" si="24"/>
        <v>C-PRKG-FLNE-SIGN (Civil - Estacionamientos: carril de incendios: señalización)</v>
      </c>
      <c r="F254" s="19" t="s">
        <v>3798</v>
      </c>
      <c r="G254" s="19" t="s">
        <v>3797</v>
      </c>
      <c r="H254" s="19" t="s">
        <v>3811</v>
      </c>
      <c r="I254" s="10">
        <v>0</v>
      </c>
      <c r="J254" s="10" t="str">
        <f t="shared" si="25"/>
        <v>Civil - Estacionamientos: carril de incendios: señalización</v>
      </c>
      <c r="K254" s="11" t="s">
        <v>1392</v>
      </c>
      <c r="L254" s="11" t="s">
        <v>7</v>
      </c>
      <c r="M254" s="11" t="s">
        <v>1393</v>
      </c>
      <c r="N254" s="18" t="str">
        <f t="shared" si="26"/>
        <v xml:space="preserve">-LAYER N C-PRKG-FLNE-SIGN </v>
      </c>
      <c r="O254" s="11" t="str">
        <f t="shared" si="27"/>
        <v xml:space="preserve">-LAYER C white C-PRKG-FLNE-SIGN </v>
      </c>
      <c r="P254" s="11" t="str">
        <f t="shared" si="28"/>
        <v xml:space="preserve">-LAYER L Continuous
C-PRKG-FLNE-SIGN  </v>
      </c>
      <c r="Q254" s="11" t="str">
        <f t="shared" si="29"/>
        <v xml:space="preserve">-LAYER LW Default
C-PRKG-FLNE-SIGN  </v>
      </c>
      <c r="R254" s="11" t="str">
        <f t="shared" si="30"/>
        <v xml:space="preserve">-LAYER TR 0
C-PRKG-FLNE-SIGN  </v>
      </c>
      <c r="S254" s="11" t="str">
        <f t="shared" si="31"/>
        <v xml:space="preserve">-LAYER D Civil - Estacionamientos: carril de incendios: señalización
C-PRKG-FLNE-SIGN  </v>
      </c>
    </row>
    <row r="255" spans="1:19" x14ac:dyDescent="0.45">
      <c r="A255" s="7">
        <v>0</v>
      </c>
      <c r="B255" s="11" t="s">
        <v>3180</v>
      </c>
      <c r="C255" s="11" t="s">
        <v>7</v>
      </c>
      <c r="D255" s="11" t="s">
        <v>1397</v>
      </c>
      <c r="E255" s="11" t="str">
        <f t="shared" si="24"/>
        <v>C-PRKG-GRVL (Civil - Estacionamientos: grava)</v>
      </c>
      <c r="F255" s="19" t="s">
        <v>3798</v>
      </c>
      <c r="G255" s="19" t="s">
        <v>3797</v>
      </c>
      <c r="H255" s="19" t="s">
        <v>3811</v>
      </c>
      <c r="I255" s="10">
        <v>0</v>
      </c>
      <c r="J255" s="10" t="str">
        <f t="shared" si="25"/>
        <v>Civil - Estacionamientos: grava</v>
      </c>
      <c r="K255" s="11" t="s">
        <v>1395</v>
      </c>
      <c r="L255" s="11" t="s">
        <v>7</v>
      </c>
      <c r="M255" s="11" t="s">
        <v>1396</v>
      </c>
      <c r="N255" s="18" t="str">
        <f t="shared" si="26"/>
        <v xml:space="preserve">-LAYER N C-PRKG-GRVL </v>
      </c>
      <c r="O255" s="11" t="str">
        <f t="shared" si="27"/>
        <v xml:space="preserve">-LAYER C white C-PRKG-GRVL </v>
      </c>
      <c r="P255" s="11" t="str">
        <f t="shared" si="28"/>
        <v xml:space="preserve">-LAYER L Continuous
C-PRKG-GRVL  </v>
      </c>
      <c r="Q255" s="11" t="str">
        <f t="shared" si="29"/>
        <v xml:space="preserve">-LAYER LW Default
C-PRKG-GRVL  </v>
      </c>
      <c r="R255" s="11" t="str">
        <f t="shared" si="30"/>
        <v xml:space="preserve">-LAYER TR 0
C-PRKG-GRVL  </v>
      </c>
      <c r="S255" s="11" t="str">
        <f t="shared" si="31"/>
        <v xml:space="preserve">-LAYER D Civil - Estacionamientos: grava
C-PRKG-GRVL  </v>
      </c>
    </row>
    <row r="256" spans="1:19" x14ac:dyDescent="0.45">
      <c r="A256" s="7">
        <v>0</v>
      </c>
      <c r="B256" s="11" t="s">
        <v>3181</v>
      </c>
      <c r="C256" s="11" t="s">
        <v>7</v>
      </c>
      <c r="D256" s="11" t="s">
        <v>1400</v>
      </c>
      <c r="E256" s="11" t="str">
        <f t="shared" si="24"/>
        <v>C-PRKG-MRKG (Civil - Estacionamientos: marcas en el pavimento)</v>
      </c>
      <c r="F256" s="19" t="s">
        <v>3798</v>
      </c>
      <c r="G256" s="19" t="s">
        <v>3797</v>
      </c>
      <c r="H256" s="19" t="s">
        <v>3811</v>
      </c>
      <c r="I256" s="10">
        <v>0</v>
      </c>
      <c r="J256" s="10" t="str">
        <f t="shared" si="25"/>
        <v>Civil - Estacionamientos: marcas en el pavimento</v>
      </c>
      <c r="K256" s="11" t="s">
        <v>1398</v>
      </c>
      <c r="L256" s="11" t="s">
        <v>7</v>
      </c>
      <c r="M256" s="11" t="s">
        <v>1399</v>
      </c>
      <c r="N256" s="18" t="str">
        <f t="shared" si="26"/>
        <v xml:space="preserve">-LAYER N C-PRKG-MRKG </v>
      </c>
      <c r="O256" s="11" t="str">
        <f t="shared" si="27"/>
        <v xml:space="preserve">-LAYER C white C-PRKG-MRKG </v>
      </c>
      <c r="P256" s="11" t="str">
        <f t="shared" si="28"/>
        <v xml:space="preserve">-LAYER L Continuous
C-PRKG-MRKG  </v>
      </c>
      <c r="Q256" s="11" t="str">
        <f t="shared" si="29"/>
        <v xml:space="preserve">-LAYER LW Default
C-PRKG-MRKG  </v>
      </c>
      <c r="R256" s="11" t="str">
        <f t="shared" si="30"/>
        <v xml:space="preserve">-LAYER TR 0
C-PRKG-MRKG  </v>
      </c>
      <c r="S256" s="11" t="str">
        <f t="shared" si="31"/>
        <v xml:space="preserve">-LAYER D Civil - Estacionamientos: marcas en el pavimento
C-PRKG-MRKG  </v>
      </c>
    </row>
    <row r="257" spans="1:19" x14ac:dyDescent="0.45">
      <c r="A257" s="7">
        <v>0</v>
      </c>
      <c r="B257" s="11" t="s">
        <v>3182</v>
      </c>
      <c r="C257" s="11" t="s">
        <v>7</v>
      </c>
      <c r="D257" s="11" t="s">
        <v>1403</v>
      </c>
      <c r="E257" s="11" t="str">
        <f t="shared" si="24"/>
        <v>C-PRKG-SIGN (Civil - Estacionamientos: señalización)</v>
      </c>
      <c r="F257" s="19" t="s">
        <v>3798</v>
      </c>
      <c r="G257" s="19" t="s">
        <v>3797</v>
      </c>
      <c r="H257" s="19" t="s">
        <v>3811</v>
      </c>
      <c r="I257" s="10">
        <v>0</v>
      </c>
      <c r="J257" s="10" t="str">
        <f t="shared" si="25"/>
        <v>Civil - Estacionamientos: señalización</v>
      </c>
      <c r="K257" s="11" t="s">
        <v>1401</v>
      </c>
      <c r="L257" s="11" t="s">
        <v>7</v>
      </c>
      <c r="M257" s="11" t="s">
        <v>1402</v>
      </c>
      <c r="N257" s="18" t="str">
        <f t="shared" si="26"/>
        <v xml:space="preserve">-LAYER N C-PRKG-SIGN </v>
      </c>
      <c r="O257" s="11" t="str">
        <f t="shared" si="27"/>
        <v xml:space="preserve">-LAYER C white C-PRKG-SIGN </v>
      </c>
      <c r="P257" s="11" t="str">
        <f t="shared" si="28"/>
        <v xml:space="preserve">-LAYER L Continuous
C-PRKG-SIGN  </v>
      </c>
      <c r="Q257" s="11" t="str">
        <f t="shared" si="29"/>
        <v xml:space="preserve">-LAYER LW Default
C-PRKG-SIGN  </v>
      </c>
      <c r="R257" s="11" t="str">
        <f t="shared" si="30"/>
        <v xml:space="preserve">-LAYER TR 0
C-PRKG-SIGN  </v>
      </c>
      <c r="S257" s="11" t="str">
        <f t="shared" si="31"/>
        <v xml:space="preserve">-LAYER D Civil - Estacionamientos: señalización
C-PRKG-SIGN  </v>
      </c>
    </row>
    <row r="258" spans="1:19" x14ac:dyDescent="0.45">
      <c r="A258" s="7">
        <v>0</v>
      </c>
      <c r="B258" s="11" t="s">
        <v>3183</v>
      </c>
      <c r="C258" s="11" t="s">
        <v>7</v>
      </c>
      <c r="D258" s="11" t="s">
        <v>1406</v>
      </c>
      <c r="E258" s="11" t="str">
        <f t="shared" si="24"/>
        <v>C-PRKG-STRP (Civil - Estacionamientos: líneas de señalización)</v>
      </c>
      <c r="F258" s="19" t="s">
        <v>3798</v>
      </c>
      <c r="G258" s="19" t="s">
        <v>3797</v>
      </c>
      <c r="H258" s="19" t="s">
        <v>3811</v>
      </c>
      <c r="I258" s="10">
        <v>0</v>
      </c>
      <c r="J258" s="10" t="str">
        <f t="shared" si="25"/>
        <v>Civil - Estacionamientos: líneas de señalización</v>
      </c>
      <c r="K258" s="11" t="s">
        <v>1404</v>
      </c>
      <c r="L258" s="11" t="s">
        <v>7</v>
      </c>
      <c r="M258" s="11" t="s">
        <v>1405</v>
      </c>
      <c r="N258" s="18" t="str">
        <f t="shared" si="26"/>
        <v xml:space="preserve">-LAYER N C-PRKG-STRP </v>
      </c>
      <c r="O258" s="11" t="str">
        <f t="shared" si="27"/>
        <v xml:space="preserve">-LAYER C white C-PRKG-STRP </v>
      </c>
      <c r="P258" s="11" t="str">
        <f t="shared" si="28"/>
        <v xml:space="preserve">-LAYER L Continuous
C-PRKG-STRP  </v>
      </c>
      <c r="Q258" s="11" t="str">
        <f t="shared" si="29"/>
        <v xml:space="preserve">-LAYER LW Default
C-PRKG-STRP  </v>
      </c>
      <c r="R258" s="11" t="str">
        <f t="shared" si="30"/>
        <v xml:space="preserve">-LAYER TR 0
C-PRKG-STRP  </v>
      </c>
      <c r="S258" s="11" t="str">
        <f t="shared" si="31"/>
        <v xml:space="preserve">-LAYER D Civil - Estacionamientos: líneas de señalización
C-PRKG-STRP  </v>
      </c>
    </row>
    <row r="259" spans="1:19" x14ac:dyDescent="0.45">
      <c r="A259" s="7">
        <v>0</v>
      </c>
      <c r="B259" s="11" t="s">
        <v>3184</v>
      </c>
      <c r="C259" s="11" t="s">
        <v>7</v>
      </c>
      <c r="D259" s="11" t="s">
        <v>1409</v>
      </c>
      <c r="E259" s="11" t="str">
        <f t="shared" si="24"/>
        <v>C-PRKG-UPVD (Civil - Estacionamientos: superficie sin pavimentar)</v>
      </c>
      <c r="F259" s="19" t="s">
        <v>3798</v>
      </c>
      <c r="G259" s="19" t="s">
        <v>3797</v>
      </c>
      <c r="H259" s="19" t="s">
        <v>3811</v>
      </c>
      <c r="I259" s="10">
        <v>0</v>
      </c>
      <c r="J259" s="10" t="str">
        <f t="shared" si="25"/>
        <v>Civil - Estacionamientos: superficie sin pavimentar</v>
      </c>
      <c r="K259" s="11" t="s">
        <v>1407</v>
      </c>
      <c r="L259" s="11" t="s">
        <v>7</v>
      </c>
      <c r="M259" s="11" t="s">
        <v>1408</v>
      </c>
      <c r="N259" s="18" t="str">
        <f t="shared" si="26"/>
        <v xml:space="preserve">-LAYER N C-PRKG-UPVD </v>
      </c>
      <c r="O259" s="11" t="str">
        <f t="shared" si="27"/>
        <v xml:space="preserve">-LAYER C white C-PRKG-UPVD </v>
      </c>
      <c r="P259" s="11" t="str">
        <f t="shared" si="28"/>
        <v xml:space="preserve">-LAYER L Continuous
C-PRKG-UPVD  </v>
      </c>
      <c r="Q259" s="11" t="str">
        <f t="shared" si="29"/>
        <v xml:space="preserve">-LAYER LW Default
C-PRKG-UPVD  </v>
      </c>
      <c r="R259" s="11" t="str">
        <f t="shared" si="30"/>
        <v xml:space="preserve">-LAYER TR 0
C-PRKG-UPVD  </v>
      </c>
      <c r="S259" s="11" t="str">
        <f t="shared" si="31"/>
        <v xml:space="preserve">-LAYER D Civil - Estacionamientos: superficie sin pavimentar
C-PRKG-UPVD  </v>
      </c>
    </row>
    <row r="260" spans="1:19" x14ac:dyDescent="0.45">
      <c r="A260" s="7">
        <v>0</v>
      </c>
      <c r="B260" s="11" t="s">
        <v>3185</v>
      </c>
      <c r="C260" s="11" t="s">
        <v>7</v>
      </c>
      <c r="D260" s="11" t="s">
        <v>1412</v>
      </c>
      <c r="E260" s="11" t="str">
        <f t="shared" ref="E260:E323" si="32">_xlfn.CONCAT(B260," (",C260," - ",D260,")")</f>
        <v>C-PRKG-WHIT (Civil - Estacionamientos: pintura blanca)</v>
      </c>
      <c r="F260" s="19" t="s">
        <v>3798</v>
      </c>
      <c r="G260" s="19" t="s">
        <v>3797</v>
      </c>
      <c r="H260" s="19" t="s">
        <v>3811</v>
      </c>
      <c r="I260" s="10">
        <v>0</v>
      </c>
      <c r="J260" s="10" t="str">
        <f t="shared" si="25"/>
        <v>Civil - Estacionamientos: pintura blanca</v>
      </c>
      <c r="K260" s="11" t="s">
        <v>1410</v>
      </c>
      <c r="L260" s="11" t="s">
        <v>7</v>
      </c>
      <c r="M260" s="11" t="s">
        <v>1411</v>
      </c>
      <c r="N260" s="18" t="str">
        <f t="shared" si="26"/>
        <v xml:space="preserve">-LAYER N C-PRKG-WHIT </v>
      </c>
      <c r="O260" s="11" t="str">
        <f t="shared" si="27"/>
        <v xml:space="preserve">-LAYER C white C-PRKG-WHIT </v>
      </c>
      <c r="P260" s="11" t="str">
        <f t="shared" si="28"/>
        <v xml:space="preserve">-LAYER L Continuous
C-PRKG-WHIT  </v>
      </c>
      <c r="Q260" s="11" t="str">
        <f t="shared" si="29"/>
        <v xml:space="preserve">-LAYER LW Default
C-PRKG-WHIT  </v>
      </c>
      <c r="R260" s="11" t="str">
        <f t="shared" si="30"/>
        <v xml:space="preserve">-LAYER TR 0
C-PRKG-WHIT  </v>
      </c>
      <c r="S260" s="11" t="str">
        <f t="shared" si="31"/>
        <v xml:space="preserve">-LAYER D Civil - Estacionamientos: pintura blanca
C-PRKG-WHIT  </v>
      </c>
    </row>
    <row r="261" spans="1:19" x14ac:dyDescent="0.45">
      <c r="A261" s="7">
        <v>0</v>
      </c>
      <c r="B261" s="11" t="s">
        <v>3186</v>
      </c>
      <c r="C261" s="11" t="s">
        <v>7</v>
      </c>
      <c r="D261" s="11" t="s">
        <v>1415</v>
      </c>
      <c r="E261" s="11" t="str">
        <f t="shared" si="32"/>
        <v>C-PRKG-WHIT-TICK (Civil - Estacionamientos: pintura blanca: marcas de verificación)</v>
      </c>
      <c r="F261" s="19" t="s">
        <v>3798</v>
      </c>
      <c r="G261" s="19" t="s">
        <v>3797</v>
      </c>
      <c r="H261" s="19" t="s">
        <v>3811</v>
      </c>
      <c r="I261" s="10">
        <v>0</v>
      </c>
      <c r="J261" s="10" t="str">
        <f t="shared" ref="J261:J324" si="33">_xlfn.CONCAT(C261," - ",D261)</f>
        <v>Civil - Estacionamientos: pintura blanca: marcas de verificación</v>
      </c>
      <c r="K261" s="11" t="s">
        <v>1413</v>
      </c>
      <c r="L261" s="11" t="s">
        <v>7</v>
      </c>
      <c r="M261" s="11" t="s">
        <v>1414</v>
      </c>
      <c r="N261" s="18" t="str">
        <f t="shared" ref="N261:N324" si="34">_xlfn.CONCAT("-LAYER N ", B261," ")</f>
        <v xml:space="preserve">-LAYER N C-PRKG-WHIT-TICK </v>
      </c>
      <c r="O261" s="11" t="str">
        <f t="shared" ref="O261:O324" si="35">_xlfn.CONCAT("-LAYER C ",F261," ", B261," ")</f>
        <v xml:space="preserve">-LAYER C white C-PRKG-WHIT-TICK </v>
      </c>
      <c r="P261" s="11" t="str">
        <f t="shared" ref="P261:P324" si="36">_xlfn.CONCAT("-LAYER L ",G261,CHAR(10), B261,"  ")</f>
        <v xml:space="preserve">-LAYER L Continuous
C-PRKG-WHIT-TICK  </v>
      </c>
      <c r="Q261" s="11" t="str">
        <f t="shared" ref="Q261:Q324" si="37">_xlfn.CONCAT("-LAYER LW ",H261,CHAR(10), B261,"  ")</f>
        <v xml:space="preserve">-LAYER LW Default
C-PRKG-WHIT-TICK  </v>
      </c>
      <c r="R261" s="11" t="str">
        <f t="shared" ref="R261:R324" si="38">_xlfn.CONCAT("-LAYER TR ",I261,CHAR(10), B261,"  ")</f>
        <v xml:space="preserve">-LAYER TR 0
C-PRKG-WHIT-TICK  </v>
      </c>
      <c r="S261" s="11" t="str">
        <f t="shared" ref="S261:S324" si="39">_xlfn.CONCAT("-LAYER D ",J261,CHAR(10), B261,"  ")</f>
        <v xml:space="preserve">-LAYER D Civil - Estacionamientos: pintura blanca: marcas de verificación
C-PRKG-WHIT-TICK  </v>
      </c>
    </row>
    <row r="262" spans="1:19" x14ac:dyDescent="0.45">
      <c r="A262" s="7">
        <v>0</v>
      </c>
      <c r="B262" s="11" t="s">
        <v>3187</v>
      </c>
      <c r="C262" s="11" t="s">
        <v>7</v>
      </c>
      <c r="D262" s="11" t="s">
        <v>1418</v>
      </c>
      <c r="E262" s="11" t="str">
        <f t="shared" si="32"/>
        <v>C-PRKG-YELO (Civil - Estacionamientos: pintura amarilla)</v>
      </c>
      <c r="F262" s="19" t="s">
        <v>3798</v>
      </c>
      <c r="G262" s="19" t="s">
        <v>3797</v>
      </c>
      <c r="H262" s="19" t="s">
        <v>3811</v>
      </c>
      <c r="I262" s="10">
        <v>0</v>
      </c>
      <c r="J262" s="10" t="str">
        <f t="shared" si="33"/>
        <v>Civil - Estacionamientos: pintura amarilla</v>
      </c>
      <c r="K262" s="11" t="s">
        <v>1416</v>
      </c>
      <c r="L262" s="11" t="s">
        <v>7</v>
      </c>
      <c r="M262" s="11" t="s">
        <v>1417</v>
      </c>
      <c r="N262" s="18" t="str">
        <f t="shared" si="34"/>
        <v xml:space="preserve">-LAYER N C-PRKG-YELO </v>
      </c>
      <c r="O262" s="11" t="str">
        <f t="shared" si="35"/>
        <v xml:space="preserve">-LAYER C white C-PRKG-YELO </v>
      </c>
      <c r="P262" s="11" t="str">
        <f t="shared" si="36"/>
        <v xml:space="preserve">-LAYER L Continuous
C-PRKG-YELO  </v>
      </c>
      <c r="Q262" s="11" t="str">
        <f t="shared" si="37"/>
        <v xml:space="preserve">-LAYER LW Default
C-PRKG-YELO  </v>
      </c>
      <c r="R262" s="11" t="str">
        <f t="shared" si="38"/>
        <v xml:space="preserve">-LAYER TR 0
C-PRKG-YELO  </v>
      </c>
      <c r="S262" s="11" t="str">
        <f t="shared" si="39"/>
        <v xml:space="preserve">-LAYER D Civil - Estacionamientos: pintura amarilla
C-PRKG-YELO  </v>
      </c>
    </row>
    <row r="263" spans="1:19" x14ac:dyDescent="0.45">
      <c r="A263" s="7">
        <v>0</v>
      </c>
      <c r="B263" s="11" t="s">
        <v>3188</v>
      </c>
      <c r="C263" s="11" t="s">
        <v>7</v>
      </c>
      <c r="D263" s="11" t="s">
        <v>1421</v>
      </c>
      <c r="E263" s="11" t="str">
        <f t="shared" si="32"/>
        <v>C-PRKG-YELO-TICK (Civil - Estacionamientos Lotes: pintura amarilla: marcas de verificación)</v>
      </c>
      <c r="F263" s="19" t="s">
        <v>3798</v>
      </c>
      <c r="G263" s="19" t="s">
        <v>3797</v>
      </c>
      <c r="H263" s="19" t="s">
        <v>3811</v>
      </c>
      <c r="I263" s="10">
        <v>0</v>
      </c>
      <c r="J263" s="10" t="str">
        <f t="shared" si="33"/>
        <v>Civil - Estacionamientos Lotes: pintura amarilla: marcas de verificación</v>
      </c>
      <c r="K263" s="11" t="s">
        <v>1419</v>
      </c>
      <c r="L263" s="11" t="s">
        <v>7</v>
      </c>
      <c r="M263" s="11" t="s">
        <v>1420</v>
      </c>
      <c r="N263" s="18" t="str">
        <f t="shared" si="34"/>
        <v xml:space="preserve">-LAYER N C-PRKG-YELO-TICK </v>
      </c>
      <c r="O263" s="11" t="str">
        <f t="shared" si="35"/>
        <v xml:space="preserve">-LAYER C white C-PRKG-YELO-TICK </v>
      </c>
      <c r="P263" s="11" t="str">
        <f t="shared" si="36"/>
        <v xml:space="preserve">-LAYER L Continuous
C-PRKG-YELO-TICK  </v>
      </c>
      <c r="Q263" s="11" t="str">
        <f t="shared" si="37"/>
        <v xml:space="preserve">-LAYER LW Default
C-PRKG-YELO-TICK  </v>
      </c>
      <c r="R263" s="11" t="str">
        <f t="shared" si="38"/>
        <v xml:space="preserve">-LAYER TR 0
C-PRKG-YELO-TICK  </v>
      </c>
      <c r="S263" s="11" t="str">
        <f t="shared" si="39"/>
        <v xml:space="preserve">-LAYER D Civil - Estacionamientos Lotes: pintura amarilla: marcas de verificación
C-PRKG-YELO-TICK  </v>
      </c>
    </row>
    <row r="264" spans="1:19" x14ac:dyDescent="0.45">
      <c r="A264" s="7">
        <v>1</v>
      </c>
      <c r="B264" s="11" t="s">
        <v>3189</v>
      </c>
      <c r="C264" s="11" t="s">
        <v>7</v>
      </c>
      <c r="D264" s="11" t="s">
        <v>539</v>
      </c>
      <c r="E264" s="11" t="str">
        <f t="shared" si="32"/>
        <v>C-PROP (Civil - Propiedad)</v>
      </c>
      <c r="F264" s="10" t="s">
        <v>3804</v>
      </c>
      <c r="G264" s="10" t="s">
        <v>3797</v>
      </c>
      <c r="H264" s="10">
        <v>0.25</v>
      </c>
      <c r="I264" s="10">
        <v>0</v>
      </c>
      <c r="J264" s="10" t="str">
        <f t="shared" si="33"/>
        <v>Civil - Propiedad</v>
      </c>
      <c r="K264" s="11" t="s">
        <v>1422</v>
      </c>
      <c r="L264" s="11" t="s">
        <v>7</v>
      </c>
      <c r="M264" s="11" t="s">
        <v>538</v>
      </c>
      <c r="N264" s="18" t="str">
        <f t="shared" si="34"/>
        <v xml:space="preserve">-LAYER N C-PROP </v>
      </c>
      <c r="O264" s="11" t="str">
        <f t="shared" si="35"/>
        <v xml:space="preserve">-LAYER C Magenta C-PROP </v>
      </c>
      <c r="P264" s="11" t="str">
        <f t="shared" si="36"/>
        <v xml:space="preserve">-LAYER L Continuous
C-PROP  </v>
      </c>
      <c r="Q264" s="11" t="str">
        <f t="shared" si="37"/>
        <v xml:space="preserve">-LAYER LW 0.25
C-PROP  </v>
      </c>
      <c r="R264" s="11" t="str">
        <f t="shared" si="38"/>
        <v xml:space="preserve">-LAYER TR 0
C-PROP  </v>
      </c>
      <c r="S264" s="11" t="str">
        <f t="shared" si="39"/>
        <v xml:space="preserve">-LAYER D Civil - Propiedad
C-PROP  </v>
      </c>
    </row>
    <row r="265" spans="1:19" x14ac:dyDescent="0.45">
      <c r="A265" s="7">
        <v>0</v>
      </c>
      <c r="B265" s="11" t="s">
        <v>3190</v>
      </c>
      <c r="C265" s="11" t="s">
        <v>7</v>
      </c>
      <c r="D265" s="11" t="s">
        <v>1425</v>
      </c>
      <c r="E265" s="11" t="str">
        <f t="shared" si="32"/>
        <v>C-PROP-LINE (Civil - Propiedad: líneas)</v>
      </c>
      <c r="F265" s="19" t="s">
        <v>3798</v>
      </c>
      <c r="G265" s="19" t="s">
        <v>3797</v>
      </c>
      <c r="H265" s="19" t="s">
        <v>3811</v>
      </c>
      <c r="I265" s="10">
        <v>0</v>
      </c>
      <c r="J265" s="10" t="str">
        <f t="shared" si="33"/>
        <v>Civil - Propiedad: líneas</v>
      </c>
      <c r="K265" s="11" t="s">
        <v>1423</v>
      </c>
      <c r="L265" s="11" t="s">
        <v>7</v>
      </c>
      <c r="M265" s="11" t="s">
        <v>1424</v>
      </c>
      <c r="N265" s="18" t="str">
        <f t="shared" si="34"/>
        <v xml:space="preserve">-LAYER N C-PROP-LINE </v>
      </c>
      <c r="O265" s="11" t="str">
        <f t="shared" si="35"/>
        <v xml:space="preserve">-LAYER C white C-PROP-LINE </v>
      </c>
      <c r="P265" s="11" t="str">
        <f t="shared" si="36"/>
        <v xml:space="preserve">-LAYER L Continuous
C-PROP-LINE  </v>
      </c>
      <c r="Q265" s="11" t="str">
        <f t="shared" si="37"/>
        <v xml:space="preserve">-LAYER LW Default
C-PROP-LINE  </v>
      </c>
      <c r="R265" s="11" t="str">
        <f t="shared" si="38"/>
        <v xml:space="preserve">-LAYER TR 0
C-PROP-LINE  </v>
      </c>
      <c r="S265" s="11" t="str">
        <f t="shared" si="39"/>
        <v xml:space="preserve">-LAYER D Civil - Propiedad: líneas
C-PROP-LINE  </v>
      </c>
    </row>
    <row r="266" spans="1:19" x14ac:dyDescent="0.45">
      <c r="A266" s="7">
        <v>0</v>
      </c>
      <c r="B266" s="11" t="s">
        <v>3191</v>
      </c>
      <c r="C266" s="11" t="s">
        <v>7</v>
      </c>
      <c r="D266" s="11" t="s">
        <v>1428</v>
      </c>
      <c r="E266" s="11" t="str">
        <f t="shared" si="32"/>
        <v>C-PROP-SBCK (Civil - Propiedad: líneas de retranqueo)</v>
      </c>
      <c r="F266" s="19" t="s">
        <v>3798</v>
      </c>
      <c r="G266" s="19" t="s">
        <v>3797</v>
      </c>
      <c r="H266" s="19" t="s">
        <v>3811</v>
      </c>
      <c r="I266" s="10">
        <v>0</v>
      </c>
      <c r="J266" s="10" t="str">
        <f t="shared" si="33"/>
        <v>Civil - Propiedad: líneas de retranqueo</v>
      </c>
      <c r="K266" s="11" t="s">
        <v>1426</v>
      </c>
      <c r="L266" s="11" t="s">
        <v>7</v>
      </c>
      <c r="M266" s="11" t="s">
        <v>1427</v>
      </c>
      <c r="N266" s="18" t="str">
        <f t="shared" si="34"/>
        <v xml:space="preserve">-LAYER N C-PROP-SBCK </v>
      </c>
      <c r="O266" s="11" t="str">
        <f t="shared" si="35"/>
        <v xml:space="preserve">-LAYER C white C-PROP-SBCK </v>
      </c>
      <c r="P266" s="11" t="str">
        <f t="shared" si="36"/>
        <v xml:space="preserve">-LAYER L Continuous
C-PROP-SBCK  </v>
      </c>
      <c r="Q266" s="11" t="str">
        <f t="shared" si="37"/>
        <v xml:space="preserve">-LAYER LW Default
C-PROP-SBCK  </v>
      </c>
      <c r="R266" s="11" t="str">
        <f t="shared" si="38"/>
        <v xml:space="preserve">-LAYER TR 0
C-PROP-SBCK  </v>
      </c>
      <c r="S266" s="11" t="str">
        <f t="shared" si="39"/>
        <v xml:space="preserve">-LAYER D Civil - Propiedad: líneas de retranqueo
C-PROP-SBCK  </v>
      </c>
    </row>
    <row r="267" spans="1:19" x14ac:dyDescent="0.45">
      <c r="A267" s="7">
        <v>0</v>
      </c>
      <c r="B267" s="11" t="s">
        <v>3192</v>
      </c>
      <c r="C267" s="11" t="s">
        <v>7</v>
      </c>
      <c r="D267" s="11" t="s">
        <v>551</v>
      </c>
      <c r="E267" s="11" t="str">
        <f t="shared" si="32"/>
        <v>C-PVMT (Civil - Pavimento)</v>
      </c>
      <c r="F267" s="19" t="s">
        <v>3798</v>
      </c>
      <c r="G267" s="19" t="s">
        <v>3797</v>
      </c>
      <c r="H267" s="19" t="s">
        <v>3811</v>
      </c>
      <c r="I267" s="10">
        <v>0</v>
      </c>
      <c r="J267" s="10" t="str">
        <f t="shared" si="33"/>
        <v>Civil - Pavimento</v>
      </c>
      <c r="K267" s="11" t="s">
        <v>1429</v>
      </c>
      <c r="L267" s="11" t="s">
        <v>7</v>
      </c>
      <c r="M267" s="11" t="s">
        <v>550</v>
      </c>
      <c r="N267" s="18" t="str">
        <f t="shared" si="34"/>
        <v xml:space="preserve">-LAYER N C-PVMT </v>
      </c>
      <c r="O267" s="11" t="str">
        <f t="shared" si="35"/>
        <v xml:space="preserve">-LAYER C white C-PVMT </v>
      </c>
      <c r="P267" s="11" t="str">
        <f t="shared" si="36"/>
        <v xml:space="preserve">-LAYER L Continuous
C-PVMT  </v>
      </c>
      <c r="Q267" s="11" t="str">
        <f t="shared" si="37"/>
        <v xml:space="preserve">-LAYER LW Default
C-PVMT  </v>
      </c>
      <c r="R267" s="11" t="str">
        <f t="shared" si="38"/>
        <v xml:space="preserve">-LAYER TR 0
C-PVMT  </v>
      </c>
      <c r="S267" s="11" t="str">
        <f t="shared" si="39"/>
        <v xml:space="preserve">-LAYER D Civil - Pavimento
C-PVMT  </v>
      </c>
    </row>
    <row r="268" spans="1:19" x14ac:dyDescent="0.45">
      <c r="A268" s="7">
        <v>0</v>
      </c>
      <c r="B268" s="11" t="s">
        <v>3193</v>
      </c>
      <c r="C268" s="11" t="s">
        <v>7</v>
      </c>
      <c r="D268" s="11" t="s">
        <v>1432</v>
      </c>
      <c r="E268" s="11" t="str">
        <f t="shared" si="32"/>
        <v>C-PVMT-ASPH (Civil - Pavimento: asfalto)</v>
      </c>
      <c r="F268" s="19" t="s">
        <v>3798</v>
      </c>
      <c r="G268" s="19" t="s">
        <v>3797</v>
      </c>
      <c r="H268" s="19" t="s">
        <v>3811</v>
      </c>
      <c r="I268" s="10">
        <v>0</v>
      </c>
      <c r="J268" s="10" t="str">
        <f t="shared" si="33"/>
        <v>Civil - Pavimento: asfalto</v>
      </c>
      <c r="K268" s="11" t="s">
        <v>1430</v>
      </c>
      <c r="L268" s="11" t="s">
        <v>7</v>
      </c>
      <c r="M268" s="11" t="s">
        <v>1431</v>
      </c>
      <c r="N268" s="18" t="str">
        <f t="shared" si="34"/>
        <v xml:space="preserve">-LAYER N C-PVMT-ASPH </v>
      </c>
      <c r="O268" s="11" t="str">
        <f t="shared" si="35"/>
        <v xml:space="preserve">-LAYER C white C-PVMT-ASPH </v>
      </c>
      <c r="P268" s="11" t="str">
        <f t="shared" si="36"/>
        <v xml:space="preserve">-LAYER L Continuous
C-PVMT-ASPH  </v>
      </c>
      <c r="Q268" s="11" t="str">
        <f t="shared" si="37"/>
        <v xml:space="preserve">-LAYER LW Default
C-PVMT-ASPH  </v>
      </c>
      <c r="R268" s="11" t="str">
        <f t="shared" si="38"/>
        <v xml:space="preserve">-LAYER TR 0
C-PVMT-ASPH  </v>
      </c>
      <c r="S268" s="11" t="str">
        <f t="shared" si="39"/>
        <v xml:space="preserve">-LAYER D Civil - Pavimento: asfalto
C-PVMT-ASPH  </v>
      </c>
    </row>
    <row r="269" spans="1:19" x14ac:dyDescent="0.45">
      <c r="A269" s="7">
        <v>0</v>
      </c>
      <c r="B269" s="11" t="s">
        <v>3194</v>
      </c>
      <c r="C269" s="11" t="s">
        <v>7</v>
      </c>
      <c r="D269" s="11" t="s">
        <v>1435</v>
      </c>
      <c r="E269" s="11" t="str">
        <f t="shared" si="32"/>
        <v>C-PVMT-CONC (Civil - Pavimento: concreto)</v>
      </c>
      <c r="F269" s="19" t="s">
        <v>3798</v>
      </c>
      <c r="G269" s="19" t="s">
        <v>3797</v>
      </c>
      <c r="H269" s="19" t="s">
        <v>3811</v>
      </c>
      <c r="I269" s="10">
        <v>0</v>
      </c>
      <c r="J269" s="10" t="str">
        <f t="shared" si="33"/>
        <v>Civil - Pavimento: concreto</v>
      </c>
      <c r="K269" s="11" t="s">
        <v>1433</v>
      </c>
      <c r="L269" s="11" t="s">
        <v>7</v>
      </c>
      <c r="M269" s="11" t="s">
        <v>1434</v>
      </c>
      <c r="N269" s="18" t="str">
        <f t="shared" si="34"/>
        <v xml:space="preserve">-LAYER N C-PVMT-CONC </v>
      </c>
      <c r="O269" s="11" t="str">
        <f t="shared" si="35"/>
        <v xml:space="preserve">-LAYER C white C-PVMT-CONC </v>
      </c>
      <c r="P269" s="11" t="str">
        <f t="shared" si="36"/>
        <v xml:space="preserve">-LAYER L Continuous
C-PVMT-CONC  </v>
      </c>
      <c r="Q269" s="11" t="str">
        <f t="shared" si="37"/>
        <v xml:space="preserve">-LAYER LW Default
C-PVMT-CONC  </v>
      </c>
      <c r="R269" s="11" t="str">
        <f t="shared" si="38"/>
        <v xml:space="preserve">-LAYER TR 0
C-PVMT-CONC  </v>
      </c>
      <c r="S269" s="11" t="str">
        <f t="shared" si="39"/>
        <v xml:space="preserve">-LAYER D Civil - Pavimento: concreto
C-PVMT-CONC  </v>
      </c>
    </row>
    <row r="270" spans="1:19" x14ac:dyDescent="0.45">
      <c r="A270" s="7">
        <v>0</v>
      </c>
      <c r="B270" s="11" t="s">
        <v>3195</v>
      </c>
      <c r="C270" s="11" t="s">
        <v>7</v>
      </c>
      <c r="D270" s="11" t="s">
        <v>1438</v>
      </c>
      <c r="E270" s="11" t="str">
        <f t="shared" si="32"/>
        <v>C-PVMT-GRVL (Civil - Pavimento: grava)</v>
      </c>
      <c r="F270" s="19" t="s">
        <v>3798</v>
      </c>
      <c r="G270" s="19" t="s">
        <v>3797</v>
      </c>
      <c r="H270" s="19" t="s">
        <v>3811</v>
      </c>
      <c r="I270" s="10">
        <v>0</v>
      </c>
      <c r="J270" s="10" t="str">
        <f t="shared" si="33"/>
        <v>Civil - Pavimento: grava</v>
      </c>
      <c r="K270" s="11" t="s">
        <v>1436</v>
      </c>
      <c r="L270" s="11" t="s">
        <v>7</v>
      </c>
      <c r="M270" s="11" t="s">
        <v>1437</v>
      </c>
      <c r="N270" s="18" t="str">
        <f t="shared" si="34"/>
        <v xml:space="preserve">-LAYER N C-PVMT-GRVL </v>
      </c>
      <c r="O270" s="11" t="str">
        <f t="shared" si="35"/>
        <v xml:space="preserve">-LAYER C white C-PVMT-GRVL </v>
      </c>
      <c r="P270" s="11" t="str">
        <f t="shared" si="36"/>
        <v xml:space="preserve">-LAYER L Continuous
C-PVMT-GRVL  </v>
      </c>
      <c r="Q270" s="11" t="str">
        <f t="shared" si="37"/>
        <v xml:space="preserve">-LAYER LW Default
C-PVMT-GRVL  </v>
      </c>
      <c r="R270" s="11" t="str">
        <f t="shared" si="38"/>
        <v xml:space="preserve">-LAYER TR 0
C-PVMT-GRVL  </v>
      </c>
      <c r="S270" s="11" t="str">
        <f t="shared" si="39"/>
        <v xml:space="preserve">-LAYER D Civil - Pavimento: grava
C-PVMT-GRVL  </v>
      </c>
    </row>
    <row r="271" spans="1:19" x14ac:dyDescent="0.45">
      <c r="A271" s="7">
        <v>0</v>
      </c>
      <c r="B271" s="11" t="s">
        <v>3196</v>
      </c>
      <c r="C271" s="11" t="s">
        <v>7</v>
      </c>
      <c r="D271" s="11" t="s">
        <v>554</v>
      </c>
      <c r="E271" s="11" t="str">
        <f t="shared" si="32"/>
        <v>C-RAIL (Civil - Ferrocarril)</v>
      </c>
      <c r="F271" s="19" t="s">
        <v>3798</v>
      </c>
      <c r="G271" s="19" t="s">
        <v>3797</v>
      </c>
      <c r="H271" s="19" t="s">
        <v>3811</v>
      </c>
      <c r="I271" s="10">
        <v>0</v>
      </c>
      <c r="J271" s="10" t="str">
        <f t="shared" si="33"/>
        <v>Civil - Ferrocarril</v>
      </c>
      <c r="K271" s="11" t="s">
        <v>1439</v>
      </c>
      <c r="L271" s="11" t="s">
        <v>7</v>
      </c>
      <c r="M271" s="11" t="s">
        <v>553</v>
      </c>
      <c r="N271" s="18" t="str">
        <f t="shared" si="34"/>
        <v xml:space="preserve">-LAYER N C-RAIL </v>
      </c>
      <c r="O271" s="11" t="str">
        <f t="shared" si="35"/>
        <v xml:space="preserve">-LAYER C white C-RAIL </v>
      </c>
      <c r="P271" s="11" t="str">
        <f t="shared" si="36"/>
        <v xml:space="preserve">-LAYER L Continuous
C-RAIL  </v>
      </c>
      <c r="Q271" s="11" t="str">
        <f t="shared" si="37"/>
        <v xml:space="preserve">-LAYER LW Default
C-RAIL  </v>
      </c>
      <c r="R271" s="11" t="str">
        <f t="shared" si="38"/>
        <v xml:space="preserve">-LAYER TR 0
C-RAIL  </v>
      </c>
      <c r="S271" s="11" t="str">
        <f t="shared" si="39"/>
        <v xml:space="preserve">-LAYER D Civil - Ferrocarril
C-RAIL  </v>
      </c>
    </row>
    <row r="272" spans="1:19" x14ac:dyDescent="0.45">
      <c r="A272" s="7">
        <v>0</v>
      </c>
      <c r="B272" s="11" t="s">
        <v>3197</v>
      </c>
      <c r="C272" s="11" t="s">
        <v>7</v>
      </c>
      <c r="D272" s="11" t="s">
        <v>1442</v>
      </c>
      <c r="E272" s="11" t="str">
        <f t="shared" si="32"/>
        <v>C-RAIL-CNTR (Civil - Ferrocarril: centro)</v>
      </c>
      <c r="F272" s="19" t="s">
        <v>3798</v>
      </c>
      <c r="G272" s="19" t="s">
        <v>3797</v>
      </c>
      <c r="H272" s="19" t="s">
        <v>3811</v>
      </c>
      <c r="I272" s="10">
        <v>0</v>
      </c>
      <c r="J272" s="10" t="str">
        <f t="shared" si="33"/>
        <v>Civil - Ferrocarril: centro</v>
      </c>
      <c r="K272" s="11" t="s">
        <v>1440</v>
      </c>
      <c r="L272" s="11" t="s">
        <v>7</v>
      </c>
      <c r="M272" s="11" t="s">
        <v>1441</v>
      </c>
      <c r="N272" s="18" t="str">
        <f t="shared" si="34"/>
        <v xml:space="preserve">-LAYER N C-RAIL-CNTR </v>
      </c>
      <c r="O272" s="11" t="str">
        <f t="shared" si="35"/>
        <v xml:space="preserve">-LAYER C white C-RAIL-CNTR </v>
      </c>
      <c r="P272" s="11" t="str">
        <f t="shared" si="36"/>
        <v xml:space="preserve">-LAYER L Continuous
C-RAIL-CNTR  </v>
      </c>
      <c r="Q272" s="11" t="str">
        <f t="shared" si="37"/>
        <v xml:space="preserve">-LAYER LW Default
C-RAIL-CNTR  </v>
      </c>
      <c r="R272" s="11" t="str">
        <f t="shared" si="38"/>
        <v xml:space="preserve">-LAYER TR 0
C-RAIL-CNTR  </v>
      </c>
      <c r="S272" s="11" t="str">
        <f t="shared" si="39"/>
        <v xml:space="preserve">-LAYER D Civil - Ferrocarril: centro
C-RAIL-CNTR  </v>
      </c>
    </row>
    <row r="273" spans="1:19" x14ac:dyDescent="0.45">
      <c r="A273" s="7">
        <v>0</v>
      </c>
      <c r="B273" s="11" t="s">
        <v>3198</v>
      </c>
      <c r="C273" s="11" t="s">
        <v>7</v>
      </c>
      <c r="D273" s="11" t="s">
        <v>1445</v>
      </c>
      <c r="E273" s="11" t="str">
        <f t="shared" si="32"/>
        <v>C-RAIL-EQPM (Civil - Ferrocarril: equipo (barreras, señales, etc.))</v>
      </c>
      <c r="F273" s="19" t="s">
        <v>3798</v>
      </c>
      <c r="G273" s="19" t="s">
        <v>3797</v>
      </c>
      <c r="H273" s="19" t="s">
        <v>3811</v>
      </c>
      <c r="I273" s="10">
        <v>0</v>
      </c>
      <c r="J273" s="10" t="str">
        <f t="shared" si="33"/>
        <v>Civil - Ferrocarril: equipo (barreras, señales, etc.)</v>
      </c>
      <c r="K273" s="11" t="s">
        <v>1443</v>
      </c>
      <c r="L273" s="11" t="s">
        <v>7</v>
      </c>
      <c r="M273" s="11" t="s">
        <v>1444</v>
      </c>
      <c r="N273" s="18" t="str">
        <f t="shared" si="34"/>
        <v xml:space="preserve">-LAYER N C-RAIL-EQPM </v>
      </c>
      <c r="O273" s="11" t="str">
        <f t="shared" si="35"/>
        <v xml:space="preserve">-LAYER C white C-RAIL-EQPM </v>
      </c>
      <c r="P273" s="11" t="str">
        <f t="shared" si="36"/>
        <v xml:space="preserve">-LAYER L Continuous
C-RAIL-EQPM  </v>
      </c>
      <c r="Q273" s="11" t="str">
        <f t="shared" si="37"/>
        <v xml:space="preserve">-LAYER LW Default
C-RAIL-EQPM  </v>
      </c>
      <c r="R273" s="11" t="str">
        <f t="shared" si="38"/>
        <v xml:space="preserve">-LAYER TR 0
C-RAIL-EQPM  </v>
      </c>
      <c r="S273" s="11" t="str">
        <f t="shared" si="39"/>
        <v xml:space="preserve">-LAYER D Civil - Ferrocarril: equipo (barreras, señales, etc.)
C-RAIL-EQPM  </v>
      </c>
    </row>
    <row r="274" spans="1:19" x14ac:dyDescent="0.45">
      <c r="A274" s="7">
        <v>0</v>
      </c>
      <c r="B274" s="11" t="s">
        <v>3199</v>
      </c>
      <c r="C274" s="11" t="s">
        <v>7</v>
      </c>
      <c r="D274" s="11" t="s">
        <v>1448</v>
      </c>
      <c r="E274" s="11" t="str">
        <f t="shared" si="32"/>
        <v>C-RAIL-TRAK (Civil - Ferrocarril: vía)</v>
      </c>
      <c r="F274" s="19" t="s">
        <v>3798</v>
      </c>
      <c r="G274" s="19" t="s">
        <v>3797</v>
      </c>
      <c r="H274" s="19" t="s">
        <v>3811</v>
      </c>
      <c r="I274" s="10">
        <v>0</v>
      </c>
      <c r="J274" s="10" t="str">
        <f t="shared" si="33"/>
        <v>Civil - Ferrocarril: vía</v>
      </c>
      <c r="K274" s="11" t="s">
        <v>1446</v>
      </c>
      <c r="L274" s="11" t="s">
        <v>7</v>
      </c>
      <c r="M274" s="11" t="s">
        <v>1447</v>
      </c>
      <c r="N274" s="18" t="str">
        <f t="shared" si="34"/>
        <v xml:space="preserve">-LAYER N C-RAIL-TRAK </v>
      </c>
      <c r="O274" s="11" t="str">
        <f t="shared" si="35"/>
        <v xml:space="preserve">-LAYER C white C-RAIL-TRAK </v>
      </c>
      <c r="P274" s="11" t="str">
        <f t="shared" si="36"/>
        <v xml:space="preserve">-LAYER L Continuous
C-RAIL-TRAK  </v>
      </c>
      <c r="Q274" s="11" t="str">
        <f t="shared" si="37"/>
        <v xml:space="preserve">-LAYER LW Default
C-RAIL-TRAK  </v>
      </c>
      <c r="R274" s="11" t="str">
        <f t="shared" si="38"/>
        <v xml:space="preserve">-LAYER TR 0
C-RAIL-TRAK  </v>
      </c>
      <c r="S274" s="11" t="str">
        <f t="shared" si="39"/>
        <v xml:space="preserve">-LAYER D Civil - Ferrocarril: vía
C-RAIL-TRAK  </v>
      </c>
    </row>
    <row r="275" spans="1:19" x14ac:dyDescent="0.45">
      <c r="A275" s="7">
        <v>1</v>
      </c>
      <c r="B275" s="11" t="s">
        <v>3200</v>
      </c>
      <c r="C275" s="11" t="s">
        <v>7</v>
      </c>
      <c r="D275" s="11" t="s">
        <v>569</v>
      </c>
      <c r="E275" s="11" t="str">
        <f t="shared" si="32"/>
        <v>C-RIVR (Civil - Río)</v>
      </c>
      <c r="F275" s="19" t="s">
        <v>3798</v>
      </c>
      <c r="G275" s="19" t="s">
        <v>3797</v>
      </c>
      <c r="H275" s="19" t="s">
        <v>3811</v>
      </c>
      <c r="I275" s="10">
        <v>0</v>
      </c>
      <c r="J275" s="10" t="str">
        <f t="shared" si="33"/>
        <v>Civil - Río</v>
      </c>
      <c r="K275" s="11" t="s">
        <v>1449</v>
      </c>
      <c r="L275" s="11" t="s">
        <v>7</v>
      </c>
      <c r="M275" s="11" t="s">
        <v>568</v>
      </c>
      <c r="N275" s="18" t="str">
        <f t="shared" si="34"/>
        <v xml:space="preserve">-LAYER N C-RIVR </v>
      </c>
      <c r="O275" s="11" t="str">
        <f t="shared" si="35"/>
        <v xml:space="preserve">-LAYER C white C-RIVR </v>
      </c>
      <c r="P275" s="11" t="str">
        <f t="shared" si="36"/>
        <v xml:space="preserve">-LAYER L Continuous
C-RIVR  </v>
      </c>
      <c r="Q275" s="11" t="str">
        <f t="shared" si="37"/>
        <v xml:space="preserve">-LAYER LW Default
C-RIVR  </v>
      </c>
      <c r="R275" s="11" t="str">
        <f t="shared" si="38"/>
        <v xml:space="preserve">-LAYER TR 0
C-RIVR  </v>
      </c>
      <c r="S275" s="11" t="str">
        <f t="shared" si="39"/>
        <v xml:space="preserve">-LAYER D Civil - Río
C-RIVR  </v>
      </c>
    </row>
    <row r="276" spans="1:19" x14ac:dyDescent="0.45">
      <c r="A276" s="7">
        <v>0</v>
      </c>
      <c r="B276" s="11" t="s">
        <v>3201</v>
      </c>
      <c r="C276" s="11" t="s">
        <v>7</v>
      </c>
      <c r="D276" s="11" t="s">
        <v>1452</v>
      </c>
      <c r="E276" s="11" t="str">
        <f t="shared" si="32"/>
        <v>C-RIVR-BOTM (Civil - Río: fondo)</v>
      </c>
      <c r="F276" s="19" t="s">
        <v>3798</v>
      </c>
      <c r="G276" s="19" t="s">
        <v>3797</v>
      </c>
      <c r="H276" s="19" t="s">
        <v>3811</v>
      </c>
      <c r="I276" s="10">
        <v>0</v>
      </c>
      <c r="J276" s="10" t="str">
        <f t="shared" si="33"/>
        <v>Civil - Río: fondo</v>
      </c>
      <c r="K276" s="11" t="s">
        <v>1450</v>
      </c>
      <c r="L276" s="11" t="s">
        <v>7</v>
      </c>
      <c r="M276" s="11" t="s">
        <v>1451</v>
      </c>
      <c r="N276" s="18" t="str">
        <f t="shared" si="34"/>
        <v xml:space="preserve">-LAYER N C-RIVR-BOTM </v>
      </c>
      <c r="O276" s="11" t="str">
        <f t="shared" si="35"/>
        <v xml:space="preserve">-LAYER C white C-RIVR-BOTM </v>
      </c>
      <c r="P276" s="11" t="str">
        <f t="shared" si="36"/>
        <v xml:space="preserve">-LAYER L Continuous
C-RIVR-BOTM  </v>
      </c>
      <c r="Q276" s="11" t="str">
        <f t="shared" si="37"/>
        <v xml:space="preserve">-LAYER LW Default
C-RIVR-BOTM  </v>
      </c>
      <c r="R276" s="11" t="str">
        <f t="shared" si="38"/>
        <v xml:space="preserve">-LAYER TR 0
C-RIVR-BOTM  </v>
      </c>
      <c r="S276" s="11" t="str">
        <f t="shared" si="39"/>
        <v xml:space="preserve">-LAYER D Civil - Río: fondo
C-RIVR-BOTM  </v>
      </c>
    </row>
    <row r="277" spans="1:19" x14ac:dyDescent="0.45">
      <c r="A277" s="7">
        <v>0</v>
      </c>
      <c r="B277" s="11" t="s">
        <v>3202</v>
      </c>
      <c r="C277" s="11" t="s">
        <v>7</v>
      </c>
      <c r="D277" s="11" t="s">
        <v>1455</v>
      </c>
      <c r="E277" s="11" t="str">
        <f t="shared" si="32"/>
        <v>C-RIVR-CNTR (Civil - Río: centro)</v>
      </c>
      <c r="F277" s="19" t="s">
        <v>3798</v>
      </c>
      <c r="G277" s="19" t="s">
        <v>3797</v>
      </c>
      <c r="H277" s="19" t="s">
        <v>3811</v>
      </c>
      <c r="I277" s="10">
        <v>0</v>
      </c>
      <c r="J277" s="10" t="str">
        <f t="shared" si="33"/>
        <v>Civil - Río: centro</v>
      </c>
      <c r="K277" s="11" t="s">
        <v>1453</v>
      </c>
      <c r="L277" s="11" t="s">
        <v>7</v>
      </c>
      <c r="M277" s="11" t="s">
        <v>1454</v>
      </c>
      <c r="N277" s="18" t="str">
        <f t="shared" si="34"/>
        <v xml:space="preserve">-LAYER N C-RIVR-CNTR </v>
      </c>
      <c r="O277" s="11" t="str">
        <f t="shared" si="35"/>
        <v xml:space="preserve">-LAYER C white C-RIVR-CNTR </v>
      </c>
      <c r="P277" s="11" t="str">
        <f t="shared" si="36"/>
        <v xml:space="preserve">-LAYER L Continuous
C-RIVR-CNTR  </v>
      </c>
      <c r="Q277" s="11" t="str">
        <f t="shared" si="37"/>
        <v xml:space="preserve">-LAYER LW Default
C-RIVR-CNTR  </v>
      </c>
      <c r="R277" s="11" t="str">
        <f t="shared" si="38"/>
        <v xml:space="preserve">-LAYER TR 0
C-RIVR-CNTR  </v>
      </c>
      <c r="S277" s="11" t="str">
        <f t="shared" si="39"/>
        <v xml:space="preserve">-LAYER D Civil - Río: centro
C-RIVR-CNTR  </v>
      </c>
    </row>
    <row r="278" spans="1:19" x14ac:dyDescent="0.45">
      <c r="A278" s="7">
        <v>0</v>
      </c>
      <c r="B278" s="11" t="s">
        <v>3203</v>
      </c>
      <c r="C278" s="11" t="s">
        <v>7</v>
      </c>
      <c r="D278" s="11" t="s">
        <v>1458</v>
      </c>
      <c r="E278" s="11" t="str">
        <f t="shared" si="32"/>
        <v>C-RIVR-EDGE (Civil - Río: orilla)</v>
      </c>
      <c r="F278" s="19" t="s">
        <v>3798</v>
      </c>
      <c r="G278" s="19" t="s">
        <v>3797</v>
      </c>
      <c r="H278" s="19" t="s">
        <v>3811</v>
      </c>
      <c r="I278" s="10">
        <v>0</v>
      </c>
      <c r="J278" s="10" t="str">
        <f t="shared" si="33"/>
        <v>Civil - Río: orilla</v>
      </c>
      <c r="K278" s="11" t="s">
        <v>1456</v>
      </c>
      <c r="L278" s="11" t="s">
        <v>7</v>
      </c>
      <c r="M278" s="11" t="s">
        <v>1457</v>
      </c>
      <c r="N278" s="18" t="str">
        <f t="shared" si="34"/>
        <v xml:space="preserve">-LAYER N C-RIVR-EDGE </v>
      </c>
      <c r="O278" s="11" t="str">
        <f t="shared" si="35"/>
        <v xml:space="preserve">-LAYER C white C-RIVR-EDGE </v>
      </c>
      <c r="P278" s="11" t="str">
        <f t="shared" si="36"/>
        <v xml:space="preserve">-LAYER L Continuous
C-RIVR-EDGE  </v>
      </c>
      <c r="Q278" s="11" t="str">
        <f t="shared" si="37"/>
        <v xml:space="preserve">-LAYER LW Default
C-RIVR-EDGE  </v>
      </c>
      <c r="R278" s="11" t="str">
        <f t="shared" si="38"/>
        <v xml:space="preserve">-LAYER TR 0
C-RIVR-EDGE  </v>
      </c>
      <c r="S278" s="11" t="str">
        <f t="shared" si="39"/>
        <v xml:space="preserve">-LAYER D Civil - Río: orilla
C-RIVR-EDGE  </v>
      </c>
    </row>
    <row r="279" spans="1:19" x14ac:dyDescent="0.45">
      <c r="A279" s="7">
        <v>0</v>
      </c>
      <c r="B279" s="11" t="s">
        <v>3204</v>
      </c>
      <c r="C279" s="11" t="s">
        <v>7</v>
      </c>
      <c r="D279" s="11" t="s">
        <v>1461</v>
      </c>
      <c r="E279" s="11" t="str">
        <f t="shared" si="32"/>
        <v>C-RIVR-TOPB (Civil - Río: parte superior de la orilla)</v>
      </c>
      <c r="F279" s="19" t="s">
        <v>3798</v>
      </c>
      <c r="G279" s="19" t="s">
        <v>3797</v>
      </c>
      <c r="H279" s="19" t="s">
        <v>3811</v>
      </c>
      <c r="I279" s="10">
        <v>0</v>
      </c>
      <c r="J279" s="10" t="str">
        <f t="shared" si="33"/>
        <v>Civil - Río: parte superior de la orilla</v>
      </c>
      <c r="K279" s="11" t="s">
        <v>1459</v>
      </c>
      <c r="L279" s="11" t="s">
        <v>7</v>
      </c>
      <c r="M279" s="11" t="s">
        <v>1460</v>
      </c>
      <c r="N279" s="18" t="str">
        <f t="shared" si="34"/>
        <v xml:space="preserve">-LAYER N C-RIVR-TOPB </v>
      </c>
      <c r="O279" s="11" t="str">
        <f t="shared" si="35"/>
        <v xml:space="preserve">-LAYER C white C-RIVR-TOPB </v>
      </c>
      <c r="P279" s="11" t="str">
        <f t="shared" si="36"/>
        <v xml:space="preserve">-LAYER L Continuous
C-RIVR-TOPB  </v>
      </c>
      <c r="Q279" s="11" t="str">
        <f t="shared" si="37"/>
        <v xml:space="preserve">-LAYER LW Default
C-RIVR-TOPB  </v>
      </c>
      <c r="R279" s="11" t="str">
        <f t="shared" si="38"/>
        <v xml:space="preserve">-LAYER TR 0
C-RIVR-TOPB  </v>
      </c>
      <c r="S279" s="11" t="str">
        <f t="shared" si="39"/>
        <v xml:space="preserve">-LAYER D Civil - Río: parte superior de la orilla
C-RIVR-TOPB  </v>
      </c>
    </row>
    <row r="280" spans="1:19" x14ac:dyDescent="0.45">
      <c r="A280" s="7">
        <v>1</v>
      </c>
      <c r="B280" s="11" t="s">
        <v>3205</v>
      </c>
      <c r="C280" s="11" t="s">
        <v>7</v>
      </c>
      <c r="D280" s="11" t="s">
        <v>572</v>
      </c>
      <c r="E280" s="11" t="str">
        <f t="shared" si="32"/>
        <v>C-ROAD (Civil - Carreteras)</v>
      </c>
      <c r="F280" s="10">
        <v>57</v>
      </c>
      <c r="G280" s="10" t="s">
        <v>3797</v>
      </c>
      <c r="H280" s="10">
        <v>0.4</v>
      </c>
      <c r="I280" s="10">
        <v>0</v>
      </c>
      <c r="J280" s="10" t="str">
        <f t="shared" si="33"/>
        <v>Civil - Carreteras</v>
      </c>
      <c r="K280" s="11" t="s">
        <v>1462</v>
      </c>
      <c r="L280" s="11" t="s">
        <v>7</v>
      </c>
      <c r="M280" s="11" t="s">
        <v>571</v>
      </c>
      <c r="N280" s="18" t="str">
        <f t="shared" si="34"/>
        <v xml:space="preserve">-LAYER N C-ROAD </v>
      </c>
      <c r="O280" s="11" t="str">
        <f t="shared" si="35"/>
        <v xml:space="preserve">-LAYER C 57 C-ROAD </v>
      </c>
      <c r="P280" s="11" t="str">
        <f t="shared" si="36"/>
        <v xml:space="preserve">-LAYER L Continuous
C-ROAD  </v>
      </c>
      <c r="Q280" s="11" t="str">
        <f t="shared" si="37"/>
        <v xml:space="preserve">-LAYER LW 0.4
C-ROAD  </v>
      </c>
      <c r="R280" s="11" t="str">
        <f t="shared" si="38"/>
        <v xml:space="preserve">-LAYER TR 0
C-ROAD  </v>
      </c>
      <c r="S280" s="11" t="str">
        <f t="shared" si="39"/>
        <v xml:space="preserve">-LAYER D Civil - Carreteras
C-ROAD  </v>
      </c>
    </row>
    <row r="281" spans="1:19" x14ac:dyDescent="0.45">
      <c r="A281" s="7">
        <v>0</v>
      </c>
      <c r="B281" s="11" t="s">
        <v>3206</v>
      </c>
      <c r="C281" s="11" t="s">
        <v>7</v>
      </c>
      <c r="D281" s="11" t="s">
        <v>1465</v>
      </c>
      <c r="E281" s="11" t="str">
        <f t="shared" si="32"/>
        <v>C-ROAD-ASPH (Civil - Carreteras: asfalto)</v>
      </c>
      <c r="F281" s="19" t="s">
        <v>3798</v>
      </c>
      <c r="G281" s="19" t="s">
        <v>3797</v>
      </c>
      <c r="H281" s="19" t="s">
        <v>3811</v>
      </c>
      <c r="I281" s="10">
        <v>0</v>
      </c>
      <c r="J281" s="10" t="str">
        <f t="shared" si="33"/>
        <v>Civil - Carreteras: asfalto</v>
      </c>
      <c r="K281" s="11" t="s">
        <v>1463</v>
      </c>
      <c r="L281" s="11" t="s">
        <v>7</v>
      </c>
      <c r="M281" s="11" t="s">
        <v>1464</v>
      </c>
      <c r="N281" s="18" t="str">
        <f t="shared" si="34"/>
        <v xml:space="preserve">-LAYER N C-ROAD-ASPH </v>
      </c>
      <c r="O281" s="11" t="str">
        <f t="shared" si="35"/>
        <v xml:space="preserve">-LAYER C white C-ROAD-ASPH </v>
      </c>
      <c r="P281" s="11" t="str">
        <f t="shared" si="36"/>
        <v xml:space="preserve">-LAYER L Continuous
C-ROAD-ASPH  </v>
      </c>
      <c r="Q281" s="11" t="str">
        <f t="shared" si="37"/>
        <v xml:space="preserve">-LAYER LW Default
C-ROAD-ASPH  </v>
      </c>
      <c r="R281" s="11" t="str">
        <f t="shared" si="38"/>
        <v xml:space="preserve">-LAYER TR 0
C-ROAD-ASPH  </v>
      </c>
      <c r="S281" s="11" t="str">
        <f t="shared" si="39"/>
        <v xml:space="preserve">-LAYER D Civil - Carreteras: asfalto
C-ROAD-ASPH  </v>
      </c>
    </row>
    <row r="282" spans="1:19" x14ac:dyDescent="0.45">
      <c r="A282" s="7">
        <v>0</v>
      </c>
      <c r="B282" s="11" t="s">
        <v>3207</v>
      </c>
      <c r="C282" s="11" t="s">
        <v>7</v>
      </c>
      <c r="D282" s="11" t="s">
        <v>1468</v>
      </c>
      <c r="E282" s="11" t="str">
        <f t="shared" si="32"/>
        <v>C-ROAD-CNTR (Civil - Carreteras: centro)</v>
      </c>
      <c r="F282" s="19" t="s">
        <v>3798</v>
      </c>
      <c r="G282" s="19" t="s">
        <v>3797</v>
      </c>
      <c r="H282" s="19" t="s">
        <v>3811</v>
      </c>
      <c r="I282" s="10">
        <v>0</v>
      </c>
      <c r="J282" s="10" t="str">
        <f t="shared" si="33"/>
        <v>Civil - Carreteras: centro</v>
      </c>
      <c r="K282" s="11" t="s">
        <v>1466</v>
      </c>
      <c r="L282" s="11" t="s">
        <v>7</v>
      </c>
      <c r="M282" s="11" t="s">
        <v>1467</v>
      </c>
      <c r="N282" s="18" t="str">
        <f t="shared" si="34"/>
        <v xml:space="preserve">-LAYER N C-ROAD-CNTR </v>
      </c>
      <c r="O282" s="11" t="str">
        <f t="shared" si="35"/>
        <v xml:space="preserve">-LAYER C white C-ROAD-CNTR </v>
      </c>
      <c r="P282" s="11" t="str">
        <f t="shared" si="36"/>
        <v xml:space="preserve">-LAYER L Continuous
C-ROAD-CNTR  </v>
      </c>
      <c r="Q282" s="11" t="str">
        <f t="shared" si="37"/>
        <v xml:space="preserve">-LAYER LW Default
C-ROAD-CNTR  </v>
      </c>
      <c r="R282" s="11" t="str">
        <f t="shared" si="38"/>
        <v xml:space="preserve">-LAYER TR 0
C-ROAD-CNTR  </v>
      </c>
      <c r="S282" s="11" t="str">
        <f t="shared" si="39"/>
        <v xml:space="preserve">-LAYER D Civil - Carreteras: centro
C-ROAD-CNTR  </v>
      </c>
    </row>
    <row r="283" spans="1:19" x14ac:dyDescent="0.45">
      <c r="A283" s="7">
        <v>0</v>
      </c>
      <c r="B283" s="11" t="s">
        <v>3208</v>
      </c>
      <c r="C283" s="11" t="s">
        <v>7</v>
      </c>
      <c r="D283" s="11" t="s">
        <v>1471</v>
      </c>
      <c r="E283" s="11" t="str">
        <f t="shared" si="32"/>
        <v>C-ROAD-CONC (Civil - Carreteras: concreto)</v>
      </c>
      <c r="F283" s="19" t="s">
        <v>3798</v>
      </c>
      <c r="G283" s="19" t="s">
        <v>3797</v>
      </c>
      <c r="H283" s="19" t="s">
        <v>3811</v>
      </c>
      <c r="I283" s="10">
        <v>0</v>
      </c>
      <c r="J283" s="10" t="str">
        <f t="shared" si="33"/>
        <v>Civil - Carreteras: concreto</v>
      </c>
      <c r="K283" s="11" t="s">
        <v>1469</v>
      </c>
      <c r="L283" s="11" t="s">
        <v>7</v>
      </c>
      <c r="M283" s="11" t="s">
        <v>1470</v>
      </c>
      <c r="N283" s="18" t="str">
        <f t="shared" si="34"/>
        <v xml:space="preserve">-LAYER N C-ROAD-CONC </v>
      </c>
      <c r="O283" s="11" t="str">
        <f t="shared" si="35"/>
        <v xml:space="preserve">-LAYER C white C-ROAD-CONC </v>
      </c>
      <c r="P283" s="11" t="str">
        <f t="shared" si="36"/>
        <v xml:space="preserve">-LAYER L Continuous
C-ROAD-CONC  </v>
      </c>
      <c r="Q283" s="11" t="str">
        <f t="shared" si="37"/>
        <v xml:space="preserve">-LAYER LW Default
C-ROAD-CONC  </v>
      </c>
      <c r="R283" s="11" t="str">
        <f t="shared" si="38"/>
        <v xml:space="preserve">-LAYER TR 0
C-ROAD-CONC  </v>
      </c>
      <c r="S283" s="11" t="str">
        <f t="shared" si="39"/>
        <v xml:space="preserve">-LAYER D Civil - Carreteras: concreto
C-ROAD-CONC  </v>
      </c>
    </row>
    <row r="284" spans="1:19" x14ac:dyDescent="0.45">
      <c r="A284" s="7">
        <v>0</v>
      </c>
      <c r="B284" s="11" t="s">
        <v>3209</v>
      </c>
      <c r="C284" s="11" t="s">
        <v>7</v>
      </c>
      <c r="D284" s="11" t="s">
        <v>1474</v>
      </c>
      <c r="E284" s="11" t="str">
        <f t="shared" si="32"/>
        <v>C-ROAD-CURB (Civil - Carreteras: bordillo)</v>
      </c>
      <c r="F284" s="19" t="s">
        <v>3798</v>
      </c>
      <c r="G284" s="19" t="s">
        <v>3797</v>
      </c>
      <c r="H284" s="19" t="s">
        <v>3811</v>
      </c>
      <c r="I284" s="10">
        <v>0</v>
      </c>
      <c r="J284" s="10" t="str">
        <f t="shared" si="33"/>
        <v>Civil - Carreteras: bordillo</v>
      </c>
      <c r="K284" s="11" t="s">
        <v>1472</v>
      </c>
      <c r="L284" s="11" t="s">
        <v>7</v>
      </c>
      <c r="M284" s="11" t="s">
        <v>1473</v>
      </c>
      <c r="N284" s="18" t="str">
        <f t="shared" si="34"/>
        <v xml:space="preserve">-LAYER N C-ROAD-CURB </v>
      </c>
      <c r="O284" s="11" t="str">
        <f t="shared" si="35"/>
        <v xml:space="preserve">-LAYER C white C-ROAD-CURB </v>
      </c>
      <c r="P284" s="11" t="str">
        <f t="shared" si="36"/>
        <v xml:space="preserve">-LAYER L Continuous
C-ROAD-CURB  </v>
      </c>
      <c r="Q284" s="11" t="str">
        <f t="shared" si="37"/>
        <v xml:space="preserve">-LAYER LW Default
C-ROAD-CURB  </v>
      </c>
      <c r="R284" s="11" t="str">
        <f t="shared" si="38"/>
        <v xml:space="preserve">-LAYER TR 0
C-ROAD-CURB  </v>
      </c>
      <c r="S284" s="11" t="str">
        <f t="shared" si="39"/>
        <v xml:space="preserve">-LAYER D Civil - Carreteras: bordillo
C-ROAD-CURB  </v>
      </c>
    </row>
    <row r="285" spans="1:19" x14ac:dyDescent="0.45">
      <c r="A285" s="7">
        <v>0</v>
      </c>
      <c r="B285" s="11" t="s">
        <v>3210</v>
      </c>
      <c r="C285" s="11" t="s">
        <v>7</v>
      </c>
      <c r="D285" s="11" t="s">
        <v>1477</v>
      </c>
      <c r="E285" s="11" t="str">
        <f t="shared" si="32"/>
        <v>C-ROAD-CURB-BACK (Civil - Carreteras: bordillo: parte trasera)</v>
      </c>
      <c r="F285" s="19" t="s">
        <v>3798</v>
      </c>
      <c r="G285" s="19" t="s">
        <v>3797</v>
      </c>
      <c r="H285" s="19" t="s">
        <v>3811</v>
      </c>
      <c r="I285" s="10">
        <v>0</v>
      </c>
      <c r="J285" s="10" t="str">
        <f t="shared" si="33"/>
        <v>Civil - Carreteras: bordillo: parte trasera</v>
      </c>
      <c r="K285" s="11" t="s">
        <v>1475</v>
      </c>
      <c r="L285" s="11" t="s">
        <v>7</v>
      </c>
      <c r="M285" s="11" t="s">
        <v>1476</v>
      </c>
      <c r="N285" s="18" t="str">
        <f t="shared" si="34"/>
        <v xml:space="preserve">-LAYER N C-ROAD-CURB-BACK </v>
      </c>
      <c r="O285" s="11" t="str">
        <f t="shared" si="35"/>
        <v xml:space="preserve">-LAYER C white C-ROAD-CURB-BACK </v>
      </c>
      <c r="P285" s="11" t="str">
        <f t="shared" si="36"/>
        <v xml:space="preserve">-LAYER L Continuous
C-ROAD-CURB-BACK  </v>
      </c>
      <c r="Q285" s="11" t="str">
        <f t="shared" si="37"/>
        <v xml:space="preserve">-LAYER LW Default
C-ROAD-CURB-BACK  </v>
      </c>
      <c r="R285" s="11" t="str">
        <f t="shared" si="38"/>
        <v xml:space="preserve">-LAYER TR 0
C-ROAD-CURB-BACK  </v>
      </c>
      <c r="S285" s="11" t="str">
        <f t="shared" si="39"/>
        <v xml:space="preserve">-LAYER D Civil - Carreteras: bordillo: parte trasera
C-ROAD-CURB-BACK  </v>
      </c>
    </row>
    <row r="286" spans="1:19" x14ac:dyDescent="0.45">
      <c r="A286" s="7">
        <v>0</v>
      </c>
      <c r="B286" s="11" t="s">
        <v>3211</v>
      </c>
      <c r="C286" s="11" t="s">
        <v>7</v>
      </c>
      <c r="D286" s="11" t="s">
        <v>1480</v>
      </c>
      <c r="E286" s="11" t="str">
        <f t="shared" si="32"/>
        <v>C-ROAD-CURB-FACE (Civil - Carreteras: bordillo: frente)</v>
      </c>
      <c r="F286" s="19" t="s">
        <v>3798</v>
      </c>
      <c r="G286" s="19" t="s">
        <v>3797</v>
      </c>
      <c r="H286" s="19" t="s">
        <v>3811</v>
      </c>
      <c r="I286" s="10">
        <v>0</v>
      </c>
      <c r="J286" s="10" t="str">
        <f t="shared" si="33"/>
        <v>Civil - Carreteras: bordillo: frente</v>
      </c>
      <c r="K286" s="11" t="s">
        <v>1478</v>
      </c>
      <c r="L286" s="11" t="s">
        <v>7</v>
      </c>
      <c r="M286" s="11" t="s">
        <v>1479</v>
      </c>
      <c r="N286" s="18" t="str">
        <f t="shared" si="34"/>
        <v xml:space="preserve">-LAYER N C-ROAD-CURB-FACE </v>
      </c>
      <c r="O286" s="11" t="str">
        <f t="shared" si="35"/>
        <v xml:space="preserve">-LAYER C white C-ROAD-CURB-FACE </v>
      </c>
      <c r="P286" s="11" t="str">
        <f t="shared" si="36"/>
        <v xml:space="preserve">-LAYER L Continuous
C-ROAD-CURB-FACE  </v>
      </c>
      <c r="Q286" s="11" t="str">
        <f t="shared" si="37"/>
        <v xml:space="preserve">-LAYER LW Default
C-ROAD-CURB-FACE  </v>
      </c>
      <c r="R286" s="11" t="str">
        <f t="shared" si="38"/>
        <v xml:space="preserve">-LAYER TR 0
C-ROAD-CURB-FACE  </v>
      </c>
      <c r="S286" s="11" t="str">
        <f t="shared" si="39"/>
        <v xml:space="preserve">-LAYER D Civil - Carreteras: bordillo: frente
C-ROAD-CURB-FACE  </v>
      </c>
    </row>
    <row r="287" spans="1:19" x14ac:dyDescent="0.45">
      <c r="A287" s="7">
        <v>0</v>
      </c>
      <c r="B287" s="11" t="s">
        <v>3212</v>
      </c>
      <c r="C287" s="11" t="s">
        <v>7</v>
      </c>
      <c r="D287" s="11" t="s">
        <v>1483</v>
      </c>
      <c r="E287" s="11" t="str">
        <f t="shared" si="32"/>
        <v>C-ROAD-FLNE (Civil - Carreteras: carril de incendios)</v>
      </c>
      <c r="F287" s="19" t="s">
        <v>3798</v>
      </c>
      <c r="G287" s="19" t="s">
        <v>3797</v>
      </c>
      <c r="H287" s="19" t="s">
        <v>3811</v>
      </c>
      <c r="I287" s="10">
        <v>0</v>
      </c>
      <c r="J287" s="10" t="str">
        <f t="shared" si="33"/>
        <v>Civil - Carreteras: carril de incendios</v>
      </c>
      <c r="K287" s="11" t="s">
        <v>1481</v>
      </c>
      <c r="L287" s="11" t="s">
        <v>7</v>
      </c>
      <c r="M287" s="11" t="s">
        <v>1482</v>
      </c>
      <c r="N287" s="18" t="str">
        <f t="shared" si="34"/>
        <v xml:space="preserve">-LAYER N C-ROAD-FLNE </v>
      </c>
      <c r="O287" s="11" t="str">
        <f t="shared" si="35"/>
        <v xml:space="preserve">-LAYER C white C-ROAD-FLNE </v>
      </c>
      <c r="P287" s="11" t="str">
        <f t="shared" si="36"/>
        <v xml:space="preserve">-LAYER L Continuous
C-ROAD-FLNE  </v>
      </c>
      <c r="Q287" s="11" t="str">
        <f t="shared" si="37"/>
        <v xml:space="preserve">-LAYER LW Default
C-ROAD-FLNE  </v>
      </c>
      <c r="R287" s="11" t="str">
        <f t="shared" si="38"/>
        <v xml:space="preserve">-LAYER TR 0
C-ROAD-FLNE  </v>
      </c>
      <c r="S287" s="11" t="str">
        <f t="shared" si="39"/>
        <v xml:space="preserve">-LAYER D Civil - Carreteras: carril de incendios
C-ROAD-FLNE  </v>
      </c>
    </row>
    <row r="288" spans="1:19" x14ac:dyDescent="0.45">
      <c r="A288" s="7">
        <v>0</v>
      </c>
      <c r="B288" s="11" t="s">
        <v>3213</v>
      </c>
      <c r="C288" s="11" t="s">
        <v>7</v>
      </c>
      <c r="D288" s="11" t="s">
        <v>1486</v>
      </c>
      <c r="E288" s="11" t="str">
        <f t="shared" si="32"/>
        <v>C-ROAD-FLNE-MRKG (Civil - Carreteras: carril de incendios: marcas en el pavimento)</v>
      </c>
      <c r="F288" s="19" t="s">
        <v>3798</v>
      </c>
      <c r="G288" s="19" t="s">
        <v>3797</v>
      </c>
      <c r="H288" s="19" t="s">
        <v>3811</v>
      </c>
      <c r="I288" s="10">
        <v>0</v>
      </c>
      <c r="J288" s="10" t="str">
        <f t="shared" si="33"/>
        <v>Civil - Carreteras: carril de incendios: marcas en el pavimento</v>
      </c>
      <c r="K288" s="11" t="s">
        <v>1484</v>
      </c>
      <c r="L288" s="11" t="s">
        <v>7</v>
      </c>
      <c r="M288" s="11" t="s">
        <v>1485</v>
      </c>
      <c r="N288" s="18" t="str">
        <f t="shared" si="34"/>
        <v xml:space="preserve">-LAYER N C-ROAD-FLNE-MRKG </v>
      </c>
      <c r="O288" s="11" t="str">
        <f t="shared" si="35"/>
        <v xml:space="preserve">-LAYER C white C-ROAD-FLNE-MRKG </v>
      </c>
      <c r="P288" s="11" t="str">
        <f t="shared" si="36"/>
        <v xml:space="preserve">-LAYER L Continuous
C-ROAD-FLNE-MRKG  </v>
      </c>
      <c r="Q288" s="11" t="str">
        <f t="shared" si="37"/>
        <v xml:space="preserve">-LAYER LW Default
C-ROAD-FLNE-MRKG  </v>
      </c>
      <c r="R288" s="11" t="str">
        <f t="shared" si="38"/>
        <v xml:space="preserve">-LAYER TR 0
C-ROAD-FLNE-MRKG  </v>
      </c>
      <c r="S288" s="11" t="str">
        <f t="shared" si="39"/>
        <v xml:space="preserve">-LAYER D Civil - Carreteras: carril de incendios: marcas en el pavimento
C-ROAD-FLNE-MRKG  </v>
      </c>
    </row>
    <row r="289" spans="1:19" x14ac:dyDescent="0.45">
      <c r="A289" s="7">
        <v>0</v>
      </c>
      <c r="B289" s="11" t="s">
        <v>3214</v>
      </c>
      <c r="C289" s="11" t="s">
        <v>7</v>
      </c>
      <c r="D289" s="11" t="s">
        <v>1489</v>
      </c>
      <c r="E289" s="11" t="str">
        <f t="shared" si="32"/>
        <v>C-ROAD-FLNE-SIGN (Civil - Carreteras: carril de incendios: señalización)</v>
      </c>
      <c r="F289" s="19" t="s">
        <v>3798</v>
      </c>
      <c r="G289" s="19" t="s">
        <v>3797</v>
      </c>
      <c r="H289" s="19" t="s">
        <v>3811</v>
      </c>
      <c r="I289" s="10">
        <v>0</v>
      </c>
      <c r="J289" s="10" t="str">
        <f t="shared" si="33"/>
        <v>Civil - Carreteras: carril de incendios: señalización</v>
      </c>
      <c r="K289" s="11" t="s">
        <v>1487</v>
      </c>
      <c r="L289" s="11" t="s">
        <v>7</v>
      </c>
      <c r="M289" s="11" t="s">
        <v>1488</v>
      </c>
      <c r="N289" s="18" t="str">
        <f t="shared" si="34"/>
        <v xml:space="preserve">-LAYER N C-ROAD-FLNE-SIGN </v>
      </c>
      <c r="O289" s="11" t="str">
        <f t="shared" si="35"/>
        <v xml:space="preserve">-LAYER C white C-ROAD-FLNE-SIGN </v>
      </c>
      <c r="P289" s="11" t="str">
        <f t="shared" si="36"/>
        <v xml:space="preserve">-LAYER L Continuous
C-ROAD-FLNE-SIGN  </v>
      </c>
      <c r="Q289" s="11" t="str">
        <f t="shared" si="37"/>
        <v xml:space="preserve">-LAYER LW Default
C-ROAD-FLNE-SIGN  </v>
      </c>
      <c r="R289" s="11" t="str">
        <f t="shared" si="38"/>
        <v xml:space="preserve">-LAYER TR 0
C-ROAD-FLNE-SIGN  </v>
      </c>
      <c r="S289" s="11" t="str">
        <f t="shared" si="39"/>
        <v xml:space="preserve">-LAYER D Civil - Carreteras: carril de incendios: señalización
C-ROAD-FLNE-SIGN  </v>
      </c>
    </row>
    <row r="290" spans="1:19" x14ac:dyDescent="0.45">
      <c r="A290" s="7">
        <v>0</v>
      </c>
      <c r="B290" s="11" t="s">
        <v>3215</v>
      </c>
      <c r="C290" s="11" t="s">
        <v>7</v>
      </c>
      <c r="D290" s="11" t="s">
        <v>1492</v>
      </c>
      <c r="E290" s="11" t="str">
        <f t="shared" si="32"/>
        <v>C-ROAD-GRVL (Civil - Carreteras: grava)</v>
      </c>
      <c r="F290" s="19" t="s">
        <v>3798</v>
      </c>
      <c r="G290" s="19" t="s">
        <v>3797</v>
      </c>
      <c r="H290" s="19" t="s">
        <v>3811</v>
      </c>
      <c r="I290" s="10">
        <v>0</v>
      </c>
      <c r="J290" s="10" t="str">
        <f t="shared" si="33"/>
        <v>Civil - Carreteras: grava</v>
      </c>
      <c r="K290" s="11" t="s">
        <v>1490</v>
      </c>
      <c r="L290" s="11" t="s">
        <v>7</v>
      </c>
      <c r="M290" s="11" t="s">
        <v>1491</v>
      </c>
      <c r="N290" s="18" t="str">
        <f t="shared" si="34"/>
        <v xml:space="preserve">-LAYER N C-ROAD-GRVL </v>
      </c>
      <c r="O290" s="11" t="str">
        <f t="shared" si="35"/>
        <v xml:space="preserve">-LAYER C white C-ROAD-GRVL </v>
      </c>
      <c r="P290" s="11" t="str">
        <f t="shared" si="36"/>
        <v xml:space="preserve">-LAYER L Continuous
C-ROAD-GRVL  </v>
      </c>
      <c r="Q290" s="11" t="str">
        <f t="shared" si="37"/>
        <v xml:space="preserve">-LAYER LW Default
C-ROAD-GRVL  </v>
      </c>
      <c r="R290" s="11" t="str">
        <f t="shared" si="38"/>
        <v xml:space="preserve">-LAYER TR 0
C-ROAD-GRVL  </v>
      </c>
      <c r="S290" s="11" t="str">
        <f t="shared" si="39"/>
        <v xml:space="preserve">-LAYER D Civil - Carreteras: grava
C-ROAD-GRVL  </v>
      </c>
    </row>
    <row r="291" spans="1:19" x14ac:dyDescent="0.45">
      <c r="A291" s="7">
        <v>0</v>
      </c>
      <c r="B291" s="11" t="s">
        <v>3216</v>
      </c>
      <c r="C291" s="11" t="s">
        <v>7</v>
      </c>
      <c r="D291" s="11" t="s">
        <v>1495</v>
      </c>
      <c r="E291" s="11" t="str">
        <f t="shared" si="32"/>
        <v>C-ROAD-MRKG (Civil - Carreteras: marcas en el pavimento)</v>
      </c>
      <c r="F291" s="19" t="s">
        <v>3798</v>
      </c>
      <c r="G291" s="19" t="s">
        <v>3797</v>
      </c>
      <c r="H291" s="19" t="s">
        <v>3811</v>
      </c>
      <c r="I291" s="10">
        <v>0</v>
      </c>
      <c r="J291" s="10" t="str">
        <f t="shared" si="33"/>
        <v>Civil - Carreteras: marcas en el pavimento</v>
      </c>
      <c r="K291" s="11" t="s">
        <v>1493</v>
      </c>
      <c r="L291" s="11" t="s">
        <v>7</v>
      </c>
      <c r="M291" s="11" t="s">
        <v>1494</v>
      </c>
      <c r="N291" s="18" t="str">
        <f t="shared" si="34"/>
        <v xml:space="preserve">-LAYER N C-ROAD-MRKG </v>
      </c>
      <c r="O291" s="11" t="str">
        <f t="shared" si="35"/>
        <v xml:space="preserve">-LAYER C white C-ROAD-MRKG </v>
      </c>
      <c r="P291" s="11" t="str">
        <f t="shared" si="36"/>
        <v xml:space="preserve">-LAYER L Continuous
C-ROAD-MRKG  </v>
      </c>
      <c r="Q291" s="11" t="str">
        <f t="shared" si="37"/>
        <v xml:space="preserve">-LAYER LW Default
C-ROAD-MRKG  </v>
      </c>
      <c r="R291" s="11" t="str">
        <f t="shared" si="38"/>
        <v xml:space="preserve">-LAYER TR 0
C-ROAD-MRKG  </v>
      </c>
      <c r="S291" s="11" t="str">
        <f t="shared" si="39"/>
        <v xml:space="preserve">-LAYER D Civil - Carreteras: marcas en el pavimento
C-ROAD-MRKG  </v>
      </c>
    </row>
    <row r="292" spans="1:19" x14ac:dyDescent="0.45">
      <c r="A292" s="7">
        <v>0</v>
      </c>
      <c r="B292" s="11" t="s">
        <v>3217</v>
      </c>
      <c r="C292" s="11" t="s">
        <v>7</v>
      </c>
      <c r="D292" s="11" t="s">
        <v>1498</v>
      </c>
      <c r="E292" s="11" t="str">
        <f t="shared" si="32"/>
        <v>C-ROAD-PROF (Civil - Carreteras: perfil)</v>
      </c>
      <c r="F292" s="19" t="s">
        <v>3798</v>
      </c>
      <c r="G292" s="19" t="s">
        <v>3797</v>
      </c>
      <c r="H292" s="19" t="s">
        <v>3811</v>
      </c>
      <c r="I292" s="10">
        <v>0</v>
      </c>
      <c r="J292" s="10" t="str">
        <f t="shared" si="33"/>
        <v>Civil - Carreteras: perfil</v>
      </c>
      <c r="K292" s="11" t="s">
        <v>1496</v>
      </c>
      <c r="L292" s="11" t="s">
        <v>7</v>
      </c>
      <c r="M292" s="11" t="s">
        <v>1497</v>
      </c>
      <c r="N292" s="18" t="str">
        <f t="shared" si="34"/>
        <v xml:space="preserve">-LAYER N C-ROAD-PROF </v>
      </c>
      <c r="O292" s="11" t="str">
        <f t="shared" si="35"/>
        <v xml:space="preserve">-LAYER C white C-ROAD-PROF </v>
      </c>
      <c r="P292" s="11" t="str">
        <f t="shared" si="36"/>
        <v xml:space="preserve">-LAYER L Continuous
C-ROAD-PROF  </v>
      </c>
      <c r="Q292" s="11" t="str">
        <f t="shared" si="37"/>
        <v xml:space="preserve">-LAYER LW Default
C-ROAD-PROF  </v>
      </c>
      <c r="R292" s="11" t="str">
        <f t="shared" si="38"/>
        <v xml:space="preserve">-LAYER TR 0
C-ROAD-PROF  </v>
      </c>
      <c r="S292" s="11" t="str">
        <f t="shared" si="39"/>
        <v xml:space="preserve">-LAYER D Civil - Carreteras: perfil
C-ROAD-PROF  </v>
      </c>
    </row>
    <row r="293" spans="1:19" x14ac:dyDescent="0.45">
      <c r="A293" s="7">
        <v>0</v>
      </c>
      <c r="B293" s="11" t="s">
        <v>3218</v>
      </c>
      <c r="C293" s="11" t="s">
        <v>7</v>
      </c>
      <c r="D293" s="11" t="s">
        <v>1501</v>
      </c>
      <c r="E293" s="11" t="str">
        <f t="shared" si="32"/>
        <v>C-ROAD-SIGN (Civil - Carreteras: señalización)</v>
      </c>
      <c r="F293" s="19" t="s">
        <v>3798</v>
      </c>
      <c r="G293" s="19" t="s">
        <v>3797</v>
      </c>
      <c r="H293" s="19" t="s">
        <v>3811</v>
      </c>
      <c r="I293" s="10">
        <v>0</v>
      </c>
      <c r="J293" s="10" t="str">
        <f t="shared" si="33"/>
        <v>Civil - Carreteras: señalización</v>
      </c>
      <c r="K293" s="11" t="s">
        <v>1499</v>
      </c>
      <c r="L293" s="11" t="s">
        <v>7</v>
      </c>
      <c r="M293" s="11" t="s">
        <v>1500</v>
      </c>
      <c r="N293" s="18" t="str">
        <f t="shared" si="34"/>
        <v xml:space="preserve">-LAYER N C-ROAD-SIGN </v>
      </c>
      <c r="O293" s="11" t="str">
        <f t="shared" si="35"/>
        <v xml:space="preserve">-LAYER C white C-ROAD-SIGN </v>
      </c>
      <c r="P293" s="11" t="str">
        <f t="shared" si="36"/>
        <v xml:space="preserve">-LAYER L Continuous
C-ROAD-SIGN  </v>
      </c>
      <c r="Q293" s="11" t="str">
        <f t="shared" si="37"/>
        <v xml:space="preserve">-LAYER LW Default
C-ROAD-SIGN  </v>
      </c>
      <c r="R293" s="11" t="str">
        <f t="shared" si="38"/>
        <v xml:space="preserve">-LAYER TR 0
C-ROAD-SIGN  </v>
      </c>
      <c r="S293" s="11" t="str">
        <f t="shared" si="39"/>
        <v xml:space="preserve">-LAYER D Civil - Carreteras: señalización
C-ROAD-SIGN  </v>
      </c>
    </row>
    <row r="294" spans="1:19" x14ac:dyDescent="0.45">
      <c r="A294" s="7">
        <v>0</v>
      </c>
      <c r="B294" s="11" t="s">
        <v>3219</v>
      </c>
      <c r="C294" s="11" t="s">
        <v>7</v>
      </c>
      <c r="D294" s="11" t="s">
        <v>1504</v>
      </c>
      <c r="E294" s="11" t="str">
        <f t="shared" si="32"/>
        <v>C-ROAD-STAN (Civil - Carreteras: estacionamiento)</v>
      </c>
      <c r="F294" s="19" t="s">
        <v>3798</v>
      </c>
      <c r="G294" s="19" t="s">
        <v>3797</v>
      </c>
      <c r="H294" s="19" t="s">
        <v>3811</v>
      </c>
      <c r="I294" s="10">
        <v>0</v>
      </c>
      <c r="J294" s="10" t="str">
        <f t="shared" si="33"/>
        <v>Civil - Carreteras: estacionamiento</v>
      </c>
      <c r="K294" s="11" t="s">
        <v>1502</v>
      </c>
      <c r="L294" s="11" t="s">
        <v>7</v>
      </c>
      <c r="M294" s="11" t="s">
        <v>1503</v>
      </c>
      <c r="N294" s="18" t="str">
        <f t="shared" si="34"/>
        <v xml:space="preserve">-LAYER N C-ROAD-STAN </v>
      </c>
      <c r="O294" s="11" t="str">
        <f t="shared" si="35"/>
        <v xml:space="preserve">-LAYER C white C-ROAD-STAN </v>
      </c>
      <c r="P294" s="11" t="str">
        <f t="shared" si="36"/>
        <v xml:space="preserve">-LAYER L Continuous
C-ROAD-STAN  </v>
      </c>
      <c r="Q294" s="11" t="str">
        <f t="shared" si="37"/>
        <v xml:space="preserve">-LAYER LW Default
C-ROAD-STAN  </v>
      </c>
      <c r="R294" s="11" t="str">
        <f t="shared" si="38"/>
        <v xml:space="preserve">-LAYER TR 0
C-ROAD-STAN  </v>
      </c>
      <c r="S294" s="11" t="str">
        <f t="shared" si="39"/>
        <v xml:space="preserve">-LAYER D Civil - Carreteras: estacionamiento
C-ROAD-STAN  </v>
      </c>
    </row>
    <row r="295" spans="1:19" x14ac:dyDescent="0.45">
      <c r="A295" s="7">
        <v>0</v>
      </c>
      <c r="B295" s="11" t="s">
        <v>3220</v>
      </c>
      <c r="C295" s="11" t="s">
        <v>7</v>
      </c>
      <c r="D295" s="11" t="s">
        <v>1507</v>
      </c>
      <c r="E295" s="11" t="str">
        <f t="shared" si="32"/>
        <v>C-ROAD-UPVD (Civil - Carreteras: superficie sin pavimentar)</v>
      </c>
      <c r="F295" s="19" t="s">
        <v>3798</v>
      </c>
      <c r="G295" s="19" t="s">
        <v>3797</v>
      </c>
      <c r="H295" s="19" t="s">
        <v>3811</v>
      </c>
      <c r="I295" s="10">
        <v>0</v>
      </c>
      <c r="J295" s="10" t="str">
        <f t="shared" si="33"/>
        <v>Civil - Carreteras: superficie sin pavimentar</v>
      </c>
      <c r="K295" s="11" t="s">
        <v>1505</v>
      </c>
      <c r="L295" s="11" t="s">
        <v>7</v>
      </c>
      <c r="M295" s="11" t="s">
        <v>1506</v>
      </c>
      <c r="N295" s="18" t="str">
        <f t="shared" si="34"/>
        <v xml:space="preserve">-LAYER N C-ROAD-UPVD </v>
      </c>
      <c r="O295" s="11" t="str">
        <f t="shared" si="35"/>
        <v xml:space="preserve">-LAYER C white C-ROAD-UPVD </v>
      </c>
      <c r="P295" s="11" t="str">
        <f t="shared" si="36"/>
        <v xml:space="preserve">-LAYER L Continuous
C-ROAD-UPVD  </v>
      </c>
      <c r="Q295" s="11" t="str">
        <f t="shared" si="37"/>
        <v xml:space="preserve">-LAYER LW Default
C-ROAD-UPVD  </v>
      </c>
      <c r="R295" s="11" t="str">
        <f t="shared" si="38"/>
        <v xml:space="preserve">-LAYER TR 0
C-ROAD-UPVD  </v>
      </c>
      <c r="S295" s="11" t="str">
        <f t="shared" si="39"/>
        <v xml:space="preserve">-LAYER D Civil - Carreteras: superficie sin pavimentar
C-ROAD-UPVD  </v>
      </c>
    </row>
    <row r="296" spans="1:19" x14ac:dyDescent="0.45">
      <c r="A296" s="7">
        <v>0</v>
      </c>
      <c r="B296" s="11" t="s">
        <v>3221</v>
      </c>
      <c r="C296" s="11" t="s">
        <v>7</v>
      </c>
      <c r="D296" s="11" t="s">
        <v>1510</v>
      </c>
      <c r="E296" s="11" t="str">
        <f t="shared" si="32"/>
        <v>C-ROAD-WHIT (Civil - Carreteras: pintura blanca)</v>
      </c>
      <c r="F296" s="19" t="s">
        <v>3798</v>
      </c>
      <c r="G296" s="19" t="s">
        <v>3797</v>
      </c>
      <c r="H296" s="19" t="s">
        <v>3811</v>
      </c>
      <c r="I296" s="10">
        <v>0</v>
      </c>
      <c r="J296" s="10" t="str">
        <f t="shared" si="33"/>
        <v>Civil - Carreteras: pintura blanca</v>
      </c>
      <c r="K296" s="11" t="s">
        <v>1508</v>
      </c>
      <c r="L296" s="11" t="s">
        <v>7</v>
      </c>
      <c r="M296" s="11" t="s">
        <v>1509</v>
      </c>
      <c r="N296" s="18" t="str">
        <f t="shared" si="34"/>
        <v xml:space="preserve">-LAYER N C-ROAD-WHIT </v>
      </c>
      <c r="O296" s="11" t="str">
        <f t="shared" si="35"/>
        <v xml:space="preserve">-LAYER C white C-ROAD-WHIT </v>
      </c>
      <c r="P296" s="11" t="str">
        <f t="shared" si="36"/>
        <v xml:space="preserve">-LAYER L Continuous
C-ROAD-WHIT  </v>
      </c>
      <c r="Q296" s="11" t="str">
        <f t="shared" si="37"/>
        <v xml:space="preserve">-LAYER LW Default
C-ROAD-WHIT  </v>
      </c>
      <c r="R296" s="11" t="str">
        <f t="shared" si="38"/>
        <v xml:space="preserve">-LAYER TR 0
C-ROAD-WHIT  </v>
      </c>
      <c r="S296" s="11" t="str">
        <f t="shared" si="39"/>
        <v xml:space="preserve">-LAYER D Civil - Carreteras: pintura blanca
C-ROAD-WHIT  </v>
      </c>
    </row>
    <row r="297" spans="1:19" x14ac:dyDescent="0.45">
      <c r="A297" s="7">
        <v>0</v>
      </c>
      <c r="B297" s="11" t="s">
        <v>3222</v>
      </c>
      <c r="C297" s="11" t="s">
        <v>7</v>
      </c>
      <c r="D297" s="11" t="s">
        <v>1513</v>
      </c>
      <c r="E297" s="11" t="str">
        <f t="shared" si="32"/>
        <v>C-ROAD-WHIT-TICK (Civil - Carreteras: pintura blanca Marcas de verificación)</v>
      </c>
      <c r="F297" s="19" t="s">
        <v>3798</v>
      </c>
      <c r="G297" s="19" t="s">
        <v>3797</v>
      </c>
      <c r="H297" s="19" t="s">
        <v>3811</v>
      </c>
      <c r="I297" s="10">
        <v>0</v>
      </c>
      <c r="J297" s="10" t="str">
        <f t="shared" si="33"/>
        <v>Civil - Carreteras: pintura blanca Marcas de verificación</v>
      </c>
      <c r="K297" s="11" t="s">
        <v>1511</v>
      </c>
      <c r="L297" s="11" t="s">
        <v>7</v>
      </c>
      <c r="M297" s="11" t="s">
        <v>1512</v>
      </c>
      <c r="N297" s="18" t="str">
        <f t="shared" si="34"/>
        <v xml:space="preserve">-LAYER N C-ROAD-WHIT-TICK </v>
      </c>
      <c r="O297" s="11" t="str">
        <f t="shared" si="35"/>
        <v xml:space="preserve">-LAYER C white C-ROAD-WHIT-TICK </v>
      </c>
      <c r="P297" s="11" t="str">
        <f t="shared" si="36"/>
        <v xml:space="preserve">-LAYER L Continuous
C-ROAD-WHIT-TICK  </v>
      </c>
      <c r="Q297" s="11" t="str">
        <f t="shared" si="37"/>
        <v xml:space="preserve">-LAYER LW Default
C-ROAD-WHIT-TICK  </v>
      </c>
      <c r="R297" s="11" t="str">
        <f t="shared" si="38"/>
        <v xml:space="preserve">-LAYER TR 0
C-ROAD-WHIT-TICK  </v>
      </c>
      <c r="S297" s="11" t="str">
        <f t="shared" si="39"/>
        <v xml:space="preserve">-LAYER D Civil - Carreteras: pintura blanca Marcas de verificación
C-ROAD-WHIT-TICK  </v>
      </c>
    </row>
    <row r="298" spans="1:19" x14ac:dyDescent="0.45">
      <c r="A298" s="7">
        <v>0</v>
      </c>
      <c r="B298" s="11" t="s">
        <v>3223</v>
      </c>
      <c r="C298" s="11" t="s">
        <v>7</v>
      </c>
      <c r="D298" s="11" t="s">
        <v>1516</v>
      </c>
      <c r="E298" s="11" t="str">
        <f t="shared" si="32"/>
        <v>C-ROAD-YELO (Civil - Carreteras: pintura amarilla)</v>
      </c>
      <c r="F298" s="19" t="s">
        <v>3798</v>
      </c>
      <c r="G298" s="19" t="s">
        <v>3797</v>
      </c>
      <c r="H298" s="19" t="s">
        <v>3811</v>
      </c>
      <c r="I298" s="10">
        <v>0</v>
      </c>
      <c r="J298" s="10" t="str">
        <f t="shared" si="33"/>
        <v>Civil - Carreteras: pintura amarilla</v>
      </c>
      <c r="K298" s="11" t="s">
        <v>1514</v>
      </c>
      <c r="L298" s="11" t="s">
        <v>7</v>
      </c>
      <c r="M298" s="11" t="s">
        <v>1515</v>
      </c>
      <c r="N298" s="18" t="str">
        <f t="shared" si="34"/>
        <v xml:space="preserve">-LAYER N C-ROAD-YELO </v>
      </c>
      <c r="O298" s="11" t="str">
        <f t="shared" si="35"/>
        <v xml:space="preserve">-LAYER C white C-ROAD-YELO </v>
      </c>
      <c r="P298" s="11" t="str">
        <f t="shared" si="36"/>
        <v xml:space="preserve">-LAYER L Continuous
C-ROAD-YELO  </v>
      </c>
      <c r="Q298" s="11" t="str">
        <f t="shared" si="37"/>
        <v xml:space="preserve">-LAYER LW Default
C-ROAD-YELO  </v>
      </c>
      <c r="R298" s="11" t="str">
        <f t="shared" si="38"/>
        <v xml:space="preserve">-LAYER TR 0
C-ROAD-YELO  </v>
      </c>
      <c r="S298" s="11" t="str">
        <f t="shared" si="39"/>
        <v xml:space="preserve">-LAYER D Civil - Carreteras: pintura amarilla
C-ROAD-YELO  </v>
      </c>
    </row>
    <row r="299" spans="1:19" x14ac:dyDescent="0.45">
      <c r="A299" s="7">
        <v>0</v>
      </c>
      <c r="B299" s="11" t="s">
        <v>3224</v>
      </c>
      <c r="C299" s="11" t="s">
        <v>7</v>
      </c>
      <c r="D299" s="11" t="s">
        <v>1519</v>
      </c>
      <c r="E299" s="11" t="str">
        <f t="shared" si="32"/>
        <v>C-ROAD-YELO-TICK (Civil - Carreteras: pintura amarilla: marcas de verificación)</v>
      </c>
      <c r="F299" s="19" t="s">
        <v>3798</v>
      </c>
      <c r="G299" s="19" t="s">
        <v>3797</v>
      </c>
      <c r="H299" s="19" t="s">
        <v>3811</v>
      </c>
      <c r="I299" s="10">
        <v>0</v>
      </c>
      <c r="J299" s="10" t="str">
        <f t="shared" si="33"/>
        <v>Civil - Carreteras: pintura amarilla: marcas de verificación</v>
      </c>
      <c r="K299" s="11" t="s">
        <v>1517</v>
      </c>
      <c r="L299" s="11" t="s">
        <v>7</v>
      </c>
      <c r="M299" s="11" t="s">
        <v>1518</v>
      </c>
      <c r="N299" s="18" t="str">
        <f t="shared" si="34"/>
        <v xml:space="preserve">-LAYER N C-ROAD-YELO-TICK </v>
      </c>
      <c r="O299" s="11" t="str">
        <f t="shared" si="35"/>
        <v xml:space="preserve">-LAYER C white C-ROAD-YELO-TICK </v>
      </c>
      <c r="P299" s="11" t="str">
        <f t="shared" si="36"/>
        <v xml:space="preserve">-LAYER L Continuous
C-ROAD-YELO-TICK  </v>
      </c>
      <c r="Q299" s="11" t="str">
        <f t="shared" si="37"/>
        <v xml:space="preserve">-LAYER LW Default
C-ROAD-YELO-TICK  </v>
      </c>
      <c r="R299" s="11" t="str">
        <f t="shared" si="38"/>
        <v xml:space="preserve">-LAYER TR 0
C-ROAD-YELO-TICK  </v>
      </c>
      <c r="S299" s="11" t="str">
        <f t="shared" si="39"/>
        <v xml:space="preserve">-LAYER D Civil - Carreteras: pintura amarilla: marcas de verificación
C-ROAD-YELO-TICK  </v>
      </c>
    </row>
    <row r="300" spans="1:19" x14ac:dyDescent="0.45">
      <c r="A300" s="7">
        <v>0</v>
      </c>
      <c r="B300" s="11" t="s">
        <v>3225</v>
      </c>
      <c r="C300" s="11" t="s">
        <v>7</v>
      </c>
      <c r="D300" s="11" t="s">
        <v>577</v>
      </c>
      <c r="E300" s="11" t="str">
        <f t="shared" si="32"/>
        <v>C-RRAP (Civil - Escalones)</v>
      </c>
      <c r="F300" s="19" t="s">
        <v>3798</v>
      </c>
      <c r="G300" s="19" t="s">
        <v>3797</v>
      </c>
      <c r="H300" s="19" t="s">
        <v>3811</v>
      </c>
      <c r="I300" s="10">
        <v>0</v>
      </c>
      <c r="J300" s="10" t="str">
        <f t="shared" si="33"/>
        <v>Civil - Escalones</v>
      </c>
      <c r="K300" s="11" t="s">
        <v>1520</v>
      </c>
      <c r="L300" s="11" t="s">
        <v>7</v>
      </c>
      <c r="M300" s="11" t="s">
        <v>576</v>
      </c>
      <c r="N300" s="18" t="str">
        <f t="shared" si="34"/>
        <v xml:space="preserve">-LAYER N C-RRAP </v>
      </c>
      <c r="O300" s="11" t="str">
        <f t="shared" si="35"/>
        <v xml:space="preserve">-LAYER C white C-RRAP </v>
      </c>
      <c r="P300" s="11" t="str">
        <f t="shared" si="36"/>
        <v xml:space="preserve">-LAYER L Continuous
C-RRAP  </v>
      </c>
      <c r="Q300" s="11" t="str">
        <f t="shared" si="37"/>
        <v xml:space="preserve">-LAYER LW Default
C-RRAP  </v>
      </c>
      <c r="R300" s="11" t="str">
        <f t="shared" si="38"/>
        <v xml:space="preserve">-LAYER TR 0
C-RRAP  </v>
      </c>
      <c r="S300" s="11" t="str">
        <f t="shared" si="39"/>
        <v xml:space="preserve">-LAYER D Civil - Escalones
C-RRAP  </v>
      </c>
    </row>
    <row r="301" spans="1:19" x14ac:dyDescent="0.45">
      <c r="A301" s="7">
        <v>0</v>
      </c>
      <c r="B301" s="11" t="s">
        <v>3226</v>
      </c>
      <c r="C301" s="11" t="s">
        <v>7</v>
      </c>
      <c r="D301" s="11" t="s">
        <v>592</v>
      </c>
      <c r="E301" s="11" t="str">
        <f t="shared" si="32"/>
        <v>C-SGHT (Civil - Distancia visual)</v>
      </c>
      <c r="F301" s="19" t="s">
        <v>3798</v>
      </c>
      <c r="G301" s="19" t="s">
        <v>3797</v>
      </c>
      <c r="H301" s="19" t="s">
        <v>3811</v>
      </c>
      <c r="I301" s="10">
        <v>0</v>
      </c>
      <c r="J301" s="10" t="str">
        <f t="shared" si="33"/>
        <v>Civil - Distancia visual</v>
      </c>
      <c r="K301" s="11" t="s">
        <v>1521</v>
      </c>
      <c r="L301" s="11" t="s">
        <v>7</v>
      </c>
      <c r="M301" s="11" t="s">
        <v>591</v>
      </c>
      <c r="N301" s="18" t="str">
        <f t="shared" si="34"/>
        <v xml:space="preserve">-LAYER N C-SGHT </v>
      </c>
      <c r="O301" s="11" t="str">
        <f t="shared" si="35"/>
        <v xml:space="preserve">-LAYER C white C-SGHT </v>
      </c>
      <c r="P301" s="11" t="str">
        <f t="shared" si="36"/>
        <v xml:space="preserve">-LAYER L Continuous
C-SGHT  </v>
      </c>
      <c r="Q301" s="11" t="str">
        <f t="shared" si="37"/>
        <v xml:space="preserve">-LAYER LW Default
C-SGHT  </v>
      </c>
      <c r="R301" s="11" t="str">
        <f t="shared" si="38"/>
        <v xml:space="preserve">-LAYER TR 0
C-SGHT  </v>
      </c>
      <c r="S301" s="11" t="str">
        <f t="shared" si="39"/>
        <v xml:space="preserve">-LAYER D Civil - Distancia visual
C-SGHT  </v>
      </c>
    </row>
    <row r="302" spans="1:19" x14ac:dyDescent="0.45">
      <c r="A302" s="7">
        <v>0</v>
      </c>
      <c r="B302" s="11" t="s">
        <v>3227</v>
      </c>
      <c r="C302" s="11" t="s">
        <v>7</v>
      </c>
      <c r="D302" s="11" t="s">
        <v>1524</v>
      </c>
      <c r="E302" s="11" t="str">
        <f t="shared" si="32"/>
        <v>C-SGHT-PROF (Civil - Distancia visual: perfil)</v>
      </c>
      <c r="F302" s="19" t="s">
        <v>3798</v>
      </c>
      <c r="G302" s="19" t="s">
        <v>3797</v>
      </c>
      <c r="H302" s="19" t="s">
        <v>3811</v>
      </c>
      <c r="I302" s="10">
        <v>0</v>
      </c>
      <c r="J302" s="10" t="str">
        <f t="shared" si="33"/>
        <v>Civil - Distancia visual: perfil</v>
      </c>
      <c r="K302" s="11" t="s">
        <v>1522</v>
      </c>
      <c r="L302" s="11" t="s">
        <v>7</v>
      </c>
      <c r="M302" s="11" t="s">
        <v>1523</v>
      </c>
      <c r="N302" s="18" t="str">
        <f t="shared" si="34"/>
        <v xml:space="preserve">-LAYER N C-SGHT-PROF </v>
      </c>
      <c r="O302" s="11" t="str">
        <f t="shared" si="35"/>
        <v xml:space="preserve">-LAYER C white C-SGHT-PROF </v>
      </c>
      <c r="P302" s="11" t="str">
        <f t="shared" si="36"/>
        <v xml:space="preserve">-LAYER L Continuous
C-SGHT-PROF  </v>
      </c>
      <c r="Q302" s="11" t="str">
        <f t="shared" si="37"/>
        <v xml:space="preserve">-LAYER LW Default
C-SGHT-PROF  </v>
      </c>
      <c r="R302" s="11" t="str">
        <f t="shared" si="38"/>
        <v xml:space="preserve">-LAYER TR 0
C-SGHT-PROF  </v>
      </c>
      <c r="S302" s="11" t="str">
        <f t="shared" si="39"/>
        <v xml:space="preserve">-LAYER D Civil - Distancia visual: perfil
C-SGHT-PROF  </v>
      </c>
    </row>
    <row r="303" spans="1:19" x14ac:dyDescent="0.45">
      <c r="A303" s="7">
        <v>1</v>
      </c>
      <c r="B303" s="11" t="s">
        <v>3228</v>
      </c>
      <c r="C303" s="11" t="s">
        <v>7</v>
      </c>
      <c r="D303" s="11" t="s">
        <v>610</v>
      </c>
      <c r="E303" s="11" t="str">
        <f t="shared" si="32"/>
        <v>C-SOIL (Civil - Suelos)</v>
      </c>
      <c r="F303" s="19" t="s">
        <v>3798</v>
      </c>
      <c r="G303" s="19" t="s">
        <v>3797</v>
      </c>
      <c r="H303" s="19" t="s">
        <v>3811</v>
      </c>
      <c r="I303" s="10">
        <v>0</v>
      </c>
      <c r="J303" s="10" t="str">
        <f t="shared" si="33"/>
        <v>Civil - Suelos</v>
      </c>
      <c r="K303" s="11" t="s">
        <v>1525</v>
      </c>
      <c r="L303" s="11" t="s">
        <v>7</v>
      </c>
      <c r="M303" s="11" t="s">
        <v>609</v>
      </c>
      <c r="N303" s="18" t="str">
        <f t="shared" si="34"/>
        <v xml:space="preserve">-LAYER N C-SOIL </v>
      </c>
      <c r="O303" s="11" t="str">
        <f t="shared" si="35"/>
        <v xml:space="preserve">-LAYER C white C-SOIL </v>
      </c>
      <c r="P303" s="11" t="str">
        <f t="shared" si="36"/>
        <v xml:space="preserve">-LAYER L Continuous
C-SOIL  </v>
      </c>
      <c r="Q303" s="11" t="str">
        <f t="shared" si="37"/>
        <v xml:space="preserve">-LAYER LW Default
C-SOIL  </v>
      </c>
      <c r="R303" s="11" t="str">
        <f t="shared" si="38"/>
        <v xml:space="preserve">-LAYER TR 0
C-SOIL  </v>
      </c>
      <c r="S303" s="11" t="str">
        <f t="shared" si="39"/>
        <v xml:space="preserve">-LAYER D Civil - Suelos
C-SOIL  </v>
      </c>
    </row>
    <row r="304" spans="1:19" x14ac:dyDescent="0.45">
      <c r="A304" s="7">
        <v>1</v>
      </c>
      <c r="B304" s="11" t="s">
        <v>3229</v>
      </c>
      <c r="C304" s="11" t="s">
        <v>7</v>
      </c>
      <c r="D304" s="11" t="s">
        <v>625</v>
      </c>
      <c r="E304" s="11" t="str">
        <f t="shared" si="32"/>
        <v>C-SSWR (Civil - Alcantarillado sanitario)</v>
      </c>
      <c r="F304" s="10" t="s">
        <v>3803</v>
      </c>
      <c r="G304" s="10" t="s">
        <v>3797</v>
      </c>
      <c r="H304" s="10">
        <v>0.3</v>
      </c>
      <c r="I304" s="10">
        <v>0</v>
      </c>
      <c r="J304" s="10" t="str">
        <f t="shared" si="33"/>
        <v>Civil - Alcantarillado sanitario</v>
      </c>
      <c r="K304" s="11" t="s">
        <v>1526</v>
      </c>
      <c r="L304" s="11" t="s">
        <v>7</v>
      </c>
      <c r="M304" s="11" t="s">
        <v>624</v>
      </c>
      <c r="N304" s="18" t="str">
        <f t="shared" si="34"/>
        <v xml:space="preserve">-LAYER N C-SSWR </v>
      </c>
      <c r="O304" s="11" t="str">
        <f t="shared" si="35"/>
        <v xml:space="preserve">-LAYER C green C-SSWR </v>
      </c>
      <c r="P304" s="11" t="str">
        <f t="shared" si="36"/>
        <v xml:space="preserve">-LAYER L Continuous
C-SSWR  </v>
      </c>
      <c r="Q304" s="11" t="str">
        <f t="shared" si="37"/>
        <v xml:space="preserve">-LAYER LW 0.3
C-SSWR  </v>
      </c>
      <c r="R304" s="11" t="str">
        <f t="shared" si="38"/>
        <v xml:space="preserve">-LAYER TR 0
C-SSWR  </v>
      </c>
      <c r="S304" s="11" t="str">
        <f t="shared" si="39"/>
        <v xml:space="preserve">-LAYER D Civil - Alcantarillado sanitario
C-SSWR  </v>
      </c>
    </row>
    <row r="305" spans="1:19" x14ac:dyDescent="0.45">
      <c r="A305" s="7">
        <v>0</v>
      </c>
      <c r="B305" s="11" t="s">
        <v>3230</v>
      </c>
      <c r="C305" s="11" t="s">
        <v>7</v>
      </c>
      <c r="D305" s="11" t="s">
        <v>1529</v>
      </c>
      <c r="E305" s="11" t="str">
        <f t="shared" si="32"/>
        <v>C-SSWR-DIAG (Civil - Alcantarillado sanitario: diagramas)</v>
      </c>
      <c r="F305" s="19" t="s">
        <v>3798</v>
      </c>
      <c r="G305" s="19" t="s">
        <v>3797</v>
      </c>
      <c r="H305" s="19" t="s">
        <v>3811</v>
      </c>
      <c r="I305" s="10">
        <v>0</v>
      </c>
      <c r="J305" s="10" t="str">
        <f t="shared" si="33"/>
        <v>Civil - Alcantarillado sanitario: diagramas</v>
      </c>
      <c r="K305" s="11" t="s">
        <v>1527</v>
      </c>
      <c r="L305" s="11" t="s">
        <v>7</v>
      </c>
      <c r="M305" s="11" t="s">
        <v>1528</v>
      </c>
      <c r="N305" s="18" t="str">
        <f t="shared" si="34"/>
        <v xml:space="preserve">-LAYER N C-SSWR-DIAG </v>
      </c>
      <c r="O305" s="11" t="str">
        <f t="shared" si="35"/>
        <v xml:space="preserve">-LAYER C white C-SSWR-DIAG </v>
      </c>
      <c r="P305" s="11" t="str">
        <f t="shared" si="36"/>
        <v xml:space="preserve">-LAYER L Continuous
C-SSWR-DIAG  </v>
      </c>
      <c r="Q305" s="11" t="str">
        <f t="shared" si="37"/>
        <v xml:space="preserve">-LAYER LW Default
C-SSWR-DIAG  </v>
      </c>
      <c r="R305" s="11" t="str">
        <f t="shared" si="38"/>
        <v xml:space="preserve">-LAYER TR 0
C-SSWR-DIAG  </v>
      </c>
      <c r="S305" s="11" t="str">
        <f t="shared" si="39"/>
        <v xml:space="preserve">-LAYER D Civil - Alcantarillado sanitario: diagramas
C-SSWR-DIAG  </v>
      </c>
    </row>
    <row r="306" spans="1:19" x14ac:dyDescent="0.45">
      <c r="A306" s="7">
        <v>0</v>
      </c>
      <c r="B306" s="11" t="s">
        <v>3231</v>
      </c>
      <c r="C306" s="11" t="s">
        <v>7</v>
      </c>
      <c r="D306" s="11" t="s">
        <v>1532</v>
      </c>
      <c r="E306" s="11" t="str">
        <f t="shared" si="32"/>
        <v>C-SSWR-FORC (Civil - Alcantarillado sanitario: tubería de impulsión)</v>
      </c>
      <c r="F306" s="19" t="s">
        <v>3798</v>
      </c>
      <c r="G306" s="19" t="s">
        <v>3797</v>
      </c>
      <c r="H306" s="19" t="s">
        <v>3811</v>
      </c>
      <c r="I306" s="10">
        <v>0</v>
      </c>
      <c r="J306" s="10" t="str">
        <f t="shared" si="33"/>
        <v>Civil - Alcantarillado sanitario: tubería de impulsión</v>
      </c>
      <c r="K306" s="11" t="s">
        <v>1530</v>
      </c>
      <c r="L306" s="11" t="s">
        <v>7</v>
      </c>
      <c r="M306" s="11" t="s">
        <v>1531</v>
      </c>
      <c r="N306" s="18" t="str">
        <f t="shared" si="34"/>
        <v xml:space="preserve">-LAYER N C-SSWR-FORC </v>
      </c>
      <c r="O306" s="11" t="str">
        <f t="shared" si="35"/>
        <v xml:space="preserve">-LAYER C white C-SSWR-FORC </v>
      </c>
      <c r="P306" s="11" t="str">
        <f t="shared" si="36"/>
        <v xml:space="preserve">-LAYER L Continuous
C-SSWR-FORC  </v>
      </c>
      <c r="Q306" s="11" t="str">
        <f t="shared" si="37"/>
        <v xml:space="preserve">-LAYER LW Default
C-SSWR-FORC  </v>
      </c>
      <c r="R306" s="11" t="str">
        <f t="shared" si="38"/>
        <v xml:space="preserve">-LAYER TR 0
C-SSWR-FORC  </v>
      </c>
      <c r="S306" s="11" t="str">
        <f t="shared" si="39"/>
        <v xml:space="preserve">-LAYER D Civil - Alcantarillado sanitario: tubería de impulsión
C-SSWR-FORC  </v>
      </c>
    </row>
    <row r="307" spans="1:19" x14ac:dyDescent="0.45">
      <c r="A307" s="7">
        <v>0</v>
      </c>
      <c r="B307" s="11" t="s">
        <v>3232</v>
      </c>
      <c r="C307" s="11" t="s">
        <v>7</v>
      </c>
      <c r="D307" s="11" t="s">
        <v>1535</v>
      </c>
      <c r="E307" s="11" t="str">
        <f t="shared" si="32"/>
        <v>C-SSWR-LATL (Civil - Alcantarillado sanitario: línea lateral)</v>
      </c>
      <c r="F307" s="19" t="s">
        <v>3798</v>
      </c>
      <c r="G307" s="19" t="s">
        <v>3797</v>
      </c>
      <c r="H307" s="19" t="s">
        <v>3811</v>
      </c>
      <c r="I307" s="10">
        <v>0</v>
      </c>
      <c r="J307" s="10" t="str">
        <f t="shared" si="33"/>
        <v>Civil - Alcantarillado sanitario: línea lateral</v>
      </c>
      <c r="K307" s="11" t="s">
        <v>1533</v>
      </c>
      <c r="L307" s="11" t="s">
        <v>7</v>
      </c>
      <c r="M307" s="11" t="s">
        <v>1534</v>
      </c>
      <c r="N307" s="18" t="str">
        <f t="shared" si="34"/>
        <v xml:space="preserve">-LAYER N C-SSWR-LATL </v>
      </c>
      <c r="O307" s="11" t="str">
        <f t="shared" si="35"/>
        <v xml:space="preserve">-LAYER C white C-SSWR-LATL </v>
      </c>
      <c r="P307" s="11" t="str">
        <f t="shared" si="36"/>
        <v xml:space="preserve">-LAYER L Continuous
C-SSWR-LATL  </v>
      </c>
      <c r="Q307" s="11" t="str">
        <f t="shared" si="37"/>
        <v xml:space="preserve">-LAYER LW Default
C-SSWR-LATL  </v>
      </c>
      <c r="R307" s="11" t="str">
        <f t="shared" si="38"/>
        <v xml:space="preserve">-LAYER TR 0
C-SSWR-LATL  </v>
      </c>
      <c r="S307" s="11" t="str">
        <f t="shared" si="39"/>
        <v xml:space="preserve">-LAYER D Civil - Alcantarillado sanitario: línea lateral
C-SSWR-LATL  </v>
      </c>
    </row>
    <row r="308" spans="1:19" x14ac:dyDescent="0.45">
      <c r="A308" s="7">
        <v>0</v>
      </c>
      <c r="B308" s="11" t="s">
        <v>3233</v>
      </c>
      <c r="C308" s="11" t="s">
        <v>7</v>
      </c>
      <c r="D308" s="11" t="s">
        <v>1538</v>
      </c>
      <c r="E308" s="11" t="str">
        <f t="shared" si="32"/>
        <v>C-SSWR-MHOL (Civil - Alcantarillado sanitario: pozo de registro)</v>
      </c>
      <c r="F308" s="19" t="s">
        <v>3798</v>
      </c>
      <c r="G308" s="19" t="s">
        <v>3797</v>
      </c>
      <c r="H308" s="19" t="s">
        <v>3811</v>
      </c>
      <c r="I308" s="10">
        <v>0</v>
      </c>
      <c r="J308" s="10" t="str">
        <f t="shared" si="33"/>
        <v>Civil - Alcantarillado sanitario: pozo de registro</v>
      </c>
      <c r="K308" s="11" t="s">
        <v>1536</v>
      </c>
      <c r="L308" s="11" t="s">
        <v>7</v>
      </c>
      <c r="M308" s="11" t="s">
        <v>1537</v>
      </c>
      <c r="N308" s="18" t="str">
        <f t="shared" si="34"/>
        <v xml:space="preserve">-LAYER N C-SSWR-MHOL </v>
      </c>
      <c r="O308" s="11" t="str">
        <f t="shared" si="35"/>
        <v xml:space="preserve">-LAYER C white C-SSWR-MHOL </v>
      </c>
      <c r="P308" s="11" t="str">
        <f t="shared" si="36"/>
        <v xml:space="preserve">-LAYER L Continuous
C-SSWR-MHOL  </v>
      </c>
      <c r="Q308" s="11" t="str">
        <f t="shared" si="37"/>
        <v xml:space="preserve">-LAYER LW Default
C-SSWR-MHOL  </v>
      </c>
      <c r="R308" s="11" t="str">
        <f t="shared" si="38"/>
        <v xml:space="preserve">-LAYER TR 0
C-SSWR-MHOL  </v>
      </c>
      <c r="S308" s="11" t="str">
        <f t="shared" si="39"/>
        <v xml:space="preserve">-LAYER D Civil - Alcantarillado sanitario: pozo de registro
C-SSWR-MHOL  </v>
      </c>
    </row>
    <row r="309" spans="1:19" x14ac:dyDescent="0.45">
      <c r="A309" s="7">
        <v>0</v>
      </c>
      <c r="B309" s="11" t="s">
        <v>3234</v>
      </c>
      <c r="C309" s="11" t="s">
        <v>7</v>
      </c>
      <c r="D309" s="11" t="s">
        <v>1541</v>
      </c>
      <c r="E309" s="11" t="str">
        <f t="shared" si="32"/>
        <v>C-SSWR-PIPE (Civil - Alcantarillado sanitario: tuberías)</v>
      </c>
      <c r="F309" s="19" t="s">
        <v>3798</v>
      </c>
      <c r="G309" s="19" t="s">
        <v>3797</v>
      </c>
      <c r="H309" s="19" t="s">
        <v>3811</v>
      </c>
      <c r="I309" s="10">
        <v>0</v>
      </c>
      <c r="J309" s="10" t="str">
        <f t="shared" si="33"/>
        <v>Civil - Alcantarillado sanitario: tuberías</v>
      </c>
      <c r="K309" s="11" t="s">
        <v>1539</v>
      </c>
      <c r="L309" s="11" t="s">
        <v>7</v>
      </c>
      <c r="M309" s="11" t="s">
        <v>1540</v>
      </c>
      <c r="N309" s="18" t="str">
        <f t="shared" si="34"/>
        <v xml:space="preserve">-LAYER N C-SSWR-PIPE </v>
      </c>
      <c r="O309" s="11" t="str">
        <f t="shared" si="35"/>
        <v xml:space="preserve">-LAYER C white C-SSWR-PIPE </v>
      </c>
      <c r="P309" s="11" t="str">
        <f t="shared" si="36"/>
        <v xml:space="preserve">-LAYER L Continuous
C-SSWR-PIPE  </v>
      </c>
      <c r="Q309" s="11" t="str">
        <f t="shared" si="37"/>
        <v xml:space="preserve">-LAYER LW Default
C-SSWR-PIPE  </v>
      </c>
      <c r="R309" s="11" t="str">
        <f t="shared" si="38"/>
        <v xml:space="preserve">-LAYER TR 0
C-SSWR-PIPE  </v>
      </c>
      <c r="S309" s="11" t="str">
        <f t="shared" si="39"/>
        <v xml:space="preserve">-LAYER D Civil - Alcantarillado sanitario: tuberías
C-SSWR-PIPE  </v>
      </c>
    </row>
    <row r="310" spans="1:19" x14ac:dyDescent="0.45">
      <c r="A310" s="7">
        <v>0</v>
      </c>
      <c r="B310" s="11" t="s">
        <v>3235</v>
      </c>
      <c r="C310" s="11" t="s">
        <v>7</v>
      </c>
      <c r="D310" s="11" t="s">
        <v>1544</v>
      </c>
      <c r="E310" s="11" t="str">
        <f t="shared" si="32"/>
        <v>C-SSWR-PIPE-RCON (Civil - Alcantarillado sanitario: tuberías: hormigón armado)</v>
      </c>
      <c r="F310" s="19" t="s">
        <v>3798</v>
      </c>
      <c r="G310" s="19" t="s">
        <v>3797</v>
      </c>
      <c r="H310" s="19" t="s">
        <v>3811</v>
      </c>
      <c r="I310" s="10">
        <v>0</v>
      </c>
      <c r="J310" s="10" t="str">
        <f t="shared" si="33"/>
        <v>Civil - Alcantarillado sanitario: tuberías: hormigón armado</v>
      </c>
      <c r="K310" s="11" t="s">
        <v>1542</v>
      </c>
      <c r="L310" s="11" t="s">
        <v>7</v>
      </c>
      <c r="M310" s="11" t="s">
        <v>1543</v>
      </c>
      <c r="N310" s="18" t="str">
        <f t="shared" si="34"/>
        <v xml:space="preserve">-LAYER N C-SSWR-PIPE-RCON </v>
      </c>
      <c r="O310" s="11" t="str">
        <f t="shared" si="35"/>
        <v xml:space="preserve">-LAYER C white C-SSWR-PIPE-RCON </v>
      </c>
      <c r="P310" s="11" t="str">
        <f t="shared" si="36"/>
        <v xml:space="preserve">-LAYER L Continuous
C-SSWR-PIPE-RCON  </v>
      </c>
      <c r="Q310" s="11" t="str">
        <f t="shared" si="37"/>
        <v xml:space="preserve">-LAYER LW Default
C-SSWR-PIPE-RCON  </v>
      </c>
      <c r="R310" s="11" t="str">
        <f t="shared" si="38"/>
        <v xml:space="preserve">-LAYER TR 0
C-SSWR-PIPE-RCON  </v>
      </c>
      <c r="S310" s="11" t="str">
        <f t="shared" si="39"/>
        <v xml:space="preserve">-LAYER D Civil - Alcantarillado sanitario: tuberías: hormigón armado
C-SSWR-PIPE-RCON  </v>
      </c>
    </row>
    <row r="311" spans="1:19" x14ac:dyDescent="0.45">
      <c r="A311" s="7">
        <v>0</v>
      </c>
      <c r="B311" s="11" t="s">
        <v>3236</v>
      </c>
      <c r="C311" s="11" t="s">
        <v>7</v>
      </c>
      <c r="D311" s="11" t="s">
        <v>1547</v>
      </c>
      <c r="E311" s="11" t="str">
        <f t="shared" si="32"/>
        <v>C-SSWR-PIPE-STEL (Civil - Alcantarillado sanitario: tuberías: acero)</v>
      </c>
      <c r="F311" s="19" t="s">
        <v>3798</v>
      </c>
      <c r="G311" s="19" t="s">
        <v>3797</v>
      </c>
      <c r="H311" s="19" t="s">
        <v>3811</v>
      </c>
      <c r="I311" s="10">
        <v>0</v>
      </c>
      <c r="J311" s="10" t="str">
        <f t="shared" si="33"/>
        <v>Civil - Alcantarillado sanitario: tuberías: acero</v>
      </c>
      <c r="K311" s="11" t="s">
        <v>1545</v>
      </c>
      <c r="L311" s="11" t="s">
        <v>7</v>
      </c>
      <c r="M311" s="11" t="s">
        <v>1546</v>
      </c>
      <c r="N311" s="18" t="str">
        <f t="shared" si="34"/>
        <v xml:space="preserve">-LAYER N C-SSWR-PIPE-STEL </v>
      </c>
      <c r="O311" s="11" t="str">
        <f t="shared" si="35"/>
        <v xml:space="preserve">-LAYER C white C-SSWR-PIPE-STEL </v>
      </c>
      <c r="P311" s="11" t="str">
        <f t="shared" si="36"/>
        <v xml:space="preserve">-LAYER L Continuous
C-SSWR-PIPE-STEL  </v>
      </c>
      <c r="Q311" s="11" t="str">
        <f t="shared" si="37"/>
        <v xml:space="preserve">-LAYER LW Default
C-SSWR-PIPE-STEL  </v>
      </c>
      <c r="R311" s="11" t="str">
        <f t="shared" si="38"/>
        <v xml:space="preserve">-LAYER TR 0
C-SSWR-PIPE-STEL  </v>
      </c>
      <c r="S311" s="11" t="str">
        <f t="shared" si="39"/>
        <v xml:space="preserve">-LAYER D Civil - Alcantarillado sanitario: tuberías: acero
C-SSWR-PIPE-STEL  </v>
      </c>
    </row>
    <row r="312" spans="1:19" x14ac:dyDescent="0.45">
      <c r="A312" s="7">
        <v>0</v>
      </c>
      <c r="B312" s="11" t="s">
        <v>3237</v>
      </c>
      <c r="C312" s="11" t="s">
        <v>7</v>
      </c>
      <c r="D312" s="11" t="s">
        <v>1550</v>
      </c>
      <c r="E312" s="11" t="str">
        <f t="shared" si="32"/>
        <v>C-SSWR-PROF (Civil - Alcantarillado sanitario: perfil)</v>
      </c>
      <c r="F312" s="19" t="s">
        <v>3798</v>
      </c>
      <c r="G312" s="19" t="s">
        <v>3797</v>
      </c>
      <c r="H312" s="19" t="s">
        <v>3811</v>
      </c>
      <c r="I312" s="10">
        <v>0</v>
      </c>
      <c r="J312" s="10" t="str">
        <f t="shared" si="33"/>
        <v>Civil - Alcantarillado sanitario: perfil</v>
      </c>
      <c r="K312" s="11" t="s">
        <v>1548</v>
      </c>
      <c r="L312" s="11" t="s">
        <v>7</v>
      </c>
      <c r="M312" s="11" t="s">
        <v>1549</v>
      </c>
      <c r="N312" s="18" t="str">
        <f t="shared" si="34"/>
        <v xml:space="preserve">-LAYER N C-SSWR-PROF </v>
      </c>
      <c r="O312" s="11" t="str">
        <f t="shared" si="35"/>
        <v xml:space="preserve">-LAYER C white C-SSWR-PROF </v>
      </c>
      <c r="P312" s="11" t="str">
        <f t="shared" si="36"/>
        <v xml:space="preserve">-LAYER L Continuous
C-SSWR-PROF  </v>
      </c>
      <c r="Q312" s="11" t="str">
        <f t="shared" si="37"/>
        <v xml:space="preserve">-LAYER LW Default
C-SSWR-PROF  </v>
      </c>
      <c r="R312" s="11" t="str">
        <f t="shared" si="38"/>
        <v xml:space="preserve">-LAYER TR 0
C-SSWR-PROF  </v>
      </c>
      <c r="S312" s="11" t="str">
        <f t="shared" si="39"/>
        <v xml:space="preserve">-LAYER D Civil - Alcantarillado sanitario: perfil
C-SSWR-PROF  </v>
      </c>
    </row>
    <row r="313" spans="1:19" x14ac:dyDescent="0.45">
      <c r="A313" s="7">
        <v>0</v>
      </c>
      <c r="B313" s="11" t="s">
        <v>3238</v>
      </c>
      <c r="C313" s="11" t="s">
        <v>7</v>
      </c>
      <c r="D313" s="11" t="s">
        <v>1553</v>
      </c>
      <c r="E313" s="11" t="str">
        <f t="shared" si="32"/>
        <v>C-SSWR-STAN (Civil - Alcantarillado sanitario: estacionamiento)</v>
      </c>
      <c r="F313" s="19" t="s">
        <v>3798</v>
      </c>
      <c r="G313" s="19" t="s">
        <v>3797</v>
      </c>
      <c r="H313" s="19" t="s">
        <v>3811</v>
      </c>
      <c r="I313" s="10">
        <v>0</v>
      </c>
      <c r="J313" s="10" t="str">
        <f t="shared" si="33"/>
        <v>Civil - Alcantarillado sanitario: estacionamiento</v>
      </c>
      <c r="K313" s="11" t="s">
        <v>1551</v>
      </c>
      <c r="L313" s="11" t="s">
        <v>7</v>
      </c>
      <c r="M313" s="11" t="s">
        <v>1552</v>
      </c>
      <c r="N313" s="18" t="str">
        <f t="shared" si="34"/>
        <v xml:space="preserve">-LAYER N C-SSWR-STAN </v>
      </c>
      <c r="O313" s="11" t="str">
        <f t="shared" si="35"/>
        <v xml:space="preserve">-LAYER C white C-SSWR-STAN </v>
      </c>
      <c r="P313" s="11" t="str">
        <f t="shared" si="36"/>
        <v xml:space="preserve">-LAYER L Continuous
C-SSWR-STAN  </v>
      </c>
      <c r="Q313" s="11" t="str">
        <f t="shared" si="37"/>
        <v xml:space="preserve">-LAYER LW Default
C-SSWR-STAN  </v>
      </c>
      <c r="R313" s="11" t="str">
        <f t="shared" si="38"/>
        <v xml:space="preserve">-LAYER TR 0
C-SSWR-STAN  </v>
      </c>
      <c r="S313" s="11" t="str">
        <f t="shared" si="39"/>
        <v xml:space="preserve">-LAYER D Civil - Alcantarillado sanitario: estacionamiento
C-SSWR-STAN  </v>
      </c>
    </row>
    <row r="314" spans="1:19" x14ac:dyDescent="0.45">
      <c r="A314" s="7">
        <v>0</v>
      </c>
      <c r="B314" s="11" t="s">
        <v>3239</v>
      </c>
      <c r="C314" s="11" t="s">
        <v>7</v>
      </c>
      <c r="D314" s="11" t="s">
        <v>1556</v>
      </c>
      <c r="E314" s="11" t="str">
        <f t="shared" si="32"/>
        <v>C-SSWR-STRC (Civil - Alcantarillado sanitario: estructuras)</v>
      </c>
      <c r="F314" s="19" t="s">
        <v>3798</v>
      </c>
      <c r="G314" s="19" t="s">
        <v>3797</v>
      </c>
      <c r="H314" s="19" t="s">
        <v>3811</v>
      </c>
      <c r="I314" s="10">
        <v>0</v>
      </c>
      <c r="J314" s="10" t="str">
        <f t="shared" si="33"/>
        <v>Civil - Alcantarillado sanitario: estructuras</v>
      </c>
      <c r="K314" s="11" t="s">
        <v>1554</v>
      </c>
      <c r="L314" s="11" t="s">
        <v>7</v>
      </c>
      <c r="M314" s="11" t="s">
        <v>1555</v>
      </c>
      <c r="N314" s="18" t="str">
        <f t="shared" si="34"/>
        <v xml:space="preserve">-LAYER N C-SSWR-STRC </v>
      </c>
      <c r="O314" s="11" t="str">
        <f t="shared" si="35"/>
        <v xml:space="preserve">-LAYER C white C-SSWR-STRC </v>
      </c>
      <c r="P314" s="11" t="str">
        <f t="shared" si="36"/>
        <v xml:space="preserve">-LAYER L Continuous
C-SSWR-STRC  </v>
      </c>
      <c r="Q314" s="11" t="str">
        <f t="shared" si="37"/>
        <v xml:space="preserve">-LAYER LW Default
C-SSWR-STRC  </v>
      </c>
      <c r="R314" s="11" t="str">
        <f t="shared" si="38"/>
        <v xml:space="preserve">-LAYER TR 0
C-SSWR-STRC  </v>
      </c>
      <c r="S314" s="11" t="str">
        <f t="shared" si="39"/>
        <v xml:space="preserve">-LAYER D Civil - Alcantarillado sanitario: estructuras
C-SSWR-STRC  </v>
      </c>
    </row>
    <row r="315" spans="1:19" x14ac:dyDescent="0.45">
      <c r="A315" s="7">
        <v>0</v>
      </c>
      <c r="B315" s="11" t="s">
        <v>3240</v>
      </c>
      <c r="C315" s="11" t="s">
        <v>7</v>
      </c>
      <c r="D315" s="11" t="s">
        <v>1559</v>
      </c>
      <c r="E315" s="11" t="str">
        <f t="shared" si="32"/>
        <v>C-SSWR-UGND (Civil - Alcantarillado sanitario: subterráneo)</v>
      </c>
      <c r="F315" s="19" t="s">
        <v>3798</v>
      </c>
      <c r="G315" s="19" t="s">
        <v>3797</v>
      </c>
      <c r="H315" s="19" t="s">
        <v>3811</v>
      </c>
      <c r="I315" s="10">
        <v>0</v>
      </c>
      <c r="J315" s="10" t="str">
        <f t="shared" si="33"/>
        <v>Civil - Alcantarillado sanitario: subterráneo</v>
      </c>
      <c r="K315" s="11" t="s">
        <v>1557</v>
      </c>
      <c r="L315" s="11" t="s">
        <v>7</v>
      </c>
      <c r="M315" s="11" t="s">
        <v>1558</v>
      </c>
      <c r="N315" s="18" t="str">
        <f t="shared" si="34"/>
        <v xml:space="preserve">-LAYER N C-SSWR-UGND </v>
      </c>
      <c r="O315" s="11" t="str">
        <f t="shared" si="35"/>
        <v xml:space="preserve">-LAYER C white C-SSWR-UGND </v>
      </c>
      <c r="P315" s="11" t="str">
        <f t="shared" si="36"/>
        <v xml:space="preserve">-LAYER L Continuous
C-SSWR-UGND  </v>
      </c>
      <c r="Q315" s="11" t="str">
        <f t="shared" si="37"/>
        <v xml:space="preserve">-LAYER LW Default
C-SSWR-UGND  </v>
      </c>
      <c r="R315" s="11" t="str">
        <f t="shared" si="38"/>
        <v xml:space="preserve">-LAYER TR 0
C-SSWR-UGND  </v>
      </c>
      <c r="S315" s="11" t="str">
        <f t="shared" si="39"/>
        <v xml:space="preserve">-LAYER D Civil - Alcantarillado sanitario: subterráneo
C-SSWR-UGND  </v>
      </c>
    </row>
    <row r="316" spans="1:19" x14ac:dyDescent="0.45">
      <c r="A316" s="7">
        <v>0</v>
      </c>
      <c r="B316" s="11" t="s">
        <v>3241</v>
      </c>
      <c r="C316" s="11" t="s">
        <v>7</v>
      </c>
      <c r="D316" s="11" t="s">
        <v>628</v>
      </c>
      <c r="E316" s="11" t="str">
        <f t="shared" si="32"/>
        <v>C-STEM (Civil - Sistema de vapor)</v>
      </c>
      <c r="F316" s="19" t="s">
        <v>3798</v>
      </c>
      <c r="G316" s="19" t="s">
        <v>3797</v>
      </c>
      <c r="H316" s="19" t="s">
        <v>3811</v>
      </c>
      <c r="I316" s="10">
        <v>0</v>
      </c>
      <c r="J316" s="10" t="str">
        <f t="shared" si="33"/>
        <v>Civil - Sistema de vapor</v>
      </c>
      <c r="K316" s="11" t="s">
        <v>1560</v>
      </c>
      <c r="L316" s="11" t="s">
        <v>7</v>
      </c>
      <c r="M316" s="11" t="s">
        <v>627</v>
      </c>
      <c r="N316" s="18" t="str">
        <f t="shared" si="34"/>
        <v xml:space="preserve">-LAYER N C-STEM </v>
      </c>
      <c r="O316" s="11" t="str">
        <f t="shared" si="35"/>
        <v xml:space="preserve">-LAYER C white C-STEM </v>
      </c>
      <c r="P316" s="11" t="str">
        <f t="shared" si="36"/>
        <v xml:space="preserve">-LAYER L Continuous
C-STEM  </v>
      </c>
      <c r="Q316" s="11" t="str">
        <f t="shared" si="37"/>
        <v xml:space="preserve">-LAYER LW Default
C-STEM  </v>
      </c>
      <c r="R316" s="11" t="str">
        <f t="shared" si="38"/>
        <v xml:space="preserve">-LAYER TR 0
C-STEM  </v>
      </c>
      <c r="S316" s="11" t="str">
        <f t="shared" si="39"/>
        <v xml:space="preserve">-LAYER D Civil - Sistema de vapor
C-STEM  </v>
      </c>
    </row>
    <row r="317" spans="1:19" x14ac:dyDescent="0.45">
      <c r="A317" s="7">
        <v>0</v>
      </c>
      <c r="B317" s="11" t="s">
        <v>3242</v>
      </c>
      <c r="C317" s="11" t="s">
        <v>7</v>
      </c>
      <c r="D317" s="11" t="s">
        <v>1563</v>
      </c>
      <c r="E317" s="11" t="str">
        <f t="shared" si="32"/>
        <v>C-STEM-INST (Civil - Sistema de vapor: instrumentación (medidores, válvulas, etc.))</v>
      </c>
      <c r="F317" s="19" t="s">
        <v>3798</v>
      </c>
      <c r="G317" s="19" t="s">
        <v>3797</v>
      </c>
      <c r="H317" s="19" t="s">
        <v>3811</v>
      </c>
      <c r="I317" s="10">
        <v>0</v>
      </c>
      <c r="J317" s="10" t="str">
        <f t="shared" si="33"/>
        <v>Civil - Sistema de vapor: instrumentación (medidores, válvulas, etc.)</v>
      </c>
      <c r="K317" s="11" t="s">
        <v>1561</v>
      </c>
      <c r="L317" s="11" t="s">
        <v>7</v>
      </c>
      <c r="M317" s="11" t="s">
        <v>1562</v>
      </c>
      <c r="N317" s="18" t="str">
        <f t="shared" si="34"/>
        <v xml:space="preserve">-LAYER N C-STEM-INST </v>
      </c>
      <c r="O317" s="11" t="str">
        <f t="shared" si="35"/>
        <v xml:space="preserve">-LAYER C white C-STEM-INST </v>
      </c>
      <c r="P317" s="11" t="str">
        <f t="shared" si="36"/>
        <v xml:space="preserve">-LAYER L Continuous
C-STEM-INST  </v>
      </c>
      <c r="Q317" s="11" t="str">
        <f t="shared" si="37"/>
        <v xml:space="preserve">-LAYER LW Default
C-STEM-INST  </v>
      </c>
      <c r="R317" s="11" t="str">
        <f t="shared" si="38"/>
        <v xml:space="preserve">-LAYER TR 0
C-STEM-INST  </v>
      </c>
      <c r="S317" s="11" t="str">
        <f t="shared" si="39"/>
        <v xml:space="preserve">-LAYER D Civil - Sistema de vapor: instrumentación (medidores, válvulas, etc.)
C-STEM-INST  </v>
      </c>
    </row>
    <row r="318" spans="1:19" x14ac:dyDescent="0.45">
      <c r="A318" s="7">
        <v>0</v>
      </c>
      <c r="B318" s="11" t="s">
        <v>3243</v>
      </c>
      <c r="C318" s="11" t="s">
        <v>7</v>
      </c>
      <c r="D318" s="11" t="s">
        <v>1566</v>
      </c>
      <c r="E318" s="11" t="str">
        <f t="shared" si="32"/>
        <v>C-STEM-MHOL (Civil - Sistema de vapor: pozo de registro)</v>
      </c>
      <c r="F318" s="19" t="s">
        <v>3798</v>
      </c>
      <c r="G318" s="19" t="s">
        <v>3797</v>
      </c>
      <c r="H318" s="19" t="s">
        <v>3811</v>
      </c>
      <c r="I318" s="10">
        <v>0</v>
      </c>
      <c r="J318" s="10" t="str">
        <f t="shared" si="33"/>
        <v>Civil - Sistema de vapor: pozo de registro</v>
      </c>
      <c r="K318" s="11" t="s">
        <v>1564</v>
      </c>
      <c r="L318" s="11" t="s">
        <v>7</v>
      </c>
      <c r="M318" s="11" t="s">
        <v>1565</v>
      </c>
      <c r="N318" s="18" t="str">
        <f t="shared" si="34"/>
        <v xml:space="preserve">-LAYER N C-STEM-MHOL </v>
      </c>
      <c r="O318" s="11" t="str">
        <f t="shared" si="35"/>
        <v xml:space="preserve">-LAYER C white C-STEM-MHOL </v>
      </c>
      <c r="P318" s="11" t="str">
        <f t="shared" si="36"/>
        <v xml:space="preserve">-LAYER L Continuous
C-STEM-MHOL  </v>
      </c>
      <c r="Q318" s="11" t="str">
        <f t="shared" si="37"/>
        <v xml:space="preserve">-LAYER LW Default
C-STEM-MHOL  </v>
      </c>
      <c r="R318" s="11" t="str">
        <f t="shared" si="38"/>
        <v xml:space="preserve">-LAYER TR 0
C-STEM-MHOL  </v>
      </c>
      <c r="S318" s="11" t="str">
        <f t="shared" si="39"/>
        <v xml:space="preserve">-LAYER D Civil - Sistema de vapor: pozo de registro
C-STEM-MHOL  </v>
      </c>
    </row>
    <row r="319" spans="1:19" x14ac:dyDescent="0.45">
      <c r="A319" s="7">
        <v>0</v>
      </c>
      <c r="B319" s="11" t="s">
        <v>3244</v>
      </c>
      <c r="C319" s="11" t="s">
        <v>7</v>
      </c>
      <c r="D319" s="11" t="s">
        <v>1569</v>
      </c>
      <c r="E319" s="11" t="str">
        <f t="shared" si="32"/>
        <v>C-STEM-PIPE (Civil - Sistema de vapor: tuberías)</v>
      </c>
      <c r="F319" s="19" t="s">
        <v>3798</v>
      </c>
      <c r="G319" s="19" t="s">
        <v>3797</v>
      </c>
      <c r="H319" s="19" t="s">
        <v>3811</v>
      </c>
      <c r="I319" s="10">
        <v>0</v>
      </c>
      <c r="J319" s="10" t="str">
        <f t="shared" si="33"/>
        <v>Civil - Sistema de vapor: tuberías</v>
      </c>
      <c r="K319" s="11" t="s">
        <v>1567</v>
      </c>
      <c r="L319" s="11" t="s">
        <v>7</v>
      </c>
      <c r="M319" s="11" t="s">
        <v>1568</v>
      </c>
      <c r="N319" s="18" t="str">
        <f t="shared" si="34"/>
        <v xml:space="preserve">-LAYER N C-STEM-PIPE </v>
      </c>
      <c r="O319" s="11" t="str">
        <f t="shared" si="35"/>
        <v xml:space="preserve">-LAYER C white C-STEM-PIPE </v>
      </c>
      <c r="P319" s="11" t="str">
        <f t="shared" si="36"/>
        <v xml:space="preserve">-LAYER L Continuous
C-STEM-PIPE  </v>
      </c>
      <c r="Q319" s="11" t="str">
        <f t="shared" si="37"/>
        <v xml:space="preserve">-LAYER LW Default
C-STEM-PIPE  </v>
      </c>
      <c r="R319" s="11" t="str">
        <f t="shared" si="38"/>
        <v xml:space="preserve">-LAYER TR 0
C-STEM-PIPE  </v>
      </c>
      <c r="S319" s="11" t="str">
        <f t="shared" si="39"/>
        <v xml:space="preserve">-LAYER D Civil - Sistema de vapor: tuberías
C-STEM-PIPE  </v>
      </c>
    </row>
    <row r="320" spans="1:19" x14ac:dyDescent="0.45">
      <c r="A320" s="7">
        <v>0</v>
      </c>
      <c r="B320" s="11" t="s">
        <v>3245</v>
      </c>
      <c r="C320" s="11" t="s">
        <v>7</v>
      </c>
      <c r="D320" s="11" t="s">
        <v>1572</v>
      </c>
      <c r="E320" s="11" t="str">
        <f t="shared" si="32"/>
        <v>C-STEM-STRC (Civil - Sistema de vapor: estructuras)</v>
      </c>
      <c r="F320" s="19" t="s">
        <v>3798</v>
      </c>
      <c r="G320" s="19" t="s">
        <v>3797</v>
      </c>
      <c r="H320" s="19" t="s">
        <v>3811</v>
      </c>
      <c r="I320" s="10">
        <v>0</v>
      </c>
      <c r="J320" s="10" t="str">
        <f t="shared" si="33"/>
        <v>Civil - Sistema de vapor: estructuras</v>
      </c>
      <c r="K320" s="11" t="s">
        <v>1570</v>
      </c>
      <c r="L320" s="11" t="s">
        <v>7</v>
      </c>
      <c r="M320" s="11" t="s">
        <v>1571</v>
      </c>
      <c r="N320" s="18" t="str">
        <f t="shared" si="34"/>
        <v xml:space="preserve">-LAYER N C-STEM-STRC </v>
      </c>
      <c r="O320" s="11" t="str">
        <f t="shared" si="35"/>
        <v xml:space="preserve">-LAYER C white C-STEM-STRC </v>
      </c>
      <c r="P320" s="11" t="str">
        <f t="shared" si="36"/>
        <v xml:space="preserve">-LAYER L Continuous
C-STEM-STRC  </v>
      </c>
      <c r="Q320" s="11" t="str">
        <f t="shared" si="37"/>
        <v xml:space="preserve">-LAYER LW Default
C-STEM-STRC  </v>
      </c>
      <c r="R320" s="11" t="str">
        <f t="shared" si="38"/>
        <v xml:space="preserve">-LAYER TR 0
C-STEM-STRC  </v>
      </c>
      <c r="S320" s="11" t="str">
        <f t="shared" si="39"/>
        <v xml:space="preserve">-LAYER D Civil - Sistema de vapor: estructuras
C-STEM-STRC  </v>
      </c>
    </row>
    <row r="321" spans="1:19" x14ac:dyDescent="0.45">
      <c r="A321" s="7">
        <v>0</v>
      </c>
      <c r="B321" s="11" t="s">
        <v>3246</v>
      </c>
      <c r="C321" s="11" t="s">
        <v>7</v>
      </c>
      <c r="D321" s="11" t="s">
        <v>1575</v>
      </c>
      <c r="E321" s="11" t="str">
        <f t="shared" si="32"/>
        <v>C-STEM-UGND (Civil - Sistema de vapor: subterráneo)</v>
      </c>
      <c r="F321" s="19" t="s">
        <v>3798</v>
      </c>
      <c r="G321" s="19" t="s">
        <v>3797</v>
      </c>
      <c r="H321" s="19" t="s">
        <v>3811</v>
      </c>
      <c r="I321" s="10">
        <v>0</v>
      </c>
      <c r="J321" s="10" t="str">
        <f t="shared" si="33"/>
        <v>Civil - Sistema de vapor: subterráneo</v>
      </c>
      <c r="K321" s="11" t="s">
        <v>1573</v>
      </c>
      <c r="L321" s="11" t="s">
        <v>7</v>
      </c>
      <c r="M321" s="11" t="s">
        <v>1574</v>
      </c>
      <c r="N321" s="18" t="str">
        <f t="shared" si="34"/>
        <v xml:space="preserve">-LAYER N C-STEM-UGND </v>
      </c>
      <c r="O321" s="11" t="str">
        <f t="shared" si="35"/>
        <v xml:space="preserve">-LAYER C white C-STEM-UGND </v>
      </c>
      <c r="P321" s="11" t="str">
        <f t="shared" si="36"/>
        <v xml:space="preserve">-LAYER L Continuous
C-STEM-UGND  </v>
      </c>
      <c r="Q321" s="11" t="str">
        <f t="shared" si="37"/>
        <v xml:space="preserve">-LAYER LW Default
C-STEM-UGND  </v>
      </c>
      <c r="R321" s="11" t="str">
        <f t="shared" si="38"/>
        <v xml:space="preserve">-LAYER TR 0
C-STEM-UGND  </v>
      </c>
      <c r="S321" s="11" t="str">
        <f t="shared" si="39"/>
        <v xml:space="preserve">-LAYER D Civil - Sistema de vapor: subterráneo
C-STEM-UGND  </v>
      </c>
    </row>
    <row r="322" spans="1:19" x14ac:dyDescent="0.45">
      <c r="A322" s="7">
        <v>1</v>
      </c>
      <c r="B322" s="11" t="s">
        <v>3247</v>
      </c>
      <c r="C322" s="11" t="s">
        <v>7</v>
      </c>
      <c r="D322" s="11" t="s">
        <v>634</v>
      </c>
      <c r="E322" s="11" t="str">
        <f t="shared" si="32"/>
        <v>C-STRM (Civil - Alcantarillado pluvial)</v>
      </c>
      <c r="F322" s="10">
        <v>151</v>
      </c>
      <c r="G322" s="10" t="s">
        <v>3797</v>
      </c>
      <c r="H322" s="10">
        <v>0.3</v>
      </c>
      <c r="I322" s="10">
        <v>0</v>
      </c>
      <c r="J322" s="10" t="str">
        <f t="shared" si="33"/>
        <v>Civil - Alcantarillado pluvial</v>
      </c>
      <c r="K322" s="11" t="s">
        <v>1576</v>
      </c>
      <c r="L322" s="11" t="s">
        <v>7</v>
      </c>
      <c r="M322" s="11" t="s">
        <v>633</v>
      </c>
      <c r="N322" s="18" t="str">
        <f t="shared" si="34"/>
        <v xml:space="preserve">-LAYER N C-STRM </v>
      </c>
      <c r="O322" s="11" t="str">
        <f t="shared" si="35"/>
        <v xml:space="preserve">-LAYER C 151 C-STRM </v>
      </c>
      <c r="P322" s="11" t="str">
        <f t="shared" si="36"/>
        <v xml:space="preserve">-LAYER L Continuous
C-STRM  </v>
      </c>
      <c r="Q322" s="11" t="str">
        <f t="shared" si="37"/>
        <v xml:space="preserve">-LAYER LW 0.3
C-STRM  </v>
      </c>
      <c r="R322" s="11" t="str">
        <f t="shared" si="38"/>
        <v xml:space="preserve">-LAYER TR 0
C-STRM  </v>
      </c>
      <c r="S322" s="11" t="str">
        <f t="shared" si="39"/>
        <v xml:space="preserve">-LAYER D Civil - Alcantarillado pluvial
C-STRM  </v>
      </c>
    </row>
    <row r="323" spans="1:19" x14ac:dyDescent="0.45">
      <c r="A323" s="7">
        <v>0</v>
      </c>
      <c r="B323" s="11" t="s">
        <v>3248</v>
      </c>
      <c r="C323" s="11" t="s">
        <v>7</v>
      </c>
      <c r="D323" s="11" t="s">
        <v>1579</v>
      </c>
      <c r="E323" s="11" t="str">
        <f t="shared" si="32"/>
        <v>C-STRM-CNTR (Civil - Alcantarillado pluvial: centro)</v>
      </c>
      <c r="F323" s="19" t="s">
        <v>3798</v>
      </c>
      <c r="G323" s="19" t="s">
        <v>3797</v>
      </c>
      <c r="H323" s="19" t="s">
        <v>3811</v>
      </c>
      <c r="I323" s="10">
        <v>0</v>
      </c>
      <c r="J323" s="10" t="str">
        <f t="shared" si="33"/>
        <v>Civil - Alcantarillado pluvial: centro</v>
      </c>
      <c r="K323" s="11" t="s">
        <v>1577</v>
      </c>
      <c r="L323" s="11" t="s">
        <v>7</v>
      </c>
      <c r="M323" s="11" t="s">
        <v>1578</v>
      </c>
      <c r="N323" s="18" t="str">
        <f t="shared" si="34"/>
        <v xml:space="preserve">-LAYER N C-STRM-CNTR </v>
      </c>
      <c r="O323" s="11" t="str">
        <f t="shared" si="35"/>
        <v xml:space="preserve">-LAYER C white C-STRM-CNTR </v>
      </c>
      <c r="P323" s="11" t="str">
        <f t="shared" si="36"/>
        <v xml:space="preserve">-LAYER L Continuous
C-STRM-CNTR  </v>
      </c>
      <c r="Q323" s="11" t="str">
        <f t="shared" si="37"/>
        <v xml:space="preserve">-LAYER LW Default
C-STRM-CNTR  </v>
      </c>
      <c r="R323" s="11" t="str">
        <f t="shared" si="38"/>
        <v xml:space="preserve">-LAYER TR 0
C-STRM-CNTR  </v>
      </c>
      <c r="S323" s="11" t="str">
        <f t="shared" si="39"/>
        <v xml:space="preserve">-LAYER D Civil - Alcantarillado pluvial: centro
C-STRM-CNTR  </v>
      </c>
    </row>
    <row r="324" spans="1:19" x14ac:dyDescent="0.45">
      <c r="A324" s="7">
        <v>0</v>
      </c>
      <c r="B324" s="11" t="s">
        <v>3249</v>
      </c>
      <c r="C324" s="11" t="s">
        <v>7</v>
      </c>
      <c r="D324" s="11" t="s">
        <v>1582</v>
      </c>
      <c r="E324" s="11" t="str">
        <f t="shared" ref="E324:E387" si="40">_xlfn.CONCAT(B324," (",C324," - ",D324,")")</f>
        <v>C-STRM-DIAG (Civil - Alcantarillado pluvial: diagramas)</v>
      </c>
      <c r="F324" s="19" t="s">
        <v>3798</v>
      </c>
      <c r="G324" s="19" t="s">
        <v>3797</v>
      </c>
      <c r="H324" s="19" t="s">
        <v>3811</v>
      </c>
      <c r="I324" s="10">
        <v>0</v>
      </c>
      <c r="J324" s="10" t="str">
        <f t="shared" si="33"/>
        <v>Civil - Alcantarillado pluvial: diagramas</v>
      </c>
      <c r="K324" s="11" t="s">
        <v>1580</v>
      </c>
      <c r="L324" s="11" t="s">
        <v>7</v>
      </c>
      <c r="M324" s="11" t="s">
        <v>1581</v>
      </c>
      <c r="N324" s="18" t="str">
        <f t="shared" si="34"/>
        <v xml:space="preserve">-LAYER N C-STRM-DIAG </v>
      </c>
      <c r="O324" s="11" t="str">
        <f t="shared" si="35"/>
        <v xml:space="preserve">-LAYER C white C-STRM-DIAG </v>
      </c>
      <c r="P324" s="11" t="str">
        <f t="shared" si="36"/>
        <v xml:space="preserve">-LAYER L Continuous
C-STRM-DIAG  </v>
      </c>
      <c r="Q324" s="11" t="str">
        <f t="shared" si="37"/>
        <v xml:space="preserve">-LAYER LW Default
C-STRM-DIAG  </v>
      </c>
      <c r="R324" s="11" t="str">
        <f t="shared" si="38"/>
        <v xml:space="preserve">-LAYER TR 0
C-STRM-DIAG  </v>
      </c>
      <c r="S324" s="11" t="str">
        <f t="shared" si="39"/>
        <v xml:space="preserve">-LAYER D Civil - Alcantarillado pluvial: diagramas
C-STRM-DIAG  </v>
      </c>
    </row>
    <row r="325" spans="1:19" x14ac:dyDescent="0.45">
      <c r="A325" s="7">
        <v>0</v>
      </c>
      <c r="B325" s="11" t="s">
        <v>3250</v>
      </c>
      <c r="C325" s="11" t="s">
        <v>7</v>
      </c>
      <c r="D325" s="11" t="s">
        <v>1585</v>
      </c>
      <c r="E325" s="11" t="str">
        <f t="shared" si="40"/>
        <v>C-STRM-HWAL (Civil - Alcantarillado pluvial: muro de cabecera)</v>
      </c>
      <c r="F325" s="19" t="s">
        <v>3798</v>
      </c>
      <c r="G325" s="19" t="s">
        <v>3797</v>
      </c>
      <c r="H325" s="19" t="s">
        <v>3811</v>
      </c>
      <c r="I325" s="10">
        <v>0</v>
      </c>
      <c r="J325" s="10" t="str">
        <f t="shared" ref="J325:J388" si="41">_xlfn.CONCAT(C325," - ",D325)</f>
        <v>Civil - Alcantarillado pluvial: muro de cabecera</v>
      </c>
      <c r="K325" s="11" t="s">
        <v>1583</v>
      </c>
      <c r="L325" s="11" t="s">
        <v>7</v>
      </c>
      <c r="M325" s="11" t="s">
        <v>1584</v>
      </c>
      <c r="N325" s="18" t="str">
        <f t="shared" ref="N325:N388" si="42">_xlfn.CONCAT("-LAYER N ", B325," ")</f>
        <v xml:space="preserve">-LAYER N C-STRM-HWAL </v>
      </c>
      <c r="O325" s="11" t="str">
        <f t="shared" ref="O325:O388" si="43">_xlfn.CONCAT("-LAYER C ",F325," ", B325," ")</f>
        <v xml:space="preserve">-LAYER C white C-STRM-HWAL </v>
      </c>
      <c r="P325" s="11" t="str">
        <f t="shared" ref="P325:P388" si="44">_xlfn.CONCAT("-LAYER L ",G325,CHAR(10), B325,"  ")</f>
        <v xml:space="preserve">-LAYER L Continuous
C-STRM-HWAL  </v>
      </c>
      <c r="Q325" s="11" t="str">
        <f t="shared" ref="Q325:Q388" si="45">_xlfn.CONCAT("-LAYER LW ",H325,CHAR(10), B325,"  ")</f>
        <v xml:space="preserve">-LAYER LW Default
C-STRM-HWAL  </v>
      </c>
      <c r="R325" s="11" t="str">
        <f t="shared" ref="R325:R388" si="46">_xlfn.CONCAT("-LAYER TR ",I325,CHAR(10), B325,"  ")</f>
        <v xml:space="preserve">-LAYER TR 0
C-STRM-HWAL  </v>
      </c>
      <c r="S325" s="11" t="str">
        <f t="shared" ref="S325:S388" si="47">_xlfn.CONCAT("-LAYER D ",J325,CHAR(10), B325,"  ")</f>
        <v xml:space="preserve">-LAYER D Civil - Alcantarillado pluvial: muro de cabecera
C-STRM-HWAL  </v>
      </c>
    </row>
    <row r="326" spans="1:19" x14ac:dyDescent="0.45">
      <c r="A326" s="7">
        <v>0</v>
      </c>
      <c r="B326" s="11" t="s">
        <v>3251</v>
      </c>
      <c r="C326" s="11" t="s">
        <v>7</v>
      </c>
      <c r="D326" s="11" t="s">
        <v>1588</v>
      </c>
      <c r="E326" s="11" t="str">
        <f t="shared" si="40"/>
        <v>C-STRM-MHOL (Civil - Alcantarillado pluvial: pozo de registro)</v>
      </c>
      <c r="F326" s="19" t="s">
        <v>3798</v>
      </c>
      <c r="G326" s="19" t="s">
        <v>3797</v>
      </c>
      <c r="H326" s="19" t="s">
        <v>3811</v>
      </c>
      <c r="I326" s="10">
        <v>0</v>
      </c>
      <c r="J326" s="10" t="str">
        <f t="shared" si="41"/>
        <v>Civil - Alcantarillado pluvial: pozo de registro</v>
      </c>
      <c r="K326" s="11" t="s">
        <v>1586</v>
      </c>
      <c r="L326" s="11" t="s">
        <v>7</v>
      </c>
      <c r="M326" s="11" t="s">
        <v>1587</v>
      </c>
      <c r="N326" s="18" t="str">
        <f t="shared" si="42"/>
        <v xml:space="preserve">-LAYER N C-STRM-MHOL </v>
      </c>
      <c r="O326" s="11" t="str">
        <f t="shared" si="43"/>
        <v xml:space="preserve">-LAYER C white C-STRM-MHOL </v>
      </c>
      <c r="P326" s="11" t="str">
        <f t="shared" si="44"/>
        <v xml:space="preserve">-LAYER L Continuous
C-STRM-MHOL  </v>
      </c>
      <c r="Q326" s="11" t="str">
        <f t="shared" si="45"/>
        <v xml:space="preserve">-LAYER LW Default
C-STRM-MHOL  </v>
      </c>
      <c r="R326" s="11" t="str">
        <f t="shared" si="46"/>
        <v xml:space="preserve">-LAYER TR 0
C-STRM-MHOL  </v>
      </c>
      <c r="S326" s="11" t="str">
        <f t="shared" si="47"/>
        <v xml:space="preserve">-LAYER D Civil - Alcantarillado pluvial: pozo de registro
C-STRM-MHOL  </v>
      </c>
    </row>
    <row r="327" spans="1:19" x14ac:dyDescent="0.45">
      <c r="A327" s="7">
        <v>0</v>
      </c>
      <c r="B327" s="11" t="s">
        <v>3252</v>
      </c>
      <c r="C327" s="11" t="s">
        <v>7</v>
      </c>
      <c r="D327" s="11" t="s">
        <v>1591</v>
      </c>
      <c r="E327" s="11" t="str">
        <f t="shared" si="40"/>
        <v>C-STRM-PIPE (Civil - Alcantarillado pluvial: tuberías)</v>
      </c>
      <c r="F327" s="19" t="s">
        <v>3798</v>
      </c>
      <c r="G327" s="19" t="s">
        <v>3797</v>
      </c>
      <c r="H327" s="19" t="s">
        <v>3811</v>
      </c>
      <c r="I327" s="10">
        <v>0</v>
      </c>
      <c r="J327" s="10" t="str">
        <f t="shared" si="41"/>
        <v>Civil - Alcantarillado pluvial: tuberías</v>
      </c>
      <c r="K327" s="11" t="s">
        <v>1589</v>
      </c>
      <c r="L327" s="11" t="s">
        <v>7</v>
      </c>
      <c r="M327" s="11" t="s">
        <v>1590</v>
      </c>
      <c r="N327" s="18" t="str">
        <f t="shared" si="42"/>
        <v xml:space="preserve">-LAYER N C-STRM-PIPE </v>
      </c>
      <c r="O327" s="11" t="str">
        <f t="shared" si="43"/>
        <v xml:space="preserve">-LAYER C white C-STRM-PIPE </v>
      </c>
      <c r="P327" s="11" t="str">
        <f t="shared" si="44"/>
        <v xml:space="preserve">-LAYER L Continuous
C-STRM-PIPE  </v>
      </c>
      <c r="Q327" s="11" t="str">
        <f t="shared" si="45"/>
        <v xml:space="preserve">-LAYER LW Default
C-STRM-PIPE  </v>
      </c>
      <c r="R327" s="11" t="str">
        <f t="shared" si="46"/>
        <v xml:space="preserve">-LAYER TR 0
C-STRM-PIPE  </v>
      </c>
      <c r="S327" s="11" t="str">
        <f t="shared" si="47"/>
        <v xml:space="preserve">-LAYER D Civil - Alcantarillado pluvial: tuberías
C-STRM-PIPE  </v>
      </c>
    </row>
    <row r="328" spans="1:19" x14ac:dyDescent="0.45">
      <c r="A328" s="7">
        <v>0</v>
      </c>
      <c r="B328" s="11" t="s">
        <v>3253</v>
      </c>
      <c r="C328" s="11" t="s">
        <v>7</v>
      </c>
      <c r="D328" s="11" t="s">
        <v>1594</v>
      </c>
      <c r="E328" s="11" t="str">
        <f t="shared" si="40"/>
        <v>C-STRM-PIPE-CMTL (Civil - Alcantarillado pluvial: tuberías: metal corrugado)</v>
      </c>
      <c r="F328" s="19" t="s">
        <v>3798</v>
      </c>
      <c r="G328" s="19" t="s">
        <v>3797</v>
      </c>
      <c r="H328" s="19" t="s">
        <v>3811</v>
      </c>
      <c r="I328" s="10">
        <v>0</v>
      </c>
      <c r="J328" s="10" t="str">
        <f t="shared" si="41"/>
        <v>Civil - Alcantarillado pluvial: tuberías: metal corrugado</v>
      </c>
      <c r="K328" s="11" t="s">
        <v>1592</v>
      </c>
      <c r="L328" s="11" t="s">
        <v>7</v>
      </c>
      <c r="M328" s="11" t="s">
        <v>1593</v>
      </c>
      <c r="N328" s="18" t="str">
        <f t="shared" si="42"/>
        <v xml:space="preserve">-LAYER N C-STRM-PIPE-CMTL </v>
      </c>
      <c r="O328" s="11" t="str">
        <f t="shared" si="43"/>
        <v xml:space="preserve">-LAYER C white C-STRM-PIPE-CMTL </v>
      </c>
      <c r="P328" s="11" t="str">
        <f t="shared" si="44"/>
        <v xml:space="preserve">-LAYER L Continuous
C-STRM-PIPE-CMTL  </v>
      </c>
      <c r="Q328" s="11" t="str">
        <f t="shared" si="45"/>
        <v xml:space="preserve">-LAYER LW Default
C-STRM-PIPE-CMTL  </v>
      </c>
      <c r="R328" s="11" t="str">
        <f t="shared" si="46"/>
        <v xml:space="preserve">-LAYER TR 0
C-STRM-PIPE-CMTL  </v>
      </c>
      <c r="S328" s="11" t="str">
        <f t="shared" si="47"/>
        <v xml:space="preserve">-LAYER D Civil - Alcantarillado pluvial: tuberías: metal corrugado
C-STRM-PIPE-CMTL  </v>
      </c>
    </row>
    <row r="329" spans="1:19" x14ac:dyDescent="0.45">
      <c r="A329" s="7">
        <v>0</v>
      </c>
      <c r="B329" s="11" t="s">
        <v>3254</v>
      </c>
      <c r="C329" s="11" t="s">
        <v>7</v>
      </c>
      <c r="D329" s="11" t="s">
        <v>1597</v>
      </c>
      <c r="E329" s="11" t="str">
        <f t="shared" si="40"/>
        <v>C-STRM-PIPE-RCON (Civil - Alcantarillado pluvial: tuberías: hormigón armado)</v>
      </c>
      <c r="F329" s="19" t="s">
        <v>3798</v>
      </c>
      <c r="G329" s="19" t="s">
        <v>3797</v>
      </c>
      <c r="H329" s="19" t="s">
        <v>3811</v>
      </c>
      <c r="I329" s="10">
        <v>0</v>
      </c>
      <c r="J329" s="10" t="str">
        <f t="shared" si="41"/>
        <v>Civil - Alcantarillado pluvial: tuberías: hormigón armado</v>
      </c>
      <c r="K329" s="11" t="s">
        <v>1595</v>
      </c>
      <c r="L329" s="11" t="s">
        <v>7</v>
      </c>
      <c r="M329" s="11" t="s">
        <v>1596</v>
      </c>
      <c r="N329" s="18" t="str">
        <f t="shared" si="42"/>
        <v xml:space="preserve">-LAYER N C-STRM-PIPE-RCON </v>
      </c>
      <c r="O329" s="11" t="str">
        <f t="shared" si="43"/>
        <v xml:space="preserve">-LAYER C white C-STRM-PIPE-RCON </v>
      </c>
      <c r="P329" s="11" t="str">
        <f t="shared" si="44"/>
        <v xml:space="preserve">-LAYER L Continuous
C-STRM-PIPE-RCON  </v>
      </c>
      <c r="Q329" s="11" t="str">
        <f t="shared" si="45"/>
        <v xml:space="preserve">-LAYER LW Default
C-STRM-PIPE-RCON  </v>
      </c>
      <c r="R329" s="11" t="str">
        <f t="shared" si="46"/>
        <v xml:space="preserve">-LAYER TR 0
C-STRM-PIPE-RCON  </v>
      </c>
      <c r="S329" s="11" t="str">
        <f t="shared" si="47"/>
        <v xml:space="preserve">-LAYER D Civil - Alcantarillado pluvial: tuberías: hormigón armado
C-STRM-PIPE-RCON  </v>
      </c>
    </row>
    <row r="330" spans="1:19" x14ac:dyDescent="0.45">
      <c r="A330" s="7">
        <v>0</v>
      </c>
      <c r="B330" s="11" t="s">
        <v>3255</v>
      </c>
      <c r="C330" s="11" t="s">
        <v>7</v>
      </c>
      <c r="D330" s="11" t="s">
        <v>1600</v>
      </c>
      <c r="E330" s="11" t="str">
        <f t="shared" si="40"/>
        <v>C-STRM-PROF (Civil - Alcantarillado pluvial: perfil)</v>
      </c>
      <c r="F330" s="19" t="s">
        <v>3798</v>
      </c>
      <c r="G330" s="19" t="s">
        <v>3797</v>
      </c>
      <c r="H330" s="19" t="s">
        <v>3811</v>
      </c>
      <c r="I330" s="10">
        <v>0</v>
      </c>
      <c r="J330" s="10" t="str">
        <f t="shared" si="41"/>
        <v>Civil - Alcantarillado pluvial: perfil</v>
      </c>
      <c r="K330" s="11" t="s">
        <v>1598</v>
      </c>
      <c r="L330" s="11" t="s">
        <v>7</v>
      </c>
      <c r="M330" s="11" t="s">
        <v>1599</v>
      </c>
      <c r="N330" s="18" t="str">
        <f t="shared" si="42"/>
        <v xml:space="preserve">-LAYER N C-STRM-PROF </v>
      </c>
      <c r="O330" s="11" t="str">
        <f t="shared" si="43"/>
        <v xml:space="preserve">-LAYER C white C-STRM-PROF </v>
      </c>
      <c r="P330" s="11" t="str">
        <f t="shared" si="44"/>
        <v xml:space="preserve">-LAYER L Continuous
C-STRM-PROF  </v>
      </c>
      <c r="Q330" s="11" t="str">
        <f t="shared" si="45"/>
        <v xml:space="preserve">-LAYER LW Default
C-STRM-PROF  </v>
      </c>
      <c r="R330" s="11" t="str">
        <f t="shared" si="46"/>
        <v xml:space="preserve">-LAYER TR 0
C-STRM-PROF  </v>
      </c>
      <c r="S330" s="11" t="str">
        <f t="shared" si="47"/>
        <v xml:space="preserve">-LAYER D Civil - Alcantarillado pluvial: perfil
C-STRM-PROF  </v>
      </c>
    </row>
    <row r="331" spans="1:19" x14ac:dyDescent="0.45">
      <c r="A331" s="7">
        <v>0</v>
      </c>
      <c r="B331" s="11" t="s">
        <v>3256</v>
      </c>
      <c r="C331" s="11" t="s">
        <v>7</v>
      </c>
      <c r="D331" s="11" t="s">
        <v>1603</v>
      </c>
      <c r="E331" s="11" t="str">
        <f t="shared" si="40"/>
        <v>C-STRM-STAN (Civil - Alcantarillado pluvial: estacionamiento)</v>
      </c>
      <c r="F331" s="19" t="s">
        <v>3798</v>
      </c>
      <c r="G331" s="19" t="s">
        <v>3797</v>
      </c>
      <c r="H331" s="19" t="s">
        <v>3811</v>
      </c>
      <c r="I331" s="10">
        <v>0</v>
      </c>
      <c r="J331" s="10" t="str">
        <f t="shared" si="41"/>
        <v>Civil - Alcantarillado pluvial: estacionamiento</v>
      </c>
      <c r="K331" s="11" t="s">
        <v>1601</v>
      </c>
      <c r="L331" s="11" t="s">
        <v>7</v>
      </c>
      <c r="M331" s="11" t="s">
        <v>1602</v>
      </c>
      <c r="N331" s="18" t="str">
        <f t="shared" si="42"/>
        <v xml:space="preserve">-LAYER N C-STRM-STAN </v>
      </c>
      <c r="O331" s="11" t="str">
        <f t="shared" si="43"/>
        <v xml:space="preserve">-LAYER C white C-STRM-STAN </v>
      </c>
      <c r="P331" s="11" t="str">
        <f t="shared" si="44"/>
        <v xml:space="preserve">-LAYER L Continuous
C-STRM-STAN  </v>
      </c>
      <c r="Q331" s="11" t="str">
        <f t="shared" si="45"/>
        <v xml:space="preserve">-LAYER LW Default
C-STRM-STAN  </v>
      </c>
      <c r="R331" s="11" t="str">
        <f t="shared" si="46"/>
        <v xml:space="preserve">-LAYER TR 0
C-STRM-STAN  </v>
      </c>
      <c r="S331" s="11" t="str">
        <f t="shared" si="47"/>
        <v xml:space="preserve">-LAYER D Civil - Alcantarillado pluvial: estacionamiento
C-STRM-STAN  </v>
      </c>
    </row>
    <row r="332" spans="1:19" x14ac:dyDescent="0.45">
      <c r="A332" s="7">
        <v>0</v>
      </c>
      <c r="B332" s="11" t="s">
        <v>3257</v>
      </c>
      <c r="C332" s="11" t="s">
        <v>7</v>
      </c>
      <c r="D332" s="11" t="s">
        <v>1606</v>
      </c>
      <c r="E332" s="11" t="str">
        <f t="shared" si="40"/>
        <v>C-STRM-STRC (Civil - Alcantarillado pluvial: estructuras)</v>
      </c>
      <c r="F332" s="19" t="s">
        <v>3798</v>
      </c>
      <c r="G332" s="19" t="s">
        <v>3797</v>
      </c>
      <c r="H332" s="19" t="s">
        <v>3811</v>
      </c>
      <c r="I332" s="10">
        <v>0</v>
      </c>
      <c r="J332" s="10" t="str">
        <f t="shared" si="41"/>
        <v>Civil - Alcantarillado pluvial: estructuras</v>
      </c>
      <c r="K332" s="11" t="s">
        <v>1604</v>
      </c>
      <c r="L332" s="11" t="s">
        <v>7</v>
      </c>
      <c r="M332" s="11" t="s">
        <v>1605</v>
      </c>
      <c r="N332" s="18" t="str">
        <f t="shared" si="42"/>
        <v xml:space="preserve">-LAYER N C-STRM-STRC </v>
      </c>
      <c r="O332" s="11" t="str">
        <f t="shared" si="43"/>
        <v xml:space="preserve">-LAYER C white C-STRM-STRC </v>
      </c>
      <c r="P332" s="11" t="str">
        <f t="shared" si="44"/>
        <v xml:space="preserve">-LAYER L Continuous
C-STRM-STRC  </v>
      </c>
      <c r="Q332" s="11" t="str">
        <f t="shared" si="45"/>
        <v xml:space="preserve">-LAYER LW Default
C-STRM-STRC  </v>
      </c>
      <c r="R332" s="11" t="str">
        <f t="shared" si="46"/>
        <v xml:space="preserve">-LAYER TR 0
C-STRM-STRC  </v>
      </c>
      <c r="S332" s="11" t="str">
        <f t="shared" si="47"/>
        <v xml:space="preserve">-LAYER D Civil - Alcantarillado pluvial: estructuras
C-STRM-STRC  </v>
      </c>
    </row>
    <row r="333" spans="1:19" x14ac:dyDescent="0.45">
      <c r="A333" s="7">
        <v>0</v>
      </c>
      <c r="B333" s="11" t="s">
        <v>3258</v>
      </c>
      <c r="C333" s="11" t="s">
        <v>7</v>
      </c>
      <c r="D333" s="11" t="s">
        <v>1609</v>
      </c>
      <c r="E333" s="11" t="str">
        <f t="shared" si="40"/>
        <v>C-STRM-UGND (Civil - Alcantarillado pluvial: subterráneo)</v>
      </c>
      <c r="F333" s="19" t="s">
        <v>3798</v>
      </c>
      <c r="G333" s="19" t="s">
        <v>3797</v>
      </c>
      <c r="H333" s="19" t="s">
        <v>3811</v>
      </c>
      <c r="I333" s="10">
        <v>0</v>
      </c>
      <c r="J333" s="10" t="str">
        <f t="shared" si="41"/>
        <v>Civil - Alcantarillado pluvial: subterráneo</v>
      </c>
      <c r="K333" s="11" t="s">
        <v>1607</v>
      </c>
      <c r="L333" s="11" t="s">
        <v>7</v>
      </c>
      <c r="M333" s="11" t="s">
        <v>1608</v>
      </c>
      <c r="N333" s="18" t="str">
        <f t="shared" si="42"/>
        <v xml:space="preserve">-LAYER N C-STRM-UGND </v>
      </c>
      <c r="O333" s="11" t="str">
        <f t="shared" si="43"/>
        <v xml:space="preserve">-LAYER C white C-STRM-UGND </v>
      </c>
      <c r="P333" s="11" t="str">
        <f t="shared" si="44"/>
        <v xml:space="preserve">-LAYER L Continuous
C-STRM-UGND  </v>
      </c>
      <c r="Q333" s="11" t="str">
        <f t="shared" si="45"/>
        <v xml:space="preserve">-LAYER LW Default
C-STRM-UGND  </v>
      </c>
      <c r="R333" s="11" t="str">
        <f t="shared" si="46"/>
        <v xml:space="preserve">-LAYER TR 0
C-STRM-UGND  </v>
      </c>
      <c r="S333" s="11" t="str">
        <f t="shared" si="47"/>
        <v xml:space="preserve">-LAYER D Civil - Alcantarillado pluvial: subterráneo
C-STRM-UGND  </v>
      </c>
    </row>
    <row r="334" spans="1:19" x14ac:dyDescent="0.45">
      <c r="A334" s="7">
        <v>1</v>
      </c>
      <c r="B334" s="11" t="s">
        <v>3259</v>
      </c>
      <c r="C334" s="11" t="s">
        <v>7</v>
      </c>
      <c r="D334" s="11" t="s">
        <v>643</v>
      </c>
      <c r="E334" s="11" t="str">
        <f t="shared" si="40"/>
        <v>C-SWLK (Civil - Aceras)</v>
      </c>
      <c r="F334" s="19" t="s">
        <v>3798</v>
      </c>
      <c r="G334" s="19" t="s">
        <v>3797</v>
      </c>
      <c r="H334" s="19" t="s">
        <v>3811</v>
      </c>
      <c r="I334" s="10">
        <v>0</v>
      </c>
      <c r="J334" s="10" t="str">
        <f t="shared" si="41"/>
        <v>Civil - Aceras</v>
      </c>
      <c r="K334" s="11" t="s">
        <v>1610</v>
      </c>
      <c r="L334" s="11" t="s">
        <v>7</v>
      </c>
      <c r="M334" s="11" t="s">
        <v>642</v>
      </c>
      <c r="N334" s="18" t="str">
        <f t="shared" si="42"/>
        <v xml:space="preserve">-LAYER N C-SWLK </v>
      </c>
      <c r="O334" s="11" t="str">
        <f t="shared" si="43"/>
        <v xml:space="preserve">-LAYER C white C-SWLK </v>
      </c>
      <c r="P334" s="11" t="str">
        <f t="shared" si="44"/>
        <v xml:space="preserve">-LAYER L Continuous
C-SWLK  </v>
      </c>
      <c r="Q334" s="11" t="str">
        <f t="shared" si="45"/>
        <v xml:space="preserve">-LAYER LW Default
C-SWLK  </v>
      </c>
      <c r="R334" s="11" t="str">
        <f t="shared" si="46"/>
        <v xml:space="preserve">-LAYER TR 0
C-SWLK  </v>
      </c>
      <c r="S334" s="11" t="str">
        <f t="shared" si="47"/>
        <v xml:space="preserve">-LAYER D Civil - Aceras
C-SWLK  </v>
      </c>
    </row>
    <row r="335" spans="1:19" x14ac:dyDescent="0.45">
      <c r="A335" s="7">
        <v>0</v>
      </c>
      <c r="B335" s="11" t="s">
        <v>3260</v>
      </c>
      <c r="C335" s="11" t="s">
        <v>7</v>
      </c>
      <c r="D335" s="11" t="s">
        <v>1613</v>
      </c>
      <c r="E335" s="11" t="str">
        <f t="shared" si="40"/>
        <v>C-SWLK-ASPH (Civil - Aceras: asfalto)</v>
      </c>
      <c r="F335" s="19" t="s">
        <v>3798</v>
      </c>
      <c r="G335" s="19" t="s">
        <v>3797</v>
      </c>
      <c r="H335" s="19" t="s">
        <v>3811</v>
      </c>
      <c r="I335" s="10">
        <v>0</v>
      </c>
      <c r="J335" s="10" t="str">
        <f t="shared" si="41"/>
        <v>Civil - Aceras: asfalto</v>
      </c>
      <c r="K335" s="11" t="s">
        <v>1611</v>
      </c>
      <c r="L335" s="11" t="s">
        <v>7</v>
      </c>
      <c r="M335" s="11" t="s">
        <v>1612</v>
      </c>
      <c r="N335" s="18" t="str">
        <f t="shared" si="42"/>
        <v xml:space="preserve">-LAYER N C-SWLK-ASPH </v>
      </c>
      <c r="O335" s="11" t="str">
        <f t="shared" si="43"/>
        <v xml:space="preserve">-LAYER C white C-SWLK-ASPH </v>
      </c>
      <c r="P335" s="11" t="str">
        <f t="shared" si="44"/>
        <v xml:space="preserve">-LAYER L Continuous
C-SWLK-ASPH  </v>
      </c>
      <c r="Q335" s="11" t="str">
        <f t="shared" si="45"/>
        <v xml:space="preserve">-LAYER LW Default
C-SWLK-ASPH  </v>
      </c>
      <c r="R335" s="11" t="str">
        <f t="shared" si="46"/>
        <v xml:space="preserve">-LAYER TR 0
C-SWLK-ASPH  </v>
      </c>
      <c r="S335" s="11" t="str">
        <f t="shared" si="47"/>
        <v xml:space="preserve">-LAYER D Civil - Aceras: asfalto
C-SWLK-ASPH  </v>
      </c>
    </row>
    <row r="336" spans="1:19" x14ac:dyDescent="0.45">
      <c r="A336" s="7">
        <v>0</v>
      </c>
      <c r="B336" s="11" t="s">
        <v>3261</v>
      </c>
      <c r="C336" s="11" t="s">
        <v>7</v>
      </c>
      <c r="D336" s="11" t="s">
        <v>1616</v>
      </c>
      <c r="E336" s="11" t="str">
        <f t="shared" si="40"/>
        <v>C-SWLK-CONC (Civil - Aceras: hormigón)</v>
      </c>
      <c r="F336" s="19" t="s">
        <v>3798</v>
      </c>
      <c r="G336" s="19" t="s">
        <v>3797</v>
      </c>
      <c r="H336" s="19" t="s">
        <v>3811</v>
      </c>
      <c r="I336" s="10">
        <v>0</v>
      </c>
      <c r="J336" s="10" t="str">
        <f t="shared" si="41"/>
        <v>Civil - Aceras: hormigón</v>
      </c>
      <c r="K336" s="11" t="s">
        <v>1614</v>
      </c>
      <c r="L336" s="11" t="s">
        <v>7</v>
      </c>
      <c r="M336" s="11" t="s">
        <v>1615</v>
      </c>
      <c r="N336" s="18" t="str">
        <f t="shared" si="42"/>
        <v xml:space="preserve">-LAYER N C-SWLK-CONC </v>
      </c>
      <c r="O336" s="11" t="str">
        <f t="shared" si="43"/>
        <v xml:space="preserve">-LAYER C white C-SWLK-CONC </v>
      </c>
      <c r="P336" s="11" t="str">
        <f t="shared" si="44"/>
        <v xml:space="preserve">-LAYER L Continuous
C-SWLK-CONC  </v>
      </c>
      <c r="Q336" s="11" t="str">
        <f t="shared" si="45"/>
        <v xml:space="preserve">-LAYER LW Default
C-SWLK-CONC  </v>
      </c>
      <c r="R336" s="11" t="str">
        <f t="shared" si="46"/>
        <v xml:space="preserve">-LAYER TR 0
C-SWLK-CONC  </v>
      </c>
      <c r="S336" s="11" t="str">
        <f t="shared" si="47"/>
        <v xml:space="preserve">-LAYER D Civil - Aceras: hormigón
C-SWLK-CONC  </v>
      </c>
    </row>
    <row r="337" spans="1:19" x14ac:dyDescent="0.45">
      <c r="A337" s="7">
        <v>1</v>
      </c>
      <c r="B337" s="11" t="s">
        <v>3262</v>
      </c>
      <c r="C337" s="11" t="s">
        <v>7</v>
      </c>
      <c r="D337" s="11" t="s">
        <v>1618</v>
      </c>
      <c r="E337" s="11" t="str">
        <f t="shared" si="40"/>
        <v>C-TINN (Civil - Red irregular triangulada)</v>
      </c>
      <c r="F337" s="19" t="s">
        <v>3798</v>
      </c>
      <c r="G337" s="19" t="s">
        <v>3797</v>
      </c>
      <c r="H337" s="19" t="s">
        <v>3811</v>
      </c>
      <c r="I337" s="10">
        <v>0</v>
      </c>
      <c r="J337" s="10" t="str">
        <f t="shared" si="41"/>
        <v>Civil - Red irregular triangulada</v>
      </c>
      <c r="K337" s="11" t="s">
        <v>1617</v>
      </c>
      <c r="L337" s="11" t="s">
        <v>7</v>
      </c>
      <c r="M337" s="11" t="s">
        <v>651</v>
      </c>
      <c r="N337" s="18" t="str">
        <f t="shared" si="42"/>
        <v xml:space="preserve">-LAYER N C-TINN </v>
      </c>
      <c r="O337" s="11" t="str">
        <f t="shared" si="43"/>
        <v xml:space="preserve">-LAYER C white C-TINN </v>
      </c>
      <c r="P337" s="11" t="str">
        <f t="shared" si="44"/>
        <v xml:space="preserve">-LAYER L Continuous
C-TINN  </v>
      </c>
      <c r="Q337" s="11" t="str">
        <f t="shared" si="45"/>
        <v xml:space="preserve">-LAYER LW Default
C-TINN  </v>
      </c>
      <c r="R337" s="11" t="str">
        <f t="shared" si="46"/>
        <v xml:space="preserve">-LAYER TR 0
C-TINN  </v>
      </c>
      <c r="S337" s="11" t="str">
        <f t="shared" si="47"/>
        <v xml:space="preserve">-LAYER D Civil - Red irregular triangulada
C-TINN  </v>
      </c>
    </row>
    <row r="338" spans="1:19" x14ac:dyDescent="0.45">
      <c r="A338" s="7">
        <v>0</v>
      </c>
      <c r="B338" s="11" t="s">
        <v>3263</v>
      </c>
      <c r="C338" s="11" t="s">
        <v>7</v>
      </c>
      <c r="D338" s="11" t="s">
        <v>1621</v>
      </c>
      <c r="E338" s="11" t="str">
        <f t="shared" si="40"/>
        <v>C-TINN-BNDY (Civil - Red irregular triangulada: límite)</v>
      </c>
      <c r="F338" s="19" t="s">
        <v>3798</v>
      </c>
      <c r="G338" s="19" t="s">
        <v>3797</v>
      </c>
      <c r="H338" s="19" t="s">
        <v>3811</v>
      </c>
      <c r="I338" s="10">
        <v>0</v>
      </c>
      <c r="J338" s="10" t="str">
        <f t="shared" si="41"/>
        <v>Civil - Red irregular triangulada: límite</v>
      </c>
      <c r="K338" s="11" t="s">
        <v>1619</v>
      </c>
      <c r="L338" s="11" t="s">
        <v>7</v>
      </c>
      <c r="M338" s="11" t="s">
        <v>1620</v>
      </c>
      <c r="N338" s="18" t="str">
        <f t="shared" si="42"/>
        <v xml:space="preserve">-LAYER N C-TINN-BNDY </v>
      </c>
      <c r="O338" s="11" t="str">
        <f t="shared" si="43"/>
        <v xml:space="preserve">-LAYER C white C-TINN-BNDY </v>
      </c>
      <c r="P338" s="11" t="str">
        <f t="shared" si="44"/>
        <v xml:space="preserve">-LAYER L Continuous
C-TINN-BNDY  </v>
      </c>
      <c r="Q338" s="11" t="str">
        <f t="shared" si="45"/>
        <v xml:space="preserve">-LAYER LW Default
C-TINN-BNDY  </v>
      </c>
      <c r="R338" s="11" t="str">
        <f t="shared" si="46"/>
        <v xml:space="preserve">-LAYER TR 0
C-TINN-BNDY  </v>
      </c>
      <c r="S338" s="11" t="str">
        <f t="shared" si="47"/>
        <v xml:space="preserve">-LAYER D Civil - Red irregular triangulada: límite
C-TINN-BNDY  </v>
      </c>
    </row>
    <row r="339" spans="1:19" x14ac:dyDescent="0.45">
      <c r="A339" s="7">
        <v>0</v>
      </c>
      <c r="B339" s="11" t="s">
        <v>3264</v>
      </c>
      <c r="C339" s="11" t="s">
        <v>7</v>
      </c>
      <c r="D339" s="11" t="s">
        <v>1624</v>
      </c>
      <c r="E339" s="11" t="str">
        <f t="shared" si="40"/>
        <v>C-TINN-FALT (Civil - Red irregular triangulada: líneas de falla/ruptura)</v>
      </c>
      <c r="F339" s="19" t="s">
        <v>3798</v>
      </c>
      <c r="G339" s="19" t="s">
        <v>3797</v>
      </c>
      <c r="H339" s="19" t="s">
        <v>3811</v>
      </c>
      <c r="I339" s="10">
        <v>0</v>
      </c>
      <c r="J339" s="10" t="str">
        <f t="shared" si="41"/>
        <v>Civil - Red irregular triangulada: líneas de falla/ruptura</v>
      </c>
      <c r="K339" s="11" t="s">
        <v>1622</v>
      </c>
      <c r="L339" s="11" t="s">
        <v>7</v>
      </c>
      <c r="M339" s="11" t="s">
        <v>1623</v>
      </c>
      <c r="N339" s="18" t="str">
        <f t="shared" si="42"/>
        <v xml:space="preserve">-LAYER N C-TINN-FALT </v>
      </c>
      <c r="O339" s="11" t="str">
        <f t="shared" si="43"/>
        <v xml:space="preserve">-LAYER C white C-TINN-FALT </v>
      </c>
      <c r="P339" s="11" t="str">
        <f t="shared" si="44"/>
        <v xml:space="preserve">-LAYER L Continuous
C-TINN-FALT  </v>
      </c>
      <c r="Q339" s="11" t="str">
        <f t="shared" si="45"/>
        <v xml:space="preserve">-LAYER LW Default
C-TINN-FALT  </v>
      </c>
      <c r="R339" s="11" t="str">
        <f t="shared" si="46"/>
        <v xml:space="preserve">-LAYER TR 0
C-TINN-FALT  </v>
      </c>
      <c r="S339" s="11" t="str">
        <f t="shared" si="47"/>
        <v xml:space="preserve">-LAYER D Civil - Red irregular triangulada: líneas de falla/ruptura
C-TINN-FALT  </v>
      </c>
    </row>
    <row r="340" spans="1:19" x14ac:dyDescent="0.45">
      <c r="A340" s="7">
        <v>0</v>
      </c>
      <c r="B340" s="11" t="s">
        <v>3265</v>
      </c>
      <c r="C340" s="11" t="s">
        <v>7</v>
      </c>
      <c r="D340" s="11" t="s">
        <v>1627</v>
      </c>
      <c r="E340" s="11" t="str">
        <f t="shared" si="40"/>
        <v>C-TINN-VIEW (Civil - Red irregular triangulada: vista de triangulación)</v>
      </c>
      <c r="F340" s="19" t="s">
        <v>3798</v>
      </c>
      <c r="G340" s="19" t="s">
        <v>3797</v>
      </c>
      <c r="H340" s="19" t="s">
        <v>3811</v>
      </c>
      <c r="I340" s="10">
        <v>0</v>
      </c>
      <c r="J340" s="10" t="str">
        <f t="shared" si="41"/>
        <v>Civil - Red irregular triangulada: vista de triangulación</v>
      </c>
      <c r="K340" s="11" t="s">
        <v>1625</v>
      </c>
      <c r="L340" s="11" t="s">
        <v>7</v>
      </c>
      <c r="M340" s="11" t="s">
        <v>1626</v>
      </c>
      <c r="N340" s="18" t="str">
        <f t="shared" si="42"/>
        <v xml:space="preserve">-LAYER N C-TINN-VIEW </v>
      </c>
      <c r="O340" s="11" t="str">
        <f t="shared" si="43"/>
        <v xml:space="preserve">-LAYER C white C-TINN-VIEW </v>
      </c>
      <c r="P340" s="11" t="str">
        <f t="shared" si="44"/>
        <v xml:space="preserve">-LAYER L Continuous
C-TINN-VIEW  </v>
      </c>
      <c r="Q340" s="11" t="str">
        <f t="shared" si="45"/>
        <v xml:space="preserve">-LAYER LW Default
C-TINN-VIEW  </v>
      </c>
      <c r="R340" s="11" t="str">
        <f t="shared" si="46"/>
        <v xml:space="preserve">-LAYER TR 0
C-TINN-VIEW  </v>
      </c>
      <c r="S340" s="11" t="str">
        <f t="shared" si="47"/>
        <v xml:space="preserve">-LAYER D Civil - Red irregular triangulada: vista de triangulación
C-TINN-VIEW  </v>
      </c>
    </row>
    <row r="341" spans="1:19" x14ac:dyDescent="0.45">
      <c r="A341" s="7">
        <v>0</v>
      </c>
      <c r="B341" s="11" t="s">
        <v>3266</v>
      </c>
      <c r="C341" s="11" t="s">
        <v>7</v>
      </c>
      <c r="D341" s="11" t="s">
        <v>1630</v>
      </c>
      <c r="E341" s="11" t="str">
        <f t="shared" si="40"/>
        <v>C-TINN-VOID (Civil - Red irregular triangulada: regiones vacías)</v>
      </c>
      <c r="F341" s="19" t="s">
        <v>3798</v>
      </c>
      <c r="G341" s="19" t="s">
        <v>3797</v>
      </c>
      <c r="H341" s="19" t="s">
        <v>3811</v>
      </c>
      <c r="I341" s="10">
        <v>0</v>
      </c>
      <c r="J341" s="10" t="str">
        <f t="shared" si="41"/>
        <v>Civil - Red irregular triangulada: regiones vacías</v>
      </c>
      <c r="K341" s="11" t="s">
        <v>1628</v>
      </c>
      <c r="L341" s="11" t="s">
        <v>7</v>
      </c>
      <c r="M341" s="11" t="s">
        <v>1629</v>
      </c>
      <c r="N341" s="18" t="str">
        <f t="shared" si="42"/>
        <v xml:space="preserve">-LAYER N C-TINN-VOID </v>
      </c>
      <c r="O341" s="11" t="str">
        <f t="shared" si="43"/>
        <v xml:space="preserve">-LAYER C white C-TINN-VOID </v>
      </c>
      <c r="P341" s="11" t="str">
        <f t="shared" si="44"/>
        <v xml:space="preserve">-LAYER L Continuous
C-TINN-VOID  </v>
      </c>
      <c r="Q341" s="11" t="str">
        <f t="shared" si="45"/>
        <v xml:space="preserve">-LAYER LW Default
C-TINN-VOID  </v>
      </c>
      <c r="R341" s="11" t="str">
        <f t="shared" si="46"/>
        <v xml:space="preserve">-LAYER TR 0
C-TINN-VOID  </v>
      </c>
      <c r="S341" s="11" t="str">
        <f t="shared" si="47"/>
        <v xml:space="preserve">-LAYER D Civil - Red irregular triangulada: regiones vacías
C-TINN-VOID  </v>
      </c>
    </row>
    <row r="342" spans="1:19" x14ac:dyDescent="0.45">
      <c r="A342" s="7">
        <v>1</v>
      </c>
      <c r="B342" s="11" t="s">
        <v>3267</v>
      </c>
      <c r="C342" s="11" t="s">
        <v>7</v>
      </c>
      <c r="D342" s="11" t="s">
        <v>655</v>
      </c>
      <c r="E342" s="11" t="str">
        <f t="shared" si="40"/>
        <v>C-TOPO (Civil - Característica topográfica)</v>
      </c>
      <c r="F342" s="19" t="s">
        <v>3798</v>
      </c>
      <c r="G342" s="19" t="s">
        <v>3797</v>
      </c>
      <c r="H342" s="19" t="s">
        <v>3811</v>
      </c>
      <c r="I342" s="10">
        <v>0</v>
      </c>
      <c r="J342" s="10" t="str">
        <f t="shared" si="41"/>
        <v>Civil - Característica topográfica</v>
      </c>
      <c r="K342" s="11" t="s">
        <v>1631</v>
      </c>
      <c r="L342" s="11" t="s">
        <v>7</v>
      </c>
      <c r="M342" s="11" t="s">
        <v>654</v>
      </c>
      <c r="N342" s="18" t="str">
        <f t="shared" si="42"/>
        <v xml:space="preserve">-LAYER N C-TOPO </v>
      </c>
      <c r="O342" s="11" t="str">
        <f t="shared" si="43"/>
        <v xml:space="preserve">-LAYER C white C-TOPO </v>
      </c>
      <c r="P342" s="11" t="str">
        <f t="shared" si="44"/>
        <v xml:space="preserve">-LAYER L Continuous
C-TOPO  </v>
      </c>
      <c r="Q342" s="11" t="str">
        <f t="shared" si="45"/>
        <v xml:space="preserve">-LAYER LW Default
C-TOPO  </v>
      </c>
      <c r="R342" s="11" t="str">
        <f t="shared" si="46"/>
        <v xml:space="preserve">-LAYER TR 0
C-TOPO  </v>
      </c>
      <c r="S342" s="11" t="str">
        <f t="shared" si="47"/>
        <v xml:space="preserve">-LAYER D Civil - Característica topográfica
C-TOPO  </v>
      </c>
    </row>
    <row r="343" spans="1:19" x14ac:dyDescent="0.45">
      <c r="A343" s="7">
        <v>0</v>
      </c>
      <c r="B343" s="11" t="s">
        <v>3268</v>
      </c>
      <c r="C343" s="11" t="s">
        <v>7</v>
      </c>
      <c r="D343" s="11" t="s">
        <v>1634</v>
      </c>
      <c r="E343" s="11" t="str">
        <f t="shared" si="40"/>
        <v>C-TOPO-DEPR (Civil - Característica topográfica: depresión)</v>
      </c>
      <c r="F343" s="19" t="s">
        <v>3798</v>
      </c>
      <c r="G343" s="19" t="s">
        <v>3797</v>
      </c>
      <c r="H343" s="19" t="s">
        <v>3811</v>
      </c>
      <c r="I343" s="10">
        <v>0</v>
      </c>
      <c r="J343" s="10" t="str">
        <f t="shared" si="41"/>
        <v>Civil - Característica topográfica: depresión</v>
      </c>
      <c r="K343" s="11" t="s">
        <v>1632</v>
      </c>
      <c r="L343" s="11" t="s">
        <v>7</v>
      </c>
      <c r="M343" s="11" t="s">
        <v>1633</v>
      </c>
      <c r="N343" s="18" t="str">
        <f t="shared" si="42"/>
        <v xml:space="preserve">-LAYER N C-TOPO-DEPR </v>
      </c>
      <c r="O343" s="11" t="str">
        <f t="shared" si="43"/>
        <v xml:space="preserve">-LAYER C white C-TOPO-DEPR </v>
      </c>
      <c r="P343" s="11" t="str">
        <f t="shared" si="44"/>
        <v xml:space="preserve">-LAYER L Continuous
C-TOPO-DEPR  </v>
      </c>
      <c r="Q343" s="11" t="str">
        <f t="shared" si="45"/>
        <v xml:space="preserve">-LAYER LW Default
C-TOPO-DEPR  </v>
      </c>
      <c r="R343" s="11" t="str">
        <f t="shared" si="46"/>
        <v xml:space="preserve">-LAYER TR 0
C-TOPO-DEPR  </v>
      </c>
      <c r="S343" s="11" t="str">
        <f t="shared" si="47"/>
        <v xml:space="preserve">-LAYER D Civil - Característica topográfica: depresión
C-TOPO-DEPR  </v>
      </c>
    </row>
    <row r="344" spans="1:19" x14ac:dyDescent="0.45">
      <c r="A344" s="7">
        <v>0</v>
      </c>
      <c r="B344" s="11" t="s">
        <v>3269</v>
      </c>
      <c r="C344" s="11" t="s">
        <v>7</v>
      </c>
      <c r="D344" s="11" t="s">
        <v>1637</v>
      </c>
      <c r="E344" s="11" t="str">
        <f t="shared" si="40"/>
        <v>C-TOPO-MAJR (Civil - Característica topográfica: principal (curvas de nivel))</v>
      </c>
      <c r="F344" s="19" t="s">
        <v>3798</v>
      </c>
      <c r="G344" s="19" t="s">
        <v>3797</v>
      </c>
      <c r="H344" s="19" t="s">
        <v>3811</v>
      </c>
      <c r="I344" s="10">
        <v>0</v>
      </c>
      <c r="J344" s="10" t="str">
        <f t="shared" si="41"/>
        <v>Civil - Característica topográfica: principal (curvas de nivel)</v>
      </c>
      <c r="K344" s="11" t="s">
        <v>1635</v>
      </c>
      <c r="L344" s="11" t="s">
        <v>7</v>
      </c>
      <c r="M344" s="11" t="s">
        <v>1636</v>
      </c>
      <c r="N344" s="18" t="str">
        <f t="shared" si="42"/>
        <v xml:space="preserve">-LAYER N C-TOPO-MAJR </v>
      </c>
      <c r="O344" s="11" t="str">
        <f t="shared" si="43"/>
        <v xml:space="preserve">-LAYER C white C-TOPO-MAJR </v>
      </c>
      <c r="P344" s="11" t="str">
        <f t="shared" si="44"/>
        <v xml:space="preserve">-LAYER L Continuous
C-TOPO-MAJR  </v>
      </c>
      <c r="Q344" s="11" t="str">
        <f t="shared" si="45"/>
        <v xml:space="preserve">-LAYER LW Default
C-TOPO-MAJR  </v>
      </c>
      <c r="R344" s="11" t="str">
        <f t="shared" si="46"/>
        <v xml:space="preserve">-LAYER TR 0
C-TOPO-MAJR  </v>
      </c>
      <c r="S344" s="11" t="str">
        <f t="shared" si="47"/>
        <v xml:space="preserve">-LAYER D Civil - Característica topográfica: principal (curvas de nivel)
C-TOPO-MAJR  </v>
      </c>
    </row>
    <row r="345" spans="1:19" x14ac:dyDescent="0.45">
      <c r="A345" s="7">
        <v>0</v>
      </c>
      <c r="B345" s="11" t="s">
        <v>3270</v>
      </c>
      <c r="C345" s="11" t="s">
        <v>7</v>
      </c>
      <c r="D345" s="11" t="s">
        <v>1640</v>
      </c>
      <c r="E345" s="11" t="str">
        <f t="shared" si="40"/>
        <v>C-TOPO-MINR (Civil - Característica topográfica: menor (curvas de nivel))</v>
      </c>
      <c r="F345" s="19" t="s">
        <v>3798</v>
      </c>
      <c r="G345" s="19" t="s">
        <v>3797</v>
      </c>
      <c r="H345" s="19" t="s">
        <v>3811</v>
      </c>
      <c r="I345" s="10">
        <v>0</v>
      </c>
      <c r="J345" s="10" t="str">
        <f t="shared" si="41"/>
        <v>Civil - Característica topográfica: menor (curvas de nivel)</v>
      </c>
      <c r="K345" s="11" t="s">
        <v>1638</v>
      </c>
      <c r="L345" s="11" t="s">
        <v>7</v>
      </c>
      <c r="M345" s="11" t="s">
        <v>1639</v>
      </c>
      <c r="N345" s="18" t="str">
        <f t="shared" si="42"/>
        <v xml:space="preserve">-LAYER N C-TOPO-MINR </v>
      </c>
      <c r="O345" s="11" t="str">
        <f t="shared" si="43"/>
        <v xml:space="preserve">-LAYER C white C-TOPO-MINR </v>
      </c>
      <c r="P345" s="11" t="str">
        <f t="shared" si="44"/>
        <v xml:space="preserve">-LAYER L Continuous
C-TOPO-MINR  </v>
      </c>
      <c r="Q345" s="11" t="str">
        <f t="shared" si="45"/>
        <v xml:space="preserve">-LAYER LW Default
C-TOPO-MINR  </v>
      </c>
      <c r="R345" s="11" t="str">
        <f t="shared" si="46"/>
        <v xml:space="preserve">-LAYER TR 0
C-TOPO-MINR  </v>
      </c>
      <c r="S345" s="11" t="str">
        <f t="shared" si="47"/>
        <v xml:space="preserve">-LAYER D Civil - Característica topográfica: menor (curvas de nivel)
C-TOPO-MINR  </v>
      </c>
    </row>
    <row r="346" spans="1:19" x14ac:dyDescent="0.45">
      <c r="A346" s="7">
        <v>0</v>
      </c>
      <c r="B346" s="11" t="s">
        <v>3271</v>
      </c>
      <c r="C346" s="11" t="s">
        <v>7</v>
      </c>
      <c r="D346" s="11" t="s">
        <v>1643</v>
      </c>
      <c r="E346" s="11" t="str">
        <f t="shared" si="40"/>
        <v>C-TOPO-SPOT (Civil - Característica topográfica: elevaciones puntuales)</v>
      </c>
      <c r="F346" s="19" t="s">
        <v>3798</v>
      </c>
      <c r="G346" s="19" t="s">
        <v>3797</v>
      </c>
      <c r="H346" s="19" t="s">
        <v>3811</v>
      </c>
      <c r="I346" s="10">
        <v>0</v>
      </c>
      <c r="J346" s="10" t="str">
        <f t="shared" si="41"/>
        <v>Civil - Característica topográfica: elevaciones puntuales</v>
      </c>
      <c r="K346" s="11" t="s">
        <v>1641</v>
      </c>
      <c r="L346" s="11" t="s">
        <v>7</v>
      </c>
      <c r="M346" s="11" t="s">
        <v>1642</v>
      </c>
      <c r="N346" s="18" t="str">
        <f t="shared" si="42"/>
        <v xml:space="preserve">-LAYER N C-TOPO-SPOT </v>
      </c>
      <c r="O346" s="11" t="str">
        <f t="shared" si="43"/>
        <v xml:space="preserve">-LAYER C white C-TOPO-SPOT </v>
      </c>
      <c r="P346" s="11" t="str">
        <f t="shared" si="44"/>
        <v xml:space="preserve">-LAYER L Continuous
C-TOPO-SPOT  </v>
      </c>
      <c r="Q346" s="11" t="str">
        <f t="shared" si="45"/>
        <v xml:space="preserve">-LAYER LW Default
C-TOPO-SPOT  </v>
      </c>
      <c r="R346" s="11" t="str">
        <f t="shared" si="46"/>
        <v xml:space="preserve">-LAYER TR 0
C-TOPO-SPOT  </v>
      </c>
      <c r="S346" s="11" t="str">
        <f t="shared" si="47"/>
        <v xml:space="preserve">-LAYER D Civil - Característica topográfica: elevaciones puntuales
C-TOPO-SPOT  </v>
      </c>
    </row>
    <row r="347" spans="1:19" x14ac:dyDescent="0.45">
      <c r="A347" s="7">
        <v>0</v>
      </c>
      <c r="B347" s="11" t="s">
        <v>3272</v>
      </c>
      <c r="C347" s="11" t="s">
        <v>7</v>
      </c>
      <c r="D347" s="11" t="s">
        <v>1646</v>
      </c>
      <c r="E347" s="11" t="str">
        <f t="shared" si="40"/>
        <v>C-TOPO-TPIT (Civil - Característica topográfica: pozos de sondeo)</v>
      </c>
      <c r="F347" s="19" t="s">
        <v>3798</v>
      </c>
      <c r="G347" s="19" t="s">
        <v>3797</v>
      </c>
      <c r="H347" s="19" t="s">
        <v>3811</v>
      </c>
      <c r="I347" s="10">
        <v>0</v>
      </c>
      <c r="J347" s="10" t="str">
        <f t="shared" si="41"/>
        <v>Civil - Característica topográfica: pozos de sondeo</v>
      </c>
      <c r="K347" s="11" t="s">
        <v>1644</v>
      </c>
      <c r="L347" s="11" t="s">
        <v>7</v>
      </c>
      <c r="M347" s="11" t="s">
        <v>1645</v>
      </c>
      <c r="N347" s="18" t="str">
        <f t="shared" si="42"/>
        <v xml:space="preserve">-LAYER N C-TOPO-TPIT </v>
      </c>
      <c r="O347" s="11" t="str">
        <f t="shared" si="43"/>
        <v xml:space="preserve">-LAYER C white C-TOPO-TPIT </v>
      </c>
      <c r="P347" s="11" t="str">
        <f t="shared" si="44"/>
        <v xml:space="preserve">-LAYER L Continuous
C-TOPO-TPIT  </v>
      </c>
      <c r="Q347" s="11" t="str">
        <f t="shared" si="45"/>
        <v xml:space="preserve">-LAYER LW Default
C-TOPO-TPIT  </v>
      </c>
      <c r="R347" s="11" t="str">
        <f t="shared" si="46"/>
        <v xml:space="preserve">-LAYER TR 0
C-TOPO-TPIT  </v>
      </c>
      <c r="S347" s="11" t="str">
        <f t="shared" si="47"/>
        <v xml:space="preserve">-LAYER D Civil - Característica topográfica: pozos de sondeo
C-TOPO-TPIT  </v>
      </c>
    </row>
    <row r="348" spans="1:19" x14ac:dyDescent="0.45">
      <c r="A348" s="7">
        <v>1</v>
      </c>
      <c r="B348" s="11" t="s">
        <v>3273</v>
      </c>
      <c r="C348" s="11" t="s">
        <v>7</v>
      </c>
      <c r="D348" s="11" t="s">
        <v>658</v>
      </c>
      <c r="E348" s="11" t="str">
        <f t="shared" si="40"/>
        <v>C-TRAL (Civil - Senderos o caminos)</v>
      </c>
      <c r="F348" s="19" t="s">
        <v>3798</v>
      </c>
      <c r="G348" s="19" t="s">
        <v>3797</v>
      </c>
      <c r="H348" s="19" t="s">
        <v>3811</v>
      </c>
      <c r="I348" s="10">
        <v>0</v>
      </c>
      <c r="J348" s="10" t="str">
        <f t="shared" si="41"/>
        <v>Civil - Senderos o caminos</v>
      </c>
      <c r="K348" s="11" t="s">
        <v>1647</v>
      </c>
      <c r="L348" s="11" t="s">
        <v>7</v>
      </c>
      <c r="M348" s="11" t="s">
        <v>657</v>
      </c>
      <c r="N348" s="18" t="str">
        <f t="shared" si="42"/>
        <v xml:space="preserve">-LAYER N C-TRAL </v>
      </c>
      <c r="O348" s="11" t="str">
        <f t="shared" si="43"/>
        <v xml:space="preserve">-LAYER C white C-TRAL </v>
      </c>
      <c r="P348" s="11" t="str">
        <f t="shared" si="44"/>
        <v xml:space="preserve">-LAYER L Continuous
C-TRAL  </v>
      </c>
      <c r="Q348" s="11" t="str">
        <f t="shared" si="45"/>
        <v xml:space="preserve">-LAYER LW Default
C-TRAL  </v>
      </c>
      <c r="R348" s="11" t="str">
        <f t="shared" si="46"/>
        <v xml:space="preserve">-LAYER TR 0
C-TRAL  </v>
      </c>
      <c r="S348" s="11" t="str">
        <f t="shared" si="47"/>
        <v xml:space="preserve">-LAYER D Civil - Senderos o caminos
C-TRAL  </v>
      </c>
    </row>
    <row r="349" spans="1:19" x14ac:dyDescent="0.45">
      <c r="A349" s="7">
        <v>0</v>
      </c>
      <c r="B349" s="11" t="s">
        <v>3274</v>
      </c>
      <c r="C349" s="11" t="s">
        <v>7</v>
      </c>
      <c r="D349" s="11" t="s">
        <v>1650</v>
      </c>
      <c r="E349" s="11" t="str">
        <f t="shared" si="40"/>
        <v>C-TRAL-ASPH (Civil - Senderos o caminos: asfalto)</v>
      </c>
      <c r="F349" s="19" t="s">
        <v>3798</v>
      </c>
      <c r="G349" s="19" t="s">
        <v>3797</v>
      </c>
      <c r="H349" s="19" t="s">
        <v>3811</v>
      </c>
      <c r="I349" s="10">
        <v>0</v>
      </c>
      <c r="J349" s="10" t="str">
        <f t="shared" si="41"/>
        <v>Civil - Senderos o caminos: asfalto</v>
      </c>
      <c r="K349" s="11" t="s">
        <v>1648</v>
      </c>
      <c r="L349" s="11" t="s">
        <v>7</v>
      </c>
      <c r="M349" s="11" t="s">
        <v>1649</v>
      </c>
      <c r="N349" s="18" t="str">
        <f t="shared" si="42"/>
        <v xml:space="preserve">-LAYER N C-TRAL-ASPH </v>
      </c>
      <c r="O349" s="11" t="str">
        <f t="shared" si="43"/>
        <v xml:space="preserve">-LAYER C white C-TRAL-ASPH </v>
      </c>
      <c r="P349" s="11" t="str">
        <f t="shared" si="44"/>
        <v xml:space="preserve">-LAYER L Continuous
C-TRAL-ASPH  </v>
      </c>
      <c r="Q349" s="11" t="str">
        <f t="shared" si="45"/>
        <v xml:space="preserve">-LAYER LW Default
C-TRAL-ASPH  </v>
      </c>
      <c r="R349" s="11" t="str">
        <f t="shared" si="46"/>
        <v xml:space="preserve">-LAYER TR 0
C-TRAL-ASPH  </v>
      </c>
      <c r="S349" s="11" t="str">
        <f t="shared" si="47"/>
        <v xml:space="preserve">-LAYER D Civil - Senderos o caminos: asfalto
C-TRAL-ASPH  </v>
      </c>
    </row>
    <row r="350" spans="1:19" x14ac:dyDescent="0.45">
      <c r="A350" s="7">
        <v>0</v>
      </c>
      <c r="B350" s="11" t="s">
        <v>3275</v>
      </c>
      <c r="C350" s="11" t="s">
        <v>7</v>
      </c>
      <c r="D350" s="11" t="s">
        <v>1653</v>
      </c>
      <c r="E350" s="11" t="str">
        <f t="shared" si="40"/>
        <v>C-TRAL-CONC (Civil - Senderos o caminos: hormigón)</v>
      </c>
      <c r="F350" s="19" t="s">
        <v>3798</v>
      </c>
      <c r="G350" s="19" t="s">
        <v>3797</v>
      </c>
      <c r="H350" s="19" t="s">
        <v>3811</v>
      </c>
      <c r="I350" s="10">
        <v>0</v>
      </c>
      <c r="J350" s="10" t="str">
        <f t="shared" si="41"/>
        <v>Civil - Senderos o caminos: hormigón</v>
      </c>
      <c r="K350" s="11" t="s">
        <v>1651</v>
      </c>
      <c r="L350" s="11" t="s">
        <v>7</v>
      </c>
      <c r="M350" s="11" t="s">
        <v>1652</v>
      </c>
      <c r="N350" s="18" t="str">
        <f t="shared" si="42"/>
        <v xml:space="preserve">-LAYER N C-TRAL-CONC </v>
      </c>
      <c r="O350" s="11" t="str">
        <f t="shared" si="43"/>
        <v xml:space="preserve">-LAYER C white C-TRAL-CONC </v>
      </c>
      <c r="P350" s="11" t="str">
        <f t="shared" si="44"/>
        <v xml:space="preserve">-LAYER L Continuous
C-TRAL-CONC  </v>
      </c>
      <c r="Q350" s="11" t="str">
        <f t="shared" si="45"/>
        <v xml:space="preserve">-LAYER LW Default
C-TRAL-CONC  </v>
      </c>
      <c r="R350" s="11" t="str">
        <f t="shared" si="46"/>
        <v xml:space="preserve">-LAYER TR 0
C-TRAL-CONC  </v>
      </c>
      <c r="S350" s="11" t="str">
        <f t="shared" si="47"/>
        <v xml:space="preserve">-LAYER D Civil - Senderos o caminos: hormigón
C-TRAL-CONC  </v>
      </c>
    </row>
    <row r="351" spans="1:19" x14ac:dyDescent="0.45">
      <c r="A351" s="7">
        <v>0</v>
      </c>
      <c r="B351" s="11" t="s">
        <v>3276</v>
      </c>
      <c r="C351" s="11" t="s">
        <v>7</v>
      </c>
      <c r="D351" s="11" t="s">
        <v>1656</v>
      </c>
      <c r="E351" s="11" t="str">
        <f t="shared" si="40"/>
        <v>C-TRAL-GRVL (Civil - Senderos o Caminos: grava)</v>
      </c>
      <c r="F351" s="19" t="s">
        <v>3798</v>
      </c>
      <c r="G351" s="19" t="s">
        <v>3797</v>
      </c>
      <c r="H351" s="19" t="s">
        <v>3811</v>
      </c>
      <c r="I351" s="10">
        <v>0</v>
      </c>
      <c r="J351" s="10" t="str">
        <f t="shared" si="41"/>
        <v>Civil - Senderos o Caminos: grava</v>
      </c>
      <c r="K351" s="11" t="s">
        <v>1654</v>
      </c>
      <c r="L351" s="11" t="s">
        <v>7</v>
      </c>
      <c r="M351" s="11" t="s">
        <v>1655</v>
      </c>
      <c r="N351" s="18" t="str">
        <f t="shared" si="42"/>
        <v xml:space="preserve">-LAYER N C-TRAL-GRVL </v>
      </c>
      <c r="O351" s="11" t="str">
        <f t="shared" si="43"/>
        <v xml:space="preserve">-LAYER C white C-TRAL-GRVL </v>
      </c>
      <c r="P351" s="11" t="str">
        <f t="shared" si="44"/>
        <v xml:space="preserve">-LAYER L Continuous
C-TRAL-GRVL  </v>
      </c>
      <c r="Q351" s="11" t="str">
        <f t="shared" si="45"/>
        <v xml:space="preserve">-LAYER LW Default
C-TRAL-GRVL  </v>
      </c>
      <c r="R351" s="11" t="str">
        <f t="shared" si="46"/>
        <v xml:space="preserve">-LAYER TR 0
C-TRAL-GRVL  </v>
      </c>
      <c r="S351" s="11" t="str">
        <f t="shared" si="47"/>
        <v xml:space="preserve">-LAYER D Civil - Senderos o Caminos: grava
C-TRAL-GRVL  </v>
      </c>
    </row>
    <row r="352" spans="1:19" x14ac:dyDescent="0.45">
      <c r="A352" s="7">
        <v>0</v>
      </c>
      <c r="B352" s="11" t="s">
        <v>3277</v>
      </c>
      <c r="C352" s="11" t="s">
        <v>7</v>
      </c>
      <c r="D352" s="11" t="s">
        <v>1659</v>
      </c>
      <c r="E352" s="11" t="str">
        <f t="shared" si="40"/>
        <v>C-TRAL-MRKG (Civil - Senderos o senderos: marcas en el pavimento)</v>
      </c>
      <c r="F352" s="19" t="s">
        <v>3798</v>
      </c>
      <c r="G352" s="19" t="s">
        <v>3797</v>
      </c>
      <c r="H352" s="19" t="s">
        <v>3811</v>
      </c>
      <c r="I352" s="10">
        <v>0</v>
      </c>
      <c r="J352" s="10" t="str">
        <f t="shared" si="41"/>
        <v>Civil - Senderos o senderos: marcas en el pavimento</v>
      </c>
      <c r="K352" s="11" t="s">
        <v>1657</v>
      </c>
      <c r="L352" s="11" t="s">
        <v>7</v>
      </c>
      <c r="M352" s="11" t="s">
        <v>1658</v>
      </c>
      <c r="N352" s="18" t="str">
        <f t="shared" si="42"/>
        <v xml:space="preserve">-LAYER N C-TRAL-MRKG </v>
      </c>
      <c r="O352" s="11" t="str">
        <f t="shared" si="43"/>
        <v xml:space="preserve">-LAYER C white C-TRAL-MRKG </v>
      </c>
      <c r="P352" s="11" t="str">
        <f t="shared" si="44"/>
        <v xml:space="preserve">-LAYER L Continuous
C-TRAL-MRKG  </v>
      </c>
      <c r="Q352" s="11" t="str">
        <f t="shared" si="45"/>
        <v xml:space="preserve">-LAYER LW Default
C-TRAL-MRKG  </v>
      </c>
      <c r="R352" s="11" t="str">
        <f t="shared" si="46"/>
        <v xml:space="preserve">-LAYER TR 0
C-TRAL-MRKG  </v>
      </c>
      <c r="S352" s="11" t="str">
        <f t="shared" si="47"/>
        <v xml:space="preserve">-LAYER D Civil - Senderos o senderos: marcas en el pavimento
C-TRAL-MRKG  </v>
      </c>
    </row>
    <row r="353" spans="1:19" x14ac:dyDescent="0.45">
      <c r="A353" s="7">
        <v>0</v>
      </c>
      <c r="B353" s="11" t="s">
        <v>3278</v>
      </c>
      <c r="C353" s="11" t="s">
        <v>7</v>
      </c>
      <c r="D353" s="11" t="s">
        <v>1662</v>
      </c>
      <c r="E353" s="11" t="str">
        <f t="shared" si="40"/>
        <v>C-TRAL-SIGN (Civil - Senderos o senderos: señalización)</v>
      </c>
      <c r="F353" s="19" t="s">
        <v>3798</v>
      </c>
      <c r="G353" s="19" t="s">
        <v>3797</v>
      </c>
      <c r="H353" s="19" t="s">
        <v>3811</v>
      </c>
      <c r="I353" s="10">
        <v>0</v>
      </c>
      <c r="J353" s="10" t="str">
        <f t="shared" si="41"/>
        <v>Civil - Senderos o senderos: señalización</v>
      </c>
      <c r="K353" s="11" t="s">
        <v>1660</v>
      </c>
      <c r="L353" s="11" t="s">
        <v>7</v>
      </c>
      <c r="M353" s="11" t="s">
        <v>1661</v>
      </c>
      <c r="N353" s="18" t="str">
        <f t="shared" si="42"/>
        <v xml:space="preserve">-LAYER N C-TRAL-SIGN </v>
      </c>
      <c r="O353" s="11" t="str">
        <f t="shared" si="43"/>
        <v xml:space="preserve">-LAYER C white C-TRAL-SIGN </v>
      </c>
      <c r="P353" s="11" t="str">
        <f t="shared" si="44"/>
        <v xml:space="preserve">-LAYER L Continuous
C-TRAL-SIGN  </v>
      </c>
      <c r="Q353" s="11" t="str">
        <f t="shared" si="45"/>
        <v xml:space="preserve">-LAYER LW Default
C-TRAL-SIGN  </v>
      </c>
      <c r="R353" s="11" t="str">
        <f t="shared" si="46"/>
        <v xml:space="preserve">-LAYER TR 0
C-TRAL-SIGN  </v>
      </c>
      <c r="S353" s="11" t="str">
        <f t="shared" si="47"/>
        <v xml:space="preserve">-LAYER D Civil - Senderos o senderos: señalización
C-TRAL-SIGN  </v>
      </c>
    </row>
    <row r="354" spans="1:19" x14ac:dyDescent="0.45">
      <c r="A354" s="7">
        <v>0</v>
      </c>
      <c r="B354" s="11" t="s">
        <v>3279</v>
      </c>
      <c r="C354" s="11" t="s">
        <v>7</v>
      </c>
      <c r="D354" s="11" t="s">
        <v>1665</v>
      </c>
      <c r="E354" s="11" t="str">
        <f t="shared" si="40"/>
        <v>C-TRAL-UPVD (Civil - Senderos o senderos: superficie sin pavimentar)</v>
      </c>
      <c r="F354" s="19" t="s">
        <v>3798</v>
      </c>
      <c r="G354" s="19" t="s">
        <v>3797</v>
      </c>
      <c r="H354" s="19" t="s">
        <v>3811</v>
      </c>
      <c r="I354" s="10">
        <v>0</v>
      </c>
      <c r="J354" s="10" t="str">
        <f t="shared" si="41"/>
        <v>Civil - Senderos o senderos: superficie sin pavimentar</v>
      </c>
      <c r="K354" s="11" t="s">
        <v>1663</v>
      </c>
      <c r="L354" s="11" t="s">
        <v>7</v>
      </c>
      <c r="M354" s="11" t="s">
        <v>1664</v>
      </c>
      <c r="N354" s="18" t="str">
        <f t="shared" si="42"/>
        <v xml:space="preserve">-LAYER N C-TRAL-UPVD </v>
      </c>
      <c r="O354" s="11" t="str">
        <f t="shared" si="43"/>
        <v xml:space="preserve">-LAYER C white C-TRAL-UPVD </v>
      </c>
      <c r="P354" s="11" t="str">
        <f t="shared" si="44"/>
        <v xml:space="preserve">-LAYER L Continuous
C-TRAL-UPVD  </v>
      </c>
      <c r="Q354" s="11" t="str">
        <f t="shared" si="45"/>
        <v xml:space="preserve">-LAYER LW Default
C-TRAL-UPVD  </v>
      </c>
      <c r="R354" s="11" t="str">
        <f t="shared" si="46"/>
        <v xml:space="preserve">-LAYER TR 0
C-TRAL-UPVD  </v>
      </c>
      <c r="S354" s="11" t="str">
        <f t="shared" si="47"/>
        <v xml:space="preserve">-LAYER D Civil - Senderos o senderos: superficie sin pavimentar
C-TRAL-UPVD  </v>
      </c>
    </row>
    <row r="355" spans="1:19" x14ac:dyDescent="0.45">
      <c r="A355" s="7">
        <v>1</v>
      </c>
      <c r="B355" s="11" t="s">
        <v>3280</v>
      </c>
      <c r="C355" s="11" t="s">
        <v>7</v>
      </c>
      <c r="D355" s="11" t="s">
        <v>685</v>
      </c>
      <c r="E355" s="11" t="str">
        <f t="shared" si="40"/>
        <v>C-WALL (Civil - Muros)</v>
      </c>
      <c r="F355" s="10" t="s">
        <v>3798</v>
      </c>
      <c r="G355" s="10" t="s">
        <v>3797</v>
      </c>
      <c r="H355" s="10">
        <v>0.6</v>
      </c>
      <c r="I355" s="10">
        <v>0</v>
      </c>
      <c r="J355" s="10" t="str">
        <f t="shared" si="41"/>
        <v>Civil - Muros</v>
      </c>
      <c r="K355" s="11" t="s">
        <v>1666</v>
      </c>
      <c r="L355" s="11" t="s">
        <v>7</v>
      </c>
      <c r="M355" s="11" t="s">
        <v>684</v>
      </c>
      <c r="N355" s="18" t="str">
        <f t="shared" si="42"/>
        <v xml:space="preserve">-LAYER N C-WALL </v>
      </c>
      <c r="O355" s="11" t="str">
        <f t="shared" si="43"/>
        <v xml:space="preserve">-LAYER C white C-WALL </v>
      </c>
      <c r="P355" s="11" t="str">
        <f t="shared" si="44"/>
        <v xml:space="preserve">-LAYER L Continuous
C-WALL  </v>
      </c>
      <c r="Q355" s="11" t="str">
        <f t="shared" si="45"/>
        <v xml:space="preserve">-LAYER LW 0.6
C-WALL  </v>
      </c>
      <c r="R355" s="11" t="str">
        <f t="shared" si="46"/>
        <v xml:space="preserve">-LAYER TR 0
C-WALL  </v>
      </c>
      <c r="S355" s="11" t="str">
        <f t="shared" si="47"/>
        <v xml:space="preserve">-LAYER D Civil - Muros
C-WALL  </v>
      </c>
    </row>
    <row r="356" spans="1:19" x14ac:dyDescent="0.45">
      <c r="A356" s="7">
        <v>0</v>
      </c>
      <c r="B356" s="11" t="s">
        <v>3281</v>
      </c>
      <c r="C356" s="11" t="s">
        <v>7</v>
      </c>
      <c r="D356" s="11" t="s">
        <v>1669</v>
      </c>
      <c r="E356" s="11" t="str">
        <f t="shared" si="40"/>
        <v>C-WALL-CTLJ (Civil - Muros: junta de control)</v>
      </c>
      <c r="F356" s="19" t="s">
        <v>3798</v>
      </c>
      <c r="G356" s="19" t="s">
        <v>3797</v>
      </c>
      <c r="H356" s="19" t="s">
        <v>3811</v>
      </c>
      <c r="I356" s="10">
        <v>0</v>
      </c>
      <c r="J356" s="10" t="str">
        <f t="shared" si="41"/>
        <v>Civil - Muros: junta de control</v>
      </c>
      <c r="K356" s="11" t="s">
        <v>1667</v>
      </c>
      <c r="L356" s="11" t="s">
        <v>7</v>
      </c>
      <c r="M356" s="11" t="s">
        <v>1668</v>
      </c>
      <c r="N356" s="18" t="str">
        <f t="shared" si="42"/>
        <v xml:space="preserve">-LAYER N C-WALL-CTLJ </v>
      </c>
      <c r="O356" s="11" t="str">
        <f t="shared" si="43"/>
        <v xml:space="preserve">-LAYER C white C-WALL-CTLJ </v>
      </c>
      <c r="P356" s="11" t="str">
        <f t="shared" si="44"/>
        <v xml:space="preserve">-LAYER L Continuous
C-WALL-CTLJ  </v>
      </c>
      <c r="Q356" s="11" t="str">
        <f t="shared" si="45"/>
        <v xml:space="preserve">-LAYER LW Default
C-WALL-CTLJ  </v>
      </c>
      <c r="R356" s="11" t="str">
        <f t="shared" si="46"/>
        <v xml:space="preserve">-LAYER TR 0
C-WALL-CTLJ  </v>
      </c>
      <c r="S356" s="11" t="str">
        <f t="shared" si="47"/>
        <v xml:space="preserve">-LAYER D Civil - Muros: junta de control
C-WALL-CTLJ  </v>
      </c>
    </row>
    <row r="357" spans="1:19" x14ac:dyDescent="0.45">
      <c r="A357" s="7">
        <v>0</v>
      </c>
      <c r="B357" s="11" t="s">
        <v>3282</v>
      </c>
      <c r="C357" s="11" t="s">
        <v>7</v>
      </c>
      <c r="D357" s="11" t="s">
        <v>1672</v>
      </c>
      <c r="E357" s="11" t="str">
        <f t="shared" si="40"/>
        <v>C-WALL-NSBR (Civil - Muros: barrera acústica)</v>
      </c>
      <c r="F357" s="19" t="s">
        <v>3798</v>
      </c>
      <c r="G357" s="19" t="s">
        <v>3797</v>
      </c>
      <c r="H357" s="19" t="s">
        <v>3811</v>
      </c>
      <c r="I357" s="10">
        <v>0</v>
      </c>
      <c r="J357" s="10" t="str">
        <f t="shared" si="41"/>
        <v>Civil - Muros: barrera acústica</v>
      </c>
      <c r="K357" s="11" t="s">
        <v>1670</v>
      </c>
      <c r="L357" s="11" t="s">
        <v>7</v>
      </c>
      <c r="M357" s="11" t="s">
        <v>1671</v>
      </c>
      <c r="N357" s="18" t="str">
        <f t="shared" si="42"/>
        <v xml:space="preserve">-LAYER N C-WALL-NSBR </v>
      </c>
      <c r="O357" s="11" t="str">
        <f t="shared" si="43"/>
        <v xml:space="preserve">-LAYER C white C-WALL-NSBR </v>
      </c>
      <c r="P357" s="11" t="str">
        <f t="shared" si="44"/>
        <v xml:space="preserve">-LAYER L Continuous
C-WALL-NSBR  </v>
      </c>
      <c r="Q357" s="11" t="str">
        <f t="shared" si="45"/>
        <v xml:space="preserve">-LAYER LW Default
C-WALL-NSBR  </v>
      </c>
      <c r="R357" s="11" t="str">
        <f t="shared" si="46"/>
        <v xml:space="preserve">-LAYER TR 0
C-WALL-NSBR  </v>
      </c>
      <c r="S357" s="11" t="str">
        <f t="shared" si="47"/>
        <v xml:space="preserve">-LAYER D Civil - Muros: barrera acústica
C-WALL-NSBR  </v>
      </c>
    </row>
    <row r="358" spans="1:19" x14ac:dyDescent="0.45">
      <c r="A358" s="7">
        <v>0</v>
      </c>
      <c r="B358" s="11" t="s">
        <v>3283</v>
      </c>
      <c r="C358" s="11" t="s">
        <v>7</v>
      </c>
      <c r="D358" s="11" t="s">
        <v>1675</v>
      </c>
      <c r="E358" s="11" t="str">
        <f t="shared" si="40"/>
        <v>C-WALL-RTWL (Civil - Muros: muro de contención)</v>
      </c>
      <c r="F358" s="19" t="s">
        <v>3798</v>
      </c>
      <c r="G358" s="19" t="s">
        <v>3797</v>
      </c>
      <c r="H358" s="19" t="s">
        <v>3811</v>
      </c>
      <c r="I358" s="10">
        <v>0</v>
      </c>
      <c r="J358" s="10" t="str">
        <f t="shared" si="41"/>
        <v>Civil - Muros: muro de contención</v>
      </c>
      <c r="K358" s="11" t="s">
        <v>1673</v>
      </c>
      <c r="L358" s="11" t="s">
        <v>7</v>
      </c>
      <c r="M358" s="11" t="s">
        <v>1674</v>
      </c>
      <c r="N358" s="18" t="str">
        <f t="shared" si="42"/>
        <v xml:space="preserve">-LAYER N C-WALL-RTWL </v>
      </c>
      <c r="O358" s="11" t="str">
        <f t="shared" si="43"/>
        <v xml:space="preserve">-LAYER C white C-WALL-RTWL </v>
      </c>
      <c r="P358" s="11" t="str">
        <f t="shared" si="44"/>
        <v xml:space="preserve">-LAYER L Continuous
C-WALL-RTWL  </v>
      </c>
      <c r="Q358" s="11" t="str">
        <f t="shared" si="45"/>
        <v xml:space="preserve">-LAYER LW Default
C-WALL-RTWL  </v>
      </c>
      <c r="R358" s="11" t="str">
        <f t="shared" si="46"/>
        <v xml:space="preserve">-LAYER TR 0
C-WALL-RTWL  </v>
      </c>
      <c r="S358" s="11" t="str">
        <f t="shared" si="47"/>
        <v xml:space="preserve">-LAYER D Civil - Muros: muro de contención
C-WALL-RTWL  </v>
      </c>
    </row>
    <row r="359" spans="1:19" x14ac:dyDescent="0.45">
      <c r="A359" s="7">
        <v>0</v>
      </c>
      <c r="B359" s="11" t="s">
        <v>3284</v>
      </c>
      <c r="C359" s="11" t="s">
        <v>7</v>
      </c>
      <c r="D359" s="11" t="s">
        <v>1678</v>
      </c>
      <c r="E359" s="11" t="str">
        <f t="shared" si="40"/>
        <v>C-WALL-SHEA (Civil - Muros: muros de carga o de corte)</v>
      </c>
      <c r="F359" s="19" t="s">
        <v>3798</v>
      </c>
      <c r="G359" s="19" t="s">
        <v>3797</v>
      </c>
      <c r="H359" s="19" t="s">
        <v>3811</v>
      </c>
      <c r="I359" s="10">
        <v>0</v>
      </c>
      <c r="J359" s="10" t="str">
        <f t="shared" si="41"/>
        <v>Civil - Muros: muros de carga o de corte</v>
      </c>
      <c r="K359" s="11" t="s">
        <v>1676</v>
      </c>
      <c r="L359" s="11" t="s">
        <v>7</v>
      </c>
      <c r="M359" s="11" t="s">
        <v>1677</v>
      </c>
      <c r="N359" s="18" t="str">
        <f t="shared" si="42"/>
        <v xml:space="preserve">-LAYER N C-WALL-SHEA </v>
      </c>
      <c r="O359" s="11" t="str">
        <f t="shared" si="43"/>
        <v xml:space="preserve">-LAYER C white C-WALL-SHEA </v>
      </c>
      <c r="P359" s="11" t="str">
        <f t="shared" si="44"/>
        <v xml:space="preserve">-LAYER L Continuous
C-WALL-SHEA  </v>
      </c>
      <c r="Q359" s="11" t="str">
        <f t="shared" si="45"/>
        <v xml:space="preserve">-LAYER LW Default
C-WALL-SHEA  </v>
      </c>
      <c r="R359" s="11" t="str">
        <f t="shared" si="46"/>
        <v xml:space="preserve">-LAYER TR 0
C-WALL-SHEA  </v>
      </c>
      <c r="S359" s="11" t="str">
        <f t="shared" si="47"/>
        <v xml:space="preserve">-LAYER D Civil - Muros: muros de carga o de corte
C-WALL-SHEA  </v>
      </c>
    </row>
    <row r="360" spans="1:19" x14ac:dyDescent="0.45">
      <c r="A360" s="7">
        <v>1</v>
      </c>
      <c r="B360" s="11" t="s">
        <v>3285</v>
      </c>
      <c r="C360" s="11" t="s">
        <v>7</v>
      </c>
      <c r="D360" s="11" t="s">
        <v>688</v>
      </c>
      <c r="E360" s="11" t="str">
        <f t="shared" si="40"/>
        <v>C-WATR (Civil - Suministro de agua)</v>
      </c>
      <c r="F360" s="19" t="s">
        <v>3798</v>
      </c>
      <c r="G360" s="19" t="s">
        <v>3797</v>
      </c>
      <c r="H360" s="19" t="s">
        <v>3811</v>
      </c>
      <c r="I360" s="10">
        <v>0</v>
      </c>
      <c r="J360" s="10" t="str">
        <f t="shared" si="41"/>
        <v>Civil - Suministro de agua</v>
      </c>
      <c r="K360" s="11" t="s">
        <v>1679</v>
      </c>
      <c r="L360" s="11" t="s">
        <v>7</v>
      </c>
      <c r="M360" s="11" t="s">
        <v>687</v>
      </c>
      <c r="N360" s="18" t="str">
        <f t="shared" si="42"/>
        <v xml:space="preserve">-LAYER N C-WATR </v>
      </c>
      <c r="O360" s="11" t="str">
        <f t="shared" si="43"/>
        <v xml:space="preserve">-LAYER C white C-WATR </v>
      </c>
      <c r="P360" s="11" t="str">
        <f t="shared" si="44"/>
        <v xml:space="preserve">-LAYER L Continuous
C-WATR  </v>
      </c>
      <c r="Q360" s="11" t="str">
        <f t="shared" si="45"/>
        <v xml:space="preserve">-LAYER LW Default
C-WATR  </v>
      </c>
      <c r="R360" s="11" t="str">
        <f t="shared" si="46"/>
        <v xml:space="preserve">-LAYER TR 0
C-WATR  </v>
      </c>
      <c r="S360" s="11" t="str">
        <f t="shared" si="47"/>
        <v xml:space="preserve">-LAYER D Civil - Suministro de agua
C-WATR  </v>
      </c>
    </row>
    <row r="361" spans="1:19" x14ac:dyDescent="0.45">
      <c r="A361" s="7">
        <v>0</v>
      </c>
      <c r="B361" s="11" t="s">
        <v>3286</v>
      </c>
      <c r="C361" s="11" t="s">
        <v>7</v>
      </c>
      <c r="D361" s="11" t="s">
        <v>1682</v>
      </c>
      <c r="E361" s="11" t="str">
        <f t="shared" si="40"/>
        <v>C-WATR-DIAG (Civil - Suministro de agua: diagramas)</v>
      </c>
      <c r="F361" s="19" t="s">
        <v>3798</v>
      </c>
      <c r="G361" s="19" t="s">
        <v>3797</v>
      </c>
      <c r="H361" s="19" t="s">
        <v>3811</v>
      </c>
      <c r="I361" s="10">
        <v>0</v>
      </c>
      <c r="J361" s="10" t="str">
        <f t="shared" si="41"/>
        <v>Civil - Suministro de agua: diagramas</v>
      </c>
      <c r="K361" s="11" t="s">
        <v>1680</v>
      </c>
      <c r="L361" s="11" t="s">
        <v>7</v>
      </c>
      <c r="M361" s="11" t="s">
        <v>1681</v>
      </c>
      <c r="N361" s="18" t="str">
        <f t="shared" si="42"/>
        <v xml:space="preserve">-LAYER N C-WATR-DIAG </v>
      </c>
      <c r="O361" s="11" t="str">
        <f t="shared" si="43"/>
        <v xml:space="preserve">-LAYER C white C-WATR-DIAG </v>
      </c>
      <c r="P361" s="11" t="str">
        <f t="shared" si="44"/>
        <v xml:space="preserve">-LAYER L Continuous
C-WATR-DIAG  </v>
      </c>
      <c r="Q361" s="11" t="str">
        <f t="shared" si="45"/>
        <v xml:space="preserve">-LAYER LW Default
C-WATR-DIAG  </v>
      </c>
      <c r="R361" s="11" t="str">
        <f t="shared" si="46"/>
        <v xml:space="preserve">-LAYER TR 0
C-WATR-DIAG  </v>
      </c>
      <c r="S361" s="11" t="str">
        <f t="shared" si="47"/>
        <v xml:space="preserve">-LAYER D Civil - Suministro de agua: diagramas
C-WATR-DIAG  </v>
      </c>
    </row>
    <row r="362" spans="1:19" x14ac:dyDescent="0.45">
      <c r="A362" s="7">
        <v>0</v>
      </c>
      <c r="B362" s="11" t="s">
        <v>3287</v>
      </c>
      <c r="C362" s="11" t="s">
        <v>7</v>
      </c>
      <c r="D362" s="11" t="s">
        <v>1685</v>
      </c>
      <c r="E362" s="11" t="str">
        <f t="shared" si="40"/>
        <v>C-WATR-INST (Civil - Suministro de agua: instrumentación (medidores, válvulas, etc.))</v>
      </c>
      <c r="F362" s="19" t="s">
        <v>3798</v>
      </c>
      <c r="G362" s="19" t="s">
        <v>3797</v>
      </c>
      <c r="H362" s="19" t="s">
        <v>3811</v>
      </c>
      <c r="I362" s="10">
        <v>0</v>
      </c>
      <c r="J362" s="10" t="str">
        <f t="shared" si="41"/>
        <v>Civil - Suministro de agua: instrumentación (medidores, válvulas, etc.)</v>
      </c>
      <c r="K362" s="11" t="s">
        <v>1683</v>
      </c>
      <c r="L362" s="11" t="s">
        <v>7</v>
      </c>
      <c r="M362" s="11" t="s">
        <v>1684</v>
      </c>
      <c r="N362" s="18" t="str">
        <f t="shared" si="42"/>
        <v xml:space="preserve">-LAYER N C-WATR-INST </v>
      </c>
      <c r="O362" s="11" t="str">
        <f t="shared" si="43"/>
        <v xml:space="preserve">-LAYER C white C-WATR-INST </v>
      </c>
      <c r="P362" s="11" t="str">
        <f t="shared" si="44"/>
        <v xml:space="preserve">-LAYER L Continuous
C-WATR-INST  </v>
      </c>
      <c r="Q362" s="11" t="str">
        <f t="shared" si="45"/>
        <v xml:space="preserve">-LAYER LW Default
C-WATR-INST  </v>
      </c>
      <c r="R362" s="11" t="str">
        <f t="shared" si="46"/>
        <v xml:space="preserve">-LAYER TR 0
C-WATR-INST  </v>
      </c>
      <c r="S362" s="11" t="str">
        <f t="shared" si="47"/>
        <v xml:space="preserve">-LAYER D Civil - Suministro de agua: instrumentación (medidores, válvulas, etc.)
C-WATR-INST  </v>
      </c>
    </row>
    <row r="363" spans="1:19" x14ac:dyDescent="0.45">
      <c r="A363" s="7">
        <v>0</v>
      </c>
      <c r="B363" s="11" t="s">
        <v>3288</v>
      </c>
      <c r="C363" s="11" t="s">
        <v>7</v>
      </c>
      <c r="D363" s="11" t="s">
        <v>1688</v>
      </c>
      <c r="E363" s="11" t="str">
        <f t="shared" si="40"/>
        <v>C-WATR-PIPE (Civil - Suministro de agua: tuberías)</v>
      </c>
      <c r="F363" s="19" t="s">
        <v>3798</v>
      </c>
      <c r="G363" s="19" t="s">
        <v>3797</v>
      </c>
      <c r="H363" s="19" t="s">
        <v>3811</v>
      </c>
      <c r="I363" s="10">
        <v>0</v>
      </c>
      <c r="J363" s="10" t="str">
        <f t="shared" si="41"/>
        <v>Civil - Suministro de agua: tuberías</v>
      </c>
      <c r="K363" s="11" t="s">
        <v>1686</v>
      </c>
      <c r="L363" s="11" t="s">
        <v>7</v>
      </c>
      <c r="M363" s="11" t="s">
        <v>1687</v>
      </c>
      <c r="N363" s="18" t="str">
        <f t="shared" si="42"/>
        <v xml:space="preserve">-LAYER N C-WATR-PIPE </v>
      </c>
      <c r="O363" s="11" t="str">
        <f t="shared" si="43"/>
        <v xml:space="preserve">-LAYER C white C-WATR-PIPE </v>
      </c>
      <c r="P363" s="11" t="str">
        <f t="shared" si="44"/>
        <v xml:space="preserve">-LAYER L Continuous
C-WATR-PIPE  </v>
      </c>
      <c r="Q363" s="11" t="str">
        <f t="shared" si="45"/>
        <v xml:space="preserve">-LAYER LW Default
C-WATR-PIPE  </v>
      </c>
      <c r="R363" s="11" t="str">
        <f t="shared" si="46"/>
        <v xml:space="preserve">-LAYER TR 0
C-WATR-PIPE  </v>
      </c>
      <c r="S363" s="11" t="str">
        <f t="shared" si="47"/>
        <v xml:space="preserve">-LAYER D Civil - Suministro de agua: tuberías
C-WATR-PIPE  </v>
      </c>
    </row>
    <row r="364" spans="1:19" x14ac:dyDescent="0.45">
      <c r="A364" s="7">
        <v>0</v>
      </c>
      <c r="B364" s="11" t="s">
        <v>3289</v>
      </c>
      <c r="C364" s="11" t="s">
        <v>7</v>
      </c>
      <c r="D364" s="11" t="s">
        <v>1691</v>
      </c>
      <c r="E364" s="11" t="str">
        <f t="shared" si="40"/>
        <v>C-WATR-PROF (Civil - Suministro de agua: perfil)</v>
      </c>
      <c r="F364" s="19" t="s">
        <v>3798</v>
      </c>
      <c r="G364" s="19" t="s">
        <v>3797</v>
      </c>
      <c r="H364" s="19" t="s">
        <v>3811</v>
      </c>
      <c r="I364" s="10">
        <v>0</v>
      </c>
      <c r="J364" s="10" t="str">
        <f t="shared" si="41"/>
        <v>Civil - Suministro de agua: perfil</v>
      </c>
      <c r="K364" s="11" t="s">
        <v>1689</v>
      </c>
      <c r="L364" s="11" t="s">
        <v>7</v>
      </c>
      <c r="M364" s="11" t="s">
        <v>1690</v>
      </c>
      <c r="N364" s="18" t="str">
        <f t="shared" si="42"/>
        <v xml:space="preserve">-LAYER N C-WATR-PROF </v>
      </c>
      <c r="O364" s="11" t="str">
        <f t="shared" si="43"/>
        <v xml:space="preserve">-LAYER C white C-WATR-PROF </v>
      </c>
      <c r="P364" s="11" t="str">
        <f t="shared" si="44"/>
        <v xml:space="preserve">-LAYER L Continuous
C-WATR-PROF  </v>
      </c>
      <c r="Q364" s="11" t="str">
        <f t="shared" si="45"/>
        <v xml:space="preserve">-LAYER LW Default
C-WATR-PROF  </v>
      </c>
      <c r="R364" s="11" t="str">
        <f t="shared" si="46"/>
        <v xml:space="preserve">-LAYER TR 0
C-WATR-PROF  </v>
      </c>
      <c r="S364" s="11" t="str">
        <f t="shared" si="47"/>
        <v xml:space="preserve">-LAYER D Civil - Suministro de agua: perfil
C-WATR-PROF  </v>
      </c>
    </row>
    <row r="365" spans="1:19" x14ac:dyDescent="0.45">
      <c r="A365" s="7">
        <v>0</v>
      </c>
      <c r="B365" s="11" t="s">
        <v>3290</v>
      </c>
      <c r="C365" s="11" t="s">
        <v>7</v>
      </c>
      <c r="D365" s="11" t="s">
        <v>1694</v>
      </c>
      <c r="E365" s="11" t="str">
        <f t="shared" si="40"/>
        <v>C-WATR-STAN (Civil - Suministro de agua: estacionamiento)</v>
      </c>
      <c r="F365" s="19" t="s">
        <v>3798</v>
      </c>
      <c r="G365" s="19" t="s">
        <v>3797</v>
      </c>
      <c r="H365" s="19" t="s">
        <v>3811</v>
      </c>
      <c r="I365" s="10">
        <v>0</v>
      </c>
      <c r="J365" s="10" t="str">
        <f t="shared" si="41"/>
        <v>Civil - Suministro de agua: estacionamiento</v>
      </c>
      <c r="K365" s="11" t="s">
        <v>1692</v>
      </c>
      <c r="L365" s="11" t="s">
        <v>7</v>
      </c>
      <c r="M365" s="11" t="s">
        <v>1693</v>
      </c>
      <c r="N365" s="18" t="str">
        <f t="shared" si="42"/>
        <v xml:space="preserve">-LAYER N C-WATR-STAN </v>
      </c>
      <c r="O365" s="11" t="str">
        <f t="shared" si="43"/>
        <v xml:space="preserve">-LAYER C white C-WATR-STAN </v>
      </c>
      <c r="P365" s="11" t="str">
        <f t="shared" si="44"/>
        <v xml:space="preserve">-LAYER L Continuous
C-WATR-STAN  </v>
      </c>
      <c r="Q365" s="11" t="str">
        <f t="shared" si="45"/>
        <v xml:space="preserve">-LAYER LW Default
C-WATR-STAN  </v>
      </c>
      <c r="R365" s="11" t="str">
        <f t="shared" si="46"/>
        <v xml:space="preserve">-LAYER TR 0
C-WATR-STAN  </v>
      </c>
      <c r="S365" s="11" t="str">
        <f t="shared" si="47"/>
        <v xml:space="preserve">-LAYER D Civil - Suministro de agua: estacionamiento
C-WATR-STAN  </v>
      </c>
    </row>
    <row r="366" spans="1:19" x14ac:dyDescent="0.45">
      <c r="A366" s="7">
        <v>0</v>
      </c>
      <c r="B366" s="11" t="s">
        <v>3291</v>
      </c>
      <c r="C366" s="11" t="s">
        <v>7</v>
      </c>
      <c r="D366" s="11" t="s">
        <v>1697</v>
      </c>
      <c r="E366" s="11" t="str">
        <f t="shared" si="40"/>
        <v>C-WATR-STRC (Civil - Suministro de agua: estructuras)</v>
      </c>
      <c r="F366" s="19" t="s">
        <v>3798</v>
      </c>
      <c r="G366" s="19" t="s">
        <v>3797</v>
      </c>
      <c r="H366" s="19" t="s">
        <v>3811</v>
      </c>
      <c r="I366" s="10">
        <v>0</v>
      </c>
      <c r="J366" s="10" t="str">
        <f t="shared" si="41"/>
        <v>Civil - Suministro de agua: estructuras</v>
      </c>
      <c r="K366" s="11" t="s">
        <v>1695</v>
      </c>
      <c r="L366" s="11" t="s">
        <v>7</v>
      </c>
      <c r="M366" s="11" t="s">
        <v>1696</v>
      </c>
      <c r="N366" s="18" t="str">
        <f t="shared" si="42"/>
        <v xml:space="preserve">-LAYER N C-WATR-STRC </v>
      </c>
      <c r="O366" s="11" t="str">
        <f t="shared" si="43"/>
        <v xml:space="preserve">-LAYER C white C-WATR-STRC </v>
      </c>
      <c r="P366" s="11" t="str">
        <f t="shared" si="44"/>
        <v xml:space="preserve">-LAYER L Continuous
C-WATR-STRC  </v>
      </c>
      <c r="Q366" s="11" t="str">
        <f t="shared" si="45"/>
        <v xml:space="preserve">-LAYER LW Default
C-WATR-STRC  </v>
      </c>
      <c r="R366" s="11" t="str">
        <f t="shared" si="46"/>
        <v xml:space="preserve">-LAYER TR 0
C-WATR-STRC  </v>
      </c>
      <c r="S366" s="11" t="str">
        <f t="shared" si="47"/>
        <v xml:space="preserve">-LAYER D Civil - Suministro de agua: estructuras
C-WATR-STRC  </v>
      </c>
    </row>
    <row r="367" spans="1:19" x14ac:dyDescent="0.45">
      <c r="A367" s="7">
        <v>0</v>
      </c>
      <c r="B367" s="11" t="s">
        <v>3292</v>
      </c>
      <c r="C367" s="11" t="s">
        <v>7</v>
      </c>
      <c r="D367" s="11" t="s">
        <v>1700</v>
      </c>
      <c r="E367" s="11" t="str">
        <f t="shared" si="40"/>
        <v>C-WATR-UGND (Civil - Suministro de agua: subterráneo)</v>
      </c>
      <c r="F367" s="19" t="s">
        <v>3798</v>
      </c>
      <c r="G367" s="19" t="s">
        <v>3797</v>
      </c>
      <c r="H367" s="19" t="s">
        <v>3811</v>
      </c>
      <c r="I367" s="10">
        <v>0</v>
      </c>
      <c r="J367" s="10" t="str">
        <f t="shared" si="41"/>
        <v>Civil - Suministro de agua: subterráneo</v>
      </c>
      <c r="K367" s="11" t="s">
        <v>1698</v>
      </c>
      <c r="L367" s="11" t="s">
        <v>7</v>
      </c>
      <c r="M367" s="11" t="s">
        <v>1699</v>
      </c>
      <c r="N367" s="18" t="str">
        <f t="shared" si="42"/>
        <v xml:space="preserve">-LAYER N C-WATR-UGND </v>
      </c>
      <c r="O367" s="11" t="str">
        <f t="shared" si="43"/>
        <v xml:space="preserve">-LAYER C white C-WATR-UGND </v>
      </c>
      <c r="P367" s="11" t="str">
        <f t="shared" si="44"/>
        <v xml:space="preserve">-LAYER L Continuous
C-WATR-UGND  </v>
      </c>
      <c r="Q367" s="11" t="str">
        <f t="shared" si="45"/>
        <v xml:space="preserve">-LAYER LW Default
C-WATR-UGND  </v>
      </c>
      <c r="R367" s="11" t="str">
        <f t="shared" si="46"/>
        <v xml:space="preserve">-LAYER TR 0
C-WATR-UGND  </v>
      </c>
      <c r="S367" s="11" t="str">
        <f t="shared" si="47"/>
        <v xml:space="preserve">-LAYER D Civil - Suministro de agua: subterráneo
C-WATR-UGND  </v>
      </c>
    </row>
    <row r="368" spans="1:19" x14ac:dyDescent="0.45">
      <c r="A368" s="7">
        <v>0</v>
      </c>
      <c r="B368" s="11" t="s">
        <v>3293</v>
      </c>
      <c r="C368" s="11" t="s">
        <v>7</v>
      </c>
      <c r="D368" s="11" t="s">
        <v>1703</v>
      </c>
      <c r="E368" s="11" t="str">
        <f t="shared" si="40"/>
        <v>C-WATR-WELL (Civil - Suministro de agua: pozo)</v>
      </c>
      <c r="F368" s="19" t="s">
        <v>3798</v>
      </c>
      <c r="G368" s="19" t="s">
        <v>3797</v>
      </c>
      <c r="H368" s="19" t="s">
        <v>3811</v>
      </c>
      <c r="I368" s="10">
        <v>0</v>
      </c>
      <c r="J368" s="10" t="str">
        <f t="shared" si="41"/>
        <v>Civil - Suministro de agua: pozo</v>
      </c>
      <c r="K368" s="11" t="s">
        <v>1701</v>
      </c>
      <c r="L368" s="11" t="s">
        <v>7</v>
      </c>
      <c r="M368" s="11" t="s">
        <v>1702</v>
      </c>
      <c r="N368" s="18" t="str">
        <f t="shared" si="42"/>
        <v xml:space="preserve">-LAYER N C-WATR-WELL </v>
      </c>
      <c r="O368" s="11" t="str">
        <f t="shared" si="43"/>
        <v xml:space="preserve">-LAYER C white C-WATR-WELL </v>
      </c>
      <c r="P368" s="11" t="str">
        <f t="shared" si="44"/>
        <v xml:space="preserve">-LAYER L Continuous
C-WATR-WELL  </v>
      </c>
      <c r="Q368" s="11" t="str">
        <f t="shared" si="45"/>
        <v xml:space="preserve">-LAYER LW Default
C-WATR-WELL  </v>
      </c>
      <c r="R368" s="11" t="str">
        <f t="shared" si="46"/>
        <v xml:space="preserve">-LAYER TR 0
C-WATR-WELL  </v>
      </c>
      <c r="S368" s="11" t="str">
        <f t="shared" si="47"/>
        <v xml:space="preserve">-LAYER D Civil - Suministro de agua: pozo
C-WATR-WELL  </v>
      </c>
    </row>
    <row r="369" spans="1:19" x14ac:dyDescent="0.45">
      <c r="A369" s="7">
        <v>0</v>
      </c>
      <c r="B369" s="11" t="s">
        <v>3294</v>
      </c>
      <c r="C369" s="11" t="s">
        <v>7</v>
      </c>
      <c r="D369" s="11" t="s">
        <v>691</v>
      </c>
      <c r="E369" s="11" t="str">
        <f t="shared" si="40"/>
        <v>C-WETL (Civil - Humedales)</v>
      </c>
      <c r="F369" s="19" t="s">
        <v>3798</v>
      </c>
      <c r="G369" s="19" t="s">
        <v>3797</v>
      </c>
      <c r="H369" s="19" t="s">
        <v>3811</v>
      </c>
      <c r="I369" s="10">
        <v>0</v>
      </c>
      <c r="J369" s="10" t="str">
        <f t="shared" si="41"/>
        <v>Civil - Humedales</v>
      </c>
      <c r="K369" s="11" t="s">
        <v>1704</v>
      </c>
      <c r="L369" s="11" t="s">
        <v>7</v>
      </c>
      <c r="M369" s="11" t="s">
        <v>690</v>
      </c>
      <c r="N369" s="18" t="str">
        <f t="shared" si="42"/>
        <v xml:space="preserve">-LAYER N C-WETL </v>
      </c>
      <c r="O369" s="11" t="str">
        <f t="shared" si="43"/>
        <v xml:space="preserve">-LAYER C white C-WETL </v>
      </c>
      <c r="P369" s="11" t="str">
        <f t="shared" si="44"/>
        <v xml:space="preserve">-LAYER L Continuous
C-WETL  </v>
      </c>
      <c r="Q369" s="11" t="str">
        <f t="shared" si="45"/>
        <v xml:space="preserve">-LAYER LW Default
C-WETL  </v>
      </c>
      <c r="R369" s="11" t="str">
        <f t="shared" si="46"/>
        <v xml:space="preserve">-LAYER TR 0
C-WETL  </v>
      </c>
      <c r="S369" s="11" t="str">
        <f t="shared" si="47"/>
        <v xml:space="preserve">-LAYER D Civil - Humedales
C-WETL  </v>
      </c>
    </row>
    <row r="370" spans="1:19" x14ac:dyDescent="0.45">
      <c r="A370" s="7">
        <v>0</v>
      </c>
      <c r="B370" s="11" t="s">
        <v>3295</v>
      </c>
      <c r="C370" s="11" t="s">
        <v>7</v>
      </c>
      <c r="D370" s="11" t="s">
        <v>697</v>
      </c>
      <c r="E370" s="11" t="str">
        <f t="shared" si="40"/>
        <v>C-WWAY (Civil - Vía fluvial)</v>
      </c>
      <c r="F370" s="19" t="s">
        <v>3798</v>
      </c>
      <c r="G370" s="19" t="s">
        <v>3797</v>
      </c>
      <c r="H370" s="19" t="s">
        <v>3811</v>
      </c>
      <c r="I370" s="10">
        <v>0</v>
      </c>
      <c r="J370" s="10" t="str">
        <f t="shared" si="41"/>
        <v>Civil - Vía fluvial</v>
      </c>
      <c r="K370" s="11" t="s">
        <v>1705</v>
      </c>
      <c r="L370" s="11" t="s">
        <v>7</v>
      </c>
      <c r="M370" s="11" t="s">
        <v>696</v>
      </c>
      <c r="N370" s="18" t="str">
        <f t="shared" si="42"/>
        <v xml:space="preserve">-LAYER N C-WWAY </v>
      </c>
      <c r="O370" s="11" t="str">
        <f t="shared" si="43"/>
        <v xml:space="preserve">-LAYER C white C-WWAY </v>
      </c>
      <c r="P370" s="11" t="str">
        <f t="shared" si="44"/>
        <v xml:space="preserve">-LAYER L Continuous
C-WWAY  </v>
      </c>
      <c r="Q370" s="11" t="str">
        <f t="shared" si="45"/>
        <v xml:space="preserve">-LAYER LW Default
C-WWAY  </v>
      </c>
      <c r="R370" s="11" t="str">
        <f t="shared" si="46"/>
        <v xml:space="preserve">-LAYER TR 0
C-WWAY  </v>
      </c>
      <c r="S370" s="11" t="str">
        <f t="shared" si="47"/>
        <v xml:space="preserve">-LAYER D Civil - Vía fluvial
C-WWAY  </v>
      </c>
    </row>
    <row r="371" spans="1:19" x14ac:dyDescent="0.45">
      <c r="A371" s="7">
        <v>0</v>
      </c>
      <c r="B371" s="11" t="s">
        <v>3296</v>
      </c>
      <c r="C371" s="11" t="s">
        <v>7</v>
      </c>
      <c r="D371" s="11" t="s">
        <v>1708</v>
      </c>
      <c r="E371" s="11" t="str">
        <f t="shared" si="40"/>
        <v>C-WWAY-DLPH (Civil - Vía fluvial: delfín)</v>
      </c>
      <c r="F371" s="19" t="s">
        <v>3798</v>
      </c>
      <c r="G371" s="19" t="s">
        <v>3797</v>
      </c>
      <c r="H371" s="19" t="s">
        <v>3811</v>
      </c>
      <c r="I371" s="10">
        <v>0</v>
      </c>
      <c r="J371" s="10" t="str">
        <f t="shared" si="41"/>
        <v>Civil - Vía fluvial: delfín</v>
      </c>
      <c r="K371" s="11" t="s">
        <v>1706</v>
      </c>
      <c r="L371" s="11" t="s">
        <v>7</v>
      </c>
      <c r="M371" s="11" t="s">
        <v>1707</v>
      </c>
      <c r="N371" s="18" t="str">
        <f t="shared" si="42"/>
        <v xml:space="preserve">-LAYER N C-WWAY-DLPH </v>
      </c>
      <c r="O371" s="11" t="str">
        <f t="shared" si="43"/>
        <v xml:space="preserve">-LAYER C white C-WWAY-DLPH </v>
      </c>
      <c r="P371" s="11" t="str">
        <f t="shared" si="44"/>
        <v xml:space="preserve">-LAYER L Continuous
C-WWAY-DLPH  </v>
      </c>
      <c r="Q371" s="11" t="str">
        <f t="shared" si="45"/>
        <v xml:space="preserve">-LAYER LW Default
C-WWAY-DLPH  </v>
      </c>
      <c r="R371" s="11" t="str">
        <f t="shared" si="46"/>
        <v xml:space="preserve">-LAYER TR 0
C-WWAY-DLPH  </v>
      </c>
      <c r="S371" s="11" t="str">
        <f t="shared" si="47"/>
        <v xml:space="preserve">-LAYER D Civil - Vía fluvial: delfín
C-WWAY-DLPH  </v>
      </c>
    </row>
    <row r="372" spans="1:19" x14ac:dyDescent="0.45">
      <c r="A372" s="7">
        <v>0</v>
      </c>
      <c r="B372" s="11" t="s">
        <v>3297</v>
      </c>
      <c r="C372" s="11" t="s">
        <v>7</v>
      </c>
      <c r="D372" s="11" t="s">
        <v>1711</v>
      </c>
      <c r="E372" s="11" t="str">
        <f t="shared" si="40"/>
        <v>C-WWAY-FEND (Civil - Vía fluvial: defensa)</v>
      </c>
      <c r="F372" s="19" t="s">
        <v>3798</v>
      </c>
      <c r="G372" s="19" t="s">
        <v>3797</v>
      </c>
      <c r="H372" s="19" t="s">
        <v>3811</v>
      </c>
      <c r="I372" s="10">
        <v>0</v>
      </c>
      <c r="J372" s="10" t="str">
        <f t="shared" si="41"/>
        <v>Civil - Vía fluvial: defensa</v>
      </c>
      <c r="K372" s="11" t="s">
        <v>1709</v>
      </c>
      <c r="L372" s="11" t="s">
        <v>7</v>
      </c>
      <c r="M372" s="11" t="s">
        <v>1710</v>
      </c>
      <c r="N372" s="18" t="str">
        <f t="shared" si="42"/>
        <v xml:space="preserve">-LAYER N C-WWAY-FEND </v>
      </c>
      <c r="O372" s="11" t="str">
        <f t="shared" si="43"/>
        <v xml:space="preserve">-LAYER C white C-WWAY-FEND </v>
      </c>
      <c r="P372" s="11" t="str">
        <f t="shared" si="44"/>
        <v xml:space="preserve">-LAYER L Continuous
C-WWAY-FEND  </v>
      </c>
      <c r="Q372" s="11" t="str">
        <f t="shared" si="45"/>
        <v xml:space="preserve">-LAYER LW Default
C-WWAY-FEND  </v>
      </c>
      <c r="R372" s="11" t="str">
        <f t="shared" si="46"/>
        <v xml:space="preserve">-LAYER TR 0
C-WWAY-FEND  </v>
      </c>
      <c r="S372" s="11" t="str">
        <f t="shared" si="47"/>
        <v xml:space="preserve">-LAYER D Civil - Vía fluvial: defensa
C-WWAY-FEND  </v>
      </c>
    </row>
    <row r="373" spans="1:19" x14ac:dyDescent="0.45">
      <c r="A373" s="7">
        <v>0</v>
      </c>
      <c r="B373" s="11" t="s">
        <v>3298</v>
      </c>
      <c r="C373" s="11" t="s">
        <v>7</v>
      </c>
      <c r="D373" s="11" t="s">
        <v>1714</v>
      </c>
      <c r="E373" s="11" t="str">
        <f t="shared" si="40"/>
        <v>C-WWAY-MOOR (Civil - Vía fluvial: amarre)</v>
      </c>
      <c r="F373" s="19" t="s">
        <v>3798</v>
      </c>
      <c r="G373" s="19" t="s">
        <v>3797</v>
      </c>
      <c r="H373" s="19" t="s">
        <v>3811</v>
      </c>
      <c r="I373" s="10">
        <v>0</v>
      </c>
      <c r="J373" s="10" t="str">
        <f t="shared" si="41"/>
        <v>Civil - Vía fluvial: amarre</v>
      </c>
      <c r="K373" s="11" t="s">
        <v>1712</v>
      </c>
      <c r="L373" s="11" t="s">
        <v>7</v>
      </c>
      <c r="M373" s="11" t="s">
        <v>1713</v>
      </c>
      <c r="N373" s="18" t="str">
        <f t="shared" si="42"/>
        <v xml:space="preserve">-LAYER N C-WWAY-MOOR </v>
      </c>
      <c r="O373" s="11" t="str">
        <f t="shared" si="43"/>
        <v xml:space="preserve">-LAYER C white C-WWAY-MOOR </v>
      </c>
      <c r="P373" s="11" t="str">
        <f t="shared" si="44"/>
        <v xml:space="preserve">-LAYER L Continuous
C-WWAY-MOOR  </v>
      </c>
      <c r="Q373" s="11" t="str">
        <f t="shared" si="45"/>
        <v xml:space="preserve">-LAYER LW Default
C-WWAY-MOOR  </v>
      </c>
      <c r="R373" s="11" t="str">
        <f t="shared" si="46"/>
        <v xml:space="preserve">-LAYER TR 0
C-WWAY-MOOR  </v>
      </c>
      <c r="S373" s="11" t="str">
        <f t="shared" si="47"/>
        <v xml:space="preserve">-LAYER D Civil - Vía fluvial: amarre
C-WWAY-MOOR  </v>
      </c>
    </row>
    <row r="374" spans="1:19" x14ac:dyDescent="0.45">
      <c r="A374" s="7">
        <v>0</v>
      </c>
      <c r="B374" s="11" t="s">
        <v>3299</v>
      </c>
      <c r="C374" s="11" t="s">
        <v>13</v>
      </c>
      <c r="D374" s="11" t="s">
        <v>156</v>
      </c>
      <c r="E374" s="11" t="str">
        <f t="shared" si="40"/>
        <v>E-ALRM (Electricidad - Sistema de alarma)</v>
      </c>
      <c r="F374" s="19" t="s">
        <v>3798</v>
      </c>
      <c r="G374" s="19" t="s">
        <v>3797</v>
      </c>
      <c r="H374" s="19" t="s">
        <v>3811</v>
      </c>
      <c r="I374" s="10">
        <v>0</v>
      </c>
      <c r="J374" s="10" t="str">
        <f t="shared" si="41"/>
        <v>Electricidad - Sistema de alarma</v>
      </c>
      <c r="K374" s="11" t="s">
        <v>1719</v>
      </c>
      <c r="L374" s="11" t="s">
        <v>12</v>
      </c>
      <c r="M374" s="11" t="s">
        <v>155</v>
      </c>
      <c r="N374" s="18" t="str">
        <f t="shared" si="42"/>
        <v xml:space="preserve">-LAYER N E-ALRM </v>
      </c>
      <c r="O374" s="11" t="str">
        <f t="shared" si="43"/>
        <v xml:space="preserve">-LAYER C white E-ALRM </v>
      </c>
      <c r="P374" s="11" t="str">
        <f t="shared" si="44"/>
        <v xml:space="preserve">-LAYER L Continuous
E-ALRM  </v>
      </c>
      <c r="Q374" s="11" t="str">
        <f t="shared" si="45"/>
        <v xml:space="preserve">-LAYER LW Default
E-ALRM  </v>
      </c>
      <c r="R374" s="11" t="str">
        <f t="shared" si="46"/>
        <v xml:space="preserve">-LAYER TR 0
E-ALRM  </v>
      </c>
      <c r="S374" s="11" t="str">
        <f t="shared" si="47"/>
        <v xml:space="preserve">-LAYER D Electricidad - Sistema de alarma
E-ALRM  </v>
      </c>
    </row>
    <row r="375" spans="1:19" x14ac:dyDescent="0.45">
      <c r="A375" s="7">
        <v>1</v>
      </c>
      <c r="B375" s="11" t="s">
        <v>3300</v>
      </c>
      <c r="C375" s="11" t="s">
        <v>13</v>
      </c>
      <c r="D375" s="11" t="s">
        <v>162</v>
      </c>
      <c r="E375" s="11" t="str">
        <f t="shared" si="40"/>
        <v>E-AREA (Electricidad - Área)</v>
      </c>
      <c r="F375" s="19" t="s">
        <v>3798</v>
      </c>
      <c r="G375" s="19" t="s">
        <v>3797</v>
      </c>
      <c r="H375" s="19" t="s">
        <v>3811</v>
      </c>
      <c r="I375" s="10">
        <v>0</v>
      </c>
      <c r="J375" s="10" t="str">
        <f t="shared" si="41"/>
        <v>Electricidad - Área</v>
      </c>
      <c r="K375" s="11" t="s">
        <v>1720</v>
      </c>
      <c r="L375" s="11" t="s">
        <v>12</v>
      </c>
      <c r="M375" s="11" t="s">
        <v>161</v>
      </c>
      <c r="N375" s="18" t="str">
        <f t="shared" si="42"/>
        <v xml:space="preserve">-LAYER N E-AREA </v>
      </c>
      <c r="O375" s="11" t="str">
        <f t="shared" si="43"/>
        <v xml:space="preserve">-LAYER C white E-AREA </v>
      </c>
      <c r="P375" s="11" t="str">
        <f t="shared" si="44"/>
        <v xml:space="preserve">-LAYER L Continuous
E-AREA  </v>
      </c>
      <c r="Q375" s="11" t="str">
        <f t="shared" si="45"/>
        <v xml:space="preserve">-LAYER LW Default
E-AREA  </v>
      </c>
      <c r="R375" s="11" t="str">
        <f t="shared" si="46"/>
        <v xml:space="preserve">-LAYER TR 0
E-AREA  </v>
      </c>
      <c r="S375" s="11" t="str">
        <f t="shared" si="47"/>
        <v xml:space="preserve">-LAYER D Electricidad - Área
E-AREA  </v>
      </c>
    </row>
    <row r="376" spans="1:19" x14ac:dyDescent="0.45">
      <c r="A376" s="7">
        <v>0</v>
      </c>
      <c r="B376" s="11" t="s">
        <v>3301</v>
      </c>
      <c r="C376" s="11" t="s">
        <v>13</v>
      </c>
      <c r="D376" s="11" t="s">
        <v>2019</v>
      </c>
      <c r="E376" s="11" t="str">
        <f t="shared" si="40"/>
        <v>E-AREA-OFST (Electricidad - Área: zonas descentradas)</v>
      </c>
      <c r="F376" s="19" t="s">
        <v>3798</v>
      </c>
      <c r="G376" s="19" t="s">
        <v>3797</v>
      </c>
      <c r="H376" s="19" t="s">
        <v>3811</v>
      </c>
      <c r="I376" s="10">
        <v>0</v>
      </c>
      <c r="J376" s="10" t="str">
        <f t="shared" si="41"/>
        <v>Electricidad - Área: zonas descentradas</v>
      </c>
      <c r="K376" s="11" t="s">
        <v>1721</v>
      </c>
      <c r="L376" s="11" t="s">
        <v>12</v>
      </c>
      <c r="M376" s="11" t="s">
        <v>1722</v>
      </c>
      <c r="N376" s="18" t="str">
        <f t="shared" si="42"/>
        <v xml:space="preserve">-LAYER N E-AREA-OFST </v>
      </c>
      <c r="O376" s="11" t="str">
        <f t="shared" si="43"/>
        <v xml:space="preserve">-LAYER C white E-AREA-OFST </v>
      </c>
      <c r="P376" s="11" t="str">
        <f t="shared" si="44"/>
        <v xml:space="preserve">-LAYER L Continuous
E-AREA-OFST  </v>
      </c>
      <c r="Q376" s="11" t="str">
        <f t="shared" si="45"/>
        <v xml:space="preserve">-LAYER LW Default
E-AREA-OFST  </v>
      </c>
      <c r="R376" s="11" t="str">
        <f t="shared" si="46"/>
        <v xml:space="preserve">-LAYER TR 0
E-AREA-OFST  </v>
      </c>
      <c r="S376" s="11" t="str">
        <f t="shared" si="47"/>
        <v xml:space="preserve">-LAYER D Electricidad - Área: zonas descentradas
E-AREA-OFST  </v>
      </c>
    </row>
    <row r="377" spans="1:19" x14ac:dyDescent="0.45">
      <c r="A377" s="7">
        <v>0</v>
      </c>
      <c r="B377" s="11" t="s">
        <v>3302</v>
      </c>
      <c r="C377" s="11" t="s">
        <v>13</v>
      </c>
      <c r="D377" s="11" t="s">
        <v>2020</v>
      </c>
      <c r="E377" s="11" t="str">
        <f t="shared" si="40"/>
        <v>E-AREA-SHAD (Electricidad - Área: zonas de sombra)</v>
      </c>
      <c r="F377" s="19" t="s">
        <v>3798</v>
      </c>
      <c r="G377" s="19" t="s">
        <v>3797</v>
      </c>
      <c r="H377" s="19" t="s">
        <v>3811</v>
      </c>
      <c r="I377" s="10">
        <v>0</v>
      </c>
      <c r="J377" s="10" t="str">
        <f t="shared" si="41"/>
        <v>Electricidad - Área: zonas de sombra</v>
      </c>
      <c r="K377" s="11" t="s">
        <v>1723</v>
      </c>
      <c r="L377" s="11" t="s">
        <v>12</v>
      </c>
      <c r="M377" s="11" t="s">
        <v>1724</v>
      </c>
      <c r="N377" s="18" t="str">
        <f t="shared" si="42"/>
        <v xml:space="preserve">-LAYER N E-AREA-SHAD </v>
      </c>
      <c r="O377" s="11" t="str">
        <f t="shared" si="43"/>
        <v xml:space="preserve">-LAYER C white E-AREA-SHAD </v>
      </c>
      <c r="P377" s="11" t="str">
        <f t="shared" si="44"/>
        <v xml:space="preserve">-LAYER L Continuous
E-AREA-SHAD  </v>
      </c>
      <c r="Q377" s="11" t="str">
        <f t="shared" si="45"/>
        <v xml:space="preserve">-LAYER LW Default
E-AREA-SHAD  </v>
      </c>
      <c r="R377" s="11" t="str">
        <f t="shared" si="46"/>
        <v xml:space="preserve">-LAYER TR 0
E-AREA-SHAD  </v>
      </c>
      <c r="S377" s="11" t="str">
        <f t="shared" si="47"/>
        <v xml:space="preserve">-LAYER D Electricidad - Área: zonas de sombra
E-AREA-SHAD  </v>
      </c>
    </row>
    <row r="378" spans="1:19" x14ac:dyDescent="0.45">
      <c r="A378" s="7">
        <v>1</v>
      </c>
      <c r="B378" s="11" t="s">
        <v>3303</v>
      </c>
      <c r="C378" s="11" t="s">
        <v>13</v>
      </c>
      <c r="D378" s="11" t="s">
        <v>165</v>
      </c>
      <c r="E378" s="11" t="str">
        <f t="shared" si="40"/>
        <v>E-AUXL (Electricidad - Sistemas auxiliares)</v>
      </c>
      <c r="F378" s="19" t="s">
        <v>3798</v>
      </c>
      <c r="G378" s="19" t="s">
        <v>3797</v>
      </c>
      <c r="H378" s="19" t="s">
        <v>3811</v>
      </c>
      <c r="I378" s="10">
        <v>0</v>
      </c>
      <c r="J378" s="10" t="str">
        <f t="shared" si="41"/>
        <v>Electricidad - Sistemas auxiliares</v>
      </c>
      <c r="K378" s="11" t="s">
        <v>1725</v>
      </c>
      <c r="L378" s="11" t="s">
        <v>12</v>
      </c>
      <c r="M378" s="11" t="s">
        <v>164</v>
      </c>
      <c r="N378" s="18" t="str">
        <f t="shared" si="42"/>
        <v xml:space="preserve">-LAYER N E-AUXL </v>
      </c>
      <c r="O378" s="11" t="str">
        <f t="shared" si="43"/>
        <v xml:space="preserve">-LAYER C white E-AUXL </v>
      </c>
      <c r="P378" s="11" t="str">
        <f t="shared" si="44"/>
        <v xml:space="preserve">-LAYER L Continuous
E-AUXL  </v>
      </c>
      <c r="Q378" s="11" t="str">
        <f t="shared" si="45"/>
        <v xml:space="preserve">-LAYER LW Default
E-AUXL  </v>
      </c>
      <c r="R378" s="11" t="str">
        <f t="shared" si="46"/>
        <v xml:space="preserve">-LAYER TR 0
E-AUXL  </v>
      </c>
      <c r="S378" s="11" t="str">
        <f t="shared" si="47"/>
        <v xml:space="preserve">-LAYER D Electricidad - Sistemas auxiliares
E-AUXL  </v>
      </c>
    </row>
    <row r="379" spans="1:19" x14ac:dyDescent="0.45">
      <c r="A379" s="7">
        <v>0</v>
      </c>
      <c r="B379" s="11" t="s">
        <v>3304</v>
      </c>
      <c r="C379" s="11" t="s">
        <v>13</v>
      </c>
      <c r="D379" s="11" t="s">
        <v>2021</v>
      </c>
      <c r="E379" s="11" t="str">
        <f t="shared" si="40"/>
        <v>E-BELL (Electricidad - Sistema de timbre)</v>
      </c>
      <c r="F379" s="19" t="s">
        <v>3798</v>
      </c>
      <c r="G379" s="19" t="s">
        <v>3797</v>
      </c>
      <c r="H379" s="19" t="s">
        <v>3811</v>
      </c>
      <c r="I379" s="10">
        <v>0</v>
      </c>
      <c r="J379" s="10" t="str">
        <f t="shared" si="41"/>
        <v>Electricidad - Sistema de timbre</v>
      </c>
      <c r="K379" s="11" t="s">
        <v>1726</v>
      </c>
      <c r="L379" s="11" t="s">
        <v>12</v>
      </c>
      <c r="M379" s="11" t="s">
        <v>176</v>
      </c>
      <c r="N379" s="18" t="str">
        <f t="shared" si="42"/>
        <v xml:space="preserve">-LAYER N E-BELL </v>
      </c>
      <c r="O379" s="11" t="str">
        <f t="shared" si="43"/>
        <v xml:space="preserve">-LAYER C white E-BELL </v>
      </c>
      <c r="P379" s="11" t="str">
        <f t="shared" si="44"/>
        <v xml:space="preserve">-LAYER L Continuous
E-BELL  </v>
      </c>
      <c r="Q379" s="11" t="str">
        <f t="shared" si="45"/>
        <v xml:space="preserve">-LAYER LW Default
E-BELL  </v>
      </c>
      <c r="R379" s="11" t="str">
        <f t="shared" si="46"/>
        <v xml:space="preserve">-LAYER TR 0
E-BELL  </v>
      </c>
      <c r="S379" s="11" t="str">
        <f t="shared" si="47"/>
        <v xml:space="preserve">-LAYER D Electricidad - Sistema de timbre
E-BELL  </v>
      </c>
    </row>
    <row r="380" spans="1:19" x14ac:dyDescent="0.45">
      <c r="A380" s="7">
        <v>1</v>
      </c>
      <c r="B380" s="11" t="s">
        <v>3305</v>
      </c>
      <c r="C380" s="11" t="s">
        <v>13</v>
      </c>
      <c r="D380" s="11" t="s">
        <v>210</v>
      </c>
      <c r="E380" s="11" t="str">
        <f t="shared" si="40"/>
        <v>E-CABL (Electricidad - Sistemas de cable)</v>
      </c>
      <c r="F380" s="10">
        <v>201</v>
      </c>
      <c r="G380" s="10" t="s">
        <v>3805</v>
      </c>
      <c r="H380" s="19" t="s">
        <v>3811</v>
      </c>
      <c r="I380" s="10">
        <v>0</v>
      </c>
      <c r="J380" s="10" t="str">
        <f t="shared" si="41"/>
        <v>Electricidad - Sistemas de cable</v>
      </c>
      <c r="K380" s="11" t="s">
        <v>1727</v>
      </c>
      <c r="L380" s="11" t="s">
        <v>12</v>
      </c>
      <c r="M380" s="11" t="s">
        <v>209</v>
      </c>
      <c r="N380" s="18" t="str">
        <f t="shared" si="42"/>
        <v xml:space="preserve">-LAYER N E-CABL </v>
      </c>
      <c r="O380" s="11" t="str">
        <f t="shared" si="43"/>
        <v xml:space="preserve">-LAYER C 201 E-CABL </v>
      </c>
      <c r="P380" s="11" t="str">
        <f t="shared" si="44"/>
        <v xml:space="preserve">-LAYER L HIDDEN2
E-CABL  </v>
      </c>
      <c r="Q380" s="11" t="str">
        <f t="shared" si="45"/>
        <v xml:space="preserve">-LAYER LW Default
E-CABL  </v>
      </c>
      <c r="R380" s="11" t="str">
        <f t="shared" si="46"/>
        <v xml:space="preserve">-LAYER TR 0
E-CABL  </v>
      </c>
      <c r="S380" s="11" t="str">
        <f t="shared" si="47"/>
        <v xml:space="preserve">-LAYER D Electricidad - Sistemas de cable
E-CABL  </v>
      </c>
    </row>
    <row r="381" spans="1:19" x14ac:dyDescent="0.45">
      <c r="A381" s="7">
        <v>0</v>
      </c>
      <c r="B381" s="11" t="s">
        <v>3306</v>
      </c>
      <c r="C381" s="11" t="s">
        <v>13</v>
      </c>
      <c r="D381" s="11" t="s">
        <v>2022</v>
      </c>
      <c r="E381" s="11" t="str">
        <f t="shared" si="40"/>
        <v>E-CABL-COAX (Electricidad - Sistemas de cable: cable coaxial)</v>
      </c>
      <c r="F381" s="19" t="s">
        <v>3798</v>
      </c>
      <c r="G381" s="19" t="s">
        <v>3797</v>
      </c>
      <c r="H381" s="19" t="s">
        <v>3811</v>
      </c>
      <c r="I381" s="10">
        <v>0</v>
      </c>
      <c r="J381" s="10" t="str">
        <f t="shared" si="41"/>
        <v>Electricidad - Sistemas de cable: cable coaxial</v>
      </c>
      <c r="K381" s="11" t="s">
        <v>1728</v>
      </c>
      <c r="L381" s="11" t="s">
        <v>12</v>
      </c>
      <c r="M381" s="11" t="s">
        <v>1729</v>
      </c>
      <c r="N381" s="18" t="str">
        <f t="shared" si="42"/>
        <v xml:space="preserve">-LAYER N E-CABL-COAX </v>
      </c>
      <c r="O381" s="11" t="str">
        <f t="shared" si="43"/>
        <v xml:space="preserve">-LAYER C white E-CABL-COAX </v>
      </c>
      <c r="P381" s="11" t="str">
        <f t="shared" si="44"/>
        <v xml:space="preserve">-LAYER L Continuous
E-CABL-COAX  </v>
      </c>
      <c r="Q381" s="11" t="str">
        <f t="shared" si="45"/>
        <v xml:space="preserve">-LAYER LW Default
E-CABL-COAX  </v>
      </c>
      <c r="R381" s="11" t="str">
        <f t="shared" si="46"/>
        <v xml:space="preserve">-LAYER TR 0
E-CABL-COAX  </v>
      </c>
      <c r="S381" s="11" t="str">
        <f t="shared" si="47"/>
        <v xml:space="preserve">-LAYER D Electricidad - Sistemas de cable: cable coaxial
E-CABL-COAX  </v>
      </c>
    </row>
    <row r="382" spans="1:19" x14ac:dyDescent="0.45">
      <c r="A382" s="7">
        <v>0</v>
      </c>
      <c r="B382" s="20" t="s">
        <v>3307</v>
      </c>
      <c r="C382" s="11" t="s">
        <v>13</v>
      </c>
      <c r="D382" s="11" t="s">
        <v>2023</v>
      </c>
      <c r="E382" s="11" t="str">
        <f t="shared" si="40"/>
        <v>E-CABL-FIBR (Electricidad - Sistemas de cable: cable de fibra óptica)</v>
      </c>
      <c r="F382" s="19" t="s">
        <v>3798</v>
      </c>
      <c r="G382" s="19" t="s">
        <v>3797</v>
      </c>
      <c r="H382" s="19" t="s">
        <v>3811</v>
      </c>
      <c r="I382" s="10">
        <v>0</v>
      </c>
      <c r="J382" s="10" t="str">
        <f t="shared" si="41"/>
        <v>Electricidad - Sistemas de cable: cable de fibra óptica</v>
      </c>
      <c r="K382" s="20" t="s">
        <v>1730</v>
      </c>
      <c r="L382" s="11" t="s">
        <v>12</v>
      </c>
      <c r="M382" s="11" t="s">
        <v>1731</v>
      </c>
      <c r="N382" s="18" t="str">
        <f t="shared" si="42"/>
        <v xml:space="preserve">-LAYER N E-CABL-FIBR </v>
      </c>
      <c r="O382" s="11" t="str">
        <f t="shared" si="43"/>
        <v xml:space="preserve">-LAYER C white E-CABL-FIBR </v>
      </c>
      <c r="P382" s="11" t="str">
        <f t="shared" si="44"/>
        <v xml:space="preserve">-LAYER L Continuous
E-CABL-FIBR  </v>
      </c>
      <c r="Q382" s="11" t="str">
        <f t="shared" si="45"/>
        <v xml:space="preserve">-LAYER LW Default
E-CABL-FIBR  </v>
      </c>
      <c r="R382" s="11" t="str">
        <f t="shared" si="46"/>
        <v xml:space="preserve">-LAYER TR 0
E-CABL-FIBR  </v>
      </c>
      <c r="S382" s="11" t="str">
        <f t="shared" si="47"/>
        <v xml:space="preserve">-LAYER D Electricidad - Sistemas de cable: cable de fibra óptica
E-CABL-FIBR  </v>
      </c>
    </row>
    <row r="383" spans="1:19" x14ac:dyDescent="0.45">
      <c r="A383" s="7">
        <v>0</v>
      </c>
      <c r="B383" s="11" t="s">
        <v>3308</v>
      </c>
      <c r="C383" s="11" t="s">
        <v>13</v>
      </c>
      <c r="D383" s="11" t="s">
        <v>2024</v>
      </c>
      <c r="E383" s="11" t="str">
        <f t="shared" si="40"/>
        <v>E-CABL-MULT (Electricidad - Sistemas de cable: cable multiconductor)</v>
      </c>
      <c r="F383" s="19" t="s">
        <v>3798</v>
      </c>
      <c r="G383" s="19" t="s">
        <v>3797</v>
      </c>
      <c r="H383" s="19" t="s">
        <v>3811</v>
      </c>
      <c r="I383" s="10">
        <v>0</v>
      </c>
      <c r="J383" s="10" t="str">
        <f t="shared" si="41"/>
        <v>Electricidad - Sistemas de cable: cable multiconductor</v>
      </c>
      <c r="K383" s="11" t="s">
        <v>1732</v>
      </c>
      <c r="L383" s="11" t="s">
        <v>12</v>
      </c>
      <c r="M383" s="11" t="s">
        <v>1733</v>
      </c>
      <c r="N383" s="18" t="str">
        <f t="shared" si="42"/>
        <v xml:space="preserve">-LAYER N E-CABL-MULT </v>
      </c>
      <c r="O383" s="11" t="str">
        <f t="shared" si="43"/>
        <v xml:space="preserve">-LAYER C white E-CABL-MULT </v>
      </c>
      <c r="P383" s="11" t="str">
        <f t="shared" si="44"/>
        <v xml:space="preserve">-LAYER L Continuous
E-CABL-MULT  </v>
      </c>
      <c r="Q383" s="11" t="str">
        <f t="shared" si="45"/>
        <v xml:space="preserve">-LAYER LW Default
E-CABL-MULT  </v>
      </c>
      <c r="R383" s="11" t="str">
        <f t="shared" si="46"/>
        <v xml:space="preserve">-LAYER TR 0
E-CABL-MULT  </v>
      </c>
      <c r="S383" s="11" t="str">
        <f t="shared" si="47"/>
        <v xml:space="preserve">-LAYER D Electricidad - Sistemas de cable: cable multiconductor
E-CABL-MULT  </v>
      </c>
    </row>
    <row r="384" spans="1:19" x14ac:dyDescent="0.45">
      <c r="A384" s="7">
        <v>0</v>
      </c>
      <c r="B384" s="11" t="s">
        <v>3309</v>
      </c>
      <c r="C384" s="11" t="s">
        <v>13</v>
      </c>
      <c r="D384" s="11" t="s">
        <v>2025</v>
      </c>
      <c r="E384" s="11" t="str">
        <f t="shared" si="40"/>
        <v>E-CABL-TRAY (Electricidad - Sistemas de cable: bandejas y canaletas)</v>
      </c>
      <c r="F384" s="19" t="s">
        <v>3798</v>
      </c>
      <c r="G384" s="19" t="s">
        <v>3797</v>
      </c>
      <c r="H384" s="19" t="s">
        <v>3811</v>
      </c>
      <c r="I384" s="10">
        <v>0</v>
      </c>
      <c r="J384" s="10" t="str">
        <f t="shared" si="41"/>
        <v>Electricidad - Sistemas de cable: bandejas y canaletas</v>
      </c>
      <c r="K384" s="11" t="s">
        <v>1734</v>
      </c>
      <c r="L384" s="11" t="s">
        <v>12</v>
      </c>
      <c r="M384" s="11" t="s">
        <v>1735</v>
      </c>
      <c r="N384" s="18" t="str">
        <f t="shared" si="42"/>
        <v xml:space="preserve">-LAYER N E-CABL-TRAY </v>
      </c>
      <c r="O384" s="11" t="str">
        <f t="shared" si="43"/>
        <v xml:space="preserve">-LAYER C white E-CABL-TRAY </v>
      </c>
      <c r="P384" s="11" t="str">
        <f t="shared" si="44"/>
        <v xml:space="preserve">-LAYER L Continuous
E-CABL-TRAY  </v>
      </c>
      <c r="Q384" s="11" t="str">
        <f t="shared" si="45"/>
        <v xml:space="preserve">-LAYER LW Default
E-CABL-TRAY  </v>
      </c>
      <c r="R384" s="11" t="str">
        <f t="shared" si="46"/>
        <v xml:space="preserve">-LAYER TR 0
E-CABL-TRAY  </v>
      </c>
      <c r="S384" s="11" t="str">
        <f t="shared" si="47"/>
        <v xml:space="preserve">-LAYER D Electricidad - Sistemas de cable: bandejas y canaletas
E-CABL-TRAY  </v>
      </c>
    </row>
    <row r="385" spans="1:19" x14ac:dyDescent="0.45">
      <c r="A385" s="7">
        <v>0</v>
      </c>
      <c r="B385" s="11" t="s">
        <v>3310</v>
      </c>
      <c r="C385" s="11" t="s">
        <v>13</v>
      </c>
      <c r="D385" s="11" t="s">
        <v>213</v>
      </c>
      <c r="E385" s="11" t="str">
        <f t="shared" si="40"/>
        <v>E-CATH (Electricidad - Sistema de protección catódica)</v>
      </c>
      <c r="F385" s="19" t="s">
        <v>3798</v>
      </c>
      <c r="G385" s="19" t="s">
        <v>3797</v>
      </c>
      <c r="H385" s="19" t="s">
        <v>3811</v>
      </c>
      <c r="I385" s="10">
        <v>0</v>
      </c>
      <c r="J385" s="10" t="str">
        <f t="shared" si="41"/>
        <v>Electricidad - Sistema de protección catódica</v>
      </c>
      <c r="K385" s="11" t="s">
        <v>1736</v>
      </c>
      <c r="L385" s="11" t="s">
        <v>12</v>
      </c>
      <c r="M385" s="11" t="s">
        <v>1737</v>
      </c>
      <c r="N385" s="18" t="str">
        <f t="shared" si="42"/>
        <v xml:space="preserve">-LAYER N E-CATH </v>
      </c>
      <c r="O385" s="11" t="str">
        <f t="shared" si="43"/>
        <v xml:space="preserve">-LAYER C white E-CATH </v>
      </c>
      <c r="P385" s="11" t="str">
        <f t="shared" si="44"/>
        <v xml:space="preserve">-LAYER L Continuous
E-CATH  </v>
      </c>
      <c r="Q385" s="11" t="str">
        <f t="shared" si="45"/>
        <v xml:space="preserve">-LAYER LW Default
E-CATH  </v>
      </c>
      <c r="R385" s="11" t="str">
        <f t="shared" si="46"/>
        <v xml:space="preserve">-LAYER TR 0
E-CATH  </v>
      </c>
      <c r="S385" s="11" t="str">
        <f t="shared" si="47"/>
        <v xml:space="preserve">-LAYER D Electricidad - Sistema de protección catódica
E-CATH  </v>
      </c>
    </row>
    <row r="386" spans="1:19" x14ac:dyDescent="0.45">
      <c r="A386" s="7">
        <v>0</v>
      </c>
      <c r="B386" s="11" t="s">
        <v>3311</v>
      </c>
      <c r="C386" s="11" t="s">
        <v>13</v>
      </c>
      <c r="D386" s="11" t="s">
        <v>2026</v>
      </c>
      <c r="E386" s="11" t="str">
        <f t="shared" si="40"/>
        <v>E-CATH-ANOD (Electricidad - Sistema de protección catódica: ánodo de sacrificio)</v>
      </c>
      <c r="F386" s="19" t="s">
        <v>3798</v>
      </c>
      <c r="G386" s="19" t="s">
        <v>3797</v>
      </c>
      <c r="H386" s="19" t="s">
        <v>3811</v>
      </c>
      <c r="I386" s="10">
        <v>0</v>
      </c>
      <c r="J386" s="10" t="str">
        <f t="shared" si="41"/>
        <v>Electricidad - Sistema de protección catódica: ánodo de sacrificio</v>
      </c>
      <c r="K386" s="11" t="s">
        <v>1738</v>
      </c>
      <c r="L386" s="11" t="s">
        <v>12</v>
      </c>
      <c r="M386" s="11" t="s">
        <v>2015</v>
      </c>
      <c r="N386" s="18" t="str">
        <f t="shared" si="42"/>
        <v xml:space="preserve">-LAYER N E-CATH-ANOD </v>
      </c>
      <c r="O386" s="11" t="str">
        <f t="shared" si="43"/>
        <v xml:space="preserve">-LAYER C white E-CATH-ANOD </v>
      </c>
      <c r="P386" s="11" t="str">
        <f t="shared" si="44"/>
        <v xml:space="preserve">-LAYER L Continuous
E-CATH-ANOD  </v>
      </c>
      <c r="Q386" s="11" t="str">
        <f t="shared" si="45"/>
        <v xml:space="preserve">-LAYER LW Default
E-CATH-ANOD  </v>
      </c>
      <c r="R386" s="11" t="str">
        <f t="shared" si="46"/>
        <v xml:space="preserve">-LAYER TR 0
E-CATH-ANOD  </v>
      </c>
      <c r="S386" s="11" t="str">
        <f t="shared" si="47"/>
        <v xml:space="preserve">-LAYER D Electricidad - Sistema de protección catódica: ánodo de sacrificio
E-CATH-ANOD  </v>
      </c>
    </row>
    <row r="387" spans="1:19" x14ac:dyDescent="0.45">
      <c r="A387" s="7">
        <v>0</v>
      </c>
      <c r="B387" s="11" t="s">
        <v>3312</v>
      </c>
      <c r="C387" s="11" t="s">
        <v>13</v>
      </c>
      <c r="D387" s="11" t="s">
        <v>2027</v>
      </c>
      <c r="E387" s="11" t="str">
        <f t="shared" si="40"/>
        <v>E-CATH-CURR (Electricidad - Sistema de protección catódica: corriente de impresión)</v>
      </c>
      <c r="F387" s="19" t="s">
        <v>3798</v>
      </c>
      <c r="G387" s="19" t="s">
        <v>3797</v>
      </c>
      <c r="H387" s="19" t="s">
        <v>3811</v>
      </c>
      <c r="I387" s="10">
        <v>0</v>
      </c>
      <c r="J387" s="10" t="str">
        <f t="shared" si="41"/>
        <v>Electricidad - Sistema de protección catódica: corriente de impresión</v>
      </c>
      <c r="K387" s="11" t="s">
        <v>2016</v>
      </c>
      <c r="L387" s="11" t="s">
        <v>12</v>
      </c>
      <c r="M387" s="11" t="s">
        <v>2018</v>
      </c>
      <c r="N387" s="18" t="str">
        <f t="shared" si="42"/>
        <v xml:space="preserve">-LAYER N E-CATH-CURR </v>
      </c>
      <c r="O387" s="11" t="str">
        <f t="shared" si="43"/>
        <v xml:space="preserve">-LAYER C white E-CATH-CURR </v>
      </c>
      <c r="P387" s="11" t="str">
        <f t="shared" si="44"/>
        <v xml:space="preserve">-LAYER L Continuous
E-CATH-CURR  </v>
      </c>
      <c r="Q387" s="11" t="str">
        <f t="shared" si="45"/>
        <v xml:space="preserve">-LAYER LW Default
E-CATH-CURR  </v>
      </c>
      <c r="R387" s="11" t="str">
        <f t="shared" si="46"/>
        <v xml:space="preserve">-LAYER TR 0
E-CATH-CURR  </v>
      </c>
      <c r="S387" s="11" t="str">
        <f t="shared" si="47"/>
        <v xml:space="preserve">-LAYER D Electricidad - Sistema de protección catódica: corriente de impresión
E-CATH-CURR  </v>
      </c>
    </row>
    <row r="388" spans="1:19" x14ac:dyDescent="0.45">
      <c r="A388" s="7">
        <v>0</v>
      </c>
      <c r="B388" s="11" t="s">
        <v>3313</v>
      </c>
      <c r="C388" s="11" t="s">
        <v>13</v>
      </c>
      <c r="D388" s="11" t="s">
        <v>2028</v>
      </c>
      <c r="E388" s="11" t="str">
        <f t="shared" ref="E388:E451" si="48">_xlfn.CONCAT(B388," (",C388," - ",D388,")")</f>
        <v>E-CATH-TEST (Electricidad - Sistema de protección catódica: estaciones de prueba)</v>
      </c>
      <c r="F388" s="19" t="s">
        <v>3798</v>
      </c>
      <c r="G388" s="19" t="s">
        <v>3797</v>
      </c>
      <c r="H388" s="19" t="s">
        <v>3811</v>
      </c>
      <c r="I388" s="10">
        <v>0</v>
      </c>
      <c r="J388" s="10" t="str">
        <f t="shared" si="41"/>
        <v>Electricidad - Sistema de protección catódica: estaciones de prueba</v>
      </c>
      <c r="K388" s="11" t="s">
        <v>2017</v>
      </c>
      <c r="L388" s="11" t="s">
        <v>12</v>
      </c>
      <c r="M388" s="11" t="s">
        <v>1739</v>
      </c>
      <c r="N388" s="18" t="str">
        <f t="shared" si="42"/>
        <v xml:space="preserve">-LAYER N E-CATH-TEST </v>
      </c>
      <c r="O388" s="11" t="str">
        <f t="shared" si="43"/>
        <v xml:space="preserve">-LAYER C white E-CATH-TEST </v>
      </c>
      <c r="P388" s="11" t="str">
        <f t="shared" si="44"/>
        <v xml:space="preserve">-LAYER L Continuous
E-CATH-TEST  </v>
      </c>
      <c r="Q388" s="11" t="str">
        <f t="shared" si="45"/>
        <v xml:space="preserve">-LAYER LW Default
E-CATH-TEST  </v>
      </c>
      <c r="R388" s="11" t="str">
        <f t="shared" si="46"/>
        <v xml:space="preserve">-LAYER TR 0
E-CATH-TEST  </v>
      </c>
      <c r="S388" s="11" t="str">
        <f t="shared" si="47"/>
        <v xml:space="preserve">-LAYER D Electricidad - Sistema de protección catódica: estaciones de prueba
E-CATH-TEST  </v>
      </c>
    </row>
    <row r="389" spans="1:19" x14ac:dyDescent="0.45">
      <c r="A389" s="7">
        <v>0</v>
      </c>
      <c r="B389" s="11" t="s">
        <v>3314</v>
      </c>
      <c r="C389" s="11" t="s">
        <v>13</v>
      </c>
      <c r="D389" s="11" t="s">
        <v>219</v>
      </c>
      <c r="E389" s="11" t="str">
        <f t="shared" si="48"/>
        <v>E-CCTV (Electricidad - Sistema de circuito cerrado de televisión)</v>
      </c>
      <c r="F389" s="19" t="s">
        <v>3798</v>
      </c>
      <c r="G389" s="19" t="s">
        <v>3797</v>
      </c>
      <c r="H389" s="19" t="s">
        <v>3811</v>
      </c>
      <c r="I389" s="10">
        <v>0</v>
      </c>
      <c r="J389" s="10" t="str">
        <f t="shared" ref="J389:J452" si="49">_xlfn.CONCAT(C389," - ",D389)</f>
        <v>Electricidad - Sistema de circuito cerrado de televisión</v>
      </c>
      <c r="K389" s="11" t="s">
        <v>1740</v>
      </c>
      <c r="L389" s="11" t="s">
        <v>12</v>
      </c>
      <c r="M389" s="11" t="s">
        <v>218</v>
      </c>
      <c r="N389" s="18" t="str">
        <f t="shared" ref="N389:N452" si="50">_xlfn.CONCAT("-LAYER N ", B389," ")</f>
        <v xml:space="preserve">-LAYER N E-CCTV </v>
      </c>
      <c r="O389" s="11" t="str">
        <f t="shared" ref="O389:O452" si="51">_xlfn.CONCAT("-LAYER C ",F389," ", B389," ")</f>
        <v xml:space="preserve">-LAYER C white E-CCTV </v>
      </c>
      <c r="P389" s="11" t="str">
        <f t="shared" ref="P389:P452" si="52">_xlfn.CONCAT("-LAYER L ",G389,CHAR(10), B389,"  ")</f>
        <v xml:space="preserve">-LAYER L Continuous
E-CCTV  </v>
      </c>
      <c r="Q389" s="11" t="str">
        <f t="shared" ref="Q389:Q452" si="53">_xlfn.CONCAT("-LAYER LW ",H389,CHAR(10), B389,"  ")</f>
        <v xml:space="preserve">-LAYER LW Default
E-CCTV  </v>
      </c>
      <c r="R389" s="11" t="str">
        <f t="shared" ref="R389:R452" si="54">_xlfn.CONCAT("-LAYER TR ",I389,CHAR(10), B389,"  ")</f>
        <v xml:space="preserve">-LAYER TR 0
E-CCTV  </v>
      </c>
      <c r="S389" s="11" t="str">
        <f t="shared" ref="S389:S452" si="55">_xlfn.CONCAT("-LAYER D ",J389,CHAR(10), B389,"  ")</f>
        <v xml:space="preserve">-LAYER D Electricidad - Sistema de circuito cerrado de televisión
E-CCTV  </v>
      </c>
    </row>
    <row r="390" spans="1:19" x14ac:dyDescent="0.45">
      <c r="A390" s="7">
        <v>0</v>
      </c>
      <c r="B390" s="11" t="s">
        <v>3315</v>
      </c>
      <c r="C390" s="11" t="s">
        <v>13</v>
      </c>
      <c r="D390" s="11" t="s">
        <v>2029</v>
      </c>
      <c r="E390" s="11" t="str">
        <f t="shared" si="48"/>
        <v>E-CLOK (Electricidad - Sistema de reloj)</v>
      </c>
      <c r="F390" s="19" t="s">
        <v>3798</v>
      </c>
      <c r="G390" s="19" t="s">
        <v>3797</v>
      </c>
      <c r="H390" s="19" t="s">
        <v>3811</v>
      </c>
      <c r="I390" s="10">
        <v>0</v>
      </c>
      <c r="J390" s="10" t="str">
        <f t="shared" si="49"/>
        <v>Electricidad - Sistema de reloj</v>
      </c>
      <c r="K390" s="11" t="s">
        <v>1741</v>
      </c>
      <c r="L390" s="11" t="s">
        <v>12</v>
      </c>
      <c r="M390" s="11" t="s">
        <v>236</v>
      </c>
      <c r="N390" s="18" t="str">
        <f t="shared" si="50"/>
        <v xml:space="preserve">-LAYER N E-CLOK </v>
      </c>
      <c r="O390" s="11" t="str">
        <f t="shared" si="51"/>
        <v xml:space="preserve">-LAYER C white E-CLOK </v>
      </c>
      <c r="P390" s="11" t="str">
        <f t="shared" si="52"/>
        <v xml:space="preserve">-LAYER L Continuous
E-CLOK  </v>
      </c>
      <c r="Q390" s="11" t="str">
        <f t="shared" si="53"/>
        <v xml:space="preserve">-LAYER LW Default
E-CLOK  </v>
      </c>
      <c r="R390" s="11" t="str">
        <f t="shared" si="54"/>
        <v xml:space="preserve">-LAYER TR 0
E-CLOK  </v>
      </c>
      <c r="S390" s="11" t="str">
        <f t="shared" si="55"/>
        <v xml:space="preserve">-LAYER D Electricidad - Sistema de reloj
E-CLOK  </v>
      </c>
    </row>
    <row r="391" spans="1:19" x14ac:dyDescent="0.45">
      <c r="A391" s="7">
        <v>0</v>
      </c>
      <c r="B391" s="11" t="s">
        <v>3316</v>
      </c>
      <c r="C391" s="11" t="s">
        <v>13</v>
      </c>
      <c r="D391" s="11" t="s">
        <v>2030</v>
      </c>
      <c r="E391" s="11" t="str">
        <f t="shared" si="48"/>
        <v>E-CLOK-CIRC (Electricidad - Sistema de reloj: circuitos)</v>
      </c>
      <c r="F391" s="19" t="s">
        <v>3798</v>
      </c>
      <c r="G391" s="19" t="s">
        <v>3797</v>
      </c>
      <c r="H391" s="19" t="s">
        <v>3811</v>
      </c>
      <c r="I391" s="10">
        <v>0</v>
      </c>
      <c r="J391" s="10" t="str">
        <f t="shared" si="49"/>
        <v>Electricidad - Sistema de reloj: circuitos</v>
      </c>
      <c r="K391" s="11" t="s">
        <v>1742</v>
      </c>
      <c r="L391" s="11" t="s">
        <v>12</v>
      </c>
      <c r="M391" s="11" t="s">
        <v>1743</v>
      </c>
      <c r="N391" s="18" t="str">
        <f t="shared" si="50"/>
        <v xml:space="preserve">-LAYER N E-CLOK-CIRC </v>
      </c>
      <c r="O391" s="11" t="str">
        <f t="shared" si="51"/>
        <v xml:space="preserve">-LAYER C white E-CLOK-CIRC </v>
      </c>
      <c r="P391" s="11" t="str">
        <f t="shared" si="52"/>
        <v xml:space="preserve">-LAYER L Continuous
E-CLOK-CIRC  </v>
      </c>
      <c r="Q391" s="11" t="str">
        <f t="shared" si="53"/>
        <v xml:space="preserve">-LAYER LW Default
E-CLOK-CIRC  </v>
      </c>
      <c r="R391" s="11" t="str">
        <f t="shared" si="54"/>
        <v xml:space="preserve">-LAYER TR 0
E-CLOK-CIRC  </v>
      </c>
      <c r="S391" s="11" t="str">
        <f t="shared" si="55"/>
        <v xml:space="preserve">-LAYER D Electricidad - Sistema de reloj: circuitos
E-CLOK-CIRC  </v>
      </c>
    </row>
    <row r="392" spans="1:19" x14ac:dyDescent="0.45">
      <c r="A392" s="7">
        <v>0</v>
      </c>
      <c r="B392" s="11" t="s">
        <v>3317</v>
      </c>
      <c r="C392" s="11" t="s">
        <v>13</v>
      </c>
      <c r="D392" s="11" t="s">
        <v>2031</v>
      </c>
      <c r="E392" s="11" t="str">
        <f t="shared" si="48"/>
        <v>E-CLOK-CLNG (Electricidad - Sistema de reloj: techo)</v>
      </c>
      <c r="F392" s="19" t="s">
        <v>3798</v>
      </c>
      <c r="G392" s="19" t="s">
        <v>3797</v>
      </c>
      <c r="H392" s="19" t="s">
        <v>3811</v>
      </c>
      <c r="I392" s="10">
        <v>0</v>
      </c>
      <c r="J392" s="10" t="str">
        <f t="shared" si="49"/>
        <v>Electricidad - Sistema de reloj: techo</v>
      </c>
      <c r="K392" s="11" t="s">
        <v>1744</v>
      </c>
      <c r="L392" s="11" t="s">
        <v>12</v>
      </c>
      <c r="M392" s="11" t="s">
        <v>1745</v>
      </c>
      <c r="N392" s="18" t="str">
        <f t="shared" si="50"/>
        <v xml:space="preserve">-LAYER N E-CLOK-CLNG </v>
      </c>
      <c r="O392" s="11" t="str">
        <f t="shared" si="51"/>
        <v xml:space="preserve">-LAYER C white E-CLOK-CLNG </v>
      </c>
      <c r="P392" s="11" t="str">
        <f t="shared" si="52"/>
        <v xml:space="preserve">-LAYER L Continuous
E-CLOK-CLNG  </v>
      </c>
      <c r="Q392" s="11" t="str">
        <f t="shared" si="53"/>
        <v xml:space="preserve">-LAYER LW Default
E-CLOK-CLNG  </v>
      </c>
      <c r="R392" s="11" t="str">
        <f t="shared" si="54"/>
        <v xml:space="preserve">-LAYER TR 0
E-CLOK-CLNG  </v>
      </c>
      <c r="S392" s="11" t="str">
        <f t="shared" si="55"/>
        <v xml:space="preserve">-LAYER D Electricidad - Sistema de reloj: techo
E-CLOK-CLNG  </v>
      </c>
    </row>
    <row r="393" spans="1:19" x14ac:dyDescent="0.45">
      <c r="A393" s="7">
        <v>0</v>
      </c>
      <c r="B393" s="11" t="s">
        <v>3318</v>
      </c>
      <c r="C393" s="11" t="s">
        <v>13</v>
      </c>
      <c r="D393" s="11" t="s">
        <v>2032</v>
      </c>
      <c r="E393" s="11" t="str">
        <f t="shared" si="48"/>
        <v>E-CLOK-CNMB (Electricidad - Sistema de reloj: número de circuito)</v>
      </c>
      <c r="F393" s="19" t="s">
        <v>3798</v>
      </c>
      <c r="G393" s="19" t="s">
        <v>3797</v>
      </c>
      <c r="H393" s="19" t="s">
        <v>3811</v>
      </c>
      <c r="I393" s="10">
        <v>0</v>
      </c>
      <c r="J393" s="10" t="str">
        <f t="shared" si="49"/>
        <v>Electricidad - Sistema de reloj: número de circuito</v>
      </c>
      <c r="K393" s="11" t="s">
        <v>1746</v>
      </c>
      <c r="L393" s="11" t="s">
        <v>12</v>
      </c>
      <c r="M393" s="11" t="s">
        <v>1747</v>
      </c>
      <c r="N393" s="18" t="str">
        <f t="shared" si="50"/>
        <v xml:space="preserve">-LAYER N E-CLOK-CNMB </v>
      </c>
      <c r="O393" s="11" t="str">
        <f t="shared" si="51"/>
        <v xml:space="preserve">-LAYER C white E-CLOK-CNMB </v>
      </c>
      <c r="P393" s="11" t="str">
        <f t="shared" si="52"/>
        <v xml:space="preserve">-LAYER L Continuous
E-CLOK-CNMB  </v>
      </c>
      <c r="Q393" s="11" t="str">
        <f t="shared" si="53"/>
        <v xml:space="preserve">-LAYER LW Default
E-CLOK-CNMB  </v>
      </c>
      <c r="R393" s="11" t="str">
        <f t="shared" si="54"/>
        <v xml:space="preserve">-LAYER TR 0
E-CLOK-CNMB  </v>
      </c>
      <c r="S393" s="11" t="str">
        <f t="shared" si="55"/>
        <v xml:space="preserve">-LAYER D Electricidad - Sistema de reloj: número de circuito
E-CLOK-CNMB  </v>
      </c>
    </row>
    <row r="394" spans="1:19" x14ac:dyDescent="0.45">
      <c r="A394" s="7">
        <v>0</v>
      </c>
      <c r="B394" s="11" t="s">
        <v>3319</v>
      </c>
      <c r="C394" s="11" t="s">
        <v>13</v>
      </c>
      <c r="D394" s="11" t="s">
        <v>2033</v>
      </c>
      <c r="E394" s="11" t="str">
        <f t="shared" si="48"/>
        <v>E-CLOK-EQPM (Electricidad - Sistema de reloj: equipo)</v>
      </c>
      <c r="F394" s="19" t="s">
        <v>3798</v>
      </c>
      <c r="G394" s="19" t="s">
        <v>3797</v>
      </c>
      <c r="H394" s="19" t="s">
        <v>3811</v>
      </c>
      <c r="I394" s="10">
        <v>0</v>
      </c>
      <c r="J394" s="10" t="str">
        <f t="shared" si="49"/>
        <v>Electricidad - Sistema de reloj: equipo</v>
      </c>
      <c r="K394" s="11" t="s">
        <v>1748</v>
      </c>
      <c r="L394" s="11" t="s">
        <v>12</v>
      </c>
      <c r="M394" s="11" t="s">
        <v>1749</v>
      </c>
      <c r="N394" s="18" t="str">
        <f t="shared" si="50"/>
        <v xml:space="preserve">-LAYER N E-CLOK-EQPM </v>
      </c>
      <c r="O394" s="11" t="str">
        <f t="shared" si="51"/>
        <v xml:space="preserve">-LAYER C white E-CLOK-EQPM </v>
      </c>
      <c r="P394" s="11" t="str">
        <f t="shared" si="52"/>
        <v xml:space="preserve">-LAYER L Continuous
E-CLOK-EQPM  </v>
      </c>
      <c r="Q394" s="11" t="str">
        <f t="shared" si="53"/>
        <v xml:space="preserve">-LAYER LW Default
E-CLOK-EQPM  </v>
      </c>
      <c r="R394" s="11" t="str">
        <f t="shared" si="54"/>
        <v xml:space="preserve">-LAYER TR 0
E-CLOK-EQPM  </v>
      </c>
      <c r="S394" s="11" t="str">
        <f t="shared" si="55"/>
        <v xml:space="preserve">-LAYER D Electricidad - Sistema de reloj: equipo
E-CLOK-EQPM  </v>
      </c>
    </row>
    <row r="395" spans="1:19" x14ac:dyDescent="0.45">
      <c r="A395" s="7">
        <v>0</v>
      </c>
      <c r="B395" s="11" t="s">
        <v>3320</v>
      </c>
      <c r="C395" s="11" t="s">
        <v>13</v>
      </c>
      <c r="D395" s="11" t="s">
        <v>2034</v>
      </c>
      <c r="E395" s="11" t="str">
        <f t="shared" si="48"/>
        <v>E-CLOK-FLOR (Electricidad - Sistema de reloj: suelo)</v>
      </c>
      <c r="F395" s="19" t="s">
        <v>3798</v>
      </c>
      <c r="G395" s="19" t="s">
        <v>3797</v>
      </c>
      <c r="H395" s="19" t="s">
        <v>3811</v>
      </c>
      <c r="I395" s="10">
        <v>0</v>
      </c>
      <c r="J395" s="10" t="str">
        <f t="shared" si="49"/>
        <v>Electricidad - Sistema de reloj: suelo</v>
      </c>
      <c r="K395" s="11" t="s">
        <v>1750</v>
      </c>
      <c r="L395" s="11" t="s">
        <v>12</v>
      </c>
      <c r="M395" s="11" t="s">
        <v>1751</v>
      </c>
      <c r="N395" s="18" t="str">
        <f t="shared" si="50"/>
        <v xml:space="preserve">-LAYER N E-CLOK-FLOR </v>
      </c>
      <c r="O395" s="11" t="str">
        <f t="shared" si="51"/>
        <v xml:space="preserve">-LAYER C white E-CLOK-FLOR </v>
      </c>
      <c r="P395" s="11" t="str">
        <f t="shared" si="52"/>
        <v xml:space="preserve">-LAYER L Continuous
E-CLOK-FLOR  </v>
      </c>
      <c r="Q395" s="11" t="str">
        <f t="shared" si="53"/>
        <v xml:space="preserve">-LAYER LW Default
E-CLOK-FLOR  </v>
      </c>
      <c r="R395" s="11" t="str">
        <f t="shared" si="54"/>
        <v xml:space="preserve">-LAYER TR 0
E-CLOK-FLOR  </v>
      </c>
      <c r="S395" s="11" t="str">
        <f t="shared" si="55"/>
        <v xml:space="preserve">-LAYER D Electricidad - Sistema de reloj: suelo
E-CLOK-FLOR  </v>
      </c>
    </row>
    <row r="396" spans="1:19" x14ac:dyDescent="0.45">
      <c r="A396" s="7">
        <v>0</v>
      </c>
      <c r="B396" s="11" t="s">
        <v>3321</v>
      </c>
      <c r="C396" s="11" t="s">
        <v>13</v>
      </c>
      <c r="D396" s="11" t="s">
        <v>2035</v>
      </c>
      <c r="E396" s="11" t="str">
        <f t="shared" si="48"/>
        <v>E-CLOK-WALL (Electricidad - Sistema de reloj: pared)</v>
      </c>
      <c r="F396" s="19" t="s">
        <v>3798</v>
      </c>
      <c r="G396" s="19" t="s">
        <v>3797</v>
      </c>
      <c r="H396" s="19" t="s">
        <v>3811</v>
      </c>
      <c r="I396" s="10">
        <v>0</v>
      </c>
      <c r="J396" s="10" t="str">
        <f t="shared" si="49"/>
        <v>Electricidad - Sistema de reloj: pared</v>
      </c>
      <c r="K396" s="11" t="s">
        <v>1752</v>
      </c>
      <c r="L396" s="11" t="s">
        <v>12</v>
      </c>
      <c r="M396" s="11" t="s">
        <v>1753</v>
      </c>
      <c r="N396" s="18" t="str">
        <f t="shared" si="50"/>
        <v xml:space="preserve">-LAYER N E-CLOK-WALL </v>
      </c>
      <c r="O396" s="11" t="str">
        <f t="shared" si="51"/>
        <v xml:space="preserve">-LAYER C white E-CLOK-WALL </v>
      </c>
      <c r="P396" s="11" t="str">
        <f t="shared" si="52"/>
        <v xml:space="preserve">-LAYER L Continuous
E-CLOK-WALL  </v>
      </c>
      <c r="Q396" s="11" t="str">
        <f t="shared" si="53"/>
        <v xml:space="preserve">-LAYER LW Default
E-CLOK-WALL  </v>
      </c>
      <c r="R396" s="11" t="str">
        <f t="shared" si="54"/>
        <v xml:space="preserve">-LAYER TR 0
E-CLOK-WALL  </v>
      </c>
      <c r="S396" s="11" t="str">
        <f t="shared" si="55"/>
        <v xml:space="preserve">-LAYER D Electricidad - Sistema de reloj: pared
E-CLOK-WALL  </v>
      </c>
    </row>
    <row r="397" spans="1:19" x14ac:dyDescent="0.45">
      <c r="A397" s="7">
        <v>0</v>
      </c>
      <c r="B397" s="11" t="s">
        <v>3322</v>
      </c>
      <c r="C397" s="11" t="s">
        <v>13</v>
      </c>
      <c r="D397" s="11" t="s">
        <v>258</v>
      </c>
      <c r="E397" s="11" t="str">
        <f t="shared" si="48"/>
        <v>E-COMM (Electricidad - Comunicaciones)</v>
      </c>
      <c r="F397" s="19" t="s">
        <v>3798</v>
      </c>
      <c r="G397" s="19" t="s">
        <v>3797</v>
      </c>
      <c r="H397" s="19" t="s">
        <v>3811</v>
      </c>
      <c r="I397" s="10">
        <v>0</v>
      </c>
      <c r="J397" s="10" t="str">
        <f t="shared" si="49"/>
        <v>Electricidad - Comunicaciones</v>
      </c>
      <c r="K397" s="11" t="s">
        <v>1754</v>
      </c>
      <c r="L397" s="11" t="s">
        <v>12</v>
      </c>
      <c r="M397" s="11" t="s">
        <v>257</v>
      </c>
      <c r="N397" s="18" t="str">
        <f t="shared" si="50"/>
        <v xml:space="preserve">-LAYER N E-COMM </v>
      </c>
      <c r="O397" s="11" t="str">
        <f t="shared" si="51"/>
        <v xml:space="preserve">-LAYER C white E-COMM </v>
      </c>
      <c r="P397" s="11" t="str">
        <f t="shared" si="52"/>
        <v xml:space="preserve">-LAYER L Continuous
E-COMM  </v>
      </c>
      <c r="Q397" s="11" t="str">
        <f t="shared" si="53"/>
        <v xml:space="preserve">-LAYER LW Default
E-COMM  </v>
      </c>
      <c r="R397" s="11" t="str">
        <f t="shared" si="54"/>
        <v xml:space="preserve">-LAYER TR 0
E-COMM  </v>
      </c>
      <c r="S397" s="11" t="str">
        <f t="shared" si="55"/>
        <v xml:space="preserve">-LAYER D Electricidad - Comunicaciones
E-COMM  </v>
      </c>
    </row>
    <row r="398" spans="1:19" x14ac:dyDescent="0.45">
      <c r="A398" s="7">
        <v>0</v>
      </c>
      <c r="B398" s="11" t="s">
        <v>3323</v>
      </c>
      <c r="C398" s="11" t="s">
        <v>13</v>
      </c>
      <c r="D398" s="11" t="s">
        <v>2036</v>
      </c>
      <c r="E398" s="11" t="str">
        <f t="shared" si="48"/>
        <v>E-COMM-CIRC (Electricidad - Comunicaciones: circuitos)</v>
      </c>
      <c r="F398" s="19" t="s">
        <v>3798</v>
      </c>
      <c r="G398" s="19" t="s">
        <v>3797</v>
      </c>
      <c r="H398" s="19" t="s">
        <v>3811</v>
      </c>
      <c r="I398" s="10">
        <v>0</v>
      </c>
      <c r="J398" s="10" t="str">
        <f t="shared" si="49"/>
        <v>Electricidad - Comunicaciones: circuitos</v>
      </c>
      <c r="K398" s="11" t="s">
        <v>1755</v>
      </c>
      <c r="L398" s="11" t="s">
        <v>12</v>
      </c>
      <c r="M398" s="11" t="s">
        <v>1756</v>
      </c>
      <c r="N398" s="18" t="str">
        <f t="shared" si="50"/>
        <v xml:space="preserve">-LAYER N E-COMM-CIRC </v>
      </c>
      <c r="O398" s="11" t="str">
        <f t="shared" si="51"/>
        <v xml:space="preserve">-LAYER C white E-COMM-CIRC </v>
      </c>
      <c r="P398" s="11" t="str">
        <f t="shared" si="52"/>
        <v xml:space="preserve">-LAYER L Continuous
E-COMM-CIRC  </v>
      </c>
      <c r="Q398" s="11" t="str">
        <f t="shared" si="53"/>
        <v xml:space="preserve">-LAYER LW Default
E-COMM-CIRC  </v>
      </c>
      <c r="R398" s="11" t="str">
        <f t="shared" si="54"/>
        <v xml:space="preserve">-LAYER TR 0
E-COMM-CIRC  </v>
      </c>
      <c r="S398" s="11" t="str">
        <f t="shared" si="55"/>
        <v xml:space="preserve">-LAYER D Electricidad - Comunicaciones: circuitos
E-COMM-CIRC  </v>
      </c>
    </row>
    <row r="399" spans="1:19" x14ac:dyDescent="0.45">
      <c r="A399" s="7">
        <v>0</v>
      </c>
      <c r="B399" s="11" t="s">
        <v>3324</v>
      </c>
      <c r="C399" s="11" t="s">
        <v>13</v>
      </c>
      <c r="D399" s="11" t="s">
        <v>2037</v>
      </c>
      <c r="E399" s="11" t="str">
        <f t="shared" si="48"/>
        <v>E-COMM-CLNG (Electricidad - Comunicaciones: techo)</v>
      </c>
      <c r="F399" s="19" t="s">
        <v>3798</v>
      </c>
      <c r="G399" s="19" t="s">
        <v>3797</v>
      </c>
      <c r="H399" s="19" t="s">
        <v>3811</v>
      </c>
      <c r="I399" s="10">
        <v>0</v>
      </c>
      <c r="J399" s="10" t="str">
        <f t="shared" si="49"/>
        <v>Electricidad - Comunicaciones: techo</v>
      </c>
      <c r="K399" s="11" t="s">
        <v>1757</v>
      </c>
      <c r="L399" s="11" t="s">
        <v>12</v>
      </c>
      <c r="M399" s="11" t="s">
        <v>1758</v>
      </c>
      <c r="N399" s="18" t="str">
        <f t="shared" si="50"/>
        <v xml:space="preserve">-LAYER N E-COMM-CLNG </v>
      </c>
      <c r="O399" s="11" t="str">
        <f t="shared" si="51"/>
        <v xml:space="preserve">-LAYER C white E-COMM-CLNG </v>
      </c>
      <c r="P399" s="11" t="str">
        <f t="shared" si="52"/>
        <v xml:space="preserve">-LAYER L Continuous
E-COMM-CLNG  </v>
      </c>
      <c r="Q399" s="11" t="str">
        <f t="shared" si="53"/>
        <v xml:space="preserve">-LAYER LW Default
E-COMM-CLNG  </v>
      </c>
      <c r="R399" s="11" t="str">
        <f t="shared" si="54"/>
        <v xml:space="preserve">-LAYER TR 0
E-COMM-CLNG  </v>
      </c>
      <c r="S399" s="11" t="str">
        <f t="shared" si="55"/>
        <v xml:space="preserve">-LAYER D Electricidad - Comunicaciones: techo
E-COMM-CLNG  </v>
      </c>
    </row>
    <row r="400" spans="1:19" x14ac:dyDescent="0.45">
      <c r="A400" s="7">
        <v>0</v>
      </c>
      <c r="B400" s="11" t="s">
        <v>3325</v>
      </c>
      <c r="C400" s="11" t="s">
        <v>13</v>
      </c>
      <c r="D400" s="11" t="s">
        <v>2038</v>
      </c>
      <c r="E400" s="11" t="str">
        <f t="shared" si="48"/>
        <v>E-COMM-CNMB (Electricidad - Comunicaciones: número de circuito)</v>
      </c>
      <c r="F400" s="19" t="s">
        <v>3798</v>
      </c>
      <c r="G400" s="19" t="s">
        <v>3797</v>
      </c>
      <c r="H400" s="19" t="s">
        <v>3811</v>
      </c>
      <c r="I400" s="10">
        <v>0</v>
      </c>
      <c r="J400" s="10" t="str">
        <f t="shared" si="49"/>
        <v>Electricidad - Comunicaciones: número de circuito</v>
      </c>
      <c r="K400" s="11" t="s">
        <v>1759</v>
      </c>
      <c r="L400" s="11" t="s">
        <v>12</v>
      </c>
      <c r="M400" s="11" t="s">
        <v>1760</v>
      </c>
      <c r="N400" s="18" t="str">
        <f t="shared" si="50"/>
        <v xml:space="preserve">-LAYER N E-COMM-CNMB </v>
      </c>
      <c r="O400" s="11" t="str">
        <f t="shared" si="51"/>
        <v xml:space="preserve">-LAYER C white E-COMM-CNMB </v>
      </c>
      <c r="P400" s="11" t="str">
        <f t="shared" si="52"/>
        <v xml:space="preserve">-LAYER L Continuous
E-COMM-CNMB  </v>
      </c>
      <c r="Q400" s="11" t="str">
        <f t="shared" si="53"/>
        <v xml:space="preserve">-LAYER LW Default
E-COMM-CNMB  </v>
      </c>
      <c r="R400" s="11" t="str">
        <f t="shared" si="54"/>
        <v xml:space="preserve">-LAYER TR 0
E-COMM-CNMB  </v>
      </c>
      <c r="S400" s="11" t="str">
        <f t="shared" si="55"/>
        <v xml:space="preserve">-LAYER D Electricidad - Comunicaciones: número de circuito
E-COMM-CNMB  </v>
      </c>
    </row>
    <row r="401" spans="1:19" x14ac:dyDescent="0.45">
      <c r="A401" s="7">
        <v>0</v>
      </c>
      <c r="B401" s="11" t="s">
        <v>3326</v>
      </c>
      <c r="C401" s="11" t="s">
        <v>13</v>
      </c>
      <c r="D401" s="11" t="s">
        <v>2039</v>
      </c>
      <c r="E401" s="11" t="str">
        <f t="shared" si="48"/>
        <v>E-COMM-EQPM (Electricidad - Comunicaciones: equipo)</v>
      </c>
      <c r="F401" s="19" t="s">
        <v>3798</v>
      </c>
      <c r="G401" s="19" t="s">
        <v>3797</v>
      </c>
      <c r="H401" s="19" t="s">
        <v>3811</v>
      </c>
      <c r="I401" s="10">
        <v>0</v>
      </c>
      <c r="J401" s="10" t="str">
        <f t="shared" si="49"/>
        <v>Electricidad - Comunicaciones: equipo</v>
      </c>
      <c r="K401" s="11" t="s">
        <v>1761</v>
      </c>
      <c r="L401" s="11" t="s">
        <v>12</v>
      </c>
      <c r="M401" s="11" t="s">
        <v>1762</v>
      </c>
      <c r="N401" s="18" t="str">
        <f t="shared" si="50"/>
        <v xml:space="preserve">-LAYER N E-COMM-EQPM </v>
      </c>
      <c r="O401" s="11" t="str">
        <f t="shared" si="51"/>
        <v xml:space="preserve">-LAYER C white E-COMM-EQPM </v>
      </c>
      <c r="P401" s="11" t="str">
        <f t="shared" si="52"/>
        <v xml:space="preserve">-LAYER L Continuous
E-COMM-EQPM  </v>
      </c>
      <c r="Q401" s="11" t="str">
        <f t="shared" si="53"/>
        <v xml:space="preserve">-LAYER LW Default
E-COMM-EQPM  </v>
      </c>
      <c r="R401" s="11" t="str">
        <f t="shared" si="54"/>
        <v xml:space="preserve">-LAYER TR 0
E-COMM-EQPM  </v>
      </c>
      <c r="S401" s="11" t="str">
        <f t="shared" si="55"/>
        <v xml:space="preserve">-LAYER D Electricidad - Comunicaciones: equipo
E-COMM-EQPM  </v>
      </c>
    </row>
    <row r="402" spans="1:19" x14ac:dyDescent="0.45">
      <c r="A402" s="7">
        <v>0</v>
      </c>
      <c r="B402" s="11" t="s">
        <v>3327</v>
      </c>
      <c r="C402" s="11" t="s">
        <v>13</v>
      </c>
      <c r="D402" s="11" t="s">
        <v>2040</v>
      </c>
      <c r="E402" s="11" t="str">
        <f t="shared" si="48"/>
        <v>E-COMM-WALL (Electricidad - Comunicaciones: pared)</v>
      </c>
      <c r="F402" s="19" t="s">
        <v>3798</v>
      </c>
      <c r="G402" s="19" t="s">
        <v>3797</v>
      </c>
      <c r="H402" s="19" t="s">
        <v>3811</v>
      </c>
      <c r="I402" s="10">
        <v>0</v>
      </c>
      <c r="J402" s="10" t="str">
        <f t="shared" si="49"/>
        <v>Electricidad - Comunicaciones: pared</v>
      </c>
      <c r="K402" s="11" t="s">
        <v>1763</v>
      </c>
      <c r="L402" s="11" t="s">
        <v>12</v>
      </c>
      <c r="M402" s="11" t="s">
        <v>1764</v>
      </c>
      <c r="N402" s="18" t="str">
        <f t="shared" si="50"/>
        <v xml:space="preserve">-LAYER N E-COMM-WALL </v>
      </c>
      <c r="O402" s="11" t="str">
        <f t="shared" si="51"/>
        <v xml:space="preserve">-LAYER C white E-COMM-WALL </v>
      </c>
      <c r="P402" s="11" t="str">
        <f t="shared" si="52"/>
        <v xml:space="preserve">-LAYER L Continuous
E-COMM-WALL  </v>
      </c>
      <c r="Q402" s="11" t="str">
        <f t="shared" si="53"/>
        <v xml:space="preserve">-LAYER LW Default
E-COMM-WALL  </v>
      </c>
      <c r="R402" s="11" t="str">
        <f t="shared" si="54"/>
        <v xml:space="preserve">-LAYER TR 0
E-COMM-WALL  </v>
      </c>
      <c r="S402" s="11" t="str">
        <f t="shared" si="55"/>
        <v xml:space="preserve">-LAYER D Electricidad - Comunicaciones: pared
E-COMM-WALL  </v>
      </c>
    </row>
    <row r="403" spans="1:19" x14ac:dyDescent="0.45">
      <c r="A403" s="7">
        <v>1</v>
      </c>
      <c r="B403" s="11" t="s">
        <v>3328</v>
      </c>
      <c r="C403" s="11" t="s">
        <v>13</v>
      </c>
      <c r="D403" s="11" t="s">
        <v>261</v>
      </c>
      <c r="E403" s="11" t="str">
        <f t="shared" si="48"/>
        <v>E-CONT (Electricidad - Controles e instrumentación)</v>
      </c>
      <c r="F403" s="19" t="s">
        <v>3798</v>
      </c>
      <c r="G403" s="19" t="s">
        <v>3797</v>
      </c>
      <c r="H403" s="19" t="s">
        <v>3811</v>
      </c>
      <c r="I403" s="10">
        <v>0</v>
      </c>
      <c r="J403" s="10" t="str">
        <f t="shared" si="49"/>
        <v>Electricidad - Controles e instrumentación</v>
      </c>
      <c r="K403" s="11" t="s">
        <v>1765</v>
      </c>
      <c r="L403" s="11" t="s">
        <v>12</v>
      </c>
      <c r="M403" s="11" t="s">
        <v>260</v>
      </c>
      <c r="N403" s="18" t="str">
        <f t="shared" si="50"/>
        <v xml:space="preserve">-LAYER N E-CONT </v>
      </c>
      <c r="O403" s="11" t="str">
        <f t="shared" si="51"/>
        <v xml:space="preserve">-LAYER C white E-CONT </v>
      </c>
      <c r="P403" s="11" t="str">
        <f t="shared" si="52"/>
        <v xml:space="preserve">-LAYER L Continuous
E-CONT  </v>
      </c>
      <c r="Q403" s="11" t="str">
        <f t="shared" si="53"/>
        <v xml:space="preserve">-LAYER LW Default
E-CONT  </v>
      </c>
      <c r="R403" s="11" t="str">
        <f t="shared" si="54"/>
        <v xml:space="preserve">-LAYER TR 0
E-CONT  </v>
      </c>
      <c r="S403" s="11" t="str">
        <f t="shared" si="55"/>
        <v xml:space="preserve">-LAYER D Electricidad - Controles e instrumentación
E-CONT  </v>
      </c>
    </row>
    <row r="404" spans="1:19" x14ac:dyDescent="0.45">
      <c r="A404" s="7">
        <v>0</v>
      </c>
      <c r="B404" s="11" t="s">
        <v>3329</v>
      </c>
      <c r="C404" s="11" t="s">
        <v>13</v>
      </c>
      <c r="D404" s="11" t="s">
        <v>2041</v>
      </c>
      <c r="E404" s="11" t="str">
        <f t="shared" si="48"/>
        <v>E-CONT DEVC (Electricidad - Controles e instrumentación: dispositivos)</v>
      </c>
      <c r="F404" s="19" t="s">
        <v>3798</v>
      </c>
      <c r="G404" s="19" t="s">
        <v>3797</v>
      </c>
      <c r="H404" s="19" t="s">
        <v>3811</v>
      </c>
      <c r="I404" s="10">
        <v>0</v>
      </c>
      <c r="J404" s="10" t="str">
        <f t="shared" si="49"/>
        <v>Electricidad - Controles e instrumentación: dispositivos</v>
      </c>
      <c r="K404" s="11" t="s">
        <v>1766</v>
      </c>
      <c r="L404" s="11" t="s">
        <v>12</v>
      </c>
      <c r="M404" s="11" t="s">
        <v>1767</v>
      </c>
      <c r="N404" s="18" t="str">
        <f t="shared" si="50"/>
        <v xml:space="preserve">-LAYER N E-CONT DEVC </v>
      </c>
      <c r="O404" s="11" t="str">
        <f t="shared" si="51"/>
        <v xml:space="preserve">-LAYER C white E-CONT DEVC </v>
      </c>
      <c r="P404" s="11" t="str">
        <f t="shared" si="52"/>
        <v xml:space="preserve">-LAYER L Continuous
E-CONT DEVC  </v>
      </c>
      <c r="Q404" s="11" t="str">
        <f t="shared" si="53"/>
        <v xml:space="preserve">-LAYER LW Default
E-CONT DEVC  </v>
      </c>
      <c r="R404" s="11" t="str">
        <f t="shared" si="54"/>
        <v xml:space="preserve">-LAYER TR 0
E-CONT DEVC  </v>
      </c>
      <c r="S404" s="11" t="str">
        <f t="shared" si="55"/>
        <v xml:space="preserve">-LAYER D Electricidad - Controles e instrumentación: dispositivos
E-CONT DEVC  </v>
      </c>
    </row>
    <row r="405" spans="1:19" x14ac:dyDescent="0.45">
      <c r="A405" s="7">
        <v>0</v>
      </c>
      <c r="B405" s="11" t="s">
        <v>3330</v>
      </c>
      <c r="C405" s="11" t="s">
        <v>13</v>
      </c>
      <c r="D405" s="11" t="s">
        <v>2042</v>
      </c>
      <c r="E405" s="11" t="str">
        <f t="shared" si="48"/>
        <v>E-CONT-WIRE (Electricidad - Controles e instrumentación: cableado)</v>
      </c>
      <c r="F405" s="19" t="s">
        <v>3798</v>
      </c>
      <c r="G405" s="19" t="s">
        <v>3797</v>
      </c>
      <c r="H405" s="19" t="s">
        <v>3811</v>
      </c>
      <c r="I405" s="10">
        <v>0</v>
      </c>
      <c r="J405" s="10" t="str">
        <f t="shared" si="49"/>
        <v>Electricidad - Controles e instrumentación: cableado</v>
      </c>
      <c r="K405" s="11" t="s">
        <v>1768</v>
      </c>
      <c r="L405" s="11" t="s">
        <v>12</v>
      </c>
      <c r="M405" s="11" t="s">
        <v>1769</v>
      </c>
      <c r="N405" s="18" t="str">
        <f t="shared" si="50"/>
        <v xml:space="preserve">-LAYER N E-CONT-WIRE </v>
      </c>
      <c r="O405" s="11" t="str">
        <f t="shared" si="51"/>
        <v xml:space="preserve">-LAYER C white E-CONT-WIRE </v>
      </c>
      <c r="P405" s="11" t="str">
        <f t="shared" si="52"/>
        <v xml:space="preserve">-LAYER L Continuous
E-CONT-WIRE  </v>
      </c>
      <c r="Q405" s="11" t="str">
        <f t="shared" si="53"/>
        <v xml:space="preserve">-LAYER LW Default
E-CONT-WIRE  </v>
      </c>
      <c r="R405" s="11" t="str">
        <f t="shared" si="54"/>
        <v xml:space="preserve">-LAYER TR 0
E-CONT-WIRE  </v>
      </c>
      <c r="S405" s="11" t="str">
        <f t="shared" si="55"/>
        <v xml:space="preserve">-LAYER D Electricidad - Controles e instrumentación: cableado
E-CONT-WIRE  </v>
      </c>
    </row>
    <row r="406" spans="1:19" x14ac:dyDescent="0.45">
      <c r="A406" s="7">
        <v>0</v>
      </c>
      <c r="B406" s="11" t="s">
        <v>3331</v>
      </c>
      <c r="C406" s="11" t="s">
        <v>13</v>
      </c>
      <c r="D406" s="11" t="s">
        <v>2043</v>
      </c>
      <c r="E406" s="11" t="str">
        <f t="shared" si="48"/>
        <v>E-DATA (Electricidad - Sistema de datos/LAN)</v>
      </c>
      <c r="F406" s="19" t="s">
        <v>3798</v>
      </c>
      <c r="G406" s="19" t="s">
        <v>3797</v>
      </c>
      <c r="H406" s="19" t="s">
        <v>3811</v>
      </c>
      <c r="I406" s="10">
        <v>0</v>
      </c>
      <c r="J406" s="10" t="str">
        <f t="shared" si="49"/>
        <v>Electricidad - Sistema de datos/LAN</v>
      </c>
      <c r="K406" s="11" t="s">
        <v>1770</v>
      </c>
      <c r="L406" s="11" t="s">
        <v>12</v>
      </c>
      <c r="M406" s="11" t="s">
        <v>1771</v>
      </c>
      <c r="N406" s="18" t="str">
        <f t="shared" si="50"/>
        <v xml:space="preserve">-LAYER N E-DATA </v>
      </c>
      <c r="O406" s="11" t="str">
        <f t="shared" si="51"/>
        <v xml:space="preserve">-LAYER C white E-DATA </v>
      </c>
      <c r="P406" s="11" t="str">
        <f t="shared" si="52"/>
        <v xml:space="preserve">-LAYER L Continuous
E-DATA  </v>
      </c>
      <c r="Q406" s="11" t="str">
        <f t="shared" si="53"/>
        <v xml:space="preserve">-LAYER LW Default
E-DATA  </v>
      </c>
      <c r="R406" s="11" t="str">
        <f t="shared" si="54"/>
        <v xml:space="preserve">-LAYER TR 0
E-DATA  </v>
      </c>
      <c r="S406" s="11" t="str">
        <f t="shared" si="55"/>
        <v xml:space="preserve">-LAYER D Electricidad - Sistema de datos/LAN
E-DATA  </v>
      </c>
    </row>
    <row r="407" spans="1:19" x14ac:dyDescent="0.45">
      <c r="A407" s="7">
        <v>0</v>
      </c>
      <c r="B407" s="11" t="s">
        <v>3332</v>
      </c>
      <c r="C407" s="11" t="s">
        <v>13</v>
      </c>
      <c r="D407" s="11" t="s">
        <v>2044</v>
      </c>
      <c r="E407" s="11" t="str">
        <f t="shared" si="48"/>
        <v>E-DATA-CIRC (Electricidad - Sistema de datos/LAN: circuitos)</v>
      </c>
      <c r="F407" s="19" t="s">
        <v>3798</v>
      </c>
      <c r="G407" s="19" t="s">
        <v>3797</v>
      </c>
      <c r="H407" s="19" t="s">
        <v>3811</v>
      </c>
      <c r="I407" s="10">
        <v>0</v>
      </c>
      <c r="J407" s="10" t="str">
        <f t="shared" si="49"/>
        <v>Electricidad - Sistema de datos/LAN: circuitos</v>
      </c>
      <c r="K407" s="11" t="s">
        <v>1772</v>
      </c>
      <c r="L407" s="11" t="s">
        <v>12</v>
      </c>
      <c r="M407" s="11" t="s">
        <v>1773</v>
      </c>
      <c r="N407" s="18" t="str">
        <f t="shared" si="50"/>
        <v xml:space="preserve">-LAYER N E-DATA-CIRC </v>
      </c>
      <c r="O407" s="11" t="str">
        <f t="shared" si="51"/>
        <v xml:space="preserve">-LAYER C white E-DATA-CIRC </v>
      </c>
      <c r="P407" s="11" t="str">
        <f t="shared" si="52"/>
        <v xml:space="preserve">-LAYER L Continuous
E-DATA-CIRC  </v>
      </c>
      <c r="Q407" s="11" t="str">
        <f t="shared" si="53"/>
        <v xml:space="preserve">-LAYER LW Default
E-DATA-CIRC  </v>
      </c>
      <c r="R407" s="11" t="str">
        <f t="shared" si="54"/>
        <v xml:space="preserve">-LAYER TR 0
E-DATA-CIRC  </v>
      </c>
      <c r="S407" s="11" t="str">
        <f t="shared" si="55"/>
        <v xml:space="preserve">-LAYER D Electricidad - Sistema de datos/LAN: circuitos
E-DATA-CIRC  </v>
      </c>
    </row>
    <row r="408" spans="1:19" x14ac:dyDescent="0.45">
      <c r="A408" s="7">
        <v>0</v>
      </c>
      <c r="B408" s="11" t="s">
        <v>3333</v>
      </c>
      <c r="C408" s="11" t="s">
        <v>13</v>
      </c>
      <c r="D408" s="11" t="s">
        <v>2045</v>
      </c>
      <c r="E408" s="11" t="str">
        <f t="shared" si="48"/>
        <v>E-DATA-CLNG (Electricidad - Sistema de datos/LAN: Techo)</v>
      </c>
      <c r="F408" s="19" t="s">
        <v>3798</v>
      </c>
      <c r="G408" s="19" t="s">
        <v>3797</v>
      </c>
      <c r="H408" s="19" t="s">
        <v>3811</v>
      </c>
      <c r="I408" s="10">
        <v>0</v>
      </c>
      <c r="J408" s="10" t="str">
        <f t="shared" si="49"/>
        <v>Electricidad - Sistema de datos/LAN: Techo</v>
      </c>
      <c r="K408" s="11" t="s">
        <v>1774</v>
      </c>
      <c r="L408" s="11" t="s">
        <v>12</v>
      </c>
      <c r="M408" s="11" t="s">
        <v>1775</v>
      </c>
      <c r="N408" s="18" t="str">
        <f t="shared" si="50"/>
        <v xml:space="preserve">-LAYER N E-DATA-CLNG </v>
      </c>
      <c r="O408" s="11" t="str">
        <f t="shared" si="51"/>
        <v xml:space="preserve">-LAYER C white E-DATA-CLNG </v>
      </c>
      <c r="P408" s="11" t="str">
        <f t="shared" si="52"/>
        <v xml:space="preserve">-LAYER L Continuous
E-DATA-CLNG  </v>
      </c>
      <c r="Q408" s="11" t="str">
        <f t="shared" si="53"/>
        <v xml:space="preserve">-LAYER LW Default
E-DATA-CLNG  </v>
      </c>
      <c r="R408" s="11" t="str">
        <f t="shared" si="54"/>
        <v xml:space="preserve">-LAYER TR 0
E-DATA-CLNG  </v>
      </c>
      <c r="S408" s="11" t="str">
        <f t="shared" si="55"/>
        <v xml:space="preserve">-LAYER D Electricidad - Sistema de datos/LAN: Techo
E-DATA-CLNG  </v>
      </c>
    </row>
    <row r="409" spans="1:19" x14ac:dyDescent="0.45">
      <c r="A409" s="7">
        <v>0</v>
      </c>
      <c r="B409" s="11" t="s">
        <v>3334</v>
      </c>
      <c r="C409" s="11" t="s">
        <v>13</v>
      </c>
      <c r="D409" s="11" t="s">
        <v>2046</v>
      </c>
      <c r="E409" s="11" t="str">
        <f t="shared" si="48"/>
        <v>E-DATA-CNMB (Electricidad - Sistema de datos/LAN: número de circuito)</v>
      </c>
      <c r="F409" s="19" t="s">
        <v>3798</v>
      </c>
      <c r="G409" s="19" t="s">
        <v>3797</v>
      </c>
      <c r="H409" s="19" t="s">
        <v>3811</v>
      </c>
      <c r="I409" s="10">
        <v>0</v>
      </c>
      <c r="J409" s="10" t="str">
        <f t="shared" si="49"/>
        <v>Electricidad - Sistema de datos/LAN: número de circuito</v>
      </c>
      <c r="K409" s="11" t="s">
        <v>1776</v>
      </c>
      <c r="L409" s="11" t="s">
        <v>12</v>
      </c>
      <c r="M409" s="11" t="s">
        <v>1777</v>
      </c>
      <c r="N409" s="18" t="str">
        <f t="shared" si="50"/>
        <v xml:space="preserve">-LAYER N E-DATA-CNMB </v>
      </c>
      <c r="O409" s="11" t="str">
        <f t="shared" si="51"/>
        <v xml:space="preserve">-LAYER C white E-DATA-CNMB </v>
      </c>
      <c r="P409" s="11" t="str">
        <f t="shared" si="52"/>
        <v xml:space="preserve">-LAYER L Continuous
E-DATA-CNMB  </v>
      </c>
      <c r="Q409" s="11" t="str">
        <f t="shared" si="53"/>
        <v xml:space="preserve">-LAYER LW Default
E-DATA-CNMB  </v>
      </c>
      <c r="R409" s="11" t="str">
        <f t="shared" si="54"/>
        <v xml:space="preserve">-LAYER TR 0
E-DATA-CNMB  </v>
      </c>
      <c r="S409" s="11" t="str">
        <f t="shared" si="55"/>
        <v xml:space="preserve">-LAYER D Electricidad - Sistema de datos/LAN: número de circuito
E-DATA-CNMB  </v>
      </c>
    </row>
    <row r="410" spans="1:19" x14ac:dyDescent="0.45">
      <c r="A410" s="7">
        <v>0</v>
      </c>
      <c r="B410" s="11" t="s">
        <v>3335</v>
      </c>
      <c r="C410" s="11" t="s">
        <v>13</v>
      </c>
      <c r="D410" s="11" t="s">
        <v>2047</v>
      </c>
      <c r="E410" s="11" t="str">
        <f t="shared" si="48"/>
        <v>E-DATA-EQPM (Electricidad - Sistema de datos/LAN: equipo)</v>
      </c>
      <c r="F410" s="19" t="s">
        <v>3798</v>
      </c>
      <c r="G410" s="19" t="s">
        <v>3797</v>
      </c>
      <c r="H410" s="19" t="s">
        <v>3811</v>
      </c>
      <c r="I410" s="10">
        <v>0</v>
      </c>
      <c r="J410" s="10" t="str">
        <f t="shared" si="49"/>
        <v>Electricidad - Sistema de datos/LAN: equipo</v>
      </c>
      <c r="K410" s="11" t="s">
        <v>1778</v>
      </c>
      <c r="L410" s="11" t="s">
        <v>12</v>
      </c>
      <c r="M410" s="11" t="s">
        <v>1779</v>
      </c>
      <c r="N410" s="18" t="str">
        <f t="shared" si="50"/>
        <v xml:space="preserve">-LAYER N E-DATA-EQPM </v>
      </c>
      <c r="O410" s="11" t="str">
        <f t="shared" si="51"/>
        <v xml:space="preserve">-LAYER C white E-DATA-EQPM </v>
      </c>
      <c r="P410" s="11" t="str">
        <f t="shared" si="52"/>
        <v xml:space="preserve">-LAYER L Continuous
E-DATA-EQPM  </v>
      </c>
      <c r="Q410" s="11" t="str">
        <f t="shared" si="53"/>
        <v xml:space="preserve">-LAYER LW Default
E-DATA-EQPM  </v>
      </c>
      <c r="R410" s="11" t="str">
        <f t="shared" si="54"/>
        <v xml:space="preserve">-LAYER TR 0
E-DATA-EQPM  </v>
      </c>
      <c r="S410" s="11" t="str">
        <f t="shared" si="55"/>
        <v xml:space="preserve">-LAYER D Electricidad - Sistema de datos/LAN: equipo
E-DATA-EQPM  </v>
      </c>
    </row>
    <row r="411" spans="1:19" x14ac:dyDescent="0.45">
      <c r="A411" s="7">
        <v>0</v>
      </c>
      <c r="B411" s="11" t="s">
        <v>3336</v>
      </c>
      <c r="C411" s="11" t="s">
        <v>13</v>
      </c>
      <c r="D411" s="11" t="s">
        <v>2048</v>
      </c>
      <c r="E411" s="11" t="str">
        <f t="shared" si="48"/>
        <v>E-DATA-FLOR (Electricidad - Sistema de datos/LAN: suelo)</v>
      </c>
      <c r="F411" s="19" t="s">
        <v>3798</v>
      </c>
      <c r="G411" s="19" t="s">
        <v>3797</v>
      </c>
      <c r="H411" s="19" t="s">
        <v>3811</v>
      </c>
      <c r="I411" s="10">
        <v>0</v>
      </c>
      <c r="J411" s="10" t="str">
        <f t="shared" si="49"/>
        <v>Electricidad - Sistema de datos/LAN: suelo</v>
      </c>
      <c r="K411" s="11" t="s">
        <v>1780</v>
      </c>
      <c r="L411" s="11" t="s">
        <v>12</v>
      </c>
      <c r="M411" s="11" t="s">
        <v>1781</v>
      </c>
      <c r="N411" s="18" t="str">
        <f t="shared" si="50"/>
        <v xml:space="preserve">-LAYER N E-DATA-FLOR </v>
      </c>
      <c r="O411" s="11" t="str">
        <f t="shared" si="51"/>
        <v xml:space="preserve">-LAYER C white E-DATA-FLOR </v>
      </c>
      <c r="P411" s="11" t="str">
        <f t="shared" si="52"/>
        <v xml:space="preserve">-LAYER L Continuous
E-DATA-FLOR  </v>
      </c>
      <c r="Q411" s="11" t="str">
        <f t="shared" si="53"/>
        <v xml:space="preserve">-LAYER LW Default
E-DATA-FLOR  </v>
      </c>
      <c r="R411" s="11" t="str">
        <f t="shared" si="54"/>
        <v xml:space="preserve">-LAYER TR 0
E-DATA-FLOR  </v>
      </c>
      <c r="S411" s="11" t="str">
        <f t="shared" si="55"/>
        <v xml:space="preserve">-LAYER D Electricidad - Sistema de datos/LAN: suelo
E-DATA-FLOR  </v>
      </c>
    </row>
    <row r="412" spans="1:19" x14ac:dyDescent="0.45">
      <c r="A412" s="7">
        <v>0</v>
      </c>
      <c r="B412" s="11" t="s">
        <v>3337</v>
      </c>
      <c r="C412" s="11" t="s">
        <v>13</v>
      </c>
      <c r="D412" s="11" t="s">
        <v>2049</v>
      </c>
      <c r="E412" s="11" t="str">
        <f t="shared" si="48"/>
        <v>E-DATA-WALL (Electricidad - Sistema de datos/LAN: pared)</v>
      </c>
      <c r="F412" s="19" t="s">
        <v>3798</v>
      </c>
      <c r="G412" s="19" t="s">
        <v>3797</v>
      </c>
      <c r="H412" s="19" t="s">
        <v>3811</v>
      </c>
      <c r="I412" s="10">
        <v>0</v>
      </c>
      <c r="J412" s="10" t="str">
        <f t="shared" si="49"/>
        <v>Electricidad - Sistema de datos/LAN: pared</v>
      </c>
      <c r="K412" s="11" t="s">
        <v>1782</v>
      </c>
      <c r="L412" s="11" t="s">
        <v>12</v>
      </c>
      <c r="M412" s="11" t="s">
        <v>1783</v>
      </c>
      <c r="N412" s="18" t="str">
        <f t="shared" si="50"/>
        <v xml:space="preserve">-LAYER N E-DATA-WALL </v>
      </c>
      <c r="O412" s="11" t="str">
        <f t="shared" si="51"/>
        <v xml:space="preserve">-LAYER C white E-DATA-WALL </v>
      </c>
      <c r="P412" s="11" t="str">
        <f t="shared" si="52"/>
        <v xml:space="preserve">-LAYER L Continuous
E-DATA-WALL  </v>
      </c>
      <c r="Q412" s="11" t="str">
        <f t="shared" si="53"/>
        <v xml:space="preserve">-LAYER LW Default
E-DATA-WALL  </v>
      </c>
      <c r="R412" s="11" t="str">
        <f t="shared" si="54"/>
        <v xml:space="preserve">-LAYER TR 0
E-DATA-WALL  </v>
      </c>
      <c r="S412" s="11" t="str">
        <f t="shared" si="55"/>
        <v xml:space="preserve">-LAYER D Electricidad - Sistema de datos/LAN: pared
E-DATA-WALL  </v>
      </c>
    </row>
    <row r="413" spans="1:19" x14ac:dyDescent="0.45">
      <c r="A413" s="7">
        <v>1</v>
      </c>
      <c r="B413" s="11" t="s">
        <v>3338</v>
      </c>
      <c r="C413" s="11" t="s">
        <v>13</v>
      </c>
      <c r="D413" s="11" t="s">
        <v>291</v>
      </c>
      <c r="E413" s="11" t="str">
        <f t="shared" si="48"/>
        <v>E-DIAG (Electricidad - Diagramas)</v>
      </c>
      <c r="F413" s="19" t="s">
        <v>3798</v>
      </c>
      <c r="G413" s="19" t="s">
        <v>3797</v>
      </c>
      <c r="H413" s="19" t="s">
        <v>3811</v>
      </c>
      <c r="I413" s="10">
        <v>0</v>
      </c>
      <c r="J413" s="10" t="str">
        <f t="shared" si="49"/>
        <v>Electricidad - Diagramas</v>
      </c>
      <c r="K413" s="11" t="s">
        <v>1784</v>
      </c>
      <c r="L413" s="11" t="s">
        <v>12</v>
      </c>
      <c r="M413" s="11" t="s">
        <v>290</v>
      </c>
      <c r="N413" s="18" t="str">
        <f t="shared" si="50"/>
        <v xml:space="preserve">-LAYER N E-DIAG </v>
      </c>
      <c r="O413" s="11" t="str">
        <f t="shared" si="51"/>
        <v xml:space="preserve">-LAYER C white E-DIAG </v>
      </c>
      <c r="P413" s="11" t="str">
        <f t="shared" si="52"/>
        <v xml:space="preserve">-LAYER L Continuous
E-DIAG  </v>
      </c>
      <c r="Q413" s="11" t="str">
        <f t="shared" si="53"/>
        <v xml:space="preserve">-LAYER LW Default
E-DIAG  </v>
      </c>
      <c r="R413" s="11" t="str">
        <f t="shared" si="54"/>
        <v xml:space="preserve">-LAYER TR 0
E-DIAG  </v>
      </c>
      <c r="S413" s="11" t="str">
        <f t="shared" si="55"/>
        <v xml:space="preserve">-LAYER D Electricidad - Diagramas
E-DIAG  </v>
      </c>
    </row>
    <row r="414" spans="1:19" x14ac:dyDescent="0.45">
      <c r="A414" s="7">
        <v>0</v>
      </c>
      <c r="B414" s="11" t="s">
        <v>3339</v>
      </c>
      <c r="C414" s="11" t="s">
        <v>13</v>
      </c>
      <c r="D414" s="11" t="s">
        <v>2050</v>
      </c>
      <c r="E414" s="11" t="str">
        <f t="shared" si="48"/>
        <v>E-DIAG-BKRS (Electricidad - Diagramas: interruptores)</v>
      </c>
      <c r="F414" s="19" t="s">
        <v>3798</v>
      </c>
      <c r="G414" s="19" t="s">
        <v>3797</v>
      </c>
      <c r="H414" s="19" t="s">
        <v>3811</v>
      </c>
      <c r="I414" s="10">
        <v>0</v>
      </c>
      <c r="J414" s="10" t="str">
        <f t="shared" si="49"/>
        <v>Electricidad - Diagramas: interruptores</v>
      </c>
      <c r="K414" s="11" t="s">
        <v>1785</v>
      </c>
      <c r="L414" s="11" t="s">
        <v>12</v>
      </c>
      <c r="M414" s="11" t="s">
        <v>1786</v>
      </c>
      <c r="N414" s="18" t="str">
        <f t="shared" si="50"/>
        <v xml:space="preserve">-LAYER N E-DIAG-BKRS </v>
      </c>
      <c r="O414" s="11" t="str">
        <f t="shared" si="51"/>
        <v xml:space="preserve">-LAYER C white E-DIAG-BKRS </v>
      </c>
      <c r="P414" s="11" t="str">
        <f t="shared" si="52"/>
        <v xml:space="preserve">-LAYER L Continuous
E-DIAG-BKRS  </v>
      </c>
      <c r="Q414" s="11" t="str">
        <f t="shared" si="53"/>
        <v xml:space="preserve">-LAYER LW Default
E-DIAG-BKRS  </v>
      </c>
      <c r="R414" s="11" t="str">
        <f t="shared" si="54"/>
        <v xml:space="preserve">-LAYER TR 0
E-DIAG-BKRS  </v>
      </c>
      <c r="S414" s="11" t="str">
        <f t="shared" si="55"/>
        <v xml:space="preserve">-LAYER D Electricidad - Diagramas: interruptores
E-DIAG-BKRS  </v>
      </c>
    </row>
    <row r="415" spans="1:19" x14ac:dyDescent="0.45">
      <c r="A415" s="7">
        <v>0</v>
      </c>
      <c r="B415" s="11" t="s">
        <v>3340</v>
      </c>
      <c r="C415" s="11" t="s">
        <v>13</v>
      </c>
      <c r="D415" s="11" t="s">
        <v>2051</v>
      </c>
      <c r="E415" s="11" t="str">
        <f t="shared" si="48"/>
        <v>E-DIAG-BUSS (Electricidad - Diagramas: conducto de barras)</v>
      </c>
      <c r="F415" s="19" t="s">
        <v>3798</v>
      </c>
      <c r="G415" s="19" t="s">
        <v>3797</v>
      </c>
      <c r="H415" s="19" t="s">
        <v>3811</v>
      </c>
      <c r="I415" s="10">
        <v>0</v>
      </c>
      <c r="J415" s="10" t="str">
        <f t="shared" si="49"/>
        <v>Electricidad - Diagramas: conducto de barras</v>
      </c>
      <c r="K415" s="11" t="s">
        <v>1787</v>
      </c>
      <c r="L415" s="11" t="s">
        <v>12</v>
      </c>
      <c r="M415" s="11" t="s">
        <v>1788</v>
      </c>
      <c r="N415" s="18" t="str">
        <f t="shared" si="50"/>
        <v xml:space="preserve">-LAYER N E-DIAG-BUSS </v>
      </c>
      <c r="O415" s="11" t="str">
        <f t="shared" si="51"/>
        <v xml:space="preserve">-LAYER C white E-DIAG-BUSS </v>
      </c>
      <c r="P415" s="11" t="str">
        <f t="shared" si="52"/>
        <v xml:space="preserve">-LAYER L Continuous
E-DIAG-BUSS  </v>
      </c>
      <c r="Q415" s="11" t="str">
        <f t="shared" si="53"/>
        <v xml:space="preserve">-LAYER LW Default
E-DIAG-BUSS  </v>
      </c>
      <c r="R415" s="11" t="str">
        <f t="shared" si="54"/>
        <v xml:space="preserve">-LAYER TR 0
E-DIAG-BUSS  </v>
      </c>
      <c r="S415" s="11" t="str">
        <f t="shared" si="55"/>
        <v xml:space="preserve">-LAYER D Electricidad - Diagramas: conducto de barras
E-DIAG-BUSS  </v>
      </c>
    </row>
    <row r="416" spans="1:19" x14ac:dyDescent="0.45">
      <c r="A416" s="7">
        <v>0</v>
      </c>
      <c r="B416" s="11" t="s">
        <v>3341</v>
      </c>
      <c r="C416" s="11" t="s">
        <v>13</v>
      </c>
      <c r="D416" s="11" t="s">
        <v>2052</v>
      </c>
      <c r="E416" s="11" t="str">
        <f t="shared" si="48"/>
        <v>E-DIAG-ENCL (Electricidad - Diagramas: envolventes de equipos)</v>
      </c>
      <c r="F416" s="19" t="s">
        <v>3798</v>
      </c>
      <c r="G416" s="19" t="s">
        <v>3797</v>
      </c>
      <c r="H416" s="19" t="s">
        <v>3811</v>
      </c>
      <c r="I416" s="10">
        <v>0</v>
      </c>
      <c r="J416" s="10" t="str">
        <f t="shared" si="49"/>
        <v>Electricidad - Diagramas: envolventes de equipos</v>
      </c>
      <c r="K416" s="11" t="s">
        <v>1789</v>
      </c>
      <c r="L416" s="11" t="s">
        <v>12</v>
      </c>
      <c r="M416" s="11" t="s">
        <v>1790</v>
      </c>
      <c r="N416" s="18" t="str">
        <f t="shared" si="50"/>
        <v xml:space="preserve">-LAYER N E-DIAG-ENCL </v>
      </c>
      <c r="O416" s="11" t="str">
        <f t="shared" si="51"/>
        <v xml:space="preserve">-LAYER C white E-DIAG-ENCL </v>
      </c>
      <c r="P416" s="11" t="str">
        <f t="shared" si="52"/>
        <v xml:space="preserve">-LAYER L Continuous
E-DIAG-ENCL  </v>
      </c>
      <c r="Q416" s="11" t="str">
        <f t="shared" si="53"/>
        <v xml:space="preserve">-LAYER LW Default
E-DIAG-ENCL  </v>
      </c>
      <c r="R416" s="11" t="str">
        <f t="shared" si="54"/>
        <v xml:space="preserve">-LAYER TR 0
E-DIAG-ENCL  </v>
      </c>
      <c r="S416" s="11" t="str">
        <f t="shared" si="55"/>
        <v xml:space="preserve">-LAYER D Electricidad - Diagramas: envolventes de equipos
E-DIAG-ENCL  </v>
      </c>
    </row>
    <row r="417" spans="1:19" x14ac:dyDescent="0.45">
      <c r="A417" s="7">
        <v>0</v>
      </c>
      <c r="B417" s="11" t="s">
        <v>3342</v>
      </c>
      <c r="C417" s="11" t="s">
        <v>13</v>
      </c>
      <c r="D417" s="11" t="s">
        <v>2053</v>
      </c>
      <c r="E417" s="11" t="str">
        <f t="shared" si="48"/>
        <v>E-DIAG-EQPM (Electricidad - Diagramas: equipos)</v>
      </c>
      <c r="F417" s="19" t="s">
        <v>3798</v>
      </c>
      <c r="G417" s="19" t="s">
        <v>3797</v>
      </c>
      <c r="H417" s="19" t="s">
        <v>3811</v>
      </c>
      <c r="I417" s="10">
        <v>0</v>
      </c>
      <c r="J417" s="10" t="str">
        <f t="shared" si="49"/>
        <v>Electricidad - Diagramas: equipos</v>
      </c>
      <c r="K417" s="11" t="s">
        <v>1791</v>
      </c>
      <c r="L417" s="11" t="s">
        <v>12</v>
      </c>
      <c r="M417" s="11" t="s">
        <v>1792</v>
      </c>
      <c r="N417" s="18" t="str">
        <f t="shared" si="50"/>
        <v xml:space="preserve">-LAYER N E-DIAG-EQPM </v>
      </c>
      <c r="O417" s="11" t="str">
        <f t="shared" si="51"/>
        <v xml:space="preserve">-LAYER C white E-DIAG-EQPM </v>
      </c>
      <c r="P417" s="11" t="str">
        <f t="shared" si="52"/>
        <v xml:space="preserve">-LAYER L Continuous
E-DIAG-EQPM  </v>
      </c>
      <c r="Q417" s="11" t="str">
        <f t="shared" si="53"/>
        <v xml:space="preserve">-LAYER LW Default
E-DIAG-EQPM  </v>
      </c>
      <c r="R417" s="11" t="str">
        <f t="shared" si="54"/>
        <v xml:space="preserve">-LAYER TR 0
E-DIAG-EQPM  </v>
      </c>
      <c r="S417" s="11" t="str">
        <f t="shared" si="55"/>
        <v xml:space="preserve">-LAYER D Electricidad - Diagramas: equipos
E-DIAG-EQPM  </v>
      </c>
    </row>
    <row r="418" spans="1:19" x14ac:dyDescent="0.45">
      <c r="A418" s="7">
        <v>0</v>
      </c>
      <c r="B418" s="11" t="s">
        <v>3343</v>
      </c>
      <c r="C418" s="11" t="s">
        <v>13</v>
      </c>
      <c r="D418" s="11" t="s">
        <v>2054</v>
      </c>
      <c r="E418" s="11" t="str">
        <f t="shared" si="48"/>
        <v>E-DIAG-FEED (Electricidad - Diagramas: alimentadores)</v>
      </c>
      <c r="F418" s="19" t="s">
        <v>3798</v>
      </c>
      <c r="G418" s="19" t="s">
        <v>3797</v>
      </c>
      <c r="H418" s="19" t="s">
        <v>3811</v>
      </c>
      <c r="I418" s="10">
        <v>0</v>
      </c>
      <c r="J418" s="10" t="str">
        <f t="shared" si="49"/>
        <v>Electricidad - Diagramas: alimentadores</v>
      </c>
      <c r="K418" s="11" t="s">
        <v>1793</v>
      </c>
      <c r="L418" s="11" t="s">
        <v>12</v>
      </c>
      <c r="M418" s="11" t="s">
        <v>1794</v>
      </c>
      <c r="N418" s="18" t="str">
        <f t="shared" si="50"/>
        <v xml:space="preserve">-LAYER N E-DIAG-FEED </v>
      </c>
      <c r="O418" s="11" t="str">
        <f t="shared" si="51"/>
        <v xml:space="preserve">-LAYER C white E-DIAG-FEED </v>
      </c>
      <c r="P418" s="11" t="str">
        <f t="shared" si="52"/>
        <v xml:space="preserve">-LAYER L Continuous
E-DIAG-FEED  </v>
      </c>
      <c r="Q418" s="11" t="str">
        <f t="shared" si="53"/>
        <v xml:space="preserve">-LAYER LW Default
E-DIAG-FEED  </v>
      </c>
      <c r="R418" s="11" t="str">
        <f t="shared" si="54"/>
        <v xml:space="preserve">-LAYER TR 0
E-DIAG-FEED  </v>
      </c>
      <c r="S418" s="11" t="str">
        <f t="shared" si="55"/>
        <v xml:space="preserve">-LAYER D Electricidad - Diagramas: alimentadores
E-DIAG-FEED  </v>
      </c>
    </row>
    <row r="419" spans="1:19" x14ac:dyDescent="0.45">
      <c r="A419" s="7">
        <v>0</v>
      </c>
      <c r="B419" s="11" t="s">
        <v>3344</v>
      </c>
      <c r="C419" s="11" t="s">
        <v>13</v>
      </c>
      <c r="D419" s="11" t="s">
        <v>2055</v>
      </c>
      <c r="E419" s="11" t="str">
        <f t="shared" si="48"/>
        <v>E-DIAG-FLOR (Electricidad - Diagramas: suelo)</v>
      </c>
      <c r="F419" s="19" t="s">
        <v>3798</v>
      </c>
      <c r="G419" s="19" t="s">
        <v>3797</v>
      </c>
      <c r="H419" s="19" t="s">
        <v>3811</v>
      </c>
      <c r="I419" s="10">
        <v>0</v>
      </c>
      <c r="J419" s="10" t="str">
        <f t="shared" si="49"/>
        <v>Electricidad - Diagramas: suelo</v>
      </c>
      <c r="K419" s="11" t="s">
        <v>1795</v>
      </c>
      <c r="L419" s="11" t="s">
        <v>12</v>
      </c>
      <c r="M419" s="11" t="s">
        <v>1796</v>
      </c>
      <c r="N419" s="18" t="str">
        <f t="shared" si="50"/>
        <v xml:space="preserve">-LAYER N E-DIAG-FLOR </v>
      </c>
      <c r="O419" s="11" t="str">
        <f t="shared" si="51"/>
        <v xml:space="preserve">-LAYER C white E-DIAG-FLOR </v>
      </c>
      <c r="P419" s="11" t="str">
        <f t="shared" si="52"/>
        <v xml:space="preserve">-LAYER L Continuous
E-DIAG-FLOR  </v>
      </c>
      <c r="Q419" s="11" t="str">
        <f t="shared" si="53"/>
        <v xml:space="preserve">-LAYER LW Default
E-DIAG-FLOR  </v>
      </c>
      <c r="R419" s="11" t="str">
        <f t="shared" si="54"/>
        <v xml:space="preserve">-LAYER TR 0
E-DIAG-FLOR  </v>
      </c>
      <c r="S419" s="11" t="str">
        <f t="shared" si="55"/>
        <v xml:space="preserve">-LAYER D Electricidad - Diagramas: suelo
E-DIAG-FLOR  </v>
      </c>
    </row>
    <row r="420" spans="1:19" x14ac:dyDescent="0.45">
      <c r="A420" s="7">
        <v>0</v>
      </c>
      <c r="B420" s="11" t="s">
        <v>3345</v>
      </c>
      <c r="C420" s="11" t="s">
        <v>13</v>
      </c>
      <c r="D420" s="11" t="s">
        <v>2056</v>
      </c>
      <c r="E420" s="11" t="str">
        <f t="shared" si="48"/>
        <v>E-DIAG-GRND (Electricidad - Diagramas: tierra)</v>
      </c>
      <c r="F420" s="19" t="s">
        <v>3798</v>
      </c>
      <c r="G420" s="19" t="s">
        <v>3797</v>
      </c>
      <c r="H420" s="19" t="s">
        <v>3811</v>
      </c>
      <c r="I420" s="10">
        <v>0</v>
      </c>
      <c r="J420" s="10" t="str">
        <f t="shared" si="49"/>
        <v>Electricidad - Diagramas: tierra</v>
      </c>
      <c r="K420" s="11" t="s">
        <v>1797</v>
      </c>
      <c r="L420" s="11" t="s">
        <v>12</v>
      </c>
      <c r="M420" s="11" t="s">
        <v>1798</v>
      </c>
      <c r="N420" s="18" t="str">
        <f t="shared" si="50"/>
        <v xml:space="preserve">-LAYER N E-DIAG-GRND </v>
      </c>
      <c r="O420" s="11" t="str">
        <f t="shared" si="51"/>
        <v xml:space="preserve">-LAYER C white E-DIAG-GRND </v>
      </c>
      <c r="P420" s="11" t="str">
        <f t="shared" si="52"/>
        <v xml:space="preserve">-LAYER L Continuous
E-DIAG-GRND  </v>
      </c>
      <c r="Q420" s="11" t="str">
        <f t="shared" si="53"/>
        <v xml:space="preserve">-LAYER LW Default
E-DIAG-GRND  </v>
      </c>
      <c r="R420" s="11" t="str">
        <f t="shared" si="54"/>
        <v xml:space="preserve">-LAYER TR 0
E-DIAG-GRND  </v>
      </c>
      <c r="S420" s="11" t="str">
        <f t="shared" si="55"/>
        <v xml:space="preserve">-LAYER D Electricidad - Diagramas: tierra
E-DIAG-GRND  </v>
      </c>
    </row>
    <row r="421" spans="1:19" x14ac:dyDescent="0.45">
      <c r="A421" s="7">
        <v>0</v>
      </c>
      <c r="B421" s="11" t="s">
        <v>3346</v>
      </c>
      <c r="C421" s="11" t="s">
        <v>13</v>
      </c>
      <c r="D421" s="11" t="s">
        <v>2050</v>
      </c>
      <c r="E421" s="11" t="str">
        <f t="shared" si="48"/>
        <v>E-DIAG-SWCH (Electricidad - Diagramas: interruptores)</v>
      </c>
      <c r="F421" s="19" t="s">
        <v>3798</v>
      </c>
      <c r="G421" s="19" t="s">
        <v>3797</v>
      </c>
      <c r="H421" s="19" t="s">
        <v>3811</v>
      </c>
      <c r="I421" s="10">
        <v>0</v>
      </c>
      <c r="J421" s="10" t="str">
        <f t="shared" si="49"/>
        <v>Electricidad - Diagramas: interruptores</v>
      </c>
      <c r="K421" s="11" t="s">
        <v>1799</v>
      </c>
      <c r="L421" s="11" t="s">
        <v>12</v>
      </c>
      <c r="M421" s="11" t="s">
        <v>1800</v>
      </c>
      <c r="N421" s="18" t="str">
        <f t="shared" si="50"/>
        <v xml:space="preserve">-LAYER N E-DIAG-SWCH </v>
      </c>
      <c r="O421" s="11" t="str">
        <f t="shared" si="51"/>
        <v xml:space="preserve">-LAYER C white E-DIAG-SWCH </v>
      </c>
      <c r="P421" s="11" t="str">
        <f t="shared" si="52"/>
        <v xml:space="preserve">-LAYER L Continuous
E-DIAG-SWCH  </v>
      </c>
      <c r="Q421" s="11" t="str">
        <f t="shared" si="53"/>
        <v xml:space="preserve">-LAYER LW Default
E-DIAG-SWCH  </v>
      </c>
      <c r="R421" s="11" t="str">
        <f t="shared" si="54"/>
        <v xml:space="preserve">-LAYER TR 0
E-DIAG-SWCH  </v>
      </c>
      <c r="S421" s="11" t="str">
        <f t="shared" si="55"/>
        <v xml:space="preserve">-LAYER D Electricidad - Diagramas: interruptores
E-DIAG-SWCH  </v>
      </c>
    </row>
    <row r="422" spans="1:19" x14ac:dyDescent="0.45">
      <c r="A422" s="7">
        <v>0</v>
      </c>
      <c r="B422" s="11" t="s">
        <v>3347</v>
      </c>
      <c r="C422" s="11" t="s">
        <v>13</v>
      </c>
      <c r="D422" s="11" t="s">
        <v>2057</v>
      </c>
      <c r="E422" s="11" t="str">
        <f t="shared" si="48"/>
        <v>E-DIAG-XFMR (Electricidad - Diagramas: transformadores)</v>
      </c>
      <c r="F422" s="19" t="s">
        <v>3798</v>
      </c>
      <c r="G422" s="19" t="s">
        <v>3797</v>
      </c>
      <c r="H422" s="19" t="s">
        <v>3811</v>
      </c>
      <c r="I422" s="10">
        <v>0</v>
      </c>
      <c r="J422" s="10" t="str">
        <f t="shared" si="49"/>
        <v>Electricidad - Diagramas: transformadores</v>
      </c>
      <c r="K422" s="11" t="s">
        <v>1801</v>
      </c>
      <c r="L422" s="11" t="s">
        <v>12</v>
      </c>
      <c r="M422" s="11" t="s">
        <v>1802</v>
      </c>
      <c r="N422" s="18" t="str">
        <f t="shared" si="50"/>
        <v xml:space="preserve">-LAYER N E-DIAG-XFMR </v>
      </c>
      <c r="O422" s="11" t="str">
        <f t="shared" si="51"/>
        <v xml:space="preserve">-LAYER C white E-DIAG-XFMR </v>
      </c>
      <c r="P422" s="11" t="str">
        <f t="shared" si="52"/>
        <v xml:space="preserve">-LAYER L Continuous
E-DIAG-XFMR  </v>
      </c>
      <c r="Q422" s="11" t="str">
        <f t="shared" si="53"/>
        <v xml:space="preserve">-LAYER LW Default
E-DIAG-XFMR  </v>
      </c>
      <c r="R422" s="11" t="str">
        <f t="shared" si="54"/>
        <v xml:space="preserve">-LAYER TR 0
E-DIAG-XFMR  </v>
      </c>
      <c r="S422" s="11" t="str">
        <f t="shared" si="55"/>
        <v xml:space="preserve">-LAYER D Electricidad - Diagramas: transformadores
E-DIAG-XFMR  </v>
      </c>
    </row>
    <row r="423" spans="1:19" x14ac:dyDescent="0.45">
      <c r="A423" s="7">
        <v>0</v>
      </c>
      <c r="B423" s="11" t="s">
        <v>3348</v>
      </c>
      <c r="C423" s="11" t="s">
        <v>13</v>
      </c>
      <c r="D423" s="11" t="s">
        <v>294</v>
      </c>
      <c r="E423" s="11" t="str">
        <f t="shared" si="48"/>
        <v>E-DICT (Electricidad - Sistema de dictado)</v>
      </c>
      <c r="F423" s="19" t="s">
        <v>3798</v>
      </c>
      <c r="G423" s="19" t="s">
        <v>3797</v>
      </c>
      <c r="H423" s="19" t="s">
        <v>3811</v>
      </c>
      <c r="I423" s="10">
        <v>0</v>
      </c>
      <c r="J423" s="10" t="str">
        <f t="shared" si="49"/>
        <v>Electricidad - Sistema de dictado</v>
      </c>
      <c r="K423" s="11" t="s">
        <v>1803</v>
      </c>
      <c r="L423" s="11" t="s">
        <v>12</v>
      </c>
      <c r="M423" s="11" t="s">
        <v>293</v>
      </c>
      <c r="N423" s="18" t="str">
        <f t="shared" si="50"/>
        <v xml:space="preserve">-LAYER N E-DICT </v>
      </c>
      <c r="O423" s="11" t="str">
        <f t="shared" si="51"/>
        <v xml:space="preserve">-LAYER C white E-DICT </v>
      </c>
      <c r="P423" s="11" t="str">
        <f t="shared" si="52"/>
        <v xml:space="preserve">-LAYER L Continuous
E-DICT  </v>
      </c>
      <c r="Q423" s="11" t="str">
        <f t="shared" si="53"/>
        <v xml:space="preserve">-LAYER LW Default
E-DICT  </v>
      </c>
      <c r="R423" s="11" t="str">
        <f t="shared" si="54"/>
        <v xml:space="preserve">-LAYER TR 0
E-DICT  </v>
      </c>
      <c r="S423" s="11" t="str">
        <f t="shared" si="55"/>
        <v xml:space="preserve">-LAYER D Electricidad - Sistema de dictado
E-DICT  </v>
      </c>
    </row>
    <row r="424" spans="1:19" x14ac:dyDescent="0.45">
      <c r="A424" s="7">
        <v>0</v>
      </c>
      <c r="B424" s="11" t="s">
        <v>3349</v>
      </c>
      <c r="C424" s="11" t="s">
        <v>13</v>
      </c>
      <c r="D424" s="11" t="s">
        <v>2058</v>
      </c>
      <c r="E424" s="11" t="str">
        <f t="shared" si="48"/>
        <v>E-DICT-CIRC (Electricidad - Sistema de dictado: circuitos)</v>
      </c>
      <c r="F424" s="19" t="s">
        <v>3798</v>
      </c>
      <c r="G424" s="19" t="s">
        <v>3797</v>
      </c>
      <c r="H424" s="19" t="s">
        <v>3811</v>
      </c>
      <c r="I424" s="10">
        <v>0</v>
      </c>
      <c r="J424" s="10" t="str">
        <f t="shared" si="49"/>
        <v>Electricidad - Sistema de dictado: circuitos</v>
      </c>
      <c r="K424" s="11" t="s">
        <v>1804</v>
      </c>
      <c r="L424" s="11" t="s">
        <v>12</v>
      </c>
      <c r="M424" s="11" t="s">
        <v>1805</v>
      </c>
      <c r="N424" s="18" t="str">
        <f t="shared" si="50"/>
        <v xml:space="preserve">-LAYER N E-DICT-CIRC </v>
      </c>
      <c r="O424" s="11" t="str">
        <f t="shared" si="51"/>
        <v xml:space="preserve">-LAYER C white E-DICT-CIRC </v>
      </c>
      <c r="P424" s="11" t="str">
        <f t="shared" si="52"/>
        <v xml:space="preserve">-LAYER L Continuous
E-DICT-CIRC  </v>
      </c>
      <c r="Q424" s="11" t="str">
        <f t="shared" si="53"/>
        <v xml:space="preserve">-LAYER LW Default
E-DICT-CIRC  </v>
      </c>
      <c r="R424" s="11" t="str">
        <f t="shared" si="54"/>
        <v xml:space="preserve">-LAYER TR 0
E-DICT-CIRC  </v>
      </c>
      <c r="S424" s="11" t="str">
        <f t="shared" si="55"/>
        <v xml:space="preserve">-LAYER D Electricidad - Sistema de dictado: circuitos
E-DICT-CIRC  </v>
      </c>
    </row>
    <row r="425" spans="1:19" x14ac:dyDescent="0.45">
      <c r="A425" s="7">
        <v>0</v>
      </c>
      <c r="B425" s="11" t="s">
        <v>3350</v>
      </c>
      <c r="C425" s="11" t="s">
        <v>13</v>
      </c>
      <c r="D425" s="11" t="s">
        <v>2059</v>
      </c>
      <c r="E425" s="11" t="str">
        <f t="shared" si="48"/>
        <v>E-DICT-CLNG (Electricidad - Sistema de dictado: techo)</v>
      </c>
      <c r="F425" s="19" t="s">
        <v>3798</v>
      </c>
      <c r="G425" s="19" t="s">
        <v>3797</v>
      </c>
      <c r="H425" s="19" t="s">
        <v>3811</v>
      </c>
      <c r="I425" s="10">
        <v>0</v>
      </c>
      <c r="J425" s="10" t="str">
        <f t="shared" si="49"/>
        <v>Electricidad - Sistema de dictado: techo</v>
      </c>
      <c r="K425" s="11" t="s">
        <v>1806</v>
      </c>
      <c r="L425" s="11" t="s">
        <v>12</v>
      </c>
      <c r="M425" s="11" t="s">
        <v>1807</v>
      </c>
      <c r="N425" s="18" t="str">
        <f t="shared" si="50"/>
        <v xml:space="preserve">-LAYER N E-DICT-CLNG </v>
      </c>
      <c r="O425" s="11" t="str">
        <f t="shared" si="51"/>
        <v xml:space="preserve">-LAYER C white E-DICT-CLNG </v>
      </c>
      <c r="P425" s="11" t="str">
        <f t="shared" si="52"/>
        <v xml:space="preserve">-LAYER L Continuous
E-DICT-CLNG  </v>
      </c>
      <c r="Q425" s="11" t="str">
        <f t="shared" si="53"/>
        <v xml:space="preserve">-LAYER LW Default
E-DICT-CLNG  </v>
      </c>
      <c r="R425" s="11" t="str">
        <f t="shared" si="54"/>
        <v xml:space="preserve">-LAYER TR 0
E-DICT-CLNG  </v>
      </c>
      <c r="S425" s="11" t="str">
        <f t="shared" si="55"/>
        <v xml:space="preserve">-LAYER D Electricidad - Sistema de dictado: techo
E-DICT-CLNG  </v>
      </c>
    </row>
    <row r="426" spans="1:19" x14ac:dyDescent="0.45">
      <c r="A426" s="7">
        <v>0</v>
      </c>
      <c r="B426" s="11" t="s">
        <v>3351</v>
      </c>
      <c r="C426" s="11" t="s">
        <v>13</v>
      </c>
      <c r="D426" s="11" t="s">
        <v>2060</v>
      </c>
      <c r="E426" s="11" t="str">
        <f t="shared" si="48"/>
        <v>E-DICT-CNMB (Electricidad - Sistema de dictado: número de circuito)</v>
      </c>
      <c r="F426" s="19" t="s">
        <v>3798</v>
      </c>
      <c r="G426" s="19" t="s">
        <v>3797</v>
      </c>
      <c r="H426" s="19" t="s">
        <v>3811</v>
      </c>
      <c r="I426" s="10">
        <v>0</v>
      </c>
      <c r="J426" s="10" t="str">
        <f t="shared" si="49"/>
        <v>Electricidad - Sistema de dictado: número de circuito</v>
      </c>
      <c r="K426" s="11" t="s">
        <v>1808</v>
      </c>
      <c r="L426" s="11" t="s">
        <v>12</v>
      </c>
      <c r="M426" s="11" t="s">
        <v>1809</v>
      </c>
      <c r="N426" s="18" t="str">
        <f t="shared" si="50"/>
        <v xml:space="preserve">-LAYER N E-DICT-CNMB </v>
      </c>
      <c r="O426" s="11" t="str">
        <f t="shared" si="51"/>
        <v xml:space="preserve">-LAYER C white E-DICT-CNMB </v>
      </c>
      <c r="P426" s="11" t="str">
        <f t="shared" si="52"/>
        <v xml:space="preserve">-LAYER L Continuous
E-DICT-CNMB  </v>
      </c>
      <c r="Q426" s="11" t="str">
        <f t="shared" si="53"/>
        <v xml:space="preserve">-LAYER LW Default
E-DICT-CNMB  </v>
      </c>
      <c r="R426" s="11" t="str">
        <f t="shared" si="54"/>
        <v xml:space="preserve">-LAYER TR 0
E-DICT-CNMB  </v>
      </c>
      <c r="S426" s="11" t="str">
        <f t="shared" si="55"/>
        <v xml:space="preserve">-LAYER D Electricidad - Sistema de dictado: número de circuito
E-DICT-CNMB  </v>
      </c>
    </row>
    <row r="427" spans="1:19" x14ac:dyDescent="0.45">
      <c r="A427" s="7">
        <v>0</v>
      </c>
      <c r="B427" s="11" t="s">
        <v>3352</v>
      </c>
      <c r="C427" s="11" t="s">
        <v>13</v>
      </c>
      <c r="D427" s="11" t="s">
        <v>2061</v>
      </c>
      <c r="E427" s="11" t="str">
        <f t="shared" si="48"/>
        <v>E-DICT-EQPM (Electricidad - Sistema de dictado: equipo)</v>
      </c>
      <c r="F427" s="19" t="s">
        <v>3798</v>
      </c>
      <c r="G427" s="19" t="s">
        <v>3797</v>
      </c>
      <c r="H427" s="19" t="s">
        <v>3811</v>
      </c>
      <c r="I427" s="10">
        <v>0</v>
      </c>
      <c r="J427" s="10" t="str">
        <f t="shared" si="49"/>
        <v>Electricidad - Sistema de dictado: equipo</v>
      </c>
      <c r="K427" s="11" t="s">
        <v>1810</v>
      </c>
      <c r="L427" s="11" t="s">
        <v>12</v>
      </c>
      <c r="M427" s="11" t="s">
        <v>1811</v>
      </c>
      <c r="N427" s="18" t="str">
        <f t="shared" si="50"/>
        <v xml:space="preserve">-LAYER N E-DICT-EQPM </v>
      </c>
      <c r="O427" s="11" t="str">
        <f t="shared" si="51"/>
        <v xml:space="preserve">-LAYER C white E-DICT-EQPM </v>
      </c>
      <c r="P427" s="11" t="str">
        <f t="shared" si="52"/>
        <v xml:space="preserve">-LAYER L Continuous
E-DICT-EQPM  </v>
      </c>
      <c r="Q427" s="11" t="str">
        <f t="shared" si="53"/>
        <v xml:space="preserve">-LAYER LW Default
E-DICT-EQPM  </v>
      </c>
      <c r="R427" s="11" t="str">
        <f t="shared" si="54"/>
        <v xml:space="preserve">-LAYER TR 0
E-DICT-EQPM  </v>
      </c>
      <c r="S427" s="11" t="str">
        <f t="shared" si="55"/>
        <v xml:space="preserve">-LAYER D Electricidad - Sistema de dictado: equipo
E-DICT-EQPM  </v>
      </c>
    </row>
    <row r="428" spans="1:19" x14ac:dyDescent="0.45">
      <c r="A428" s="7">
        <v>0</v>
      </c>
      <c r="B428" s="11" t="s">
        <v>3353</v>
      </c>
      <c r="C428" s="11" t="s">
        <v>13</v>
      </c>
      <c r="D428" s="11" t="s">
        <v>2062</v>
      </c>
      <c r="E428" s="11" t="str">
        <f t="shared" si="48"/>
        <v>E-DICT-WALL (Electricidad - Sistema de dictado: pared)</v>
      </c>
      <c r="F428" s="19" t="s">
        <v>3798</v>
      </c>
      <c r="G428" s="19" t="s">
        <v>3797</v>
      </c>
      <c r="H428" s="19" t="s">
        <v>3811</v>
      </c>
      <c r="I428" s="10">
        <v>0</v>
      </c>
      <c r="J428" s="10" t="str">
        <f t="shared" si="49"/>
        <v>Electricidad - Sistema de dictado: pared</v>
      </c>
      <c r="K428" s="11" t="s">
        <v>1812</v>
      </c>
      <c r="L428" s="11" t="s">
        <v>12</v>
      </c>
      <c r="M428" s="11" t="s">
        <v>1813</v>
      </c>
      <c r="N428" s="18" t="str">
        <f t="shared" si="50"/>
        <v xml:space="preserve">-LAYER N E-DICT-WALL </v>
      </c>
      <c r="O428" s="11" t="str">
        <f t="shared" si="51"/>
        <v xml:space="preserve">-LAYER C white E-DICT-WALL </v>
      </c>
      <c r="P428" s="11" t="str">
        <f t="shared" si="52"/>
        <v xml:space="preserve">-LAYER L Continuous
E-DICT-WALL  </v>
      </c>
      <c r="Q428" s="11" t="str">
        <f t="shared" si="53"/>
        <v xml:space="preserve">-LAYER LW Default
E-DICT-WALL  </v>
      </c>
      <c r="R428" s="11" t="str">
        <f t="shared" si="54"/>
        <v xml:space="preserve">-LAYER TR 0
E-DICT-WALL  </v>
      </c>
      <c r="S428" s="11" t="str">
        <f t="shared" si="55"/>
        <v xml:space="preserve">-LAYER D Electricidad - Sistema de dictado: pared
E-DICT-WALL  </v>
      </c>
    </row>
    <row r="429" spans="1:19" x14ac:dyDescent="0.45">
      <c r="A429" s="7">
        <v>1</v>
      </c>
      <c r="B429" s="11" t="s">
        <v>3354</v>
      </c>
      <c r="C429" s="11" t="s">
        <v>13</v>
      </c>
      <c r="D429" s="11" t="s">
        <v>16</v>
      </c>
      <c r="E429" s="11" t="str">
        <f t="shared" si="48"/>
        <v>E-FIRE (Electricidad - Protección contra incendios)</v>
      </c>
      <c r="F429" s="19" t="s">
        <v>3798</v>
      </c>
      <c r="G429" s="19" t="s">
        <v>3797</v>
      </c>
      <c r="H429" s="19" t="s">
        <v>3811</v>
      </c>
      <c r="I429" s="10">
        <v>0</v>
      </c>
      <c r="J429" s="10" t="str">
        <f t="shared" si="49"/>
        <v>Electricidad - Protección contra incendios</v>
      </c>
      <c r="K429" s="11" t="s">
        <v>1814</v>
      </c>
      <c r="L429" s="11" t="s">
        <v>12</v>
      </c>
      <c r="M429" s="11" t="s">
        <v>349</v>
      </c>
      <c r="N429" s="18" t="str">
        <f t="shared" si="50"/>
        <v xml:space="preserve">-LAYER N E-FIRE </v>
      </c>
      <c r="O429" s="11" t="str">
        <f t="shared" si="51"/>
        <v xml:space="preserve">-LAYER C white E-FIRE </v>
      </c>
      <c r="P429" s="11" t="str">
        <f t="shared" si="52"/>
        <v xml:space="preserve">-LAYER L Continuous
E-FIRE  </v>
      </c>
      <c r="Q429" s="11" t="str">
        <f t="shared" si="53"/>
        <v xml:space="preserve">-LAYER LW Default
E-FIRE  </v>
      </c>
      <c r="R429" s="11" t="str">
        <f t="shared" si="54"/>
        <v xml:space="preserve">-LAYER TR 0
E-FIRE  </v>
      </c>
      <c r="S429" s="11" t="str">
        <f t="shared" si="55"/>
        <v xml:space="preserve">-LAYER D Electricidad - Protección contra incendios
E-FIRE  </v>
      </c>
    </row>
    <row r="430" spans="1:19" x14ac:dyDescent="0.45">
      <c r="A430" s="7">
        <v>0</v>
      </c>
      <c r="B430" s="11" t="s">
        <v>3355</v>
      </c>
      <c r="C430" s="11" t="s">
        <v>13</v>
      </c>
      <c r="D430" s="11" t="s">
        <v>2063</v>
      </c>
      <c r="E430" s="11" t="str">
        <f t="shared" si="48"/>
        <v>E-FIRE-BARR (Electricidad - Protección contra incendios: barrera)</v>
      </c>
      <c r="F430" s="19" t="s">
        <v>3798</v>
      </c>
      <c r="G430" s="19" t="s">
        <v>3797</v>
      </c>
      <c r="H430" s="19" t="s">
        <v>3811</v>
      </c>
      <c r="I430" s="10">
        <v>0</v>
      </c>
      <c r="J430" s="10" t="str">
        <f t="shared" si="49"/>
        <v>Electricidad - Protección contra incendios: barrera</v>
      </c>
      <c r="K430" s="11" t="s">
        <v>1815</v>
      </c>
      <c r="L430" s="11" t="s">
        <v>12</v>
      </c>
      <c r="M430" s="11" t="s">
        <v>1816</v>
      </c>
      <c r="N430" s="18" t="str">
        <f t="shared" si="50"/>
        <v xml:space="preserve">-LAYER N E-FIRE-BARR </v>
      </c>
      <c r="O430" s="11" t="str">
        <f t="shared" si="51"/>
        <v xml:space="preserve">-LAYER C white E-FIRE-BARR </v>
      </c>
      <c r="P430" s="11" t="str">
        <f t="shared" si="52"/>
        <v xml:space="preserve">-LAYER L Continuous
E-FIRE-BARR  </v>
      </c>
      <c r="Q430" s="11" t="str">
        <f t="shared" si="53"/>
        <v xml:space="preserve">-LAYER LW Default
E-FIRE-BARR  </v>
      </c>
      <c r="R430" s="11" t="str">
        <f t="shared" si="54"/>
        <v xml:space="preserve">-LAYER TR 0
E-FIRE-BARR  </v>
      </c>
      <c r="S430" s="11" t="str">
        <f t="shared" si="55"/>
        <v xml:space="preserve">-LAYER D Electricidad - Protección contra incendios: barrera
E-FIRE-BARR  </v>
      </c>
    </row>
    <row r="431" spans="1:19" x14ac:dyDescent="0.45">
      <c r="A431" s="7">
        <v>0</v>
      </c>
      <c r="B431" s="11" t="s">
        <v>3356</v>
      </c>
      <c r="C431" s="11" t="s">
        <v>13</v>
      </c>
      <c r="D431" s="11" t="s">
        <v>2064</v>
      </c>
      <c r="E431" s="11" t="str">
        <f t="shared" si="48"/>
        <v>E-FIRE-CIRC (Electricidad - Protección contra incendios: circuitos)</v>
      </c>
      <c r="F431" s="19" t="s">
        <v>3798</v>
      </c>
      <c r="G431" s="19" t="s">
        <v>3797</v>
      </c>
      <c r="H431" s="19" t="s">
        <v>3811</v>
      </c>
      <c r="I431" s="10">
        <v>0</v>
      </c>
      <c r="J431" s="10" t="str">
        <f t="shared" si="49"/>
        <v>Electricidad - Protección contra incendios: circuitos</v>
      </c>
      <c r="K431" s="11" t="s">
        <v>1817</v>
      </c>
      <c r="L431" s="11" t="s">
        <v>12</v>
      </c>
      <c r="M431" s="11" t="s">
        <v>1818</v>
      </c>
      <c r="N431" s="18" t="str">
        <f t="shared" si="50"/>
        <v xml:space="preserve">-LAYER N E-FIRE-CIRC </v>
      </c>
      <c r="O431" s="11" t="str">
        <f t="shared" si="51"/>
        <v xml:space="preserve">-LAYER C white E-FIRE-CIRC </v>
      </c>
      <c r="P431" s="11" t="str">
        <f t="shared" si="52"/>
        <v xml:space="preserve">-LAYER L Continuous
E-FIRE-CIRC  </v>
      </c>
      <c r="Q431" s="11" t="str">
        <f t="shared" si="53"/>
        <v xml:space="preserve">-LAYER LW Default
E-FIRE-CIRC  </v>
      </c>
      <c r="R431" s="11" t="str">
        <f t="shared" si="54"/>
        <v xml:space="preserve">-LAYER TR 0
E-FIRE-CIRC  </v>
      </c>
      <c r="S431" s="11" t="str">
        <f t="shared" si="55"/>
        <v xml:space="preserve">-LAYER D Electricidad - Protección contra incendios: circuitos
E-FIRE-CIRC  </v>
      </c>
    </row>
    <row r="432" spans="1:19" x14ac:dyDescent="0.45">
      <c r="A432" s="7">
        <v>0</v>
      </c>
      <c r="B432" s="11" t="s">
        <v>3357</v>
      </c>
      <c r="C432" s="11" t="s">
        <v>13</v>
      </c>
      <c r="D432" s="11" t="s">
        <v>2065</v>
      </c>
      <c r="E432" s="11" t="str">
        <f t="shared" si="48"/>
        <v>E-FIRE-CLNG (Electricidad - Protección contra incendios: techo)</v>
      </c>
      <c r="F432" s="19" t="s">
        <v>3798</v>
      </c>
      <c r="G432" s="19" t="s">
        <v>3797</v>
      </c>
      <c r="H432" s="19" t="s">
        <v>3811</v>
      </c>
      <c r="I432" s="10">
        <v>0</v>
      </c>
      <c r="J432" s="10" t="str">
        <f t="shared" si="49"/>
        <v>Electricidad - Protección contra incendios: techo</v>
      </c>
      <c r="K432" s="11" t="s">
        <v>1819</v>
      </c>
      <c r="L432" s="11" t="s">
        <v>12</v>
      </c>
      <c r="M432" s="11" t="s">
        <v>1820</v>
      </c>
      <c r="N432" s="18" t="str">
        <f t="shared" si="50"/>
        <v xml:space="preserve">-LAYER N E-FIRE-CLNG </v>
      </c>
      <c r="O432" s="11" t="str">
        <f t="shared" si="51"/>
        <v xml:space="preserve">-LAYER C white E-FIRE-CLNG </v>
      </c>
      <c r="P432" s="11" t="str">
        <f t="shared" si="52"/>
        <v xml:space="preserve">-LAYER L Continuous
E-FIRE-CLNG  </v>
      </c>
      <c r="Q432" s="11" t="str">
        <f t="shared" si="53"/>
        <v xml:space="preserve">-LAYER LW Default
E-FIRE-CLNG  </v>
      </c>
      <c r="R432" s="11" t="str">
        <f t="shared" si="54"/>
        <v xml:space="preserve">-LAYER TR 0
E-FIRE-CLNG  </v>
      </c>
      <c r="S432" s="11" t="str">
        <f t="shared" si="55"/>
        <v xml:space="preserve">-LAYER D Electricidad - Protección contra incendios: techo
E-FIRE-CLNG  </v>
      </c>
    </row>
    <row r="433" spans="1:19" x14ac:dyDescent="0.45">
      <c r="A433" s="7">
        <v>0</v>
      </c>
      <c r="B433" s="11" t="s">
        <v>3358</v>
      </c>
      <c r="C433" s="11" t="s">
        <v>13</v>
      </c>
      <c r="D433" s="11" t="s">
        <v>2066</v>
      </c>
      <c r="E433" s="11" t="str">
        <f t="shared" si="48"/>
        <v>E-FIRE-CNMB (Electricidad - Protección contra incendios: número de circuito)</v>
      </c>
      <c r="F433" s="19" t="s">
        <v>3798</v>
      </c>
      <c r="G433" s="19" t="s">
        <v>3797</v>
      </c>
      <c r="H433" s="19" t="s">
        <v>3811</v>
      </c>
      <c r="I433" s="10">
        <v>0</v>
      </c>
      <c r="J433" s="10" t="str">
        <f t="shared" si="49"/>
        <v>Electricidad - Protección contra incendios: número de circuito</v>
      </c>
      <c r="K433" s="11" t="s">
        <v>1821</v>
      </c>
      <c r="L433" s="11" t="s">
        <v>12</v>
      </c>
      <c r="M433" s="11" t="s">
        <v>1822</v>
      </c>
      <c r="N433" s="18" t="str">
        <f t="shared" si="50"/>
        <v xml:space="preserve">-LAYER N E-FIRE-CNMB </v>
      </c>
      <c r="O433" s="11" t="str">
        <f t="shared" si="51"/>
        <v xml:space="preserve">-LAYER C white E-FIRE-CNMB </v>
      </c>
      <c r="P433" s="11" t="str">
        <f t="shared" si="52"/>
        <v xml:space="preserve">-LAYER L Continuous
E-FIRE-CNMB  </v>
      </c>
      <c r="Q433" s="11" t="str">
        <f t="shared" si="53"/>
        <v xml:space="preserve">-LAYER LW Default
E-FIRE-CNMB  </v>
      </c>
      <c r="R433" s="11" t="str">
        <f t="shared" si="54"/>
        <v xml:space="preserve">-LAYER TR 0
E-FIRE-CNMB  </v>
      </c>
      <c r="S433" s="11" t="str">
        <f t="shared" si="55"/>
        <v xml:space="preserve">-LAYER D Electricidad - Protección contra incendios: número de circuito
E-FIRE-CNMB  </v>
      </c>
    </row>
    <row r="434" spans="1:19" x14ac:dyDescent="0.45">
      <c r="A434" s="7">
        <v>0</v>
      </c>
      <c r="B434" s="11" t="s">
        <v>3359</v>
      </c>
      <c r="C434" s="11" t="s">
        <v>13</v>
      </c>
      <c r="D434" s="11" t="s">
        <v>2067</v>
      </c>
      <c r="E434" s="11" t="str">
        <f t="shared" si="48"/>
        <v>E-FIRE-EQPM (Electricidad - Protección contra incendios: equipo)</v>
      </c>
      <c r="F434" s="19" t="s">
        <v>3798</v>
      </c>
      <c r="G434" s="19" t="s">
        <v>3797</v>
      </c>
      <c r="H434" s="19" t="s">
        <v>3811</v>
      </c>
      <c r="I434" s="10">
        <v>0</v>
      </c>
      <c r="J434" s="10" t="str">
        <f t="shared" si="49"/>
        <v>Electricidad - Protección contra incendios: equipo</v>
      </c>
      <c r="K434" s="11" t="s">
        <v>1823</v>
      </c>
      <c r="L434" s="11" t="s">
        <v>12</v>
      </c>
      <c r="M434" s="11" t="s">
        <v>1824</v>
      </c>
      <c r="N434" s="18" t="str">
        <f t="shared" si="50"/>
        <v xml:space="preserve">-LAYER N E-FIRE-EQPM </v>
      </c>
      <c r="O434" s="11" t="str">
        <f t="shared" si="51"/>
        <v xml:space="preserve">-LAYER C white E-FIRE-EQPM </v>
      </c>
      <c r="P434" s="11" t="str">
        <f t="shared" si="52"/>
        <v xml:space="preserve">-LAYER L Continuous
E-FIRE-EQPM  </v>
      </c>
      <c r="Q434" s="11" t="str">
        <f t="shared" si="53"/>
        <v xml:space="preserve">-LAYER LW Default
E-FIRE-EQPM  </v>
      </c>
      <c r="R434" s="11" t="str">
        <f t="shared" si="54"/>
        <v xml:space="preserve">-LAYER TR 0
E-FIRE-EQPM  </v>
      </c>
      <c r="S434" s="11" t="str">
        <f t="shared" si="55"/>
        <v xml:space="preserve">-LAYER D Electricidad - Protección contra incendios: equipo
E-FIRE-EQPM  </v>
      </c>
    </row>
    <row r="435" spans="1:19" x14ac:dyDescent="0.45">
      <c r="A435" s="7">
        <v>0</v>
      </c>
      <c r="B435" s="11" t="s">
        <v>3360</v>
      </c>
      <c r="C435" s="11" t="s">
        <v>13</v>
      </c>
      <c r="D435" s="11" t="s">
        <v>2068</v>
      </c>
      <c r="E435" s="11" t="str">
        <f t="shared" si="48"/>
        <v>E-FIRE-WALL (Electricidad - Protección contra incendios: pared)</v>
      </c>
      <c r="F435" s="19" t="s">
        <v>3798</v>
      </c>
      <c r="G435" s="19" t="s">
        <v>3797</v>
      </c>
      <c r="H435" s="19" t="s">
        <v>3811</v>
      </c>
      <c r="I435" s="10">
        <v>0</v>
      </c>
      <c r="J435" s="10" t="str">
        <f t="shared" si="49"/>
        <v>Electricidad - Protección contra incendios: pared</v>
      </c>
      <c r="K435" s="11" t="s">
        <v>1825</v>
      </c>
      <c r="L435" s="11" t="s">
        <v>12</v>
      </c>
      <c r="M435" s="11" t="s">
        <v>1826</v>
      </c>
      <c r="N435" s="18" t="str">
        <f t="shared" si="50"/>
        <v xml:space="preserve">-LAYER N E-FIRE-WALL </v>
      </c>
      <c r="O435" s="11" t="str">
        <f t="shared" si="51"/>
        <v xml:space="preserve">-LAYER C white E-FIRE-WALL </v>
      </c>
      <c r="P435" s="11" t="str">
        <f t="shared" si="52"/>
        <v xml:space="preserve">-LAYER L Continuous
E-FIRE-WALL  </v>
      </c>
      <c r="Q435" s="11" t="str">
        <f t="shared" si="53"/>
        <v xml:space="preserve">-LAYER LW Default
E-FIRE-WALL  </v>
      </c>
      <c r="R435" s="11" t="str">
        <f t="shared" si="54"/>
        <v xml:space="preserve">-LAYER TR 0
E-FIRE-WALL  </v>
      </c>
      <c r="S435" s="11" t="str">
        <f t="shared" si="55"/>
        <v xml:space="preserve">-LAYER D Electricidad - Protección contra incendios: pared
E-FIRE-WALL  </v>
      </c>
    </row>
    <row r="436" spans="1:19" x14ac:dyDescent="0.45">
      <c r="A436" s="7">
        <v>1</v>
      </c>
      <c r="B436" s="11" t="s">
        <v>3361</v>
      </c>
      <c r="C436" s="11" t="s">
        <v>13</v>
      </c>
      <c r="D436" s="11" t="s">
        <v>2069</v>
      </c>
      <c r="E436" s="11" t="str">
        <f t="shared" si="48"/>
        <v>E-GRND (Electricidad - Sistema de tierra)</v>
      </c>
      <c r="F436" s="19" t="s">
        <v>3798</v>
      </c>
      <c r="G436" s="19" t="s">
        <v>3797</v>
      </c>
      <c r="H436" s="19" t="s">
        <v>3811</v>
      </c>
      <c r="I436" s="10">
        <v>0</v>
      </c>
      <c r="J436" s="10" t="str">
        <f t="shared" si="49"/>
        <v>Electricidad - Sistema de tierra</v>
      </c>
      <c r="K436" s="11" t="s">
        <v>1827</v>
      </c>
      <c r="L436" s="11" t="s">
        <v>12</v>
      </c>
      <c r="M436" s="11" t="s">
        <v>395</v>
      </c>
      <c r="N436" s="18" t="str">
        <f t="shared" si="50"/>
        <v xml:space="preserve">-LAYER N E-GRND </v>
      </c>
      <c r="O436" s="11" t="str">
        <f t="shared" si="51"/>
        <v xml:space="preserve">-LAYER C white E-GRND </v>
      </c>
      <c r="P436" s="11" t="str">
        <f t="shared" si="52"/>
        <v xml:space="preserve">-LAYER L Continuous
E-GRND  </v>
      </c>
      <c r="Q436" s="11" t="str">
        <f t="shared" si="53"/>
        <v xml:space="preserve">-LAYER LW Default
E-GRND  </v>
      </c>
      <c r="R436" s="11" t="str">
        <f t="shared" si="54"/>
        <v xml:space="preserve">-LAYER TR 0
E-GRND  </v>
      </c>
      <c r="S436" s="11" t="str">
        <f t="shared" si="55"/>
        <v xml:space="preserve">-LAYER D Electricidad - Sistema de tierra
E-GRND  </v>
      </c>
    </row>
    <row r="437" spans="1:19" x14ac:dyDescent="0.45">
      <c r="A437" s="7">
        <v>0</v>
      </c>
      <c r="B437" s="11" t="s">
        <v>3362</v>
      </c>
      <c r="C437" s="11" t="s">
        <v>13</v>
      </c>
      <c r="D437" s="11" t="s">
        <v>2070</v>
      </c>
      <c r="E437" s="11" t="str">
        <f t="shared" si="48"/>
        <v>E-GRND-CIRC (Electricidad - Sistema de tierra: circuitos)</v>
      </c>
      <c r="F437" s="19" t="s">
        <v>3798</v>
      </c>
      <c r="G437" s="19" t="s">
        <v>3797</v>
      </c>
      <c r="H437" s="19" t="s">
        <v>3811</v>
      </c>
      <c r="I437" s="10">
        <v>0</v>
      </c>
      <c r="J437" s="10" t="str">
        <f t="shared" si="49"/>
        <v>Electricidad - Sistema de tierra: circuitos</v>
      </c>
      <c r="K437" s="11" t="s">
        <v>1828</v>
      </c>
      <c r="L437" s="11" t="s">
        <v>12</v>
      </c>
      <c r="M437" s="11" t="s">
        <v>1829</v>
      </c>
      <c r="N437" s="18" t="str">
        <f t="shared" si="50"/>
        <v xml:space="preserve">-LAYER N E-GRND-CIRC </v>
      </c>
      <c r="O437" s="11" t="str">
        <f t="shared" si="51"/>
        <v xml:space="preserve">-LAYER C white E-GRND-CIRC </v>
      </c>
      <c r="P437" s="11" t="str">
        <f t="shared" si="52"/>
        <v xml:space="preserve">-LAYER L Continuous
E-GRND-CIRC  </v>
      </c>
      <c r="Q437" s="11" t="str">
        <f t="shared" si="53"/>
        <v xml:space="preserve">-LAYER LW Default
E-GRND-CIRC  </v>
      </c>
      <c r="R437" s="11" t="str">
        <f t="shared" si="54"/>
        <v xml:space="preserve">-LAYER TR 0
E-GRND-CIRC  </v>
      </c>
      <c r="S437" s="11" t="str">
        <f t="shared" si="55"/>
        <v xml:space="preserve">-LAYER D Electricidad - Sistema de tierra: circuitos
E-GRND-CIRC  </v>
      </c>
    </row>
    <row r="438" spans="1:19" x14ac:dyDescent="0.45">
      <c r="A438" s="7">
        <v>0</v>
      </c>
      <c r="B438" s="11" t="s">
        <v>3363</v>
      </c>
      <c r="C438" s="11" t="s">
        <v>13</v>
      </c>
      <c r="D438" s="11" t="s">
        <v>2071</v>
      </c>
      <c r="E438" s="11" t="str">
        <f t="shared" si="48"/>
        <v>E-GRND-CLNG (Electricidad - Sistema de tierra: techo)</v>
      </c>
      <c r="F438" s="19" t="s">
        <v>3798</v>
      </c>
      <c r="G438" s="19" t="s">
        <v>3797</v>
      </c>
      <c r="H438" s="19" t="s">
        <v>3811</v>
      </c>
      <c r="I438" s="10">
        <v>0</v>
      </c>
      <c r="J438" s="10" t="str">
        <f t="shared" si="49"/>
        <v>Electricidad - Sistema de tierra: techo</v>
      </c>
      <c r="K438" s="11" t="s">
        <v>1830</v>
      </c>
      <c r="L438" s="11" t="s">
        <v>12</v>
      </c>
      <c r="M438" s="11" t="s">
        <v>1831</v>
      </c>
      <c r="N438" s="18" t="str">
        <f t="shared" si="50"/>
        <v xml:space="preserve">-LAYER N E-GRND-CLNG </v>
      </c>
      <c r="O438" s="11" t="str">
        <f t="shared" si="51"/>
        <v xml:space="preserve">-LAYER C white E-GRND-CLNG </v>
      </c>
      <c r="P438" s="11" t="str">
        <f t="shared" si="52"/>
        <v xml:space="preserve">-LAYER L Continuous
E-GRND-CLNG  </v>
      </c>
      <c r="Q438" s="11" t="str">
        <f t="shared" si="53"/>
        <v xml:space="preserve">-LAYER LW Default
E-GRND-CLNG  </v>
      </c>
      <c r="R438" s="11" t="str">
        <f t="shared" si="54"/>
        <v xml:space="preserve">-LAYER TR 0
E-GRND-CLNG  </v>
      </c>
      <c r="S438" s="11" t="str">
        <f t="shared" si="55"/>
        <v xml:space="preserve">-LAYER D Electricidad - Sistema de tierra: techo
E-GRND-CLNG  </v>
      </c>
    </row>
    <row r="439" spans="1:19" x14ac:dyDescent="0.45">
      <c r="A439" s="7">
        <v>0</v>
      </c>
      <c r="B439" s="11" t="s">
        <v>3364</v>
      </c>
      <c r="C439" s="11" t="s">
        <v>13</v>
      </c>
      <c r="D439" s="11" t="s">
        <v>2072</v>
      </c>
      <c r="E439" s="11" t="str">
        <f t="shared" si="48"/>
        <v>E-GRND-CNMB (Electricidad - Sistema de tierra: número de circuito)</v>
      </c>
      <c r="F439" s="19" t="s">
        <v>3798</v>
      </c>
      <c r="G439" s="19" t="s">
        <v>3797</v>
      </c>
      <c r="H439" s="19" t="s">
        <v>3811</v>
      </c>
      <c r="I439" s="10">
        <v>0</v>
      </c>
      <c r="J439" s="10" t="str">
        <f t="shared" si="49"/>
        <v>Electricidad - Sistema de tierra: número de circuito</v>
      </c>
      <c r="K439" s="11" t="s">
        <v>1832</v>
      </c>
      <c r="L439" s="11" t="s">
        <v>12</v>
      </c>
      <c r="M439" s="11" t="s">
        <v>1833</v>
      </c>
      <c r="N439" s="18" t="str">
        <f t="shared" si="50"/>
        <v xml:space="preserve">-LAYER N E-GRND-CNMB </v>
      </c>
      <c r="O439" s="11" t="str">
        <f t="shared" si="51"/>
        <v xml:space="preserve">-LAYER C white E-GRND-CNMB </v>
      </c>
      <c r="P439" s="11" t="str">
        <f t="shared" si="52"/>
        <v xml:space="preserve">-LAYER L Continuous
E-GRND-CNMB  </v>
      </c>
      <c r="Q439" s="11" t="str">
        <f t="shared" si="53"/>
        <v xml:space="preserve">-LAYER LW Default
E-GRND-CNMB  </v>
      </c>
      <c r="R439" s="11" t="str">
        <f t="shared" si="54"/>
        <v xml:space="preserve">-LAYER TR 0
E-GRND-CNMB  </v>
      </c>
      <c r="S439" s="11" t="str">
        <f t="shared" si="55"/>
        <v xml:space="preserve">-LAYER D Electricidad - Sistema de tierra: número de circuito
E-GRND-CNMB  </v>
      </c>
    </row>
    <row r="440" spans="1:19" x14ac:dyDescent="0.45">
      <c r="A440" s="7">
        <v>0</v>
      </c>
      <c r="B440" s="11" t="s">
        <v>3365</v>
      </c>
      <c r="C440" s="11" t="s">
        <v>13</v>
      </c>
      <c r="D440" s="11" t="s">
        <v>2073</v>
      </c>
      <c r="E440" s="11" t="str">
        <f t="shared" si="48"/>
        <v>E-GRND-DIAG (Electricidad - Sistema de tierra: diagramas)</v>
      </c>
      <c r="F440" s="19" t="s">
        <v>3798</v>
      </c>
      <c r="G440" s="19" t="s">
        <v>3797</v>
      </c>
      <c r="H440" s="19" t="s">
        <v>3811</v>
      </c>
      <c r="I440" s="10">
        <v>0</v>
      </c>
      <c r="J440" s="10" t="str">
        <f t="shared" si="49"/>
        <v>Electricidad - Sistema de tierra: diagramas</v>
      </c>
      <c r="K440" s="11" t="s">
        <v>1834</v>
      </c>
      <c r="L440" s="11" t="s">
        <v>12</v>
      </c>
      <c r="M440" s="11" t="s">
        <v>1835</v>
      </c>
      <c r="N440" s="18" t="str">
        <f t="shared" si="50"/>
        <v xml:space="preserve">-LAYER N E-GRND-DIAG </v>
      </c>
      <c r="O440" s="11" t="str">
        <f t="shared" si="51"/>
        <v xml:space="preserve">-LAYER C white E-GRND-DIAG </v>
      </c>
      <c r="P440" s="11" t="str">
        <f t="shared" si="52"/>
        <v xml:space="preserve">-LAYER L Continuous
E-GRND-DIAG  </v>
      </c>
      <c r="Q440" s="11" t="str">
        <f t="shared" si="53"/>
        <v xml:space="preserve">-LAYER LW Default
E-GRND-DIAG  </v>
      </c>
      <c r="R440" s="11" t="str">
        <f t="shared" si="54"/>
        <v xml:space="preserve">-LAYER TR 0
E-GRND-DIAG  </v>
      </c>
      <c r="S440" s="11" t="str">
        <f t="shared" si="55"/>
        <v xml:space="preserve">-LAYER D Electricidad - Sistema de tierra: diagramas
E-GRND-DIAG  </v>
      </c>
    </row>
    <row r="441" spans="1:19" x14ac:dyDescent="0.45">
      <c r="A441" s="7">
        <v>0</v>
      </c>
      <c r="B441" s="11" t="s">
        <v>3366</v>
      </c>
      <c r="C441" s="11" t="s">
        <v>13</v>
      </c>
      <c r="D441" s="11" t="s">
        <v>2074</v>
      </c>
      <c r="E441" s="11" t="str">
        <f t="shared" si="48"/>
        <v>E-GRND-EQPM (Electricidad - Sistema de tierra: equipo)</v>
      </c>
      <c r="F441" s="19" t="s">
        <v>3798</v>
      </c>
      <c r="G441" s="19" t="s">
        <v>3797</v>
      </c>
      <c r="H441" s="19" t="s">
        <v>3811</v>
      </c>
      <c r="I441" s="10">
        <v>0</v>
      </c>
      <c r="J441" s="10" t="str">
        <f t="shared" si="49"/>
        <v>Electricidad - Sistema de tierra: equipo</v>
      </c>
      <c r="K441" s="11" t="s">
        <v>1836</v>
      </c>
      <c r="L441" s="11" t="s">
        <v>12</v>
      </c>
      <c r="M441" s="11" t="s">
        <v>1837</v>
      </c>
      <c r="N441" s="18" t="str">
        <f t="shared" si="50"/>
        <v xml:space="preserve">-LAYER N E-GRND-EQPM </v>
      </c>
      <c r="O441" s="11" t="str">
        <f t="shared" si="51"/>
        <v xml:space="preserve">-LAYER C white E-GRND-EQPM </v>
      </c>
      <c r="P441" s="11" t="str">
        <f t="shared" si="52"/>
        <v xml:space="preserve">-LAYER L Continuous
E-GRND-EQPM  </v>
      </c>
      <c r="Q441" s="11" t="str">
        <f t="shared" si="53"/>
        <v xml:space="preserve">-LAYER LW Default
E-GRND-EQPM  </v>
      </c>
      <c r="R441" s="11" t="str">
        <f t="shared" si="54"/>
        <v xml:space="preserve">-LAYER TR 0
E-GRND-EQPM  </v>
      </c>
      <c r="S441" s="11" t="str">
        <f t="shared" si="55"/>
        <v xml:space="preserve">-LAYER D Electricidad - Sistema de tierra: equipo
E-GRND-EQPM  </v>
      </c>
    </row>
    <row r="442" spans="1:19" x14ac:dyDescent="0.45">
      <c r="A442" s="7">
        <v>0</v>
      </c>
      <c r="B442" s="11" t="s">
        <v>3367</v>
      </c>
      <c r="C442" s="11" t="s">
        <v>13</v>
      </c>
      <c r="D442" s="11" t="s">
        <v>2075</v>
      </c>
      <c r="E442" s="11" t="str">
        <f t="shared" si="48"/>
        <v>E-GRND-EQUI (Electricidad - Sistema de tierra: equipotencial)</v>
      </c>
      <c r="F442" s="19" t="s">
        <v>3798</v>
      </c>
      <c r="G442" s="19" t="s">
        <v>3797</v>
      </c>
      <c r="H442" s="19" t="s">
        <v>3811</v>
      </c>
      <c r="I442" s="10">
        <v>0</v>
      </c>
      <c r="J442" s="10" t="str">
        <f t="shared" si="49"/>
        <v>Electricidad - Sistema de tierra: equipotencial</v>
      </c>
      <c r="K442" s="11" t="s">
        <v>1838</v>
      </c>
      <c r="L442" s="11" t="s">
        <v>12</v>
      </c>
      <c r="M442" s="11" t="s">
        <v>1839</v>
      </c>
      <c r="N442" s="18" t="str">
        <f t="shared" si="50"/>
        <v xml:space="preserve">-LAYER N E-GRND-EQUI </v>
      </c>
      <c r="O442" s="11" t="str">
        <f t="shared" si="51"/>
        <v xml:space="preserve">-LAYER C white E-GRND-EQUI </v>
      </c>
      <c r="P442" s="11" t="str">
        <f t="shared" si="52"/>
        <v xml:space="preserve">-LAYER L Continuous
E-GRND-EQUI  </v>
      </c>
      <c r="Q442" s="11" t="str">
        <f t="shared" si="53"/>
        <v xml:space="preserve">-LAYER LW Default
E-GRND-EQUI  </v>
      </c>
      <c r="R442" s="11" t="str">
        <f t="shared" si="54"/>
        <v xml:space="preserve">-LAYER TR 0
E-GRND-EQUI  </v>
      </c>
      <c r="S442" s="11" t="str">
        <f t="shared" si="55"/>
        <v xml:space="preserve">-LAYER D Electricidad - Sistema de tierra: equipotencial
E-GRND-EQUI  </v>
      </c>
    </row>
    <row r="443" spans="1:19" x14ac:dyDescent="0.45">
      <c r="A443" s="7">
        <v>0</v>
      </c>
      <c r="B443" s="11" t="s">
        <v>3368</v>
      </c>
      <c r="C443" s="11" t="s">
        <v>13</v>
      </c>
      <c r="D443" s="11" t="s">
        <v>2076</v>
      </c>
      <c r="E443" s="11" t="str">
        <f t="shared" si="48"/>
        <v>E-GRND-WALL (Electricidad - Sistema de tierra: pared)</v>
      </c>
      <c r="F443" s="19" t="s">
        <v>3798</v>
      </c>
      <c r="G443" s="19" t="s">
        <v>3797</v>
      </c>
      <c r="H443" s="19" t="s">
        <v>3811</v>
      </c>
      <c r="I443" s="10">
        <v>0</v>
      </c>
      <c r="J443" s="10" t="str">
        <f t="shared" si="49"/>
        <v>Electricidad - Sistema de tierra: pared</v>
      </c>
      <c r="K443" s="11" t="s">
        <v>1840</v>
      </c>
      <c r="L443" s="11" t="s">
        <v>12</v>
      </c>
      <c r="M443" s="11" t="s">
        <v>1841</v>
      </c>
      <c r="N443" s="18" t="str">
        <f t="shared" si="50"/>
        <v xml:space="preserve">-LAYER N E-GRND-WALL </v>
      </c>
      <c r="O443" s="11" t="str">
        <f t="shared" si="51"/>
        <v xml:space="preserve">-LAYER C white E-GRND-WALL </v>
      </c>
      <c r="P443" s="11" t="str">
        <f t="shared" si="52"/>
        <v xml:space="preserve">-LAYER L Continuous
E-GRND-WALL  </v>
      </c>
      <c r="Q443" s="11" t="str">
        <f t="shared" si="53"/>
        <v xml:space="preserve">-LAYER LW Default
E-GRND-WALL  </v>
      </c>
      <c r="R443" s="11" t="str">
        <f t="shared" si="54"/>
        <v xml:space="preserve">-LAYER TR 0
E-GRND-WALL  </v>
      </c>
      <c r="S443" s="11" t="str">
        <f t="shared" si="55"/>
        <v xml:space="preserve">-LAYER D Electricidad - Sistema de tierra: pared
E-GRND-WALL  </v>
      </c>
    </row>
    <row r="444" spans="1:19" x14ac:dyDescent="0.45">
      <c r="A444" s="7">
        <v>1</v>
      </c>
      <c r="B444" s="11" t="s">
        <v>3369</v>
      </c>
      <c r="C444" s="11" t="s">
        <v>13</v>
      </c>
      <c r="D444" s="11" t="s">
        <v>2077</v>
      </c>
      <c r="E444" s="11" t="str">
        <f t="shared" si="48"/>
        <v>E-INST (Electricidad - Instrumentación Sistema)</v>
      </c>
      <c r="F444" s="19" t="s">
        <v>3798</v>
      </c>
      <c r="G444" s="19" t="s">
        <v>3797</v>
      </c>
      <c r="H444" s="19" t="s">
        <v>3811</v>
      </c>
      <c r="I444" s="10">
        <v>0</v>
      </c>
      <c r="J444" s="10" t="str">
        <f t="shared" si="49"/>
        <v>Electricidad - Instrumentación Sistema</v>
      </c>
      <c r="K444" s="11" t="s">
        <v>1842</v>
      </c>
      <c r="L444" s="11" t="s">
        <v>12</v>
      </c>
      <c r="M444" s="11" t="s">
        <v>416</v>
      </c>
      <c r="N444" s="18" t="str">
        <f t="shared" si="50"/>
        <v xml:space="preserve">-LAYER N E-INST </v>
      </c>
      <c r="O444" s="11" t="str">
        <f t="shared" si="51"/>
        <v xml:space="preserve">-LAYER C white E-INST </v>
      </c>
      <c r="P444" s="11" t="str">
        <f t="shared" si="52"/>
        <v xml:space="preserve">-LAYER L Continuous
E-INST  </v>
      </c>
      <c r="Q444" s="11" t="str">
        <f t="shared" si="53"/>
        <v xml:space="preserve">-LAYER LW Default
E-INST  </v>
      </c>
      <c r="R444" s="11" t="str">
        <f t="shared" si="54"/>
        <v xml:space="preserve">-LAYER TR 0
E-INST  </v>
      </c>
      <c r="S444" s="11" t="str">
        <f t="shared" si="55"/>
        <v xml:space="preserve">-LAYER D Electricidad - Instrumentación Sistema
E-INST  </v>
      </c>
    </row>
    <row r="445" spans="1:19" x14ac:dyDescent="0.45">
      <c r="A445" s="7">
        <v>0</v>
      </c>
      <c r="B445" s="11" t="s">
        <v>3370</v>
      </c>
      <c r="C445" s="11" t="s">
        <v>13</v>
      </c>
      <c r="D445" s="11" t="s">
        <v>2078</v>
      </c>
      <c r="E445" s="11" t="str">
        <f t="shared" si="48"/>
        <v>E-INST-CIRC (Electricidad - Sistema de instrumentación: circuitos)</v>
      </c>
      <c r="F445" s="19" t="s">
        <v>3798</v>
      </c>
      <c r="G445" s="19" t="s">
        <v>3797</v>
      </c>
      <c r="H445" s="19" t="s">
        <v>3811</v>
      </c>
      <c r="I445" s="10">
        <v>0</v>
      </c>
      <c r="J445" s="10" t="str">
        <f t="shared" si="49"/>
        <v>Electricidad - Sistema de instrumentación: circuitos</v>
      </c>
      <c r="K445" s="11" t="s">
        <v>1843</v>
      </c>
      <c r="L445" s="11" t="s">
        <v>12</v>
      </c>
      <c r="M445" s="11" t="s">
        <v>1844</v>
      </c>
      <c r="N445" s="18" t="str">
        <f t="shared" si="50"/>
        <v xml:space="preserve">-LAYER N E-INST-CIRC </v>
      </c>
      <c r="O445" s="11" t="str">
        <f t="shared" si="51"/>
        <v xml:space="preserve">-LAYER C white E-INST-CIRC </v>
      </c>
      <c r="P445" s="11" t="str">
        <f t="shared" si="52"/>
        <v xml:space="preserve">-LAYER L Continuous
E-INST-CIRC  </v>
      </c>
      <c r="Q445" s="11" t="str">
        <f t="shared" si="53"/>
        <v xml:space="preserve">-LAYER LW Default
E-INST-CIRC  </v>
      </c>
      <c r="R445" s="11" t="str">
        <f t="shared" si="54"/>
        <v xml:space="preserve">-LAYER TR 0
E-INST-CIRC  </v>
      </c>
      <c r="S445" s="11" t="str">
        <f t="shared" si="55"/>
        <v xml:space="preserve">-LAYER D Electricidad - Sistema de instrumentación: circuitos
E-INST-CIRC  </v>
      </c>
    </row>
    <row r="446" spans="1:19" x14ac:dyDescent="0.45">
      <c r="A446" s="7">
        <v>0</v>
      </c>
      <c r="B446" s="11" t="s">
        <v>3371</v>
      </c>
      <c r="C446" s="11" t="s">
        <v>13</v>
      </c>
      <c r="D446" s="11" t="s">
        <v>2079</v>
      </c>
      <c r="E446" s="11" t="str">
        <f t="shared" si="48"/>
        <v>E-INST-CLNG (Electricidad - Sistema de instrumentación: techo)</v>
      </c>
      <c r="F446" s="19" t="s">
        <v>3798</v>
      </c>
      <c r="G446" s="19" t="s">
        <v>3797</v>
      </c>
      <c r="H446" s="19" t="s">
        <v>3811</v>
      </c>
      <c r="I446" s="10">
        <v>0</v>
      </c>
      <c r="J446" s="10" t="str">
        <f t="shared" si="49"/>
        <v>Electricidad - Sistema de instrumentación: techo</v>
      </c>
      <c r="K446" s="11" t="s">
        <v>1845</v>
      </c>
      <c r="L446" s="11" t="s">
        <v>12</v>
      </c>
      <c r="M446" s="11" t="s">
        <v>1846</v>
      </c>
      <c r="N446" s="18" t="str">
        <f t="shared" si="50"/>
        <v xml:space="preserve">-LAYER N E-INST-CLNG </v>
      </c>
      <c r="O446" s="11" t="str">
        <f t="shared" si="51"/>
        <v xml:space="preserve">-LAYER C white E-INST-CLNG </v>
      </c>
      <c r="P446" s="11" t="str">
        <f t="shared" si="52"/>
        <v xml:space="preserve">-LAYER L Continuous
E-INST-CLNG  </v>
      </c>
      <c r="Q446" s="11" t="str">
        <f t="shared" si="53"/>
        <v xml:space="preserve">-LAYER LW Default
E-INST-CLNG  </v>
      </c>
      <c r="R446" s="11" t="str">
        <f t="shared" si="54"/>
        <v xml:space="preserve">-LAYER TR 0
E-INST-CLNG  </v>
      </c>
      <c r="S446" s="11" t="str">
        <f t="shared" si="55"/>
        <v xml:space="preserve">-LAYER D Electricidad - Sistema de instrumentación: techo
E-INST-CLNG  </v>
      </c>
    </row>
    <row r="447" spans="1:19" x14ac:dyDescent="0.45">
      <c r="A447" s="7">
        <v>0</v>
      </c>
      <c r="B447" s="11" t="s">
        <v>3372</v>
      </c>
      <c r="C447" s="11" t="s">
        <v>13</v>
      </c>
      <c r="D447" s="11" t="s">
        <v>2080</v>
      </c>
      <c r="E447" s="11" t="str">
        <f t="shared" si="48"/>
        <v>E-INST-CNMB (Electricidad - Sistema de instrumentación: número de circuito)</v>
      </c>
      <c r="F447" s="19" t="s">
        <v>3798</v>
      </c>
      <c r="G447" s="19" t="s">
        <v>3797</v>
      </c>
      <c r="H447" s="19" t="s">
        <v>3811</v>
      </c>
      <c r="I447" s="10">
        <v>0</v>
      </c>
      <c r="J447" s="10" t="str">
        <f t="shared" si="49"/>
        <v>Electricidad - Sistema de instrumentación: número de circuito</v>
      </c>
      <c r="K447" s="11" t="s">
        <v>1847</v>
      </c>
      <c r="L447" s="11" t="s">
        <v>12</v>
      </c>
      <c r="M447" s="11" t="s">
        <v>1848</v>
      </c>
      <c r="N447" s="18" t="str">
        <f t="shared" si="50"/>
        <v xml:space="preserve">-LAYER N E-INST-CNMB </v>
      </c>
      <c r="O447" s="11" t="str">
        <f t="shared" si="51"/>
        <v xml:space="preserve">-LAYER C white E-INST-CNMB </v>
      </c>
      <c r="P447" s="11" t="str">
        <f t="shared" si="52"/>
        <v xml:space="preserve">-LAYER L Continuous
E-INST-CNMB  </v>
      </c>
      <c r="Q447" s="11" t="str">
        <f t="shared" si="53"/>
        <v xml:space="preserve">-LAYER LW Default
E-INST-CNMB  </v>
      </c>
      <c r="R447" s="11" t="str">
        <f t="shared" si="54"/>
        <v xml:space="preserve">-LAYER TR 0
E-INST-CNMB  </v>
      </c>
      <c r="S447" s="11" t="str">
        <f t="shared" si="55"/>
        <v xml:space="preserve">-LAYER D Electricidad - Sistema de instrumentación: número de circuito
E-INST-CNMB  </v>
      </c>
    </row>
    <row r="448" spans="1:19" x14ac:dyDescent="0.45">
      <c r="A448" s="7">
        <v>0</v>
      </c>
      <c r="B448" s="11" t="s">
        <v>3373</v>
      </c>
      <c r="C448" s="11" t="s">
        <v>13</v>
      </c>
      <c r="D448" s="11" t="s">
        <v>2081</v>
      </c>
      <c r="E448" s="11" t="str">
        <f t="shared" si="48"/>
        <v>E-INST-EQPM (Electricidad - Sistema de instrumentación: equipo)</v>
      </c>
      <c r="F448" s="19" t="s">
        <v>3798</v>
      </c>
      <c r="G448" s="19" t="s">
        <v>3797</v>
      </c>
      <c r="H448" s="19" t="s">
        <v>3811</v>
      </c>
      <c r="I448" s="10">
        <v>0</v>
      </c>
      <c r="J448" s="10" t="str">
        <f t="shared" si="49"/>
        <v>Electricidad - Sistema de instrumentación: equipo</v>
      </c>
      <c r="K448" s="11" t="s">
        <v>1849</v>
      </c>
      <c r="L448" s="11" t="s">
        <v>12</v>
      </c>
      <c r="M448" s="11" t="s">
        <v>1850</v>
      </c>
      <c r="N448" s="18" t="str">
        <f t="shared" si="50"/>
        <v xml:space="preserve">-LAYER N E-INST-EQPM </v>
      </c>
      <c r="O448" s="11" t="str">
        <f t="shared" si="51"/>
        <v xml:space="preserve">-LAYER C white E-INST-EQPM </v>
      </c>
      <c r="P448" s="11" t="str">
        <f t="shared" si="52"/>
        <v xml:space="preserve">-LAYER L Continuous
E-INST-EQPM  </v>
      </c>
      <c r="Q448" s="11" t="str">
        <f t="shared" si="53"/>
        <v xml:space="preserve">-LAYER LW Default
E-INST-EQPM  </v>
      </c>
      <c r="R448" s="11" t="str">
        <f t="shared" si="54"/>
        <v xml:space="preserve">-LAYER TR 0
E-INST-EQPM  </v>
      </c>
      <c r="S448" s="11" t="str">
        <f t="shared" si="55"/>
        <v xml:space="preserve">-LAYER D Electricidad - Sistema de instrumentación: equipo
E-INST-EQPM  </v>
      </c>
    </row>
    <row r="449" spans="1:19" x14ac:dyDescent="0.45">
      <c r="A449" s="7">
        <v>0</v>
      </c>
      <c r="B449" s="11" t="s">
        <v>3374</v>
      </c>
      <c r="C449" s="11" t="s">
        <v>13</v>
      </c>
      <c r="D449" s="11" t="s">
        <v>2082</v>
      </c>
      <c r="E449" s="11" t="str">
        <f t="shared" si="48"/>
        <v>E-INST-WALL (Electricidad - Sistema de instrumentación: pared)</v>
      </c>
      <c r="F449" s="19" t="s">
        <v>3798</v>
      </c>
      <c r="G449" s="19" t="s">
        <v>3797</v>
      </c>
      <c r="H449" s="19" t="s">
        <v>3811</v>
      </c>
      <c r="I449" s="10">
        <v>0</v>
      </c>
      <c r="J449" s="10" t="str">
        <f t="shared" si="49"/>
        <v>Electricidad - Sistema de instrumentación: pared</v>
      </c>
      <c r="K449" s="11" t="s">
        <v>1851</v>
      </c>
      <c r="L449" s="11" t="s">
        <v>12</v>
      </c>
      <c r="M449" s="11" t="s">
        <v>1852</v>
      </c>
      <c r="N449" s="18" t="str">
        <f t="shared" si="50"/>
        <v xml:space="preserve">-LAYER N E-INST-WALL </v>
      </c>
      <c r="O449" s="11" t="str">
        <f t="shared" si="51"/>
        <v xml:space="preserve">-LAYER C white E-INST-WALL </v>
      </c>
      <c r="P449" s="11" t="str">
        <f t="shared" si="52"/>
        <v xml:space="preserve">-LAYER L Continuous
E-INST-WALL  </v>
      </c>
      <c r="Q449" s="11" t="str">
        <f t="shared" si="53"/>
        <v xml:space="preserve">-LAYER LW Default
E-INST-WALL  </v>
      </c>
      <c r="R449" s="11" t="str">
        <f t="shared" si="54"/>
        <v xml:space="preserve">-LAYER TR 0
E-INST-WALL  </v>
      </c>
      <c r="S449" s="11" t="str">
        <f t="shared" si="55"/>
        <v xml:space="preserve">-LAYER D Electricidad - Sistema de instrumentación: pared
E-INST-WALL  </v>
      </c>
    </row>
    <row r="450" spans="1:19" x14ac:dyDescent="0.45">
      <c r="A450" s="7">
        <v>0</v>
      </c>
      <c r="B450" s="11" t="s">
        <v>3375</v>
      </c>
      <c r="C450" s="11" t="s">
        <v>13</v>
      </c>
      <c r="D450" s="11" t="s">
        <v>2083</v>
      </c>
      <c r="E450" s="11" t="str">
        <f t="shared" si="48"/>
        <v>E-INTC (Electricidad - Sistemas de intercomunicación/megafonía)</v>
      </c>
      <c r="F450" s="19" t="s">
        <v>3798</v>
      </c>
      <c r="G450" s="19" t="s">
        <v>3797</v>
      </c>
      <c r="H450" s="19" t="s">
        <v>3811</v>
      </c>
      <c r="I450" s="10">
        <v>0</v>
      </c>
      <c r="J450" s="10" t="str">
        <f t="shared" si="49"/>
        <v>Electricidad - Sistemas de intercomunicación/megafonía</v>
      </c>
      <c r="K450" s="11" t="s">
        <v>1853</v>
      </c>
      <c r="L450" s="11" t="s">
        <v>12</v>
      </c>
      <c r="M450" s="11" t="s">
        <v>1854</v>
      </c>
      <c r="N450" s="18" t="str">
        <f t="shared" si="50"/>
        <v xml:space="preserve">-LAYER N E-INTC </v>
      </c>
      <c r="O450" s="11" t="str">
        <f t="shared" si="51"/>
        <v xml:space="preserve">-LAYER C white E-INTC </v>
      </c>
      <c r="P450" s="11" t="str">
        <f t="shared" si="52"/>
        <v xml:space="preserve">-LAYER L Continuous
E-INTC  </v>
      </c>
      <c r="Q450" s="11" t="str">
        <f t="shared" si="53"/>
        <v xml:space="preserve">-LAYER LW Default
E-INTC  </v>
      </c>
      <c r="R450" s="11" t="str">
        <f t="shared" si="54"/>
        <v xml:space="preserve">-LAYER TR 0
E-INTC  </v>
      </c>
      <c r="S450" s="11" t="str">
        <f t="shared" si="55"/>
        <v xml:space="preserve">-LAYER D Electricidad - Sistemas de intercomunicación/megafonía
E-INTC  </v>
      </c>
    </row>
    <row r="451" spans="1:19" x14ac:dyDescent="0.45">
      <c r="A451" s="7">
        <v>1</v>
      </c>
      <c r="B451" s="11" t="s">
        <v>3376</v>
      </c>
      <c r="C451" s="11" t="s">
        <v>13</v>
      </c>
      <c r="D451" s="11" t="s">
        <v>447</v>
      </c>
      <c r="E451" s="11" t="str">
        <f t="shared" si="48"/>
        <v>E-LITE (Electricidad - Iluminación)</v>
      </c>
      <c r="F451" s="19" t="s">
        <v>3798</v>
      </c>
      <c r="G451" s="19" t="s">
        <v>3797</v>
      </c>
      <c r="H451" s="19" t="s">
        <v>3811</v>
      </c>
      <c r="I451" s="10">
        <v>0</v>
      </c>
      <c r="J451" s="10" t="str">
        <f t="shared" si="49"/>
        <v>Electricidad - Iluminación</v>
      </c>
      <c r="K451" s="11" t="s">
        <v>1855</v>
      </c>
      <c r="L451" s="11" t="s">
        <v>12</v>
      </c>
      <c r="M451" s="11" t="s">
        <v>446</v>
      </c>
      <c r="N451" s="18" t="str">
        <f t="shared" si="50"/>
        <v xml:space="preserve">-LAYER N E-LITE </v>
      </c>
      <c r="O451" s="11" t="str">
        <f t="shared" si="51"/>
        <v xml:space="preserve">-LAYER C white E-LITE </v>
      </c>
      <c r="P451" s="11" t="str">
        <f t="shared" si="52"/>
        <v xml:space="preserve">-LAYER L Continuous
E-LITE  </v>
      </c>
      <c r="Q451" s="11" t="str">
        <f t="shared" si="53"/>
        <v xml:space="preserve">-LAYER LW Default
E-LITE  </v>
      </c>
      <c r="R451" s="11" t="str">
        <f t="shared" si="54"/>
        <v xml:space="preserve">-LAYER TR 0
E-LITE  </v>
      </c>
      <c r="S451" s="11" t="str">
        <f t="shared" si="55"/>
        <v xml:space="preserve">-LAYER D Electricidad - Iluminación
E-LITE  </v>
      </c>
    </row>
    <row r="452" spans="1:19" x14ac:dyDescent="0.45">
      <c r="A452" s="7">
        <v>0</v>
      </c>
      <c r="B452" s="11" t="s">
        <v>3377</v>
      </c>
      <c r="C452" s="11" t="s">
        <v>13</v>
      </c>
      <c r="D452" s="11" t="s">
        <v>2084</v>
      </c>
      <c r="E452" s="11" t="str">
        <f t="shared" ref="E452:E515" si="56">_xlfn.CONCAT(B452," (",C452," - ",D452,")")</f>
        <v>E-LITE-CIRC (Electricidad - Iluminación: circuitos)</v>
      </c>
      <c r="F452" s="19" t="s">
        <v>3798</v>
      </c>
      <c r="G452" s="19" t="s">
        <v>3797</v>
      </c>
      <c r="H452" s="19" t="s">
        <v>3811</v>
      </c>
      <c r="I452" s="10">
        <v>0</v>
      </c>
      <c r="J452" s="10" t="str">
        <f t="shared" si="49"/>
        <v>Electricidad - Iluminación: circuitos</v>
      </c>
      <c r="K452" s="11" t="s">
        <v>1856</v>
      </c>
      <c r="L452" s="11" t="s">
        <v>12</v>
      </c>
      <c r="M452" s="11" t="s">
        <v>1857</v>
      </c>
      <c r="N452" s="18" t="str">
        <f t="shared" si="50"/>
        <v xml:space="preserve">-LAYER N E-LITE-CIRC </v>
      </c>
      <c r="O452" s="11" t="str">
        <f t="shared" si="51"/>
        <v xml:space="preserve">-LAYER C white E-LITE-CIRC </v>
      </c>
      <c r="P452" s="11" t="str">
        <f t="shared" si="52"/>
        <v xml:space="preserve">-LAYER L Continuous
E-LITE-CIRC  </v>
      </c>
      <c r="Q452" s="11" t="str">
        <f t="shared" si="53"/>
        <v xml:space="preserve">-LAYER LW Default
E-LITE-CIRC  </v>
      </c>
      <c r="R452" s="11" t="str">
        <f t="shared" si="54"/>
        <v xml:space="preserve">-LAYER TR 0
E-LITE-CIRC  </v>
      </c>
      <c r="S452" s="11" t="str">
        <f t="shared" si="55"/>
        <v xml:space="preserve">-LAYER D Electricidad - Iluminación: circuitos
E-LITE-CIRC  </v>
      </c>
    </row>
    <row r="453" spans="1:19" x14ac:dyDescent="0.45">
      <c r="A453" s="7">
        <v>0</v>
      </c>
      <c r="B453" s="11" t="s">
        <v>3378</v>
      </c>
      <c r="C453" s="11" t="s">
        <v>13</v>
      </c>
      <c r="D453" s="11" t="s">
        <v>2085</v>
      </c>
      <c r="E453" s="11" t="str">
        <f t="shared" si="56"/>
        <v>E-LITE-CIRC-CRIT (Electricidad - Iluminación: circuitos: críticos)</v>
      </c>
      <c r="F453" s="19" t="s">
        <v>3798</v>
      </c>
      <c r="G453" s="19" t="s">
        <v>3797</v>
      </c>
      <c r="H453" s="19" t="s">
        <v>3811</v>
      </c>
      <c r="I453" s="10">
        <v>0</v>
      </c>
      <c r="J453" s="10" t="str">
        <f t="shared" ref="J453:J516" si="57">_xlfn.CONCAT(C453," - ",D453)</f>
        <v>Electricidad - Iluminación: circuitos: críticos</v>
      </c>
      <c r="K453" s="11" t="s">
        <v>1858</v>
      </c>
      <c r="L453" s="11" t="s">
        <v>12</v>
      </c>
      <c r="M453" s="11" t="s">
        <v>1859</v>
      </c>
      <c r="N453" s="18" t="str">
        <f t="shared" ref="N453:N516" si="58">_xlfn.CONCAT("-LAYER N ", B453," ")</f>
        <v xml:space="preserve">-LAYER N E-LITE-CIRC-CRIT </v>
      </c>
      <c r="O453" s="11" t="str">
        <f t="shared" ref="O453:O516" si="59">_xlfn.CONCAT("-LAYER C ",F453," ", B453," ")</f>
        <v xml:space="preserve">-LAYER C white E-LITE-CIRC-CRIT </v>
      </c>
      <c r="P453" s="11" t="str">
        <f t="shared" ref="P453:P516" si="60">_xlfn.CONCAT("-LAYER L ",G453,CHAR(10), B453,"  ")</f>
        <v xml:space="preserve">-LAYER L Continuous
E-LITE-CIRC-CRIT  </v>
      </c>
      <c r="Q453" s="11" t="str">
        <f t="shared" ref="Q453:Q516" si="61">_xlfn.CONCAT("-LAYER LW ",H453,CHAR(10), B453,"  ")</f>
        <v xml:space="preserve">-LAYER LW Default
E-LITE-CIRC-CRIT  </v>
      </c>
      <c r="R453" s="11" t="str">
        <f t="shared" ref="R453:R516" si="62">_xlfn.CONCAT("-LAYER TR ",I453,CHAR(10), B453,"  ")</f>
        <v xml:space="preserve">-LAYER TR 0
E-LITE-CIRC-CRIT  </v>
      </c>
      <c r="S453" s="11" t="str">
        <f t="shared" ref="S453:S516" si="63">_xlfn.CONCAT("-LAYER D ",J453,CHAR(10), B453,"  ")</f>
        <v xml:space="preserve">-LAYER D Electricidad - Iluminación: circuitos: críticos
E-LITE-CIRC-CRIT  </v>
      </c>
    </row>
    <row r="454" spans="1:19" x14ac:dyDescent="0.45">
      <c r="A454" s="7">
        <v>0</v>
      </c>
      <c r="B454" s="11" t="s">
        <v>3379</v>
      </c>
      <c r="C454" s="11" t="s">
        <v>13</v>
      </c>
      <c r="D454" s="11" t="s">
        <v>2086</v>
      </c>
      <c r="E454" s="11" t="str">
        <f t="shared" si="56"/>
        <v>E-LITE-CIRC-EMER (Electricidad - Iluminación: circuitos: emergencia)</v>
      </c>
      <c r="F454" s="19" t="s">
        <v>3798</v>
      </c>
      <c r="G454" s="19" t="s">
        <v>3797</v>
      </c>
      <c r="H454" s="19" t="s">
        <v>3811</v>
      </c>
      <c r="I454" s="10">
        <v>0</v>
      </c>
      <c r="J454" s="10" t="str">
        <f t="shared" si="57"/>
        <v>Electricidad - Iluminación: circuitos: emergencia</v>
      </c>
      <c r="K454" s="11" t="s">
        <v>1860</v>
      </c>
      <c r="L454" s="11" t="s">
        <v>12</v>
      </c>
      <c r="M454" s="11" t="s">
        <v>1984</v>
      </c>
      <c r="N454" s="18" t="str">
        <f t="shared" si="58"/>
        <v xml:space="preserve">-LAYER N E-LITE-CIRC-EMER </v>
      </c>
      <c r="O454" s="11" t="str">
        <f t="shared" si="59"/>
        <v xml:space="preserve">-LAYER C white E-LITE-CIRC-EMER </v>
      </c>
      <c r="P454" s="11" t="str">
        <f t="shared" si="60"/>
        <v xml:space="preserve">-LAYER L Continuous
E-LITE-CIRC-EMER  </v>
      </c>
      <c r="Q454" s="11" t="str">
        <f t="shared" si="61"/>
        <v xml:space="preserve">-LAYER LW Default
E-LITE-CIRC-EMER  </v>
      </c>
      <c r="R454" s="11" t="str">
        <f t="shared" si="62"/>
        <v xml:space="preserve">-LAYER TR 0
E-LITE-CIRC-EMER  </v>
      </c>
      <c r="S454" s="11" t="str">
        <f t="shared" si="63"/>
        <v xml:space="preserve">-LAYER D Electricidad - Iluminación: circuitos: emergencia
E-LITE-CIRC-EMER  </v>
      </c>
    </row>
    <row r="455" spans="1:19" x14ac:dyDescent="0.45">
      <c r="A455" s="7">
        <v>0</v>
      </c>
      <c r="B455" s="11" t="s">
        <v>3380</v>
      </c>
      <c r="C455" s="11" t="s">
        <v>13</v>
      </c>
      <c r="D455" s="11" t="s">
        <v>2087</v>
      </c>
      <c r="E455" s="11" t="str">
        <f t="shared" si="56"/>
        <v>E-LITE-CLNG (Electricidad - Iluminación: techo)</v>
      </c>
      <c r="F455" s="19" t="s">
        <v>3798</v>
      </c>
      <c r="G455" s="19" t="s">
        <v>3797</v>
      </c>
      <c r="H455" s="19" t="s">
        <v>3811</v>
      </c>
      <c r="I455" s="10">
        <v>0</v>
      </c>
      <c r="J455" s="10" t="str">
        <f t="shared" si="57"/>
        <v>Electricidad - Iluminación: techo</v>
      </c>
      <c r="K455" s="11" t="s">
        <v>1983</v>
      </c>
      <c r="L455" s="11" t="s">
        <v>12</v>
      </c>
      <c r="M455" s="11" t="s">
        <v>1861</v>
      </c>
      <c r="N455" s="18" t="str">
        <f t="shared" si="58"/>
        <v xml:space="preserve">-LAYER N E-LITE-CLNG </v>
      </c>
      <c r="O455" s="11" t="str">
        <f t="shared" si="59"/>
        <v xml:space="preserve">-LAYER C white E-LITE-CLNG </v>
      </c>
      <c r="P455" s="11" t="str">
        <f t="shared" si="60"/>
        <v xml:space="preserve">-LAYER L Continuous
E-LITE-CLNG  </v>
      </c>
      <c r="Q455" s="11" t="str">
        <f t="shared" si="61"/>
        <v xml:space="preserve">-LAYER LW Default
E-LITE-CLNG  </v>
      </c>
      <c r="R455" s="11" t="str">
        <f t="shared" si="62"/>
        <v xml:space="preserve">-LAYER TR 0
E-LITE-CLNG  </v>
      </c>
      <c r="S455" s="11" t="str">
        <f t="shared" si="63"/>
        <v xml:space="preserve">-LAYER D Electricidad - Iluminación: techo
E-LITE-CLNG  </v>
      </c>
    </row>
    <row r="456" spans="1:19" x14ac:dyDescent="0.45">
      <c r="A456" s="7">
        <v>0</v>
      </c>
      <c r="B456" s="11" t="s">
        <v>3381</v>
      </c>
      <c r="C456" s="11" t="s">
        <v>13</v>
      </c>
      <c r="D456" s="11" t="s">
        <v>2088</v>
      </c>
      <c r="E456" s="11" t="str">
        <f t="shared" si="56"/>
        <v>E-LITE-CLNG-CRIT (Electricidad - Iluminación: techo: crítico)</v>
      </c>
      <c r="F456" s="19" t="s">
        <v>3798</v>
      </c>
      <c r="G456" s="19" t="s">
        <v>3797</v>
      </c>
      <c r="H456" s="19" t="s">
        <v>3811</v>
      </c>
      <c r="I456" s="10">
        <v>0</v>
      </c>
      <c r="J456" s="10" t="str">
        <f t="shared" si="57"/>
        <v>Electricidad - Iluminación: techo: crítico</v>
      </c>
      <c r="K456" s="11" t="s">
        <v>1862</v>
      </c>
      <c r="L456" s="11" t="s">
        <v>12</v>
      </c>
      <c r="M456" s="11" t="s">
        <v>1863</v>
      </c>
      <c r="N456" s="18" t="str">
        <f t="shared" si="58"/>
        <v xml:space="preserve">-LAYER N E-LITE-CLNG-CRIT </v>
      </c>
      <c r="O456" s="11" t="str">
        <f t="shared" si="59"/>
        <v xml:space="preserve">-LAYER C white E-LITE-CLNG-CRIT </v>
      </c>
      <c r="P456" s="11" t="str">
        <f t="shared" si="60"/>
        <v xml:space="preserve">-LAYER L Continuous
E-LITE-CLNG-CRIT  </v>
      </c>
      <c r="Q456" s="11" t="str">
        <f t="shared" si="61"/>
        <v xml:space="preserve">-LAYER LW Default
E-LITE-CLNG-CRIT  </v>
      </c>
      <c r="R456" s="11" t="str">
        <f t="shared" si="62"/>
        <v xml:space="preserve">-LAYER TR 0
E-LITE-CLNG-CRIT  </v>
      </c>
      <c r="S456" s="11" t="str">
        <f t="shared" si="63"/>
        <v xml:space="preserve">-LAYER D Electricidad - Iluminación: techo: crítico
E-LITE-CLNG-CRIT  </v>
      </c>
    </row>
    <row r="457" spans="1:19" x14ac:dyDescent="0.45">
      <c r="A457" s="7">
        <v>0</v>
      </c>
      <c r="B457" s="11" t="s">
        <v>3382</v>
      </c>
      <c r="C457" s="11" t="s">
        <v>13</v>
      </c>
      <c r="D457" s="11" t="s">
        <v>2089</v>
      </c>
      <c r="E457" s="11" t="str">
        <f t="shared" si="56"/>
        <v>E-LITE-CLNG-EMER (Electricidad - Iluminación: techo: emergencia)</v>
      </c>
      <c r="F457" s="19" t="s">
        <v>3798</v>
      </c>
      <c r="G457" s="19" t="s">
        <v>3797</v>
      </c>
      <c r="H457" s="19" t="s">
        <v>3811</v>
      </c>
      <c r="I457" s="10">
        <v>0</v>
      </c>
      <c r="J457" s="10" t="str">
        <f t="shared" si="57"/>
        <v>Electricidad - Iluminación: techo: emergencia</v>
      </c>
      <c r="K457" s="11" t="s">
        <v>1864</v>
      </c>
      <c r="L457" s="11" t="s">
        <v>12</v>
      </c>
      <c r="M457" s="11" t="s">
        <v>1985</v>
      </c>
      <c r="N457" s="18" t="str">
        <f t="shared" si="58"/>
        <v xml:space="preserve">-LAYER N E-LITE-CLNG-EMER </v>
      </c>
      <c r="O457" s="11" t="str">
        <f t="shared" si="59"/>
        <v xml:space="preserve">-LAYER C white E-LITE-CLNG-EMER </v>
      </c>
      <c r="P457" s="11" t="str">
        <f t="shared" si="60"/>
        <v xml:space="preserve">-LAYER L Continuous
E-LITE-CLNG-EMER  </v>
      </c>
      <c r="Q457" s="11" t="str">
        <f t="shared" si="61"/>
        <v xml:space="preserve">-LAYER LW Default
E-LITE-CLNG-EMER  </v>
      </c>
      <c r="R457" s="11" t="str">
        <f t="shared" si="62"/>
        <v xml:space="preserve">-LAYER TR 0
E-LITE-CLNG-EMER  </v>
      </c>
      <c r="S457" s="11" t="str">
        <f t="shared" si="63"/>
        <v xml:space="preserve">-LAYER D Electricidad - Iluminación: techo: emergencia
E-LITE-CLNG-EMER  </v>
      </c>
    </row>
    <row r="458" spans="1:19" x14ac:dyDescent="0.45">
      <c r="A458" s="7">
        <v>0</v>
      </c>
      <c r="B458" s="11" t="s">
        <v>3383</v>
      </c>
      <c r="C458" s="11" t="s">
        <v>13</v>
      </c>
      <c r="D458" s="11" t="s">
        <v>2090</v>
      </c>
      <c r="E458" s="11" t="str">
        <f t="shared" si="56"/>
        <v>E-LITE-CLNG-EXIT (Electricidad - Iluminación: techo: salida)</v>
      </c>
      <c r="F458" s="19" t="s">
        <v>3798</v>
      </c>
      <c r="G458" s="19" t="s">
        <v>3797</v>
      </c>
      <c r="H458" s="19" t="s">
        <v>3811</v>
      </c>
      <c r="I458" s="10">
        <v>0</v>
      </c>
      <c r="J458" s="10" t="str">
        <f t="shared" si="57"/>
        <v>Electricidad - Iluminación: techo: salida</v>
      </c>
      <c r="K458" s="11" t="s">
        <v>1986</v>
      </c>
      <c r="L458" s="11" t="s">
        <v>12</v>
      </c>
      <c r="M458" s="11" t="s">
        <v>1865</v>
      </c>
      <c r="N458" s="18" t="str">
        <f t="shared" si="58"/>
        <v xml:space="preserve">-LAYER N E-LITE-CLNG-EXIT </v>
      </c>
      <c r="O458" s="11" t="str">
        <f t="shared" si="59"/>
        <v xml:space="preserve">-LAYER C white E-LITE-CLNG-EXIT </v>
      </c>
      <c r="P458" s="11" t="str">
        <f t="shared" si="60"/>
        <v xml:space="preserve">-LAYER L Continuous
E-LITE-CLNG-EXIT  </v>
      </c>
      <c r="Q458" s="11" t="str">
        <f t="shared" si="61"/>
        <v xml:space="preserve">-LAYER LW Default
E-LITE-CLNG-EXIT  </v>
      </c>
      <c r="R458" s="11" t="str">
        <f t="shared" si="62"/>
        <v xml:space="preserve">-LAYER TR 0
E-LITE-CLNG-EXIT  </v>
      </c>
      <c r="S458" s="11" t="str">
        <f t="shared" si="63"/>
        <v xml:space="preserve">-LAYER D Electricidad - Iluminación: techo: salida
E-LITE-CLNG-EXIT  </v>
      </c>
    </row>
    <row r="459" spans="1:19" x14ac:dyDescent="0.45">
      <c r="A459" s="7">
        <v>0</v>
      </c>
      <c r="B459" s="11" t="s">
        <v>3384</v>
      </c>
      <c r="C459" s="11" t="s">
        <v>13</v>
      </c>
      <c r="D459" s="11" t="s">
        <v>2091</v>
      </c>
      <c r="E459" s="11" t="str">
        <f t="shared" si="56"/>
        <v>E-LITE-CNMB (Electricidad - Iluminación: número de circuito)</v>
      </c>
      <c r="F459" s="19" t="s">
        <v>3798</v>
      </c>
      <c r="G459" s="19" t="s">
        <v>3797</v>
      </c>
      <c r="H459" s="19" t="s">
        <v>3811</v>
      </c>
      <c r="I459" s="10">
        <v>0</v>
      </c>
      <c r="J459" s="10" t="str">
        <f t="shared" si="57"/>
        <v>Electricidad - Iluminación: número de circuito</v>
      </c>
      <c r="K459" s="11" t="s">
        <v>1866</v>
      </c>
      <c r="L459" s="11" t="s">
        <v>12</v>
      </c>
      <c r="M459" s="11" t="s">
        <v>1867</v>
      </c>
      <c r="N459" s="18" t="str">
        <f t="shared" si="58"/>
        <v xml:space="preserve">-LAYER N E-LITE-CNMB </v>
      </c>
      <c r="O459" s="11" t="str">
        <f t="shared" si="59"/>
        <v xml:space="preserve">-LAYER C white E-LITE-CNMB </v>
      </c>
      <c r="P459" s="11" t="str">
        <f t="shared" si="60"/>
        <v xml:space="preserve">-LAYER L Continuous
E-LITE-CNMB  </v>
      </c>
      <c r="Q459" s="11" t="str">
        <f t="shared" si="61"/>
        <v xml:space="preserve">-LAYER LW Default
E-LITE-CNMB  </v>
      </c>
      <c r="R459" s="11" t="str">
        <f t="shared" si="62"/>
        <v xml:space="preserve">-LAYER TR 0
E-LITE-CNMB  </v>
      </c>
      <c r="S459" s="11" t="str">
        <f t="shared" si="63"/>
        <v xml:space="preserve">-LAYER D Electricidad - Iluminación: número de circuito
E-LITE-CNMB  </v>
      </c>
    </row>
    <row r="460" spans="1:19" x14ac:dyDescent="0.45">
      <c r="A460" s="7">
        <v>0</v>
      </c>
      <c r="B460" s="11" t="s">
        <v>3385</v>
      </c>
      <c r="C460" s="11" t="s">
        <v>13</v>
      </c>
      <c r="D460" s="11" t="s">
        <v>2092</v>
      </c>
      <c r="E460" s="11" t="str">
        <f t="shared" si="56"/>
        <v>E-LITE-CNMB-CRIT (Electricidad - Iluminación: número de circuito: crítico)</v>
      </c>
      <c r="F460" s="19" t="s">
        <v>3798</v>
      </c>
      <c r="G460" s="19" t="s">
        <v>3797</v>
      </c>
      <c r="H460" s="19" t="s">
        <v>3811</v>
      </c>
      <c r="I460" s="10">
        <v>0</v>
      </c>
      <c r="J460" s="10" t="str">
        <f t="shared" si="57"/>
        <v>Electricidad - Iluminación: número de circuito: crítico</v>
      </c>
      <c r="K460" s="11" t="s">
        <v>1868</v>
      </c>
      <c r="L460" s="11" t="s">
        <v>12</v>
      </c>
      <c r="M460" s="11" t="s">
        <v>1869</v>
      </c>
      <c r="N460" s="18" t="str">
        <f t="shared" si="58"/>
        <v xml:space="preserve">-LAYER N E-LITE-CNMB-CRIT </v>
      </c>
      <c r="O460" s="11" t="str">
        <f t="shared" si="59"/>
        <v xml:space="preserve">-LAYER C white E-LITE-CNMB-CRIT </v>
      </c>
      <c r="P460" s="11" t="str">
        <f t="shared" si="60"/>
        <v xml:space="preserve">-LAYER L Continuous
E-LITE-CNMB-CRIT  </v>
      </c>
      <c r="Q460" s="11" t="str">
        <f t="shared" si="61"/>
        <v xml:space="preserve">-LAYER LW Default
E-LITE-CNMB-CRIT  </v>
      </c>
      <c r="R460" s="11" t="str">
        <f t="shared" si="62"/>
        <v xml:space="preserve">-LAYER TR 0
E-LITE-CNMB-CRIT  </v>
      </c>
      <c r="S460" s="11" t="str">
        <f t="shared" si="63"/>
        <v xml:space="preserve">-LAYER D Electricidad - Iluminación: número de circuito: crítico
E-LITE-CNMB-CRIT  </v>
      </c>
    </row>
    <row r="461" spans="1:19" x14ac:dyDescent="0.45">
      <c r="A461" s="7">
        <v>0</v>
      </c>
      <c r="B461" s="11" t="s">
        <v>3386</v>
      </c>
      <c r="C461" s="11" t="s">
        <v>13</v>
      </c>
      <c r="D461" s="11" t="s">
        <v>2093</v>
      </c>
      <c r="E461" s="11" t="str">
        <f t="shared" si="56"/>
        <v>E-LITE-CNMB-EMER (Electricidad - Iluminación: número de circuito: emergencia)</v>
      </c>
      <c r="F461" s="19" t="s">
        <v>3798</v>
      </c>
      <c r="G461" s="19" t="s">
        <v>3797</v>
      </c>
      <c r="H461" s="19" t="s">
        <v>3811</v>
      </c>
      <c r="I461" s="10">
        <v>0</v>
      </c>
      <c r="J461" s="10" t="str">
        <f t="shared" si="57"/>
        <v>Electricidad - Iluminación: número de circuito: emergencia</v>
      </c>
      <c r="K461" s="11" t="s">
        <v>1870</v>
      </c>
      <c r="L461" s="11" t="s">
        <v>12</v>
      </c>
      <c r="M461" s="11" t="s">
        <v>1987</v>
      </c>
      <c r="N461" s="18" t="str">
        <f t="shared" si="58"/>
        <v xml:space="preserve">-LAYER N E-LITE-CNMB-EMER </v>
      </c>
      <c r="O461" s="11" t="str">
        <f t="shared" si="59"/>
        <v xml:space="preserve">-LAYER C white E-LITE-CNMB-EMER </v>
      </c>
      <c r="P461" s="11" t="str">
        <f t="shared" si="60"/>
        <v xml:space="preserve">-LAYER L Continuous
E-LITE-CNMB-EMER  </v>
      </c>
      <c r="Q461" s="11" t="str">
        <f t="shared" si="61"/>
        <v xml:space="preserve">-LAYER LW Default
E-LITE-CNMB-EMER  </v>
      </c>
      <c r="R461" s="11" t="str">
        <f t="shared" si="62"/>
        <v xml:space="preserve">-LAYER TR 0
E-LITE-CNMB-EMER  </v>
      </c>
      <c r="S461" s="11" t="str">
        <f t="shared" si="63"/>
        <v xml:space="preserve">-LAYER D Electricidad - Iluminación: número de circuito: emergencia
E-LITE-CNMB-EMER  </v>
      </c>
    </row>
    <row r="462" spans="1:19" x14ac:dyDescent="0.45">
      <c r="A462" s="7">
        <v>0</v>
      </c>
      <c r="B462" s="11" t="s">
        <v>3387</v>
      </c>
      <c r="C462" s="11" t="s">
        <v>13</v>
      </c>
      <c r="D462" s="11" t="s">
        <v>2094</v>
      </c>
      <c r="E462" s="11" t="str">
        <f t="shared" si="56"/>
        <v>E-LITE-EMER (Electricidad - Iluminación: emergencia)</v>
      </c>
      <c r="F462" s="19" t="s">
        <v>3798</v>
      </c>
      <c r="G462" s="19" t="s">
        <v>3797</v>
      </c>
      <c r="H462" s="19" t="s">
        <v>3811</v>
      </c>
      <c r="I462" s="10">
        <v>0</v>
      </c>
      <c r="J462" s="10" t="str">
        <f t="shared" si="57"/>
        <v>Electricidad - Iluminación: emergencia</v>
      </c>
      <c r="K462" s="11" t="s">
        <v>1988</v>
      </c>
      <c r="L462" s="11" t="s">
        <v>12</v>
      </c>
      <c r="M462" s="11" t="s">
        <v>1871</v>
      </c>
      <c r="N462" s="18" t="str">
        <f t="shared" si="58"/>
        <v xml:space="preserve">-LAYER N E-LITE-EMER </v>
      </c>
      <c r="O462" s="11" t="str">
        <f t="shared" si="59"/>
        <v xml:space="preserve">-LAYER C white E-LITE-EMER </v>
      </c>
      <c r="P462" s="11" t="str">
        <f t="shared" si="60"/>
        <v xml:space="preserve">-LAYER L Continuous
E-LITE-EMER  </v>
      </c>
      <c r="Q462" s="11" t="str">
        <f t="shared" si="61"/>
        <v xml:space="preserve">-LAYER LW Default
E-LITE-EMER  </v>
      </c>
      <c r="R462" s="11" t="str">
        <f t="shared" si="62"/>
        <v xml:space="preserve">-LAYER TR 0
E-LITE-EMER  </v>
      </c>
      <c r="S462" s="11" t="str">
        <f t="shared" si="63"/>
        <v xml:space="preserve">-LAYER D Electricidad - Iluminación: emergencia
E-LITE-EMER  </v>
      </c>
    </row>
    <row r="463" spans="1:19" x14ac:dyDescent="0.45">
      <c r="A463" s="7">
        <v>0</v>
      </c>
      <c r="B463" s="11" t="s">
        <v>3388</v>
      </c>
      <c r="C463" s="11" t="s">
        <v>13</v>
      </c>
      <c r="D463" s="11" t="s">
        <v>2095</v>
      </c>
      <c r="E463" s="11" t="str">
        <f t="shared" si="56"/>
        <v>E-LITE-EQPM (Electricidad - Iluminación: equipo)</v>
      </c>
      <c r="F463" s="19" t="s">
        <v>3798</v>
      </c>
      <c r="G463" s="19" t="s">
        <v>3797</v>
      </c>
      <c r="H463" s="19" t="s">
        <v>3811</v>
      </c>
      <c r="I463" s="10">
        <v>0</v>
      </c>
      <c r="J463" s="10" t="str">
        <f t="shared" si="57"/>
        <v>Electricidad - Iluminación: equipo</v>
      </c>
      <c r="K463" s="11" t="s">
        <v>1872</v>
      </c>
      <c r="L463" s="11" t="s">
        <v>12</v>
      </c>
      <c r="M463" s="11" t="s">
        <v>1873</v>
      </c>
      <c r="N463" s="18" t="str">
        <f t="shared" si="58"/>
        <v xml:space="preserve">-LAYER N E-LITE-EQPM </v>
      </c>
      <c r="O463" s="11" t="str">
        <f t="shared" si="59"/>
        <v xml:space="preserve">-LAYER C white E-LITE-EQPM </v>
      </c>
      <c r="P463" s="11" t="str">
        <f t="shared" si="60"/>
        <v xml:space="preserve">-LAYER L Continuous
E-LITE-EQPM  </v>
      </c>
      <c r="Q463" s="11" t="str">
        <f t="shared" si="61"/>
        <v xml:space="preserve">-LAYER LW Default
E-LITE-EQPM  </v>
      </c>
      <c r="R463" s="11" t="str">
        <f t="shared" si="62"/>
        <v xml:space="preserve">-LAYER TR 0
E-LITE-EQPM  </v>
      </c>
      <c r="S463" s="11" t="str">
        <f t="shared" si="63"/>
        <v xml:space="preserve">-LAYER D Electricidad - Iluminación: equipo
E-LITE-EQPM  </v>
      </c>
    </row>
    <row r="464" spans="1:19" x14ac:dyDescent="0.45">
      <c r="A464" s="7">
        <v>0</v>
      </c>
      <c r="B464" s="11" t="s">
        <v>3389</v>
      </c>
      <c r="C464" s="11" t="s">
        <v>13</v>
      </c>
      <c r="D464" s="11" t="s">
        <v>2096</v>
      </c>
      <c r="E464" s="11" t="str">
        <f t="shared" si="56"/>
        <v>E-LITE-EQPM-CRIT (Electricidad - Iluminación: equipo: crítico)</v>
      </c>
      <c r="F464" s="19" t="s">
        <v>3798</v>
      </c>
      <c r="G464" s="19" t="s">
        <v>3797</v>
      </c>
      <c r="H464" s="19" t="s">
        <v>3811</v>
      </c>
      <c r="I464" s="10">
        <v>0</v>
      </c>
      <c r="J464" s="10" t="str">
        <f t="shared" si="57"/>
        <v>Electricidad - Iluminación: equipo: crítico</v>
      </c>
      <c r="K464" s="11" t="s">
        <v>1874</v>
      </c>
      <c r="L464" s="11" t="s">
        <v>12</v>
      </c>
      <c r="M464" s="11" t="s">
        <v>1875</v>
      </c>
      <c r="N464" s="18" t="str">
        <f t="shared" si="58"/>
        <v xml:space="preserve">-LAYER N E-LITE-EQPM-CRIT </v>
      </c>
      <c r="O464" s="11" t="str">
        <f t="shared" si="59"/>
        <v xml:space="preserve">-LAYER C white E-LITE-EQPM-CRIT </v>
      </c>
      <c r="P464" s="11" t="str">
        <f t="shared" si="60"/>
        <v xml:space="preserve">-LAYER L Continuous
E-LITE-EQPM-CRIT  </v>
      </c>
      <c r="Q464" s="11" t="str">
        <f t="shared" si="61"/>
        <v xml:space="preserve">-LAYER LW Default
E-LITE-EQPM-CRIT  </v>
      </c>
      <c r="R464" s="11" t="str">
        <f t="shared" si="62"/>
        <v xml:space="preserve">-LAYER TR 0
E-LITE-EQPM-CRIT  </v>
      </c>
      <c r="S464" s="11" t="str">
        <f t="shared" si="63"/>
        <v xml:space="preserve">-LAYER D Electricidad - Iluminación: equipo: crítico
E-LITE-EQPM-CRIT  </v>
      </c>
    </row>
    <row r="465" spans="1:19" x14ac:dyDescent="0.45">
      <c r="A465" s="7">
        <v>0</v>
      </c>
      <c r="B465" s="11" t="s">
        <v>3390</v>
      </c>
      <c r="C465" s="11" t="s">
        <v>13</v>
      </c>
      <c r="D465" s="11" t="s">
        <v>2097</v>
      </c>
      <c r="E465" s="11" t="str">
        <f t="shared" si="56"/>
        <v>E-LITE-EQPM-EMER (Electricidad - Iluminación: equipo: emergencia)</v>
      </c>
      <c r="F465" s="19" t="s">
        <v>3798</v>
      </c>
      <c r="G465" s="19" t="s">
        <v>3797</v>
      </c>
      <c r="H465" s="19" t="s">
        <v>3811</v>
      </c>
      <c r="I465" s="10">
        <v>0</v>
      </c>
      <c r="J465" s="10" t="str">
        <f t="shared" si="57"/>
        <v>Electricidad - Iluminación: equipo: emergencia</v>
      </c>
      <c r="K465" s="11" t="s">
        <v>1876</v>
      </c>
      <c r="L465" s="11" t="s">
        <v>12</v>
      </c>
      <c r="M465" s="11" t="s">
        <v>1989</v>
      </c>
      <c r="N465" s="18" t="str">
        <f t="shared" si="58"/>
        <v xml:space="preserve">-LAYER N E-LITE-EQPM-EMER </v>
      </c>
      <c r="O465" s="11" t="str">
        <f t="shared" si="59"/>
        <v xml:space="preserve">-LAYER C white E-LITE-EQPM-EMER </v>
      </c>
      <c r="P465" s="11" t="str">
        <f t="shared" si="60"/>
        <v xml:space="preserve">-LAYER L Continuous
E-LITE-EQPM-EMER  </v>
      </c>
      <c r="Q465" s="11" t="str">
        <f t="shared" si="61"/>
        <v xml:space="preserve">-LAYER LW Default
E-LITE-EQPM-EMER  </v>
      </c>
      <c r="R465" s="11" t="str">
        <f t="shared" si="62"/>
        <v xml:space="preserve">-LAYER TR 0
E-LITE-EQPM-EMER  </v>
      </c>
      <c r="S465" s="11" t="str">
        <f t="shared" si="63"/>
        <v xml:space="preserve">-LAYER D Electricidad - Iluminación: equipo: emergencia
E-LITE-EQPM-EMER  </v>
      </c>
    </row>
    <row r="466" spans="1:19" x14ac:dyDescent="0.45">
      <c r="A466" s="7">
        <v>0</v>
      </c>
      <c r="B466" s="11" t="s">
        <v>3391</v>
      </c>
      <c r="C466" s="11" t="s">
        <v>13</v>
      </c>
      <c r="D466" s="11" t="s">
        <v>2098</v>
      </c>
      <c r="E466" s="11" t="str">
        <f t="shared" si="56"/>
        <v>E-LITE-EXIT (Electricidad - Iluminación: salida)</v>
      </c>
      <c r="F466" s="19" t="s">
        <v>3798</v>
      </c>
      <c r="G466" s="19" t="s">
        <v>3797</v>
      </c>
      <c r="H466" s="19" t="s">
        <v>3811</v>
      </c>
      <c r="I466" s="10">
        <v>0</v>
      </c>
      <c r="J466" s="10" t="str">
        <f t="shared" si="57"/>
        <v>Electricidad - Iluminación: salida</v>
      </c>
      <c r="K466" s="11" t="s">
        <v>1990</v>
      </c>
      <c r="L466" s="11" t="s">
        <v>12</v>
      </c>
      <c r="M466" s="11" t="s">
        <v>1877</v>
      </c>
      <c r="N466" s="18" t="str">
        <f t="shared" si="58"/>
        <v xml:space="preserve">-LAYER N E-LITE-EXIT </v>
      </c>
      <c r="O466" s="11" t="str">
        <f t="shared" si="59"/>
        <v xml:space="preserve">-LAYER C white E-LITE-EXIT </v>
      </c>
      <c r="P466" s="11" t="str">
        <f t="shared" si="60"/>
        <v xml:space="preserve">-LAYER L Continuous
E-LITE-EXIT  </v>
      </c>
      <c r="Q466" s="11" t="str">
        <f t="shared" si="61"/>
        <v xml:space="preserve">-LAYER LW Default
E-LITE-EXIT  </v>
      </c>
      <c r="R466" s="11" t="str">
        <f t="shared" si="62"/>
        <v xml:space="preserve">-LAYER TR 0
E-LITE-EXIT  </v>
      </c>
      <c r="S466" s="11" t="str">
        <f t="shared" si="63"/>
        <v xml:space="preserve">-LAYER D Electricidad - Iluminación: salida
E-LITE-EXIT  </v>
      </c>
    </row>
    <row r="467" spans="1:19" x14ac:dyDescent="0.45">
      <c r="A467" s="7">
        <v>0</v>
      </c>
      <c r="B467" s="11" t="s">
        <v>3392</v>
      </c>
      <c r="C467" s="11" t="s">
        <v>13</v>
      </c>
      <c r="D467" s="11" t="s">
        <v>2099</v>
      </c>
      <c r="E467" s="11" t="str">
        <f t="shared" si="56"/>
        <v>E-LITE-EXTR (Electricidad - Iluminación: exterior)</v>
      </c>
      <c r="F467" s="19" t="s">
        <v>3798</v>
      </c>
      <c r="G467" s="19" t="s">
        <v>3797</v>
      </c>
      <c r="H467" s="19" t="s">
        <v>3811</v>
      </c>
      <c r="I467" s="10">
        <v>0</v>
      </c>
      <c r="J467" s="10" t="str">
        <f t="shared" si="57"/>
        <v>Electricidad - Iluminación: exterior</v>
      </c>
      <c r="K467" s="11" t="s">
        <v>1878</v>
      </c>
      <c r="L467" s="11" t="s">
        <v>12</v>
      </c>
      <c r="M467" s="11" t="s">
        <v>1879</v>
      </c>
      <c r="N467" s="18" t="str">
        <f t="shared" si="58"/>
        <v xml:space="preserve">-LAYER N E-LITE-EXTR </v>
      </c>
      <c r="O467" s="11" t="str">
        <f t="shared" si="59"/>
        <v xml:space="preserve">-LAYER C white E-LITE-EXTR </v>
      </c>
      <c r="P467" s="11" t="str">
        <f t="shared" si="60"/>
        <v xml:space="preserve">-LAYER L Continuous
E-LITE-EXTR  </v>
      </c>
      <c r="Q467" s="11" t="str">
        <f t="shared" si="61"/>
        <v xml:space="preserve">-LAYER LW Default
E-LITE-EXTR  </v>
      </c>
      <c r="R467" s="11" t="str">
        <f t="shared" si="62"/>
        <v xml:space="preserve">-LAYER TR 0
E-LITE-EXTR  </v>
      </c>
      <c r="S467" s="11" t="str">
        <f t="shared" si="63"/>
        <v xml:space="preserve">-LAYER D Electricidad - Iluminación: exterior
E-LITE-EXTR  </v>
      </c>
    </row>
    <row r="468" spans="1:19" x14ac:dyDescent="0.45">
      <c r="A468" s="7">
        <v>0</v>
      </c>
      <c r="B468" s="11" t="s">
        <v>3393</v>
      </c>
      <c r="C468" s="11" t="s">
        <v>13</v>
      </c>
      <c r="D468" s="11" t="s">
        <v>2100</v>
      </c>
      <c r="E468" s="11" t="str">
        <f t="shared" si="56"/>
        <v>E-LITE-FLOR (Electricidad - Iluminación: suelo)</v>
      </c>
      <c r="F468" s="19" t="s">
        <v>3798</v>
      </c>
      <c r="G468" s="19" t="s">
        <v>3797</v>
      </c>
      <c r="H468" s="19" t="s">
        <v>3811</v>
      </c>
      <c r="I468" s="10">
        <v>0</v>
      </c>
      <c r="J468" s="10" t="str">
        <f t="shared" si="57"/>
        <v>Electricidad - Iluminación: suelo</v>
      </c>
      <c r="K468" s="11" t="s">
        <v>1880</v>
      </c>
      <c r="L468" s="11" t="s">
        <v>12</v>
      </c>
      <c r="M468" s="11" t="s">
        <v>1881</v>
      </c>
      <c r="N468" s="18" t="str">
        <f t="shared" si="58"/>
        <v xml:space="preserve">-LAYER N E-LITE-FLOR </v>
      </c>
      <c r="O468" s="11" t="str">
        <f t="shared" si="59"/>
        <v xml:space="preserve">-LAYER C white E-LITE-FLOR </v>
      </c>
      <c r="P468" s="11" t="str">
        <f t="shared" si="60"/>
        <v xml:space="preserve">-LAYER L Continuous
E-LITE-FLOR  </v>
      </c>
      <c r="Q468" s="11" t="str">
        <f t="shared" si="61"/>
        <v xml:space="preserve">-LAYER LW Default
E-LITE-FLOR  </v>
      </c>
      <c r="R468" s="11" t="str">
        <f t="shared" si="62"/>
        <v xml:space="preserve">-LAYER TR 0
E-LITE-FLOR  </v>
      </c>
      <c r="S468" s="11" t="str">
        <f t="shared" si="63"/>
        <v xml:space="preserve">-LAYER D Electricidad - Iluminación: suelo
E-LITE-FLOR  </v>
      </c>
    </row>
    <row r="469" spans="1:19" x14ac:dyDescent="0.45">
      <c r="A469" s="7">
        <v>0</v>
      </c>
      <c r="B469" s="11" t="s">
        <v>3394</v>
      </c>
      <c r="C469" s="11" t="s">
        <v>13</v>
      </c>
      <c r="D469" s="11" t="s">
        <v>2101</v>
      </c>
      <c r="E469" s="11" t="str">
        <f t="shared" si="56"/>
        <v>E-LITE-JBOX (Electricidad - Iluminación: caja de conexiones)</v>
      </c>
      <c r="F469" s="19" t="s">
        <v>3798</v>
      </c>
      <c r="G469" s="19" t="s">
        <v>3797</v>
      </c>
      <c r="H469" s="19" t="s">
        <v>3811</v>
      </c>
      <c r="I469" s="10">
        <v>0</v>
      </c>
      <c r="J469" s="10" t="str">
        <f t="shared" si="57"/>
        <v>Electricidad - Iluminación: caja de conexiones</v>
      </c>
      <c r="K469" s="11" t="s">
        <v>1882</v>
      </c>
      <c r="L469" s="11" t="s">
        <v>12</v>
      </c>
      <c r="M469" s="11" t="s">
        <v>1883</v>
      </c>
      <c r="N469" s="18" t="str">
        <f t="shared" si="58"/>
        <v xml:space="preserve">-LAYER N E-LITE-JBOX </v>
      </c>
      <c r="O469" s="11" t="str">
        <f t="shared" si="59"/>
        <v xml:space="preserve">-LAYER C white E-LITE-JBOX </v>
      </c>
      <c r="P469" s="11" t="str">
        <f t="shared" si="60"/>
        <v xml:space="preserve">-LAYER L Continuous
E-LITE-JBOX  </v>
      </c>
      <c r="Q469" s="11" t="str">
        <f t="shared" si="61"/>
        <v xml:space="preserve">-LAYER LW Default
E-LITE-JBOX  </v>
      </c>
      <c r="R469" s="11" t="str">
        <f t="shared" si="62"/>
        <v xml:space="preserve">-LAYER TR 0
E-LITE-JBOX  </v>
      </c>
      <c r="S469" s="11" t="str">
        <f t="shared" si="63"/>
        <v xml:space="preserve">-LAYER D Electricidad - Iluminación: caja de conexiones
E-LITE-JBOX  </v>
      </c>
    </row>
    <row r="470" spans="1:19" x14ac:dyDescent="0.45">
      <c r="A470" s="7">
        <v>0</v>
      </c>
      <c r="B470" s="11" t="s">
        <v>3395</v>
      </c>
      <c r="C470" s="11" t="s">
        <v>13</v>
      </c>
      <c r="D470" s="11" t="s">
        <v>2102</v>
      </c>
      <c r="E470" s="11" t="str">
        <f t="shared" si="56"/>
        <v>E-LITE-OTLN (Electricidad - Iluminación: contorno)</v>
      </c>
      <c r="F470" s="19" t="s">
        <v>3798</v>
      </c>
      <c r="G470" s="19" t="s">
        <v>3797</v>
      </c>
      <c r="H470" s="19" t="s">
        <v>3811</v>
      </c>
      <c r="I470" s="10">
        <v>0</v>
      </c>
      <c r="J470" s="10" t="str">
        <f t="shared" si="57"/>
        <v>Electricidad - Iluminación: contorno</v>
      </c>
      <c r="K470" s="11" t="s">
        <v>1884</v>
      </c>
      <c r="L470" s="11" t="s">
        <v>12</v>
      </c>
      <c r="M470" s="11" t="s">
        <v>1885</v>
      </c>
      <c r="N470" s="18" t="str">
        <f t="shared" si="58"/>
        <v xml:space="preserve">-LAYER N E-LITE-OTLN </v>
      </c>
      <c r="O470" s="11" t="str">
        <f t="shared" si="59"/>
        <v xml:space="preserve">-LAYER C white E-LITE-OTLN </v>
      </c>
      <c r="P470" s="11" t="str">
        <f t="shared" si="60"/>
        <v xml:space="preserve">-LAYER L Continuous
E-LITE-OTLN  </v>
      </c>
      <c r="Q470" s="11" t="str">
        <f t="shared" si="61"/>
        <v xml:space="preserve">-LAYER LW Default
E-LITE-OTLN  </v>
      </c>
      <c r="R470" s="11" t="str">
        <f t="shared" si="62"/>
        <v xml:space="preserve">-LAYER TR 0
E-LITE-OTLN  </v>
      </c>
      <c r="S470" s="11" t="str">
        <f t="shared" si="63"/>
        <v xml:space="preserve">-LAYER D Electricidad - Iluminación: contorno
E-LITE-OTLN  </v>
      </c>
    </row>
    <row r="471" spans="1:19" x14ac:dyDescent="0.45">
      <c r="A471" s="7">
        <v>0</v>
      </c>
      <c r="B471" s="11" t="s">
        <v>3396</v>
      </c>
      <c r="C471" s="11" t="s">
        <v>13</v>
      </c>
      <c r="D471" s="11" t="s">
        <v>2087</v>
      </c>
      <c r="E471" s="11" t="str">
        <f t="shared" si="56"/>
        <v>E-LITE-ROOF (Electricidad - Iluminación: techo)</v>
      </c>
      <c r="F471" s="19" t="s">
        <v>3798</v>
      </c>
      <c r="G471" s="19" t="s">
        <v>3797</v>
      </c>
      <c r="H471" s="19" t="s">
        <v>3811</v>
      </c>
      <c r="I471" s="10">
        <v>0</v>
      </c>
      <c r="J471" s="10" t="str">
        <f t="shared" si="57"/>
        <v>Electricidad - Iluminación: techo</v>
      </c>
      <c r="K471" s="11" t="s">
        <v>1886</v>
      </c>
      <c r="L471" s="11" t="s">
        <v>12</v>
      </c>
      <c r="M471" s="11" t="s">
        <v>1887</v>
      </c>
      <c r="N471" s="18" t="str">
        <f t="shared" si="58"/>
        <v xml:space="preserve">-LAYER N E-LITE-ROOF </v>
      </c>
      <c r="O471" s="11" t="str">
        <f t="shared" si="59"/>
        <v xml:space="preserve">-LAYER C white E-LITE-ROOF </v>
      </c>
      <c r="P471" s="11" t="str">
        <f t="shared" si="60"/>
        <v xml:space="preserve">-LAYER L Continuous
E-LITE-ROOF  </v>
      </c>
      <c r="Q471" s="11" t="str">
        <f t="shared" si="61"/>
        <v xml:space="preserve">-LAYER LW Default
E-LITE-ROOF  </v>
      </c>
      <c r="R471" s="11" t="str">
        <f t="shared" si="62"/>
        <v xml:space="preserve">-LAYER TR 0
E-LITE-ROOF  </v>
      </c>
      <c r="S471" s="11" t="str">
        <f t="shared" si="63"/>
        <v xml:space="preserve">-LAYER D Electricidad - Iluminación: techo
E-LITE-ROOF  </v>
      </c>
    </row>
    <row r="472" spans="1:19" x14ac:dyDescent="0.45">
      <c r="A472" s="7">
        <v>0</v>
      </c>
      <c r="B472" s="11" t="s">
        <v>3397</v>
      </c>
      <c r="C472" s="11" t="s">
        <v>13</v>
      </c>
      <c r="D472" s="11" t="s">
        <v>2103</v>
      </c>
      <c r="E472" s="11" t="str">
        <f t="shared" si="56"/>
        <v>E-LITE-SPCL (Electricidad - Iluminación: especial)</v>
      </c>
      <c r="F472" s="19" t="s">
        <v>3798</v>
      </c>
      <c r="G472" s="19" t="s">
        <v>3797</v>
      </c>
      <c r="H472" s="19" t="s">
        <v>3811</v>
      </c>
      <c r="I472" s="10">
        <v>0</v>
      </c>
      <c r="J472" s="10" t="str">
        <f t="shared" si="57"/>
        <v>Electricidad - Iluminación: especial</v>
      </c>
      <c r="K472" s="11" t="s">
        <v>1888</v>
      </c>
      <c r="L472" s="11" t="s">
        <v>12</v>
      </c>
      <c r="M472" s="11" t="s">
        <v>1889</v>
      </c>
      <c r="N472" s="18" t="str">
        <f t="shared" si="58"/>
        <v xml:space="preserve">-LAYER N E-LITE-SPCL </v>
      </c>
      <c r="O472" s="11" t="str">
        <f t="shared" si="59"/>
        <v xml:space="preserve">-LAYER C white E-LITE-SPCL </v>
      </c>
      <c r="P472" s="11" t="str">
        <f t="shared" si="60"/>
        <v xml:space="preserve">-LAYER L Continuous
E-LITE-SPCL  </v>
      </c>
      <c r="Q472" s="11" t="str">
        <f t="shared" si="61"/>
        <v xml:space="preserve">-LAYER LW Default
E-LITE-SPCL  </v>
      </c>
      <c r="R472" s="11" t="str">
        <f t="shared" si="62"/>
        <v xml:space="preserve">-LAYER TR 0
E-LITE-SPCL  </v>
      </c>
      <c r="S472" s="11" t="str">
        <f t="shared" si="63"/>
        <v xml:space="preserve">-LAYER D Electricidad - Iluminación: especial
E-LITE-SPCL  </v>
      </c>
    </row>
    <row r="473" spans="1:19" x14ac:dyDescent="0.45">
      <c r="A473" s="7">
        <v>0</v>
      </c>
      <c r="B473" s="11" t="s">
        <v>3398</v>
      </c>
      <c r="C473" s="11" t="s">
        <v>13</v>
      </c>
      <c r="D473" s="11" t="s">
        <v>2104</v>
      </c>
      <c r="E473" s="11" t="str">
        <f t="shared" si="56"/>
        <v>E-LITE-SWCH (Electricidad - Iluminación: interruptores)</v>
      </c>
      <c r="F473" s="19" t="s">
        <v>3798</v>
      </c>
      <c r="G473" s="19" t="s">
        <v>3797</v>
      </c>
      <c r="H473" s="19" t="s">
        <v>3811</v>
      </c>
      <c r="I473" s="10">
        <v>0</v>
      </c>
      <c r="J473" s="10" t="str">
        <f t="shared" si="57"/>
        <v>Electricidad - Iluminación: interruptores</v>
      </c>
      <c r="K473" s="11" t="s">
        <v>1890</v>
      </c>
      <c r="L473" s="11" t="s">
        <v>12</v>
      </c>
      <c r="M473" s="11" t="s">
        <v>1891</v>
      </c>
      <c r="N473" s="18" t="str">
        <f t="shared" si="58"/>
        <v xml:space="preserve">-LAYER N E-LITE-SWCH </v>
      </c>
      <c r="O473" s="11" t="str">
        <f t="shared" si="59"/>
        <v xml:space="preserve">-LAYER C white E-LITE-SWCH </v>
      </c>
      <c r="P473" s="11" t="str">
        <f t="shared" si="60"/>
        <v xml:space="preserve">-LAYER L Continuous
E-LITE-SWCH  </v>
      </c>
      <c r="Q473" s="11" t="str">
        <f t="shared" si="61"/>
        <v xml:space="preserve">-LAYER LW Default
E-LITE-SWCH  </v>
      </c>
      <c r="R473" s="11" t="str">
        <f t="shared" si="62"/>
        <v xml:space="preserve">-LAYER TR 0
E-LITE-SWCH  </v>
      </c>
      <c r="S473" s="11" t="str">
        <f t="shared" si="63"/>
        <v xml:space="preserve">-LAYER D Electricidad - Iluminación: interruptores
E-LITE-SWCH  </v>
      </c>
    </row>
    <row r="474" spans="1:19" x14ac:dyDescent="0.45">
      <c r="A474" s="7">
        <v>0</v>
      </c>
      <c r="B474" s="11" t="s">
        <v>3399</v>
      </c>
      <c r="C474" s="11" t="s">
        <v>13</v>
      </c>
      <c r="D474" s="11" t="s">
        <v>2105</v>
      </c>
      <c r="E474" s="11" t="str">
        <f t="shared" si="56"/>
        <v>E-LITE-SWCH-CRIT (Electricidad - Iluminación: interruptores: críticos)</v>
      </c>
      <c r="F474" s="19" t="s">
        <v>3798</v>
      </c>
      <c r="G474" s="19" t="s">
        <v>3797</v>
      </c>
      <c r="H474" s="19" t="s">
        <v>3811</v>
      </c>
      <c r="I474" s="10">
        <v>0</v>
      </c>
      <c r="J474" s="10" t="str">
        <f t="shared" si="57"/>
        <v>Electricidad - Iluminación: interruptores: críticos</v>
      </c>
      <c r="K474" s="11" t="s">
        <v>1892</v>
      </c>
      <c r="L474" s="11" t="s">
        <v>12</v>
      </c>
      <c r="M474" s="11" t="s">
        <v>1893</v>
      </c>
      <c r="N474" s="18" t="str">
        <f t="shared" si="58"/>
        <v xml:space="preserve">-LAYER N E-LITE-SWCH-CRIT </v>
      </c>
      <c r="O474" s="11" t="str">
        <f t="shared" si="59"/>
        <v xml:space="preserve">-LAYER C white E-LITE-SWCH-CRIT </v>
      </c>
      <c r="P474" s="11" t="str">
        <f t="shared" si="60"/>
        <v xml:space="preserve">-LAYER L Continuous
E-LITE-SWCH-CRIT  </v>
      </c>
      <c r="Q474" s="11" t="str">
        <f t="shared" si="61"/>
        <v xml:space="preserve">-LAYER LW Default
E-LITE-SWCH-CRIT  </v>
      </c>
      <c r="R474" s="11" t="str">
        <f t="shared" si="62"/>
        <v xml:space="preserve">-LAYER TR 0
E-LITE-SWCH-CRIT  </v>
      </c>
      <c r="S474" s="11" t="str">
        <f t="shared" si="63"/>
        <v xml:space="preserve">-LAYER D Electricidad - Iluminación: interruptores: críticos
E-LITE-SWCH-CRIT  </v>
      </c>
    </row>
    <row r="475" spans="1:19" x14ac:dyDescent="0.45">
      <c r="A475" s="7">
        <v>0</v>
      </c>
      <c r="B475" s="11" t="s">
        <v>3400</v>
      </c>
      <c r="C475" s="11" t="s">
        <v>13</v>
      </c>
      <c r="D475" s="11" t="s">
        <v>2106</v>
      </c>
      <c r="E475" s="11" t="str">
        <f t="shared" si="56"/>
        <v>E-LITE-SWCH-EMER (Electricidad - Iluminación: interruptores: emergencia)</v>
      </c>
      <c r="F475" s="19" t="s">
        <v>3798</v>
      </c>
      <c r="G475" s="19" t="s">
        <v>3797</v>
      </c>
      <c r="H475" s="19" t="s">
        <v>3811</v>
      </c>
      <c r="I475" s="10">
        <v>0</v>
      </c>
      <c r="J475" s="10" t="str">
        <f t="shared" si="57"/>
        <v>Electricidad - Iluminación: interruptores: emergencia</v>
      </c>
      <c r="K475" s="11" t="s">
        <v>1894</v>
      </c>
      <c r="L475" s="11" t="s">
        <v>12</v>
      </c>
      <c r="M475" s="11" t="s">
        <v>1991</v>
      </c>
      <c r="N475" s="18" t="str">
        <f t="shared" si="58"/>
        <v xml:space="preserve">-LAYER N E-LITE-SWCH-EMER </v>
      </c>
      <c r="O475" s="11" t="str">
        <f t="shared" si="59"/>
        <v xml:space="preserve">-LAYER C white E-LITE-SWCH-EMER </v>
      </c>
      <c r="P475" s="11" t="str">
        <f t="shared" si="60"/>
        <v xml:space="preserve">-LAYER L Continuous
E-LITE-SWCH-EMER  </v>
      </c>
      <c r="Q475" s="11" t="str">
        <f t="shared" si="61"/>
        <v xml:space="preserve">-LAYER LW Default
E-LITE-SWCH-EMER  </v>
      </c>
      <c r="R475" s="11" t="str">
        <f t="shared" si="62"/>
        <v xml:space="preserve">-LAYER TR 0
E-LITE-SWCH-EMER  </v>
      </c>
      <c r="S475" s="11" t="str">
        <f t="shared" si="63"/>
        <v xml:space="preserve">-LAYER D Electricidad - Iluminación: interruptores: emergencia
E-LITE-SWCH-EMER  </v>
      </c>
    </row>
    <row r="476" spans="1:19" x14ac:dyDescent="0.45">
      <c r="A476" s="7">
        <v>0</v>
      </c>
      <c r="B476" s="11" t="s">
        <v>3401</v>
      </c>
      <c r="C476" s="11" t="s">
        <v>13</v>
      </c>
      <c r="D476" s="11" t="s">
        <v>2107</v>
      </c>
      <c r="E476" s="11" t="str">
        <f t="shared" si="56"/>
        <v>E-LITE-WALL (Electricidad - Iluminación: pared)</v>
      </c>
      <c r="F476" s="19" t="s">
        <v>3798</v>
      </c>
      <c r="G476" s="19" t="s">
        <v>3797</v>
      </c>
      <c r="H476" s="19" t="s">
        <v>3811</v>
      </c>
      <c r="I476" s="10">
        <v>0</v>
      </c>
      <c r="J476" s="10" t="str">
        <f t="shared" si="57"/>
        <v>Electricidad - Iluminación: pared</v>
      </c>
      <c r="K476" s="11" t="s">
        <v>1992</v>
      </c>
      <c r="L476" s="11" t="s">
        <v>12</v>
      </c>
      <c r="M476" s="11" t="s">
        <v>1895</v>
      </c>
      <c r="N476" s="18" t="str">
        <f t="shared" si="58"/>
        <v xml:space="preserve">-LAYER N E-LITE-WALL </v>
      </c>
      <c r="O476" s="11" t="str">
        <f t="shared" si="59"/>
        <v xml:space="preserve">-LAYER C white E-LITE-WALL </v>
      </c>
      <c r="P476" s="11" t="str">
        <f t="shared" si="60"/>
        <v xml:space="preserve">-LAYER L Continuous
E-LITE-WALL  </v>
      </c>
      <c r="Q476" s="11" t="str">
        <f t="shared" si="61"/>
        <v xml:space="preserve">-LAYER LW Default
E-LITE-WALL  </v>
      </c>
      <c r="R476" s="11" t="str">
        <f t="shared" si="62"/>
        <v xml:space="preserve">-LAYER TR 0
E-LITE-WALL  </v>
      </c>
      <c r="S476" s="11" t="str">
        <f t="shared" si="63"/>
        <v xml:space="preserve">-LAYER D Electricidad - Iluminación: pared
E-LITE-WALL  </v>
      </c>
    </row>
    <row r="477" spans="1:19" x14ac:dyDescent="0.45">
      <c r="A477" s="7">
        <v>0</v>
      </c>
      <c r="B477" s="11" t="s">
        <v>3402</v>
      </c>
      <c r="C477" s="11" t="s">
        <v>13</v>
      </c>
      <c r="D477" s="11" t="s">
        <v>2108</v>
      </c>
      <c r="E477" s="11" t="str">
        <f t="shared" si="56"/>
        <v>E-LITE-WALL-CRIT (Electricidad - Iluminación: pared: crítico)</v>
      </c>
      <c r="F477" s="19" t="s">
        <v>3798</v>
      </c>
      <c r="G477" s="19" t="s">
        <v>3797</v>
      </c>
      <c r="H477" s="19" t="s">
        <v>3811</v>
      </c>
      <c r="I477" s="10">
        <v>0</v>
      </c>
      <c r="J477" s="10" t="str">
        <f t="shared" si="57"/>
        <v>Electricidad - Iluminación: pared: crítico</v>
      </c>
      <c r="K477" s="11" t="s">
        <v>1896</v>
      </c>
      <c r="L477" s="11" t="s">
        <v>12</v>
      </c>
      <c r="M477" s="11" t="s">
        <v>1897</v>
      </c>
      <c r="N477" s="18" t="str">
        <f t="shared" si="58"/>
        <v xml:space="preserve">-LAYER N E-LITE-WALL-CRIT </v>
      </c>
      <c r="O477" s="11" t="str">
        <f t="shared" si="59"/>
        <v xml:space="preserve">-LAYER C white E-LITE-WALL-CRIT </v>
      </c>
      <c r="P477" s="11" t="str">
        <f t="shared" si="60"/>
        <v xml:space="preserve">-LAYER L Continuous
E-LITE-WALL-CRIT  </v>
      </c>
      <c r="Q477" s="11" t="str">
        <f t="shared" si="61"/>
        <v xml:space="preserve">-LAYER LW Default
E-LITE-WALL-CRIT  </v>
      </c>
      <c r="R477" s="11" t="str">
        <f t="shared" si="62"/>
        <v xml:space="preserve">-LAYER TR 0
E-LITE-WALL-CRIT  </v>
      </c>
      <c r="S477" s="11" t="str">
        <f t="shared" si="63"/>
        <v xml:space="preserve">-LAYER D Electricidad - Iluminación: pared: crítico
E-LITE-WALL-CRIT  </v>
      </c>
    </row>
    <row r="478" spans="1:19" x14ac:dyDescent="0.45">
      <c r="A478" s="7">
        <v>0</v>
      </c>
      <c r="B478" s="11" t="s">
        <v>3403</v>
      </c>
      <c r="C478" s="11" t="s">
        <v>13</v>
      </c>
      <c r="D478" s="11" t="s">
        <v>2109</v>
      </c>
      <c r="E478" s="11" t="str">
        <f t="shared" si="56"/>
        <v>E-LITE-WALL-EMER (Electricidad - Iluminación: pared: emergencia)</v>
      </c>
      <c r="F478" s="19" t="s">
        <v>3798</v>
      </c>
      <c r="G478" s="19" t="s">
        <v>3797</v>
      </c>
      <c r="H478" s="19" t="s">
        <v>3811</v>
      </c>
      <c r="I478" s="10">
        <v>0</v>
      </c>
      <c r="J478" s="10" t="str">
        <f t="shared" si="57"/>
        <v>Electricidad - Iluminación: pared: emergencia</v>
      </c>
      <c r="K478" s="11" t="s">
        <v>1898</v>
      </c>
      <c r="L478" s="11" t="s">
        <v>12</v>
      </c>
      <c r="M478" s="11" t="s">
        <v>1993</v>
      </c>
      <c r="N478" s="18" t="str">
        <f t="shared" si="58"/>
        <v xml:space="preserve">-LAYER N E-LITE-WALL-EMER </v>
      </c>
      <c r="O478" s="11" t="str">
        <f t="shared" si="59"/>
        <v xml:space="preserve">-LAYER C white E-LITE-WALL-EMER </v>
      </c>
      <c r="P478" s="11" t="str">
        <f t="shared" si="60"/>
        <v xml:space="preserve">-LAYER L Continuous
E-LITE-WALL-EMER  </v>
      </c>
      <c r="Q478" s="11" t="str">
        <f t="shared" si="61"/>
        <v xml:space="preserve">-LAYER LW Default
E-LITE-WALL-EMER  </v>
      </c>
      <c r="R478" s="11" t="str">
        <f t="shared" si="62"/>
        <v xml:space="preserve">-LAYER TR 0
E-LITE-WALL-EMER  </v>
      </c>
      <c r="S478" s="11" t="str">
        <f t="shared" si="63"/>
        <v xml:space="preserve">-LAYER D Electricidad - Iluminación: pared: emergencia
E-LITE-WALL-EMER  </v>
      </c>
    </row>
    <row r="479" spans="1:19" x14ac:dyDescent="0.45">
      <c r="A479" s="7">
        <v>0</v>
      </c>
      <c r="B479" s="11" t="s">
        <v>3404</v>
      </c>
      <c r="C479" s="11" t="s">
        <v>13</v>
      </c>
      <c r="D479" s="11" t="s">
        <v>2110</v>
      </c>
      <c r="E479" s="11" t="str">
        <f t="shared" si="56"/>
        <v>E-LITE-WALL-EXIT (Electricidad - Iluminación: pared: salida)</v>
      </c>
      <c r="F479" s="19" t="s">
        <v>3798</v>
      </c>
      <c r="G479" s="19" t="s">
        <v>3797</v>
      </c>
      <c r="H479" s="19" t="s">
        <v>3811</v>
      </c>
      <c r="I479" s="10">
        <v>0</v>
      </c>
      <c r="J479" s="10" t="str">
        <f t="shared" si="57"/>
        <v>Electricidad - Iluminación: pared: salida</v>
      </c>
      <c r="K479" s="11" t="s">
        <v>1994</v>
      </c>
      <c r="L479" s="11" t="s">
        <v>12</v>
      </c>
      <c r="M479" s="11" t="s">
        <v>1899</v>
      </c>
      <c r="N479" s="18" t="str">
        <f t="shared" si="58"/>
        <v xml:space="preserve">-LAYER N E-LITE-WALL-EXIT </v>
      </c>
      <c r="O479" s="11" t="str">
        <f t="shared" si="59"/>
        <v xml:space="preserve">-LAYER C white E-LITE-WALL-EXIT </v>
      </c>
      <c r="P479" s="11" t="str">
        <f t="shared" si="60"/>
        <v xml:space="preserve">-LAYER L Continuous
E-LITE-WALL-EXIT  </v>
      </c>
      <c r="Q479" s="11" t="str">
        <f t="shared" si="61"/>
        <v xml:space="preserve">-LAYER LW Default
E-LITE-WALL-EXIT  </v>
      </c>
      <c r="R479" s="11" t="str">
        <f t="shared" si="62"/>
        <v xml:space="preserve">-LAYER TR 0
E-LITE-WALL-EXIT  </v>
      </c>
      <c r="S479" s="11" t="str">
        <f t="shared" si="63"/>
        <v xml:space="preserve">-LAYER D Electricidad - Iluminación: pared: salida
E-LITE-WALL-EXIT  </v>
      </c>
    </row>
    <row r="480" spans="1:19" x14ac:dyDescent="0.45">
      <c r="A480" s="7">
        <v>1</v>
      </c>
      <c r="B480" s="11" t="s">
        <v>3405</v>
      </c>
      <c r="C480" s="11" t="s">
        <v>13</v>
      </c>
      <c r="D480" s="11" t="s">
        <v>456</v>
      </c>
      <c r="E480" s="11" t="str">
        <f t="shared" si="56"/>
        <v>E-LTNG (Electricidad - Sistema de protección contra rayos)</v>
      </c>
      <c r="F480" s="19" t="s">
        <v>3798</v>
      </c>
      <c r="G480" s="19" t="s">
        <v>3797</v>
      </c>
      <c r="H480" s="19" t="s">
        <v>3811</v>
      </c>
      <c r="I480" s="10">
        <v>0</v>
      </c>
      <c r="J480" s="10" t="str">
        <f t="shared" si="57"/>
        <v>Electricidad - Sistema de protección contra rayos</v>
      </c>
      <c r="K480" s="11" t="s">
        <v>1900</v>
      </c>
      <c r="L480" s="11" t="s">
        <v>12</v>
      </c>
      <c r="M480" s="11" t="s">
        <v>455</v>
      </c>
      <c r="N480" s="18" t="str">
        <f t="shared" si="58"/>
        <v xml:space="preserve">-LAYER N E-LTNG </v>
      </c>
      <c r="O480" s="11" t="str">
        <f t="shared" si="59"/>
        <v xml:space="preserve">-LAYER C white E-LTNG </v>
      </c>
      <c r="P480" s="11" t="str">
        <f t="shared" si="60"/>
        <v xml:space="preserve">-LAYER L Continuous
E-LTNG  </v>
      </c>
      <c r="Q480" s="11" t="str">
        <f t="shared" si="61"/>
        <v xml:space="preserve">-LAYER LW Default
E-LTNG  </v>
      </c>
      <c r="R480" s="11" t="str">
        <f t="shared" si="62"/>
        <v xml:space="preserve">-LAYER TR 0
E-LTNG  </v>
      </c>
      <c r="S480" s="11" t="str">
        <f t="shared" si="63"/>
        <v xml:space="preserve">-LAYER D Electricidad - Sistema de protección contra rayos
E-LTNG  </v>
      </c>
    </row>
    <row r="481" spans="1:19" x14ac:dyDescent="0.45">
      <c r="A481" s="7">
        <v>0</v>
      </c>
      <c r="B481" s="11" t="s">
        <v>3406</v>
      </c>
      <c r="C481" s="11" t="s">
        <v>13</v>
      </c>
      <c r="D481" s="11" t="s">
        <v>2111</v>
      </c>
      <c r="E481" s="11" t="str">
        <f t="shared" si="56"/>
        <v>E-LTNG-CIRC (Electricidad - Sistema de protección contra rayos: Circuitos)</v>
      </c>
      <c r="F481" s="19" t="s">
        <v>3798</v>
      </c>
      <c r="G481" s="19" t="s">
        <v>3797</v>
      </c>
      <c r="H481" s="19" t="s">
        <v>3811</v>
      </c>
      <c r="I481" s="10">
        <v>0</v>
      </c>
      <c r="J481" s="10" t="str">
        <f t="shared" si="57"/>
        <v>Electricidad - Sistema de protección contra rayos: Circuitos</v>
      </c>
      <c r="K481" s="11" t="s">
        <v>1901</v>
      </c>
      <c r="L481" s="11" t="s">
        <v>12</v>
      </c>
      <c r="M481" s="11" t="s">
        <v>1902</v>
      </c>
      <c r="N481" s="18" t="str">
        <f t="shared" si="58"/>
        <v xml:space="preserve">-LAYER N E-LTNG-CIRC </v>
      </c>
      <c r="O481" s="11" t="str">
        <f t="shared" si="59"/>
        <v xml:space="preserve">-LAYER C white E-LTNG-CIRC </v>
      </c>
      <c r="P481" s="11" t="str">
        <f t="shared" si="60"/>
        <v xml:space="preserve">-LAYER L Continuous
E-LTNG-CIRC  </v>
      </c>
      <c r="Q481" s="11" t="str">
        <f t="shared" si="61"/>
        <v xml:space="preserve">-LAYER LW Default
E-LTNG-CIRC  </v>
      </c>
      <c r="R481" s="11" t="str">
        <f t="shared" si="62"/>
        <v xml:space="preserve">-LAYER TR 0
E-LTNG-CIRC  </v>
      </c>
      <c r="S481" s="11" t="str">
        <f t="shared" si="63"/>
        <v xml:space="preserve">-LAYER D Electricidad - Sistema de protección contra rayos: Circuitos
E-LTNG-CIRC  </v>
      </c>
    </row>
    <row r="482" spans="1:19" x14ac:dyDescent="0.45">
      <c r="A482" s="7">
        <v>0</v>
      </c>
      <c r="B482" s="11" t="s">
        <v>3407</v>
      </c>
      <c r="C482" s="11" t="s">
        <v>13</v>
      </c>
      <c r="D482" s="11" t="s">
        <v>2112</v>
      </c>
      <c r="E482" s="11" t="str">
        <f t="shared" si="56"/>
        <v>E-LTNG-CLNG (Electricidad - Sistema de protección contra rayos: techo)</v>
      </c>
      <c r="F482" s="19" t="s">
        <v>3798</v>
      </c>
      <c r="G482" s="19" t="s">
        <v>3797</v>
      </c>
      <c r="H482" s="19" t="s">
        <v>3811</v>
      </c>
      <c r="I482" s="10">
        <v>0</v>
      </c>
      <c r="J482" s="10" t="str">
        <f t="shared" si="57"/>
        <v>Electricidad - Sistema de protección contra rayos: techo</v>
      </c>
      <c r="K482" s="11" t="s">
        <v>1903</v>
      </c>
      <c r="L482" s="11" t="s">
        <v>12</v>
      </c>
      <c r="M482" s="11" t="s">
        <v>1904</v>
      </c>
      <c r="N482" s="18" t="str">
        <f t="shared" si="58"/>
        <v xml:space="preserve">-LAYER N E-LTNG-CLNG </v>
      </c>
      <c r="O482" s="11" t="str">
        <f t="shared" si="59"/>
        <v xml:space="preserve">-LAYER C white E-LTNG-CLNG </v>
      </c>
      <c r="P482" s="11" t="str">
        <f t="shared" si="60"/>
        <v xml:space="preserve">-LAYER L Continuous
E-LTNG-CLNG  </v>
      </c>
      <c r="Q482" s="11" t="str">
        <f t="shared" si="61"/>
        <v xml:space="preserve">-LAYER LW Default
E-LTNG-CLNG  </v>
      </c>
      <c r="R482" s="11" t="str">
        <f t="shared" si="62"/>
        <v xml:space="preserve">-LAYER TR 0
E-LTNG-CLNG  </v>
      </c>
      <c r="S482" s="11" t="str">
        <f t="shared" si="63"/>
        <v xml:space="preserve">-LAYER D Electricidad - Sistema de protección contra rayos: techo
E-LTNG-CLNG  </v>
      </c>
    </row>
    <row r="483" spans="1:19" x14ac:dyDescent="0.45">
      <c r="A483" s="7">
        <v>0</v>
      </c>
      <c r="B483" s="11" t="s">
        <v>3408</v>
      </c>
      <c r="C483" s="11" t="s">
        <v>13</v>
      </c>
      <c r="D483" s="11" t="s">
        <v>2113</v>
      </c>
      <c r="E483" s="11" t="str">
        <f t="shared" si="56"/>
        <v>E-LTNG-CNMB (Electricidad - Sistema de protección contra rayos: número de circuito)</v>
      </c>
      <c r="F483" s="19" t="s">
        <v>3798</v>
      </c>
      <c r="G483" s="19" t="s">
        <v>3797</v>
      </c>
      <c r="H483" s="19" t="s">
        <v>3811</v>
      </c>
      <c r="I483" s="10">
        <v>0</v>
      </c>
      <c r="J483" s="10" t="str">
        <f t="shared" si="57"/>
        <v>Electricidad - Sistema de protección contra rayos: número de circuito</v>
      </c>
      <c r="K483" s="11" t="s">
        <v>1905</v>
      </c>
      <c r="L483" s="11" t="s">
        <v>12</v>
      </c>
      <c r="M483" s="11" t="s">
        <v>1906</v>
      </c>
      <c r="N483" s="18" t="str">
        <f t="shared" si="58"/>
        <v xml:space="preserve">-LAYER N E-LTNG-CNMB </v>
      </c>
      <c r="O483" s="11" t="str">
        <f t="shared" si="59"/>
        <v xml:space="preserve">-LAYER C white E-LTNG-CNMB </v>
      </c>
      <c r="P483" s="11" t="str">
        <f t="shared" si="60"/>
        <v xml:space="preserve">-LAYER L Continuous
E-LTNG-CNMB  </v>
      </c>
      <c r="Q483" s="11" t="str">
        <f t="shared" si="61"/>
        <v xml:space="preserve">-LAYER LW Default
E-LTNG-CNMB  </v>
      </c>
      <c r="R483" s="11" t="str">
        <f t="shared" si="62"/>
        <v xml:space="preserve">-LAYER TR 0
E-LTNG-CNMB  </v>
      </c>
      <c r="S483" s="11" t="str">
        <f t="shared" si="63"/>
        <v xml:space="preserve">-LAYER D Electricidad - Sistema de protección contra rayos: número de circuito
E-LTNG-CNMB  </v>
      </c>
    </row>
    <row r="484" spans="1:19" x14ac:dyDescent="0.45">
      <c r="A484" s="7">
        <v>0</v>
      </c>
      <c r="B484" s="11" t="s">
        <v>3409</v>
      </c>
      <c r="C484" s="11" t="s">
        <v>13</v>
      </c>
      <c r="D484" s="11" t="s">
        <v>2114</v>
      </c>
      <c r="E484" s="11" t="str">
        <f t="shared" si="56"/>
        <v>E-LTNG-EQPM (Electricidad - Sistema de protección contra rayos: equipo)</v>
      </c>
      <c r="F484" s="19" t="s">
        <v>3798</v>
      </c>
      <c r="G484" s="19" t="s">
        <v>3797</v>
      </c>
      <c r="H484" s="19" t="s">
        <v>3811</v>
      </c>
      <c r="I484" s="10">
        <v>0</v>
      </c>
      <c r="J484" s="10" t="str">
        <f t="shared" si="57"/>
        <v>Electricidad - Sistema de protección contra rayos: equipo</v>
      </c>
      <c r="K484" s="11" t="s">
        <v>1907</v>
      </c>
      <c r="L484" s="11" t="s">
        <v>12</v>
      </c>
      <c r="M484" s="11" t="s">
        <v>1908</v>
      </c>
      <c r="N484" s="18" t="str">
        <f t="shared" si="58"/>
        <v xml:space="preserve">-LAYER N E-LTNG-EQPM </v>
      </c>
      <c r="O484" s="11" t="str">
        <f t="shared" si="59"/>
        <v xml:space="preserve">-LAYER C white E-LTNG-EQPM </v>
      </c>
      <c r="P484" s="11" t="str">
        <f t="shared" si="60"/>
        <v xml:space="preserve">-LAYER L Continuous
E-LTNG-EQPM  </v>
      </c>
      <c r="Q484" s="11" t="str">
        <f t="shared" si="61"/>
        <v xml:space="preserve">-LAYER LW Default
E-LTNG-EQPM  </v>
      </c>
      <c r="R484" s="11" t="str">
        <f t="shared" si="62"/>
        <v xml:space="preserve">-LAYER TR 0
E-LTNG-EQPM  </v>
      </c>
      <c r="S484" s="11" t="str">
        <f t="shared" si="63"/>
        <v xml:space="preserve">-LAYER D Electricidad - Sistema de protección contra rayos: equipo
E-LTNG-EQPM  </v>
      </c>
    </row>
    <row r="485" spans="1:19" x14ac:dyDescent="0.45">
      <c r="A485" s="7">
        <v>0</v>
      </c>
      <c r="B485" s="11" t="s">
        <v>3410</v>
      </c>
      <c r="C485" s="11" t="s">
        <v>13</v>
      </c>
      <c r="D485" s="11" t="s">
        <v>2115</v>
      </c>
      <c r="E485" s="11" t="str">
        <f t="shared" si="56"/>
        <v>E-LTNG-WALL (Electricidad - Sistema de protección contra rayos: pared)</v>
      </c>
      <c r="F485" s="19" t="s">
        <v>3798</v>
      </c>
      <c r="G485" s="19" t="s">
        <v>3797</v>
      </c>
      <c r="H485" s="19" t="s">
        <v>3811</v>
      </c>
      <c r="I485" s="10">
        <v>0</v>
      </c>
      <c r="J485" s="10" t="str">
        <f t="shared" si="57"/>
        <v>Electricidad - Sistema de protección contra rayos: pared</v>
      </c>
      <c r="K485" s="11" t="s">
        <v>1909</v>
      </c>
      <c r="L485" s="11" t="s">
        <v>12</v>
      </c>
      <c r="M485" s="11" t="s">
        <v>1910</v>
      </c>
      <c r="N485" s="18" t="str">
        <f t="shared" si="58"/>
        <v xml:space="preserve">-LAYER N E-LTNG-WALL </v>
      </c>
      <c r="O485" s="11" t="str">
        <f t="shared" si="59"/>
        <v xml:space="preserve">-LAYER C white E-LTNG-WALL </v>
      </c>
      <c r="P485" s="11" t="str">
        <f t="shared" si="60"/>
        <v xml:space="preserve">-LAYER L Continuous
E-LTNG-WALL  </v>
      </c>
      <c r="Q485" s="11" t="str">
        <f t="shared" si="61"/>
        <v xml:space="preserve">-LAYER LW Default
E-LTNG-WALL  </v>
      </c>
      <c r="R485" s="11" t="str">
        <f t="shared" si="62"/>
        <v xml:space="preserve">-LAYER TR 0
E-LTNG-WALL  </v>
      </c>
      <c r="S485" s="11" t="str">
        <f t="shared" si="63"/>
        <v xml:space="preserve">-LAYER D Electricidad - Sistema de protección contra rayos: pared
E-LTNG-WALL  </v>
      </c>
    </row>
    <row r="486" spans="1:19" x14ac:dyDescent="0.45">
      <c r="A486" s="7">
        <v>0</v>
      </c>
      <c r="B486" s="11" t="s">
        <v>3411</v>
      </c>
      <c r="C486" s="11" t="s">
        <v>13</v>
      </c>
      <c r="D486" s="11" t="s">
        <v>476</v>
      </c>
      <c r="E486" s="11" t="str">
        <f t="shared" si="56"/>
        <v>E-MNTG (Electricidad - Sistema de montaje)</v>
      </c>
      <c r="F486" s="19" t="s">
        <v>3798</v>
      </c>
      <c r="G486" s="19" t="s">
        <v>3797</v>
      </c>
      <c r="H486" s="19" t="s">
        <v>3811</v>
      </c>
      <c r="I486" s="10">
        <v>0</v>
      </c>
      <c r="J486" s="10" t="str">
        <f t="shared" si="57"/>
        <v>Electricidad - Sistema de montaje</v>
      </c>
      <c r="K486" s="11" t="s">
        <v>1911</v>
      </c>
      <c r="L486" s="11" t="s">
        <v>12</v>
      </c>
      <c r="M486" s="11" t="s">
        <v>475</v>
      </c>
      <c r="N486" s="18" t="str">
        <f t="shared" si="58"/>
        <v xml:space="preserve">-LAYER N E-MNTG </v>
      </c>
      <c r="O486" s="11" t="str">
        <f t="shared" si="59"/>
        <v xml:space="preserve">-LAYER C white E-MNTG </v>
      </c>
      <c r="P486" s="11" t="str">
        <f t="shared" si="60"/>
        <v xml:space="preserve">-LAYER L Continuous
E-MNTG  </v>
      </c>
      <c r="Q486" s="11" t="str">
        <f t="shared" si="61"/>
        <v xml:space="preserve">-LAYER LW Default
E-MNTG  </v>
      </c>
      <c r="R486" s="11" t="str">
        <f t="shared" si="62"/>
        <v xml:space="preserve">-LAYER TR 0
E-MNTG  </v>
      </c>
      <c r="S486" s="11" t="str">
        <f t="shared" si="63"/>
        <v xml:space="preserve">-LAYER D Electricidad - Sistema de montaje
E-MNTG  </v>
      </c>
    </row>
    <row r="487" spans="1:19" x14ac:dyDescent="0.45">
      <c r="A487" s="7">
        <v>0</v>
      </c>
      <c r="B487" s="11" t="s">
        <v>3412</v>
      </c>
      <c r="C487" s="11" t="s">
        <v>13</v>
      </c>
      <c r="D487" s="11" t="s">
        <v>488</v>
      </c>
      <c r="E487" s="11" t="str">
        <f t="shared" si="56"/>
        <v>E-NURS (Electricidad - Sistema de llamada a enfermeras)</v>
      </c>
      <c r="F487" s="19" t="s">
        <v>3798</v>
      </c>
      <c r="G487" s="19" t="s">
        <v>3797</v>
      </c>
      <c r="H487" s="19" t="s">
        <v>3811</v>
      </c>
      <c r="I487" s="10">
        <v>0</v>
      </c>
      <c r="J487" s="10" t="str">
        <f t="shared" si="57"/>
        <v>Electricidad - Sistema de llamada a enfermeras</v>
      </c>
      <c r="K487" s="11" t="s">
        <v>1912</v>
      </c>
      <c r="L487" s="11" t="s">
        <v>12</v>
      </c>
      <c r="M487" s="11" t="s">
        <v>487</v>
      </c>
      <c r="N487" s="18" t="str">
        <f t="shared" si="58"/>
        <v xml:space="preserve">-LAYER N E-NURS </v>
      </c>
      <c r="O487" s="11" t="str">
        <f t="shared" si="59"/>
        <v xml:space="preserve">-LAYER C white E-NURS </v>
      </c>
      <c r="P487" s="11" t="str">
        <f t="shared" si="60"/>
        <v xml:space="preserve">-LAYER L Continuous
E-NURS  </v>
      </c>
      <c r="Q487" s="11" t="str">
        <f t="shared" si="61"/>
        <v xml:space="preserve">-LAYER LW Default
E-NURS  </v>
      </c>
      <c r="R487" s="11" t="str">
        <f t="shared" si="62"/>
        <v xml:space="preserve">-LAYER TR 0
E-NURS  </v>
      </c>
      <c r="S487" s="11" t="str">
        <f t="shared" si="63"/>
        <v xml:space="preserve">-LAYER D Electricidad - Sistema de llamada a enfermeras
E-NURS  </v>
      </c>
    </row>
    <row r="488" spans="1:19" x14ac:dyDescent="0.45">
      <c r="A488" s="7">
        <v>0</v>
      </c>
      <c r="B488" s="11" t="s">
        <v>3413</v>
      </c>
      <c r="C488" s="11" t="s">
        <v>13</v>
      </c>
      <c r="D488" s="11" t="s">
        <v>2116</v>
      </c>
      <c r="E488" s="11" t="str">
        <f t="shared" si="56"/>
        <v>E-NURS-CIRC (Electricidad - Sistema de llamada a enfermeras: circuitos)</v>
      </c>
      <c r="F488" s="19" t="s">
        <v>3798</v>
      </c>
      <c r="G488" s="19" t="s">
        <v>3797</v>
      </c>
      <c r="H488" s="19" t="s">
        <v>3811</v>
      </c>
      <c r="I488" s="10">
        <v>0</v>
      </c>
      <c r="J488" s="10" t="str">
        <f t="shared" si="57"/>
        <v>Electricidad - Sistema de llamada a enfermeras: circuitos</v>
      </c>
      <c r="K488" s="11" t="s">
        <v>1913</v>
      </c>
      <c r="L488" s="11" t="s">
        <v>12</v>
      </c>
      <c r="M488" s="11" t="s">
        <v>1914</v>
      </c>
      <c r="N488" s="18" t="str">
        <f t="shared" si="58"/>
        <v xml:space="preserve">-LAYER N E-NURS-CIRC </v>
      </c>
      <c r="O488" s="11" t="str">
        <f t="shared" si="59"/>
        <v xml:space="preserve">-LAYER C white E-NURS-CIRC </v>
      </c>
      <c r="P488" s="11" t="str">
        <f t="shared" si="60"/>
        <v xml:space="preserve">-LAYER L Continuous
E-NURS-CIRC  </v>
      </c>
      <c r="Q488" s="11" t="str">
        <f t="shared" si="61"/>
        <v xml:space="preserve">-LAYER LW Default
E-NURS-CIRC  </v>
      </c>
      <c r="R488" s="11" t="str">
        <f t="shared" si="62"/>
        <v xml:space="preserve">-LAYER TR 0
E-NURS-CIRC  </v>
      </c>
      <c r="S488" s="11" t="str">
        <f t="shared" si="63"/>
        <v xml:space="preserve">-LAYER D Electricidad - Sistema de llamada a enfermeras: circuitos
E-NURS-CIRC  </v>
      </c>
    </row>
    <row r="489" spans="1:19" x14ac:dyDescent="0.45">
      <c r="A489" s="7">
        <v>0</v>
      </c>
      <c r="B489" s="11" t="s">
        <v>3414</v>
      </c>
      <c r="C489" s="11" t="s">
        <v>13</v>
      </c>
      <c r="D489" s="11" t="s">
        <v>2117</v>
      </c>
      <c r="E489" s="11" t="str">
        <f t="shared" si="56"/>
        <v>E-NURS-CLNG (Electricidad - Sistema de llamada a enfermeras: techo)</v>
      </c>
      <c r="F489" s="19" t="s">
        <v>3798</v>
      </c>
      <c r="G489" s="19" t="s">
        <v>3797</v>
      </c>
      <c r="H489" s="19" t="s">
        <v>3811</v>
      </c>
      <c r="I489" s="10">
        <v>0</v>
      </c>
      <c r="J489" s="10" t="str">
        <f t="shared" si="57"/>
        <v>Electricidad - Sistema de llamada a enfermeras: techo</v>
      </c>
      <c r="K489" s="11" t="s">
        <v>1915</v>
      </c>
      <c r="L489" s="11" t="s">
        <v>12</v>
      </c>
      <c r="M489" s="11" t="s">
        <v>1916</v>
      </c>
      <c r="N489" s="18" t="str">
        <f t="shared" si="58"/>
        <v xml:space="preserve">-LAYER N E-NURS-CLNG </v>
      </c>
      <c r="O489" s="11" t="str">
        <f t="shared" si="59"/>
        <v xml:space="preserve">-LAYER C white E-NURS-CLNG </v>
      </c>
      <c r="P489" s="11" t="str">
        <f t="shared" si="60"/>
        <v xml:space="preserve">-LAYER L Continuous
E-NURS-CLNG  </v>
      </c>
      <c r="Q489" s="11" t="str">
        <f t="shared" si="61"/>
        <v xml:space="preserve">-LAYER LW Default
E-NURS-CLNG  </v>
      </c>
      <c r="R489" s="11" t="str">
        <f t="shared" si="62"/>
        <v xml:space="preserve">-LAYER TR 0
E-NURS-CLNG  </v>
      </c>
      <c r="S489" s="11" t="str">
        <f t="shared" si="63"/>
        <v xml:space="preserve">-LAYER D Electricidad - Sistema de llamada a enfermeras: techo
E-NURS-CLNG  </v>
      </c>
    </row>
    <row r="490" spans="1:19" x14ac:dyDescent="0.45">
      <c r="A490" s="7">
        <v>0</v>
      </c>
      <c r="B490" s="11" t="s">
        <v>3415</v>
      </c>
      <c r="C490" s="11" t="s">
        <v>13</v>
      </c>
      <c r="D490" s="11" t="s">
        <v>2118</v>
      </c>
      <c r="E490" s="11" t="str">
        <f t="shared" si="56"/>
        <v>E-NURS-CNMB (Electricidad - Sistema de llamada a enfermeras: número de circuito)</v>
      </c>
      <c r="F490" s="19" t="s">
        <v>3798</v>
      </c>
      <c r="G490" s="19" t="s">
        <v>3797</v>
      </c>
      <c r="H490" s="19" t="s">
        <v>3811</v>
      </c>
      <c r="I490" s="10">
        <v>0</v>
      </c>
      <c r="J490" s="10" t="str">
        <f t="shared" si="57"/>
        <v>Electricidad - Sistema de llamada a enfermeras: número de circuito</v>
      </c>
      <c r="K490" s="11" t="s">
        <v>1917</v>
      </c>
      <c r="L490" s="11" t="s">
        <v>12</v>
      </c>
      <c r="M490" s="11" t="s">
        <v>1918</v>
      </c>
      <c r="N490" s="18" t="str">
        <f t="shared" si="58"/>
        <v xml:space="preserve">-LAYER N E-NURS-CNMB </v>
      </c>
      <c r="O490" s="11" t="str">
        <f t="shared" si="59"/>
        <v xml:space="preserve">-LAYER C white E-NURS-CNMB </v>
      </c>
      <c r="P490" s="11" t="str">
        <f t="shared" si="60"/>
        <v xml:space="preserve">-LAYER L Continuous
E-NURS-CNMB  </v>
      </c>
      <c r="Q490" s="11" t="str">
        <f t="shared" si="61"/>
        <v xml:space="preserve">-LAYER LW Default
E-NURS-CNMB  </v>
      </c>
      <c r="R490" s="11" t="str">
        <f t="shared" si="62"/>
        <v xml:space="preserve">-LAYER TR 0
E-NURS-CNMB  </v>
      </c>
      <c r="S490" s="11" t="str">
        <f t="shared" si="63"/>
        <v xml:space="preserve">-LAYER D Electricidad - Sistema de llamada a enfermeras: número de circuito
E-NURS-CNMB  </v>
      </c>
    </row>
    <row r="491" spans="1:19" x14ac:dyDescent="0.45">
      <c r="A491" s="7">
        <v>0</v>
      </c>
      <c r="B491" s="11" t="s">
        <v>3416</v>
      </c>
      <c r="C491" s="11" t="s">
        <v>13</v>
      </c>
      <c r="D491" s="11" t="s">
        <v>2119</v>
      </c>
      <c r="E491" s="11" t="str">
        <f t="shared" si="56"/>
        <v>E-NURS-EQPM (Electricidad - Sistema de llamada a enfermeras: equipo)</v>
      </c>
      <c r="F491" s="19" t="s">
        <v>3798</v>
      </c>
      <c r="G491" s="19" t="s">
        <v>3797</v>
      </c>
      <c r="H491" s="19" t="s">
        <v>3811</v>
      </c>
      <c r="I491" s="10">
        <v>0</v>
      </c>
      <c r="J491" s="10" t="str">
        <f t="shared" si="57"/>
        <v>Electricidad - Sistema de llamada a enfermeras: equipo</v>
      </c>
      <c r="K491" s="11" t="s">
        <v>1919</v>
      </c>
      <c r="L491" s="11" t="s">
        <v>12</v>
      </c>
      <c r="M491" s="11" t="s">
        <v>1920</v>
      </c>
      <c r="N491" s="18" t="str">
        <f t="shared" si="58"/>
        <v xml:space="preserve">-LAYER N E-NURS-EQPM </v>
      </c>
      <c r="O491" s="11" t="str">
        <f t="shared" si="59"/>
        <v xml:space="preserve">-LAYER C white E-NURS-EQPM </v>
      </c>
      <c r="P491" s="11" t="str">
        <f t="shared" si="60"/>
        <v xml:space="preserve">-LAYER L Continuous
E-NURS-EQPM  </v>
      </c>
      <c r="Q491" s="11" t="str">
        <f t="shared" si="61"/>
        <v xml:space="preserve">-LAYER LW Default
E-NURS-EQPM  </v>
      </c>
      <c r="R491" s="11" t="str">
        <f t="shared" si="62"/>
        <v xml:space="preserve">-LAYER TR 0
E-NURS-EQPM  </v>
      </c>
      <c r="S491" s="11" t="str">
        <f t="shared" si="63"/>
        <v xml:space="preserve">-LAYER D Electricidad - Sistema de llamada a enfermeras: equipo
E-NURS-EQPM  </v>
      </c>
    </row>
    <row r="492" spans="1:19" x14ac:dyDescent="0.45">
      <c r="A492" s="7">
        <v>0</v>
      </c>
      <c r="B492" s="11" t="s">
        <v>3417</v>
      </c>
      <c r="C492" s="11" t="s">
        <v>13</v>
      </c>
      <c r="D492" s="11" t="s">
        <v>2120</v>
      </c>
      <c r="E492" s="11" t="str">
        <f t="shared" si="56"/>
        <v>E-NURS-FLOR (Electricidad - Sistema de llamada a enfermeras: planta)</v>
      </c>
      <c r="F492" s="19" t="s">
        <v>3798</v>
      </c>
      <c r="G492" s="19" t="s">
        <v>3797</v>
      </c>
      <c r="H492" s="19" t="s">
        <v>3811</v>
      </c>
      <c r="I492" s="10">
        <v>0</v>
      </c>
      <c r="J492" s="10" t="str">
        <f t="shared" si="57"/>
        <v>Electricidad - Sistema de llamada a enfermeras: planta</v>
      </c>
      <c r="K492" s="11" t="s">
        <v>1921</v>
      </c>
      <c r="L492" s="11" t="s">
        <v>12</v>
      </c>
      <c r="M492" s="11" t="s">
        <v>1922</v>
      </c>
      <c r="N492" s="18" t="str">
        <f t="shared" si="58"/>
        <v xml:space="preserve">-LAYER N E-NURS-FLOR </v>
      </c>
      <c r="O492" s="11" t="str">
        <f t="shared" si="59"/>
        <v xml:space="preserve">-LAYER C white E-NURS-FLOR </v>
      </c>
      <c r="P492" s="11" t="str">
        <f t="shared" si="60"/>
        <v xml:space="preserve">-LAYER L Continuous
E-NURS-FLOR  </v>
      </c>
      <c r="Q492" s="11" t="str">
        <f t="shared" si="61"/>
        <v xml:space="preserve">-LAYER LW Default
E-NURS-FLOR  </v>
      </c>
      <c r="R492" s="11" t="str">
        <f t="shared" si="62"/>
        <v xml:space="preserve">-LAYER TR 0
E-NURS-FLOR  </v>
      </c>
      <c r="S492" s="11" t="str">
        <f t="shared" si="63"/>
        <v xml:space="preserve">-LAYER D Electricidad - Sistema de llamada a enfermeras: planta
E-NURS-FLOR  </v>
      </c>
    </row>
    <row r="493" spans="1:19" x14ac:dyDescent="0.45">
      <c r="A493" s="7">
        <v>0</v>
      </c>
      <c r="B493" s="11" t="s">
        <v>3418</v>
      </c>
      <c r="C493" s="11" t="s">
        <v>13</v>
      </c>
      <c r="D493" s="11" t="s">
        <v>2121</v>
      </c>
      <c r="E493" s="11" t="str">
        <f t="shared" si="56"/>
        <v>E-NURS-WALL (Electricidad - Sistema de llamada a enfermeras: pared)</v>
      </c>
      <c r="F493" s="19" t="s">
        <v>3798</v>
      </c>
      <c r="G493" s="19" t="s">
        <v>3797</v>
      </c>
      <c r="H493" s="19" t="s">
        <v>3811</v>
      </c>
      <c r="I493" s="10">
        <v>0</v>
      </c>
      <c r="J493" s="10" t="str">
        <f t="shared" si="57"/>
        <v>Electricidad - Sistema de llamada a enfermeras: pared</v>
      </c>
      <c r="K493" s="11" t="s">
        <v>1923</v>
      </c>
      <c r="L493" s="11" t="s">
        <v>12</v>
      </c>
      <c r="M493" s="11" t="s">
        <v>1924</v>
      </c>
      <c r="N493" s="18" t="str">
        <f t="shared" si="58"/>
        <v xml:space="preserve">-LAYER N E-NURS-WALL </v>
      </c>
      <c r="O493" s="11" t="str">
        <f t="shared" si="59"/>
        <v xml:space="preserve">-LAYER C white E-NURS-WALL </v>
      </c>
      <c r="P493" s="11" t="str">
        <f t="shared" si="60"/>
        <v xml:space="preserve">-LAYER L Continuous
E-NURS-WALL  </v>
      </c>
      <c r="Q493" s="11" t="str">
        <f t="shared" si="61"/>
        <v xml:space="preserve">-LAYER LW Default
E-NURS-WALL  </v>
      </c>
      <c r="R493" s="11" t="str">
        <f t="shared" si="62"/>
        <v xml:space="preserve">-LAYER TR 0
E-NURS-WALL  </v>
      </c>
      <c r="S493" s="11" t="str">
        <f t="shared" si="63"/>
        <v xml:space="preserve">-LAYER D Electricidad - Sistema de llamada a enfermeras: pared
E-NURS-WALL  </v>
      </c>
    </row>
    <row r="494" spans="1:19" x14ac:dyDescent="0.45">
      <c r="A494" s="7">
        <v>0</v>
      </c>
      <c r="B494" s="11" t="s">
        <v>3419</v>
      </c>
      <c r="C494" s="11" t="s">
        <v>13</v>
      </c>
      <c r="D494" s="11" t="s">
        <v>491</v>
      </c>
      <c r="E494" s="11" t="str">
        <f t="shared" si="56"/>
        <v>E-OBST (Electricidad - Obstrucciones)</v>
      </c>
      <c r="F494" s="19" t="s">
        <v>3798</v>
      </c>
      <c r="G494" s="19" t="s">
        <v>3797</v>
      </c>
      <c r="H494" s="19" t="s">
        <v>3811</v>
      </c>
      <c r="I494" s="10">
        <v>0</v>
      </c>
      <c r="J494" s="10" t="str">
        <f t="shared" si="57"/>
        <v>Electricidad - Obstrucciones</v>
      </c>
      <c r="K494" s="11" t="s">
        <v>1925</v>
      </c>
      <c r="L494" s="11" t="s">
        <v>12</v>
      </c>
      <c r="M494" s="11" t="s">
        <v>490</v>
      </c>
      <c r="N494" s="18" t="str">
        <f t="shared" si="58"/>
        <v xml:space="preserve">-LAYER N E-OBST </v>
      </c>
      <c r="O494" s="11" t="str">
        <f t="shared" si="59"/>
        <v xml:space="preserve">-LAYER C white E-OBST </v>
      </c>
      <c r="P494" s="11" t="str">
        <f t="shared" si="60"/>
        <v xml:space="preserve">-LAYER L Continuous
E-OBST  </v>
      </c>
      <c r="Q494" s="11" t="str">
        <f t="shared" si="61"/>
        <v xml:space="preserve">-LAYER LW Default
E-OBST  </v>
      </c>
      <c r="R494" s="11" t="str">
        <f t="shared" si="62"/>
        <v xml:space="preserve">-LAYER TR 0
E-OBST  </v>
      </c>
      <c r="S494" s="11" t="str">
        <f t="shared" si="63"/>
        <v xml:space="preserve">-LAYER D Electricidad - Obstrucciones
E-OBST  </v>
      </c>
    </row>
    <row r="495" spans="1:19" x14ac:dyDescent="0.45">
      <c r="A495" s="7">
        <v>0</v>
      </c>
      <c r="B495" s="11" t="s">
        <v>3420</v>
      </c>
      <c r="C495" s="11" t="s">
        <v>13</v>
      </c>
      <c r="D495" s="11" t="s">
        <v>506</v>
      </c>
      <c r="E495" s="11" t="str">
        <f t="shared" si="56"/>
        <v>E-PGNG (Electricidad - Sistema de buscapersonas)</v>
      </c>
      <c r="F495" s="19" t="s">
        <v>3798</v>
      </c>
      <c r="G495" s="19" t="s">
        <v>3797</v>
      </c>
      <c r="H495" s="19" t="s">
        <v>3811</v>
      </c>
      <c r="I495" s="10">
        <v>0</v>
      </c>
      <c r="J495" s="10" t="str">
        <f t="shared" si="57"/>
        <v>Electricidad - Sistema de buscapersonas</v>
      </c>
      <c r="K495" s="11" t="s">
        <v>1926</v>
      </c>
      <c r="L495" s="11" t="s">
        <v>12</v>
      </c>
      <c r="M495" s="11" t="s">
        <v>505</v>
      </c>
      <c r="N495" s="18" t="str">
        <f t="shared" si="58"/>
        <v xml:space="preserve">-LAYER N E-PGNG </v>
      </c>
      <c r="O495" s="11" t="str">
        <f t="shared" si="59"/>
        <v xml:space="preserve">-LAYER C white E-PGNG </v>
      </c>
      <c r="P495" s="11" t="str">
        <f t="shared" si="60"/>
        <v xml:space="preserve">-LAYER L Continuous
E-PGNG  </v>
      </c>
      <c r="Q495" s="11" t="str">
        <f t="shared" si="61"/>
        <v xml:space="preserve">-LAYER LW Default
E-PGNG  </v>
      </c>
      <c r="R495" s="11" t="str">
        <f t="shared" si="62"/>
        <v xml:space="preserve">-LAYER TR 0
E-PGNG  </v>
      </c>
      <c r="S495" s="11" t="str">
        <f t="shared" si="63"/>
        <v xml:space="preserve">-LAYER D Electricidad - Sistema de buscapersonas
E-PGNG  </v>
      </c>
    </row>
    <row r="496" spans="1:19" x14ac:dyDescent="0.45">
      <c r="A496" s="7">
        <v>1</v>
      </c>
      <c r="B496" s="11" t="s">
        <v>3421</v>
      </c>
      <c r="C496" s="11" t="s">
        <v>13</v>
      </c>
      <c r="D496" s="11" t="s">
        <v>2122</v>
      </c>
      <c r="E496" s="11" t="str">
        <f t="shared" si="56"/>
        <v>E-POWR (Electricidad - Alimentación)</v>
      </c>
      <c r="F496" s="10" t="s">
        <v>3798</v>
      </c>
      <c r="G496" s="10" t="s">
        <v>3796</v>
      </c>
      <c r="H496" s="10">
        <v>0.15</v>
      </c>
      <c r="I496" s="10">
        <v>0</v>
      </c>
      <c r="J496" s="10" t="str">
        <f t="shared" si="57"/>
        <v>Electricidad - Alimentación</v>
      </c>
      <c r="K496" s="11" t="s">
        <v>1927</v>
      </c>
      <c r="L496" s="11" t="s">
        <v>12</v>
      </c>
      <c r="M496" s="11" t="s">
        <v>526</v>
      </c>
      <c r="N496" s="18" t="str">
        <f t="shared" si="58"/>
        <v xml:space="preserve">-LAYER N E-POWR </v>
      </c>
      <c r="O496" s="11" t="str">
        <f t="shared" si="59"/>
        <v xml:space="preserve">-LAYER C white E-POWR </v>
      </c>
      <c r="P496" s="11" t="str">
        <f t="shared" si="60"/>
        <v xml:space="preserve">-LAYER L DASHED
E-POWR  </v>
      </c>
      <c r="Q496" s="11" t="str">
        <f t="shared" si="61"/>
        <v xml:space="preserve">-LAYER LW 0.15
E-POWR  </v>
      </c>
      <c r="R496" s="11" t="str">
        <f t="shared" si="62"/>
        <v xml:space="preserve">-LAYER TR 0
E-POWR  </v>
      </c>
      <c r="S496" s="11" t="str">
        <f t="shared" si="63"/>
        <v xml:space="preserve">-LAYER D Electricidad - Alimentación
E-POWR  </v>
      </c>
    </row>
    <row r="497" spans="1:19" x14ac:dyDescent="0.45">
      <c r="A497" s="7">
        <v>0</v>
      </c>
      <c r="B497" s="11" t="s">
        <v>3422</v>
      </c>
      <c r="C497" s="11" t="s">
        <v>13</v>
      </c>
      <c r="D497" s="11" t="s">
        <v>2123</v>
      </c>
      <c r="E497" s="11" t="str">
        <f t="shared" si="56"/>
        <v>E-POWR-BUSW (Electricidad - Alimentación: conductos de barras)</v>
      </c>
      <c r="F497" s="19" t="s">
        <v>3798</v>
      </c>
      <c r="G497" s="19" t="s">
        <v>3797</v>
      </c>
      <c r="H497" s="19" t="s">
        <v>3811</v>
      </c>
      <c r="I497" s="10">
        <v>0</v>
      </c>
      <c r="J497" s="10" t="str">
        <f t="shared" si="57"/>
        <v>Electricidad - Alimentación: conductos de barras</v>
      </c>
      <c r="K497" s="11" t="s">
        <v>1928</v>
      </c>
      <c r="L497" s="11" t="s">
        <v>12</v>
      </c>
      <c r="M497" s="11" t="s">
        <v>1929</v>
      </c>
      <c r="N497" s="18" t="str">
        <f t="shared" si="58"/>
        <v xml:space="preserve">-LAYER N E-POWR-BUSW </v>
      </c>
      <c r="O497" s="11" t="str">
        <f t="shared" si="59"/>
        <v xml:space="preserve">-LAYER C white E-POWR-BUSW </v>
      </c>
      <c r="P497" s="11" t="str">
        <f t="shared" si="60"/>
        <v xml:space="preserve">-LAYER L Continuous
E-POWR-BUSW  </v>
      </c>
      <c r="Q497" s="11" t="str">
        <f t="shared" si="61"/>
        <v xml:space="preserve">-LAYER LW Default
E-POWR-BUSW  </v>
      </c>
      <c r="R497" s="11" t="str">
        <f t="shared" si="62"/>
        <v xml:space="preserve">-LAYER TR 0
E-POWR-BUSW  </v>
      </c>
      <c r="S497" s="11" t="str">
        <f t="shared" si="63"/>
        <v xml:space="preserve">-LAYER D Electricidad - Alimentación: conductos de barras
E-POWR-BUSW  </v>
      </c>
    </row>
    <row r="498" spans="1:19" x14ac:dyDescent="0.45">
      <c r="A498" s="7">
        <v>0</v>
      </c>
      <c r="B498" s="11" t="s">
        <v>3423</v>
      </c>
      <c r="C498" s="11" t="s">
        <v>13</v>
      </c>
      <c r="D498" s="11" t="s">
        <v>2124</v>
      </c>
      <c r="E498" s="11" t="str">
        <f t="shared" si="56"/>
        <v>E-POWR-CABL (Electricidad - Alimentación: sistemas de cableado)</v>
      </c>
      <c r="F498" s="19" t="s">
        <v>3798</v>
      </c>
      <c r="G498" s="19" t="s">
        <v>3797</v>
      </c>
      <c r="H498" s="19" t="s">
        <v>3811</v>
      </c>
      <c r="I498" s="10">
        <v>0</v>
      </c>
      <c r="J498" s="10" t="str">
        <f t="shared" si="57"/>
        <v>Electricidad - Alimentación: sistemas de cableado</v>
      </c>
      <c r="K498" s="11" t="s">
        <v>1930</v>
      </c>
      <c r="L498" s="11" t="s">
        <v>12</v>
      </c>
      <c r="M498" s="11" t="s">
        <v>1931</v>
      </c>
      <c r="N498" s="18" t="str">
        <f t="shared" si="58"/>
        <v xml:space="preserve">-LAYER N E-POWR-CABL </v>
      </c>
      <c r="O498" s="11" t="str">
        <f t="shared" si="59"/>
        <v xml:space="preserve">-LAYER C white E-POWR-CABL </v>
      </c>
      <c r="P498" s="11" t="str">
        <f t="shared" si="60"/>
        <v xml:space="preserve">-LAYER L Continuous
E-POWR-CABL  </v>
      </c>
      <c r="Q498" s="11" t="str">
        <f t="shared" si="61"/>
        <v xml:space="preserve">-LAYER LW Default
E-POWR-CABL  </v>
      </c>
      <c r="R498" s="11" t="str">
        <f t="shared" si="62"/>
        <v xml:space="preserve">-LAYER TR 0
E-POWR-CABL  </v>
      </c>
      <c r="S498" s="11" t="str">
        <f t="shared" si="63"/>
        <v xml:space="preserve">-LAYER D Electricidad - Alimentación: sistemas de cableado
E-POWR-CABL  </v>
      </c>
    </row>
    <row r="499" spans="1:19" x14ac:dyDescent="0.45">
      <c r="A499" s="7">
        <v>0</v>
      </c>
      <c r="B499" s="11" t="s">
        <v>3424</v>
      </c>
      <c r="C499" s="11" t="s">
        <v>13</v>
      </c>
      <c r="D499" s="11" t="s">
        <v>2125</v>
      </c>
      <c r="E499" s="11" t="str">
        <f t="shared" si="56"/>
        <v>E-POWR-CBOX (Electricidad - Alimentación: caja de conexiones)</v>
      </c>
      <c r="F499" s="19" t="s">
        <v>3798</v>
      </c>
      <c r="G499" s="19" t="s">
        <v>3797</v>
      </c>
      <c r="H499" s="19" t="s">
        <v>3811</v>
      </c>
      <c r="I499" s="10">
        <v>0</v>
      </c>
      <c r="J499" s="10" t="str">
        <f t="shared" si="57"/>
        <v>Electricidad - Alimentación: caja de conexiones</v>
      </c>
      <c r="K499" s="11" t="s">
        <v>1932</v>
      </c>
      <c r="L499" s="11" t="s">
        <v>12</v>
      </c>
      <c r="M499" s="11" t="s">
        <v>1933</v>
      </c>
      <c r="N499" s="18" t="str">
        <f t="shared" si="58"/>
        <v xml:space="preserve">-LAYER N E-POWR-CBOX </v>
      </c>
      <c r="O499" s="11" t="str">
        <f t="shared" si="59"/>
        <v xml:space="preserve">-LAYER C white E-POWR-CBOX </v>
      </c>
      <c r="P499" s="11" t="str">
        <f t="shared" si="60"/>
        <v xml:space="preserve">-LAYER L Continuous
E-POWR-CBOX  </v>
      </c>
      <c r="Q499" s="11" t="str">
        <f t="shared" si="61"/>
        <v xml:space="preserve">-LAYER LW Default
E-POWR-CBOX  </v>
      </c>
      <c r="R499" s="11" t="str">
        <f t="shared" si="62"/>
        <v xml:space="preserve">-LAYER TR 0
E-POWR-CBOX  </v>
      </c>
      <c r="S499" s="11" t="str">
        <f t="shared" si="63"/>
        <v xml:space="preserve">-LAYER D Electricidad - Alimentación: caja de conexiones
E-POWR-CBOX  </v>
      </c>
    </row>
    <row r="500" spans="1:19" x14ac:dyDescent="0.45">
      <c r="A500" s="7">
        <v>0</v>
      </c>
      <c r="B500" s="11" t="s">
        <v>3425</v>
      </c>
      <c r="C500" s="11" t="s">
        <v>13</v>
      </c>
      <c r="D500" s="11" t="s">
        <v>2126</v>
      </c>
      <c r="E500" s="11" t="str">
        <f t="shared" si="56"/>
        <v>E-POWR-CBOX-FTPT (Electricidad - Alimentación: caja de conexiones: áreas)</v>
      </c>
      <c r="F500" s="19" t="s">
        <v>3798</v>
      </c>
      <c r="G500" s="19" t="s">
        <v>3797</v>
      </c>
      <c r="H500" s="19" t="s">
        <v>3811</v>
      </c>
      <c r="I500" s="10">
        <v>0</v>
      </c>
      <c r="J500" s="10" t="str">
        <f t="shared" si="57"/>
        <v>Electricidad - Alimentación: caja de conexiones: áreas</v>
      </c>
      <c r="K500" s="11" t="s">
        <v>1934</v>
      </c>
      <c r="L500" s="11" t="s">
        <v>12</v>
      </c>
      <c r="M500" s="11" t="s">
        <v>1995</v>
      </c>
      <c r="N500" s="18" t="str">
        <f t="shared" si="58"/>
        <v xml:space="preserve">-LAYER N E-POWR-CBOX-FTPT </v>
      </c>
      <c r="O500" s="11" t="str">
        <f t="shared" si="59"/>
        <v xml:space="preserve">-LAYER C white E-POWR-CBOX-FTPT </v>
      </c>
      <c r="P500" s="11" t="str">
        <f t="shared" si="60"/>
        <v xml:space="preserve">-LAYER L Continuous
E-POWR-CBOX-FTPT  </v>
      </c>
      <c r="Q500" s="11" t="str">
        <f t="shared" si="61"/>
        <v xml:space="preserve">-LAYER LW Default
E-POWR-CBOX-FTPT  </v>
      </c>
      <c r="R500" s="11" t="str">
        <f t="shared" si="62"/>
        <v xml:space="preserve">-LAYER TR 0
E-POWR-CBOX-FTPT  </v>
      </c>
      <c r="S500" s="11" t="str">
        <f t="shared" si="63"/>
        <v xml:space="preserve">-LAYER D Electricidad - Alimentación: caja de conexiones: áreas
E-POWR-CBOX-FTPT  </v>
      </c>
    </row>
    <row r="501" spans="1:19" x14ac:dyDescent="0.45">
      <c r="A501" s="7">
        <v>0</v>
      </c>
      <c r="B501" s="11" t="s">
        <v>3426</v>
      </c>
      <c r="C501" s="11" t="s">
        <v>13</v>
      </c>
      <c r="D501" s="11" t="s">
        <v>2127</v>
      </c>
      <c r="E501" s="11" t="str">
        <f t="shared" si="56"/>
        <v>E-POWR-CIRC (Electricidad - Alimentación: circuitos)</v>
      </c>
      <c r="F501" s="19" t="s">
        <v>3798</v>
      </c>
      <c r="G501" s="19" t="s">
        <v>3797</v>
      </c>
      <c r="H501" s="19" t="s">
        <v>3811</v>
      </c>
      <c r="I501" s="10">
        <v>0</v>
      </c>
      <c r="J501" s="10" t="str">
        <f t="shared" si="57"/>
        <v>Electricidad - Alimentación: circuitos</v>
      </c>
      <c r="K501" s="11" t="s">
        <v>1996</v>
      </c>
      <c r="L501" s="11" t="s">
        <v>12</v>
      </c>
      <c r="M501" s="11" t="s">
        <v>1935</v>
      </c>
      <c r="N501" s="18" t="str">
        <f t="shared" si="58"/>
        <v xml:space="preserve">-LAYER N E-POWR-CIRC </v>
      </c>
      <c r="O501" s="11" t="str">
        <f t="shared" si="59"/>
        <v xml:space="preserve">-LAYER C white E-POWR-CIRC </v>
      </c>
      <c r="P501" s="11" t="str">
        <f t="shared" si="60"/>
        <v xml:space="preserve">-LAYER L Continuous
E-POWR-CIRC  </v>
      </c>
      <c r="Q501" s="11" t="str">
        <f t="shared" si="61"/>
        <v xml:space="preserve">-LAYER LW Default
E-POWR-CIRC  </v>
      </c>
      <c r="R501" s="11" t="str">
        <f t="shared" si="62"/>
        <v xml:space="preserve">-LAYER TR 0
E-POWR-CIRC  </v>
      </c>
      <c r="S501" s="11" t="str">
        <f t="shared" si="63"/>
        <v xml:space="preserve">-LAYER D Electricidad - Alimentación: circuitos
E-POWR-CIRC  </v>
      </c>
    </row>
    <row r="502" spans="1:19" x14ac:dyDescent="0.45">
      <c r="A502" s="7">
        <v>0</v>
      </c>
      <c r="B502" s="11" t="s">
        <v>3427</v>
      </c>
      <c r="C502" s="11" t="s">
        <v>13</v>
      </c>
      <c r="D502" s="11" t="s">
        <v>2128</v>
      </c>
      <c r="E502" s="11" t="str">
        <f t="shared" si="56"/>
        <v>E-POWR-CIRC-CRIT (Electricidad - Alimentación: circuitos: crítico)</v>
      </c>
      <c r="F502" s="19" t="s">
        <v>3798</v>
      </c>
      <c r="G502" s="19" t="s">
        <v>3797</v>
      </c>
      <c r="H502" s="19" t="s">
        <v>3811</v>
      </c>
      <c r="I502" s="10">
        <v>0</v>
      </c>
      <c r="J502" s="10" t="str">
        <f t="shared" si="57"/>
        <v>Electricidad - Alimentación: circuitos: crítico</v>
      </c>
      <c r="K502" s="11" t="s">
        <v>1936</v>
      </c>
      <c r="L502" s="11" t="s">
        <v>12</v>
      </c>
      <c r="M502" s="11" t="s">
        <v>2000</v>
      </c>
      <c r="N502" s="18" t="str">
        <f t="shared" si="58"/>
        <v xml:space="preserve">-LAYER N E-POWR-CIRC-CRIT </v>
      </c>
      <c r="O502" s="11" t="str">
        <f t="shared" si="59"/>
        <v xml:space="preserve">-LAYER C white E-POWR-CIRC-CRIT </v>
      </c>
      <c r="P502" s="11" t="str">
        <f t="shared" si="60"/>
        <v xml:space="preserve">-LAYER L Continuous
E-POWR-CIRC-CRIT  </v>
      </c>
      <c r="Q502" s="11" t="str">
        <f t="shared" si="61"/>
        <v xml:space="preserve">-LAYER LW Default
E-POWR-CIRC-CRIT  </v>
      </c>
      <c r="R502" s="11" t="str">
        <f t="shared" si="62"/>
        <v xml:space="preserve">-LAYER TR 0
E-POWR-CIRC-CRIT  </v>
      </c>
      <c r="S502" s="11" t="str">
        <f t="shared" si="63"/>
        <v xml:space="preserve">-LAYER D Electricidad - Alimentación: circuitos: crítico
E-POWR-CIRC-CRIT  </v>
      </c>
    </row>
    <row r="503" spans="1:19" x14ac:dyDescent="0.45">
      <c r="A503" s="7">
        <v>0</v>
      </c>
      <c r="B503" s="11" t="s">
        <v>3428</v>
      </c>
      <c r="C503" s="11" t="s">
        <v>13</v>
      </c>
      <c r="D503" s="11" t="s">
        <v>2129</v>
      </c>
      <c r="E503" s="11" t="str">
        <f t="shared" si="56"/>
        <v>E-POWR-CLNG (Electricidad - Alimentación: techo)</v>
      </c>
      <c r="F503" s="19" t="s">
        <v>3798</v>
      </c>
      <c r="G503" s="19" t="s">
        <v>3797</v>
      </c>
      <c r="H503" s="19" t="s">
        <v>3811</v>
      </c>
      <c r="I503" s="10">
        <v>0</v>
      </c>
      <c r="J503" s="10" t="str">
        <f t="shared" si="57"/>
        <v>Electricidad - Alimentación: techo</v>
      </c>
      <c r="K503" s="11" t="s">
        <v>1997</v>
      </c>
      <c r="L503" s="11" t="s">
        <v>12</v>
      </c>
      <c r="M503" s="11" t="s">
        <v>1937</v>
      </c>
      <c r="N503" s="18" t="str">
        <f t="shared" si="58"/>
        <v xml:space="preserve">-LAYER N E-POWR-CLNG </v>
      </c>
      <c r="O503" s="11" t="str">
        <f t="shared" si="59"/>
        <v xml:space="preserve">-LAYER C white E-POWR-CLNG </v>
      </c>
      <c r="P503" s="11" t="str">
        <f t="shared" si="60"/>
        <v xml:space="preserve">-LAYER L Continuous
E-POWR-CLNG  </v>
      </c>
      <c r="Q503" s="11" t="str">
        <f t="shared" si="61"/>
        <v xml:space="preserve">-LAYER LW Default
E-POWR-CLNG  </v>
      </c>
      <c r="R503" s="11" t="str">
        <f t="shared" si="62"/>
        <v xml:space="preserve">-LAYER TR 0
E-POWR-CLNG  </v>
      </c>
      <c r="S503" s="11" t="str">
        <f t="shared" si="63"/>
        <v xml:space="preserve">-LAYER D Electricidad - Alimentación: techo
E-POWR-CLNG  </v>
      </c>
    </row>
    <row r="504" spans="1:19" x14ac:dyDescent="0.45">
      <c r="A504" s="7">
        <v>0</v>
      </c>
      <c r="B504" s="11" t="s">
        <v>3429</v>
      </c>
      <c r="C504" s="11" t="s">
        <v>13</v>
      </c>
      <c r="D504" s="11" t="s">
        <v>2130</v>
      </c>
      <c r="E504" s="11" t="str">
        <f t="shared" si="56"/>
        <v>E-POWR-CLNG-CRIT (Electricidad - Alimentación: techo: crítico)</v>
      </c>
      <c r="F504" s="19" t="s">
        <v>3798</v>
      </c>
      <c r="G504" s="19" t="s">
        <v>3797</v>
      </c>
      <c r="H504" s="19" t="s">
        <v>3811</v>
      </c>
      <c r="I504" s="10">
        <v>0</v>
      </c>
      <c r="J504" s="10" t="str">
        <f t="shared" si="57"/>
        <v>Electricidad - Alimentación: techo: crítico</v>
      </c>
      <c r="K504" s="11" t="s">
        <v>1938</v>
      </c>
      <c r="L504" s="11" t="s">
        <v>12</v>
      </c>
      <c r="M504" s="11" t="s">
        <v>1999</v>
      </c>
      <c r="N504" s="18" t="str">
        <f t="shared" si="58"/>
        <v xml:space="preserve">-LAYER N E-POWR-CLNG-CRIT </v>
      </c>
      <c r="O504" s="11" t="str">
        <f t="shared" si="59"/>
        <v xml:space="preserve">-LAYER C white E-POWR-CLNG-CRIT </v>
      </c>
      <c r="P504" s="11" t="str">
        <f t="shared" si="60"/>
        <v xml:space="preserve">-LAYER L Continuous
E-POWR-CLNG-CRIT  </v>
      </c>
      <c r="Q504" s="11" t="str">
        <f t="shared" si="61"/>
        <v xml:space="preserve">-LAYER LW Default
E-POWR-CLNG-CRIT  </v>
      </c>
      <c r="R504" s="11" t="str">
        <f t="shared" si="62"/>
        <v xml:space="preserve">-LAYER TR 0
E-POWR-CLNG-CRIT  </v>
      </c>
      <c r="S504" s="11" t="str">
        <f t="shared" si="63"/>
        <v xml:space="preserve">-LAYER D Electricidad - Alimentación: techo: crítico
E-POWR-CLNG-CRIT  </v>
      </c>
    </row>
    <row r="505" spans="1:19" x14ac:dyDescent="0.45">
      <c r="A505" s="7">
        <v>0</v>
      </c>
      <c r="B505" s="11" t="s">
        <v>3430</v>
      </c>
      <c r="C505" s="11" t="s">
        <v>13</v>
      </c>
      <c r="D505" s="11" t="s">
        <v>2131</v>
      </c>
      <c r="E505" s="11" t="str">
        <f t="shared" si="56"/>
        <v>E-POWR-CNDT (Electricidad - Alimentación: conducto)</v>
      </c>
      <c r="F505" s="19" t="s">
        <v>3798</v>
      </c>
      <c r="G505" s="19" t="s">
        <v>3797</v>
      </c>
      <c r="H505" s="19" t="s">
        <v>3811</v>
      </c>
      <c r="I505" s="10">
        <v>0</v>
      </c>
      <c r="J505" s="10" t="str">
        <f t="shared" si="57"/>
        <v>Electricidad - Alimentación: conducto</v>
      </c>
      <c r="K505" s="11" t="s">
        <v>1998</v>
      </c>
      <c r="L505" s="11" t="s">
        <v>12</v>
      </c>
      <c r="M505" s="11" t="s">
        <v>1939</v>
      </c>
      <c r="N505" s="18" t="str">
        <f t="shared" si="58"/>
        <v xml:space="preserve">-LAYER N E-POWR-CNDT </v>
      </c>
      <c r="O505" s="11" t="str">
        <f t="shared" si="59"/>
        <v xml:space="preserve">-LAYER C white E-POWR-CNDT </v>
      </c>
      <c r="P505" s="11" t="str">
        <f t="shared" si="60"/>
        <v xml:space="preserve">-LAYER L Continuous
E-POWR-CNDT  </v>
      </c>
      <c r="Q505" s="11" t="str">
        <f t="shared" si="61"/>
        <v xml:space="preserve">-LAYER LW Default
E-POWR-CNDT  </v>
      </c>
      <c r="R505" s="11" t="str">
        <f t="shared" si="62"/>
        <v xml:space="preserve">-LAYER TR 0
E-POWR-CNDT  </v>
      </c>
      <c r="S505" s="11" t="str">
        <f t="shared" si="63"/>
        <v xml:space="preserve">-LAYER D Electricidad - Alimentación: conducto
E-POWR-CNDT  </v>
      </c>
    </row>
    <row r="506" spans="1:19" x14ac:dyDescent="0.45">
      <c r="A506" s="7">
        <v>0</v>
      </c>
      <c r="B506" s="11" t="s">
        <v>3431</v>
      </c>
      <c r="C506" s="11" t="s">
        <v>13</v>
      </c>
      <c r="D506" s="11" t="s">
        <v>2132</v>
      </c>
      <c r="E506" s="11" t="str">
        <f t="shared" si="56"/>
        <v>E-POWR-CNMB (Electricidad - Alimentación: número de circuito)</v>
      </c>
      <c r="F506" s="19" t="s">
        <v>3798</v>
      </c>
      <c r="G506" s="19" t="s">
        <v>3797</v>
      </c>
      <c r="H506" s="19" t="s">
        <v>3811</v>
      </c>
      <c r="I506" s="10">
        <v>0</v>
      </c>
      <c r="J506" s="10" t="str">
        <f t="shared" si="57"/>
        <v>Electricidad - Alimentación: número de circuito</v>
      </c>
      <c r="K506" s="11" t="s">
        <v>1940</v>
      </c>
      <c r="L506" s="11" t="s">
        <v>12</v>
      </c>
      <c r="M506" s="11" t="s">
        <v>1941</v>
      </c>
      <c r="N506" s="18" t="str">
        <f t="shared" si="58"/>
        <v xml:space="preserve">-LAYER N E-POWR-CNMB </v>
      </c>
      <c r="O506" s="11" t="str">
        <f t="shared" si="59"/>
        <v xml:space="preserve">-LAYER C white E-POWR-CNMB </v>
      </c>
      <c r="P506" s="11" t="str">
        <f t="shared" si="60"/>
        <v xml:space="preserve">-LAYER L Continuous
E-POWR-CNMB  </v>
      </c>
      <c r="Q506" s="11" t="str">
        <f t="shared" si="61"/>
        <v xml:space="preserve">-LAYER LW Default
E-POWR-CNMB  </v>
      </c>
      <c r="R506" s="11" t="str">
        <f t="shared" si="62"/>
        <v xml:space="preserve">-LAYER TR 0
E-POWR-CNMB  </v>
      </c>
      <c r="S506" s="11" t="str">
        <f t="shared" si="63"/>
        <v xml:space="preserve">-LAYER D Electricidad - Alimentación: número de circuito
E-POWR-CNMB  </v>
      </c>
    </row>
    <row r="507" spans="1:19" x14ac:dyDescent="0.45">
      <c r="A507" s="7">
        <v>0</v>
      </c>
      <c r="B507" s="11" t="s">
        <v>3432</v>
      </c>
      <c r="C507" s="11" t="s">
        <v>13</v>
      </c>
      <c r="D507" s="11" t="s">
        <v>2133</v>
      </c>
      <c r="E507" s="11" t="str">
        <f t="shared" si="56"/>
        <v>E-POWR-CNMB-CRIT (Electricidad - Alimentación: número de circuito: crítico)</v>
      </c>
      <c r="F507" s="19" t="s">
        <v>3798</v>
      </c>
      <c r="G507" s="19" t="s">
        <v>3797</v>
      </c>
      <c r="H507" s="19" t="s">
        <v>3811</v>
      </c>
      <c r="I507" s="10">
        <v>0</v>
      </c>
      <c r="J507" s="10" t="str">
        <f t="shared" si="57"/>
        <v>Electricidad - Alimentación: número de circuito: crítico</v>
      </c>
      <c r="K507" s="11" t="s">
        <v>1942</v>
      </c>
      <c r="L507" s="11" t="s">
        <v>12</v>
      </c>
      <c r="M507" s="11" t="s">
        <v>2002</v>
      </c>
      <c r="N507" s="18" t="str">
        <f t="shared" si="58"/>
        <v xml:space="preserve">-LAYER N E-POWR-CNMB-CRIT </v>
      </c>
      <c r="O507" s="11" t="str">
        <f t="shared" si="59"/>
        <v xml:space="preserve">-LAYER C white E-POWR-CNMB-CRIT </v>
      </c>
      <c r="P507" s="11" t="str">
        <f t="shared" si="60"/>
        <v xml:space="preserve">-LAYER L Continuous
E-POWR-CNMB-CRIT  </v>
      </c>
      <c r="Q507" s="11" t="str">
        <f t="shared" si="61"/>
        <v xml:space="preserve">-LAYER LW Default
E-POWR-CNMB-CRIT  </v>
      </c>
      <c r="R507" s="11" t="str">
        <f t="shared" si="62"/>
        <v xml:space="preserve">-LAYER TR 0
E-POWR-CNMB-CRIT  </v>
      </c>
      <c r="S507" s="11" t="str">
        <f t="shared" si="63"/>
        <v xml:space="preserve">-LAYER D Electricidad - Alimentación: número de circuito: crítico
E-POWR-CNMB-CRIT  </v>
      </c>
    </row>
    <row r="508" spans="1:19" x14ac:dyDescent="0.45">
      <c r="A508" s="7">
        <v>0</v>
      </c>
      <c r="B508" s="11" t="s">
        <v>3433</v>
      </c>
      <c r="C508" s="11" t="s">
        <v>13</v>
      </c>
      <c r="D508" s="11" t="s">
        <v>2134</v>
      </c>
      <c r="E508" s="11" t="str">
        <f t="shared" si="56"/>
        <v>E-POWR-DEVC (Electricidad - Alimentación: dispositivos)</v>
      </c>
      <c r="F508" s="19" t="s">
        <v>3798</v>
      </c>
      <c r="G508" s="19" t="s">
        <v>3797</v>
      </c>
      <c r="H508" s="19" t="s">
        <v>3811</v>
      </c>
      <c r="I508" s="10">
        <v>0</v>
      </c>
      <c r="J508" s="10" t="str">
        <f t="shared" si="57"/>
        <v>Electricidad - Alimentación: dispositivos</v>
      </c>
      <c r="K508" s="11" t="s">
        <v>2001</v>
      </c>
      <c r="L508" s="11" t="s">
        <v>12</v>
      </c>
      <c r="M508" s="11" t="s">
        <v>1943</v>
      </c>
      <c r="N508" s="18" t="str">
        <f t="shared" si="58"/>
        <v xml:space="preserve">-LAYER N E-POWR-DEVC </v>
      </c>
      <c r="O508" s="11" t="str">
        <f t="shared" si="59"/>
        <v xml:space="preserve">-LAYER C white E-POWR-DEVC </v>
      </c>
      <c r="P508" s="11" t="str">
        <f t="shared" si="60"/>
        <v xml:space="preserve">-LAYER L Continuous
E-POWR-DEVC  </v>
      </c>
      <c r="Q508" s="11" t="str">
        <f t="shared" si="61"/>
        <v xml:space="preserve">-LAYER LW Default
E-POWR-DEVC  </v>
      </c>
      <c r="R508" s="11" t="str">
        <f t="shared" si="62"/>
        <v xml:space="preserve">-LAYER TR 0
E-POWR-DEVC  </v>
      </c>
      <c r="S508" s="11" t="str">
        <f t="shared" si="63"/>
        <v xml:space="preserve">-LAYER D Electricidad - Alimentación: dispositivos
E-POWR-DEVC  </v>
      </c>
    </row>
    <row r="509" spans="1:19" x14ac:dyDescent="0.45">
      <c r="A509" s="7">
        <v>0</v>
      </c>
      <c r="B509" s="11" t="s">
        <v>3434</v>
      </c>
      <c r="C509" s="11" t="s">
        <v>13</v>
      </c>
      <c r="D509" s="11" t="s">
        <v>2135</v>
      </c>
      <c r="E509" s="11" t="str">
        <f t="shared" si="56"/>
        <v>E-POWR-DSCO (Electricidad - Alimentación: interruptores de desconexión)</v>
      </c>
      <c r="F509" s="19" t="s">
        <v>3798</v>
      </c>
      <c r="G509" s="19" t="s">
        <v>3797</v>
      </c>
      <c r="H509" s="19" t="s">
        <v>3811</v>
      </c>
      <c r="I509" s="10">
        <v>0</v>
      </c>
      <c r="J509" s="10" t="str">
        <f t="shared" si="57"/>
        <v>Electricidad - Alimentación: interruptores de desconexión</v>
      </c>
      <c r="K509" s="11" t="s">
        <v>1944</v>
      </c>
      <c r="L509" s="11" t="s">
        <v>12</v>
      </c>
      <c r="M509" s="11" t="s">
        <v>1945</v>
      </c>
      <c r="N509" s="18" t="str">
        <f t="shared" si="58"/>
        <v xml:space="preserve">-LAYER N E-POWR-DSCO </v>
      </c>
      <c r="O509" s="11" t="str">
        <f t="shared" si="59"/>
        <v xml:space="preserve">-LAYER C white E-POWR-DSCO </v>
      </c>
      <c r="P509" s="11" t="str">
        <f t="shared" si="60"/>
        <v xml:space="preserve">-LAYER L Continuous
E-POWR-DSCO  </v>
      </c>
      <c r="Q509" s="11" t="str">
        <f t="shared" si="61"/>
        <v xml:space="preserve">-LAYER LW Default
E-POWR-DSCO  </v>
      </c>
      <c r="R509" s="11" t="str">
        <f t="shared" si="62"/>
        <v xml:space="preserve">-LAYER TR 0
E-POWR-DSCO  </v>
      </c>
      <c r="S509" s="11" t="str">
        <f t="shared" si="63"/>
        <v xml:space="preserve">-LAYER D Electricidad - Alimentación: interruptores de desconexión
E-POWR-DSCO  </v>
      </c>
    </row>
    <row r="510" spans="1:19" x14ac:dyDescent="0.45">
      <c r="A510" s="7">
        <v>0</v>
      </c>
      <c r="B510" s="11" t="s">
        <v>3435</v>
      </c>
      <c r="C510" s="11" t="s">
        <v>13</v>
      </c>
      <c r="D510" s="11" t="s">
        <v>2136</v>
      </c>
      <c r="E510" s="11" t="str">
        <f t="shared" si="56"/>
        <v>E-POWR-DSCO-ACFU (Electricidad - Alimentación: interruptores de desconexión: CA con fusible)</v>
      </c>
      <c r="F510" s="19" t="s">
        <v>3798</v>
      </c>
      <c r="G510" s="19" t="s">
        <v>3797</v>
      </c>
      <c r="H510" s="19" t="s">
        <v>3811</v>
      </c>
      <c r="I510" s="10">
        <v>0</v>
      </c>
      <c r="J510" s="10" t="str">
        <f t="shared" si="57"/>
        <v>Electricidad - Alimentación: interruptores de desconexión: CA con fusible</v>
      </c>
      <c r="K510" s="11" t="s">
        <v>1946</v>
      </c>
      <c r="L510" s="11" t="s">
        <v>12</v>
      </c>
      <c r="M510" s="11" t="s">
        <v>2003</v>
      </c>
      <c r="N510" s="18" t="str">
        <f t="shared" si="58"/>
        <v xml:space="preserve">-LAYER N E-POWR-DSCO-ACFU </v>
      </c>
      <c r="O510" s="11" t="str">
        <f t="shared" si="59"/>
        <v xml:space="preserve">-LAYER C white E-POWR-DSCO-ACFU </v>
      </c>
      <c r="P510" s="11" t="str">
        <f t="shared" si="60"/>
        <v xml:space="preserve">-LAYER L Continuous
E-POWR-DSCO-ACFU  </v>
      </c>
      <c r="Q510" s="11" t="str">
        <f t="shared" si="61"/>
        <v xml:space="preserve">-LAYER LW Default
E-POWR-DSCO-ACFU  </v>
      </c>
      <c r="R510" s="11" t="str">
        <f t="shared" si="62"/>
        <v xml:space="preserve">-LAYER TR 0
E-POWR-DSCO-ACFU  </v>
      </c>
      <c r="S510" s="11" t="str">
        <f t="shared" si="63"/>
        <v xml:space="preserve">-LAYER D Electricidad - Alimentación: interruptores de desconexión: CA con fusible
E-POWR-DSCO-ACFU  </v>
      </c>
    </row>
    <row r="511" spans="1:19" x14ac:dyDescent="0.45">
      <c r="A511" s="7">
        <v>0</v>
      </c>
      <c r="B511" s="11" t="s">
        <v>3436</v>
      </c>
      <c r="C511" s="11" t="s">
        <v>13</v>
      </c>
      <c r="D511" s="11" t="s">
        <v>2137</v>
      </c>
      <c r="E511" s="11" t="str">
        <f t="shared" si="56"/>
        <v>E-POWR-DSCO-ACNF (Electricidad - Alimentación: interruptores de desconexión: CA sin fusible)</v>
      </c>
      <c r="F511" s="19" t="s">
        <v>3798</v>
      </c>
      <c r="G511" s="19" t="s">
        <v>3797</v>
      </c>
      <c r="H511" s="19" t="s">
        <v>3811</v>
      </c>
      <c r="I511" s="10">
        <v>0</v>
      </c>
      <c r="J511" s="10" t="str">
        <f t="shared" si="57"/>
        <v>Electricidad - Alimentación: interruptores de desconexión: CA sin fusible</v>
      </c>
      <c r="K511" s="11" t="s">
        <v>2004</v>
      </c>
      <c r="L511" s="11" t="s">
        <v>12</v>
      </c>
      <c r="M511" s="11" t="s">
        <v>2005</v>
      </c>
      <c r="N511" s="18" t="str">
        <f t="shared" si="58"/>
        <v xml:space="preserve">-LAYER N E-POWR-DSCO-ACNF </v>
      </c>
      <c r="O511" s="11" t="str">
        <f t="shared" si="59"/>
        <v xml:space="preserve">-LAYER C white E-POWR-DSCO-ACNF </v>
      </c>
      <c r="P511" s="11" t="str">
        <f t="shared" si="60"/>
        <v xml:space="preserve">-LAYER L Continuous
E-POWR-DSCO-ACNF  </v>
      </c>
      <c r="Q511" s="11" t="str">
        <f t="shared" si="61"/>
        <v xml:space="preserve">-LAYER LW Default
E-POWR-DSCO-ACNF  </v>
      </c>
      <c r="R511" s="11" t="str">
        <f t="shared" si="62"/>
        <v xml:space="preserve">-LAYER TR 0
E-POWR-DSCO-ACNF  </v>
      </c>
      <c r="S511" s="11" t="str">
        <f t="shared" si="63"/>
        <v xml:space="preserve">-LAYER D Electricidad - Alimentación: interruptores de desconexión: CA sin fusible
E-POWR-DSCO-ACNF  </v>
      </c>
    </row>
    <row r="512" spans="1:19" x14ac:dyDescent="0.45">
      <c r="A512" s="7">
        <v>0</v>
      </c>
      <c r="B512" s="11" t="s">
        <v>3437</v>
      </c>
      <c r="C512" s="11" t="s">
        <v>13</v>
      </c>
      <c r="D512" s="11" t="s">
        <v>2138</v>
      </c>
      <c r="E512" s="11" t="str">
        <f t="shared" si="56"/>
        <v>E-POWR-DSCO-DCFU (Electricidad - Alimentación: interruptores de desconexión: CC con fusible)</v>
      </c>
      <c r="F512" s="19" t="s">
        <v>3798</v>
      </c>
      <c r="G512" s="19" t="s">
        <v>3797</v>
      </c>
      <c r="H512" s="19" t="s">
        <v>3811</v>
      </c>
      <c r="I512" s="10">
        <v>0</v>
      </c>
      <c r="J512" s="10" t="str">
        <f t="shared" si="57"/>
        <v>Electricidad - Alimentación: interruptores de desconexión: CC con fusible</v>
      </c>
      <c r="K512" s="11" t="s">
        <v>2916</v>
      </c>
      <c r="L512" s="11" t="s">
        <v>12</v>
      </c>
      <c r="M512" s="11" t="s">
        <v>2006</v>
      </c>
      <c r="N512" s="18" t="str">
        <f t="shared" si="58"/>
        <v xml:space="preserve">-LAYER N E-POWR-DSCO-DCFU </v>
      </c>
      <c r="O512" s="11" t="str">
        <f t="shared" si="59"/>
        <v xml:space="preserve">-LAYER C white E-POWR-DSCO-DCFU </v>
      </c>
      <c r="P512" s="11" t="str">
        <f t="shared" si="60"/>
        <v xml:space="preserve">-LAYER L Continuous
E-POWR-DSCO-DCFU  </v>
      </c>
      <c r="Q512" s="11" t="str">
        <f t="shared" si="61"/>
        <v xml:space="preserve">-LAYER LW Default
E-POWR-DSCO-DCFU  </v>
      </c>
      <c r="R512" s="11" t="str">
        <f t="shared" si="62"/>
        <v xml:space="preserve">-LAYER TR 0
E-POWR-DSCO-DCFU  </v>
      </c>
      <c r="S512" s="11" t="str">
        <f t="shared" si="63"/>
        <v xml:space="preserve">-LAYER D Electricidad - Alimentación: interruptores de desconexión: CC con fusible
E-POWR-DSCO-DCFU  </v>
      </c>
    </row>
    <row r="513" spans="1:19" x14ac:dyDescent="0.45">
      <c r="A513" s="7">
        <v>0</v>
      </c>
      <c r="B513" s="11" t="s">
        <v>3438</v>
      </c>
      <c r="C513" s="11" t="s">
        <v>13</v>
      </c>
      <c r="D513" s="11" t="s">
        <v>2139</v>
      </c>
      <c r="E513" s="11" t="str">
        <f t="shared" si="56"/>
        <v>E-POWR-DSCO-DCNF (Electricidad - Alimentación: interruptores de desconexión: CC sin fusible)</v>
      </c>
      <c r="F513" s="19" t="s">
        <v>3798</v>
      </c>
      <c r="G513" s="19" t="s">
        <v>3797</v>
      </c>
      <c r="H513" s="19" t="s">
        <v>3811</v>
      </c>
      <c r="I513" s="10">
        <v>0</v>
      </c>
      <c r="J513" s="10" t="str">
        <f t="shared" si="57"/>
        <v>Electricidad - Alimentación: interruptores de desconexión: CC sin fusible</v>
      </c>
      <c r="K513" s="11" t="s">
        <v>2917</v>
      </c>
      <c r="L513" s="11" t="s">
        <v>12</v>
      </c>
      <c r="M513" s="11" t="s">
        <v>2007</v>
      </c>
      <c r="N513" s="18" t="str">
        <f t="shared" si="58"/>
        <v xml:space="preserve">-LAYER N E-POWR-DSCO-DCNF </v>
      </c>
      <c r="O513" s="11" t="str">
        <f t="shared" si="59"/>
        <v xml:space="preserve">-LAYER C white E-POWR-DSCO-DCNF </v>
      </c>
      <c r="P513" s="11" t="str">
        <f t="shared" si="60"/>
        <v xml:space="preserve">-LAYER L Continuous
E-POWR-DSCO-DCNF  </v>
      </c>
      <c r="Q513" s="11" t="str">
        <f t="shared" si="61"/>
        <v xml:space="preserve">-LAYER LW Default
E-POWR-DSCO-DCNF  </v>
      </c>
      <c r="R513" s="11" t="str">
        <f t="shared" si="62"/>
        <v xml:space="preserve">-LAYER TR 0
E-POWR-DSCO-DCNF  </v>
      </c>
      <c r="S513" s="11" t="str">
        <f t="shared" si="63"/>
        <v xml:space="preserve">-LAYER D Electricidad - Alimentación: interruptores de desconexión: CC sin fusible
E-POWR-DSCO-DCNF  </v>
      </c>
    </row>
    <row r="514" spans="1:19" x14ac:dyDescent="0.45">
      <c r="A514" s="7">
        <v>0</v>
      </c>
      <c r="B514" s="11" t="s">
        <v>3439</v>
      </c>
      <c r="C514" s="11" t="s">
        <v>13</v>
      </c>
      <c r="D514" s="11" t="s">
        <v>2140</v>
      </c>
      <c r="E514" s="11" t="str">
        <f t="shared" si="56"/>
        <v>E-POWR-EQPM (Electricidad - Alimentación: equipo)</v>
      </c>
      <c r="F514" s="19" t="s">
        <v>3798</v>
      </c>
      <c r="G514" s="19" t="s">
        <v>3797</v>
      </c>
      <c r="H514" s="19" t="s">
        <v>3811</v>
      </c>
      <c r="I514" s="10">
        <v>0</v>
      </c>
      <c r="J514" s="10" t="str">
        <f t="shared" si="57"/>
        <v>Electricidad - Alimentación: equipo</v>
      </c>
      <c r="K514" s="11" t="s">
        <v>2918</v>
      </c>
      <c r="L514" s="11" t="s">
        <v>12</v>
      </c>
      <c r="M514" s="11" t="s">
        <v>1947</v>
      </c>
      <c r="N514" s="18" t="str">
        <f t="shared" si="58"/>
        <v xml:space="preserve">-LAYER N E-POWR-EQPM </v>
      </c>
      <c r="O514" s="11" t="str">
        <f t="shared" si="59"/>
        <v xml:space="preserve">-LAYER C white E-POWR-EQPM </v>
      </c>
      <c r="P514" s="11" t="str">
        <f t="shared" si="60"/>
        <v xml:space="preserve">-LAYER L Continuous
E-POWR-EQPM  </v>
      </c>
      <c r="Q514" s="11" t="str">
        <f t="shared" si="61"/>
        <v xml:space="preserve">-LAYER LW Default
E-POWR-EQPM  </v>
      </c>
      <c r="R514" s="11" t="str">
        <f t="shared" si="62"/>
        <v xml:space="preserve">-LAYER TR 0
E-POWR-EQPM  </v>
      </c>
      <c r="S514" s="11" t="str">
        <f t="shared" si="63"/>
        <v xml:space="preserve">-LAYER D Electricidad - Alimentación: equipo
E-POWR-EQPM  </v>
      </c>
    </row>
    <row r="515" spans="1:19" x14ac:dyDescent="0.45">
      <c r="A515" s="7">
        <v>0</v>
      </c>
      <c r="B515" s="11" t="s">
        <v>3440</v>
      </c>
      <c r="C515" s="11" t="s">
        <v>13</v>
      </c>
      <c r="D515" s="11" t="s">
        <v>2141</v>
      </c>
      <c r="E515" s="11" t="str">
        <f t="shared" si="56"/>
        <v>E-POWR-EQPM-CRIT (Electricidad - Alimentación: equipo: crítico)</v>
      </c>
      <c r="F515" s="19" t="s">
        <v>3798</v>
      </c>
      <c r="G515" s="19" t="s">
        <v>3797</v>
      </c>
      <c r="H515" s="19" t="s">
        <v>3811</v>
      </c>
      <c r="I515" s="10">
        <v>0</v>
      </c>
      <c r="J515" s="10" t="str">
        <f t="shared" si="57"/>
        <v>Electricidad - Alimentación: equipo: crítico</v>
      </c>
      <c r="K515" s="11" t="s">
        <v>1948</v>
      </c>
      <c r="L515" s="11" t="s">
        <v>12</v>
      </c>
      <c r="M515" s="11" t="s">
        <v>2008</v>
      </c>
      <c r="N515" s="18" t="str">
        <f t="shared" si="58"/>
        <v xml:space="preserve">-LAYER N E-POWR-EQPM-CRIT </v>
      </c>
      <c r="O515" s="11" t="str">
        <f t="shared" si="59"/>
        <v xml:space="preserve">-LAYER C white E-POWR-EQPM-CRIT </v>
      </c>
      <c r="P515" s="11" t="str">
        <f t="shared" si="60"/>
        <v xml:space="preserve">-LAYER L Continuous
E-POWR-EQPM-CRIT  </v>
      </c>
      <c r="Q515" s="11" t="str">
        <f t="shared" si="61"/>
        <v xml:space="preserve">-LAYER LW Default
E-POWR-EQPM-CRIT  </v>
      </c>
      <c r="R515" s="11" t="str">
        <f t="shared" si="62"/>
        <v xml:space="preserve">-LAYER TR 0
E-POWR-EQPM-CRIT  </v>
      </c>
      <c r="S515" s="11" t="str">
        <f t="shared" si="63"/>
        <v xml:space="preserve">-LAYER D Electricidad - Alimentación: equipo: crítico
E-POWR-EQPM-CRIT  </v>
      </c>
    </row>
    <row r="516" spans="1:19" x14ac:dyDescent="0.45">
      <c r="A516" s="7">
        <v>0</v>
      </c>
      <c r="B516" s="11" t="s">
        <v>3441</v>
      </c>
      <c r="C516" s="11" t="s">
        <v>13</v>
      </c>
      <c r="D516" s="11" t="s">
        <v>2142</v>
      </c>
      <c r="E516" s="11" t="str">
        <f t="shared" ref="E516:E579" si="64">_xlfn.CONCAT(B516," (",C516," - ",D516,")")</f>
        <v>E-POWR-EXTR (Electricidad - Alimentación: exterior)</v>
      </c>
      <c r="F516" s="19" t="s">
        <v>3798</v>
      </c>
      <c r="G516" s="19" t="s">
        <v>3797</v>
      </c>
      <c r="H516" s="19" t="s">
        <v>3811</v>
      </c>
      <c r="I516" s="10">
        <v>0</v>
      </c>
      <c r="J516" s="10" t="str">
        <f t="shared" si="57"/>
        <v>Electricidad - Alimentación: exterior</v>
      </c>
      <c r="K516" s="11" t="s">
        <v>2009</v>
      </c>
      <c r="L516" s="11" t="s">
        <v>12</v>
      </c>
      <c r="M516" s="11" t="s">
        <v>1949</v>
      </c>
      <c r="N516" s="18" t="str">
        <f t="shared" si="58"/>
        <v xml:space="preserve">-LAYER N E-POWR-EXTR </v>
      </c>
      <c r="O516" s="11" t="str">
        <f t="shared" si="59"/>
        <v xml:space="preserve">-LAYER C white E-POWR-EXTR </v>
      </c>
      <c r="P516" s="11" t="str">
        <f t="shared" si="60"/>
        <v xml:space="preserve">-LAYER L Continuous
E-POWR-EXTR  </v>
      </c>
      <c r="Q516" s="11" t="str">
        <f t="shared" si="61"/>
        <v xml:space="preserve">-LAYER LW Default
E-POWR-EXTR  </v>
      </c>
      <c r="R516" s="11" t="str">
        <f t="shared" si="62"/>
        <v xml:space="preserve">-LAYER TR 0
E-POWR-EXTR  </v>
      </c>
      <c r="S516" s="11" t="str">
        <f t="shared" si="63"/>
        <v xml:space="preserve">-LAYER D Electricidad - Alimentación: exterior
E-POWR-EXTR  </v>
      </c>
    </row>
    <row r="517" spans="1:19" x14ac:dyDescent="0.45">
      <c r="A517" s="7">
        <v>0</v>
      </c>
      <c r="B517" s="11" t="s">
        <v>3442</v>
      </c>
      <c r="C517" s="11" t="s">
        <v>13</v>
      </c>
      <c r="D517" s="11" t="s">
        <v>2143</v>
      </c>
      <c r="E517" s="11" t="str">
        <f t="shared" si="64"/>
        <v>E-POWR-FEED (Electricidad - Alimentación: alimentadores)</v>
      </c>
      <c r="F517" s="19" t="s">
        <v>3798</v>
      </c>
      <c r="G517" s="19" t="s">
        <v>3797</v>
      </c>
      <c r="H517" s="19" t="s">
        <v>3811</v>
      </c>
      <c r="I517" s="10">
        <v>0</v>
      </c>
      <c r="J517" s="10" t="str">
        <f t="shared" ref="J517:J580" si="65">_xlfn.CONCAT(C517," - ",D517)</f>
        <v>Electricidad - Alimentación: alimentadores</v>
      </c>
      <c r="K517" s="11" t="s">
        <v>1950</v>
      </c>
      <c r="L517" s="11" t="s">
        <v>12</v>
      </c>
      <c r="M517" s="11" t="s">
        <v>1951</v>
      </c>
      <c r="N517" s="18" t="str">
        <f t="shared" ref="N517:N580" si="66">_xlfn.CONCAT("-LAYER N ", B517," ")</f>
        <v xml:space="preserve">-LAYER N E-POWR-FEED </v>
      </c>
      <c r="O517" s="11" t="str">
        <f t="shared" ref="O517:O580" si="67">_xlfn.CONCAT("-LAYER C ",F517," ", B517," ")</f>
        <v xml:space="preserve">-LAYER C white E-POWR-FEED </v>
      </c>
      <c r="P517" s="11" t="str">
        <f t="shared" ref="P517:P580" si="68">_xlfn.CONCAT("-LAYER L ",G517,CHAR(10), B517,"  ")</f>
        <v xml:space="preserve">-LAYER L Continuous
E-POWR-FEED  </v>
      </c>
      <c r="Q517" s="11" t="str">
        <f t="shared" ref="Q517:Q580" si="69">_xlfn.CONCAT("-LAYER LW ",H517,CHAR(10), B517,"  ")</f>
        <v xml:space="preserve">-LAYER LW Default
E-POWR-FEED  </v>
      </c>
      <c r="R517" s="11" t="str">
        <f t="shared" ref="R517:R580" si="70">_xlfn.CONCAT("-LAYER TR ",I517,CHAR(10), B517,"  ")</f>
        <v xml:space="preserve">-LAYER TR 0
E-POWR-FEED  </v>
      </c>
      <c r="S517" s="11" t="str">
        <f t="shared" ref="S517:S580" si="71">_xlfn.CONCAT("-LAYER D ",J517,CHAR(10), B517,"  ")</f>
        <v xml:space="preserve">-LAYER D Electricidad - Alimentación: alimentadores
E-POWR-FEED  </v>
      </c>
    </row>
    <row r="518" spans="1:19" x14ac:dyDescent="0.45">
      <c r="A518" s="7">
        <v>0</v>
      </c>
      <c r="B518" s="11" t="s">
        <v>3443</v>
      </c>
      <c r="C518" s="11" t="s">
        <v>13</v>
      </c>
      <c r="D518" s="11" t="s">
        <v>2144</v>
      </c>
      <c r="E518" s="11" t="str">
        <f t="shared" si="64"/>
        <v>E-POWR-FLOR (Electricidad - Alimentación: planta)</v>
      </c>
      <c r="F518" s="19" t="s">
        <v>3798</v>
      </c>
      <c r="G518" s="19" t="s">
        <v>3797</v>
      </c>
      <c r="H518" s="19" t="s">
        <v>3811</v>
      </c>
      <c r="I518" s="10">
        <v>0</v>
      </c>
      <c r="J518" s="10" t="str">
        <f t="shared" si="65"/>
        <v>Electricidad - Alimentación: planta</v>
      </c>
      <c r="K518" s="11" t="s">
        <v>1952</v>
      </c>
      <c r="L518" s="11" t="s">
        <v>12</v>
      </c>
      <c r="M518" s="11" t="s">
        <v>1953</v>
      </c>
      <c r="N518" s="18" t="str">
        <f t="shared" si="66"/>
        <v xml:space="preserve">-LAYER N E-POWR-FLOR </v>
      </c>
      <c r="O518" s="11" t="str">
        <f t="shared" si="67"/>
        <v xml:space="preserve">-LAYER C white E-POWR-FLOR </v>
      </c>
      <c r="P518" s="11" t="str">
        <f t="shared" si="68"/>
        <v xml:space="preserve">-LAYER L Continuous
E-POWR-FLOR  </v>
      </c>
      <c r="Q518" s="11" t="str">
        <f t="shared" si="69"/>
        <v xml:space="preserve">-LAYER LW Default
E-POWR-FLOR  </v>
      </c>
      <c r="R518" s="11" t="str">
        <f t="shared" si="70"/>
        <v xml:space="preserve">-LAYER TR 0
E-POWR-FLOR  </v>
      </c>
      <c r="S518" s="11" t="str">
        <f t="shared" si="71"/>
        <v xml:space="preserve">-LAYER D Electricidad - Alimentación: planta
E-POWR-FLOR  </v>
      </c>
    </row>
    <row r="519" spans="1:19" x14ac:dyDescent="0.45">
      <c r="A519" s="7">
        <v>0</v>
      </c>
      <c r="B519" s="11" t="s">
        <v>3444</v>
      </c>
      <c r="C519" s="11" t="s">
        <v>13</v>
      </c>
      <c r="D519" s="11" t="s">
        <v>2145</v>
      </c>
      <c r="E519" s="11" t="str">
        <f t="shared" si="64"/>
        <v>E-POWR-FLOR-CRIT (Electricidad - Alimentación: planta: crítico)</v>
      </c>
      <c r="F519" s="19" t="s">
        <v>3798</v>
      </c>
      <c r="G519" s="19" t="s">
        <v>3797</v>
      </c>
      <c r="H519" s="19" t="s">
        <v>3811</v>
      </c>
      <c r="I519" s="10">
        <v>0</v>
      </c>
      <c r="J519" s="10" t="str">
        <f t="shared" si="65"/>
        <v>Electricidad - Alimentación: planta: crítico</v>
      </c>
      <c r="K519" s="11" t="s">
        <v>1954</v>
      </c>
      <c r="L519" s="11" t="s">
        <v>12</v>
      </c>
      <c r="M519" s="11" t="s">
        <v>2010</v>
      </c>
      <c r="N519" s="18" t="str">
        <f t="shared" si="66"/>
        <v xml:space="preserve">-LAYER N E-POWR-FLOR-CRIT </v>
      </c>
      <c r="O519" s="11" t="str">
        <f t="shared" si="67"/>
        <v xml:space="preserve">-LAYER C white E-POWR-FLOR-CRIT </v>
      </c>
      <c r="P519" s="11" t="str">
        <f t="shared" si="68"/>
        <v xml:space="preserve">-LAYER L Continuous
E-POWR-FLOR-CRIT  </v>
      </c>
      <c r="Q519" s="11" t="str">
        <f t="shared" si="69"/>
        <v xml:space="preserve">-LAYER LW Default
E-POWR-FLOR-CRIT  </v>
      </c>
      <c r="R519" s="11" t="str">
        <f t="shared" si="70"/>
        <v xml:space="preserve">-LAYER TR 0
E-POWR-FLOR-CRIT  </v>
      </c>
      <c r="S519" s="11" t="str">
        <f t="shared" si="71"/>
        <v xml:space="preserve">-LAYER D Electricidad - Alimentación: planta: crítico
E-POWR-FLOR-CRIT  </v>
      </c>
    </row>
    <row r="520" spans="1:19" x14ac:dyDescent="0.45">
      <c r="A520" s="7">
        <v>0</v>
      </c>
      <c r="B520" s="11" t="s">
        <v>3445</v>
      </c>
      <c r="C520" s="11" t="s">
        <v>13</v>
      </c>
      <c r="D520" s="11" t="s">
        <v>2146</v>
      </c>
      <c r="E520" s="11" t="str">
        <f t="shared" si="64"/>
        <v>E-POWR-JBOX (Electricidad - Energía: caja de conexiones)</v>
      </c>
      <c r="F520" s="19" t="s">
        <v>3798</v>
      </c>
      <c r="G520" s="19" t="s">
        <v>3797</v>
      </c>
      <c r="H520" s="19" t="s">
        <v>3811</v>
      </c>
      <c r="I520" s="10">
        <v>0</v>
      </c>
      <c r="J520" s="10" t="str">
        <f t="shared" si="65"/>
        <v>Electricidad - Energía: caja de conexiones</v>
      </c>
      <c r="K520" s="11" t="s">
        <v>2011</v>
      </c>
      <c r="L520" s="11" t="s">
        <v>12</v>
      </c>
      <c r="M520" s="11" t="s">
        <v>1955</v>
      </c>
      <c r="N520" s="18" t="str">
        <f t="shared" si="66"/>
        <v xml:space="preserve">-LAYER N E-POWR-JBOX </v>
      </c>
      <c r="O520" s="11" t="str">
        <f t="shared" si="67"/>
        <v xml:space="preserve">-LAYER C white E-POWR-JBOX </v>
      </c>
      <c r="P520" s="11" t="str">
        <f t="shared" si="68"/>
        <v xml:space="preserve">-LAYER L Continuous
E-POWR-JBOX  </v>
      </c>
      <c r="Q520" s="11" t="str">
        <f t="shared" si="69"/>
        <v xml:space="preserve">-LAYER LW Default
E-POWR-JBOX  </v>
      </c>
      <c r="R520" s="11" t="str">
        <f t="shared" si="70"/>
        <v xml:space="preserve">-LAYER TR 0
E-POWR-JBOX  </v>
      </c>
      <c r="S520" s="11" t="str">
        <f t="shared" si="71"/>
        <v xml:space="preserve">-LAYER D Electricidad - Energía: caja de conexiones
E-POWR-JBOX  </v>
      </c>
    </row>
    <row r="521" spans="1:19" x14ac:dyDescent="0.45">
      <c r="A521" s="7">
        <v>0</v>
      </c>
      <c r="B521" s="11" t="s">
        <v>3446</v>
      </c>
      <c r="C521" s="11" t="s">
        <v>13</v>
      </c>
      <c r="D521" s="11" t="s">
        <v>2147</v>
      </c>
      <c r="E521" s="11" t="str">
        <f t="shared" si="64"/>
        <v>E-POWR-PANL (Electricidad - Energía: paneles)</v>
      </c>
      <c r="F521" s="19" t="s">
        <v>3798</v>
      </c>
      <c r="G521" s="19" t="s">
        <v>3797</v>
      </c>
      <c r="H521" s="19" t="s">
        <v>3811</v>
      </c>
      <c r="I521" s="10">
        <v>0</v>
      </c>
      <c r="J521" s="10" t="str">
        <f t="shared" si="65"/>
        <v>Electricidad - Energía: paneles</v>
      </c>
      <c r="K521" s="11" t="s">
        <v>1956</v>
      </c>
      <c r="L521" s="11" t="s">
        <v>12</v>
      </c>
      <c r="M521" s="11" t="s">
        <v>1957</v>
      </c>
      <c r="N521" s="18" t="str">
        <f t="shared" si="66"/>
        <v xml:space="preserve">-LAYER N E-POWR-PANL </v>
      </c>
      <c r="O521" s="11" t="str">
        <f t="shared" si="67"/>
        <v xml:space="preserve">-LAYER C white E-POWR-PANL </v>
      </c>
      <c r="P521" s="11" t="str">
        <f t="shared" si="68"/>
        <v xml:space="preserve">-LAYER L Continuous
E-POWR-PANL  </v>
      </c>
      <c r="Q521" s="11" t="str">
        <f t="shared" si="69"/>
        <v xml:space="preserve">-LAYER LW Default
E-POWR-PANL  </v>
      </c>
      <c r="R521" s="11" t="str">
        <f t="shared" si="70"/>
        <v xml:space="preserve">-LAYER TR 0
E-POWR-PANL  </v>
      </c>
      <c r="S521" s="11" t="str">
        <f t="shared" si="71"/>
        <v xml:space="preserve">-LAYER D Electricidad - Energía: paneles
E-POWR-PANL  </v>
      </c>
    </row>
    <row r="522" spans="1:19" x14ac:dyDescent="0.45">
      <c r="A522" s="7">
        <v>0</v>
      </c>
      <c r="B522" s="11" t="s">
        <v>3447</v>
      </c>
      <c r="C522" s="11" t="s">
        <v>13</v>
      </c>
      <c r="D522" s="11" t="s">
        <v>2148</v>
      </c>
      <c r="E522" s="11" t="str">
        <f t="shared" si="64"/>
        <v>E-POWR-POCC (Electricidad - Energía: punto de acoplamiento común)</v>
      </c>
      <c r="F522" s="19" t="s">
        <v>3798</v>
      </c>
      <c r="G522" s="19" t="s">
        <v>3797</v>
      </c>
      <c r="H522" s="19" t="s">
        <v>3811</v>
      </c>
      <c r="I522" s="10">
        <v>0</v>
      </c>
      <c r="J522" s="10" t="str">
        <f t="shared" si="65"/>
        <v>Electricidad - Energía: punto de acoplamiento común</v>
      </c>
      <c r="K522" s="11" t="s">
        <v>1958</v>
      </c>
      <c r="L522" s="11" t="s">
        <v>12</v>
      </c>
      <c r="M522" s="11" t="s">
        <v>1959</v>
      </c>
      <c r="N522" s="18" t="str">
        <f t="shared" si="66"/>
        <v xml:space="preserve">-LAYER N E-POWR-POCC </v>
      </c>
      <c r="O522" s="11" t="str">
        <f t="shared" si="67"/>
        <v xml:space="preserve">-LAYER C white E-POWR-POCC </v>
      </c>
      <c r="P522" s="11" t="str">
        <f t="shared" si="68"/>
        <v xml:space="preserve">-LAYER L Continuous
E-POWR-POCC  </v>
      </c>
      <c r="Q522" s="11" t="str">
        <f t="shared" si="69"/>
        <v xml:space="preserve">-LAYER LW Default
E-POWR-POCC  </v>
      </c>
      <c r="R522" s="11" t="str">
        <f t="shared" si="70"/>
        <v xml:space="preserve">-LAYER TR 0
E-POWR-POCC  </v>
      </c>
      <c r="S522" s="11" t="str">
        <f t="shared" si="71"/>
        <v xml:space="preserve">-LAYER D Electricidad - Energía: punto de acoplamiento común
E-POWR-POCC  </v>
      </c>
    </row>
    <row r="523" spans="1:19" x14ac:dyDescent="0.45">
      <c r="A523" s="7">
        <v>0</v>
      </c>
      <c r="B523" s="11" t="s">
        <v>3448</v>
      </c>
      <c r="C523" s="11" t="s">
        <v>13</v>
      </c>
      <c r="D523" s="11" t="s">
        <v>2149</v>
      </c>
      <c r="E523" s="11" t="str">
        <f t="shared" si="64"/>
        <v>E-POWR-POI~ (Electricidad - Energía: punto de interconexión)</v>
      </c>
      <c r="F523" s="19" t="s">
        <v>3798</v>
      </c>
      <c r="G523" s="19" t="s">
        <v>3797</v>
      </c>
      <c r="H523" s="19" t="s">
        <v>3811</v>
      </c>
      <c r="I523" s="10">
        <v>0</v>
      </c>
      <c r="J523" s="10" t="str">
        <f t="shared" si="65"/>
        <v>Electricidad - Energía: punto de interconexión</v>
      </c>
      <c r="K523" s="11" t="s">
        <v>1960</v>
      </c>
      <c r="L523" s="11" t="s">
        <v>12</v>
      </c>
      <c r="M523" s="11" t="s">
        <v>1961</v>
      </c>
      <c r="N523" s="18" t="str">
        <f t="shared" si="66"/>
        <v xml:space="preserve">-LAYER N E-POWR-POI~ </v>
      </c>
      <c r="O523" s="11" t="str">
        <f t="shared" si="67"/>
        <v xml:space="preserve">-LAYER C white E-POWR-POI~ </v>
      </c>
      <c r="P523" s="11" t="str">
        <f t="shared" si="68"/>
        <v xml:space="preserve">-LAYER L Continuous
E-POWR-POI~  </v>
      </c>
      <c r="Q523" s="11" t="str">
        <f t="shared" si="69"/>
        <v xml:space="preserve">-LAYER LW Default
E-POWR-POI~  </v>
      </c>
      <c r="R523" s="11" t="str">
        <f t="shared" si="70"/>
        <v xml:space="preserve">-LAYER TR 0
E-POWR-POI~  </v>
      </c>
      <c r="S523" s="11" t="str">
        <f t="shared" si="71"/>
        <v xml:space="preserve">-LAYER D Electricidad - Energía: punto de interconexión
E-POWR-POI~  </v>
      </c>
    </row>
    <row r="524" spans="1:19" x14ac:dyDescent="0.45">
      <c r="A524" s="7">
        <v>0</v>
      </c>
      <c r="B524" s="11" t="s">
        <v>3449</v>
      </c>
      <c r="C524" s="11" t="s">
        <v>13</v>
      </c>
      <c r="D524" s="11" t="s">
        <v>2150</v>
      </c>
      <c r="E524" s="11" t="str">
        <f t="shared" si="64"/>
        <v>E-POWR-ROOF (Electricidad - Energía: tejado)</v>
      </c>
      <c r="F524" s="19" t="s">
        <v>3798</v>
      </c>
      <c r="G524" s="19" t="s">
        <v>3797</v>
      </c>
      <c r="H524" s="19" t="s">
        <v>3811</v>
      </c>
      <c r="I524" s="10">
        <v>0</v>
      </c>
      <c r="J524" s="10" t="str">
        <f t="shared" si="65"/>
        <v>Electricidad - Energía: tejado</v>
      </c>
      <c r="K524" s="11" t="s">
        <v>1962</v>
      </c>
      <c r="L524" s="11" t="s">
        <v>12</v>
      </c>
      <c r="M524" s="11" t="s">
        <v>1963</v>
      </c>
      <c r="N524" s="18" t="str">
        <f t="shared" si="66"/>
        <v xml:space="preserve">-LAYER N E-POWR-ROOF </v>
      </c>
      <c r="O524" s="11" t="str">
        <f t="shared" si="67"/>
        <v xml:space="preserve">-LAYER C white E-POWR-ROOF </v>
      </c>
      <c r="P524" s="11" t="str">
        <f t="shared" si="68"/>
        <v xml:space="preserve">-LAYER L Continuous
E-POWR-ROOF  </v>
      </c>
      <c r="Q524" s="11" t="str">
        <f t="shared" si="69"/>
        <v xml:space="preserve">-LAYER LW Default
E-POWR-ROOF  </v>
      </c>
      <c r="R524" s="11" t="str">
        <f t="shared" si="70"/>
        <v xml:space="preserve">-LAYER TR 0
E-POWR-ROOF  </v>
      </c>
      <c r="S524" s="11" t="str">
        <f t="shared" si="71"/>
        <v xml:space="preserve">-LAYER D Electricidad - Energía: tejado
E-POWR-ROOF  </v>
      </c>
    </row>
    <row r="525" spans="1:19" x14ac:dyDescent="0.45">
      <c r="A525" s="7">
        <v>0</v>
      </c>
      <c r="B525" s="11" t="s">
        <v>3450</v>
      </c>
      <c r="C525" s="11" t="s">
        <v>13</v>
      </c>
      <c r="D525" s="11" t="s">
        <v>2151</v>
      </c>
      <c r="E525" s="11" t="str">
        <f t="shared" si="64"/>
        <v>E-POWR-SWBD (Electricidad - Energía: cuadros eléctricos)</v>
      </c>
      <c r="F525" s="19" t="s">
        <v>3798</v>
      </c>
      <c r="G525" s="19" t="s">
        <v>3797</v>
      </c>
      <c r="H525" s="19" t="s">
        <v>3811</v>
      </c>
      <c r="I525" s="10">
        <v>0</v>
      </c>
      <c r="J525" s="10" t="str">
        <f t="shared" si="65"/>
        <v>Electricidad - Energía: cuadros eléctricos</v>
      </c>
      <c r="K525" s="11" t="s">
        <v>1964</v>
      </c>
      <c r="L525" s="11" t="s">
        <v>12</v>
      </c>
      <c r="M525" s="11" t="s">
        <v>1965</v>
      </c>
      <c r="N525" s="18" t="str">
        <f t="shared" si="66"/>
        <v xml:space="preserve">-LAYER N E-POWR-SWBD </v>
      </c>
      <c r="O525" s="11" t="str">
        <f t="shared" si="67"/>
        <v xml:space="preserve">-LAYER C white E-POWR-SWBD </v>
      </c>
      <c r="P525" s="11" t="str">
        <f t="shared" si="68"/>
        <v xml:space="preserve">-LAYER L Continuous
E-POWR-SWBD  </v>
      </c>
      <c r="Q525" s="11" t="str">
        <f t="shared" si="69"/>
        <v xml:space="preserve">-LAYER LW Default
E-POWR-SWBD  </v>
      </c>
      <c r="R525" s="11" t="str">
        <f t="shared" si="70"/>
        <v xml:space="preserve">-LAYER TR 0
E-POWR-SWBD  </v>
      </c>
      <c r="S525" s="11" t="str">
        <f t="shared" si="71"/>
        <v xml:space="preserve">-LAYER D Electricidad - Energía: cuadros eléctricos
E-POWR-SWBD  </v>
      </c>
    </row>
    <row r="526" spans="1:19" x14ac:dyDescent="0.45">
      <c r="A526" s="7">
        <v>0</v>
      </c>
      <c r="B526" s="11" t="s">
        <v>3451</v>
      </c>
      <c r="C526" s="11" t="s">
        <v>13</v>
      </c>
      <c r="D526" s="11" t="s">
        <v>2152</v>
      </c>
      <c r="E526" s="11" t="str">
        <f t="shared" si="64"/>
        <v>E-POWR-UCPT (Electricidad - Energía: cableado bajo moqueta)</v>
      </c>
      <c r="F526" s="19" t="s">
        <v>3798</v>
      </c>
      <c r="G526" s="19" t="s">
        <v>3797</v>
      </c>
      <c r="H526" s="19" t="s">
        <v>3811</v>
      </c>
      <c r="I526" s="10">
        <v>0</v>
      </c>
      <c r="J526" s="10" t="str">
        <f t="shared" si="65"/>
        <v>Electricidad - Energía: cableado bajo moqueta</v>
      </c>
      <c r="K526" s="11" t="s">
        <v>1966</v>
      </c>
      <c r="L526" s="11" t="s">
        <v>12</v>
      </c>
      <c r="M526" s="11" t="s">
        <v>1967</v>
      </c>
      <c r="N526" s="18" t="str">
        <f t="shared" si="66"/>
        <v xml:space="preserve">-LAYER N E-POWR-UCPT </v>
      </c>
      <c r="O526" s="11" t="str">
        <f t="shared" si="67"/>
        <v xml:space="preserve">-LAYER C white E-POWR-UCPT </v>
      </c>
      <c r="P526" s="11" t="str">
        <f t="shared" si="68"/>
        <v xml:space="preserve">-LAYER L Continuous
E-POWR-UCPT  </v>
      </c>
      <c r="Q526" s="11" t="str">
        <f t="shared" si="69"/>
        <v xml:space="preserve">-LAYER LW Default
E-POWR-UCPT  </v>
      </c>
      <c r="R526" s="11" t="str">
        <f t="shared" si="70"/>
        <v xml:space="preserve">-LAYER TR 0
E-POWR-UCPT  </v>
      </c>
      <c r="S526" s="11" t="str">
        <f t="shared" si="71"/>
        <v xml:space="preserve">-LAYER D Electricidad - Energía: cableado bajo moqueta
E-POWR-UCPT  </v>
      </c>
    </row>
    <row r="527" spans="1:19" x14ac:dyDescent="0.45">
      <c r="A527" s="7">
        <v>0</v>
      </c>
      <c r="B527" s="11" t="s">
        <v>3452</v>
      </c>
      <c r="C527" s="11" t="s">
        <v>13</v>
      </c>
      <c r="D527" s="11" t="s">
        <v>2153</v>
      </c>
      <c r="E527" s="11" t="str">
        <f t="shared" si="64"/>
        <v>E-POWR-URAC (Electricidad - Energía: canalizaciones bajo suelo)</v>
      </c>
      <c r="F527" s="19" t="s">
        <v>3798</v>
      </c>
      <c r="G527" s="19" t="s">
        <v>3797</v>
      </c>
      <c r="H527" s="19" t="s">
        <v>3811</v>
      </c>
      <c r="I527" s="10">
        <v>0</v>
      </c>
      <c r="J527" s="10" t="str">
        <f t="shared" si="65"/>
        <v>Electricidad - Energía: canalizaciones bajo suelo</v>
      </c>
      <c r="K527" s="11" t="s">
        <v>1968</v>
      </c>
      <c r="L527" s="11" t="s">
        <v>12</v>
      </c>
      <c r="M527" s="11" t="s">
        <v>1969</v>
      </c>
      <c r="N527" s="18" t="str">
        <f t="shared" si="66"/>
        <v xml:space="preserve">-LAYER N E-POWR-URAC </v>
      </c>
      <c r="O527" s="11" t="str">
        <f t="shared" si="67"/>
        <v xml:space="preserve">-LAYER C white E-POWR-URAC </v>
      </c>
      <c r="P527" s="11" t="str">
        <f t="shared" si="68"/>
        <v xml:space="preserve">-LAYER L Continuous
E-POWR-URAC  </v>
      </c>
      <c r="Q527" s="11" t="str">
        <f t="shared" si="69"/>
        <v xml:space="preserve">-LAYER LW Default
E-POWR-URAC  </v>
      </c>
      <c r="R527" s="11" t="str">
        <f t="shared" si="70"/>
        <v xml:space="preserve">-LAYER TR 0
E-POWR-URAC  </v>
      </c>
      <c r="S527" s="11" t="str">
        <f t="shared" si="71"/>
        <v xml:space="preserve">-LAYER D Electricidad - Energía: canalizaciones bajo suelo
E-POWR-URAC  </v>
      </c>
    </row>
    <row r="528" spans="1:19" x14ac:dyDescent="0.45">
      <c r="A528" s="7">
        <v>0</v>
      </c>
      <c r="B528" s="11" t="s">
        <v>3453</v>
      </c>
      <c r="C528" s="11" t="s">
        <v>13</v>
      </c>
      <c r="D528" s="11" t="s">
        <v>2154</v>
      </c>
      <c r="E528" s="11" t="str">
        <f t="shared" si="64"/>
        <v>E-POWR-WALL (Electricidad - Energía: pared)</v>
      </c>
      <c r="F528" s="19" t="s">
        <v>3798</v>
      </c>
      <c r="G528" s="19" t="s">
        <v>3797</v>
      </c>
      <c r="H528" s="19" t="s">
        <v>3811</v>
      </c>
      <c r="I528" s="10">
        <v>0</v>
      </c>
      <c r="J528" s="10" t="str">
        <f t="shared" si="65"/>
        <v>Electricidad - Energía: pared</v>
      </c>
      <c r="K528" s="11" t="s">
        <v>1970</v>
      </c>
      <c r="L528" s="11" t="s">
        <v>12</v>
      </c>
      <c r="M528" s="11" t="s">
        <v>1971</v>
      </c>
      <c r="N528" s="18" t="str">
        <f t="shared" si="66"/>
        <v xml:space="preserve">-LAYER N E-POWR-WALL </v>
      </c>
      <c r="O528" s="11" t="str">
        <f t="shared" si="67"/>
        <v xml:space="preserve">-LAYER C white E-POWR-WALL </v>
      </c>
      <c r="P528" s="11" t="str">
        <f t="shared" si="68"/>
        <v xml:space="preserve">-LAYER L Continuous
E-POWR-WALL  </v>
      </c>
      <c r="Q528" s="11" t="str">
        <f t="shared" si="69"/>
        <v xml:space="preserve">-LAYER LW Default
E-POWR-WALL  </v>
      </c>
      <c r="R528" s="11" t="str">
        <f t="shared" si="70"/>
        <v xml:space="preserve">-LAYER TR 0
E-POWR-WALL  </v>
      </c>
      <c r="S528" s="11" t="str">
        <f t="shared" si="71"/>
        <v xml:space="preserve">-LAYER D Electricidad - Energía: pared
E-POWR-WALL  </v>
      </c>
    </row>
    <row r="529" spans="1:19" x14ac:dyDescent="0.45">
      <c r="A529" s="7">
        <v>0</v>
      </c>
      <c r="B529" s="11" t="s">
        <v>3454</v>
      </c>
      <c r="C529" s="11" t="s">
        <v>13</v>
      </c>
      <c r="D529" s="11" t="s">
        <v>2155</v>
      </c>
      <c r="E529" s="11" t="str">
        <f t="shared" si="64"/>
        <v>E-POWR-WALL-CRIT (Electricidad - Energía: pared: crítico)</v>
      </c>
      <c r="F529" s="19" t="s">
        <v>3798</v>
      </c>
      <c r="G529" s="19" t="s">
        <v>3797</v>
      </c>
      <c r="H529" s="19" t="s">
        <v>3811</v>
      </c>
      <c r="I529" s="10">
        <v>0</v>
      </c>
      <c r="J529" s="10" t="str">
        <f t="shared" si="65"/>
        <v>Electricidad - Energía: pared: crítico</v>
      </c>
      <c r="K529" s="11" t="s">
        <v>1972</v>
      </c>
      <c r="L529" s="11" t="s">
        <v>12</v>
      </c>
      <c r="M529" s="11" t="s">
        <v>1973</v>
      </c>
      <c r="N529" s="18" t="str">
        <f t="shared" si="66"/>
        <v xml:space="preserve">-LAYER N E-POWR-WALL-CRIT </v>
      </c>
      <c r="O529" s="11" t="str">
        <f t="shared" si="67"/>
        <v xml:space="preserve">-LAYER C white E-POWR-WALL-CRIT </v>
      </c>
      <c r="P529" s="11" t="str">
        <f t="shared" si="68"/>
        <v xml:space="preserve">-LAYER L Continuous
E-POWR-WALL-CRIT  </v>
      </c>
      <c r="Q529" s="11" t="str">
        <f t="shared" si="69"/>
        <v xml:space="preserve">-LAYER LW Default
E-POWR-WALL-CRIT  </v>
      </c>
      <c r="R529" s="11" t="str">
        <f t="shared" si="70"/>
        <v xml:space="preserve">-LAYER TR 0
E-POWR-WALL-CRIT  </v>
      </c>
      <c r="S529" s="11" t="str">
        <f t="shared" si="71"/>
        <v xml:space="preserve">-LAYER D Electricidad - Energía: pared: crítico
E-POWR-WALL-CRIT  </v>
      </c>
    </row>
    <row r="530" spans="1:19" x14ac:dyDescent="0.45">
      <c r="A530" s="7">
        <v>0</v>
      </c>
      <c r="B530" s="11" t="s">
        <v>3455</v>
      </c>
      <c r="C530" s="11" t="s">
        <v>13</v>
      </c>
      <c r="D530" s="11" t="s">
        <v>2156</v>
      </c>
      <c r="E530" s="11" t="str">
        <f t="shared" si="64"/>
        <v>E-POWR-XFMR-PADM (Electricidad - Energía: transformadores montados en pedestal)</v>
      </c>
      <c r="F530" s="19" t="s">
        <v>3798</v>
      </c>
      <c r="G530" s="19" t="s">
        <v>3797</v>
      </c>
      <c r="H530" s="19" t="s">
        <v>3811</v>
      </c>
      <c r="I530" s="10">
        <v>0</v>
      </c>
      <c r="J530" s="10" t="str">
        <f t="shared" si="65"/>
        <v>Electricidad - Energía: transformadores montados en pedestal</v>
      </c>
      <c r="K530" s="11" t="s">
        <v>1974</v>
      </c>
      <c r="L530" s="11" t="s">
        <v>12</v>
      </c>
      <c r="M530" s="11" t="s">
        <v>2012</v>
      </c>
      <c r="N530" s="18" t="str">
        <f t="shared" si="66"/>
        <v xml:space="preserve">-LAYER N E-POWR-XFMR-PADM </v>
      </c>
      <c r="O530" s="11" t="str">
        <f t="shared" si="67"/>
        <v xml:space="preserve">-LAYER C white E-POWR-XFMR-PADM </v>
      </c>
      <c r="P530" s="11" t="str">
        <f t="shared" si="68"/>
        <v xml:space="preserve">-LAYER L Continuous
E-POWR-XFMR-PADM  </v>
      </c>
      <c r="Q530" s="11" t="str">
        <f t="shared" si="69"/>
        <v xml:space="preserve">-LAYER LW Default
E-POWR-XFMR-PADM  </v>
      </c>
      <c r="R530" s="11" t="str">
        <f t="shared" si="70"/>
        <v xml:space="preserve">-LAYER TR 0
E-POWR-XFMR-PADM  </v>
      </c>
      <c r="S530" s="11" t="str">
        <f t="shared" si="71"/>
        <v xml:space="preserve">-LAYER D Electricidad - Energía: transformadores montados en pedestal
E-POWR-XFMR-PADM  </v>
      </c>
    </row>
    <row r="531" spans="1:19" x14ac:dyDescent="0.45">
      <c r="A531" s="7">
        <v>0</v>
      </c>
      <c r="B531" s="11" t="s">
        <v>3456</v>
      </c>
      <c r="C531" s="11" t="s">
        <v>13</v>
      </c>
      <c r="D531" s="11" t="s">
        <v>2157</v>
      </c>
      <c r="E531" s="11" t="str">
        <f t="shared" si="64"/>
        <v>E-POWR-XFMR-POLM (Electricidad - Energía: transformadores montados en postes)</v>
      </c>
      <c r="F531" s="19" t="s">
        <v>3798</v>
      </c>
      <c r="G531" s="19" t="s">
        <v>3797</v>
      </c>
      <c r="H531" s="19" t="s">
        <v>3811</v>
      </c>
      <c r="I531" s="10">
        <v>0</v>
      </c>
      <c r="J531" s="10" t="str">
        <f t="shared" si="65"/>
        <v>Electricidad - Energía: transformadores montados en postes</v>
      </c>
      <c r="K531" s="11" t="s">
        <v>2013</v>
      </c>
      <c r="L531" s="11" t="s">
        <v>12</v>
      </c>
      <c r="M531" s="11" t="s">
        <v>2014</v>
      </c>
      <c r="N531" s="18" t="str">
        <f t="shared" si="66"/>
        <v xml:space="preserve">-LAYER N E-POWR-XFMR-POLM </v>
      </c>
      <c r="O531" s="11" t="str">
        <f t="shared" si="67"/>
        <v xml:space="preserve">-LAYER C white E-POWR-XFMR-POLM </v>
      </c>
      <c r="P531" s="11" t="str">
        <f t="shared" si="68"/>
        <v xml:space="preserve">-LAYER L Continuous
E-POWR-XFMR-POLM  </v>
      </c>
      <c r="Q531" s="11" t="str">
        <f t="shared" si="69"/>
        <v xml:space="preserve">-LAYER LW Default
E-POWR-XFMR-POLM  </v>
      </c>
      <c r="R531" s="11" t="str">
        <f t="shared" si="70"/>
        <v xml:space="preserve">-LAYER TR 0
E-POWR-XFMR-POLM  </v>
      </c>
      <c r="S531" s="11" t="str">
        <f t="shared" si="71"/>
        <v xml:space="preserve">-LAYER D Electricidad - Energía: transformadores montados en postes
E-POWR-XFMR-POLM  </v>
      </c>
    </row>
    <row r="532" spans="1:19" x14ac:dyDescent="0.45">
      <c r="A532" s="7">
        <v>0</v>
      </c>
      <c r="B532" s="11" t="s">
        <v>3457</v>
      </c>
      <c r="C532" s="11" t="s">
        <v>13</v>
      </c>
      <c r="D532" s="11" t="s">
        <v>548</v>
      </c>
      <c r="E532" s="11" t="str">
        <f t="shared" si="64"/>
        <v>E-PVMD (Electricidad - Módulos fotovoltaicos)</v>
      </c>
      <c r="F532" s="19" t="s">
        <v>3798</v>
      </c>
      <c r="G532" s="19" t="s">
        <v>3797</v>
      </c>
      <c r="H532" s="19" t="s">
        <v>3811</v>
      </c>
      <c r="I532" s="10">
        <v>0</v>
      </c>
      <c r="J532" s="10" t="str">
        <f t="shared" si="65"/>
        <v>Electricidad - Módulos fotovoltaicos</v>
      </c>
      <c r="K532" s="11" t="s">
        <v>2919</v>
      </c>
      <c r="L532" s="11" t="s">
        <v>12</v>
      </c>
      <c r="M532" s="11" t="s">
        <v>547</v>
      </c>
      <c r="N532" s="18" t="str">
        <f t="shared" si="66"/>
        <v xml:space="preserve">-LAYER N E-PVMD </v>
      </c>
      <c r="O532" s="11" t="str">
        <f t="shared" si="67"/>
        <v xml:space="preserve">-LAYER C white E-PVMD </v>
      </c>
      <c r="P532" s="11" t="str">
        <f t="shared" si="68"/>
        <v xml:space="preserve">-LAYER L Continuous
E-PVMD  </v>
      </c>
      <c r="Q532" s="11" t="str">
        <f t="shared" si="69"/>
        <v xml:space="preserve">-LAYER LW Default
E-PVMD  </v>
      </c>
      <c r="R532" s="11" t="str">
        <f t="shared" si="70"/>
        <v xml:space="preserve">-LAYER TR 0
E-PVMD  </v>
      </c>
      <c r="S532" s="11" t="str">
        <f t="shared" si="71"/>
        <v xml:space="preserve">-LAYER D Electricidad - Módulos fotovoltaicos
E-PVMD  </v>
      </c>
    </row>
    <row r="533" spans="1:19" x14ac:dyDescent="0.45">
      <c r="A533" s="7">
        <v>0</v>
      </c>
      <c r="B533" s="11" t="s">
        <v>3458</v>
      </c>
      <c r="C533" s="11" t="s">
        <v>13</v>
      </c>
      <c r="D533" s="11" t="s">
        <v>2158</v>
      </c>
      <c r="E533" s="11" t="str">
        <f t="shared" si="64"/>
        <v>E-SITE (Electricidad - Características del emplazamiento)</v>
      </c>
      <c r="F533" s="19" t="s">
        <v>3798</v>
      </c>
      <c r="G533" s="19" t="s">
        <v>3797</v>
      </c>
      <c r="H533" s="19" t="s">
        <v>3811</v>
      </c>
      <c r="I533" s="10">
        <v>0</v>
      </c>
      <c r="J533" s="10" t="str">
        <f t="shared" si="65"/>
        <v>Electricidad - Características del emplazamiento</v>
      </c>
      <c r="K533" s="11" t="s">
        <v>1975</v>
      </c>
      <c r="L533" s="11" t="s">
        <v>12</v>
      </c>
      <c r="M533" s="11" t="s">
        <v>597</v>
      </c>
      <c r="N533" s="18" t="str">
        <f t="shared" si="66"/>
        <v xml:space="preserve">-LAYER N E-SITE </v>
      </c>
      <c r="O533" s="11" t="str">
        <f t="shared" si="67"/>
        <v xml:space="preserve">-LAYER C white E-SITE </v>
      </c>
      <c r="P533" s="11" t="str">
        <f t="shared" si="68"/>
        <v xml:space="preserve">-LAYER L Continuous
E-SITE  </v>
      </c>
      <c r="Q533" s="11" t="str">
        <f t="shared" si="69"/>
        <v xml:space="preserve">-LAYER LW Default
E-SITE  </v>
      </c>
      <c r="R533" s="11" t="str">
        <f t="shared" si="70"/>
        <v xml:space="preserve">-LAYER TR 0
E-SITE  </v>
      </c>
      <c r="S533" s="11" t="str">
        <f t="shared" si="71"/>
        <v xml:space="preserve">-LAYER D Electricidad - Características del emplazamiento
E-SITE  </v>
      </c>
    </row>
    <row r="534" spans="1:19" x14ac:dyDescent="0.45">
      <c r="A534" s="7">
        <v>0</v>
      </c>
      <c r="B534" s="11" t="s">
        <v>3459</v>
      </c>
      <c r="C534" s="11" t="s">
        <v>13</v>
      </c>
      <c r="D534" s="11" t="s">
        <v>2159</v>
      </c>
      <c r="E534" s="11" t="str">
        <f t="shared" si="64"/>
        <v>E-SITE-OVHD (Electricidad - Características del emplazamiento: aéreo)</v>
      </c>
      <c r="F534" s="19" t="s">
        <v>3798</v>
      </c>
      <c r="G534" s="19" t="s">
        <v>3797</v>
      </c>
      <c r="H534" s="19" t="s">
        <v>3811</v>
      </c>
      <c r="I534" s="10">
        <v>0</v>
      </c>
      <c r="J534" s="10" t="str">
        <f t="shared" si="65"/>
        <v>Electricidad - Características del emplazamiento: aéreo</v>
      </c>
      <c r="K534" s="11" t="s">
        <v>1976</v>
      </c>
      <c r="L534" s="11" t="s">
        <v>12</v>
      </c>
      <c r="M534" s="11" t="s">
        <v>1977</v>
      </c>
      <c r="N534" s="18" t="str">
        <f t="shared" si="66"/>
        <v xml:space="preserve">-LAYER N E-SITE-OVHD </v>
      </c>
      <c r="O534" s="11" t="str">
        <f t="shared" si="67"/>
        <v xml:space="preserve">-LAYER C white E-SITE-OVHD </v>
      </c>
      <c r="P534" s="11" t="str">
        <f t="shared" si="68"/>
        <v xml:space="preserve">-LAYER L Continuous
E-SITE-OVHD  </v>
      </c>
      <c r="Q534" s="11" t="str">
        <f t="shared" si="69"/>
        <v xml:space="preserve">-LAYER LW Default
E-SITE-OVHD  </v>
      </c>
      <c r="R534" s="11" t="str">
        <f t="shared" si="70"/>
        <v xml:space="preserve">-LAYER TR 0
E-SITE-OVHD  </v>
      </c>
      <c r="S534" s="11" t="str">
        <f t="shared" si="71"/>
        <v xml:space="preserve">-LAYER D Electricidad - Características del emplazamiento: aéreo
E-SITE-OVHD  </v>
      </c>
    </row>
    <row r="535" spans="1:19" x14ac:dyDescent="0.45">
      <c r="A535" s="7">
        <v>0</v>
      </c>
      <c r="B535" s="11" t="s">
        <v>3460</v>
      </c>
      <c r="C535" s="11" t="s">
        <v>13</v>
      </c>
      <c r="D535" s="11" t="s">
        <v>2160</v>
      </c>
      <c r="E535" s="11" t="str">
        <f t="shared" si="64"/>
        <v>E-SITE-POLE (Electricidad - Características del emplazamiento: poste)</v>
      </c>
      <c r="F535" s="19" t="s">
        <v>3798</v>
      </c>
      <c r="G535" s="19" t="s">
        <v>3797</v>
      </c>
      <c r="H535" s="19" t="s">
        <v>3811</v>
      </c>
      <c r="I535" s="10">
        <v>0</v>
      </c>
      <c r="J535" s="10" t="str">
        <f t="shared" si="65"/>
        <v>Electricidad - Características del emplazamiento: poste</v>
      </c>
      <c r="K535" s="11" t="s">
        <v>1978</v>
      </c>
      <c r="L535" s="11" t="s">
        <v>12</v>
      </c>
      <c r="M535" s="11" t="s">
        <v>1979</v>
      </c>
      <c r="N535" s="18" t="str">
        <f t="shared" si="66"/>
        <v xml:space="preserve">-LAYER N E-SITE-POLE </v>
      </c>
      <c r="O535" s="11" t="str">
        <f t="shared" si="67"/>
        <v xml:space="preserve">-LAYER C white E-SITE-POLE </v>
      </c>
      <c r="P535" s="11" t="str">
        <f t="shared" si="68"/>
        <v xml:space="preserve">-LAYER L Continuous
E-SITE-POLE  </v>
      </c>
      <c r="Q535" s="11" t="str">
        <f t="shared" si="69"/>
        <v xml:space="preserve">-LAYER LW Default
E-SITE-POLE  </v>
      </c>
      <c r="R535" s="11" t="str">
        <f t="shared" si="70"/>
        <v xml:space="preserve">-LAYER TR 0
E-SITE-POLE  </v>
      </c>
      <c r="S535" s="11" t="str">
        <f t="shared" si="71"/>
        <v xml:space="preserve">-LAYER D Electricidad - Características del emplazamiento: poste
E-SITE-POLE  </v>
      </c>
    </row>
    <row r="536" spans="1:19" x14ac:dyDescent="0.45">
      <c r="A536" s="7">
        <v>0</v>
      </c>
      <c r="B536" s="11" t="s">
        <v>3461</v>
      </c>
      <c r="C536" s="11" t="s">
        <v>13</v>
      </c>
      <c r="D536" s="11" t="s">
        <v>2161</v>
      </c>
      <c r="E536" s="11" t="str">
        <f t="shared" si="64"/>
        <v>E-SITE-UGND (Electricidad - Características del emplazamiento: subterráneo)</v>
      </c>
      <c r="F536" s="19" t="s">
        <v>3798</v>
      </c>
      <c r="G536" s="19" t="s">
        <v>3797</v>
      </c>
      <c r="H536" s="19" t="s">
        <v>3811</v>
      </c>
      <c r="I536" s="10">
        <v>0</v>
      </c>
      <c r="J536" s="10" t="str">
        <f t="shared" si="65"/>
        <v>Electricidad - Características del emplazamiento: subterráneo</v>
      </c>
      <c r="K536" s="11" t="s">
        <v>1980</v>
      </c>
      <c r="L536" s="11" t="s">
        <v>12</v>
      </c>
      <c r="M536" s="11" t="s">
        <v>1981</v>
      </c>
      <c r="N536" s="18" t="str">
        <f t="shared" si="66"/>
        <v xml:space="preserve">-LAYER N E-SITE-UGND </v>
      </c>
      <c r="O536" s="11" t="str">
        <f t="shared" si="67"/>
        <v xml:space="preserve">-LAYER C white E-SITE-UGND </v>
      </c>
      <c r="P536" s="11" t="str">
        <f t="shared" si="68"/>
        <v xml:space="preserve">-LAYER L Continuous
E-SITE-UGND  </v>
      </c>
      <c r="Q536" s="11" t="str">
        <f t="shared" si="69"/>
        <v xml:space="preserve">-LAYER LW Default
E-SITE-UGND  </v>
      </c>
      <c r="R536" s="11" t="str">
        <f t="shared" si="70"/>
        <v xml:space="preserve">-LAYER TR 0
E-SITE-UGND  </v>
      </c>
      <c r="S536" s="11" t="str">
        <f t="shared" si="71"/>
        <v xml:space="preserve">-LAYER D Electricidad - Características del emplazamiento: subterráneo
E-SITE-UGND  </v>
      </c>
    </row>
    <row r="537" spans="1:19" x14ac:dyDescent="0.45">
      <c r="A537" s="7">
        <v>0</v>
      </c>
      <c r="B537" s="11" t="s">
        <v>3462</v>
      </c>
      <c r="C537" s="11" t="s">
        <v>13</v>
      </c>
      <c r="D537" s="11" t="s">
        <v>613</v>
      </c>
      <c r="E537" s="11" t="str">
        <f t="shared" si="64"/>
        <v>E-SOUN (Electricidad - Sistema de sonido)</v>
      </c>
      <c r="F537" s="19" t="s">
        <v>3798</v>
      </c>
      <c r="G537" s="19" t="s">
        <v>3797</v>
      </c>
      <c r="H537" s="19" t="s">
        <v>3811</v>
      </c>
      <c r="I537" s="10">
        <v>0</v>
      </c>
      <c r="J537" s="10" t="str">
        <f t="shared" si="65"/>
        <v>Electricidad - Sistema de sonido</v>
      </c>
      <c r="K537" s="11" t="s">
        <v>1982</v>
      </c>
      <c r="L537" s="11" t="s">
        <v>12</v>
      </c>
      <c r="M537" s="11" t="s">
        <v>612</v>
      </c>
      <c r="N537" s="18" t="str">
        <f t="shared" si="66"/>
        <v xml:space="preserve">-LAYER N E-SOUN </v>
      </c>
      <c r="O537" s="11" t="str">
        <f t="shared" si="67"/>
        <v xml:space="preserve">-LAYER C white E-SOUN </v>
      </c>
      <c r="P537" s="11" t="str">
        <f t="shared" si="68"/>
        <v xml:space="preserve">-LAYER L Continuous
E-SOUN  </v>
      </c>
      <c r="Q537" s="11" t="str">
        <f t="shared" si="69"/>
        <v xml:space="preserve">-LAYER LW Default
E-SOUN  </v>
      </c>
      <c r="R537" s="11" t="str">
        <f t="shared" si="70"/>
        <v xml:space="preserve">-LAYER TR 0
E-SOUN  </v>
      </c>
      <c r="S537" s="11" t="str">
        <f t="shared" si="71"/>
        <v xml:space="preserve">-LAYER D Electricidad - Sistema de sonido
E-SOUN  </v>
      </c>
    </row>
    <row r="538" spans="1:19" x14ac:dyDescent="0.45">
      <c r="A538" s="7">
        <v>0</v>
      </c>
      <c r="B538" s="11" t="s">
        <v>3463</v>
      </c>
      <c r="C538" s="11" t="s">
        <v>45</v>
      </c>
      <c r="D538" s="11" t="s">
        <v>153</v>
      </c>
      <c r="E538" s="11" t="str">
        <f t="shared" si="64"/>
        <v>S-ALGN (Estructura - Alineación)</v>
      </c>
      <c r="F538" s="19" t="s">
        <v>3798</v>
      </c>
      <c r="G538" s="19" t="s">
        <v>3797</v>
      </c>
      <c r="H538" s="19" t="s">
        <v>3811</v>
      </c>
      <c r="I538" s="10">
        <v>0</v>
      </c>
      <c r="J538" s="10" t="str">
        <f t="shared" si="65"/>
        <v>Estructura - Alineación</v>
      </c>
      <c r="K538" s="11" t="s">
        <v>2226</v>
      </c>
      <c r="L538" s="11" t="s">
        <v>44</v>
      </c>
      <c r="M538" s="11" t="s">
        <v>152</v>
      </c>
      <c r="N538" s="18" t="str">
        <f t="shared" si="66"/>
        <v xml:space="preserve">-LAYER N S-ALGN </v>
      </c>
      <c r="O538" s="11" t="str">
        <f t="shared" si="67"/>
        <v xml:space="preserve">-LAYER C white S-ALGN </v>
      </c>
      <c r="P538" s="11" t="str">
        <f t="shared" si="68"/>
        <v xml:space="preserve">-LAYER L Continuous
S-ALGN  </v>
      </c>
      <c r="Q538" s="11" t="str">
        <f t="shared" si="69"/>
        <v xml:space="preserve">-LAYER LW Default
S-ALGN  </v>
      </c>
      <c r="R538" s="11" t="str">
        <f t="shared" si="70"/>
        <v xml:space="preserve">-LAYER TR 0
S-ALGN  </v>
      </c>
      <c r="S538" s="11" t="str">
        <f t="shared" si="71"/>
        <v xml:space="preserve">-LAYER D Estructura - Alineación
S-ALGN  </v>
      </c>
    </row>
    <row r="539" spans="1:19" x14ac:dyDescent="0.45">
      <c r="A539" s="7">
        <v>1</v>
      </c>
      <c r="B539" s="11" t="s">
        <v>3464</v>
      </c>
      <c r="C539" s="11" t="s">
        <v>45</v>
      </c>
      <c r="D539" s="11" t="s">
        <v>174</v>
      </c>
      <c r="E539" s="11" t="str">
        <f t="shared" si="64"/>
        <v>S-BEAM (Estructura - Vigas)</v>
      </c>
      <c r="F539" s="10" t="s">
        <v>3801</v>
      </c>
      <c r="G539" s="10" t="s">
        <v>3797</v>
      </c>
      <c r="H539" s="10">
        <v>0.5</v>
      </c>
      <c r="I539" s="10">
        <v>0</v>
      </c>
      <c r="J539" s="10" t="str">
        <f t="shared" si="65"/>
        <v>Estructura - Vigas</v>
      </c>
      <c r="K539" s="11" t="s">
        <v>2227</v>
      </c>
      <c r="L539" s="11" t="s">
        <v>44</v>
      </c>
      <c r="M539" s="11" t="s">
        <v>173</v>
      </c>
      <c r="N539" s="18" t="str">
        <f t="shared" si="66"/>
        <v xml:space="preserve">-LAYER N S-BEAM </v>
      </c>
      <c r="O539" s="11" t="str">
        <f t="shared" si="67"/>
        <v xml:space="preserve">-LAYER C red S-BEAM </v>
      </c>
      <c r="P539" s="11" t="str">
        <f t="shared" si="68"/>
        <v xml:space="preserve">-LAYER L Continuous
S-BEAM  </v>
      </c>
      <c r="Q539" s="11" t="str">
        <f t="shared" si="69"/>
        <v xml:space="preserve">-LAYER LW 0.5
S-BEAM  </v>
      </c>
      <c r="R539" s="11" t="str">
        <f t="shared" si="70"/>
        <v xml:space="preserve">-LAYER TR 0
S-BEAM  </v>
      </c>
      <c r="S539" s="11" t="str">
        <f t="shared" si="71"/>
        <v xml:space="preserve">-LAYER D Estructura - Vigas
S-BEAM  </v>
      </c>
    </row>
    <row r="540" spans="1:19" x14ac:dyDescent="0.45">
      <c r="A540" s="7">
        <v>0</v>
      </c>
      <c r="B540" s="11" t="s">
        <v>3465</v>
      </c>
      <c r="C540" s="11" t="s">
        <v>45</v>
      </c>
      <c r="D540" s="11" t="s">
        <v>2388</v>
      </c>
      <c r="E540" s="11" t="str">
        <f t="shared" si="64"/>
        <v>S-BEAM-ALUM (Estructura - Vigas: aluminio)</v>
      </c>
      <c r="F540" s="19" t="s">
        <v>3798</v>
      </c>
      <c r="G540" s="19" t="s">
        <v>3797</v>
      </c>
      <c r="H540" s="19" t="s">
        <v>3811</v>
      </c>
      <c r="I540" s="10">
        <v>0</v>
      </c>
      <c r="J540" s="10" t="str">
        <f t="shared" si="65"/>
        <v>Estructura - Vigas: aluminio</v>
      </c>
      <c r="K540" s="11" t="s">
        <v>2228</v>
      </c>
      <c r="L540" s="11" t="s">
        <v>44</v>
      </c>
      <c r="M540" s="11" t="s">
        <v>2229</v>
      </c>
      <c r="N540" s="18" t="str">
        <f t="shared" si="66"/>
        <v xml:space="preserve">-LAYER N S-BEAM-ALUM </v>
      </c>
      <c r="O540" s="11" t="str">
        <f t="shared" si="67"/>
        <v xml:space="preserve">-LAYER C white S-BEAM-ALUM </v>
      </c>
      <c r="P540" s="11" t="str">
        <f t="shared" si="68"/>
        <v xml:space="preserve">-LAYER L Continuous
S-BEAM-ALUM  </v>
      </c>
      <c r="Q540" s="11" t="str">
        <f t="shared" si="69"/>
        <v xml:space="preserve">-LAYER LW Default
S-BEAM-ALUM  </v>
      </c>
      <c r="R540" s="11" t="str">
        <f t="shared" si="70"/>
        <v xml:space="preserve">-LAYER TR 0
S-BEAM-ALUM  </v>
      </c>
      <c r="S540" s="11" t="str">
        <f t="shared" si="71"/>
        <v xml:space="preserve">-LAYER D Estructura - Vigas: aluminio
S-BEAM-ALUM  </v>
      </c>
    </row>
    <row r="541" spans="1:19" x14ac:dyDescent="0.45">
      <c r="A541" s="7">
        <v>0</v>
      </c>
      <c r="B541" s="11" t="s">
        <v>3466</v>
      </c>
      <c r="C541" s="11" t="s">
        <v>45</v>
      </c>
      <c r="D541" s="11" t="s">
        <v>2389</v>
      </c>
      <c r="E541" s="11" t="str">
        <f t="shared" si="64"/>
        <v>S-BEAM-CONC (Estructura - Vigas: hormigón)</v>
      </c>
      <c r="F541" s="19" t="s">
        <v>3798</v>
      </c>
      <c r="G541" s="19" t="s">
        <v>3797</v>
      </c>
      <c r="H541" s="19" t="s">
        <v>3811</v>
      </c>
      <c r="I541" s="10">
        <v>0</v>
      </c>
      <c r="J541" s="10" t="str">
        <f t="shared" si="65"/>
        <v>Estructura - Vigas: hormigón</v>
      </c>
      <c r="K541" s="11" t="s">
        <v>2230</v>
      </c>
      <c r="L541" s="11" t="s">
        <v>44</v>
      </c>
      <c r="M541" s="11" t="s">
        <v>2231</v>
      </c>
      <c r="N541" s="18" t="str">
        <f t="shared" si="66"/>
        <v xml:space="preserve">-LAYER N S-BEAM-CONC </v>
      </c>
      <c r="O541" s="11" t="str">
        <f t="shared" si="67"/>
        <v xml:space="preserve">-LAYER C white S-BEAM-CONC </v>
      </c>
      <c r="P541" s="11" t="str">
        <f t="shared" si="68"/>
        <v xml:space="preserve">-LAYER L Continuous
S-BEAM-CONC  </v>
      </c>
      <c r="Q541" s="11" t="str">
        <f t="shared" si="69"/>
        <v xml:space="preserve">-LAYER LW Default
S-BEAM-CONC  </v>
      </c>
      <c r="R541" s="11" t="str">
        <f t="shared" si="70"/>
        <v xml:space="preserve">-LAYER TR 0
S-BEAM-CONC  </v>
      </c>
      <c r="S541" s="11" t="str">
        <f t="shared" si="71"/>
        <v xml:space="preserve">-LAYER D Estructura - Vigas: hormigón
S-BEAM-CONC  </v>
      </c>
    </row>
    <row r="542" spans="1:19" x14ac:dyDescent="0.45">
      <c r="A542" s="7">
        <v>0</v>
      </c>
      <c r="B542" s="11" t="s">
        <v>3467</v>
      </c>
      <c r="C542" s="11" t="s">
        <v>45</v>
      </c>
      <c r="D542" s="11" t="s">
        <v>2390</v>
      </c>
      <c r="E542" s="11" t="str">
        <f t="shared" si="64"/>
        <v>S-BEAM-STEL (Estructura - Vigas: acero)</v>
      </c>
      <c r="F542" s="19" t="s">
        <v>3798</v>
      </c>
      <c r="G542" s="19" t="s">
        <v>3797</v>
      </c>
      <c r="H542" s="19" t="s">
        <v>3811</v>
      </c>
      <c r="I542" s="10">
        <v>0</v>
      </c>
      <c r="J542" s="10" t="str">
        <f t="shared" si="65"/>
        <v>Estructura - Vigas: acero</v>
      </c>
      <c r="K542" s="11" t="s">
        <v>2232</v>
      </c>
      <c r="L542" s="11" t="s">
        <v>44</v>
      </c>
      <c r="M542" s="11" t="s">
        <v>2233</v>
      </c>
      <c r="N542" s="18" t="str">
        <f t="shared" si="66"/>
        <v xml:space="preserve">-LAYER N S-BEAM-STEL </v>
      </c>
      <c r="O542" s="11" t="str">
        <f t="shared" si="67"/>
        <v xml:space="preserve">-LAYER C white S-BEAM-STEL </v>
      </c>
      <c r="P542" s="11" t="str">
        <f t="shared" si="68"/>
        <v xml:space="preserve">-LAYER L Continuous
S-BEAM-STEL  </v>
      </c>
      <c r="Q542" s="11" t="str">
        <f t="shared" si="69"/>
        <v xml:space="preserve">-LAYER LW Default
S-BEAM-STEL  </v>
      </c>
      <c r="R542" s="11" t="str">
        <f t="shared" si="70"/>
        <v xml:space="preserve">-LAYER TR 0
S-BEAM-STEL  </v>
      </c>
      <c r="S542" s="11" t="str">
        <f t="shared" si="71"/>
        <v xml:space="preserve">-LAYER D Estructura - Vigas: acero
S-BEAM-STEL  </v>
      </c>
    </row>
    <row r="543" spans="1:19" x14ac:dyDescent="0.45">
      <c r="A543" s="7">
        <v>0</v>
      </c>
      <c r="B543" s="11" t="s">
        <v>3468</v>
      </c>
      <c r="C543" s="11" t="s">
        <v>45</v>
      </c>
      <c r="D543" s="11" t="s">
        <v>2391</v>
      </c>
      <c r="E543" s="11" t="str">
        <f t="shared" si="64"/>
        <v>S-BEAM-WOOD (Estructura - Vigas: madera)</v>
      </c>
      <c r="F543" s="19" t="s">
        <v>3798</v>
      </c>
      <c r="G543" s="19" t="s">
        <v>3797</v>
      </c>
      <c r="H543" s="19" t="s">
        <v>3811</v>
      </c>
      <c r="I543" s="10">
        <v>0</v>
      </c>
      <c r="J543" s="10" t="str">
        <f t="shared" si="65"/>
        <v>Estructura - Vigas: madera</v>
      </c>
      <c r="K543" s="11" t="s">
        <v>2234</v>
      </c>
      <c r="L543" s="11" t="s">
        <v>44</v>
      </c>
      <c r="M543" s="11" t="s">
        <v>2235</v>
      </c>
      <c r="N543" s="18" t="str">
        <f t="shared" si="66"/>
        <v xml:space="preserve">-LAYER N S-BEAM-WOOD </v>
      </c>
      <c r="O543" s="11" t="str">
        <f t="shared" si="67"/>
        <v xml:space="preserve">-LAYER C white S-BEAM-WOOD </v>
      </c>
      <c r="P543" s="11" t="str">
        <f t="shared" si="68"/>
        <v xml:space="preserve">-LAYER L Continuous
S-BEAM-WOOD  </v>
      </c>
      <c r="Q543" s="11" t="str">
        <f t="shared" si="69"/>
        <v xml:space="preserve">-LAYER LW Default
S-BEAM-WOOD  </v>
      </c>
      <c r="R543" s="11" t="str">
        <f t="shared" si="70"/>
        <v xml:space="preserve">-LAYER TR 0
S-BEAM-WOOD  </v>
      </c>
      <c r="S543" s="11" t="str">
        <f t="shared" si="71"/>
        <v xml:space="preserve">-LAYER D Estructura - Vigas: madera
S-BEAM-WOOD  </v>
      </c>
    </row>
    <row r="544" spans="1:19" x14ac:dyDescent="0.45">
      <c r="A544" s="7">
        <v>1</v>
      </c>
      <c r="B544" s="11" t="s">
        <v>3469</v>
      </c>
      <c r="C544" s="11" t="s">
        <v>45</v>
      </c>
      <c r="D544" s="11" t="s">
        <v>192</v>
      </c>
      <c r="E544" s="11" t="str">
        <f t="shared" si="64"/>
        <v>S-BRCG (Estructura - Arriostramiento)</v>
      </c>
      <c r="F544" s="19" t="s">
        <v>3798</v>
      </c>
      <c r="G544" s="19" t="s">
        <v>3797</v>
      </c>
      <c r="H544" s="19" t="s">
        <v>3811</v>
      </c>
      <c r="I544" s="10">
        <v>0</v>
      </c>
      <c r="J544" s="10" t="str">
        <f t="shared" si="65"/>
        <v>Estructura - Arriostramiento</v>
      </c>
      <c r="K544" s="11" t="s">
        <v>2236</v>
      </c>
      <c r="L544" s="11" t="s">
        <v>44</v>
      </c>
      <c r="M544" s="11" t="s">
        <v>191</v>
      </c>
      <c r="N544" s="18" t="str">
        <f t="shared" si="66"/>
        <v xml:space="preserve">-LAYER N S-BRCG </v>
      </c>
      <c r="O544" s="11" t="str">
        <f t="shared" si="67"/>
        <v xml:space="preserve">-LAYER C white S-BRCG </v>
      </c>
      <c r="P544" s="11" t="str">
        <f t="shared" si="68"/>
        <v xml:space="preserve">-LAYER L Continuous
S-BRCG  </v>
      </c>
      <c r="Q544" s="11" t="str">
        <f t="shared" si="69"/>
        <v xml:space="preserve">-LAYER LW Default
S-BRCG  </v>
      </c>
      <c r="R544" s="11" t="str">
        <f t="shared" si="70"/>
        <v xml:space="preserve">-LAYER TR 0
S-BRCG  </v>
      </c>
      <c r="S544" s="11" t="str">
        <f t="shared" si="71"/>
        <v xml:space="preserve">-LAYER D Estructura - Arriostramiento
S-BRCG  </v>
      </c>
    </row>
    <row r="545" spans="1:19" x14ac:dyDescent="0.45">
      <c r="A545" s="7">
        <v>0</v>
      </c>
      <c r="B545" s="11" t="s">
        <v>3470</v>
      </c>
      <c r="C545" s="11" t="s">
        <v>45</v>
      </c>
      <c r="D545" s="11" t="s">
        <v>2392</v>
      </c>
      <c r="E545" s="11" t="str">
        <f t="shared" si="64"/>
        <v>S-BRCG-ALUM (Estructura - Arriostramiento: aluminio)</v>
      </c>
      <c r="F545" s="19" t="s">
        <v>3798</v>
      </c>
      <c r="G545" s="19" t="s">
        <v>3797</v>
      </c>
      <c r="H545" s="19" t="s">
        <v>3811</v>
      </c>
      <c r="I545" s="10">
        <v>0</v>
      </c>
      <c r="J545" s="10" t="str">
        <f t="shared" si="65"/>
        <v>Estructura - Arriostramiento: aluminio</v>
      </c>
      <c r="K545" s="11" t="s">
        <v>2237</v>
      </c>
      <c r="L545" s="11" t="s">
        <v>44</v>
      </c>
      <c r="M545" s="11" t="s">
        <v>2238</v>
      </c>
      <c r="N545" s="18" t="str">
        <f t="shared" si="66"/>
        <v xml:space="preserve">-LAYER N S-BRCG-ALUM </v>
      </c>
      <c r="O545" s="11" t="str">
        <f t="shared" si="67"/>
        <v xml:space="preserve">-LAYER C white S-BRCG-ALUM </v>
      </c>
      <c r="P545" s="11" t="str">
        <f t="shared" si="68"/>
        <v xml:space="preserve">-LAYER L Continuous
S-BRCG-ALUM  </v>
      </c>
      <c r="Q545" s="11" t="str">
        <f t="shared" si="69"/>
        <v xml:space="preserve">-LAYER LW Default
S-BRCG-ALUM  </v>
      </c>
      <c r="R545" s="11" t="str">
        <f t="shared" si="70"/>
        <v xml:space="preserve">-LAYER TR 0
S-BRCG-ALUM  </v>
      </c>
      <c r="S545" s="11" t="str">
        <f t="shared" si="71"/>
        <v xml:space="preserve">-LAYER D Estructura - Arriostramiento: aluminio
S-BRCG-ALUM  </v>
      </c>
    </row>
    <row r="546" spans="1:19" x14ac:dyDescent="0.45">
      <c r="A546" s="7">
        <v>0</v>
      </c>
      <c r="B546" s="20" t="s">
        <v>3471</v>
      </c>
      <c r="C546" s="11" t="s">
        <v>45</v>
      </c>
      <c r="D546" s="11" t="s">
        <v>2393</v>
      </c>
      <c r="E546" s="11" t="str">
        <f t="shared" si="64"/>
        <v>S-BRCG-ALUM-HORZ (Estructura - Arriostramiento: aluminio: horizontal)</v>
      </c>
      <c r="F546" s="19" t="s">
        <v>3798</v>
      </c>
      <c r="G546" s="19" t="s">
        <v>3797</v>
      </c>
      <c r="H546" s="19" t="s">
        <v>3811</v>
      </c>
      <c r="I546" s="10">
        <v>0</v>
      </c>
      <c r="J546" s="10" t="str">
        <f t="shared" si="65"/>
        <v>Estructura - Arriostramiento: aluminio: horizontal</v>
      </c>
      <c r="K546" s="20" t="s">
        <v>2239</v>
      </c>
      <c r="L546" s="11" t="s">
        <v>44</v>
      </c>
      <c r="M546" s="11" t="s">
        <v>2369</v>
      </c>
      <c r="N546" s="18" t="str">
        <f t="shared" si="66"/>
        <v xml:space="preserve">-LAYER N S-BRCG-ALUM-HORZ </v>
      </c>
      <c r="O546" s="11" t="str">
        <f t="shared" si="67"/>
        <v xml:space="preserve">-LAYER C white S-BRCG-ALUM-HORZ </v>
      </c>
      <c r="P546" s="11" t="str">
        <f t="shared" si="68"/>
        <v xml:space="preserve">-LAYER L Continuous
S-BRCG-ALUM-HORZ  </v>
      </c>
      <c r="Q546" s="11" t="str">
        <f t="shared" si="69"/>
        <v xml:space="preserve">-LAYER LW Default
S-BRCG-ALUM-HORZ  </v>
      </c>
      <c r="R546" s="11" t="str">
        <f t="shared" si="70"/>
        <v xml:space="preserve">-LAYER TR 0
S-BRCG-ALUM-HORZ  </v>
      </c>
      <c r="S546" s="11" t="str">
        <f t="shared" si="71"/>
        <v xml:space="preserve">-LAYER D Estructura - Arriostramiento: aluminio: horizontal
S-BRCG-ALUM-HORZ  </v>
      </c>
    </row>
    <row r="547" spans="1:19" x14ac:dyDescent="0.45">
      <c r="A547" s="7">
        <v>0</v>
      </c>
      <c r="B547" s="11" t="s">
        <v>3472</v>
      </c>
      <c r="C547" s="11" t="s">
        <v>45</v>
      </c>
      <c r="D547" s="11" t="s">
        <v>2394</v>
      </c>
      <c r="E547" s="11" t="str">
        <f t="shared" si="64"/>
        <v>S-BRCG-ALUM-VERT (Estructura - Arriostramiento: aluminio: vertical)</v>
      </c>
      <c r="F547" s="19" t="s">
        <v>3798</v>
      </c>
      <c r="G547" s="19" t="s">
        <v>3797</v>
      </c>
      <c r="H547" s="19" t="s">
        <v>3811</v>
      </c>
      <c r="I547" s="10">
        <v>0</v>
      </c>
      <c r="J547" s="10" t="str">
        <f t="shared" si="65"/>
        <v>Estructura - Arriostramiento: aluminio: vertical</v>
      </c>
      <c r="K547" s="11" t="s">
        <v>2370</v>
      </c>
      <c r="L547" s="11" t="s">
        <v>44</v>
      </c>
      <c r="M547" s="11" t="s">
        <v>2372</v>
      </c>
      <c r="N547" s="18" t="str">
        <f t="shared" si="66"/>
        <v xml:space="preserve">-LAYER N S-BRCG-ALUM-VERT </v>
      </c>
      <c r="O547" s="11" t="str">
        <f t="shared" si="67"/>
        <v xml:space="preserve">-LAYER C white S-BRCG-ALUM-VERT </v>
      </c>
      <c r="P547" s="11" t="str">
        <f t="shared" si="68"/>
        <v xml:space="preserve">-LAYER L Continuous
S-BRCG-ALUM-VERT  </v>
      </c>
      <c r="Q547" s="11" t="str">
        <f t="shared" si="69"/>
        <v xml:space="preserve">-LAYER LW Default
S-BRCG-ALUM-VERT  </v>
      </c>
      <c r="R547" s="11" t="str">
        <f t="shared" si="70"/>
        <v xml:space="preserve">-LAYER TR 0
S-BRCG-ALUM-VERT  </v>
      </c>
      <c r="S547" s="11" t="str">
        <f t="shared" si="71"/>
        <v xml:space="preserve">-LAYER D Estructura - Arriostramiento: aluminio: vertical
S-BRCG-ALUM-VERT  </v>
      </c>
    </row>
    <row r="548" spans="1:19" x14ac:dyDescent="0.45">
      <c r="A548" s="7">
        <v>0</v>
      </c>
      <c r="B548" s="11" t="s">
        <v>3473</v>
      </c>
      <c r="C548" s="11" t="s">
        <v>45</v>
      </c>
      <c r="D548" s="11" t="s">
        <v>2395</v>
      </c>
      <c r="E548" s="11" t="str">
        <f t="shared" si="64"/>
        <v xml:space="preserve"> S-BRCG-METL (Estructura - Arriostramiento: metal)</v>
      </c>
      <c r="F548" s="19" t="s">
        <v>3798</v>
      </c>
      <c r="G548" s="19" t="s">
        <v>3797</v>
      </c>
      <c r="H548" s="19" t="s">
        <v>3811</v>
      </c>
      <c r="I548" s="10">
        <v>0</v>
      </c>
      <c r="J548" s="10" t="str">
        <f t="shared" si="65"/>
        <v>Estructura - Arriostramiento: metal</v>
      </c>
      <c r="K548" s="11" t="s">
        <v>2371</v>
      </c>
      <c r="L548" s="11" t="s">
        <v>44</v>
      </c>
      <c r="M548" s="11" t="s">
        <v>2240</v>
      </c>
      <c r="N548" s="18" t="str">
        <f t="shared" si="66"/>
        <v xml:space="preserve">-LAYER N  S-BRCG-METL </v>
      </c>
      <c r="O548" s="11" t="str">
        <f t="shared" si="67"/>
        <v xml:space="preserve">-LAYER C white  S-BRCG-METL </v>
      </c>
      <c r="P548" s="11" t="str">
        <f t="shared" si="68"/>
        <v xml:space="preserve">-LAYER L Continuous
 S-BRCG-METL  </v>
      </c>
      <c r="Q548" s="11" t="str">
        <f t="shared" si="69"/>
        <v xml:space="preserve">-LAYER LW Default
 S-BRCG-METL  </v>
      </c>
      <c r="R548" s="11" t="str">
        <f t="shared" si="70"/>
        <v xml:space="preserve">-LAYER TR 0
 S-BRCG-METL  </v>
      </c>
      <c r="S548" s="11" t="str">
        <f t="shared" si="71"/>
        <v xml:space="preserve">-LAYER D Estructura - Arriostramiento: metal
 S-BRCG-METL  </v>
      </c>
    </row>
    <row r="549" spans="1:19" x14ac:dyDescent="0.45">
      <c r="A549" s="7">
        <v>0</v>
      </c>
      <c r="B549" s="11" t="s">
        <v>3474</v>
      </c>
      <c r="C549" s="11" t="s">
        <v>45</v>
      </c>
      <c r="D549" s="11" t="s">
        <v>2396</v>
      </c>
      <c r="E549" s="11" t="str">
        <f t="shared" si="64"/>
        <v>S-BRCG-STEL (Estructura - Arriostramiento: acero)</v>
      </c>
      <c r="F549" s="19" t="s">
        <v>3798</v>
      </c>
      <c r="G549" s="19" t="s">
        <v>3797</v>
      </c>
      <c r="H549" s="19" t="s">
        <v>3811</v>
      </c>
      <c r="I549" s="10">
        <v>0</v>
      </c>
      <c r="J549" s="10" t="str">
        <f t="shared" si="65"/>
        <v>Estructura - Arriostramiento: acero</v>
      </c>
      <c r="K549" s="11" t="s">
        <v>2241</v>
      </c>
      <c r="L549" s="11" t="s">
        <v>44</v>
      </c>
      <c r="M549" s="11" t="s">
        <v>2242</v>
      </c>
      <c r="N549" s="18" t="str">
        <f t="shared" si="66"/>
        <v xml:space="preserve">-LAYER N S-BRCG-STEL </v>
      </c>
      <c r="O549" s="11" t="str">
        <f t="shared" si="67"/>
        <v xml:space="preserve">-LAYER C white S-BRCG-STEL </v>
      </c>
      <c r="P549" s="11" t="str">
        <f t="shared" si="68"/>
        <v xml:space="preserve">-LAYER L Continuous
S-BRCG-STEL  </v>
      </c>
      <c r="Q549" s="11" t="str">
        <f t="shared" si="69"/>
        <v xml:space="preserve">-LAYER LW Default
S-BRCG-STEL  </v>
      </c>
      <c r="R549" s="11" t="str">
        <f t="shared" si="70"/>
        <v xml:space="preserve">-LAYER TR 0
S-BRCG-STEL  </v>
      </c>
      <c r="S549" s="11" t="str">
        <f t="shared" si="71"/>
        <v xml:space="preserve">-LAYER D Estructura - Arriostramiento: acero
S-BRCG-STEL  </v>
      </c>
    </row>
    <row r="550" spans="1:19" x14ac:dyDescent="0.45">
      <c r="A550" s="7">
        <v>0</v>
      </c>
      <c r="B550" s="11" t="s">
        <v>3475</v>
      </c>
      <c r="C550" s="11" t="s">
        <v>45</v>
      </c>
      <c r="D550" s="11" t="s">
        <v>2397</v>
      </c>
      <c r="E550" s="11" t="str">
        <f t="shared" si="64"/>
        <v>S-BRCG-STEL-HORZ (Estructura - Arriostramiento: acero: horizontal)</v>
      </c>
      <c r="F550" s="19" t="s">
        <v>3798</v>
      </c>
      <c r="G550" s="19" t="s">
        <v>3797</v>
      </c>
      <c r="H550" s="19" t="s">
        <v>3811</v>
      </c>
      <c r="I550" s="10">
        <v>0</v>
      </c>
      <c r="J550" s="10" t="str">
        <f t="shared" si="65"/>
        <v>Estructura - Arriostramiento: acero: horizontal</v>
      </c>
      <c r="K550" s="11" t="s">
        <v>2243</v>
      </c>
      <c r="L550" s="11" t="s">
        <v>44</v>
      </c>
      <c r="M550" s="11" t="s">
        <v>2373</v>
      </c>
      <c r="N550" s="18" t="str">
        <f t="shared" si="66"/>
        <v xml:space="preserve">-LAYER N S-BRCG-STEL-HORZ </v>
      </c>
      <c r="O550" s="11" t="str">
        <f t="shared" si="67"/>
        <v xml:space="preserve">-LAYER C white S-BRCG-STEL-HORZ </v>
      </c>
      <c r="P550" s="11" t="str">
        <f t="shared" si="68"/>
        <v xml:space="preserve">-LAYER L Continuous
S-BRCG-STEL-HORZ  </v>
      </c>
      <c r="Q550" s="11" t="str">
        <f t="shared" si="69"/>
        <v xml:space="preserve">-LAYER LW Default
S-BRCG-STEL-HORZ  </v>
      </c>
      <c r="R550" s="11" t="str">
        <f t="shared" si="70"/>
        <v xml:space="preserve">-LAYER TR 0
S-BRCG-STEL-HORZ  </v>
      </c>
      <c r="S550" s="11" t="str">
        <f t="shared" si="71"/>
        <v xml:space="preserve">-LAYER D Estructura - Arriostramiento: acero: horizontal
S-BRCG-STEL-HORZ  </v>
      </c>
    </row>
    <row r="551" spans="1:19" x14ac:dyDescent="0.45">
      <c r="A551" s="7">
        <v>0</v>
      </c>
      <c r="B551" s="11" t="s">
        <v>3476</v>
      </c>
      <c r="C551" s="11" t="s">
        <v>45</v>
      </c>
      <c r="D551" s="11" t="s">
        <v>2398</v>
      </c>
      <c r="E551" s="11" t="str">
        <f t="shared" si="64"/>
        <v>S-BRCG-STEL-VERT (Estructura - Arriostramiento: acero: vertical)</v>
      </c>
      <c r="F551" s="19" t="s">
        <v>3798</v>
      </c>
      <c r="G551" s="19" t="s">
        <v>3797</v>
      </c>
      <c r="H551" s="19" t="s">
        <v>3811</v>
      </c>
      <c r="I551" s="10">
        <v>0</v>
      </c>
      <c r="J551" s="10" t="str">
        <f t="shared" si="65"/>
        <v>Estructura - Arriostramiento: acero: vertical</v>
      </c>
      <c r="K551" s="11" t="s">
        <v>2926</v>
      </c>
      <c r="L551" s="11" t="s">
        <v>44</v>
      </c>
      <c r="M551" s="11" t="s">
        <v>2374</v>
      </c>
      <c r="N551" s="18" t="str">
        <f t="shared" si="66"/>
        <v xml:space="preserve">-LAYER N S-BRCG-STEL-VERT </v>
      </c>
      <c r="O551" s="11" t="str">
        <f t="shared" si="67"/>
        <v xml:space="preserve">-LAYER C white S-BRCG-STEL-VERT </v>
      </c>
      <c r="P551" s="11" t="str">
        <f t="shared" si="68"/>
        <v xml:space="preserve">-LAYER L Continuous
S-BRCG-STEL-VERT  </v>
      </c>
      <c r="Q551" s="11" t="str">
        <f t="shared" si="69"/>
        <v xml:space="preserve">-LAYER LW Default
S-BRCG-STEL-VERT  </v>
      </c>
      <c r="R551" s="11" t="str">
        <f t="shared" si="70"/>
        <v xml:space="preserve">-LAYER TR 0
S-BRCG-STEL-VERT  </v>
      </c>
      <c r="S551" s="11" t="str">
        <f t="shared" si="71"/>
        <v xml:space="preserve">-LAYER D Estructura - Arriostramiento: acero: vertical
S-BRCG-STEL-VERT  </v>
      </c>
    </row>
    <row r="552" spans="1:19" x14ac:dyDescent="0.45">
      <c r="A552" s="7">
        <v>0</v>
      </c>
      <c r="B552" s="11" t="s">
        <v>3477</v>
      </c>
      <c r="C552" s="11" t="s">
        <v>45</v>
      </c>
      <c r="D552" s="11" t="s">
        <v>2399</v>
      </c>
      <c r="E552" s="11" t="str">
        <f t="shared" si="64"/>
        <v>S-BRCG-WOOD (Estructura - Arriostramiento: madera)</v>
      </c>
      <c r="F552" s="19" t="s">
        <v>3798</v>
      </c>
      <c r="G552" s="19" t="s">
        <v>3797</v>
      </c>
      <c r="H552" s="19" t="s">
        <v>3811</v>
      </c>
      <c r="I552" s="10">
        <v>0</v>
      </c>
      <c r="J552" s="10" t="str">
        <f t="shared" si="65"/>
        <v>Estructura - Arriostramiento: madera</v>
      </c>
      <c r="K552" s="11" t="s">
        <v>2927</v>
      </c>
      <c r="L552" s="11" t="s">
        <v>44</v>
      </c>
      <c r="M552" s="11" t="s">
        <v>2244</v>
      </c>
      <c r="N552" s="18" t="str">
        <f t="shared" si="66"/>
        <v xml:space="preserve">-LAYER N S-BRCG-WOOD </v>
      </c>
      <c r="O552" s="11" t="str">
        <f t="shared" si="67"/>
        <v xml:space="preserve">-LAYER C white S-BRCG-WOOD </v>
      </c>
      <c r="P552" s="11" t="str">
        <f t="shared" si="68"/>
        <v xml:space="preserve">-LAYER L Continuous
S-BRCG-WOOD  </v>
      </c>
      <c r="Q552" s="11" t="str">
        <f t="shared" si="69"/>
        <v xml:space="preserve">-LAYER LW Default
S-BRCG-WOOD  </v>
      </c>
      <c r="R552" s="11" t="str">
        <f t="shared" si="70"/>
        <v xml:space="preserve">-LAYER TR 0
S-BRCG-WOOD  </v>
      </c>
      <c r="S552" s="11" t="str">
        <f t="shared" si="71"/>
        <v xml:space="preserve">-LAYER D Estructura - Arriostramiento: madera
S-BRCG-WOOD  </v>
      </c>
    </row>
    <row r="553" spans="1:19" x14ac:dyDescent="0.45">
      <c r="A553" s="7">
        <v>0</v>
      </c>
      <c r="B553" s="11" t="s">
        <v>3478</v>
      </c>
      <c r="C553" s="11" t="s">
        <v>45</v>
      </c>
      <c r="D553" s="11" t="s">
        <v>2400</v>
      </c>
      <c r="E553" s="11" t="str">
        <f t="shared" si="64"/>
        <v>S-BRCG-WOOD-HORZ (Estructura - Arriostramiento: madera: horizontal)</v>
      </c>
      <c r="F553" s="19" t="s">
        <v>3798</v>
      </c>
      <c r="G553" s="19" t="s">
        <v>3797</v>
      </c>
      <c r="H553" s="19" t="s">
        <v>3811</v>
      </c>
      <c r="I553" s="10">
        <v>0</v>
      </c>
      <c r="J553" s="10" t="str">
        <f t="shared" si="65"/>
        <v>Estructura - Arriostramiento: madera: horizontal</v>
      </c>
      <c r="K553" s="11" t="s">
        <v>2245</v>
      </c>
      <c r="L553" s="11" t="s">
        <v>44</v>
      </c>
      <c r="M553" s="11" t="s">
        <v>2375</v>
      </c>
      <c r="N553" s="18" t="str">
        <f t="shared" si="66"/>
        <v xml:space="preserve">-LAYER N S-BRCG-WOOD-HORZ </v>
      </c>
      <c r="O553" s="11" t="str">
        <f t="shared" si="67"/>
        <v xml:space="preserve">-LAYER C white S-BRCG-WOOD-HORZ </v>
      </c>
      <c r="P553" s="11" t="str">
        <f t="shared" si="68"/>
        <v xml:space="preserve">-LAYER L Continuous
S-BRCG-WOOD-HORZ  </v>
      </c>
      <c r="Q553" s="11" t="str">
        <f t="shared" si="69"/>
        <v xml:space="preserve">-LAYER LW Default
S-BRCG-WOOD-HORZ  </v>
      </c>
      <c r="R553" s="11" t="str">
        <f t="shared" si="70"/>
        <v xml:space="preserve">-LAYER TR 0
S-BRCG-WOOD-HORZ  </v>
      </c>
      <c r="S553" s="11" t="str">
        <f t="shared" si="71"/>
        <v xml:space="preserve">-LAYER D Estructura - Arriostramiento: madera: horizontal
S-BRCG-WOOD-HORZ  </v>
      </c>
    </row>
    <row r="554" spans="1:19" x14ac:dyDescent="0.45">
      <c r="A554" s="7">
        <v>0</v>
      </c>
      <c r="B554" s="11" t="s">
        <v>3479</v>
      </c>
      <c r="C554" s="11" t="s">
        <v>45</v>
      </c>
      <c r="D554" s="11" t="s">
        <v>2401</v>
      </c>
      <c r="E554" s="11" t="str">
        <f t="shared" si="64"/>
        <v>S-BRCG-WOOD-VERT (Estructura - Arriostramiento: madera: vertical)</v>
      </c>
      <c r="F554" s="19" t="s">
        <v>3798</v>
      </c>
      <c r="G554" s="19" t="s">
        <v>3797</v>
      </c>
      <c r="H554" s="19" t="s">
        <v>3811</v>
      </c>
      <c r="I554" s="10">
        <v>0</v>
      </c>
      <c r="J554" s="10" t="str">
        <f t="shared" si="65"/>
        <v>Estructura - Arriostramiento: madera: vertical</v>
      </c>
      <c r="K554" s="11" t="s">
        <v>2376</v>
      </c>
      <c r="L554" s="11" t="s">
        <v>44</v>
      </c>
      <c r="M554" s="11" t="s">
        <v>2377</v>
      </c>
      <c r="N554" s="18" t="str">
        <f t="shared" si="66"/>
        <v xml:space="preserve">-LAYER N S-BRCG-WOOD-VERT </v>
      </c>
      <c r="O554" s="11" t="str">
        <f t="shared" si="67"/>
        <v xml:space="preserve">-LAYER C white S-BRCG-WOOD-VERT </v>
      </c>
      <c r="P554" s="11" t="str">
        <f t="shared" si="68"/>
        <v xml:space="preserve">-LAYER L Continuous
S-BRCG-WOOD-VERT  </v>
      </c>
      <c r="Q554" s="11" t="str">
        <f t="shared" si="69"/>
        <v xml:space="preserve">-LAYER LW Default
S-BRCG-WOOD-VERT  </v>
      </c>
      <c r="R554" s="11" t="str">
        <f t="shared" si="70"/>
        <v xml:space="preserve">-LAYER TR 0
S-BRCG-WOOD-VERT  </v>
      </c>
      <c r="S554" s="11" t="str">
        <f t="shared" si="71"/>
        <v xml:space="preserve">-LAYER D Estructura - Arriostramiento: madera: vertical
S-BRCG-WOOD-VERT  </v>
      </c>
    </row>
    <row r="555" spans="1:19" x14ac:dyDescent="0.45">
      <c r="A555" s="7">
        <v>1</v>
      </c>
      <c r="B555" s="11" t="s">
        <v>3480</v>
      </c>
      <c r="C555" s="11" t="s">
        <v>45</v>
      </c>
      <c r="D555" s="11" t="s">
        <v>255</v>
      </c>
      <c r="E555" s="11" t="str">
        <f t="shared" si="64"/>
        <v>S-COLS (Estructura - Columnas)</v>
      </c>
      <c r="F555" s="10" t="s">
        <v>3801</v>
      </c>
      <c r="G555" s="10" t="s">
        <v>3797</v>
      </c>
      <c r="H555" s="10">
        <v>0.5</v>
      </c>
      <c r="I555" s="10">
        <v>0</v>
      </c>
      <c r="J555" s="10" t="str">
        <f t="shared" si="65"/>
        <v>Estructura - Columnas</v>
      </c>
      <c r="K555" s="11" t="s">
        <v>2928</v>
      </c>
      <c r="L555" s="11" t="s">
        <v>44</v>
      </c>
      <c r="M555" s="11" t="s">
        <v>254</v>
      </c>
      <c r="N555" s="18" t="str">
        <f t="shared" si="66"/>
        <v xml:space="preserve">-LAYER N S-COLS </v>
      </c>
      <c r="O555" s="11" t="str">
        <f t="shared" si="67"/>
        <v xml:space="preserve">-LAYER C red S-COLS </v>
      </c>
      <c r="P555" s="11" t="str">
        <f t="shared" si="68"/>
        <v xml:space="preserve">-LAYER L Continuous
S-COLS  </v>
      </c>
      <c r="Q555" s="11" t="str">
        <f t="shared" si="69"/>
        <v xml:space="preserve">-LAYER LW 0.5
S-COLS  </v>
      </c>
      <c r="R555" s="11" t="str">
        <f t="shared" si="70"/>
        <v xml:space="preserve">-LAYER TR 0
S-COLS  </v>
      </c>
      <c r="S555" s="11" t="str">
        <f t="shared" si="71"/>
        <v xml:space="preserve">-LAYER D Estructura - Columnas
S-COLS  </v>
      </c>
    </row>
    <row r="556" spans="1:19" x14ac:dyDescent="0.45">
      <c r="A556" s="7">
        <v>0</v>
      </c>
      <c r="B556" s="11" t="s">
        <v>3481</v>
      </c>
      <c r="C556" s="11" t="s">
        <v>45</v>
      </c>
      <c r="D556" s="11" t="s">
        <v>2402</v>
      </c>
      <c r="E556" s="11" t="str">
        <f t="shared" si="64"/>
        <v>S-COLS-ABLT (Estructura - Columnas: pernos de anclaje)</v>
      </c>
      <c r="F556" s="19" t="s">
        <v>3798</v>
      </c>
      <c r="G556" s="19" t="s">
        <v>3797</v>
      </c>
      <c r="H556" s="19" t="s">
        <v>3811</v>
      </c>
      <c r="I556" s="10">
        <v>0</v>
      </c>
      <c r="J556" s="10" t="str">
        <f t="shared" si="65"/>
        <v>Estructura - Columnas: pernos de anclaje</v>
      </c>
      <c r="K556" s="11" t="s">
        <v>2246</v>
      </c>
      <c r="L556" s="11" t="s">
        <v>44</v>
      </c>
      <c r="M556" s="11" t="s">
        <v>2247</v>
      </c>
      <c r="N556" s="18" t="str">
        <f t="shared" si="66"/>
        <v xml:space="preserve">-LAYER N S-COLS-ABLT </v>
      </c>
      <c r="O556" s="11" t="str">
        <f t="shared" si="67"/>
        <v xml:space="preserve">-LAYER C white S-COLS-ABLT </v>
      </c>
      <c r="P556" s="11" t="str">
        <f t="shared" si="68"/>
        <v xml:space="preserve">-LAYER L Continuous
S-COLS-ABLT  </v>
      </c>
      <c r="Q556" s="11" t="str">
        <f t="shared" si="69"/>
        <v xml:space="preserve">-LAYER LW Default
S-COLS-ABLT  </v>
      </c>
      <c r="R556" s="11" t="str">
        <f t="shared" si="70"/>
        <v xml:space="preserve">-LAYER TR 0
S-COLS-ABLT  </v>
      </c>
      <c r="S556" s="11" t="str">
        <f t="shared" si="71"/>
        <v xml:space="preserve">-LAYER D Estructura - Columnas: pernos de anclaje
S-COLS-ABLT  </v>
      </c>
    </row>
    <row r="557" spans="1:19" x14ac:dyDescent="0.45">
      <c r="A557" s="7">
        <v>0</v>
      </c>
      <c r="B557" s="11" t="s">
        <v>3482</v>
      </c>
      <c r="C557" s="11" t="s">
        <v>45</v>
      </c>
      <c r="D557" s="11" t="s">
        <v>2403</v>
      </c>
      <c r="E557" s="11" t="str">
        <f t="shared" si="64"/>
        <v>S-COLS-ALUM (Estructura - Columnas: aluminio)</v>
      </c>
      <c r="F557" s="19" t="s">
        <v>3798</v>
      </c>
      <c r="G557" s="19" t="s">
        <v>3797</v>
      </c>
      <c r="H557" s="19" t="s">
        <v>3811</v>
      </c>
      <c r="I557" s="10">
        <v>0</v>
      </c>
      <c r="J557" s="10" t="str">
        <f t="shared" si="65"/>
        <v>Estructura - Columnas: aluminio</v>
      </c>
      <c r="K557" s="11" t="s">
        <v>2248</v>
      </c>
      <c r="L557" s="11" t="s">
        <v>44</v>
      </c>
      <c r="M557" s="11" t="s">
        <v>2249</v>
      </c>
      <c r="N557" s="18" t="str">
        <f t="shared" si="66"/>
        <v xml:space="preserve">-LAYER N S-COLS-ALUM </v>
      </c>
      <c r="O557" s="11" t="str">
        <f t="shared" si="67"/>
        <v xml:space="preserve">-LAYER C white S-COLS-ALUM </v>
      </c>
      <c r="P557" s="11" t="str">
        <f t="shared" si="68"/>
        <v xml:space="preserve">-LAYER L Continuous
S-COLS-ALUM  </v>
      </c>
      <c r="Q557" s="11" t="str">
        <f t="shared" si="69"/>
        <v xml:space="preserve">-LAYER LW Default
S-COLS-ALUM  </v>
      </c>
      <c r="R557" s="11" t="str">
        <f t="shared" si="70"/>
        <v xml:space="preserve">-LAYER TR 0
S-COLS-ALUM  </v>
      </c>
      <c r="S557" s="11" t="str">
        <f t="shared" si="71"/>
        <v xml:space="preserve">-LAYER D Estructura - Columnas: aluminio
S-COLS-ALUM  </v>
      </c>
    </row>
    <row r="558" spans="1:19" x14ac:dyDescent="0.45">
      <c r="A558" s="7">
        <v>0</v>
      </c>
      <c r="B558" s="11" t="s">
        <v>3483</v>
      </c>
      <c r="C558" s="11" t="s">
        <v>45</v>
      </c>
      <c r="D558" s="11" t="s">
        <v>2404</v>
      </c>
      <c r="E558" s="11" t="str">
        <f t="shared" si="64"/>
        <v>S-COLS-CONC (Estructura - Columnas: hormigón)</v>
      </c>
      <c r="F558" s="19" t="s">
        <v>3798</v>
      </c>
      <c r="G558" s="19" t="s">
        <v>3797</v>
      </c>
      <c r="H558" s="19" t="s">
        <v>3811</v>
      </c>
      <c r="I558" s="10">
        <v>0</v>
      </c>
      <c r="J558" s="10" t="str">
        <f t="shared" si="65"/>
        <v>Estructura - Columnas: hormigón</v>
      </c>
      <c r="K558" s="11" t="s">
        <v>2250</v>
      </c>
      <c r="L558" s="11" t="s">
        <v>44</v>
      </c>
      <c r="M558" s="11" t="s">
        <v>2251</v>
      </c>
      <c r="N558" s="18" t="str">
        <f t="shared" si="66"/>
        <v xml:space="preserve">-LAYER N S-COLS-CONC </v>
      </c>
      <c r="O558" s="11" t="str">
        <f t="shared" si="67"/>
        <v xml:space="preserve">-LAYER C white S-COLS-CONC </v>
      </c>
      <c r="P558" s="11" t="str">
        <f t="shared" si="68"/>
        <v xml:space="preserve">-LAYER L Continuous
S-COLS-CONC  </v>
      </c>
      <c r="Q558" s="11" t="str">
        <f t="shared" si="69"/>
        <v xml:space="preserve">-LAYER LW Default
S-COLS-CONC  </v>
      </c>
      <c r="R558" s="11" t="str">
        <f t="shared" si="70"/>
        <v xml:space="preserve">-LAYER TR 0
S-COLS-CONC  </v>
      </c>
      <c r="S558" s="11" t="str">
        <f t="shared" si="71"/>
        <v xml:space="preserve">-LAYER D Estructura - Columnas: hormigón
S-COLS-CONC  </v>
      </c>
    </row>
    <row r="559" spans="1:19" x14ac:dyDescent="0.45">
      <c r="A559" s="7">
        <v>0</v>
      </c>
      <c r="B559" s="11" t="s">
        <v>3484</v>
      </c>
      <c r="C559" s="11" t="s">
        <v>45</v>
      </c>
      <c r="D559" s="11" t="s">
        <v>2405</v>
      </c>
      <c r="E559" s="11" t="str">
        <f t="shared" si="64"/>
        <v>S-COLS-STEL (Estructura - Columnas: acero)</v>
      </c>
      <c r="F559" s="19" t="s">
        <v>3798</v>
      </c>
      <c r="G559" s="19" t="s">
        <v>3797</v>
      </c>
      <c r="H559" s="19" t="s">
        <v>3811</v>
      </c>
      <c r="I559" s="10">
        <v>0</v>
      </c>
      <c r="J559" s="10" t="str">
        <f t="shared" si="65"/>
        <v>Estructura - Columnas: acero</v>
      </c>
      <c r="K559" s="11" t="s">
        <v>2252</v>
      </c>
      <c r="L559" s="11" t="s">
        <v>44</v>
      </c>
      <c r="M559" s="11" t="s">
        <v>2253</v>
      </c>
      <c r="N559" s="18" t="str">
        <f t="shared" si="66"/>
        <v xml:space="preserve">-LAYER N S-COLS-STEL </v>
      </c>
      <c r="O559" s="11" t="str">
        <f t="shared" si="67"/>
        <v xml:space="preserve">-LAYER C white S-COLS-STEL </v>
      </c>
      <c r="P559" s="11" t="str">
        <f t="shared" si="68"/>
        <v xml:space="preserve">-LAYER L Continuous
S-COLS-STEL  </v>
      </c>
      <c r="Q559" s="11" t="str">
        <f t="shared" si="69"/>
        <v xml:space="preserve">-LAYER LW Default
S-COLS-STEL  </v>
      </c>
      <c r="R559" s="11" t="str">
        <f t="shared" si="70"/>
        <v xml:space="preserve">-LAYER TR 0
S-COLS-STEL  </v>
      </c>
      <c r="S559" s="11" t="str">
        <f t="shared" si="71"/>
        <v xml:space="preserve">-LAYER D Estructura - Columnas: acero
S-COLS-STEL  </v>
      </c>
    </row>
    <row r="560" spans="1:19" x14ac:dyDescent="0.45">
      <c r="A560" s="7">
        <v>0</v>
      </c>
      <c r="B560" s="11" t="s">
        <v>3485</v>
      </c>
      <c r="C560" s="11" t="s">
        <v>45</v>
      </c>
      <c r="D560" s="11" t="s">
        <v>2406</v>
      </c>
      <c r="E560" s="11" t="str">
        <f t="shared" si="64"/>
        <v>S-COLS-WOOD (Estructura - Columnas: madera)</v>
      </c>
      <c r="F560" s="19" t="s">
        <v>3798</v>
      </c>
      <c r="G560" s="19" t="s">
        <v>3797</v>
      </c>
      <c r="H560" s="19" t="s">
        <v>3811</v>
      </c>
      <c r="I560" s="10">
        <v>0</v>
      </c>
      <c r="J560" s="10" t="str">
        <f t="shared" si="65"/>
        <v>Estructura - Columnas: madera</v>
      </c>
      <c r="K560" s="11" t="s">
        <v>2254</v>
      </c>
      <c r="L560" s="11" t="s">
        <v>44</v>
      </c>
      <c r="M560" s="11" t="s">
        <v>2255</v>
      </c>
      <c r="N560" s="18" t="str">
        <f t="shared" si="66"/>
        <v xml:space="preserve">-LAYER N S-COLS-WOOD </v>
      </c>
      <c r="O560" s="11" t="str">
        <f t="shared" si="67"/>
        <v xml:space="preserve">-LAYER C white S-COLS-WOOD </v>
      </c>
      <c r="P560" s="11" t="str">
        <f t="shared" si="68"/>
        <v xml:space="preserve">-LAYER L Continuous
S-COLS-WOOD  </v>
      </c>
      <c r="Q560" s="11" t="str">
        <f t="shared" si="69"/>
        <v xml:space="preserve">-LAYER LW Default
S-COLS-WOOD  </v>
      </c>
      <c r="R560" s="11" t="str">
        <f t="shared" si="70"/>
        <v xml:space="preserve">-LAYER TR 0
S-COLS-WOOD  </v>
      </c>
      <c r="S560" s="11" t="str">
        <f t="shared" si="71"/>
        <v xml:space="preserve">-LAYER D Estructura - Columnas: madera
S-COLS-WOOD  </v>
      </c>
    </row>
    <row r="561" spans="1:19" x14ac:dyDescent="0.45">
      <c r="A561" s="7">
        <v>1</v>
      </c>
      <c r="B561" s="11" t="s">
        <v>3486</v>
      </c>
      <c r="C561" s="11" t="s">
        <v>45</v>
      </c>
      <c r="D561" s="11" t="s">
        <v>282</v>
      </c>
      <c r="E561" s="11" t="str">
        <f t="shared" si="64"/>
        <v>S-DECK (Estructura - Cubierta)</v>
      </c>
      <c r="F561" s="19" t="s">
        <v>3798</v>
      </c>
      <c r="G561" s="19" t="s">
        <v>3797</v>
      </c>
      <c r="H561" s="19" t="s">
        <v>3811</v>
      </c>
      <c r="I561" s="10">
        <v>0</v>
      </c>
      <c r="J561" s="10" t="str">
        <f t="shared" si="65"/>
        <v>Estructura - Cubierta</v>
      </c>
      <c r="K561" s="11" t="s">
        <v>2256</v>
      </c>
      <c r="L561" s="11" t="s">
        <v>44</v>
      </c>
      <c r="M561" s="11" t="s">
        <v>281</v>
      </c>
      <c r="N561" s="18" t="str">
        <f t="shared" si="66"/>
        <v xml:space="preserve">-LAYER N S-DECK </v>
      </c>
      <c r="O561" s="11" t="str">
        <f t="shared" si="67"/>
        <v xml:space="preserve">-LAYER C white S-DECK </v>
      </c>
      <c r="P561" s="11" t="str">
        <f t="shared" si="68"/>
        <v xml:space="preserve">-LAYER L Continuous
S-DECK  </v>
      </c>
      <c r="Q561" s="11" t="str">
        <f t="shared" si="69"/>
        <v xml:space="preserve">-LAYER LW Default
S-DECK  </v>
      </c>
      <c r="R561" s="11" t="str">
        <f t="shared" si="70"/>
        <v xml:space="preserve">-LAYER TR 0
S-DECK  </v>
      </c>
      <c r="S561" s="11" t="str">
        <f t="shared" si="71"/>
        <v xml:space="preserve">-LAYER D Estructura - Cubierta
S-DECK  </v>
      </c>
    </row>
    <row r="562" spans="1:19" x14ac:dyDescent="0.45">
      <c r="A562" s="7">
        <v>0</v>
      </c>
      <c r="B562" s="11" t="s">
        <v>3487</v>
      </c>
      <c r="C562" s="11" t="s">
        <v>45</v>
      </c>
      <c r="D562" s="11" t="s">
        <v>2407</v>
      </c>
      <c r="E562" s="11" t="str">
        <f t="shared" si="64"/>
        <v>S-DECK-FLOR (Estructura - Cubierta: suelo)</v>
      </c>
      <c r="F562" s="19" t="s">
        <v>3798</v>
      </c>
      <c r="G562" s="19" t="s">
        <v>3797</v>
      </c>
      <c r="H562" s="19" t="s">
        <v>3811</v>
      </c>
      <c r="I562" s="10">
        <v>0</v>
      </c>
      <c r="J562" s="10" t="str">
        <f t="shared" si="65"/>
        <v>Estructura - Cubierta: suelo</v>
      </c>
      <c r="K562" s="11" t="s">
        <v>2257</v>
      </c>
      <c r="L562" s="11" t="s">
        <v>44</v>
      </c>
      <c r="M562" s="11" t="s">
        <v>2258</v>
      </c>
      <c r="N562" s="18" t="str">
        <f t="shared" si="66"/>
        <v xml:space="preserve">-LAYER N S-DECK-FLOR </v>
      </c>
      <c r="O562" s="11" t="str">
        <f t="shared" si="67"/>
        <v xml:space="preserve">-LAYER C white S-DECK-FLOR </v>
      </c>
      <c r="P562" s="11" t="str">
        <f t="shared" si="68"/>
        <v xml:space="preserve">-LAYER L Continuous
S-DECK-FLOR  </v>
      </c>
      <c r="Q562" s="11" t="str">
        <f t="shared" si="69"/>
        <v xml:space="preserve">-LAYER LW Default
S-DECK-FLOR  </v>
      </c>
      <c r="R562" s="11" t="str">
        <f t="shared" si="70"/>
        <v xml:space="preserve">-LAYER TR 0
S-DECK-FLOR  </v>
      </c>
      <c r="S562" s="11" t="str">
        <f t="shared" si="71"/>
        <v xml:space="preserve">-LAYER D Estructura - Cubierta: suelo
S-DECK-FLOR  </v>
      </c>
    </row>
    <row r="563" spans="1:19" x14ac:dyDescent="0.45">
      <c r="A563" s="7">
        <v>0</v>
      </c>
      <c r="B563" s="11" t="s">
        <v>3488</v>
      </c>
      <c r="C563" s="11" t="s">
        <v>45</v>
      </c>
      <c r="D563" s="11" t="s">
        <v>2408</v>
      </c>
      <c r="E563" s="11" t="str">
        <f t="shared" si="64"/>
        <v>S-DECK-FLOR-OPNG (Estructura - Cubierta: suelo: aberturas)</v>
      </c>
      <c r="F563" s="19" t="s">
        <v>3798</v>
      </c>
      <c r="G563" s="19" t="s">
        <v>3797</v>
      </c>
      <c r="H563" s="19" t="s">
        <v>3811</v>
      </c>
      <c r="I563" s="10">
        <v>0</v>
      </c>
      <c r="J563" s="10" t="str">
        <f t="shared" si="65"/>
        <v>Estructura - Cubierta: suelo: aberturas</v>
      </c>
      <c r="K563" s="11" t="s">
        <v>2259</v>
      </c>
      <c r="L563" s="11" t="s">
        <v>44</v>
      </c>
      <c r="M563" s="11" t="s">
        <v>2378</v>
      </c>
      <c r="N563" s="18" t="str">
        <f t="shared" si="66"/>
        <v xml:space="preserve">-LAYER N S-DECK-FLOR-OPNG </v>
      </c>
      <c r="O563" s="11" t="str">
        <f t="shared" si="67"/>
        <v xml:space="preserve">-LAYER C white S-DECK-FLOR-OPNG </v>
      </c>
      <c r="P563" s="11" t="str">
        <f t="shared" si="68"/>
        <v xml:space="preserve">-LAYER L Continuous
S-DECK-FLOR-OPNG  </v>
      </c>
      <c r="Q563" s="11" t="str">
        <f t="shared" si="69"/>
        <v xml:space="preserve">-LAYER LW Default
S-DECK-FLOR-OPNG  </v>
      </c>
      <c r="R563" s="11" t="str">
        <f t="shared" si="70"/>
        <v xml:space="preserve">-LAYER TR 0
S-DECK-FLOR-OPNG  </v>
      </c>
      <c r="S563" s="11" t="str">
        <f t="shared" si="71"/>
        <v xml:space="preserve">-LAYER D Estructura - Cubierta: suelo: aberturas
S-DECK-FLOR-OPNG  </v>
      </c>
    </row>
    <row r="564" spans="1:19" x14ac:dyDescent="0.45">
      <c r="A564" s="7">
        <v>0</v>
      </c>
      <c r="B564" s="11" t="s">
        <v>3489</v>
      </c>
      <c r="C564" s="11" t="s">
        <v>45</v>
      </c>
      <c r="D564" s="11" t="s">
        <v>2409</v>
      </c>
      <c r="E564" s="11" t="str">
        <f t="shared" si="64"/>
        <v>S-DECK-ROOF (Estructura - Cubierta: techo)</v>
      </c>
      <c r="F564" s="19" t="s">
        <v>3798</v>
      </c>
      <c r="G564" s="19" t="s">
        <v>3797</v>
      </c>
      <c r="H564" s="19" t="s">
        <v>3811</v>
      </c>
      <c r="I564" s="10">
        <v>0</v>
      </c>
      <c r="J564" s="10" t="str">
        <f t="shared" si="65"/>
        <v>Estructura - Cubierta: techo</v>
      </c>
      <c r="K564" s="11" t="s">
        <v>2379</v>
      </c>
      <c r="L564" s="11" t="s">
        <v>44</v>
      </c>
      <c r="M564" s="11" t="s">
        <v>2260</v>
      </c>
      <c r="N564" s="18" t="str">
        <f t="shared" si="66"/>
        <v xml:space="preserve">-LAYER N S-DECK-ROOF </v>
      </c>
      <c r="O564" s="11" t="str">
        <f t="shared" si="67"/>
        <v xml:space="preserve">-LAYER C white S-DECK-ROOF </v>
      </c>
      <c r="P564" s="11" t="str">
        <f t="shared" si="68"/>
        <v xml:space="preserve">-LAYER L Continuous
S-DECK-ROOF  </v>
      </c>
      <c r="Q564" s="11" t="str">
        <f t="shared" si="69"/>
        <v xml:space="preserve">-LAYER LW Default
S-DECK-ROOF  </v>
      </c>
      <c r="R564" s="11" t="str">
        <f t="shared" si="70"/>
        <v xml:space="preserve">-LAYER TR 0
S-DECK-ROOF  </v>
      </c>
      <c r="S564" s="11" t="str">
        <f t="shared" si="71"/>
        <v xml:space="preserve">-LAYER D Estructura - Cubierta: techo
S-DECK-ROOF  </v>
      </c>
    </row>
    <row r="565" spans="1:19" x14ac:dyDescent="0.45">
      <c r="A565" s="7">
        <v>0</v>
      </c>
      <c r="B565" s="11" t="s">
        <v>3490</v>
      </c>
      <c r="C565" s="11" t="s">
        <v>45</v>
      </c>
      <c r="D565" s="11" t="s">
        <v>2410</v>
      </c>
      <c r="E565" s="11" t="str">
        <f t="shared" si="64"/>
        <v>S-DECK-ROOF-OPNG (Estructura - Cubierta: techo: aberturas)</v>
      </c>
      <c r="F565" s="19" t="s">
        <v>3798</v>
      </c>
      <c r="G565" s="19" t="s">
        <v>3797</v>
      </c>
      <c r="H565" s="19" t="s">
        <v>3811</v>
      </c>
      <c r="I565" s="10">
        <v>0</v>
      </c>
      <c r="J565" s="10" t="str">
        <f t="shared" si="65"/>
        <v>Estructura - Cubierta: techo: aberturas</v>
      </c>
      <c r="K565" s="11" t="s">
        <v>2261</v>
      </c>
      <c r="L565" s="11" t="s">
        <v>44</v>
      </c>
      <c r="M565" s="11" t="s">
        <v>2380</v>
      </c>
      <c r="N565" s="18" t="str">
        <f t="shared" si="66"/>
        <v xml:space="preserve">-LAYER N S-DECK-ROOF-OPNG </v>
      </c>
      <c r="O565" s="11" t="str">
        <f t="shared" si="67"/>
        <v xml:space="preserve">-LAYER C white S-DECK-ROOF-OPNG </v>
      </c>
      <c r="P565" s="11" t="str">
        <f t="shared" si="68"/>
        <v xml:space="preserve">-LAYER L Continuous
S-DECK-ROOF-OPNG  </v>
      </c>
      <c r="Q565" s="11" t="str">
        <f t="shared" si="69"/>
        <v xml:space="preserve">-LAYER LW Default
S-DECK-ROOF-OPNG  </v>
      </c>
      <c r="R565" s="11" t="str">
        <f t="shared" si="70"/>
        <v xml:space="preserve">-LAYER TR 0
S-DECK-ROOF-OPNG  </v>
      </c>
      <c r="S565" s="11" t="str">
        <f t="shared" si="71"/>
        <v xml:space="preserve">-LAYER D Estructura - Cubierta: techo: aberturas
S-DECK-ROOF-OPNG  </v>
      </c>
    </row>
    <row r="566" spans="1:19" x14ac:dyDescent="0.45">
      <c r="A566" s="7">
        <v>1</v>
      </c>
      <c r="B566" s="11" t="s">
        <v>3491</v>
      </c>
      <c r="C566" s="11" t="s">
        <v>45</v>
      </c>
      <c r="D566" s="11" t="s">
        <v>285</v>
      </c>
      <c r="E566" s="11" t="str">
        <f t="shared" si="64"/>
        <v>S-DETL (Estructura - Detalle)</v>
      </c>
      <c r="F566" s="19" t="s">
        <v>3798</v>
      </c>
      <c r="G566" s="19" t="s">
        <v>3797</v>
      </c>
      <c r="H566" s="19" t="s">
        <v>3811</v>
      </c>
      <c r="I566" s="10">
        <v>0</v>
      </c>
      <c r="J566" s="10" t="str">
        <f t="shared" si="65"/>
        <v>Estructura - Detalle</v>
      </c>
      <c r="K566" s="11" t="s">
        <v>2381</v>
      </c>
      <c r="L566" s="11" t="s">
        <v>44</v>
      </c>
      <c r="M566" s="11" t="s">
        <v>284</v>
      </c>
      <c r="N566" s="18" t="str">
        <f t="shared" si="66"/>
        <v xml:space="preserve">-LAYER N S-DETL </v>
      </c>
      <c r="O566" s="11" t="str">
        <f t="shared" si="67"/>
        <v xml:space="preserve">-LAYER C white S-DETL </v>
      </c>
      <c r="P566" s="11" t="str">
        <f t="shared" si="68"/>
        <v xml:space="preserve">-LAYER L Continuous
S-DETL  </v>
      </c>
      <c r="Q566" s="11" t="str">
        <f t="shared" si="69"/>
        <v xml:space="preserve">-LAYER LW Default
S-DETL  </v>
      </c>
      <c r="R566" s="11" t="str">
        <f t="shared" si="70"/>
        <v xml:space="preserve">-LAYER TR 0
S-DETL  </v>
      </c>
      <c r="S566" s="11" t="str">
        <f t="shared" si="71"/>
        <v xml:space="preserve">-LAYER D Estructura - Detalle
S-DETL  </v>
      </c>
    </row>
    <row r="567" spans="1:19" x14ac:dyDescent="0.45">
      <c r="A567" s="7">
        <v>0</v>
      </c>
      <c r="B567" s="11" t="s">
        <v>3492</v>
      </c>
      <c r="C567" s="11" t="s">
        <v>45</v>
      </c>
      <c r="D567" s="11" t="s">
        <v>2411</v>
      </c>
      <c r="E567" s="11" t="str">
        <f t="shared" si="64"/>
        <v>S-DETL-HSSS (Estructura - Detalle: acero estructural hueco)</v>
      </c>
      <c r="F567" s="19" t="s">
        <v>3798</v>
      </c>
      <c r="G567" s="19" t="s">
        <v>3797</v>
      </c>
      <c r="H567" s="19" t="s">
        <v>3811</v>
      </c>
      <c r="I567" s="10">
        <v>0</v>
      </c>
      <c r="J567" s="10" t="str">
        <f t="shared" si="65"/>
        <v>Estructura - Detalle: acero estructural hueco</v>
      </c>
      <c r="K567" s="11" t="s">
        <v>2262</v>
      </c>
      <c r="L567" s="11" t="s">
        <v>44</v>
      </c>
      <c r="M567" s="11" t="s">
        <v>2263</v>
      </c>
      <c r="N567" s="18" t="str">
        <f t="shared" si="66"/>
        <v xml:space="preserve">-LAYER N S-DETL-HSSS </v>
      </c>
      <c r="O567" s="11" t="str">
        <f t="shared" si="67"/>
        <v xml:space="preserve">-LAYER C white S-DETL-HSSS </v>
      </c>
      <c r="P567" s="11" t="str">
        <f t="shared" si="68"/>
        <v xml:space="preserve">-LAYER L Continuous
S-DETL-HSSS  </v>
      </c>
      <c r="Q567" s="11" t="str">
        <f t="shared" si="69"/>
        <v xml:space="preserve">-LAYER LW Default
S-DETL-HSSS  </v>
      </c>
      <c r="R567" s="11" t="str">
        <f t="shared" si="70"/>
        <v xml:space="preserve">-LAYER TR 0
S-DETL-HSSS  </v>
      </c>
      <c r="S567" s="11" t="str">
        <f t="shared" si="71"/>
        <v xml:space="preserve">-LAYER D Estructura - Detalle: acero estructural hueco
S-DETL-HSSS  </v>
      </c>
    </row>
    <row r="568" spans="1:19" x14ac:dyDescent="0.45">
      <c r="A568" s="7">
        <v>0</v>
      </c>
      <c r="B568" s="11" t="s">
        <v>3493</v>
      </c>
      <c r="C568" s="11" t="s">
        <v>45</v>
      </c>
      <c r="D568" s="11" t="s">
        <v>2412</v>
      </c>
      <c r="E568" s="11" t="str">
        <f t="shared" si="64"/>
        <v>S-DETL-PLYW (Estructura - Detalle: madera contrachapada)</v>
      </c>
      <c r="F568" s="19" t="s">
        <v>3798</v>
      </c>
      <c r="G568" s="19" t="s">
        <v>3797</v>
      </c>
      <c r="H568" s="19" t="s">
        <v>3811</v>
      </c>
      <c r="I568" s="10">
        <v>0</v>
      </c>
      <c r="J568" s="10" t="str">
        <f t="shared" si="65"/>
        <v>Estructura - Detalle: madera contrachapada</v>
      </c>
      <c r="K568" s="11" t="s">
        <v>2264</v>
      </c>
      <c r="L568" s="11" t="s">
        <v>44</v>
      </c>
      <c r="M568" s="11" t="s">
        <v>2265</v>
      </c>
      <c r="N568" s="18" t="str">
        <f t="shared" si="66"/>
        <v xml:space="preserve">-LAYER N S-DETL-PLYW </v>
      </c>
      <c r="O568" s="11" t="str">
        <f t="shared" si="67"/>
        <v xml:space="preserve">-LAYER C white S-DETL-PLYW </v>
      </c>
      <c r="P568" s="11" t="str">
        <f t="shared" si="68"/>
        <v xml:space="preserve">-LAYER L Continuous
S-DETL-PLYW  </v>
      </c>
      <c r="Q568" s="11" t="str">
        <f t="shared" si="69"/>
        <v xml:space="preserve">-LAYER LW Default
S-DETL-PLYW  </v>
      </c>
      <c r="R568" s="11" t="str">
        <f t="shared" si="70"/>
        <v xml:space="preserve">-LAYER TR 0
S-DETL-PLYW  </v>
      </c>
      <c r="S568" s="11" t="str">
        <f t="shared" si="71"/>
        <v xml:space="preserve">-LAYER D Estructura - Detalle: madera contrachapada
S-DETL-PLYW  </v>
      </c>
    </row>
    <row r="569" spans="1:19" x14ac:dyDescent="0.45">
      <c r="A569" s="7">
        <v>0</v>
      </c>
      <c r="B569" s="11" t="s">
        <v>3494</v>
      </c>
      <c r="C569" s="11" t="s">
        <v>45</v>
      </c>
      <c r="D569" s="11" t="s">
        <v>2413</v>
      </c>
      <c r="E569" s="11" t="str">
        <f t="shared" si="64"/>
        <v>S-DETL-W2XS (Estructura - Detalle: madera dimensional)</v>
      </c>
      <c r="F569" s="19" t="s">
        <v>3798</v>
      </c>
      <c r="G569" s="19" t="s">
        <v>3797</v>
      </c>
      <c r="H569" s="19" t="s">
        <v>3811</v>
      </c>
      <c r="I569" s="10">
        <v>0</v>
      </c>
      <c r="J569" s="10" t="str">
        <f t="shared" si="65"/>
        <v>Estructura - Detalle: madera dimensional</v>
      </c>
      <c r="K569" s="11" t="s">
        <v>2266</v>
      </c>
      <c r="L569" s="11" t="s">
        <v>44</v>
      </c>
      <c r="M569" s="11" t="s">
        <v>2267</v>
      </c>
      <c r="N569" s="18" t="str">
        <f t="shared" si="66"/>
        <v xml:space="preserve">-LAYER N S-DETL-W2XS </v>
      </c>
      <c r="O569" s="11" t="str">
        <f t="shared" si="67"/>
        <v xml:space="preserve">-LAYER C white S-DETL-W2XS </v>
      </c>
      <c r="P569" s="11" t="str">
        <f t="shared" si="68"/>
        <v xml:space="preserve">-LAYER L Continuous
S-DETL-W2XS  </v>
      </c>
      <c r="Q569" s="11" t="str">
        <f t="shared" si="69"/>
        <v xml:space="preserve">-LAYER LW Default
S-DETL-W2XS  </v>
      </c>
      <c r="R569" s="11" t="str">
        <f t="shared" si="70"/>
        <v xml:space="preserve">-LAYER TR 0
S-DETL-W2XS  </v>
      </c>
      <c r="S569" s="11" t="str">
        <f t="shared" si="71"/>
        <v xml:space="preserve">-LAYER D Estructura - Detalle: madera dimensional
S-DETL-W2XS  </v>
      </c>
    </row>
    <row r="570" spans="1:19" x14ac:dyDescent="0.45">
      <c r="A570" s="7">
        <v>1</v>
      </c>
      <c r="B570" s="11" t="s">
        <v>3495</v>
      </c>
      <c r="C570" s="11" t="s">
        <v>45</v>
      </c>
      <c r="D570" s="11" t="s">
        <v>358</v>
      </c>
      <c r="E570" s="11" t="str">
        <f t="shared" si="64"/>
        <v>S-FNDN (Estructura - Cimentación)</v>
      </c>
      <c r="F570" s="19" t="s">
        <v>3798</v>
      </c>
      <c r="G570" s="19" t="s">
        <v>3797</v>
      </c>
      <c r="H570" s="19" t="s">
        <v>3811</v>
      </c>
      <c r="I570" s="10">
        <v>0</v>
      </c>
      <c r="J570" s="10" t="str">
        <f t="shared" si="65"/>
        <v>Estructura - Cimentación</v>
      </c>
      <c r="K570" s="11" t="s">
        <v>2268</v>
      </c>
      <c r="L570" s="11" t="s">
        <v>44</v>
      </c>
      <c r="M570" s="11" t="s">
        <v>357</v>
      </c>
      <c r="N570" s="18" t="str">
        <f t="shared" si="66"/>
        <v xml:space="preserve">-LAYER N S-FNDN </v>
      </c>
      <c r="O570" s="11" t="str">
        <f t="shared" si="67"/>
        <v xml:space="preserve">-LAYER C white S-FNDN </v>
      </c>
      <c r="P570" s="11" t="str">
        <f t="shared" si="68"/>
        <v xml:space="preserve">-LAYER L Continuous
S-FNDN  </v>
      </c>
      <c r="Q570" s="11" t="str">
        <f t="shared" si="69"/>
        <v xml:space="preserve">-LAYER LW Default
S-FNDN  </v>
      </c>
      <c r="R570" s="11" t="str">
        <f t="shared" si="70"/>
        <v xml:space="preserve">-LAYER TR 0
S-FNDN  </v>
      </c>
      <c r="S570" s="11" t="str">
        <f t="shared" si="71"/>
        <v xml:space="preserve">-LAYER D Estructura - Cimentación
S-FNDN  </v>
      </c>
    </row>
    <row r="571" spans="1:19" x14ac:dyDescent="0.45">
      <c r="A571" s="7">
        <v>0</v>
      </c>
      <c r="B571" s="11" t="s">
        <v>3496</v>
      </c>
      <c r="C571" s="11" t="s">
        <v>45</v>
      </c>
      <c r="D571" s="11" t="s">
        <v>2414</v>
      </c>
      <c r="E571" s="11" t="str">
        <f t="shared" si="64"/>
        <v>S-FNDN-FTNG (Estructura - Cimentación: zapatas)</v>
      </c>
      <c r="F571" s="19" t="s">
        <v>3798</v>
      </c>
      <c r="G571" s="19" t="s">
        <v>3797</v>
      </c>
      <c r="H571" s="19" t="s">
        <v>3811</v>
      </c>
      <c r="I571" s="10">
        <v>0</v>
      </c>
      <c r="J571" s="10" t="str">
        <f t="shared" si="65"/>
        <v>Estructura - Cimentación: zapatas</v>
      </c>
      <c r="K571" s="11" t="s">
        <v>2269</v>
      </c>
      <c r="L571" s="11" t="s">
        <v>44</v>
      </c>
      <c r="M571" s="11" t="s">
        <v>2270</v>
      </c>
      <c r="N571" s="18" t="str">
        <f t="shared" si="66"/>
        <v xml:space="preserve">-LAYER N S-FNDN-FTNG </v>
      </c>
      <c r="O571" s="11" t="str">
        <f t="shared" si="67"/>
        <v xml:space="preserve">-LAYER C white S-FNDN-FTNG </v>
      </c>
      <c r="P571" s="11" t="str">
        <f t="shared" si="68"/>
        <v xml:space="preserve">-LAYER L Continuous
S-FNDN-FTNG  </v>
      </c>
      <c r="Q571" s="11" t="str">
        <f t="shared" si="69"/>
        <v xml:space="preserve">-LAYER LW Default
S-FNDN-FTNG  </v>
      </c>
      <c r="R571" s="11" t="str">
        <f t="shared" si="70"/>
        <v xml:space="preserve">-LAYER TR 0
S-FNDN-FTNG  </v>
      </c>
      <c r="S571" s="11" t="str">
        <f t="shared" si="71"/>
        <v xml:space="preserve">-LAYER D Estructura - Cimentación: zapatas
S-FNDN-FTNG  </v>
      </c>
    </row>
    <row r="572" spans="1:19" x14ac:dyDescent="0.45">
      <c r="A572" s="7">
        <v>0</v>
      </c>
      <c r="B572" s="11" t="s">
        <v>3497</v>
      </c>
      <c r="C572" s="11" t="s">
        <v>45</v>
      </c>
      <c r="D572" s="11" t="s">
        <v>2415</v>
      </c>
      <c r="E572" s="11" t="str">
        <f t="shared" si="64"/>
        <v>S-FNDN-GRBM (Estructura - Cimentación: vigas de cimentación)</v>
      </c>
      <c r="F572" s="19" t="s">
        <v>3798</v>
      </c>
      <c r="G572" s="19" t="s">
        <v>3797</v>
      </c>
      <c r="H572" s="19" t="s">
        <v>3811</v>
      </c>
      <c r="I572" s="10">
        <v>0</v>
      </c>
      <c r="J572" s="10" t="str">
        <f t="shared" si="65"/>
        <v>Estructura - Cimentación: vigas de cimentación</v>
      </c>
      <c r="K572" s="11" t="s">
        <v>2271</v>
      </c>
      <c r="L572" s="11" t="s">
        <v>44</v>
      </c>
      <c r="M572" s="11" t="s">
        <v>2272</v>
      </c>
      <c r="N572" s="18" t="str">
        <f t="shared" si="66"/>
        <v xml:space="preserve">-LAYER N S-FNDN-GRBM </v>
      </c>
      <c r="O572" s="11" t="str">
        <f t="shared" si="67"/>
        <v xml:space="preserve">-LAYER C white S-FNDN-GRBM </v>
      </c>
      <c r="P572" s="11" t="str">
        <f t="shared" si="68"/>
        <v xml:space="preserve">-LAYER L Continuous
S-FNDN-GRBM  </v>
      </c>
      <c r="Q572" s="11" t="str">
        <f t="shared" si="69"/>
        <v xml:space="preserve">-LAYER LW Default
S-FNDN-GRBM  </v>
      </c>
      <c r="R572" s="11" t="str">
        <f t="shared" si="70"/>
        <v xml:space="preserve">-LAYER TR 0
S-FNDN-GRBM  </v>
      </c>
      <c r="S572" s="11" t="str">
        <f t="shared" si="71"/>
        <v xml:space="preserve">-LAYER D Estructura - Cimentación: vigas de cimentación
S-FNDN-GRBM  </v>
      </c>
    </row>
    <row r="573" spans="1:19" x14ac:dyDescent="0.45">
      <c r="A573" s="7">
        <v>0</v>
      </c>
      <c r="B573" s="11" t="s">
        <v>3498</v>
      </c>
      <c r="C573" s="11" t="s">
        <v>45</v>
      </c>
      <c r="D573" s="11" t="s">
        <v>2416</v>
      </c>
      <c r="E573" s="11" t="str">
        <f t="shared" si="64"/>
        <v>S-FNDN-PCAP (Estructura - Cimentación: encepados)</v>
      </c>
      <c r="F573" s="19" t="s">
        <v>3798</v>
      </c>
      <c r="G573" s="19" t="s">
        <v>3797</v>
      </c>
      <c r="H573" s="19" t="s">
        <v>3811</v>
      </c>
      <c r="I573" s="10">
        <v>0</v>
      </c>
      <c r="J573" s="10" t="str">
        <f t="shared" si="65"/>
        <v>Estructura - Cimentación: encepados</v>
      </c>
      <c r="K573" s="11" t="s">
        <v>2273</v>
      </c>
      <c r="L573" s="11" t="s">
        <v>44</v>
      </c>
      <c r="M573" s="11" t="s">
        <v>2274</v>
      </c>
      <c r="N573" s="18" t="str">
        <f t="shared" si="66"/>
        <v xml:space="preserve">-LAYER N S-FNDN-PCAP </v>
      </c>
      <c r="O573" s="11" t="str">
        <f t="shared" si="67"/>
        <v xml:space="preserve">-LAYER C white S-FNDN-PCAP </v>
      </c>
      <c r="P573" s="11" t="str">
        <f t="shared" si="68"/>
        <v xml:space="preserve">-LAYER L Continuous
S-FNDN-PCAP  </v>
      </c>
      <c r="Q573" s="11" t="str">
        <f t="shared" si="69"/>
        <v xml:space="preserve">-LAYER LW Default
S-FNDN-PCAP  </v>
      </c>
      <c r="R573" s="11" t="str">
        <f t="shared" si="70"/>
        <v xml:space="preserve">-LAYER TR 0
S-FNDN-PCAP  </v>
      </c>
      <c r="S573" s="11" t="str">
        <f t="shared" si="71"/>
        <v xml:space="preserve">-LAYER D Estructura - Cimentación: encepados
S-FNDN-PCAP  </v>
      </c>
    </row>
    <row r="574" spans="1:19" x14ac:dyDescent="0.45">
      <c r="A574" s="7">
        <v>0</v>
      </c>
      <c r="B574" s="11" t="s">
        <v>3499</v>
      </c>
      <c r="C574" s="11" t="s">
        <v>45</v>
      </c>
      <c r="D574" s="11" t="s">
        <v>2417</v>
      </c>
      <c r="E574" s="11" t="str">
        <f t="shared" si="64"/>
        <v>S-FNDN-PIER (Estructura - Cimentación: pilotes perforados)</v>
      </c>
      <c r="F574" s="19" t="s">
        <v>3798</v>
      </c>
      <c r="G574" s="19" t="s">
        <v>3797</v>
      </c>
      <c r="H574" s="19" t="s">
        <v>3811</v>
      </c>
      <c r="I574" s="10">
        <v>0</v>
      </c>
      <c r="J574" s="10" t="str">
        <f t="shared" si="65"/>
        <v>Estructura - Cimentación: pilotes perforados</v>
      </c>
      <c r="K574" s="11" t="s">
        <v>2275</v>
      </c>
      <c r="L574" s="11" t="s">
        <v>44</v>
      </c>
      <c r="M574" s="11" t="s">
        <v>2276</v>
      </c>
      <c r="N574" s="18" t="str">
        <f t="shared" si="66"/>
        <v xml:space="preserve">-LAYER N S-FNDN-PIER </v>
      </c>
      <c r="O574" s="11" t="str">
        <f t="shared" si="67"/>
        <v xml:space="preserve">-LAYER C white S-FNDN-PIER </v>
      </c>
      <c r="P574" s="11" t="str">
        <f t="shared" si="68"/>
        <v xml:space="preserve">-LAYER L Continuous
S-FNDN-PIER  </v>
      </c>
      <c r="Q574" s="11" t="str">
        <f t="shared" si="69"/>
        <v xml:space="preserve">-LAYER LW Default
S-FNDN-PIER  </v>
      </c>
      <c r="R574" s="11" t="str">
        <f t="shared" si="70"/>
        <v xml:space="preserve">-LAYER TR 0
S-FNDN-PIER  </v>
      </c>
      <c r="S574" s="11" t="str">
        <f t="shared" si="71"/>
        <v xml:space="preserve">-LAYER D Estructura - Cimentación: pilotes perforados
S-FNDN-PIER  </v>
      </c>
    </row>
    <row r="575" spans="1:19" x14ac:dyDescent="0.45">
      <c r="A575" s="7">
        <v>0</v>
      </c>
      <c r="B575" s="11" t="s">
        <v>3500</v>
      </c>
      <c r="C575" s="11" t="s">
        <v>45</v>
      </c>
      <c r="D575" s="11" t="s">
        <v>2418</v>
      </c>
      <c r="E575" s="11" t="str">
        <f t="shared" si="64"/>
        <v>S-FNDN-PILE (Estructura - Cimentación: Pilotes)</v>
      </c>
      <c r="F575" s="19" t="s">
        <v>3798</v>
      </c>
      <c r="G575" s="19" t="s">
        <v>3797</v>
      </c>
      <c r="H575" s="19" t="s">
        <v>3811</v>
      </c>
      <c r="I575" s="10">
        <v>0</v>
      </c>
      <c r="J575" s="10" t="str">
        <f t="shared" si="65"/>
        <v>Estructura - Cimentación: Pilotes</v>
      </c>
      <c r="K575" s="11" t="s">
        <v>2277</v>
      </c>
      <c r="L575" s="11" t="s">
        <v>44</v>
      </c>
      <c r="M575" s="11" t="s">
        <v>2278</v>
      </c>
      <c r="N575" s="18" t="str">
        <f t="shared" si="66"/>
        <v xml:space="preserve">-LAYER N S-FNDN-PILE </v>
      </c>
      <c r="O575" s="11" t="str">
        <f t="shared" si="67"/>
        <v xml:space="preserve">-LAYER C white S-FNDN-PILE </v>
      </c>
      <c r="P575" s="11" t="str">
        <f t="shared" si="68"/>
        <v xml:space="preserve">-LAYER L Continuous
S-FNDN-PILE  </v>
      </c>
      <c r="Q575" s="11" t="str">
        <f t="shared" si="69"/>
        <v xml:space="preserve">-LAYER LW Default
S-FNDN-PILE  </v>
      </c>
      <c r="R575" s="11" t="str">
        <f t="shared" si="70"/>
        <v xml:space="preserve">-LAYER TR 0
S-FNDN-PILE  </v>
      </c>
      <c r="S575" s="11" t="str">
        <f t="shared" si="71"/>
        <v xml:space="preserve">-LAYER D Estructura - Cimentación: Pilotes
S-FNDN-PILE  </v>
      </c>
    </row>
    <row r="576" spans="1:19" x14ac:dyDescent="0.45">
      <c r="A576" s="7">
        <v>0</v>
      </c>
      <c r="B576" s="11" t="s">
        <v>3501</v>
      </c>
      <c r="C576" s="11" t="s">
        <v>45</v>
      </c>
      <c r="D576" s="11" t="s">
        <v>2419</v>
      </c>
      <c r="E576" s="11" t="str">
        <f t="shared" si="64"/>
        <v>S-FNDN-RBAR (Estructura - Cimentación: barra de refuerzo)</v>
      </c>
      <c r="F576" s="19" t="s">
        <v>3798</v>
      </c>
      <c r="G576" s="19" t="s">
        <v>3797</v>
      </c>
      <c r="H576" s="19" t="s">
        <v>3811</v>
      </c>
      <c r="I576" s="10">
        <v>0</v>
      </c>
      <c r="J576" s="10" t="str">
        <f t="shared" si="65"/>
        <v>Estructura - Cimentación: barra de refuerzo</v>
      </c>
      <c r="K576" s="11" t="s">
        <v>2279</v>
      </c>
      <c r="L576" s="11" t="s">
        <v>44</v>
      </c>
      <c r="M576" s="11" t="s">
        <v>2280</v>
      </c>
      <c r="N576" s="18" t="str">
        <f t="shared" si="66"/>
        <v xml:space="preserve">-LAYER N S-FNDN-RBAR </v>
      </c>
      <c r="O576" s="11" t="str">
        <f t="shared" si="67"/>
        <v xml:space="preserve">-LAYER C white S-FNDN-RBAR </v>
      </c>
      <c r="P576" s="11" t="str">
        <f t="shared" si="68"/>
        <v xml:space="preserve">-LAYER L Continuous
S-FNDN-RBAR  </v>
      </c>
      <c r="Q576" s="11" t="str">
        <f t="shared" si="69"/>
        <v xml:space="preserve">-LAYER LW Default
S-FNDN-RBAR  </v>
      </c>
      <c r="R576" s="11" t="str">
        <f t="shared" si="70"/>
        <v xml:space="preserve">-LAYER TR 0
S-FNDN-RBAR  </v>
      </c>
      <c r="S576" s="11" t="str">
        <f t="shared" si="71"/>
        <v xml:space="preserve">-LAYER D Estructura - Cimentación: barra de refuerzo
S-FNDN-RBAR  </v>
      </c>
    </row>
    <row r="577" spans="1:19" x14ac:dyDescent="0.45">
      <c r="A577" s="7">
        <v>0</v>
      </c>
      <c r="B577" s="11" t="s">
        <v>3502</v>
      </c>
      <c r="C577" s="11" t="s">
        <v>45</v>
      </c>
      <c r="D577" s="11" t="s">
        <v>2420</v>
      </c>
      <c r="E577" s="11" t="str">
        <f t="shared" si="64"/>
        <v>S-FNDN-RBAR-BOT1 (Estructura - Cimentación: barra de refuerzo: grupo inferior 1)</v>
      </c>
      <c r="F577" s="19" t="s">
        <v>3798</v>
      </c>
      <c r="G577" s="19" t="s">
        <v>3797</v>
      </c>
      <c r="H577" s="19" t="s">
        <v>3811</v>
      </c>
      <c r="I577" s="10">
        <v>0</v>
      </c>
      <c r="J577" s="10" t="str">
        <f t="shared" si="65"/>
        <v>Estructura - Cimentación: barra de refuerzo: grupo inferior 1</v>
      </c>
      <c r="K577" s="11" t="s">
        <v>2281</v>
      </c>
      <c r="L577" s="11" t="s">
        <v>44</v>
      </c>
      <c r="M577" s="11" t="s">
        <v>2382</v>
      </c>
      <c r="N577" s="18" t="str">
        <f t="shared" si="66"/>
        <v xml:space="preserve">-LAYER N S-FNDN-RBAR-BOT1 </v>
      </c>
      <c r="O577" s="11" t="str">
        <f t="shared" si="67"/>
        <v xml:space="preserve">-LAYER C white S-FNDN-RBAR-BOT1 </v>
      </c>
      <c r="P577" s="11" t="str">
        <f t="shared" si="68"/>
        <v xml:space="preserve">-LAYER L Continuous
S-FNDN-RBAR-BOT1  </v>
      </c>
      <c r="Q577" s="11" t="str">
        <f t="shared" si="69"/>
        <v xml:space="preserve">-LAYER LW Default
S-FNDN-RBAR-BOT1  </v>
      </c>
      <c r="R577" s="11" t="str">
        <f t="shared" si="70"/>
        <v xml:space="preserve">-LAYER TR 0
S-FNDN-RBAR-BOT1  </v>
      </c>
      <c r="S577" s="11" t="str">
        <f t="shared" si="71"/>
        <v xml:space="preserve">-LAYER D Estructura - Cimentación: barra de refuerzo: grupo inferior 1
S-FNDN-RBAR-BOT1  </v>
      </c>
    </row>
    <row r="578" spans="1:19" x14ac:dyDescent="0.45">
      <c r="A578" s="7">
        <v>0</v>
      </c>
      <c r="B578" s="11" t="s">
        <v>3503</v>
      </c>
      <c r="C578" s="11" t="s">
        <v>45</v>
      </c>
      <c r="D578" s="11" t="s">
        <v>2421</v>
      </c>
      <c r="E578" s="11" t="str">
        <f t="shared" si="64"/>
        <v>S-FNDN-RBAR-BOT2 (Estructura - Cimentación: barra de refuerzo: grupo inferior 2)</v>
      </c>
      <c r="F578" s="19" t="s">
        <v>3798</v>
      </c>
      <c r="G578" s="19" t="s">
        <v>3797</v>
      </c>
      <c r="H578" s="19" t="s">
        <v>3811</v>
      </c>
      <c r="I578" s="10">
        <v>0</v>
      </c>
      <c r="J578" s="10" t="str">
        <f t="shared" si="65"/>
        <v>Estructura - Cimentación: barra de refuerzo: grupo inferior 2</v>
      </c>
      <c r="K578" s="11" t="s">
        <v>2384</v>
      </c>
      <c r="L578" s="11" t="s">
        <v>44</v>
      </c>
      <c r="M578" s="11" t="s">
        <v>2383</v>
      </c>
      <c r="N578" s="18" t="str">
        <f t="shared" si="66"/>
        <v xml:space="preserve">-LAYER N S-FNDN-RBAR-BOT2 </v>
      </c>
      <c r="O578" s="11" t="str">
        <f t="shared" si="67"/>
        <v xml:space="preserve">-LAYER C white S-FNDN-RBAR-BOT2 </v>
      </c>
      <c r="P578" s="11" t="str">
        <f t="shared" si="68"/>
        <v xml:space="preserve">-LAYER L Continuous
S-FNDN-RBAR-BOT2  </v>
      </c>
      <c r="Q578" s="11" t="str">
        <f t="shared" si="69"/>
        <v xml:space="preserve">-LAYER LW Default
S-FNDN-RBAR-BOT2  </v>
      </c>
      <c r="R578" s="11" t="str">
        <f t="shared" si="70"/>
        <v xml:space="preserve">-LAYER TR 0
S-FNDN-RBAR-BOT2  </v>
      </c>
      <c r="S578" s="11" t="str">
        <f t="shared" si="71"/>
        <v xml:space="preserve">-LAYER D Estructura - Cimentación: barra de refuerzo: grupo inferior 2
S-FNDN-RBAR-BOT2  </v>
      </c>
    </row>
    <row r="579" spans="1:19" x14ac:dyDescent="0.45">
      <c r="A579" s="7">
        <v>0</v>
      </c>
      <c r="B579" s="11" t="s">
        <v>3504</v>
      </c>
      <c r="C579" s="11" t="s">
        <v>45</v>
      </c>
      <c r="D579" s="11" t="s">
        <v>2422</v>
      </c>
      <c r="E579" s="11" t="str">
        <f t="shared" si="64"/>
        <v>S-FNDN-RBAR-TOP1 (Estructura - Cimentación: barra de refuerzo: grupo superior 1)</v>
      </c>
      <c r="F579" s="19" t="s">
        <v>3798</v>
      </c>
      <c r="G579" s="19" t="s">
        <v>3797</v>
      </c>
      <c r="H579" s="19" t="s">
        <v>3811</v>
      </c>
      <c r="I579" s="10">
        <v>0</v>
      </c>
      <c r="J579" s="10" t="str">
        <f t="shared" si="65"/>
        <v>Estructura - Cimentación: barra de refuerzo: grupo superior 1</v>
      </c>
      <c r="K579" s="11" t="s">
        <v>2385</v>
      </c>
      <c r="L579" s="11" t="s">
        <v>44</v>
      </c>
      <c r="M579" s="11" t="s">
        <v>2282</v>
      </c>
      <c r="N579" s="18" t="str">
        <f t="shared" si="66"/>
        <v xml:space="preserve">-LAYER N S-FNDN-RBAR-TOP1 </v>
      </c>
      <c r="O579" s="11" t="str">
        <f t="shared" si="67"/>
        <v xml:space="preserve">-LAYER C white S-FNDN-RBAR-TOP1 </v>
      </c>
      <c r="P579" s="11" t="str">
        <f t="shared" si="68"/>
        <v xml:space="preserve">-LAYER L Continuous
S-FNDN-RBAR-TOP1  </v>
      </c>
      <c r="Q579" s="11" t="str">
        <f t="shared" si="69"/>
        <v xml:space="preserve">-LAYER LW Default
S-FNDN-RBAR-TOP1  </v>
      </c>
      <c r="R579" s="11" t="str">
        <f t="shared" si="70"/>
        <v xml:space="preserve">-LAYER TR 0
S-FNDN-RBAR-TOP1  </v>
      </c>
      <c r="S579" s="11" t="str">
        <f t="shared" si="71"/>
        <v xml:space="preserve">-LAYER D Estructura - Cimentación: barra de refuerzo: grupo superior 1
S-FNDN-RBAR-TOP1  </v>
      </c>
    </row>
    <row r="580" spans="1:19" x14ac:dyDescent="0.45">
      <c r="A580" s="7">
        <v>0</v>
      </c>
      <c r="B580" s="11" t="s">
        <v>3505</v>
      </c>
      <c r="C580" s="11" t="s">
        <v>45</v>
      </c>
      <c r="D580" s="11" t="s">
        <v>2423</v>
      </c>
      <c r="E580" s="11" t="str">
        <f t="shared" ref="E580:E643" si="72">_xlfn.CONCAT(B580," (",C580," - ",D580,")")</f>
        <v>S-FNDN-RBAR-TOP2 (Estructura - Cimentación: barra de refuerzo: grupo superior 2)</v>
      </c>
      <c r="F580" s="19" t="s">
        <v>3798</v>
      </c>
      <c r="G580" s="19" t="s">
        <v>3797</v>
      </c>
      <c r="H580" s="19" t="s">
        <v>3811</v>
      </c>
      <c r="I580" s="10">
        <v>0</v>
      </c>
      <c r="J580" s="10" t="str">
        <f t="shared" si="65"/>
        <v>Estructura - Cimentación: barra de refuerzo: grupo superior 2</v>
      </c>
      <c r="K580" s="11" t="s">
        <v>2283</v>
      </c>
      <c r="L580" s="11" t="s">
        <v>44</v>
      </c>
      <c r="M580" s="11" t="s">
        <v>2386</v>
      </c>
      <c r="N580" s="18" t="str">
        <f t="shared" si="66"/>
        <v xml:space="preserve">-LAYER N S-FNDN-RBAR-TOP2 </v>
      </c>
      <c r="O580" s="11" t="str">
        <f t="shared" si="67"/>
        <v xml:space="preserve">-LAYER C white S-FNDN-RBAR-TOP2 </v>
      </c>
      <c r="P580" s="11" t="str">
        <f t="shared" si="68"/>
        <v xml:space="preserve">-LAYER L Continuous
S-FNDN-RBAR-TOP2  </v>
      </c>
      <c r="Q580" s="11" t="str">
        <f t="shared" si="69"/>
        <v xml:space="preserve">-LAYER LW Default
S-FNDN-RBAR-TOP2  </v>
      </c>
      <c r="R580" s="11" t="str">
        <f t="shared" si="70"/>
        <v xml:space="preserve">-LAYER TR 0
S-FNDN-RBAR-TOP2  </v>
      </c>
      <c r="S580" s="11" t="str">
        <f t="shared" si="71"/>
        <v xml:space="preserve">-LAYER D Estructura - Cimentación: barra de refuerzo: grupo superior 2
S-FNDN-RBAR-TOP2  </v>
      </c>
    </row>
    <row r="581" spans="1:19" x14ac:dyDescent="0.45">
      <c r="A581" s="7">
        <v>0</v>
      </c>
      <c r="B581" s="11" t="s">
        <v>3506</v>
      </c>
      <c r="C581" s="11" t="s">
        <v>45</v>
      </c>
      <c r="D581" s="11" t="s">
        <v>364</v>
      </c>
      <c r="E581" s="11" t="str">
        <f t="shared" si="72"/>
        <v>S-FRAM (Estructura - Marco arriostrado o marco de momento)</v>
      </c>
      <c r="F581" s="19" t="s">
        <v>3798</v>
      </c>
      <c r="G581" s="19" t="s">
        <v>3797</v>
      </c>
      <c r="H581" s="19" t="s">
        <v>3811</v>
      </c>
      <c r="I581" s="10">
        <v>0</v>
      </c>
      <c r="J581" s="10" t="str">
        <f t="shared" ref="J581:J644" si="73">_xlfn.CONCAT(C581," - ",D581)</f>
        <v>Estructura - Marco arriostrado o marco de momento</v>
      </c>
      <c r="K581" s="11" t="s">
        <v>2387</v>
      </c>
      <c r="L581" s="11" t="s">
        <v>44</v>
      </c>
      <c r="M581" s="11" t="s">
        <v>363</v>
      </c>
      <c r="N581" s="18" t="str">
        <f t="shared" ref="N581:N644" si="74">_xlfn.CONCAT("-LAYER N ", B581," ")</f>
        <v xml:space="preserve">-LAYER N S-FRAM </v>
      </c>
      <c r="O581" s="11" t="str">
        <f t="shared" ref="O581:O644" si="75">_xlfn.CONCAT("-LAYER C ",F581," ", B581," ")</f>
        <v xml:space="preserve">-LAYER C white S-FRAM </v>
      </c>
      <c r="P581" s="11" t="str">
        <f t="shared" ref="P581:P644" si="76">_xlfn.CONCAT("-LAYER L ",G581,CHAR(10), B581,"  ")</f>
        <v xml:space="preserve">-LAYER L Continuous
S-FRAM  </v>
      </c>
      <c r="Q581" s="11" t="str">
        <f t="shared" ref="Q581:Q644" si="77">_xlfn.CONCAT("-LAYER LW ",H581,CHAR(10), B581,"  ")</f>
        <v xml:space="preserve">-LAYER LW Default
S-FRAM  </v>
      </c>
      <c r="R581" s="11" t="str">
        <f t="shared" ref="R581:R644" si="78">_xlfn.CONCAT("-LAYER TR ",I581,CHAR(10), B581,"  ")</f>
        <v xml:space="preserve">-LAYER TR 0
S-FRAM  </v>
      </c>
      <c r="S581" s="11" t="str">
        <f t="shared" ref="S581:S644" si="79">_xlfn.CONCAT("-LAYER D ",J581,CHAR(10), B581,"  ")</f>
        <v xml:space="preserve">-LAYER D Estructura - Marco arriostrado o marco de momento
S-FRAM  </v>
      </c>
    </row>
    <row r="582" spans="1:19" x14ac:dyDescent="0.45">
      <c r="A582" s="7">
        <v>0</v>
      </c>
      <c r="B582" s="11" t="s">
        <v>3507</v>
      </c>
      <c r="C582" s="11" t="s">
        <v>45</v>
      </c>
      <c r="D582" s="11" t="s">
        <v>2424</v>
      </c>
      <c r="E582" s="11" t="str">
        <f t="shared" si="72"/>
        <v>S-FSTN (Estructura - Fijaciones y conexiones)</v>
      </c>
      <c r="F582" s="19" t="s">
        <v>3798</v>
      </c>
      <c r="G582" s="19" t="s">
        <v>3797</v>
      </c>
      <c r="H582" s="19" t="s">
        <v>3811</v>
      </c>
      <c r="I582" s="10">
        <v>0</v>
      </c>
      <c r="J582" s="10" t="str">
        <f t="shared" si="73"/>
        <v>Estructura - Fijaciones y conexiones</v>
      </c>
      <c r="K582" s="11" t="s">
        <v>2284</v>
      </c>
      <c r="L582" s="11" t="s">
        <v>44</v>
      </c>
      <c r="M582" s="11" t="s">
        <v>366</v>
      </c>
      <c r="N582" s="18" t="str">
        <f t="shared" si="74"/>
        <v xml:space="preserve">-LAYER N S-FSTN </v>
      </c>
      <c r="O582" s="11" t="str">
        <f t="shared" si="75"/>
        <v xml:space="preserve">-LAYER C white S-FSTN </v>
      </c>
      <c r="P582" s="11" t="str">
        <f t="shared" si="76"/>
        <v xml:space="preserve">-LAYER L Continuous
S-FSTN  </v>
      </c>
      <c r="Q582" s="11" t="str">
        <f t="shared" si="77"/>
        <v xml:space="preserve">-LAYER LW Default
S-FSTN  </v>
      </c>
      <c r="R582" s="11" t="str">
        <f t="shared" si="78"/>
        <v xml:space="preserve">-LAYER TR 0
S-FSTN  </v>
      </c>
      <c r="S582" s="11" t="str">
        <f t="shared" si="79"/>
        <v xml:space="preserve">-LAYER D Estructura - Fijaciones y conexiones
S-FSTN  </v>
      </c>
    </row>
    <row r="583" spans="1:19" x14ac:dyDescent="0.45">
      <c r="A583" s="7">
        <v>1</v>
      </c>
      <c r="B583" s="11" t="s">
        <v>3508</v>
      </c>
      <c r="C583" s="11" t="s">
        <v>45</v>
      </c>
      <c r="D583" s="11" t="s">
        <v>2425</v>
      </c>
      <c r="E583" s="11" t="str">
        <f t="shared" si="72"/>
        <v>S-GATE (Estructura - Puerta)</v>
      </c>
      <c r="F583" s="10">
        <v>251</v>
      </c>
      <c r="G583" s="10" t="s">
        <v>3797</v>
      </c>
      <c r="H583" s="10">
        <v>0.18</v>
      </c>
      <c r="I583" s="10">
        <v>0</v>
      </c>
      <c r="J583" s="10" t="str">
        <f t="shared" si="73"/>
        <v>Estructura - Puerta</v>
      </c>
      <c r="K583" s="11" t="s">
        <v>2285</v>
      </c>
      <c r="L583" s="11" t="s">
        <v>44</v>
      </c>
      <c r="M583" s="11" t="s">
        <v>380</v>
      </c>
      <c r="N583" s="18" t="str">
        <f t="shared" si="74"/>
        <v xml:space="preserve">-LAYER N S-GATE </v>
      </c>
      <c r="O583" s="11" t="str">
        <f t="shared" si="75"/>
        <v xml:space="preserve">-LAYER C 251 S-GATE </v>
      </c>
      <c r="P583" s="11" t="str">
        <f t="shared" si="76"/>
        <v xml:space="preserve">-LAYER L Continuous
S-GATE  </v>
      </c>
      <c r="Q583" s="11" t="str">
        <f t="shared" si="77"/>
        <v xml:space="preserve">-LAYER LW 0.18
S-GATE  </v>
      </c>
      <c r="R583" s="11" t="str">
        <f t="shared" si="78"/>
        <v xml:space="preserve">-LAYER TR 0
S-GATE  </v>
      </c>
      <c r="S583" s="11" t="str">
        <f t="shared" si="79"/>
        <v xml:space="preserve">-LAYER D Estructura - Puerta
S-GATE  </v>
      </c>
    </row>
    <row r="584" spans="1:19" x14ac:dyDescent="0.45">
      <c r="A584" s="7">
        <v>1</v>
      </c>
      <c r="B584" s="11" t="s">
        <v>3509</v>
      </c>
      <c r="C584" s="11" t="s">
        <v>45</v>
      </c>
      <c r="D584" s="11" t="s">
        <v>390</v>
      </c>
      <c r="E584" s="11" t="str">
        <f t="shared" si="72"/>
        <v>S-GRID (Estructura - Rejillas)</v>
      </c>
      <c r="F584" s="19" t="s">
        <v>3798</v>
      </c>
      <c r="G584" s="19" t="s">
        <v>3797</v>
      </c>
      <c r="H584" s="19" t="s">
        <v>3811</v>
      </c>
      <c r="I584" s="10">
        <v>0</v>
      </c>
      <c r="J584" s="10" t="str">
        <f t="shared" si="73"/>
        <v>Estructura - Rejillas</v>
      </c>
      <c r="K584" s="11" t="s">
        <v>2286</v>
      </c>
      <c r="L584" s="11" t="s">
        <v>44</v>
      </c>
      <c r="M584" s="11" t="s">
        <v>389</v>
      </c>
      <c r="N584" s="18" t="str">
        <f t="shared" si="74"/>
        <v xml:space="preserve">-LAYER N S-GRID </v>
      </c>
      <c r="O584" s="11" t="str">
        <f t="shared" si="75"/>
        <v xml:space="preserve">-LAYER C white S-GRID </v>
      </c>
      <c r="P584" s="11" t="str">
        <f t="shared" si="76"/>
        <v xml:space="preserve">-LAYER L Continuous
S-GRID  </v>
      </c>
      <c r="Q584" s="11" t="str">
        <f t="shared" si="77"/>
        <v xml:space="preserve">-LAYER LW Default
S-GRID  </v>
      </c>
      <c r="R584" s="11" t="str">
        <f t="shared" si="78"/>
        <v xml:space="preserve">-LAYER TR 0
S-GRID  </v>
      </c>
      <c r="S584" s="11" t="str">
        <f t="shared" si="79"/>
        <v xml:space="preserve">-LAYER D Estructura - Rejillas
S-GRID  </v>
      </c>
    </row>
    <row r="585" spans="1:19" x14ac:dyDescent="0.45">
      <c r="A585" s="7">
        <v>0</v>
      </c>
      <c r="B585" s="11" t="s">
        <v>3510</v>
      </c>
      <c r="C585" s="11" t="s">
        <v>45</v>
      </c>
      <c r="D585" s="11" t="s">
        <v>2426</v>
      </c>
      <c r="E585" s="11" t="str">
        <f t="shared" si="72"/>
        <v>S-GRID-EXTR (Estructura - Rejillas: exterior)</v>
      </c>
      <c r="F585" s="19" t="s">
        <v>3798</v>
      </c>
      <c r="G585" s="19" t="s">
        <v>3797</v>
      </c>
      <c r="H585" s="19" t="s">
        <v>3811</v>
      </c>
      <c r="I585" s="10">
        <v>0</v>
      </c>
      <c r="J585" s="10" t="str">
        <f t="shared" si="73"/>
        <v>Estructura - Rejillas: exterior</v>
      </c>
      <c r="K585" s="11" t="s">
        <v>2287</v>
      </c>
      <c r="L585" s="11" t="s">
        <v>44</v>
      </c>
      <c r="M585" s="11" t="s">
        <v>2288</v>
      </c>
      <c r="N585" s="18" t="str">
        <f t="shared" si="74"/>
        <v xml:space="preserve">-LAYER N S-GRID-EXTR </v>
      </c>
      <c r="O585" s="11" t="str">
        <f t="shared" si="75"/>
        <v xml:space="preserve">-LAYER C white S-GRID-EXTR </v>
      </c>
      <c r="P585" s="11" t="str">
        <f t="shared" si="76"/>
        <v xml:space="preserve">-LAYER L Continuous
S-GRID-EXTR  </v>
      </c>
      <c r="Q585" s="11" t="str">
        <f t="shared" si="77"/>
        <v xml:space="preserve">-LAYER LW Default
S-GRID-EXTR  </v>
      </c>
      <c r="R585" s="11" t="str">
        <f t="shared" si="78"/>
        <v xml:space="preserve">-LAYER TR 0
S-GRID-EXTR  </v>
      </c>
      <c r="S585" s="11" t="str">
        <f t="shared" si="79"/>
        <v xml:space="preserve">-LAYER D Estructura - Rejillas: exterior
S-GRID-EXTR  </v>
      </c>
    </row>
    <row r="586" spans="1:19" x14ac:dyDescent="0.45">
      <c r="A586" s="7">
        <v>0</v>
      </c>
      <c r="B586" s="11" t="s">
        <v>3511</v>
      </c>
      <c r="C586" s="11" t="s">
        <v>45</v>
      </c>
      <c r="D586" s="11" t="s">
        <v>2427</v>
      </c>
      <c r="E586" s="11" t="str">
        <f t="shared" si="72"/>
        <v>S-GRID-INTR (Estructura - Rejillas: interior)</v>
      </c>
      <c r="F586" s="19" t="s">
        <v>3798</v>
      </c>
      <c r="G586" s="19" t="s">
        <v>3797</v>
      </c>
      <c r="H586" s="19" t="s">
        <v>3811</v>
      </c>
      <c r="I586" s="10">
        <v>0</v>
      </c>
      <c r="J586" s="10" t="str">
        <f t="shared" si="73"/>
        <v>Estructura - Rejillas: interior</v>
      </c>
      <c r="K586" s="11" t="s">
        <v>2289</v>
      </c>
      <c r="L586" s="11" t="s">
        <v>44</v>
      </c>
      <c r="M586" s="11" t="s">
        <v>2290</v>
      </c>
      <c r="N586" s="18" t="str">
        <f t="shared" si="74"/>
        <v xml:space="preserve">-LAYER N S-GRID-INTR </v>
      </c>
      <c r="O586" s="11" t="str">
        <f t="shared" si="75"/>
        <v xml:space="preserve">-LAYER C white S-GRID-INTR </v>
      </c>
      <c r="P586" s="11" t="str">
        <f t="shared" si="76"/>
        <v xml:space="preserve">-LAYER L Continuous
S-GRID-INTR  </v>
      </c>
      <c r="Q586" s="11" t="str">
        <f t="shared" si="77"/>
        <v xml:space="preserve">-LAYER LW Default
S-GRID-INTR  </v>
      </c>
      <c r="R586" s="11" t="str">
        <f t="shared" si="78"/>
        <v xml:space="preserve">-LAYER TR 0
S-GRID-INTR  </v>
      </c>
      <c r="S586" s="11" t="str">
        <f t="shared" si="79"/>
        <v xml:space="preserve">-LAYER D Estructura - Rejillas: interior
S-GRID-INTR  </v>
      </c>
    </row>
    <row r="587" spans="1:19" x14ac:dyDescent="0.45">
      <c r="A587" s="7">
        <v>0</v>
      </c>
      <c r="B587" s="11" t="s">
        <v>3512</v>
      </c>
      <c r="C587" s="11" t="s">
        <v>45</v>
      </c>
      <c r="D587" s="11" t="s">
        <v>393</v>
      </c>
      <c r="E587" s="11" t="str">
        <f t="shared" si="72"/>
        <v>S-GRLN (Estructura - Línea de rasante)</v>
      </c>
      <c r="F587" s="19" t="s">
        <v>3798</v>
      </c>
      <c r="G587" s="19" t="s">
        <v>3797</v>
      </c>
      <c r="H587" s="19" t="s">
        <v>3811</v>
      </c>
      <c r="I587" s="10">
        <v>0</v>
      </c>
      <c r="J587" s="10" t="str">
        <f t="shared" si="73"/>
        <v>Estructura - Línea de rasante</v>
      </c>
      <c r="K587" s="11" t="s">
        <v>2291</v>
      </c>
      <c r="L587" s="11" t="s">
        <v>44</v>
      </c>
      <c r="M587" s="11" t="s">
        <v>392</v>
      </c>
      <c r="N587" s="18" t="str">
        <f t="shared" si="74"/>
        <v xml:space="preserve">-LAYER N S-GRLN </v>
      </c>
      <c r="O587" s="11" t="str">
        <f t="shared" si="75"/>
        <v xml:space="preserve">-LAYER C white S-GRLN </v>
      </c>
      <c r="P587" s="11" t="str">
        <f t="shared" si="76"/>
        <v xml:space="preserve">-LAYER L Continuous
S-GRLN  </v>
      </c>
      <c r="Q587" s="11" t="str">
        <f t="shared" si="77"/>
        <v xml:space="preserve">-LAYER LW Default
S-GRLN  </v>
      </c>
      <c r="R587" s="11" t="str">
        <f t="shared" si="78"/>
        <v xml:space="preserve">-LAYER TR 0
S-GRLN  </v>
      </c>
      <c r="S587" s="11" t="str">
        <f t="shared" si="79"/>
        <v xml:space="preserve">-LAYER D Estructura - Línea de rasante
S-GRLN  </v>
      </c>
    </row>
    <row r="588" spans="1:19" x14ac:dyDescent="0.45">
      <c r="A588" s="7">
        <v>0</v>
      </c>
      <c r="B588" s="11" t="s">
        <v>3513</v>
      </c>
      <c r="C588" s="11" t="s">
        <v>45</v>
      </c>
      <c r="D588" s="11" t="s">
        <v>2428</v>
      </c>
      <c r="E588" s="11" t="str">
        <f t="shared" si="72"/>
        <v>S-GRLN-SURF (Estructura - Línea de rasante: superficies)</v>
      </c>
      <c r="F588" s="19" t="s">
        <v>3798</v>
      </c>
      <c r="G588" s="19" t="s">
        <v>3797</v>
      </c>
      <c r="H588" s="19" t="s">
        <v>3811</v>
      </c>
      <c r="I588" s="10">
        <v>0</v>
      </c>
      <c r="J588" s="10" t="str">
        <f t="shared" si="73"/>
        <v>Estructura - Línea de rasante: superficies</v>
      </c>
      <c r="K588" s="11" t="s">
        <v>2292</v>
      </c>
      <c r="L588" s="11" t="s">
        <v>44</v>
      </c>
      <c r="M588" s="11" t="s">
        <v>2293</v>
      </c>
      <c r="N588" s="18" t="str">
        <f t="shared" si="74"/>
        <v xml:space="preserve">-LAYER N S-GRLN-SURF </v>
      </c>
      <c r="O588" s="11" t="str">
        <f t="shared" si="75"/>
        <v xml:space="preserve">-LAYER C white S-GRLN-SURF </v>
      </c>
      <c r="P588" s="11" t="str">
        <f t="shared" si="76"/>
        <v xml:space="preserve">-LAYER L Continuous
S-GRLN-SURF  </v>
      </c>
      <c r="Q588" s="11" t="str">
        <f t="shared" si="77"/>
        <v xml:space="preserve">-LAYER LW Default
S-GRLN-SURF  </v>
      </c>
      <c r="R588" s="11" t="str">
        <f t="shared" si="78"/>
        <v xml:space="preserve">-LAYER TR 0
S-GRLN-SURF  </v>
      </c>
      <c r="S588" s="11" t="str">
        <f t="shared" si="79"/>
        <v xml:space="preserve">-LAYER D Estructura - Línea de rasante: superficies
S-GRLN-SURF  </v>
      </c>
    </row>
    <row r="589" spans="1:19" x14ac:dyDescent="0.45">
      <c r="A589" s="7">
        <v>0</v>
      </c>
      <c r="B589" s="11" t="s">
        <v>3514</v>
      </c>
      <c r="C589" s="11" t="s">
        <v>45</v>
      </c>
      <c r="D589" s="11" t="s">
        <v>2429</v>
      </c>
      <c r="E589" s="11" t="str">
        <f t="shared" si="72"/>
        <v>S-GRTG (Estructura - Rejilla)</v>
      </c>
      <c r="F589" s="19" t="s">
        <v>3798</v>
      </c>
      <c r="G589" s="19" t="s">
        <v>3797</v>
      </c>
      <c r="H589" s="19" t="s">
        <v>3811</v>
      </c>
      <c r="I589" s="10">
        <v>0</v>
      </c>
      <c r="J589" s="10" t="str">
        <f t="shared" si="73"/>
        <v>Estructura - Rejilla</v>
      </c>
      <c r="K589" s="11" t="s">
        <v>2294</v>
      </c>
      <c r="L589" s="11" t="s">
        <v>44</v>
      </c>
      <c r="M589" s="11" t="s">
        <v>2295</v>
      </c>
      <c r="N589" s="18" t="str">
        <f t="shared" si="74"/>
        <v xml:space="preserve">-LAYER N S-GRTG </v>
      </c>
      <c r="O589" s="11" t="str">
        <f t="shared" si="75"/>
        <v xml:space="preserve">-LAYER C white S-GRTG </v>
      </c>
      <c r="P589" s="11" t="str">
        <f t="shared" si="76"/>
        <v xml:space="preserve">-LAYER L Continuous
S-GRTG  </v>
      </c>
      <c r="Q589" s="11" t="str">
        <f t="shared" si="77"/>
        <v xml:space="preserve">-LAYER LW Default
S-GRTG  </v>
      </c>
      <c r="R589" s="11" t="str">
        <f t="shared" si="78"/>
        <v xml:space="preserve">-LAYER TR 0
S-GRTG  </v>
      </c>
      <c r="S589" s="11" t="str">
        <f t="shared" si="79"/>
        <v xml:space="preserve">-LAYER D Estructura - Rejilla
S-GRTG  </v>
      </c>
    </row>
    <row r="590" spans="1:19" x14ac:dyDescent="0.45">
      <c r="A590" s="7">
        <v>0</v>
      </c>
      <c r="B590" s="11" t="s">
        <v>3515</v>
      </c>
      <c r="C590" s="11" t="s">
        <v>45</v>
      </c>
      <c r="D590" s="11" t="s">
        <v>2430</v>
      </c>
      <c r="E590" s="11" t="str">
        <f t="shared" si="72"/>
        <v>S-GRTG-OVHD (Estructura - Rejilla: superior)</v>
      </c>
      <c r="F590" s="19" t="s">
        <v>3798</v>
      </c>
      <c r="G590" s="19" t="s">
        <v>3797</v>
      </c>
      <c r="H590" s="19" t="s">
        <v>3811</v>
      </c>
      <c r="I590" s="10">
        <v>0</v>
      </c>
      <c r="J590" s="10" t="str">
        <f t="shared" si="73"/>
        <v>Estructura - Rejilla: superior</v>
      </c>
      <c r="K590" s="11" t="s">
        <v>2296</v>
      </c>
      <c r="L590" s="11" t="s">
        <v>44</v>
      </c>
      <c r="M590" s="11" t="s">
        <v>2297</v>
      </c>
      <c r="N590" s="18" t="str">
        <f t="shared" si="74"/>
        <v xml:space="preserve">-LAYER N S-GRTG-OVHD </v>
      </c>
      <c r="O590" s="11" t="str">
        <f t="shared" si="75"/>
        <v xml:space="preserve">-LAYER C white S-GRTG-OVHD </v>
      </c>
      <c r="P590" s="11" t="str">
        <f t="shared" si="76"/>
        <v xml:space="preserve">-LAYER L Continuous
S-GRTG-OVHD  </v>
      </c>
      <c r="Q590" s="11" t="str">
        <f t="shared" si="77"/>
        <v xml:space="preserve">-LAYER LW Default
S-GRTG-OVHD  </v>
      </c>
      <c r="R590" s="11" t="str">
        <f t="shared" si="78"/>
        <v xml:space="preserve">-LAYER TR 0
S-GRTG-OVHD  </v>
      </c>
      <c r="S590" s="11" t="str">
        <f t="shared" si="79"/>
        <v xml:space="preserve">-LAYER D Estructura - Rejilla: superior
S-GRTG-OVHD  </v>
      </c>
    </row>
    <row r="591" spans="1:19" x14ac:dyDescent="0.45">
      <c r="A591" s="7">
        <v>0</v>
      </c>
      <c r="B591" s="11" t="s">
        <v>3516</v>
      </c>
      <c r="C591" s="11" t="s">
        <v>45</v>
      </c>
      <c r="D591" s="11" t="s">
        <v>408</v>
      </c>
      <c r="E591" s="11" t="str">
        <f t="shared" si="72"/>
        <v>S-HYDR (Estructura - Estructura hidráulica)</v>
      </c>
      <c r="F591" s="19" t="s">
        <v>3798</v>
      </c>
      <c r="G591" s="19" t="s">
        <v>3797</v>
      </c>
      <c r="H591" s="19" t="s">
        <v>3811</v>
      </c>
      <c r="I591" s="10">
        <v>0</v>
      </c>
      <c r="J591" s="10" t="str">
        <f t="shared" si="73"/>
        <v>Estructura - Estructura hidráulica</v>
      </c>
      <c r="K591" s="11" t="s">
        <v>2298</v>
      </c>
      <c r="L591" s="11" t="s">
        <v>44</v>
      </c>
      <c r="M591" s="11" t="s">
        <v>407</v>
      </c>
      <c r="N591" s="18" t="str">
        <f t="shared" si="74"/>
        <v xml:space="preserve">-LAYER N S-HYDR </v>
      </c>
      <c r="O591" s="11" t="str">
        <f t="shared" si="75"/>
        <v xml:space="preserve">-LAYER C white S-HYDR </v>
      </c>
      <c r="P591" s="11" t="str">
        <f t="shared" si="76"/>
        <v xml:space="preserve">-LAYER L Continuous
S-HYDR  </v>
      </c>
      <c r="Q591" s="11" t="str">
        <f t="shared" si="77"/>
        <v xml:space="preserve">-LAYER LW Default
S-HYDR  </v>
      </c>
      <c r="R591" s="11" t="str">
        <f t="shared" si="78"/>
        <v xml:space="preserve">-LAYER TR 0
S-HYDR  </v>
      </c>
      <c r="S591" s="11" t="str">
        <f t="shared" si="79"/>
        <v xml:space="preserve">-LAYER D Estructura - Estructura hidráulica
S-HYDR  </v>
      </c>
    </row>
    <row r="592" spans="1:19" x14ac:dyDescent="0.45">
      <c r="A592" s="7">
        <v>0</v>
      </c>
      <c r="B592" s="11" t="s">
        <v>3517</v>
      </c>
      <c r="C592" s="11" t="s">
        <v>45</v>
      </c>
      <c r="D592" s="11" t="s">
        <v>426</v>
      </c>
      <c r="E592" s="11" t="str">
        <f t="shared" si="72"/>
        <v>S-JNTS (Estructura - Juntas)</v>
      </c>
      <c r="F592" s="19" t="s">
        <v>3798</v>
      </c>
      <c r="G592" s="19" t="s">
        <v>3797</v>
      </c>
      <c r="H592" s="19" t="s">
        <v>3811</v>
      </c>
      <c r="I592" s="10">
        <v>0</v>
      </c>
      <c r="J592" s="10" t="str">
        <f t="shared" si="73"/>
        <v>Estructura - Juntas</v>
      </c>
      <c r="K592" s="11" t="s">
        <v>2299</v>
      </c>
      <c r="L592" s="11" t="s">
        <v>44</v>
      </c>
      <c r="M592" s="11" t="s">
        <v>425</v>
      </c>
      <c r="N592" s="18" t="str">
        <f t="shared" si="74"/>
        <v xml:space="preserve">-LAYER N S-JNTS </v>
      </c>
      <c r="O592" s="11" t="str">
        <f t="shared" si="75"/>
        <v xml:space="preserve">-LAYER C white S-JNTS </v>
      </c>
      <c r="P592" s="11" t="str">
        <f t="shared" si="76"/>
        <v xml:space="preserve">-LAYER L Continuous
S-JNTS  </v>
      </c>
      <c r="Q592" s="11" t="str">
        <f t="shared" si="77"/>
        <v xml:space="preserve">-LAYER LW Default
S-JNTS  </v>
      </c>
      <c r="R592" s="11" t="str">
        <f t="shared" si="78"/>
        <v xml:space="preserve">-LAYER TR 0
S-JNTS  </v>
      </c>
      <c r="S592" s="11" t="str">
        <f t="shared" si="79"/>
        <v xml:space="preserve">-LAYER D Estructura - Juntas
S-JNTS  </v>
      </c>
    </row>
    <row r="593" spans="1:19" x14ac:dyDescent="0.45">
      <c r="A593" s="7">
        <v>0</v>
      </c>
      <c r="B593" s="11" t="s">
        <v>3518</v>
      </c>
      <c r="C593" s="11" t="s">
        <v>45</v>
      </c>
      <c r="D593" s="11" t="s">
        <v>2431</v>
      </c>
      <c r="E593" s="11" t="str">
        <f t="shared" si="72"/>
        <v>S-JNTS-CNTJ (Estructura - Juntas: junta de construcción)</v>
      </c>
      <c r="F593" s="19" t="s">
        <v>3798</v>
      </c>
      <c r="G593" s="19" t="s">
        <v>3797</v>
      </c>
      <c r="H593" s="19" t="s">
        <v>3811</v>
      </c>
      <c r="I593" s="10">
        <v>0</v>
      </c>
      <c r="J593" s="10" t="str">
        <f t="shared" si="73"/>
        <v>Estructura - Juntas: junta de construcción</v>
      </c>
      <c r="K593" s="11" t="s">
        <v>2300</v>
      </c>
      <c r="L593" s="11" t="s">
        <v>44</v>
      </c>
      <c r="M593" s="11" t="s">
        <v>2301</v>
      </c>
      <c r="N593" s="18" t="str">
        <f t="shared" si="74"/>
        <v xml:space="preserve">-LAYER N S-JNTS-CNTJ </v>
      </c>
      <c r="O593" s="11" t="str">
        <f t="shared" si="75"/>
        <v xml:space="preserve">-LAYER C white S-JNTS-CNTJ </v>
      </c>
      <c r="P593" s="11" t="str">
        <f t="shared" si="76"/>
        <v xml:space="preserve">-LAYER L Continuous
S-JNTS-CNTJ  </v>
      </c>
      <c r="Q593" s="11" t="str">
        <f t="shared" si="77"/>
        <v xml:space="preserve">-LAYER LW Default
S-JNTS-CNTJ  </v>
      </c>
      <c r="R593" s="11" t="str">
        <f t="shared" si="78"/>
        <v xml:space="preserve">-LAYER TR 0
S-JNTS-CNTJ  </v>
      </c>
      <c r="S593" s="11" t="str">
        <f t="shared" si="79"/>
        <v xml:space="preserve">-LAYER D Estructura - Juntas: junta de construcción
S-JNTS-CNTJ  </v>
      </c>
    </row>
    <row r="594" spans="1:19" x14ac:dyDescent="0.45">
      <c r="A594" s="7">
        <v>0</v>
      </c>
      <c r="B594" s="11" t="s">
        <v>3519</v>
      </c>
      <c r="C594" s="11" t="s">
        <v>45</v>
      </c>
      <c r="D594" s="11" t="s">
        <v>2432</v>
      </c>
      <c r="E594" s="11" t="str">
        <f t="shared" si="72"/>
        <v>S-JNTS-CTLJ (Estructura - Juntas: junta de control)</v>
      </c>
      <c r="F594" s="19" t="s">
        <v>3798</v>
      </c>
      <c r="G594" s="19" t="s">
        <v>3797</v>
      </c>
      <c r="H594" s="19" t="s">
        <v>3811</v>
      </c>
      <c r="I594" s="10">
        <v>0</v>
      </c>
      <c r="J594" s="10" t="str">
        <f t="shared" si="73"/>
        <v>Estructura - Juntas: junta de control</v>
      </c>
      <c r="K594" s="11" t="s">
        <v>2302</v>
      </c>
      <c r="L594" s="11" t="s">
        <v>44</v>
      </c>
      <c r="M594" s="11" t="s">
        <v>2303</v>
      </c>
      <c r="N594" s="18" t="str">
        <f t="shared" si="74"/>
        <v xml:space="preserve">-LAYER N S-JNTS-CTLJ </v>
      </c>
      <c r="O594" s="11" t="str">
        <f t="shared" si="75"/>
        <v xml:space="preserve">-LAYER C white S-JNTS-CTLJ </v>
      </c>
      <c r="P594" s="11" t="str">
        <f t="shared" si="76"/>
        <v xml:space="preserve">-LAYER L Continuous
S-JNTS-CTLJ  </v>
      </c>
      <c r="Q594" s="11" t="str">
        <f t="shared" si="77"/>
        <v xml:space="preserve">-LAYER LW Default
S-JNTS-CTLJ  </v>
      </c>
      <c r="R594" s="11" t="str">
        <f t="shared" si="78"/>
        <v xml:space="preserve">-LAYER TR 0
S-JNTS-CTLJ  </v>
      </c>
      <c r="S594" s="11" t="str">
        <f t="shared" si="79"/>
        <v xml:space="preserve">-LAYER D Estructura - Juntas: junta de control
S-JNTS-CTLJ  </v>
      </c>
    </row>
    <row r="595" spans="1:19" x14ac:dyDescent="0.45">
      <c r="A595" s="7">
        <v>0</v>
      </c>
      <c r="B595" s="11" t="s">
        <v>3520</v>
      </c>
      <c r="C595" s="11" t="s">
        <v>45</v>
      </c>
      <c r="D595" s="11" t="s">
        <v>2433</v>
      </c>
      <c r="E595" s="11" t="str">
        <f t="shared" si="72"/>
        <v>S-JNTS-EXPJ (Estructura - Juntas: junta de dilatación)</v>
      </c>
      <c r="F595" s="19" t="s">
        <v>3798</v>
      </c>
      <c r="G595" s="19" t="s">
        <v>3797</v>
      </c>
      <c r="H595" s="19" t="s">
        <v>3811</v>
      </c>
      <c r="I595" s="10">
        <v>0</v>
      </c>
      <c r="J595" s="10" t="str">
        <f t="shared" si="73"/>
        <v>Estructura - Juntas: junta de dilatación</v>
      </c>
      <c r="K595" s="11" t="s">
        <v>2304</v>
      </c>
      <c r="L595" s="11" t="s">
        <v>44</v>
      </c>
      <c r="M595" s="11" t="s">
        <v>2305</v>
      </c>
      <c r="N595" s="18" t="str">
        <f t="shared" si="74"/>
        <v xml:space="preserve">-LAYER N S-JNTS-EXPJ </v>
      </c>
      <c r="O595" s="11" t="str">
        <f t="shared" si="75"/>
        <v xml:space="preserve">-LAYER C white S-JNTS-EXPJ </v>
      </c>
      <c r="P595" s="11" t="str">
        <f t="shared" si="76"/>
        <v xml:space="preserve">-LAYER L Continuous
S-JNTS-EXPJ  </v>
      </c>
      <c r="Q595" s="11" t="str">
        <f t="shared" si="77"/>
        <v xml:space="preserve">-LAYER LW Default
S-JNTS-EXPJ  </v>
      </c>
      <c r="R595" s="11" t="str">
        <f t="shared" si="78"/>
        <v xml:space="preserve">-LAYER TR 0
S-JNTS-EXPJ  </v>
      </c>
      <c r="S595" s="11" t="str">
        <f t="shared" si="79"/>
        <v xml:space="preserve">-LAYER D Estructura - Juntas: junta de dilatación
S-JNTS-EXPJ  </v>
      </c>
    </row>
    <row r="596" spans="1:19" x14ac:dyDescent="0.45">
      <c r="A596" s="7">
        <v>1</v>
      </c>
      <c r="B596" s="11" t="s">
        <v>3521</v>
      </c>
      <c r="C596" s="11" t="s">
        <v>45</v>
      </c>
      <c r="D596" s="11" t="s">
        <v>429</v>
      </c>
      <c r="E596" s="11" t="str">
        <f t="shared" si="72"/>
        <v>S-JOIS (Estructura - Viguetas)</v>
      </c>
      <c r="F596" s="10">
        <v>38</v>
      </c>
      <c r="G596" s="10" t="s">
        <v>3797</v>
      </c>
      <c r="H596" s="10">
        <v>0.09</v>
      </c>
      <c r="I596" s="10">
        <v>0</v>
      </c>
      <c r="J596" s="10" t="str">
        <f t="shared" si="73"/>
        <v>Estructura - Viguetas</v>
      </c>
      <c r="K596" s="11" t="s">
        <v>2306</v>
      </c>
      <c r="L596" s="11" t="s">
        <v>44</v>
      </c>
      <c r="M596" s="11" t="s">
        <v>428</v>
      </c>
      <c r="N596" s="18" t="str">
        <f t="shared" si="74"/>
        <v xml:space="preserve">-LAYER N S-JOIS </v>
      </c>
      <c r="O596" s="11" t="str">
        <f t="shared" si="75"/>
        <v xml:space="preserve">-LAYER C 38 S-JOIS </v>
      </c>
      <c r="P596" s="11" t="str">
        <f t="shared" si="76"/>
        <v xml:space="preserve">-LAYER L Continuous
S-JOIS  </v>
      </c>
      <c r="Q596" s="11" t="str">
        <f t="shared" si="77"/>
        <v xml:space="preserve">-LAYER LW 0.09
S-JOIS  </v>
      </c>
      <c r="R596" s="11" t="str">
        <f t="shared" si="78"/>
        <v xml:space="preserve">-LAYER TR 0
S-JOIS  </v>
      </c>
      <c r="S596" s="11" t="str">
        <f t="shared" si="79"/>
        <v xml:space="preserve">-LAYER D Estructura - Viguetas
S-JOIS  </v>
      </c>
    </row>
    <row r="597" spans="1:19" x14ac:dyDescent="0.45">
      <c r="A597" s="7">
        <v>0</v>
      </c>
      <c r="B597" s="11" t="s">
        <v>3522</v>
      </c>
      <c r="C597" s="11" t="s">
        <v>45</v>
      </c>
      <c r="D597" s="11" t="s">
        <v>2434</v>
      </c>
      <c r="E597" s="11" t="str">
        <f t="shared" si="72"/>
        <v>S-JOIS-BRGX (Estructura - Viguetas: puentes)</v>
      </c>
      <c r="F597" s="19" t="s">
        <v>3798</v>
      </c>
      <c r="G597" s="19" t="s">
        <v>3797</v>
      </c>
      <c r="H597" s="19" t="s">
        <v>3811</v>
      </c>
      <c r="I597" s="10">
        <v>0</v>
      </c>
      <c r="J597" s="10" t="str">
        <f t="shared" si="73"/>
        <v>Estructura - Viguetas: puentes</v>
      </c>
      <c r="K597" s="11" t="s">
        <v>2307</v>
      </c>
      <c r="L597" s="11" t="s">
        <v>44</v>
      </c>
      <c r="M597" s="11" t="s">
        <v>2308</v>
      </c>
      <c r="N597" s="18" t="str">
        <f t="shared" si="74"/>
        <v xml:space="preserve">-LAYER N S-JOIS-BRGX </v>
      </c>
      <c r="O597" s="11" t="str">
        <f t="shared" si="75"/>
        <v xml:space="preserve">-LAYER C white S-JOIS-BRGX </v>
      </c>
      <c r="P597" s="11" t="str">
        <f t="shared" si="76"/>
        <v xml:space="preserve">-LAYER L Continuous
S-JOIS-BRGX  </v>
      </c>
      <c r="Q597" s="11" t="str">
        <f t="shared" si="77"/>
        <v xml:space="preserve">-LAYER LW Default
S-JOIS-BRGX  </v>
      </c>
      <c r="R597" s="11" t="str">
        <f t="shared" si="78"/>
        <v xml:space="preserve">-LAYER TR 0
S-JOIS-BRGX  </v>
      </c>
      <c r="S597" s="11" t="str">
        <f t="shared" si="79"/>
        <v xml:space="preserve">-LAYER D Estructura - Viguetas: puentes
S-JOIS-BRGX  </v>
      </c>
    </row>
    <row r="598" spans="1:19" x14ac:dyDescent="0.45">
      <c r="A598" s="7">
        <v>1</v>
      </c>
      <c r="B598" s="11" t="s">
        <v>3523</v>
      </c>
      <c r="C598" s="11" t="s">
        <v>45</v>
      </c>
      <c r="D598" s="11" t="s">
        <v>450</v>
      </c>
      <c r="E598" s="11" t="str">
        <f t="shared" si="72"/>
        <v>S-LNTL (Estructura - Dinteles)</v>
      </c>
      <c r="F598" s="19" t="s">
        <v>3798</v>
      </c>
      <c r="G598" s="19" t="s">
        <v>3797</v>
      </c>
      <c r="H598" s="19" t="s">
        <v>3811</v>
      </c>
      <c r="I598" s="10">
        <v>0</v>
      </c>
      <c r="J598" s="10" t="str">
        <f t="shared" si="73"/>
        <v>Estructura - Dinteles</v>
      </c>
      <c r="K598" s="11" t="s">
        <v>2309</v>
      </c>
      <c r="L598" s="11" t="s">
        <v>44</v>
      </c>
      <c r="M598" s="11" t="s">
        <v>449</v>
      </c>
      <c r="N598" s="18" t="str">
        <f t="shared" si="74"/>
        <v xml:space="preserve">-LAYER N S-LNTL </v>
      </c>
      <c r="O598" s="11" t="str">
        <f t="shared" si="75"/>
        <v xml:space="preserve">-LAYER C white S-LNTL </v>
      </c>
      <c r="P598" s="11" t="str">
        <f t="shared" si="76"/>
        <v xml:space="preserve">-LAYER L Continuous
S-LNTL  </v>
      </c>
      <c r="Q598" s="11" t="str">
        <f t="shared" si="77"/>
        <v xml:space="preserve">-LAYER LW Default
S-LNTL  </v>
      </c>
      <c r="R598" s="11" t="str">
        <f t="shared" si="78"/>
        <v xml:space="preserve">-LAYER TR 0
S-LNTL  </v>
      </c>
      <c r="S598" s="11" t="str">
        <f t="shared" si="79"/>
        <v xml:space="preserve">-LAYER D Estructura - Dinteles
S-LNTL  </v>
      </c>
    </row>
    <row r="599" spans="1:19" x14ac:dyDescent="0.45">
      <c r="A599" s="7">
        <v>0</v>
      </c>
      <c r="B599" s="11" t="s">
        <v>3524</v>
      </c>
      <c r="C599" s="11" t="s">
        <v>45</v>
      </c>
      <c r="D599" s="11" t="s">
        <v>2435</v>
      </c>
      <c r="E599" s="11" t="str">
        <f t="shared" si="72"/>
        <v>S-PADS (Estructura - Plataformas)</v>
      </c>
      <c r="F599" s="19" t="s">
        <v>3798</v>
      </c>
      <c r="G599" s="19" t="s">
        <v>3797</v>
      </c>
      <c r="H599" s="19" t="s">
        <v>3811</v>
      </c>
      <c r="I599" s="10">
        <v>0</v>
      </c>
      <c r="J599" s="10" t="str">
        <f t="shared" si="73"/>
        <v>Estructura - Plataformas</v>
      </c>
      <c r="K599" s="11" t="s">
        <v>2310</v>
      </c>
      <c r="L599" s="11" t="s">
        <v>44</v>
      </c>
      <c r="M599" s="11" t="s">
        <v>499</v>
      </c>
      <c r="N599" s="18" t="str">
        <f t="shared" si="74"/>
        <v xml:space="preserve">-LAYER N S-PADS </v>
      </c>
      <c r="O599" s="11" t="str">
        <f t="shared" si="75"/>
        <v xml:space="preserve">-LAYER C white S-PADS </v>
      </c>
      <c r="P599" s="11" t="str">
        <f t="shared" si="76"/>
        <v xml:space="preserve">-LAYER L Continuous
S-PADS  </v>
      </c>
      <c r="Q599" s="11" t="str">
        <f t="shared" si="77"/>
        <v xml:space="preserve">-LAYER LW Default
S-PADS  </v>
      </c>
      <c r="R599" s="11" t="str">
        <f t="shared" si="78"/>
        <v xml:space="preserve">-LAYER TR 0
S-PADS  </v>
      </c>
      <c r="S599" s="11" t="str">
        <f t="shared" si="79"/>
        <v xml:space="preserve">-LAYER D Estructura - Plataformas
S-PADS  </v>
      </c>
    </row>
    <row r="600" spans="1:19" x14ac:dyDescent="0.45">
      <c r="A600" s="7">
        <v>0</v>
      </c>
      <c r="B600" s="11" t="s">
        <v>3525</v>
      </c>
      <c r="C600" s="11" t="s">
        <v>45</v>
      </c>
      <c r="D600" s="11" t="s">
        <v>2436</v>
      </c>
      <c r="E600" s="11" t="str">
        <f t="shared" si="72"/>
        <v>S-PADS-EQPM (Estructura - Plataforma: equipo)</v>
      </c>
      <c r="F600" s="19" t="s">
        <v>3798</v>
      </c>
      <c r="G600" s="19" t="s">
        <v>3797</v>
      </c>
      <c r="H600" s="19" t="s">
        <v>3811</v>
      </c>
      <c r="I600" s="10">
        <v>0</v>
      </c>
      <c r="J600" s="10" t="str">
        <f t="shared" si="73"/>
        <v>Estructura - Plataforma: equipo</v>
      </c>
      <c r="K600" s="11" t="s">
        <v>2311</v>
      </c>
      <c r="L600" s="11" t="s">
        <v>44</v>
      </c>
      <c r="M600" s="11" t="s">
        <v>2312</v>
      </c>
      <c r="N600" s="18" t="str">
        <f t="shared" si="74"/>
        <v xml:space="preserve">-LAYER N S-PADS-EQPM </v>
      </c>
      <c r="O600" s="11" t="str">
        <f t="shared" si="75"/>
        <v xml:space="preserve">-LAYER C white S-PADS-EQPM </v>
      </c>
      <c r="P600" s="11" t="str">
        <f t="shared" si="76"/>
        <v xml:space="preserve">-LAYER L Continuous
S-PADS-EQPM  </v>
      </c>
      <c r="Q600" s="11" t="str">
        <f t="shared" si="77"/>
        <v xml:space="preserve">-LAYER LW Default
S-PADS-EQPM  </v>
      </c>
      <c r="R600" s="11" t="str">
        <f t="shared" si="78"/>
        <v xml:space="preserve">-LAYER TR 0
S-PADS-EQPM  </v>
      </c>
      <c r="S600" s="11" t="str">
        <f t="shared" si="79"/>
        <v xml:space="preserve">-LAYER D Estructura - Plataforma: equipo
S-PADS-EQPM  </v>
      </c>
    </row>
    <row r="601" spans="1:19" x14ac:dyDescent="0.45">
      <c r="A601" s="7">
        <v>1</v>
      </c>
      <c r="B601" s="11" t="s">
        <v>3526</v>
      </c>
      <c r="C601" s="11" t="s">
        <v>45</v>
      </c>
      <c r="D601" s="11" t="s">
        <v>2437</v>
      </c>
      <c r="E601" s="11" t="str">
        <f t="shared" si="72"/>
        <v>S-PLAT (Estructura - Plataforma)</v>
      </c>
      <c r="F601" s="19" t="s">
        <v>3798</v>
      </c>
      <c r="G601" s="19" t="s">
        <v>3797</v>
      </c>
      <c r="H601" s="19" t="s">
        <v>3811</v>
      </c>
      <c r="I601" s="10">
        <v>0</v>
      </c>
      <c r="J601" s="10" t="str">
        <f t="shared" si="73"/>
        <v>Estructura - Plataforma</v>
      </c>
      <c r="K601" s="11" t="s">
        <v>2313</v>
      </c>
      <c r="L601" s="11" t="s">
        <v>44</v>
      </c>
      <c r="M601" s="11" t="s">
        <v>517</v>
      </c>
      <c r="N601" s="18" t="str">
        <f t="shared" si="74"/>
        <v xml:space="preserve">-LAYER N S-PLAT </v>
      </c>
      <c r="O601" s="11" t="str">
        <f t="shared" si="75"/>
        <v xml:space="preserve">-LAYER C white S-PLAT </v>
      </c>
      <c r="P601" s="11" t="str">
        <f t="shared" si="76"/>
        <v xml:space="preserve">-LAYER L Continuous
S-PLAT  </v>
      </c>
      <c r="Q601" s="11" t="str">
        <f t="shared" si="77"/>
        <v xml:space="preserve">-LAYER LW Default
S-PLAT  </v>
      </c>
      <c r="R601" s="11" t="str">
        <f t="shared" si="78"/>
        <v xml:space="preserve">-LAYER TR 0
S-PLAT  </v>
      </c>
      <c r="S601" s="11" t="str">
        <f t="shared" si="79"/>
        <v xml:space="preserve">-LAYER D Estructura - Plataforma
S-PLAT  </v>
      </c>
    </row>
    <row r="602" spans="1:19" x14ac:dyDescent="0.45">
      <c r="A602" s="7">
        <v>0</v>
      </c>
      <c r="B602" s="11" t="s">
        <v>3527</v>
      </c>
      <c r="C602" s="11" t="s">
        <v>45</v>
      </c>
      <c r="D602" s="11" t="s">
        <v>2438</v>
      </c>
      <c r="E602" s="11" t="str">
        <f t="shared" si="72"/>
        <v>S-PLAT-FRMG (Estructura - Plataforma: estructura)</v>
      </c>
      <c r="F602" s="19" t="s">
        <v>3798</v>
      </c>
      <c r="G602" s="19" t="s">
        <v>3797</v>
      </c>
      <c r="H602" s="19" t="s">
        <v>3811</v>
      </c>
      <c r="I602" s="10">
        <v>0</v>
      </c>
      <c r="J602" s="10" t="str">
        <f t="shared" si="73"/>
        <v>Estructura - Plataforma: estructura</v>
      </c>
      <c r="K602" s="11" t="s">
        <v>2314</v>
      </c>
      <c r="L602" s="11" t="s">
        <v>44</v>
      </c>
      <c r="M602" s="11" t="s">
        <v>2315</v>
      </c>
      <c r="N602" s="18" t="str">
        <f t="shared" si="74"/>
        <v xml:space="preserve">-LAYER N S-PLAT-FRMG </v>
      </c>
      <c r="O602" s="11" t="str">
        <f t="shared" si="75"/>
        <v xml:space="preserve">-LAYER C white S-PLAT-FRMG </v>
      </c>
      <c r="P602" s="11" t="str">
        <f t="shared" si="76"/>
        <v xml:space="preserve">-LAYER L Continuous
S-PLAT-FRMG  </v>
      </c>
      <c r="Q602" s="11" t="str">
        <f t="shared" si="77"/>
        <v xml:space="preserve">-LAYER LW Default
S-PLAT-FRMG  </v>
      </c>
      <c r="R602" s="11" t="str">
        <f t="shared" si="78"/>
        <v xml:space="preserve">-LAYER TR 0
S-PLAT-FRMG  </v>
      </c>
      <c r="S602" s="11" t="str">
        <f t="shared" si="79"/>
        <v xml:space="preserve">-LAYER D Estructura - Plataforma: estructura
S-PLAT-FRMG  </v>
      </c>
    </row>
    <row r="603" spans="1:19" x14ac:dyDescent="0.45">
      <c r="A603" s="7">
        <v>0</v>
      </c>
      <c r="B603" s="11" t="s">
        <v>3528</v>
      </c>
      <c r="C603" s="11" t="s">
        <v>45</v>
      </c>
      <c r="D603" s="11" t="s">
        <v>2439</v>
      </c>
      <c r="E603" s="11" t="str">
        <f t="shared" si="72"/>
        <v>S-PLAT-GRTG (Estructura - Plataforma: rejilla)</v>
      </c>
      <c r="F603" s="19" t="s">
        <v>3798</v>
      </c>
      <c r="G603" s="19" t="s">
        <v>3797</v>
      </c>
      <c r="H603" s="19" t="s">
        <v>3811</v>
      </c>
      <c r="I603" s="10">
        <v>0</v>
      </c>
      <c r="J603" s="10" t="str">
        <f t="shared" si="73"/>
        <v>Estructura - Plataforma: rejilla</v>
      </c>
      <c r="K603" s="11" t="s">
        <v>2316</v>
      </c>
      <c r="L603" s="11" t="s">
        <v>44</v>
      </c>
      <c r="M603" s="11" t="s">
        <v>2317</v>
      </c>
      <c r="N603" s="18" t="str">
        <f t="shared" si="74"/>
        <v xml:space="preserve">-LAYER N S-PLAT-GRTG </v>
      </c>
      <c r="O603" s="11" t="str">
        <f t="shared" si="75"/>
        <v xml:space="preserve">-LAYER C white S-PLAT-GRTG </v>
      </c>
      <c r="P603" s="11" t="str">
        <f t="shared" si="76"/>
        <v xml:space="preserve">-LAYER L Continuous
S-PLAT-GRTG  </v>
      </c>
      <c r="Q603" s="11" t="str">
        <f t="shared" si="77"/>
        <v xml:space="preserve">-LAYER LW Default
S-PLAT-GRTG  </v>
      </c>
      <c r="R603" s="11" t="str">
        <f t="shared" si="78"/>
        <v xml:space="preserve">-LAYER TR 0
S-PLAT-GRTG  </v>
      </c>
      <c r="S603" s="11" t="str">
        <f t="shared" si="79"/>
        <v xml:space="preserve">-LAYER D Estructura - Plataforma: rejilla
S-PLAT-GRTG  </v>
      </c>
    </row>
    <row r="604" spans="1:19" x14ac:dyDescent="0.45">
      <c r="A604" s="7">
        <v>0</v>
      </c>
      <c r="B604" s="11" t="s">
        <v>3529</v>
      </c>
      <c r="C604" s="11" t="s">
        <v>45</v>
      </c>
      <c r="D604" s="11" t="s">
        <v>595</v>
      </c>
      <c r="E604" s="11" t="str">
        <f t="shared" si="72"/>
        <v>S-SIGN (Estructura - Señal)</v>
      </c>
      <c r="F604" s="19" t="s">
        <v>3798</v>
      </c>
      <c r="G604" s="19" t="s">
        <v>3797</v>
      </c>
      <c r="H604" s="19" t="s">
        <v>3811</v>
      </c>
      <c r="I604" s="10">
        <v>0</v>
      </c>
      <c r="J604" s="10" t="str">
        <f t="shared" si="73"/>
        <v>Estructura - Señal</v>
      </c>
      <c r="K604" s="11" t="s">
        <v>2318</v>
      </c>
      <c r="L604" s="11" t="s">
        <v>44</v>
      </c>
      <c r="M604" s="11" t="s">
        <v>594</v>
      </c>
      <c r="N604" s="18" t="str">
        <f t="shared" si="74"/>
        <v xml:space="preserve">-LAYER N S-SIGN </v>
      </c>
      <c r="O604" s="11" t="str">
        <f t="shared" si="75"/>
        <v xml:space="preserve">-LAYER C white S-SIGN </v>
      </c>
      <c r="P604" s="11" t="str">
        <f t="shared" si="76"/>
        <v xml:space="preserve">-LAYER L Continuous
S-SIGN  </v>
      </c>
      <c r="Q604" s="11" t="str">
        <f t="shared" si="77"/>
        <v xml:space="preserve">-LAYER LW Default
S-SIGN  </v>
      </c>
      <c r="R604" s="11" t="str">
        <f t="shared" si="78"/>
        <v xml:space="preserve">-LAYER TR 0
S-SIGN  </v>
      </c>
      <c r="S604" s="11" t="str">
        <f t="shared" si="79"/>
        <v xml:space="preserve">-LAYER D Estructura - Señal
S-SIGN  </v>
      </c>
    </row>
    <row r="605" spans="1:19" x14ac:dyDescent="0.45">
      <c r="A605" s="7">
        <v>0</v>
      </c>
      <c r="B605" s="11" t="s">
        <v>3530</v>
      </c>
      <c r="C605" s="11" t="s">
        <v>45</v>
      </c>
      <c r="D605" s="11" t="s">
        <v>2440</v>
      </c>
      <c r="E605" s="11" t="str">
        <f t="shared" si="72"/>
        <v>S-SIGN-BOUY (Estructura - Señal: boya)</v>
      </c>
      <c r="F605" s="19" t="s">
        <v>3798</v>
      </c>
      <c r="G605" s="19" t="s">
        <v>3797</v>
      </c>
      <c r="H605" s="19" t="s">
        <v>3811</v>
      </c>
      <c r="I605" s="10">
        <v>0</v>
      </c>
      <c r="J605" s="10" t="str">
        <f t="shared" si="73"/>
        <v>Estructura - Señal: boya</v>
      </c>
      <c r="K605" s="11" t="s">
        <v>2319</v>
      </c>
      <c r="L605" s="11" t="s">
        <v>44</v>
      </c>
      <c r="M605" s="11" t="s">
        <v>2320</v>
      </c>
      <c r="N605" s="18" t="str">
        <f t="shared" si="74"/>
        <v xml:space="preserve">-LAYER N S-SIGN-BOUY </v>
      </c>
      <c r="O605" s="11" t="str">
        <f t="shared" si="75"/>
        <v xml:space="preserve">-LAYER C white S-SIGN-BOUY </v>
      </c>
      <c r="P605" s="11" t="str">
        <f t="shared" si="76"/>
        <v xml:space="preserve">-LAYER L Continuous
S-SIGN-BOUY  </v>
      </c>
      <c r="Q605" s="11" t="str">
        <f t="shared" si="77"/>
        <v xml:space="preserve">-LAYER LW Default
S-SIGN-BOUY  </v>
      </c>
      <c r="R605" s="11" t="str">
        <f t="shared" si="78"/>
        <v xml:space="preserve">-LAYER TR 0
S-SIGN-BOUY  </v>
      </c>
      <c r="S605" s="11" t="str">
        <f t="shared" si="79"/>
        <v xml:space="preserve">-LAYER D Estructura - Señal: boya
S-SIGN-BOUY  </v>
      </c>
    </row>
    <row r="606" spans="1:19" x14ac:dyDescent="0.45">
      <c r="A606" s="7">
        <v>0</v>
      </c>
      <c r="B606" s="11" t="s">
        <v>3531</v>
      </c>
      <c r="C606" s="11" t="s">
        <v>45</v>
      </c>
      <c r="D606" s="11" t="s">
        <v>2441</v>
      </c>
      <c r="E606" s="11" t="str">
        <f t="shared" si="72"/>
        <v>S-SIGN-FRMG (Estructura - Señal: estructura)</v>
      </c>
      <c r="F606" s="19" t="s">
        <v>3798</v>
      </c>
      <c r="G606" s="19" t="s">
        <v>3797</v>
      </c>
      <c r="H606" s="19" t="s">
        <v>3811</v>
      </c>
      <c r="I606" s="10">
        <v>0</v>
      </c>
      <c r="J606" s="10" t="str">
        <f t="shared" si="73"/>
        <v>Estructura - Señal: estructura</v>
      </c>
      <c r="K606" s="11" t="s">
        <v>2321</v>
      </c>
      <c r="L606" s="11" t="s">
        <v>44</v>
      </c>
      <c r="M606" s="11" t="s">
        <v>2322</v>
      </c>
      <c r="N606" s="18" t="str">
        <f t="shared" si="74"/>
        <v xml:space="preserve">-LAYER N S-SIGN-FRMG </v>
      </c>
      <c r="O606" s="11" t="str">
        <f t="shared" si="75"/>
        <v xml:space="preserve">-LAYER C white S-SIGN-FRMG </v>
      </c>
      <c r="P606" s="11" t="str">
        <f t="shared" si="76"/>
        <v xml:space="preserve">-LAYER L Continuous
S-SIGN-FRMG  </v>
      </c>
      <c r="Q606" s="11" t="str">
        <f t="shared" si="77"/>
        <v xml:space="preserve">-LAYER LW Default
S-SIGN-FRMG  </v>
      </c>
      <c r="R606" s="11" t="str">
        <f t="shared" si="78"/>
        <v xml:space="preserve">-LAYER TR 0
S-SIGN-FRMG  </v>
      </c>
      <c r="S606" s="11" t="str">
        <f t="shared" si="79"/>
        <v xml:space="preserve">-LAYER D Estructura - Señal: estructura
S-SIGN-FRMG  </v>
      </c>
    </row>
    <row r="607" spans="1:19" x14ac:dyDescent="0.45">
      <c r="A607" s="7">
        <v>0</v>
      </c>
      <c r="B607" s="11" t="s">
        <v>3532</v>
      </c>
      <c r="C607" s="11" t="s">
        <v>45</v>
      </c>
      <c r="D607" s="11" t="s">
        <v>2442</v>
      </c>
      <c r="E607" s="11" t="str">
        <f t="shared" si="72"/>
        <v>S-SIGN-GAGE (Estructura - Señal: calibrador (mira))</v>
      </c>
      <c r="F607" s="19" t="s">
        <v>3798</v>
      </c>
      <c r="G607" s="19" t="s">
        <v>3797</v>
      </c>
      <c r="H607" s="19" t="s">
        <v>3811</v>
      </c>
      <c r="I607" s="10">
        <v>0</v>
      </c>
      <c r="J607" s="10" t="str">
        <f t="shared" si="73"/>
        <v>Estructura - Señal: calibrador (mira)</v>
      </c>
      <c r="K607" s="11" t="s">
        <v>2323</v>
      </c>
      <c r="L607" s="11" t="s">
        <v>44</v>
      </c>
      <c r="M607" s="11" t="s">
        <v>2324</v>
      </c>
      <c r="N607" s="18" t="str">
        <f t="shared" si="74"/>
        <v xml:space="preserve">-LAYER N S-SIGN-GAGE </v>
      </c>
      <c r="O607" s="11" t="str">
        <f t="shared" si="75"/>
        <v xml:space="preserve">-LAYER C white S-SIGN-GAGE </v>
      </c>
      <c r="P607" s="11" t="str">
        <f t="shared" si="76"/>
        <v xml:space="preserve">-LAYER L Continuous
S-SIGN-GAGE  </v>
      </c>
      <c r="Q607" s="11" t="str">
        <f t="shared" si="77"/>
        <v xml:space="preserve">-LAYER LW Default
S-SIGN-GAGE  </v>
      </c>
      <c r="R607" s="11" t="str">
        <f t="shared" si="78"/>
        <v xml:space="preserve">-LAYER TR 0
S-SIGN-GAGE  </v>
      </c>
      <c r="S607" s="11" t="str">
        <f t="shared" si="79"/>
        <v xml:space="preserve">-LAYER D Estructura - Señal: calibrador (mira)
S-SIGN-GAGE  </v>
      </c>
    </row>
    <row r="608" spans="1:19" x14ac:dyDescent="0.45">
      <c r="A608" s="7">
        <v>0</v>
      </c>
      <c r="B608" s="11" t="s">
        <v>3533</v>
      </c>
      <c r="C608" s="11" t="s">
        <v>45</v>
      </c>
      <c r="D608" s="11" t="s">
        <v>2443</v>
      </c>
      <c r="E608" s="11" t="str">
        <f t="shared" si="72"/>
        <v>S-SIGN-TEXT (Estructura - Señal: texto de señalización)</v>
      </c>
      <c r="F608" s="19" t="s">
        <v>3798</v>
      </c>
      <c r="G608" s="19" t="s">
        <v>3797</v>
      </c>
      <c r="H608" s="19" t="s">
        <v>3811</v>
      </c>
      <c r="I608" s="10">
        <v>0</v>
      </c>
      <c r="J608" s="10" t="str">
        <f t="shared" si="73"/>
        <v>Estructura - Señal: texto de señalización</v>
      </c>
      <c r="K608" s="11" t="s">
        <v>2325</v>
      </c>
      <c r="L608" s="11" t="s">
        <v>44</v>
      </c>
      <c r="M608" s="11" t="s">
        <v>2326</v>
      </c>
      <c r="N608" s="18" t="str">
        <f t="shared" si="74"/>
        <v xml:space="preserve">-LAYER N S-SIGN-TEXT </v>
      </c>
      <c r="O608" s="11" t="str">
        <f t="shared" si="75"/>
        <v xml:space="preserve">-LAYER C white S-SIGN-TEXT </v>
      </c>
      <c r="P608" s="11" t="str">
        <f t="shared" si="76"/>
        <v xml:space="preserve">-LAYER L Continuous
S-SIGN-TEXT  </v>
      </c>
      <c r="Q608" s="11" t="str">
        <f t="shared" si="77"/>
        <v xml:space="preserve">-LAYER LW Default
S-SIGN-TEXT  </v>
      </c>
      <c r="R608" s="11" t="str">
        <f t="shared" si="78"/>
        <v xml:space="preserve">-LAYER TR 0
S-SIGN-TEXT  </v>
      </c>
      <c r="S608" s="11" t="str">
        <f t="shared" si="79"/>
        <v xml:space="preserve">-LAYER D Estructura - Señal: texto de señalización
S-SIGN-TEXT  </v>
      </c>
    </row>
    <row r="609" spans="1:19" x14ac:dyDescent="0.45">
      <c r="A609" s="7">
        <v>0</v>
      </c>
      <c r="B609" s="11" t="s">
        <v>3534</v>
      </c>
      <c r="C609" s="11" t="s">
        <v>45</v>
      </c>
      <c r="D609" s="11" t="s">
        <v>2444</v>
      </c>
      <c r="E609" s="11" t="str">
        <f t="shared" si="72"/>
        <v>S-SIGN-XTRU (Estructura - Señal: extrusión)</v>
      </c>
      <c r="F609" s="19" t="s">
        <v>3798</v>
      </c>
      <c r="G609" s="19" t="s">
        <v>3797</v>
      </c>
      <c r="H609" s="19" t="s">
        <v>3811</v>
      </c>
      <c r="I609" s="10">
        <v>0</v>
      </c>
      <c r="J609" s="10" t="str">
        <f t="shared" si="73"/>
        <v>Estructura - Señal: extrusión</v>
      </c>
      <c r="K609" s="11" t="s">
        <v>2327</v>
      </c>
      <c r="L609" s="11" t="s">
        <v>44</v>
      </c>
      <c r="M609" s="11" t="s">
        <v>2328</v>
      </c>
      <c r="N609" s="18" t="str">
        <f t="shared" si="74"/>
        <v xml:space="preserve">-LAYER N S-SIGN-XTRU </v>
      </c>
      <c r="O609" s="11" t="str">
        <f t="shared" si="75"/>
        <v xml:space="preserve">-LAYER C white S-SIGN-XTRU </v>
      </c>
      <c r="P609" s="11" t="str">
        <f t="shared" si="76"/>
        <v xml:space="preserve">-LAYER L Continuous
S-SIGN-XTRU  </v>
      </c>
      <c r="Q609" s="11" t="str">
        <f t="shared" si="77"/>
        <v xml:space="preserve">-LAYER LW Default
S-SIGN-XTRU  </v>
      </c>
      <c r="R609" s="11" t="str">
        <f t="shared" si="78"/>
        <v xml:space="preserve">-LAYER TR 0
S-SIGN-XTRU  </v>
      </c>
      <c r="S609" s="11" t="str">
        <f t="shared" si="79"/>
        <v xml:space="preserve">-LAYER D Estructura - Señal: extrusión
S-SIGN-XTRU  </v>
      </c>
    </row>
    <row r="610" spans="1:19" x14ac:dyDescent="0.45">
      <c r="A610" s="7">
        <v>1</v>
      </c>
      <c r="B610" s="11" t="s">
        <v>3535</v>
      </c>
      <c r="C610" s="11" t="s">
        <v>45</v>
      </c>
      <c r="D610" s="11" t="s">
        <v>601</v>
      </c>
      <c r="E610" s="11" t="str">
        <f t="shared" si="72"/>
        <v>S-SLAB (Estructura - Losa)</v>
      </c>
      <c r="F610" s="19" t="s">
        <v>3798</v>
      </c>
      <c r="G610" s="19" t="s">
        <v>3797</v>
      </c>
      <c r="H610" s="19" t="s">
        <v>3811</v>
      </c>
      <c r="I610" s="10">
        <v>0</v>
      </c>
      <c r="J610" s="10" t="str">
        <f t="shared" si="73"/>
        <v>Estructura - Losa</v>
      </c>
      <c r="K610" s="11" t="s">
        <v>2329</v>
      </c>
      <c r="L610" s="11" t="s">
        <v>44</v>
      </c>
      <c r="M610" s="11" t="s">
        <v>600</v>
      </c>
      <c r="N610" s="18" t="str">
        <f t="shared" si="74"/>
        <v xml:space="preserve">-LAYER N S-SLAB </v>
      </c>
      <c r="O610" s="11" t="str">
        <f t="shared" si="75"/>
        <v xml:space="preserve">-LAYER C white S-SLAB </v>
      </c>
      <c r="P610" s="11" t="str">
        <f t="shared" si="76"/>
        <v xml:space="preserve">-LAYER L Continuous
S-SLAB  </v>
      </c>
      <c r="Q610" s="11" t="str">
        <f t="shared" si="77"/>
        <v xml:space="preserve">-LAYER LW Default
S-SLAB  </v>
      </c>
      <c r="R610" s="11" t="str">
        <f t="shared" si="78"/>
        <v xml:space="preserve">-LAYER TR 0
S-SLAB  </v>
      </c>
      <c r="S610" s="11" t="str">
        <f t="shared" si="79"/>
        <v xml:space="preserve">-LAYER D Estructura - Losa
S-SLAB  </v>
      </c>
    </row>
    <row r="611" spans="1:19" x14ac:dyDescent="0.45">
      <c r="A611" s="7">
        <v>0</v>
      </c>
      <c r="B611" s="11" t="s">
        <v>3536</v>
      </c>
      <c r="C611" s="11" t="s">
        <v>45</v>
      </c>
      <c r="D611" s="11" t="s">
        <v>2445</v>
      </c>
      <c r="E611" s="11" t="str">
        <f t="shared" si="72"/>
        <v>S-SLAB-CONC (Estructura - Losa: hormigón)</v>
      </c>
      <c r="F611" s="19" t="s">
        <v>3798</v>
      </c>
      <c r="G611" s="19" t="s">
        <v>3797</v>
      </c>
      <c r="H611" s="19" t="s">
        <v>3811</v>
      </c>
      <c r="I611" s="10">
        <v>0</v>
      </c>
      <c r="J611" s="10" t="str">
        <f t="shared" si="73"/>
        <v>Estructura - Losa: hormigón</v>
      </c>
      <c r="K611" s="11" t="s">
        <v>2330</v>
      </c>
      <c r="L611" s="11" t="s">
        <v>44</v>
      </c>
      <c r="M611" s="11" t="s">
        <v>2331</v>
      </c>
      <c r="N611" s="18" t="str">
        <f t="shared" si="74"/>
        <v xml:space="preserve">-LAYER N S-SLAB-CONC </v>
      </c>
      <c r="O611" s="11" t="str">
        <f t="shared" si="75"/>
        <v xml:space="preserve">-LAYER C white S-SLAB-CONC </v>
      </c>
      <c r="P611" s="11" t="str">
        <f t="shared" si="76"/>
        <v xml:space="preserve">-LAYER L Continuous
S-SLAB-CONC  </v>
      </c>
      <c r="Q611" s="11" t="str">
        <f t="shared" si="77"/>
        <v xml:space="preserve">-LAYER LW Default
S-SLAB-CONC  </v>
      </c>
      <c r="R611" s="11" t="str">
        <f t="shared" si="78"/>
        <v xml:space="preserve">-LAYER TR 0
S-SLAB-CONC  </v>
      </c>
      <c r="S611" s="11" t="str">
        <f t="shared" si="79"/>
        <v xml:space="preserve">-LAYER D Estructura - Losa: hormigón
S-SLAB-CONC  </v>
      </c>
    </row>
    <row r="612" spans="1:19" x14ac:dyDescent="0.45">
      <c r="A612" s="7">
        <v>0</v>
      </c>
      <c r="B612" s="11" t="s">
        <v>3537</v>
      </c>
      <c r="C612" s="11" t="s">
        <v>45</v>
      </c>
      <c r="D612" s="11" t="s">
        <v>2446</v>
      </c>
      <c r="E612" s="11" t="str">
        <f t="shared" si="72"/>
        <v>S-SLAB-EDGE (Estructura - Losa: Borde)</v>
      </c>
      <c r="F612" s="19" t="s">
        <v>3798</v>
      </c>
      <c r="G612" s="19" t="s">
        <v>3797</v>
      </c>
      <c r="H612" s="19" t="s">
        <v>3811</v>
      </c>
      <c r="I612" s="10">
        <v>0</v>
      </c>
      <c r="J612" s="10" t="str">
        <f t="shared" si="73"/>
        <v>Estructura - Losa: Borde</v>
      </c>
      <c r="K612" s="11" t="s">
        <v>2332</v>
      </c>
      <c r="L612" s="11" t="s">
        <v>44</v>
      </c>
      <c r="M612" s="11" t="s">
        <v>2333</v>
      </c>
      <c r="N612" s="18" t="str">
        <f t="shared" si="74"/>
        <v xml:space="preserve">-LAYER N S-SLAB-EDGE </v>
      </c>
      <c r="O612" s="11" t="str">
        <f t="shared" si="75"/>
        <v xml:space="preserve">-LAYER C white S-SLAB-EDGE </v>
      </c>
      <c r="P612" s="11" t="str">
        <f t="shared" si="76"/>
        <v xml:space="preserve">-LAYER L Continuous
S-SLAB-EDGE  </v>
      </c>
      <c r="Q612" s="11" t="str">
        <f t="shared" si="77"/>
        <v xml:space="preserve">-LAYER LW Default
S-SLAB-EDGE  </v>
      </c>
      <c r="R612" s="11" t="str">
        <f t="shared" si="78"/>
        <v xml:space="preserve">-LAYER TR 0
S-SLAB-EDGE  </v>
      </c>
      <c r="S612" s="11" t="str">
        <f t="shared" si="79"/>
        <v xml:space="preserve">-LAYER D Estructura - Losa: Borde
S-SLAB-EDGE  </v>
      </c>
    </row>
    <row r="613" spans="1:19" x14ac:dyDescent="0.45">
      <c r="A613" s="7">
        <v>0</v>
      </c>
      <c r="B613" s="11" t="s">
        <v>3538</v>
      </c>
      <c r="C613" s="11" t="s">
        <v>45</v>
      </c>
      <c r="D613" s="11" t="s">
        <v>2447</v>
      </c>
      <c r="E613" s="11" t="str">
        <f t="shared" si="72"/>
        <v>S-SLAB-OPNG (Estructura - Losa: Aberturas (y depresiones))</v>
      </c>
      <c r="F613" s="19" t="s">
        <v>3798</v>
      </c>
      <c r="G613" s="19" t="s">
        <v>3797</v>
      </c>
      <c r="H613" s="19" t="s">
        <v>3811</v>
      </c>
      <c r="I613" s="10">
        <v>0</v>
      </c>
      <c r="J613" s="10" t="str">
        <f t="shared" si="73"/>
        <v>Estructura - Losa: Aberturas (y depresiones)</v>
      </c>
      <c r="K613" s="11" t="s">
        <v>2334</v>
      </c>
      <c r="L613" s="11" t="s">
        <v>44</v>
      </c>
      <c r="M613" s="11" t="s">
        <v>2335</v>
      </c>
      <c r="N613" s="18" t="str">
        <f t="shared" si="74"/>
        <v xml:space="preserve">-LAYER N S-SLAB-OPNG </v>
      </c>
      <c r="O613" s="11" t="str">
        <f t="shared" si="75"/>
        <v xml:space="preserve">-LAYER C white S-SLAB-OPNG </v>
      </c>
      <c r="P613" s="11" t="str">
        <f t="shared" si="76"/>
        <v xml:space="preserve">-LAYER L Continuous
S-SLAB-OPNG  </v>
      </c>
      <c r="Q613" s="11" t="str">
        <f t="shared" si="77"/>
        <v xml:space="preserve">-LAYER LW Default
S-SLAB-OPNG  </v>
      </c>
      <c r="R613" s="11" t="str">
        <f t="shared" si="78"/>
        <v xml:space="preserve">-LAYER TR 0
S-SLAB-OPNG  </v>
      </c>
      <c r="S613" s="11" t="str">
        <f t="shared" si="79"/>
        <v xml:space="preserve">-LAYER D Estructura - Losa: Aberturas (y depresiones)
S-SLAB-OPNG  </v>
      </c>
    </row>
    <row r="614" spans="1:19" x14ac:dyDescent="0.45">
      <c r="A614" s="7">
        <v>0</v>
      </c>
      <c r="B614" s="11" t="s">
        <v>3539</v>
      </c>
      <c r="C614" s="11" t="s">
        <v>45</v>
      </c>
      <c r="D614" s="11" t="s">
        <v>2448</v>
      </c>
      <c r="E614" s="11" t="str">
        <f t="shared" si="72"/>
        <v>S-SLAB-OPNX (Estructura - Losa: Indicación de abertura ("x"))</v>
      </c>
      <c r="F614" s="19" t="s">
        <v>3798</v>
      </c>
      <c r="G614" s="19" t="s">
        <v>3797</v>
      </c>
      <c r="H614" s="19" t="s">
        <v>3811</v>
      </c>
      <c r="I614" s="10">
        <v>0</v>
      </c>
      <c r="J614" s="10" t="str">
        <f t="shared" si="73"/>
        <v>Estructura - Losa: Indicación de abertura ("x")</v>
      </c>
      <c r="K614" s="11" t="s">
        <v>2336</v>
      </c>
      <c r="L614" s="11" t="s">
        <v>44</v>
      </c>
      <c r="M614" s="11" t="s">
        <v>2337</v>
      </c>
      <c r="N614" s="18" t="str">
        <f t="shared" si="74"/>
        <v xml:space="preserve">-LAYER N S-SLAB-OPNX </v>
      </c>
      <c r="O614" s="11" t="str">
        <f t="shared" si="75"/>
        <v xml:space="preserve">-LAYER C white S-SLAB-OPNX </v>
      </c>
      <c r="P614" s="11" t="str">
        <f t="shared" si="76"/>
        <v xml:space="preserve">-LAYER L Continuous
S-SLAB-OPNX  </v>
      </c>
      <c r="Q614" s="11" t="str">
        <f t="shared" si="77"/>
        <v xml:space="preserve">-LAYER LW Default
S-SLAB-OPNX  </v>
      </c>
      <c r="R614" s="11" t="str">
        <f t="shared" si="78"/>
        <v xml:space="preserve">-LAYER TR 0
S-SLAB-OPNX  </v>
      </c>
      <c r="S614" s="11" t="str">
        <f t="shared" si="79"/>
        <v xml:space="preserve">-LAYER D Estructura - Losa: Indicación de abertura ("x")
S-SLAB-OPNX  </v>
      </c>
    </row>
    <row r="615" spans="1:19" x14ac:dyDescent="0.45">
      <c r="A615" s="7">
        <v>0</v>
      </c>
      <c r="B615" s="11" t="s">
        <v>3540</v>
      </c>
      <c r="C615" s="11" t="s">
        <v>45</v>
      </c>
      <c r="D615" s="11" t="s">
        <v>2449</v>
      </c>
      <c r="E615" s="11" t="str">
        <f t="shared" si="72"/>
        <v>S-SLAB-STEL (Estructura - Losa: Acero)</v>
      </c>
      <c r="F615" s="19" t="s">
        <v>3798</v>
      </c>
      <c r="G615" s="19" t="s">
        <v>3797</v>
      </c>
      <c r="H615" s="19" t="s">
        <v>3811</v>
      </c>
      <c r="I615" s="10">
        <v>0</v>
      </c>
      <c r="J615" s="10" t="str">
        <f t="shared" si="73"/>
        <v>Estructura - Losa: Acero</v>
      </c>
      <c r="K615" s="11" t="s">
        <v>2338</v>
      </c>
      <c r="L615" s="11" t="s">
        <v>44</v>
      </c>
      <c r="M615" s="11" t="s">
        <v>2339</v>
      </c>
      <c r="N615" s="18" t="str">
        <f t="shared" si="74"/>
        <v xml:space="preserve">-LAYER N S-SLAB-STEL </v>
      </c>
      <c r="O615" s="11" t="str">
        <f t="shared" si="75"/>
        <v xml:space="preserve">-LAYER C white S-SLAB-STEL </v>
      </c>
      <c r="P615" s="11" t="str">
        <f t="shared" si="76"/>
        <v xml:space="preserve">-LAYER L Continuous
S-SLAB-STEL  </v>
      </c>
      <c r="Q615" s="11" t="str">
        <f t="shared" si="77"/>
        <v xml:space="preserve">-LAYER LW Default
S-SLAB-STEL  </v>
      </c>
      <c r="R615" s="11" t="str">
        <f t="shared" si="78"/>
        <v xml:space="preserve">-LAYER TR 0
S-SLAB-STEL  </v>
      </c>
      <c r="S615" s="11" t="str">
        <f t="shared" si="79"/>
        <v xml:space="preserve">-LAYER D Estructura - Losa: Acero
S-SLAB-STEL  </v>
      </c>
    </row>
    <row r="616" spans="1:19" x14ac:dyDescent="0.45">
      <c r="A616" s="7">
        <v>0</v>
      </c>
      <c r="B616" s="11" t="s">
        <v>3541</v>
      </c>
      <c r="C616" s="11" t="s">
        <v>45</v>
      </c>
      <c r="D616" s="11" t="s">
        <v>2450</v>
      </c>
      <c r="E616" s="11" t="str">
        <f t="shared" si="72"/>
        <v>S-SLAB-WOOD (Estructura - Losa: Madera)</v>
      </c>
      <c r="F616" s="19" t="s">
        <v>3798</v>
      </c>
      <c r="G616" s="19" t="s">
        <v>3797</v>
      </c>
      <c r="H616" s="19" t="s">
        <v>3811</v>
      </c>
      <c r="I616" s="10">
        <v>0</v>
      </c>
      <c r="J616" s="10" t="str">
        <f t="shared" si="73"/>
        <v>Estructura - Losa: Madera</v>
      </c>
      <c r="K616" s="11" t="s">
        <v>2340</v>
      </c>
      <c r="L616" s="11" t="s">
        <v>44</v>
      </c>
      <c r="M616" s="11" t="s">
        <v>2341</v>
      </c>
      <c r="N616" s="18" t="str">
        <f t="shared" si="74"/>
        <v xml:space="preserve">-LAYER N S-SLAB-WOOD </v>
      </c>
      <c r="O616" s="11" t="str">
        <f t="shared" si="75"/>
        <v xml:space="preserve">-LAYER C white S-SLAB-WOOD </v>
      </c>
      <c r="P616" s="11" t="str">
        <f t="shared" si="76"/>
        <v xml:space="preserve">-LAYER L Continuous
S-SLAB-WOOD  </v>
      </c>
      <c r="Q616" s="11" t="str">
        <f t="shared" si="77"/>
        <v xml:space="preserve">-LAYER LW Default
S-SLAB-WOOD  </v>
      </c>
      <c r="R616" s="11" t="str">
        <f t="shared" si="78"/>
        <v xml:space="preserve">-LAYER TR 0
S-SLAB-WOOD  </v>
      </c>
      <c r="S616" s="11" t="str">
        <f t="shared" si="79"/>
        <v xml:space="preserve">-LAYER D Estructura - Losa: Madera
S-SLAB-WOOD  </v>
      </c>
    </row>
    <row r="617" spans="1:19" x14ac:dyDescent="0.45">
      <c r="A617" s="7">
        <v>1</v>
      </c>
      <c r="B617" s="11" t="s">
        <v>3542</v>
      </c>
      <c r="C617" s="11" t="s">
        <v>45</v>
      </c>
      <c r="D617" s="11" t="s">
        <v>631</v>
      </c>
      <c r="E617" s="11" t="str">
        <f t="shared" si="72"/>
        <v>S-STIF (Estructura - Refuerzo)</v>
      </c>
      <c r="F617" s="19" t="s">
        <v>3798</v>
      </c>
      <c r="G617" s="19" t="s">
        <v>3797</v>
      </c>
      <c r="H617" s="19" t="s">
        <v>3811</v>
      </c>
      <c r="I617" s="10">
        <v>0</v>
      </c>
      <c r="J617" s="10" t="str">
        <f t="shared" si="73"/>
        <v>Estructura - Refuerzo</v>
      </c>
      <c r="K617" s="11" t="s">
        <v>2342</v>
      </c>
      <c r="L617" s="11" t="s">
        <v>44</v>
      </c>
      <c r="M617" s="11" t="s">
        <v>630</v>
      </c>
      <c r="N617" s="18" t="str">
        <f t="shared" si="74"/>
        <v xml:space="preserve">-LAYER N S-STIF </v>
      </c>
      <c r="O617" s="11" t="str">
        <f t="shared" si="75"/>
        <v xml:space="preserve">-LAYER C white S-STIF </v>
      </c>
      <c r="P617" s="11" t="str">
        <f t="shared" si="76"/>
        <v xml:space="preserve">-LAYER L Continuous
S-STIF  </v>
      </c>
      <c r="Q617" s="11" t="str">
        <f t="shared" si="77"/>
        <v xml:space="preserve">-LAYER LW Default
S-STIF  </v>
      </c>
      <c r="R617" s="11" t="str">
        <f t="shared" si="78"/>
        <v xml:space="preserve">-LAYER TR 0
S-STIF  </v>
      </c>
      <c r="S617" s="11" t="str">
        <f t="shared" si="79"/>
        <v xml:space="preserve">-LAYER D Estructura - Refuerzo
S-STIF  </v>
      </c>
    </row>
    <row r="618" spans="1:19" x14ac:dyDescent="0.45">
      <c r="A618" s="7">
        <v>0</v>
      </c>
      <c r="B618" s="11" t="s">
        <v>3543</v>
      </c>
      <c r="C618" s="11" t="s">
        <v>45</v>
      </c>
      <c r="D618" s="11" t="s">
        <v>2451</v>
      </c>
      <c r="E618" s="11" t="str">
        <f t="shared" si="72"/>
        <v>S-STIF-LONG (Estructura - Refuerzo: Longitudinal)</v>
      </c>
      <c r="F618" s="19" t="s">
        <v>3798</v>
      </c>
      <c r="G618" s="19" t="s">
        <v>3797</v>
      </c>
      <c r="H618" s="19" t="s">
        <v>3811</v>
      </c>
      <c r="I618" s="10">
        <v>0</v>
      </c>
      <c r="J618" s="10" t="str">
        <f t="shared" si="73"/>
        <v>Estructura - Refuerzo: Longitudinal</v>
      </c>
      <c r="K618" s="11" t="s">
        <v>2343</v>
      </c>
      <c r="L618" s="11" t="s">
        <v>44</v>
      </c>
      <c r="M618" s="11" t="s">
        <v>2344</v>
      </c>
      <c r="N618" s="18" t="str">
        <f t="shared" si="74"/>
        <v xml:space="preserve">-LAYER N S-STIF-LONG </v>
      </c>
      <c r="O618" s="11" t="str">
        <f t="shared" si="75"/>
        <v xml:space="preserve">-LAYER C white S-STIF-LONG </v>
      </c>
      <c r="P618" s="11" t="str">
        <f t="shared" si="76"/>
        <v xml:space="preserve">-LAYER L Continuous
S-STIF-LONG  </v>
      </c>
      <c r="Q618" s="11" t="str">
        <f t="shared" si="77"/>
        <v xml:space="preserve">-LAYER LW Default
S-STIF-LONG  </v>
      </c>
      <c r="R618" s="11" t="str">
        <f t="shared" si="78"/>
        <v xml:space="preserve">-LAYER TR 0
S-STIF-LONG  </v>
      </c>
      <c r="S618" s="11" t="str">
        <f t="shared" si="79"/>
        <v xml:space="preserve">-LAYER D Estructura - Refuerzo: Longitudinal
S-STIF-LONG  </v>
      </c>
    </row>
    <row r="619" spans="1:19" x14ac:dyDescent="0.45">
      <c r="A619" s="7">
        <v>0</v>
      </c>
      <c r="B619" s="11" t="s">
        <v>3544</v>
      </c>
      <c r="C619" s="11" t="s">
        <v>45</v>
      </c>
      <c r="D619" s="11" t="s">
        <v>2452</v>
      </c>
      <c r="E619" s="11" t="str">
        <f t="shared" si="72"/>
        <v>S-STIF-TRAV (Estructura - Refuerzo: Transversal)</v>
      </c>
      <c r="F619" s="19" t="s">
        <v>3798</v>
      </c>
      <c r="G619" s="19" t="s">
        <v>3797</v>
      </c>
      <c r="H619" s="19" t="s">
        <v>3811</v>
      </c>
      <c r="I619" s="10">
        <v>0</v>
      </c>
      <c r="J619" s="10" t="str">
        <f t="shared" si="73"/>
        <v>Estructura - Refuerzo: Transversal</v>
      </c>
      <c r="K619" s="11" t="s">
        <v>2345</v>
      </c>
      <c r="L619" s="11" t="s">
        <v>44</v>
      </c>
      <c r="M619" s="11" t="s">
        <v>2346</v>
      </c>
      <c r="N619" s="18" t="str">
        <f t="shared" si="74"/>
        <v xml:space="preserve">-LAYER N S-STIF-TRAV </v>
      </c>
      <c r="O619" s="11" t="str">
        <f t="shared" si="75"/>
        <v xml:space="preserve">-LAYER C white S-STIF-TRAV </v>
      </c>
      <c r="P619" s="11" t="str">
        <f t="shared" si="76"/>
        <v xml:space="preserve">-LAYER L Continuous
S-STIF-TRAV  </v>
      </c>
      <c r="Q619" s="11" t="str">
        <f t="shared" si="77"/>
        <v xml:space="preserve">-LAYER LW Default
S-STIF-TRAV  </v>
      </c>
      <c r="R619" s="11" t="str">
        <f t="shared" si="78"/>
        <v xml:space="preserve">-LAYER TR 0
S-STIF-TRAV  </v>
      </c>
      <c r="S619" s="11" t="str">
        <f t="shared" si="79"/>
        <v xml:space="preserve">-LAYER D Estructura - Refuerzo: Transversal
S-STIF-TRAV  </v>
      </c>
    </row>
    <row r="620" spans="1:19" x14ac:dyDescent="0.45">
      <c r="A620" s="7">
        <v>1</v>
      </c>
      <c r="B620" s="11" t="s">
        <v>3545</v>
      </c>
      <c r="C620" s="11" t="s">
        <v>45</v>
      </c>
      <c r="D620" s="11" t="s">
        <v>637</v>
      </c>
      <c r="E620" s="11" t="str">
        <f t="shared" si="72"/>
        <v>S-STRS (Estructura - Escaleras)</v>
      </c>
      <c r="F620" s="10" t="s">
        <v>3800</v>
      </c>
      <c r="G620" s="10" t="s">
        <v>3797</v>
      </c>
      <c r="H620" s="10">
        <v>0.4</v>
      </c>
      <c r="I620" s="10">
        <v>0</v>
      </c>
      <c r="J620" s="10" t="str">
        <f t="shared" si="73"/>
        <v>Estructura - Escaleras</v>
      </c>
      <c r="K620" s="11" t="s">
        <v>2347</v>
      </c>
      <c r="L620" s="11" t="s">
        <v>44</v>
      </c>
      <c r="M620" s="11" t="s">
        <v>636</v>
      </c>
      <c r="N620" s="18" t="str">
        <f t="shared" si="74"/>
        <v xml:space="preserve">-LAYER N S-STRS </v>
      </c>
      <c r="O620" s="11" t="str">
        <f t="shared" si="75"/>
        <v xml:space="preserve">-LAYER C cyan S-STRS </v>
      </c>
      <c r="P620" s="11" t="str">
        <f t="shared" si="76"/>
        <v xml:space="preserve">-LAYER L Continuous
S-STRS  </v>
      </c>
      <c r="Q620" s="11" t="str">
        <f t="shared" si="77"/>
        <v xml:space="preserve">-LAYER LW 0.4
S-STRS  </v>
      </c>
      <c r="R620" s="11" t="str">
        <f t="shared" si="78"/>
        <v xml:space="preserve">-LAYER TR 0
S-STRS  </v>
      </c>
      <c r="S620" s="11" t="str">
        <f t="shared" si="79"/>
        <v xml:space="preserve">-LAYER D Estructura - Escaleras
S-STRS  </v>
      </c>
    </row>
    <row r="621" spans="1:19" x14ac:dyDescent="0.45">
      <c r="A621" s="7">
        <v>0</v>
      </c>
      <c r="B621" s="11" t="s">
        <v>3546</v>
      </c>
      <c r="C621" s="11" t="s">
        <v>45</v>
      </c>
      <c r="D621" s="11" t="s">
        <v>2453</v>
      </c>
      <c r="E621" s="11" t="str">
        <f t="shared" si="72"/>
        <v>S-STRS-LADD (Estructura - Escaleras: Escaleras y conjuntos de escaleras)</v>
      </c>
      <c r="F621" s="19" t="s">
        <v>3798</v>
      </c>
      <c r="G621" s="19" t="s">
        <v>3797</v>
      </c>
      <c r="H621" s="19" t="s">
        <v>3811</v>
      </c>
      <c r="I621" s="10">
        <v>0</v>
      </c>
      <c r="J621" s="10" t="str">
        <f t="shared" si="73"/>
        <v>Estructura - Escaleras: Escaleras y conjuntos de escaleras</v>
      </c>
      <c r="K621" s="11" t="s">
        <v>2348</v>
      </c>
      <c r="L621" s="11" t="s">
        <v>44</v>
      </c>
      <c r="M621" s="11" t="s">
        <v>2349</v>
      </c>
      <c r="N621" s="18" t="str">
        <f t="shared" si="74"/>
        <v xml:space="preserve">-LAYER N S-STRS-LADD </v>
      </c>
      <c r="O621" s="11" t="str">
        <f t="shared" si="75"/>
        <v xml:space="preserve">-LAYER C white S-STRS-LADD </v>
      </c>
      <c r="P621" s="11" t="str">
        <f t="shared" si="76"/>
        <v xml:space="preserve">-LAYER L Continuous
S-STRS-LADD  </v>
      </c>
      <c r="Q621" s="11" t="str">
        <f t="shared" si="77"/>
        <v xml:space="preserve">-LAYER LW Default
S-STRS-LADD  </v>
      </c>
      <c r="R621" s="11" t="str">
        <f t="shared" si="78"/>
        <v xml:space="preserve">-LAYER TR 0
S-STRS-LADD  </v>
      </c>
      <c r="S621" s="11" t="str">
        <f t="shared" si="79"/>
        <v xml:space="preserve">-LAYER D Estructura - Escaleras: Escaleras y conjuntos de escaleras
S-STRS-LADD  </v>
      </c>
    </row>
    <row r="622" spans="1:19" x14ac:dyDescent="0.45">
      <c r="A622" s="7">
        <v>1</v>
      </c>
      <c r="B622" s="11" t="s">
        <v>3547</v>
      </c>
      <c r="C622" s="11" t="s">
        <v>45</v>
      </c>
      <c r="D622" s="11" t="s">
        <v>664</v>
      </c>
      <c r="E622" s="11" t="str">
        <f t="shared" si="72"/>
        <v>S-TRUS (Estructura - Cerchas)</v>
      </c>
      <c r="F622" s="19" t="s">
        <v>3798</v>
      </c>
      <c r="G622" s="19" t="s">
        <v>3797</v>
      </c>
      <c r="H622" s="19" t="s">
        <v>3811</v>
      </c>
      <c r="I622" s="10">
        <v>0</v>
      </c>
      <c r="J622" s="10" t="str">
        <f t="shared" si="73"/>
        <v>Estructura - Cerchas</v>
      </c>
      <c r="K622" s="11" t="s">
        <v>2350</v>
      </c>
      <c r="L622" s="11" t="s">
        <v>44</v>
      </c>
      <c r="M622" s="11" t="s">
        <v>663</v>
      </c>
      <c r="N622" s="18" t="str">
        <f t="shared" si="74"/>
        <v xml:space="preserve">-LAYER N S-TRUS </v>
      </c>
      <c r="O622" s="11" t="str">
        <f t="shared" si="75"/>
        <v xml:space="preserve">-LAYER C white S-TRUS </v>
      </c>
      <c r="P622" s="11" t="str">
        <f t="shared" si="76"/>
        <v xml:space="preserve">-LAYER L Continuous
S-TRUS  </v>
      </c>
      <c r="Q622" s="11" t="str">
        <f t="shared" si="77"/>
        <v xml:space="preserve">-LAYER LW Default
S-TRUS  </v>
      </c>
      <c r="R622" s="11" t="str">
        <f t="shared" si="78"/>
        <v xml:space="preserve">-LAYER TR 0
S-TRUS  </v>
      </c>
      <c r="S622" s="11" t="str">
        <f t="shared" si="79"/>
        <v xml:space="preserve">-LAYER D Estructura - Cerchas
S-TRUS  </v>
      </c>
    </row>
    <row r="623" spans="1:19" x14ac:dyDescent="0.45">
      <c r="A623" s="7">
        <v>1</v>
      </c>
      <c r="B623" s="11" t="s">
        <v>3548</v>
      </c>
      <c r="C623" s="11" t="s">
        <v>45</v>
      </c>
      <c r="D623" s="11" t="s">
        <v>685</v>
      </c>
      <c r="E623" s="11" t="str">
        <f t="shared" si="72"/>
        <v>S-WALL (Estructura - Muros)</v>
      </c>
      <c r="F623" s="10" t="s">
        <v>3798</v>
      </c>
      <c r="G623" s="10" t="s">
        <v>3797</v>
      </c>
      <c r="H623" s="10">
        <v>0.6</v>
      </c>
      <c r="I623" s="10">
        <v>0</v>
      </c>
      <c r="J623" s="10" t="str">
        <f t="shared" si="73"/>
        <v>Estructura - Muros</v>
      </c>
      <c r="K623" s="11" t="s">
        <v>2351</v>
      </c>
      <c r="L623" s="11" t="s">
        <v>44</v>
      </c>
      <c r="M623" s="11" t="s">
        <v>684</v>
      </c>
      <c r="N623" s="18" t="str">
        <f t="shared" si="74"/>
        <v xml:space="preserve">-LAYER N S-WALL </v>
      </c>
      <c r="O623" s="11" t="str">
        <f t="shared" si="75"/>
        <v xml:space="preserve">-LAYER C white S-WALL </v>
      </c>
      <c r="P623" s="11" t="str">
        <f t="shared" si="76"/>
        <v xml:space="preserve">-LAYER L Continuous
S-WALL  </v>
      </c>
      <c r="Q623" s="11" t="str">
        <f t="shared" si="77"/>
        <v xml:space="preserve">-LAYER LW 0.6
S-WALL  </v>
      </c>
      <c r="R623" s="11" t="str">
        <f t="shared" si="78"/>
        <v xml:space="preserve">-LAYER TR 0
S-WALL  </v>
      </c>
      <c r="S623" s="11" t="str">
        <f t="shared" si="79"/>
        <v xml:space="preserve">-LAYER D Estructura - Muros
S-WALL  </v>
      </c>
    </row>
    <row r="624" spans="1:19" x14ac:dyDescent="0.45">
      <c r="A624" s="7">
        <v>0</v>
      </c>
      <c r="B624" s="11" t="s">
        <v>3549</v>
      </c>
      <c r="C624" s="11" t="s">
        <v>45</v>
      </c>
      <c r="D624" s="11" t="s">
        <v>2454</v>
      </c>
      <c r="E624" s="11" t="str">
        <f t="shared" si="72"/>
        <v>S-WALL-ABOV (Estructura - Muros: Superior)</v>
      </c>
      <c r="F624" s="19" t="s">
        <v>3798</v>
      </c>
      <c r="G624" s="19" t="s">
        <v>3797</v>
      </c>
      <c r="H624" s="19" t="s">
        <v>3811</v>
      </c>
      <c r="I624" s="10">
        <v>0</v>
      </c>
      <c r="J624" s="10" t="str">
        <f t="shared" si="73"/>
        <v>Estructura - Muros: Superior</v>
      </c>
      <c r="K624" s="11" t="s">
        <v>2352</v>
      </c>
      <c r="L624" s="11" t="s">
        <v>44</v>
      </c>
      <c r="M624" s="11" t="s">
        <v>2353</v>
      </c>
      <c r="N624" s="18" t="str">
        <f t="shared" si="74"/>
        <v xml:space="preserve">-LAYER N S-WALL-ABOV </v>
      </c>
      <c r="O624" s="11" t="str">
        <f t="shared" si="75"/>
        <v xml:space="preserve">-LAYER C white S-WALL-ABOV </v>
      </c>
      <c r="P624" s="11" t="str">
        <f t="shared" si="76"/>
        <v xml:space="preserve">-LAYER L Continuous
S-WALL-ABOV  </v>
      </c>
      <c r="Q624" s="11" t="str">
        <f t="shared" si="77"/>
        <v xml:space="preserve">-LAYER LW Default
S-WALL-ABOV  </v>
      </c>
      <c r="R624" s="11" t="str">
        <f t="shared" si="78"/>
        <v xml:space="preserve">-LAYER TR 0
S-WALL-ABOV  </v>
      </c>
      <c r="S624" s="11" t="str">
        <f t="shared" si="79"/>
        <v xml:space="preserve">-LAYER D Estructura - Muros: Superior
S-WALL-ABOV  </v>
      </c>
    </row>
    <row r="625" spans="1:19" x14ac:dyDescent="0.45">
      <c r="A625" s="7">
        <v>0</v>
      </c>
      <c r="B625" s="11" t="s">
        <v>3550</v>
      </c>
      <c r="C625" s="11" t="s">
        <v>45</v>
      </c>
      <c r="D625" s="11" t="s">
        <v>2455</v>
      </c>
      <c r="E625" s="11" t="str">
        <f t="shared" si="72"/>
        <v>S-WALL-CMUW (Estructura - Muros: Unidad de mampostería de hormigón)</v>
      </c>
      <c r="F625" s="19" t="s">
        <v>3798</v>
      </c>
      <c r="G625" s="19" t="s">
        <v>3797</v>
      </c>
      <c r="H625" s="19" t="s">
        <v>3811</v>
      </c>
      <c r="I625" s="10">
        <v>0</v>
      </c>
      <c r="J625" s="10" t="str">
        <f t="shared" si="73"/>
        <v>Estructura - Muros: Unidad de mampostería de hormigón</v>
      </c>
      <c r="K625" s="11" t="s">
        <v>2354</v>
      </c>
      <c r="L625" s="11" t="s">
        <v>44</v>
      </c>
      <c r="M625" s="11" t="s">
        <v>2355</v>
      </c>
      <c r="N625" s="18" t="str">
        <f t="shared" si="74"/>
        <v xml:space="preserve">-LAYER N S-WALL-CMUW </v>
      </c>
      <c r="O625" s="11" t="str">
        <f t="shared" si="75"/>
        <v xml:space="preserve">-LAYER C white S-WALL-CMUW </v>
      </c>
      <c r="P625" s="11" t="str">
        <f t="shared" si="76"/>
        <v xml:space="preserve">-LAYER L Continuous
S-WALL-CMUW  </v>
      </c>
      <c r="Q625" s="11" t="str">
        <f t="shared" si="77"/>
        <v xml:space="preserve">-LAYER LW Default
S-WALL-CMUW  </v>
      </c>
      <c r="R625" s="11" t="str">
        <f t="shared" si="78"/>
        <v xml:space="preserve">-LAYER TR 0
S-WALL-CMUW  </v>
      </c>
      <c r="S625" s="11" t="str">
        <f t="shared" si="79"/>
        <v xml:space="preserve">-LAYER D Estructura - Muros: Unidad de mampostería de hormigón
S-WALL-CMUW  </v>
      </c>
    </row>
    <row r="626" spans="1:19" x14ac:dyDescent="0.45">
      <c r="A626" s="7">
        <v>0</v>
      </c>
      <c r="B626" s="11" t="s">
        <v>3551</v>
      </c>
      <c r="C626" s="11" t="s">
        <v>45</v>
      </c>
      <c r="D626" s="11" t="s">
        <v>2456</v>
      </c>
      <c r="E626" s="11" t="str">
        <f t="shared" si="72"/>
        <v>S-WALL-CONC (Estructura - Muros: Hormigón)</v>
      </c>
      <c r="F626" s="19" t="s">
        <v>3798</v>
      </c>
      <c r="G626" s="19" t="s">
        <v>3797</v>
      </c>
      <c r="H626" s="19" t="s">
        <v>3811</v>
      </c>
      <c r="I626" s="10">
        <v>0</v>
      </c>
      <c r="J626" s="10" t="str">
        <f t="shared" si="73"/>
        <v>Estructura - Muros: Hormigón</v>
      </c>
      <c r="K626" s="11" t="s">
        <v>2356</v>
      </c>
      <c r="L626" s="11" t="s">
        <v>44</v>
      </c>
      <c r="M626" s="11" t="s">
        <v>2357</v>
      </c>
      <c r="N626" s="18" t="str">
        <f t="shared" si="74"/>
        <v xml:space="preserve">-LAYER N S-WALL-CONC </v>
      </c>
      <c r="O626" s="11" t="str">
        <f t="shared" si="75"/>
        <v xml:space="preserve">-LAYER C white S-WALL-CONC </v>
      </c>
      <c r="P626" s="11" t="str">
        <f t="shared" si="76"/>
        <v xml:space="preserve">-LAYER L Continuous
S-WALL-CONC  </v>
      </c>
      <c r="Q626" s="11" t="str">
        <f t="shared" si="77"/>
        <v xml:space="preserve">-LAYER LW Default
S-WALL-CONC  </v>
      </c>
      <c r="R626" s="11" t="str">
        <f t="shared" si="78"/>
        <v xml:space="preserve">-LAYER TR 0
S-WALL-CONC  </v>
      </c>
      <c r="S626" s="11" t="str">
        <f t="shared" si="79"/>
        <v xml:space="preserve">-LAYER D Estructura - Muros: Hormigón
S-WALL-CONC  </v>
      </c>
    </row>
    <row r="627" spans="1:19" x14ac:dyDescent="0.45">
      <c r="A627" s="7">
        <v>0</v>
      </c>
      <c r="B627" s="11" t="s">
        <v>3552</v>
      </c>
      <c r="C627" s="11" t="s">
        <v>45</v>
      </c>
      <c r="D627" s="11" t="s">
        <v>2457</v>
      </c>
      <c r="E627" s="11" t="str">
        <f t="shared" si="72"/>
        <v>S-WALL-MSNW (Estructura - Muros: Mampostería)</v>
      </c>
      <c r="F627" s="19" t="s">
        <v>3798</v>
      </c>
      <c r="G627" s="19" t="s">
        <v>3797</v>
      </c>
      <c r="H627" s="19" t="s">
        <v>3811</v>
      </c>
      <c r="I627" s="10">
        <v>0</v>
      </c>
      <c r="J627" s="10" t="str">
        <f t="shared" si="73"/>
        <v>Estructura - Muros: Mampostería</v>
      </c>
      <c r="K627" s="11" t="s">
        <v>2358</v>
      </c>
      <c r="L627" s="11" t="s">
        <v>44</v>
      </c>
      <c r="M627" s="11" t="s">
        <v>2359</v>
      </c>
      <c r="N627" s="18" t="str">
        <f t="shared" si="74"/>
        <v xml:space="preserve">-LAYER N S-WALL-MSNW </v>
      </c>
      <c r="O627" s="11" t="str">
        <f t="shared" si="75"/>
        <v xml:space="preserve">-LAYER C white S-WALL-MSNW </v>
      </c>
      <c r="P627" s="11" t="str">
        <f t="shared" si="76"/>
        <v xml:space="preserve">-LAYER L Continuous
S-WALL-MSNW  </v>
      </c>
      <c r="Q627" s="11" t="str">
        <f t="shared" si="77"/>
        <v xml:space="preserve">-LAYER LW Default
S-WALL-MSNW  </v>
      </c>
      <c r="R627" s="11" t="str">
        <f t="shared" si="78"/>
        <v xml:space="preserve">-LAYER TR 0
S-WALL-MSNW  </v>
      </c>
      <c r="S627" s="11" t="str">
        <f t="shared" si="79"/>
        <v xml:space="preserve">-LAYER D Estructura - Muros: Mampostería
S-WALL-MSNW  </v>
      </c>
    </row>
    <row r="628" spans="1:19" x14ac:dyDescent="0.45">
      <c r="A628" s="7">
        <v>0</v>
      </c>
      <c r="B628" s="11" t="s">
        <v>3553</v>
      </c>
      <c r="C628" s="11" t="s">
        <v>45</v>
      </c>
      <c r="D628" s="11" t="s">
        <v>2458</v>
      </c>
      <c r="E628" s="11" t="str">
        <f t="shared" si="72"/>
        <v>S-WALL-PCST (Estructura - Muros: Hormigón prefabricado)</v>
      </c>
      <c r="F628" s="19" t="s">
        <v>3798</v>
      </c>
      <c r="G628" s="19" t="s">
        <v>3797</v>
      </c>
      <c r="H628" s="19" t="s">
        <v>3811</v>
      </c>
      <c r="I628" s="10">
        <v>0</v>
      </c>
      <c r="J628" s="10" t="str">
        <f t="shared" si="73"/>
        <v>Estructura - Muros: Hormigón prefabricado</v>
      </c>
      <c r="K628" s="11" t="s">
        <v>2360</v>
      </c>
      <c r="L628" s="11" t="s">
        <v>44</v>
      </c>
      <c r="M628" s="11" t="s">
        <v>2361</v>
      </c>
      <c r="N628" s="18" t="str">
        <f t="shared" si="74"/>
        <v xml:space="preserve">-LAYER N S-WALL-PCST </v>
      </c>
      <c r="O628" s="11" t="str">
        <f t="shared" si="75"/>
        <v xml:space="preserve">-LAYER C white S-WALL-PCST </v>
      </c>
      <c r="P628" s="11" t="str">
        <f t="shared" si="76"/>
        <v xml:space="preserve">-LAYER L Continuous
S-WALL-PCST  </v>
      </c>
      <c r="Q628" s="11" t="str">
        <f t="shared" si="77"/>
        <v xml:space="preserve">-LAYER LW Default
S-WALL-PCST  </v>
      </c>
      <c r="R628" s="11" t="str">
        <f t="shared" si="78"/>
        <v xml:space="preserve">-LAYER TR 0
S-WALL-PCST  </v>
      </c>
      <c r="S628" s="11" t="str">
        <f t="shared" si="79"/>
        <v xml:space="preserve">-LAYER D Estructura - Muros: Hormigón prefabricado
S-WALL-PCST  </v>
      </c>
    </row>
    <row r="629" spans="1:19" x14ac:dyDescent="0.45">
      <c r="A629" s="7">
        <v>0</v>
      </c>
      <c r="B629" s="11" t="s">
        <v>3554</v>
      </c>
      <c r="C629" s="11" t="s">
        <v>45</v>
      </c>
      <c r="D629" s="11" t="s">
        <v>2459</v>
      </c>
      <c r="E629" s="11" t="str">
        <f t="shared" si="72"/>
        <v>S-WALL-SHEA (Estructura - Muros: Muros de carga o de corte)</v>
      </c>
      <c r="F629" s="19" t="s">
        <v>3798</v>
      </c>
      <c r="G629" s="19" t="s">
        <v>3797</v>
      </c>
      <c r="H629" s="19" t="s">
        <v>3811</v>
      </c>
      <c r="I629" s="10">
        <v>0</v>
      </c>
      <c r="J629" s="10" t="str">
        <f t="shared" si="73"/>
        <v>Estructura - Muros: Muros de carga o de corte</v>
      </c>
      <c r="K629" s="11" t="s">
        <v>2362</v>
      </c>
      <c r="L629" s="11" t="s">
        <v>44</v>
      </c>
      <c r="M629" s="11" t="s">
        <v>1677</v>
      </c>
      <c r="N629" s="18" t="str">
        <f t="shared" si="74"/>
        <v xml:space="preserve">-LAYER N S-WALL-SHEA </v>
      </c>
      <c r="O629" s="11" t="str">
        <f t="shared" si="75"/>
        <v xml:space="preserve">-LAYER C white S-WALL-SHEA </v>
      </c>
      <c r="P629" s="11" t="str">
        <f t="shared" si="76"/>
        <v xml:space="preserve">-LAYER L Continuous
S-WALL-SHEA  </v>
      </c>
      <c r="Q629" s="11" t="str">
        <f t="shared" si="77"/>
        <v xml:space="preserve">-LAYER LW Default
S-WALL-SHEA  </v>
      </c>
      <c r="R629" s="11" t="str">
        <f t="shared" si="78"/>
        <v xml:space="preserve">-LAYER TR 0
S-WALL-SHEA  </v>
      </c>
      <c r="S629" s="11" t="str">
        <f t="shared" si="79"/>
        <v xml:space="preserve">-LAYER D Estructura - Muros: Muros de carga o de corte
S-WALL-SHEA  </v>
      </c>
    </row>
    <row r="630" spans="1:19" x14ac:dyDescent="0.45">
      <c r="A630" s="7">
        <v>0</v>
      </c>
      <c r="B630" s="11" t="s">
        <v>3555</v>
      </c>
      <c r="C630" s="11" t="s">
        <v>45</v>
      </c>
      <c r="D630" s="11" t="s">
        <v>2460</v>
      </c>
      <c r="E630" s="11" t="str">
        <f t="shared" si="72"/>
        <v>S-WALL-STEL (Estructura - Muros: Montante de acero)</v>
      </c>
      <c r="F630" s="19" t="s">
        <v>3798</v>
      </c>
      <c r="G630" s="19" t="s">
        <v>3797</v>
      </c>
      <c r="H630" s="19" t="s">
        <v>3811</v>
      </c>
      <c r="I630" s="10">
        <v>0</v>
      </c>
      <c r="J630" s="10" t="str">
        <f t="shared" si="73"/>
        <v>Estructura - Muros: Montante de acero</v>
      </c>
      <c r="K630" s="11" t="s">
        <v>2363</v>
      </c>
      <c r="L630" s="11" t="s">
        <v>44</v>
      </c>
      <c r="M630" s="11" t="s">
        <v>2364</v>
      </c>
      <c r="N630" s="18" t="str">
        <f t="shared" si="74"/>
        <v xml:space="preserve">-LAYER N S-WALL-STEL </v>
      </c>
      <c r="O630" s="11" t="str">
        <f t="shared" si="75"/>
        <v xml:space="preserve">-LAYER C white S-WALL-STEL </v>
      </c>
      <c r="P630" s="11" t="str">
        <f t="shared" si="76"/>
        <v xml:space="preserve">-LAYER L Continuous
S-WALL-STEL  </v>
      </c>
      <c r="Q630" s="11" t="str">
        <f t="shared" si="77"/>
        <v xml:space="preserve">-LAYER LW Default
S-WALL-STEL  </v>
      </c>
      <c r="R630" s="11" t="str">
        <f t="shared" si="78"/>
        <v xml:space="preserve">-LAYER TR 0
S-WALL-STEL  </v>
      </c>
      <c r="S630" s="11" t="str">
        <f t="shared" si="79"/>
        <v xml:space="preserve">-LAYER D Estructura - Muros: Montante de acero
S-WALL-STEL  </v>
      </c>
    </row>
    <row r="631" spans="1:19" x14ac:dyDescent="0.45">
      <c r="A631" s="7">
        <v>0</v>
      </c>
      <c r="B631" s="11" t="s">
        <v>3556</v>
      </c>
      <c r="C631" s="11" t="s">
        <v>45</v>
      </c>
      <c r="D631" s="11" t="s">
        <v>2461</v>
      </c>
      <c r="E631" s="11" t="str">
        <f t="shared" si="72"/>
        <v>S-WALL-VENR (Estructura - Muros: Enchapado)</v>
      </c>
      <c r="F631" s="19" t="s">
        <v>3798</v>
      </c>
      <c r="G631" s="19" t="s">
        <v>3797</v>
      </c>
      <c r="H631" s="19" t="s">
        <v>3811</v>
      </c>
      <c r="I631" s="10">
        <v>0</v>
      </c>
      <c r="J631" s="10" t="str">
        <f t="shared" si="73"/>
        <v>Estructura - Muros: Enchapado</v>
      </c>
      <c r="K631" s="11" t="s">
        <v>2365</v>
      </c>
      <c r="L631" s="11" t="s">
        <v>44</v>
      </c>
      <c r="M631" s="11" t="s">
        <v>2366</v>
      </c>
      <c r="N631" s="18" t="str">
        <f t="shared" si="74"/>
        <v xml:space="preserve">-LAYER N S-WALL-VENR </v>
      </c>
      <c r="O631" s="11" t="str">
        <f t="shared" si="75"/>
        <v xml:space="preserve">-LAYER C white S-WALL-VENR </v>
      </c>
      <c r="P631" s="11" t="str">
        <f t="shared" si="76"/>
        <v xml:space="preserve">-LAYER L Continuous
S-WALL-VENR  </v>
      </c>
      <c r="Q631" s="11" t="str">
        <f t="shared" si="77"/>
        <v xml:space="preserve">-LAYER LW Default
S-WALL-VENR  </v>
      </c>
      <c r="R631" s="11" t="str">
        <f t="shared" si="78"/>
        <v xml:space="preserve">-LAYER TR 0
S-WALL-VENR  </v>
      </c>
      <c r="S631" s="11" t="str">
        <f t="shared" si="79"/>
        <v xml:space="preserve">-LAYER D Estructura - Muros: Enchapado
S-WALL-VENR  </v>
      </c>
    </row>
    <row r="632" spans="1:19" x14ac:dyDescent="0.45">
      <c r="A632" s="7">
        <v>0</v>
      </c>
      <c r="B632" s="11" t="s">
        <v>3557</v>
      </c>
      <c r="C632" s="11" t="s">
        <v>45</v>
      </c>
      <c r="D632" s="11" t="s">
        <v>2462</v>
      </c>
      <c r="E632" s="11" t="str">
        <f t="shared" si="72"/>
        <v>S-WALL-WOOD (Estructura - Muros: Madera)</v>
      </c>
      <c r="F632" s="19" t="s">
        <v>3798</v>
      </c>
      <c r="G632" s="19" t="s">
        <v>3797</v>
      </c>
      <c r="H632" s="19" t="s">
        <v>3811</v>
      </c>
      <c r="I632" s="10">
        <v>0</v>
      </c>
      <c r="J632" s="10" t="str">
        <f t="shared" si="73"/>
        <v>Estructura - Muros: Madera</v>
      </c>
      <c r="K632" s="11" t="s">
        <v>2367</v>
      </c>
      <c r="L632" s="11" t="s">
        <v>44</v>
      </c>
      <c r="M632" s="11" t="s">
        <v>2368</v>
      </c>
      <c r="N632" s="18" t="str">
        <f t="shared" si="74"/>
        <v xml:space="preserve">-LAYER N S-WALL-WOOD </v>
      </c>
      <c r="O632" s="11" t="str">
        <f t="shared" si="75"/>
        <v xml:space="preserve">-LAYER C white S-WALL-WOOD </v>
      </c>
      <c r="P632" s="11" t="str">
        <f t="shared" si="76"/>
        <v xml:space="preserve">-LAYER L Continuous
S-WALL-WOOD  </v>
      </c>
      <c r="Q632" s="11" t="str">
        <f t="shared" si="77"/>
        <v xml:space="preserve">-LAYER LW Default
S-WALL-WOOD  </v>
      </c>
      <c r="R632" s="11" t="str">
        <f t="shared" si="78"/>
        <v xml:space="preserve">-LAYER TR 0
S-WALL-WOOD  </v>
      </c>
      <c r="S632" s="11" t="str">
        <f t="shared" si="79"/>
        <v xml:space="preserve">-LAYER D Estructura - Muros: Madera
S-WALL-WOOD  </v>
      </c>
    </row>
    <row r="633" spans="1:19" x14ac:dyDescent="0.45">
      <c r="A633" s="7">
        <v>1</v>
      </c>
      <c r="B633" s="11" t="s">
        <v>3558</v>
      </c>
      <c r="C633" s="11" t="s">
        <v>51</v>
      </c>
      <c r="D633" s="11" t="s">
        <v>180</v>
      </c>
      <c r="E633" s="11" t="str">
        <f t="shared" si="72"/>
        <v>V-BLDG (Topografía / Cartografía - Edificios y estructuras primarias)</v>
      </c>
      <c r="F633" s="19" t="s">
        <v>3798</v>
      </c>
      <c r="G633" s="19" t="s">
        <v>3797</v>
      </c>
      <c r="H633" s="19" t="s">
        <v>3811</v>
      </c>
      <c r="I633" s="10">
        <v>0</v>
      </c>
      <c r="J633" s="10" t="str">
        <f t="shared" si="73"/>
        <v>Topografía / Cartografía - Edificios y estructuras primarias</v>
      </c>
      <c r="K633" s="11" t="s">
        <v>2463</v>
      </c>
      <c r="L633" s="11" t="s">
        <v>50</v>
      </c>
      <c r="M633" s="11" t="s">
        <v>179</v>
      </c>
      <c r="N633" s="18" t="str">
        <f t="shared" si="74"/>
        <v xml:space="preserve">-LAYER N V-BLDG </v>
      </c>
      <c r="O633" s="11" t="str">
        <f t="shared" si="75"/>
        <v xml:space="preserve">-LAYER C white V-BLDG </v>
      </c>
      <c r="P633" s="11" t="str">
        <f t="shared" si="76"/>
        <v xml:space="preserve">-LAYER L Continuous
V-BLDG  </v>
      </c>
      <c r="Q633" s="11" t="str">
        <f t="shared" si="77"/>
        <v xml:space="preserve">-LAYER LW Default
V-BLDG  </v>
      </c>
      <c r="R633" s="11" t="str">
        <f t="shared" si="78"/>
        <v xml:space="preserve">-LAYER TR 0
V-BLDG  </v>
      </c>
      <c r="S633" s="11" t="str">
        <f t="shared" si="79"/>
        <v xml:space="preserve">-LAYER D Topografía / Cartografía - Edificios y estructuras primarias
V-BLDG  </v>
      </c>
    </row>
    <row r="634" spans="1:19" x14ac:dyDescent="0.45">
      <c r="A634" s="7">
        <v>0</v>
      </c>
      <c r="B634" s="11" t="s">
        <v>3559</v>
      </c>
      <c r="C634" s="11" t="s">
        <v>51</v>
      </c>
      <c r="D634" s="11" t="s">
        <v>2785</v>
      </c>
      <c r="E634" s="11" t="str">
        <f t="shared" si="72"/>
        <v>V-BLDG-DECK (Topografía / Cartografía - Edificios y estructuras primarias: cubierta (adosada, sin techo))</v>
      </c>
      <c r="F634" s="19" t="s">
        <v>3798</v>
      </c>
      <c r="G634" s="19" t="s">
        <v>3797</v>
      </c>
      <c r="H634" s="19" t="s">
        <v>3811</v>
      </c>
      <c r="I634" s="10">
        <v>0</v>
      </c>
      <c r="J634" s="10" t="str">
        <f t="shared" si="73"/>
        <v>Topografía / Cartografía - Edificios y estructuras primarias: cubierta (adosada, sin techo)</v>
      </c>
      <c r="K634" s="11" t="s">
        <v>2464</v>
      </c>
      <c r="L634" s="11" t="s">
        <v>50</v>
      </c>
      <c r="M634" s="11" t="s">
        <v>2756</v>
      </c>
      <c r="N634" s="18" t="str">
        <f t="shared" si="74"/>
        <v xml:space="preserve">-LAYER N V-BLDG-DECK </v>
      </c>
      <c r="O634" s="11" t="str">
        <f t="shared" si="75"/>
        <v xml:space="preserve">-LAYER C white V-BLDG-DECK </v>
      </c>
      <c r="P634" s="11" t="str">
        <f t="shared" si="76"/>
        <v xml:space="preserve">-LAYER L Continuous
V-BLDG-DECK  </v>
      </c>
      <c r="Q634" s="11" t="str">
        <f t="shared" si="77"/>
        <v xml:space="preserve">-LAYER LW Default
V-BLDG-DECK  </v>
      </c>
      <c r="R634" s="11" t="str">
        <f t="shared" si="78"/>
        <v xml:space="preserve">-LAYER TR 0
V-BLDG-DECK  </v>
      </c>
      <c r="S634" s="11" t="str">
        <f t="shared" si="79"/>
        <v xml:space="preserve">-LAYER D Topografía / Cartografía - Edificios y estructuras primarias: cubierta (adosada, sin techo)
V-BLDG-DECK  </v>
      </c>
    </row>
    <row r="635" spans="1:19" x14ac:dyDescent="0.45">
      <c r="A635" s="7">
        <v>0</v>
      </c>
      <c r="B635" s="11" t="s">
        <v>3560</v>
      </c>
      <c r="C635" s="11" t="s">
        <v>51</v>
      </c>
      <c r="D635" s="11" t="s">
        <v>2786</v>
      </c>
      <c r="E635" s="11" t="str">
        <f t="shared" si="72"/>
        <v>V-BLDG-OTLN (Topografía / Cartografía - Edificios y estructuras primarias: contorno)</v>
      </c>
      <c r="F635" s="19" t="s">
        <v>3798</v>
      </c>
      <c r="G635" s="19" t="s">
        <v>3797</v>
      </c>
      <c r="H635" s="19" t="s">
        <v>3811</v>
      </c>
      <c r="I635" s="10">
        <v>0</v>
      </c>
      <c r="J635" s="10" t="str">
        <f t="shared" si="73"/>
        <v>Topografía / Cartografía - Edificios y estructuras primarias: contorno</v>
      </c>
      <c r="K635" s="11" t="s">
        <v>2465</v>
      </c>
      <c r="L635" s="11" t="s">
        <v>50</v>
      </c>
      <c r="M635" s="11" t="s">
        <v>954</v>
      </c>
      <c r="N635" s="18" t="str">
        <f t="shared" si="74"/>
        <v xml:space="preserve">-LAYER N V-BLDG-OTLN </v>
      </c>
      <c r="O635" s="11" t="str">
        <f t="shared" si="75"/>
        <v xml:space="preserve">-LAYER C white V-BLDG-OTLN </v>
      </c>
      <c r="P635" s="11" t="str">
        <f t="shared" si="76"/>
        <v xml:space="preserve">-LAYER L Continuous
V-BLDG-OTLN  </v>
      </c>
      <c r="Q635" s="11" t="str">
        <f t="shared" si="77"/>
        <v xml:space="preserve">-LAYER LW Default
V-BLDG-OTLN  </v>
      </c>
      <c r="R635" s="11" t="str">
        <f t="shared" si="78"/>
        <v xml:space="preserve">-LAYER TR 0
V-BLDG-OTLN  </v>
      </c>
      <c r="S635" s="11" t="str">
        <f t="shared" si="79"/>
        <v xml:space="preserve">-LAYER D Topografía / Cartografía - Edificios y estructuras primarias: contorno
V-BLDG-OTLN  </v>
      </c>
    </row>
    <row r="636" spans="1:19" x14ac:dyDescent="0.45">
      <c r="A636" s="7">
        <v>0</v>
      </c>
      <c r="B636" s="11" t="s">
        <v>3561</v>
      </c>
      <c r="C636" s="11" t="s">
        <v>51</v>
      </c>
      <c r="D636" s="11" t="s">
        <v>2787</v>
      </c>
      <c r="E636" s="11" t="str">
        <f t="shared" si="72"/>
        <v>V-BLDG-OVHD (Topografía / Cartografía - Edificios y estructuras primarias: techo)</v>
      </c>
      <c r="F636" s="19" t="s">
        <v>3798</v>
      </c>
      <c r="G636" s="19" t="s">
        <v>3797</v>
      </c>
      <c r="H636" s="19" t="s">
        <v>3811</v>
      </c>
      <c r="I636" s="10">
        <v>0</v>
      </c>
      <c r="J636" s="10" t="str">
        <f t="shared" si="73"/>
        <v>Topografía / Cartografía - Edificios y estructuras primarias: techo</v>
      </c>
      <c r="K636" s="11" t="s">
        <v>2466</v>
      </c>
      <c r="L636" s="11" t="s">
        <v>50</v>
      </c>
      <c r="M636" s="11" t="s">
        <v>957</v>
      </c>
      <c r="N636" s="18" t="str">
        <f t="shared" si="74"/>
        <v xml:space="preserve">-LAYER N V-BLDG-OVHD </v>
      </c>
      <c r="O636" s="11" t="str">
        <f t="shared" si="75"/>
        <v xml:space="preserve">-LAYER C white V-BLDG-OVHD </v>
      </c>
      <c r="P636" s="11" t="str">
        <f t="shared" si="76"/>
        <v xml:space="preserve">-LAYER L Continuous
V-BLDG-OVHD  </v>
      </c>
      <c r="Q636" s="11" t="str">
        <f t="shared" si="77"/>
        <v xml:space="preserve">-LAYER LW Default
V-BLDG-OVHD  </v>
      </c>
      <c r="R636" s="11" t="str">
        <f t="shared" si="78"/>
        <v xml:space="preserve">-LAYER TR 0
V-BLDG-OVHD  </v>
      </c>
      <c r="S636" s="11" t="str">
        <f t="shared" si="79"/>
        <v xml:space="preserve">-LAYER D Topografía / Cartografía - Edificios y estructuras primarias: techo
V-BLDG-OVHD  </v>
      </c>
    </row>
    <row r="637" spans="1:19" x14ac:dyDescent="0.45">
      <c r="A637" s="7">
        <v>0</v>
      </c>
      <c r="B637" s="11" t="s">
        <v>3562</v>
      </c>
      <c r="C637" s="11" t="s">
        <v>51</v>
      </c>
      <c r="D637" s="11" t="s">
        <v>2788</v>
      </c>
      <c r="E637" s="11" t="str">
        <f t="shared" si="72"/>
        <v>V-BLDG-PRCH (Topografía / Cartografía - Edificios y estructuras primarias: pórtico (adosado, techo))</v>
      </c>
      <c r="F637" s="19" t="s">
        <v>3798</v>
      </c>
      <c r="G637" s="19" t="s">
        <v>3797</v>
      </c>
      <c r="H637" s="19" t="s">
        <v>3811</v>
      </c>
      <c r="I637" s="10">
        <v>0</v>
      </c>
      <c r="J637" s="10" t="str">
        <f t="shared" si="73"/>
        <v>Topografía / Cartografía - Edificios y estructuras primarias: pórtico (adosado, techo)</v>
      </c>
      <c r="K637" s="11" t="s">
        <v>2467</v>
      </c>
      <c r="L637" s="11" t="s">
        <v>50</v>
      </c>
      <c r="M637" s="11" t="s">
        <v>960</v>
      </c>
      <c r="N637" s="18" t="str">
        <f t="shared" si="74"/>
        <v xml:space="preserve">-LAYER N V-BLDG-PRCH </v>
      </c>
      <c r="O637" s="11" t="str">
        <f t="shared" si="75"/>
        <v xml:space="preserve">-LAYER C white V-BLDG-PRCH </v>
      </c>
      <c r="P637" s="11" t="str">
        <f t="shared" si="76"/>
        <v xml:space="preserve">-LAYER L Continuous
V-BLDG-PRCH  </v>
      </c>
      <c r="Q637" s="11" t="str">
        <f t="shared" si="77"/>
        <v xml:space="preserve">-LAYER LW Default
V-BLDG-PRCH  </v>
      </c>
      <c r="R637" s="11" t="str">
        <f t="shared" si="78"/>
        <v xml:space="preserve">-LAYER TR 0
V-BLDG-PRCH  </v>
      </c>
      <c r="S637" s="11" t="str">
        <f t="shared" si="79"/>
        <v xml:space="preserve">-LAYER D Topografía / Cartografía - Edificios y estructuras primarias: pórtico (adosado, techo)
V-BLDG-PRCH  </v>
      </c>
    </row>
    <row r="638" spans="1:19" x14ac:dyDescent="0.45">
      <c r="A638" s="7">
        <v>1</v>
      </c>
      <c r="B638" s="11" t="s">
        <v>3563</v>
      </c>
      <c r="C638" s="11" t="s">
        <v>51</v>
      </c>
      <c r="D638" s="11" t="s">
        <v>186</v>
      </c>
      <c r="E638" s="11" t="str">
        <f t="shared" si="72"/>
        <v>V-BNDY (Topografía / Cartografía - Límites políticos)</v>
      </c>
      <c r="F638" s="19" t="s">
        <v>3798</v>
      </c>
      <c r="G638" s="19" t="s">
        <v>3797</v>
      </c>
      <c r="H638" s="19" t="s">
        <v>3811</v>
      </c>
      <c r="I638" s="10">
        <v>0</v>
      </c>
      <c r="J638" s="10" t="str">
        <f t="shared" si="73"/>
        <v>Topografía / Cartografía - Límites políticos</v>
      </c>
      <c r="K638" s="11" t="s">
        <v>2468</v>
      </c>
      <c r="L638" s="11" t="s">
        <v>50</v>
      </c>
      <c r="M638" s="11" t="s">
        <v>185</v>
      </c>
      <c r="N638" s="18" t="str">
        <f t="shared" si="74"/>
        <v xml:space="preserve">-LAYER N V-BNDY </v>
      </c>
      <c r="O638" s="11" t="str">
        <f t="shared" si="75"/>
        <v xml:space="preserve">-LAYER C white V-BNDY </v>
      </c>
      <c r="P638" s="11" t="str">
        <f t="shared" si="76"/>
        <v xml:space="preserve">-LAYER L Continuous
V-BNDY  </v>
      </c>
      <c r="Q638" s="11" t="str">
        <f t="shared" si="77"/>
        <v xml:space="preserve">-LAYER LW Default
V-BNDY  </v>
      </c>
      <c r="R638" s="11" t="str">
        <f t="shared" si="78"/>
        <v xml:space="preserve">-LAYER TR 0
V-BNDY  </v>
      </c>
      <c r="S638" s="11" t="str">
        <f t="shared" si="79"/>
        <v xml:space="preserve">-LAYER D Topografía / Cartografía - Límites políticos
V-BNDY  </v>
      </c>
    </row>
    <row r="639" spans="1:19" x14ac:dyDescent="0.45">
      <c r="A639" s="7">
        <v>0</v>
      </c>
      <c r="B639" s="11" t="s">
        <v>3564</v>
      </c>
      <c r="C639" s="11" t="s">
        <v>51</v>
      </c>
      <c r="D639" s="11" t="s">
        <v>2789</v>
      </c>
      <c r="E639" s="11" t="str">
        <f t="shared" si="72"/>
        <v>V-BNDY-BORO (Topografía / Cartografía - Límites políticos: municipio)</v>
      </c>
      <c r="F639" s="19" t="s">
        <v>3798</v>
      </c>
      <c r="G639" s="19" t="s">
        <v>3797</v>
      </c>
      <c r="H639" s="19" t="s">
        <v>3811</v>
      </c>
      <c r="I639" s="10">
        <v>0</v>
      </c>
      <c r="J639" s="10" t="str">
        <f t="shared" si="73"/>
        <v>Topografía / Cartografía - Límites políticos: municipio</v>
      </c>
      <c r="K639" s="11" t="s">
        <v>2469</v>
      </c>
      <c r="L639" s="11" t="s">
        <v>50</v>
      </c>
      <c r="M639" s="11" t="s">
        <v>2470</v>
      </c>
      <c r="N639" s="18" t="str">
        <f t="shared" si="74"/>
        <v xml:space="preserve">-LAYER N V-BNDY-BORO </v>
      </c>
      <c r="O639" s="11" t="str">
        <f t="shared" si="75"/>
        <v xml:space="preserve">-LAYER C white V-BNDY-BORO </v>
      </c>
      <c r="P639" s="11" t="str">
        <f t="shared" si="76"/>
        <v xml:space="preserve">-LAYER L Continuous
V-BNDY-BORO  </v>
      </c>
      <c r="Q639" s="11" t="str">
        <f t="shared" si="77"/>
        <v xml:space="preserve">-LAYER LW Default
V-BNDY-BORO  </v>
      </c>
      <c r="R639" s="11" t="str">
        <f t="shared" si="78"/>
        <v xml:space="preserve">-LAYER TR 0
V-BNDY-BORO  </v>
      </c>
      <c r="S639" s="11" t="str">
        <f t="shared" si="79"/>
        <v xml:space="preserve">-LAYER D Topografía / Cartografía - Límites políticos: municipio
V-BNDY-BORO  </v>
      </c>
    </row>
    <row r="640" spans="1:19" x14ac:dyDescent="0.45">
      <c r="A640" s="7">
        <v>0</v>
      </c>
      <c r="B640" s="11" t="s">
        <v>3565</v>
      </c>
      <c r="C640" s="11" t="s">
        <v>51</v>
      </c>
      <c r="D640" s="11" t="s">
        <v>2790</v>
      </c>
      <c r="E640" s="11" t="str">
        <f t="shared" si="72"/>
        <v>V-BNDY-CITY (Topografía / Cartografía - Límites políticos: ciudad)</v>
      </c>
      <c r="F640" s="19" t="s">
        <v>3798</v>
      </c>
      <c r="G640" s="19" t="s">
        <v>3797</v>
      </c>
      <c r="H640" s="19" t="s">
        <v>3811</v>
      </c>
      <c r="I640" s="10">
        <v>0</v>
      </c>
      <c r="J640" s="10" t="str">
        <f t="shared" si="73"/>
        <v>Topografía / Cartografía - Límites políticos: ciudad</v>
      </c>
      <c r="K640" s="11" t="s">
        <v>2471</v>
      </c>
      <c r="L640" s="11" t="s">
        <v>50</v>
      </c>
      <c r="M640" s="11" t="s">
        <v>2472</v>
      </c>
      <c r="N640" s="18" t="str">
        <f t="shared" si="74"/>
        <v xml:space="preserve">-LAYER N V-BNDY-CITY </v>
      </c>
      <c r="O640" s="11" t="str">
        <f t="shared" si="75"/>
        <v xml:space="preserve">-LAYER C white V-BNDY-CITY </v>
      </c>
      <c r="P640" s="11" t="str">
        <f t="shared" si="76"/>
        <v xml:space="preserve">-LAYER L Continuous
V-BNDY-CITY  </v>
      </c>
      <c r="Q640" s="11" t="str">
        <f t="shared" si="77"/>
        <v xml:space="preserve">-LAYER LW Default
V-BNDY-CITY  </v>
      </c>
      <c r="R640" s="11" t="str">
        <f t="shared" si="78"/>
        <v xml:space="preserve">-LAYER TR 0
V-BNDY-CITY  </v>
      </c>
      <c r="S640" s="11" t="str">
        <f t="shared" si="79"/>
        <v xml:space="preserve">-LAYER D Topografía / Cartografía - Límites políticos: ciudad
V-BNDY-CITY  </v>
      </c>
    </row>
    <row r="641" spans="1:19" x14ac:dyDescent="0.45">
      <c r="A641" s="7">
        <v>0</v>
      </c>
      <c r="B641" s="11" t="s">
        <v>3566</v>
      </c>
      <c r="C641" s="11" t="s">
        <v>51</v>
      </c>
      <c r="D641" s="11" t="s">
        <v>2791</v>
      </c>
      <c r="E641" s="11" t="str">
        <f t="shared" si="72"/>
        <v>V-BNDY-CNTY (Topografía / Cartografía - Límites políticos: condado)</v>
      </c>
      <c r="F641" s="19" t="s">
        <v>3798</v>
      </c>
      <c r="G641" s="19" t="s">
        <v>3797</v>
      </c>
      <c r="H641" s="19" t="s">
        <v>3811</v>
      </c>
      <c r="I641" s="10">
        <v>0</v>
      </c>
      <c r="J641" s="10" t="str">
        <f t="shared" si="73"/>
        <v>Topografía / Cartografía - Límites políticos: condado</v>
      </c>
      <c r="K641" s="11" t="s">
        <v>2473</v>
      </c>
      <c r="L641" s="11" t="s">
        <v>50</v>
      </c>
      <c r="M641" s="11" t="s">
        <v>2474</v>
      </c>
      <c r="N641" s="18" t="str">
        <f t="shared" si="74"/>
        <v xml:space="preserve">-LAYER N V-BNDY-CNTY </v>
      </c>
      <c r="O641" s="11" t="str">
        <f t="shared" si="75"/>
        <v xml:space="preserve">-LAYER C white V-BNDY-CNTY </v>
      </c>
      <c r="P641" s="11" t="str">
        <f t="shared" si="76"/>
        <v xml:space="preserve">-LAYER L Continuous
V-BNDY-CNTY  </v>
      </c>
      <c r="Q641" s="11" t="str">
        <f t="shared" si="77"/>
        <v xml:space="preserve">-LAYER LW Default
V-BNDY-CNTY  </v>
      </c>
      <c r="R641" s="11" t="str">
        <f t="shared" si="78"/>
        <v xml:space="preserve">-LAYER TR 0
V-BNDY-CNTY  </v>
      </c>
      <c r="S641" s="11" t="str">
        <f t="shared" si="79"/>
        <v xml:space="preserve">-LAYER D Topografía / Cartografía - Límites políticos: condado
V-BNDY-CNTY  </v>
      </c>
    </row>
    <row r="642" spans="1:19" x14ac:dyDescent="0.45">
      <c r="A642" s="7">
        <v>0</v>
      </c>
      <c r="B642" s="11" t="s">
        <v>3567</v>
      </c>
      <c r="C642" s="11" t="s">
        <v>51</v>
      </c>
      <c r="D642" s="11" t="s">
        <v>2792</v>
      </c>
      <c r="E642" s="11" t="str">
        <f t="shared" si="72"/>
        <v>V-BNDY-CORP (Topografía / Cartografía - Límites políticos: corporación)</v>
      </c>
      <c r="F642" s="19" t="s">
        <v>3798</v>
      </c>
      <c r="G642" s="19" t="s">
        <v>3797</v>
      </c>
      <c r="H642" s="19" t="s">
        <v>3811</v>
      </c>
      <c r="I642" s="10">
        <v>0</v>
      </c>
      <c r="J642" s="10" t="str">
        <f t="shared" si="73"/>
        <v>Topografía / Cartografía - Límites políticos: corporación</v>
      </c>
      <c r="K642" s="11" t="s">
        <v>2475</v>
      </c>
      <c r="L642" s="11" t="s">
        <v>50</v>
      </c>
      <c r="M642" s="11" t="s">
        <v>2476</v>
      </c>
      <c r="N642" s="18" t="str">
        <f t="shared" si="74"/>
        <v xml:space="preserve">-LAYER N V-BNDY-CORP </v>
      </c>
      <c r="O642" s="11" t="str">
        <f t="shared" si="75"/>
        <v xml:space="preserve">-LAYER C white V-BNDY-CORP </v>
      </c>
      <c r="P642" s="11" t="str">
        <f t="shared" si="76"/>
        <v xml:space="preserve">-LAYER L Continuous
V-BNDY-CORP  </v>
      </c>
      <c r="Q642" s="11" t="str">
        <f t="shared" si="77"/>
        <v xml:space="preserve">-LAYER LW Default
V-BNDY-CORP  </v>
      </c>
      <c r="R642" s="11" t="str">
        <f t="shared" si="78"/>
        <v xml:space="preserve">-LAYER TR 0
V-BNDY-CORP  </v>
      </c>
      <c r="S642" s="11" t="str">
        <f t="shared" si="79"/>
        <v xml:space="preserve">-LAYER D Topografía / Cartografía - Límites políticos: corporación
V-BNDY-CORP  </v>
      </c>
    </row>
    <row r="643" spans="1:19" x14ac:dyDescent="0.45">
      <c r="A643" s="7">
        <v>0</v>
      </c>
      <c r="B643" s="11" t="s">
        <v>3568</v>
      </c>
      <c r="C643" s="11" t="s">
        <v>51</v>
      </c>
      <c r="D643" s="11" t="s">
        <v>2793</v>
      </c>
      <c r="E643" s="11" t="str">
        <f t="shared" si="72"/>
        <v>V-BNDY-NATL (Topografía / Cartografía - Límites políticos: nacional)</v>
      </c>
      <c r="F643" s="19" t="s">
        <v>3798</v>
      </c>
      <c r="G643" s="19" t="s">
        <v>3797</v>
      </c>
      <c r="H643" s="19" t="s">
        <v>3811</v>
      </c>
      <c r="I643" s="10">
        <v>0</v>
      </c>
      <c r="J643" s="10" t="str">
        <f t="shared" si="73"/>
        <v>Topografía / Cartografía - Límites políticos: nacional</v>
      </c>
      <c r="K643" s="11" t="s">
        <v>2477</v>
      </c>
      <c r="L643" s="11" t="s">
        <v>50</v>
      </c>
      <c r="M643" s="11" t="s">
        <v>2478</v>
      </c>
      <c r="N643" s="18" t="str">
        <f t="shared" si="74"/>
        <v xml:space="preserve">-LAYER N V-BNDY-NATL </v>
      </c>
      <c r="O643" s="11" t="str">
        <f t="shared" si="75"/>
        <v xml:space="preserve">-LAYER C white V-BNDY-NATL </v>
      </c>
      <c r="P643" s="11" t="str">
        <f t="shared" si="76"/>
        <v xml:space="preserve">-LAYER L Continuous
V-BNDY-NATL  </v>
      </c>
      <c r="Q643" s="11" t="str">
        <f t="shared" si="77"/>
        <v xml:space="preserve">-LAYER LW Default
V-BNDY-NATL  </v>
      </c>
      <c r="R643" s="11" t="str">
        <f t="shared" si="78"/>
        <v xml:space="preserve">-LAYER TR 0
V-BNDY-NATL  </v>
      </c>
      <c r="S643" s="11" t="str">
        <f t="shared" si="79"/>
        <v xml:space="preserve">-LAYER D Topografía / Cartografía - Límites políticos: nacional
V-BNDY-NATL  </v>
      </c>
    </row>
    <row r="644" spans="1:19" x14ac:dyDescent="0.45">
      <c r="A644" s="7">
        <v>0</v>
      </c>
      <c r="B644" s="11" t="s">
        <v>3569</v>
      </c>
      <c r="C644" s="11" t="s">
        <v>51</v>
      </c>
      <c r="D644" s="11" t="s">
        <v>2794</v>
      </c>
      <c r="E644" s="11" t="str">
        <f t="shared" ref="E644:E707" si="80">_xlfn.CONCAT(B644," (",C644," - ",D644,")")</f>
        <v>V-BNDY-PROV (Topografía / Cartografía - Límites políticos: provincia)</v>
      </c>
      <c r="F644" s="19" t="s">
        <v>3798</v>
      </c>
      <c r="G644" s="19" t="s">
        <v>3797</v>
      </c>
      <c r="H644" s="19" t="s">
        <v>3811</v>
      </c>
      <c r="I644" s="10">
        <v>0</v>
      </c>
      <c r="J644" s="10" t="str">
        <f t="shared" si="73"/>
        <v>Topografía / Cartografía - Límites políticos: provincia</v>
      </c>
      <c r="K644" s="11" t="s">
        <v>2479</v>
      </c>
      <c r="L644" s="11" t="s">
        <v>50</v>
      </c>
      <c r="M644" s="11" t="s">
        <v>2480</v>
      </c>
      <c r="N644" s="18" t="str">
        <f t="shared" si="74"/>
        <v xml:space="preserve">-LAYER N V-BNDY-PROV </v>
      </c>
      <c r="O644" s="11" t="str">
        <f t="shared" si="75"/>
        <v xml:space="preserve">-LAYER C white V-BNDY-PROV </v>
      </c>
      <c r="P644" s="11" t="str">
        <f t="shared" si="76"/>
        <v xml:space="preserve">-LAYER L Continuous
V-BNDY-PROV  </v>
      </c>
      <c r="Q644" s="11" t="str">
        <f t="shared" si="77"/>
        <v xml:space="preserve">-LAYER LW Default
V-BNDY-PROV  </v>
      </c>
      <c r="R644" s="11" t="str">
        <f t="shared" si="78"/>
        <v xml:space="preserve">-LAYER TR 0
V-BNDY-PROV  </v>
      </c>
      <c r="S644" s="11" t="str">
        <f t="shared" si="79"/>
        <v xml:space="preserve">-LAYER D Topografía / Cartografía - Límites políticos: provincia
V-BNDY-PROV  </v>
      </c>
    </row>
    <row r="645" spans="1:19" x14ac:dyDescent="0.45">
      <c r="A645" s="7">
        <v>0</v>
      </c>
      <c r="B645" s="11" t="s">
        <v>3570</v>
      </c>
      <c r="C645" s="11" t="s">
        <v>51</v>
      </c>
      <c r="D645" s="11" t="s">
        <v>2795</v>
      </c>
      <c r="E645" s="11" t="str">
        <f t="shared" si="80"/>
        <v>V-BNDY-STAT (Topografía / Cartografía - Límites políticos: estado)</v>
      </c>
      <c r="F645" s="19" t="s">
        <v>3798</v>
      </c>
      <c r="G645" s="19" t="s">
        <v>3797</v>
      </c>
      <c r="H645" s="19" t="s">
        <v>3811</v>
      </c>
      <c r="I645" s="10">
        <v>0</v>
      </c>
      <c r="J645" s="10" t="str">
        <f t="shared" ref="J645:J708" si="81">_xlfn.CONCAT(C645," - ",D645)</f>
        <v>Topografía / Cartografía - Límites políticos: estado</v>
      </c>
      <c r="K645" s="11" t="s">
        <v>2481</v>
      </c>
      <c r="L645" s="11" t="s">
        <v>50</v>
      </c>
      <c r="M645" s="11" t="s">
        <v>2482</v>
      </c>
      <c r="N645" s="18" t="str">
        <f t="shared" ref="N645:N708" si="82">_xlfn.CONCAT("-LAYER N ", B645," ")</f>
        <v xml:space="preserve">-LAYER N V-BNDY-STAT </v>
      </c>
      <c r="O645" s="11" t="str">
        <f t="shared" ref="O645:O708" si="83">_xlfn.CONCAT("-LAYER C ",F645," ", B645," ")</f>
        <v xml:space="preserve">-LAYER C white V-BNDY-STAT </v>
      </c>
      <c r="P645" s="11" t="str">
        <f t="shared" ref="P645:P708" si="84">_xlfn.CONCAT("-LAYER L ",G645,CHAR(10), B645,"  ")</f>
        <v xml:space="preserve">-LAYER L Continuous
V-BNDY-STAT  </v>
      </c>
      <c r="Q645" s="11" t="str">
        <f t="shared" ref="Q645:Q708" si="85">_xlfn.CONCAT("-LAYER LW ",H645,CHAR(10), B645,"  ")</f>
        <v xml:space="preserve">-LAYER LW Default
V-BNDY-STAT  </v>
      </c>
      <c r="R645" s="11" t="str">
        <f t="shared" ref="R645:R708" si="86">_xlfn.CONCAT("-LAYER TR ",I645,CHAR(10), B645,"  ")</f>
        <v xml:space="preserve">-LAYER TR 0
V-BNDY-STAT  </v>
      </c>
      <c r="S645" s="11" t="str">
        <f t="shared" ref="S645:S708" si="87">_xlfn.CONCAT("-LAYER D ",J645,CHAR(10), B645,"  ")</f>
        <v xml:space="preserve">-LAYER D Topografía / Cartografía - Límites políticos: estado
V-BNDY-STAT  </v>
      </c>
    </row>
    <row r="646" spans="1:19" x14ac:dyDescent="0.45">
      <c r="A646" s="7">
        <v>0</v>
      </c>
      <c r="B646" s="11" t="s">
        <v>3571</v>
      </c>
      <c r="C646" s="11" t="s">
        <v>51</v>
      </c>
      <c r="D646" s="11" t="s">
        <v>2796</v>
      </c>
      <c r="E646" s="11" t="str">
        <f t="shared" si="80"/>
        <v>V-BNDY-TSHP (Topografía / Cartografía - Límites políticos: pueblo o municipio)</v>
      </c>
      <c r="F646" s="19" t="s">
        <v>3798</v>
      </c>
      <c r="G646" s="19" t="s">
        <v>3797</v>
      </c>
      <c r="H646" s="19" t="s">
        <v>3811</v>
      </c>
      <c r="I646" s="10">
        <v>0</v>
      </c>
      <c r="J646" s="10" t="str">
        <f t="shared" si="81"/>
        <v>Topografía / Cartografía - Límites políticos: pueblo o municipio</v>
      </c>
      <c r="K646" s="11" t="s">
        <v>2483</v>
      </c>
      <c r="L646" s="11" t="s">
        <v>50</v>
      </c>
      <c r="M646" s="11" t="s">
        <v>2484</v>
      </c>
      <c r="N646" s="18" t="str">
        <f t="shared" si="82"/>
        <v xml:space="preserve">-LAYER N V-BNDY-TSHP </v>
      </c>
      <c r="O646" s="11" t="str">
        <f t="shared" si="83"/>
        <v xml:space="preserve">-LAYER C white V-BNDY-TSHP </v>
      </c>
      <c r="P646" s="11" t="str">
        <f t="shared" si="84"/>
        <v xml:space="preserve">-LAYER L Continuous
V-BNDY-TSHP  </v>
      </c>
      <c r="Q646" s="11" t="str">
        <f t="shared" si="85"/>
        <v xml:space="preserve">-LAYER LW Default
V-BNDY-TSHP  </v>
      </c>
      <c r="R646" s="11" t="str">
        <f t="shared" si="86"/>
        <v xml:space="preserve">-LAYER TR 0
V-BNDY-TSHP  </v>
      </c>
      <c r="S646" s="11" t="str">
        <f t="shared" si="87"/>
        <v xml:space="preserve">-LAYER D Topografía / Cartografía - Límites políticos: pueblo o municipio
V-BNDY-TSHP  </v>
      </c>
    </row>
    <row r="647" spans="1:19" x14ac:dyDescent="0.45">
      <c r="A647" s="7">
        <v>0</v>
      </c>
      <c r="B647" s="11" t="s">
        <v>3572</v>
      </c>
      <c r="C647" s="11" t="s">
        <v>51</v>
      </c>
      <c r="D647" s="11" t="s">
        <v>2797</v>
      </c>
      <c r="E647" s="11" t="str">
        <f t="shared" si="80"/>
        <v>V-BNDY-ZONE (Topografía / Cartografía - Límites políticos: zonificación)</v>
      </c>
      <c r="F647" s="19" t="s">
        <v>3798</v>
      </c>
      <c r="G647" s="19" t="s">
        <v>3797</v>
      </c>
      <c r="H647" s="19" t="s">
        <v>3811</v>
      </c>
      <c r="I647" s="10">
        <v>0</v>
      </c>
      <c r="J647" s="10" t="str">
        <f t="shared" si="81"/>
        <v>Topografía / Cartografía - Límites políticos: zonificación</v>
      </c>
      <c r="K647" s="11" t="s">
        <v>2485</v>
      </c>
      <c r="L647" s="11" t="s">
        <v>50</v>
      </c>
      <c r="M647" s="11" t="s">
        <v>2486</v>
      </c>
      <c r="N647" s="18" t="str">
        <f t="shared" si="82"/>
        <v xml:space="preserve">-LAYER N V-BNDY-ZONE </v>
      </c>
      <c r="O647" s="11" t="str">
        <f t="shared" si="83"/>
        <v xml:space="preserve">-LAYER C white V-BNDY-ZONE </v>
      </c>
      <c r="P647" s="11" t="str">
        <f t="shared" si="84"/>
        <v xml:space="preserve">-LAYER L Continuous
V-BNDY-ZONE  </v>
      </c>
      <c r="Q647" s="11" t="str">
        <f t="shared" si="85"/>
        <v xml:space="preserve">-LAYER LW Default
V-BNDY-ZONE  </v>
      </c>
      <c r="R647" s="11" t="str">
        <f t="shared" si="86"/>
        <v xml:space="preserve">-LAYER TR 0
V-BNDY-ZONE  </v>
      </c>
      <c r="S647" s="11" t="str">
        <f t="shared" si="87"/>
        <v xml:space="preserve">-LAYER D Topografía / Cartografía - Límites políticos: zonificación
V-BNDY-ZONE  </v>
      </c>
    </row>
    <row r="648" spans="1:19" x14ac:dyDescent="0.45">
      <c r="A648" s="7">
        <v>1</v>
      </c>
      <c r="B648" s="11" t="s">
        <v>3573</v>
      </c>
      <c r="C648" s="11" t="s">
        <v>51</v>
      </c>
      <c r="D648" s="11" t="s">
        <v>189</v>
      </c>
      <c r="E648" s="11" t="str">
        <f t="shared" si="80"/>
        <v>V-BORE (Topografía / Cartografía - Perforaciones)</v>
      </c>
      <c r="F648" s="19" t="s">
        <v>3798</v>
      </c>
      <c r="G648" s="19" t="s">
        <v>3797</v>
      </c>
      <c r="H648" s="19" t="s">
        <v>3811</v>
      </c>
      <c r="I648" s="10">
        <v>0</v>
      </c>
      <c r="J648" s="10" t="str">
        <f t="shared" si="81"/>
        <v>Topografía / Cartografía - Perforaciones</v>
      </c>
      <c r="K648" s="11" t="s">
        <v>2487</v>
      </c>
      <c r="L648" s="11" t="s">
        <v>50</v>
      </c>
      <c r="M648" s="11" t="s">
        <v>188</v>
      </c>
      <c r="N648" s="18" t="str">
        <f t="shared" si="82"/>
        <v xml:space="preserve">-LAYER N V-BORE </v>
      </c>
      <c r="O648" s="11" t="str">
        <f t="shared" si="83"/>
        <v xml:space="preserve">-LAYER C white V-BORE </v>
      </c>
      <c r="P648" s="11" t="str">
        <f t="shared" si="84"/>
        <v xml:space="preserve">-LAYER L Continuous
V-BORE  </v>
      </c>
      <c r="Q648" s="11" t="str">
        <f t="shared" si="85"/>
        <v xml:space="preserve">-LAYER LW Default
V-BORE  </v>
      </c>
      <c r="R648" s="11" t="str">
        <f t="shared" si="86"/>
        <v xml:space="preserve">-LAYER TR 0
V-BORE  </v>
      </c>
      <c r="S648" s="11" t="str">
        <f t="shared" si="87"/>
        <v xml:space="preserve">-LAYER D Topografía / Cartografía - Perforaciones
V-BORE  </v>
      </c>
    </row>
    <row r="649" spans="1:19" x14ac:dyDescent="0.45">
      <c r="A649" s="7">
        <v>0</v>
      </c>
      <c r="B649" s="11" t="s">
        <v>3574</v>
      </c>
      <c r="C649" s="11" t="s">
        <v>51</v>
      </c>
      <c r="D649" s="11" t="s">
        <v>195</v>
      </c>
      <c r="E649" s="11" t="str">
        <f t="shared" si="80"/>
        <v>V-BRDG (Topografía / Cartografía - Puente)</v>
      </c>
      <c r="F649" s="19" t="s">
        <v>3798</v>
      </c>
      <c r="G649" s="19" t="s">
        <v>3797</v>
      </c>
      <c r="H649" s="19" t="s">
        <v>3811</v>
      </c>
      <c r="I649" s="10">
        <v>0</v>
      </c>
      <c r="J649" s="10" t="str">
        <f t="shared" si="81"/>
        <v>Topografía / Cartografía - Puente</v>
      </c>
      <c r="K649" s="11" t="s">
        <v>2488</v>
      </c>
      <c r="L649" s="11" t="s">
        <v>50</v>
      </c>
      <c r="M649" s="11" t="s">
        <v>194</v>
      </c>
      <c r="N649" s="18" t="str">
        <f t="shared" si="82"/>
        <v xml:space="preserve">-LAYER N V-BRDG </v>
      </c>
      <c r="O649" s="11" t="str">
        <f t="shared" si="83"/>
        <v xml:space="preserve">-LAYER C white V-BRDG </v>
      </c>
      <c r="P649" s="11" t="str">
        <f t="shared" si="84"/>
        <v xml:space="preserve">-LAYER L Continuous
V-BRDG  </v>
      </c>
      <c r="Q649" s="11" t="str">
        <f t="shared" si="85"/>
        <v xml:space="preserve">-LAYER LW Default
V-BRDG  </v>
      </c>
      <c r="R649" s="11" t="str">
        <f t="shared" si="86"/>
        <v xml:space="preserve">-LAYER TR 0
V-BRDG  </v>
      </c>
      <c r="S649" s="11" t="str">
        <f t="shared" si="87"/>
        <v xml:space="preserve">-LAYER D Topografía / Cartografía - Puente
V-BRDG  </v>
      </c>
    </row>
    <row r="650" spans="1:19" x14ac:dyDescent="0.45">
      <c r="A650" s="7">
        <v>0</v>
      </c>
      <c r="B650" s="11" t="s">
        <v>3575</v>
      </c>
      <c r="C650" s="11" t="s">
        <v>51</v>
      </c>
      <c r="D650" s="11" t="s">
        <v>2798</v>
      </c>
      <c r="E650" s="11" t="str">
        <f t="shared" si="80"/>
        <v>V-BRDG-BENT (Topografía / Cartografía - Puente: parte superior del recodo)</v>
      </c>
      <c r="F650" s="19" t="s">
        <v>3798</v>
      </c>
      <c r="G650" s="19" t="s">
        <v>3797</v>
      </c>
      <c r="H650" s="19" t="s">
        <v>3811</v>
      </c>
      <c r="I650" s="10">
        <v>0</v>
      </c>
      <c r="J650" s="10" t="str">
        <f t="shared" si="81"/>
        <v>Topografía / Cartografía - Puente: parte superior del recodo</v>
      </c>
      <c r="K650" s="11" t="s">
        <v>2489</v>
      </c>
      <c r="L650" s="11" t="s">
        <v>50</v>
      </c>
      <c r="M650" s="11" t="s">
        <v>2490</v>
      </c>
      <c r="N650" s="18" t="str">
        <f t="shared" si="82"/>
        <v xml:space="preserve">-LAYER N V-BRDG-BENT </v>
      </c>
      <c r="O650" s="11" t="str">
        <f t="shared" si="83"/>
        <v xml:space="preserve">-LAYER C white V-BRDG-BENT </v>
      </c>
      <c r="P650" s="11" t="str">
        <f t="shared" si="84"/>
        <v xml:space="preserve">-LAYER L Continuous
V-BRDG-BENT  </v>
      </c>
      <c r="Q650" s="11" t="str">
        <f t="shared" si="85"/>
        <v xml:space="preserve">-LAYER LW Default
V-BRDG-BENT  </v>
      </c>
      <c r="R650" s="11" t="str">
        <f t="shared" si="86"/>
        <v xml:space="preserve">-LAYER TR 0
V-BRDG-BENT  </v>
      </c>
      <c r="S650" s="11" t="str">
        <f t="shared" si="87"/>
        <v xml:space="preserve">-LAYER D Topografía / Cartografía - Puente: parte superior del recodo
V-BRDG-BENT  </v>
      </c>
    </row>
    <row r="651" spans="1:19" x14ac:dyDescent="0.45">
      <c r="A651" s="7">
        <v>0</v>
      </c>
      <c r="B651" s="11" t="s">
        <v>3576</v>
      </c>
      <c r="C651" s="11" t="s">
        <v>51</v>
      </c>
      <c r="D651" s="11" t="s">
        <v>973</v>
      </c>
      <c r="E651" s="11" t="str">
        <f t="shared" si="80"/>
        <v>V-BRDG-CNTR (Topografía / Cartografía - Puente: centro)</v>
      </c>
      <c r="F651" s="19" t="s">
        <v>3798</v>
      </c>
      <c r="G651" s="19" t="s">
        <v>3797</v>
      </c>
      <c r="H651" s="19" t="s">
        <v>3811</v>
      </c>
      <c r="I651" s="10">
        <v>0</v>
      </c>
      <c r="J651" s="10" t="str">
        <f t="shared" si="81"/>
        <v>Topografía / Cartografía - Puente: centro</v>
      </c>
      <c r="K651" s="11" t="s">
        <v>2491</v>
      </c>
      <c r="L651" s="11" t="s">
        <v>50</v>
      </c>
      <c r="M651" s="11" t="s">
        <v>972</v>
      </c>
      <c r="N651" s="18" t="str">
        <f t="shared" si="82"/>
        <v xml:space="preserve">-LAYER N V-BRDG-CNTR </v>
      </c>
      <c r="O651" s="11" t="str">
        <f t="shared" si="83"/>
        <v xml:space="preserve">-LAYER C white V-BRDG-CNTR </v>
      </c>
      <c r="P651" s="11" t="str">
        <f t="shared" si="84"/>
        <v xml:space="preserve">-LAYER L Continuous
V-BRDG-CNTR  </v>
      </c>
      <c r="Q651" s="11" t="str">
        <f t="shared" si="85"/>
        <v xml:space="preserve">-LAYER LW Default
V-BRDG-CNTR  </v>
      </c>
      <c r="R651" s="11" t="str">
        <f t="shared" si="86"/>
        <v xml:space="preserve">-LAYER TR 0
V-BRDG-CNTR  </v>
      </c>
      <c r="S651" s="11" t="str">
        <f t="shared" si="87"/>
        <v xml:space="preserve">-LAYER D Topografía / Cartografía - Puente: centro
V-BRDG-CNTR  </v>
      </c>
    </row>
    <row r="652" spans="1:19" x14ac:dyDescent="0.45">
      <c r="A652" s="7">
        <v>0</v>
      </c>
      <c r="B652" s="11" t="s">
        <v>3577</v>
      </c>
      <c r="C652" s="11" t="s">
        <v>51</v>
      </c>
      <c r="D652" s="11" t="s">
        <v>2799</v>
      </c>
      <c r="E652" s="11" t="str">
        <f t="shared" si="80"/>
        <v>V-BRDG-CTLJ (Topografía / Cartografía - Puente: junta de control)</v>
      </c>
      <c r="F652" s="19" t="s">
        <v>3798</v>
      </c>
      <c r="G652" s="19" t="s">
        <v>3797</v>
      </c>
      <c r="H652" s="19" t="s">
        <v>3811</v>
      </c>
      <c r="I652" s="10">
        <v>0</v>
      </c>
      <c r="J652" s="10" t="str">
        <f t="shared" si="81"/>
        <v>Topografía / Cartografía - Puente: junta de control</v>
      </c>
      <c r="K652" s="11" t="s">
        <v>2492</v>
      </c>
      <c r="L652" s="11" t="s">
        <v>50</v>
      </c>
      <c r="M652" s="11" t="s">
        <v>2493</v>
      </c>
      <c r="N652" s="18" t="str">
        <f t="shared" si="82"/>
        <v xml:space="preserve">-LAYER N V-BRDG-CTLJ </v>
      </c>
      <c r="O652" s="11" t="str">
        <f t="shared" si="83"/>
        <v xml:space="preserve">-LAYER C white V-BRDG-CTLJ </v>
      </c>
      <c r="P652" s="11" t="str">
        <f t="shared" si="84"/>
        <v xml:space="preserve">-LAYER L Continuous
V-BRDG-CTLJ  </v>
      </c>
      <c r="Q652" s="11" t="str">
        <f t="shared" si="85"/>
        <v xml:space="preserve">-LAYER LW Default
V-BRDG-CTLJ  </v>
      </c>
      <c r="R652" s="11" t="str">
        <f t="shared" si="86"/>
        <v xml:space="preserve">-LAYER TR 0
V-BRDG-CTLJ  </v>
      </c>
      <c r="S652" s="11" t="str">
        <f t="shared" si="87"/>
        <v xml:space="preserve">-LAYER D Topografía / Cartografía - Puente: junta de control
V-BRDG-CTLJ  </v>
      </c>
    </row>
    <row r="653" spans="1:19" x14ac:dyDescent="0.45">
      <c r="A653" s="7">
        <v>0</v>
      </c>
      <c r="B653" s="11" t="s">
        <v>3578</v>
      </c>
      <c r="C653" s="11" t="s">
        <v>51</v>
      </c>
      <c r="D653" s="11" t="s">
        <v>976</v>
      </c>
      <c r="E653" s="11" t="str">
        <f t="shared" si="80"/>
        <v>V-BRDG-DECK (Topografía / Cartografía - Puente: cubierta)</v>
      </c>
      <c r="F653" s="19" t="s">
        <v>3798</v>
      </c>
      <c r="G653" s="19" t="s">
        <v>3797</v>
      </c>
      <c r="H653" s="19" t="s">
        <v>3811</v>
      </c>
      <c r="I653" s="10">
        <v>0</v>
      </c>
      <c r="J653" s="10" t="str">
        <f t="shared" si="81"/>
        <v>Topografía / Cartografía - Puente: cubierta</v>
      </c>
      <c r="K653" s="11" t="s">
        <v>2494</v>
      </c>
      <c r="L653" s="11" t="s">
        <v>50</v>
      </c>
      <c r="M653" s="11" t="s">
        <v>975</v>
      </c>
      <c r="N653" s="18" t="str">
        <f t="shared" si="82"/>
        <v xml:space="preserve">-LAYER N V-BRDG-DECK </v>
      </c>
      <c r="O653" s="11" t="str">
        <f t="shared" si="83"/>
        <v xml:space="preserve">-LAYER C white V-BRDG-DECK </v>
      </c>
      <c r="P653" s="11" t="str">
        <f t="shared" si="84"/>
        <v xml:space="preserve">-LAYER L Continuous
V-BRDG-DECK  </v>
      </c>
      <c r="Q653" s="11" t="str">
        <f t="shared" si="85"/>
        <v xml:space="preserve">-LAYER LW Default
V-BRDG-DECK  </v>
      </c>
      <c r="R653" s="11" t="str">
        <f t="shared" si="86"/>
        <v xml:space="preserve">-LAYER TR 0
V-BRDG-DECK  </v>
      </c>
      <c r="S653" s="11" t="str">
        <f t="shared" si="87"/>
        <v xml:space="preserve">-LAYER D Topografía / Cartografía - Puente: cubierta
V-BRDG-DECK  </v>
      </c>
    </row>
    <row r="654" spans="1:19" x14ac:dyDescent="0.45">
      <c r="A654" s="7">
        <v>0</v>
      </c>
      <c r="B654" s="11" t="s">
        <v>3579</v>
      </c>
      <c r="C654" s="11" t="s">
        <v>51</v>
      </c>
      <c r="D654" s="11" t="s">
        <v>2800</v>
      </c>
      <c r="E654" s="11" t="str">
        <f t="shared" si="80"/>
        <v>V-BRDG-GRAL (Topografía / Cartografía - Puente: barandilla)</v>
      </c>
      <c r="F654" s="19" t="s">
        <v>3798</v>
      </c>
      <c r="G654" s="19" t="s">
        <v>3797</v>
      </c>
      <c r="H654" s="19" t="s">
        <v>3811</v>
      </c>
      <c r="I654" s="10">
        <v>0</v>
      </c>
      <c r="J654" s="10" t="str">
        <f t="shared" si="81"/>
        <v>Topografía / Cartografía - Puente: barandilla</v>
      </c>
      <c r="K654" s="11" t="s">
        <v>2495</v>
      </c>
      <c r="L654" s="11" t="s">
        <v>50</v>
      </c>
      <c r="M654" s="11" t="s">
        <v>2496</v>
      </c>
      <c r="N654" s="18" t="str">
        <f t="shared" si="82"/>
        <v xml:space="preserve">-LAYER N V-BRDG-GRAL </v>
      </c>
      <c r="O654" s="11" t="str">
        <f t="shared" si="83"/>
        <v xml:space="preserve">-LAYER C white V-BRDG-GRAL </v>
      </c>
      <c r="P654" s="11" t="str">
        <f t="shared" si="84"/>
        <v xml:space="preserve">-LAYER L Continuous
V-BRDG-GRAL  </v>
      </c>
      <c r="Q654" s="11" t="str">
        <f t="shared" si="85"/>
        <v xml:space="preserve">-LAYER LW Default
V-BRDG-GRAL  </v>
      </c>
      <c r="R654" s="11" t="str">
        <f t="shared" si="86"/>
        <v xml:space="preserve">-LAYER TR 0
V-BRDG-GRAL  </v>
      </c>
      <c r="S654" s="11" t="str">
        <f t="shared" si="87"/>
        <v xml:space="preserve">-LAYER D Topografía / Cartografía - Puente: barandilla
V-BRDG-GRAL  </v>
      </c>
    </row>
    <row r="655" spans="1:19" x14ac:dyDescent="0.45">
      <c r="A655" s="7">
        <v>0</v>
      </c>
      <c r="B655" s="11" t="s">
        <v>3580</v>
      </c>
      <c r="C655" s="11" t="s">
        <v>51</v>
      </c>
      <c r="D655" s="11" t="s">
        <v>201</v>
      </c>
      <c r="E655" s="11" t="str">
        <f t="shared" si="80"/>
        <v>V-BRKL (Topografía / Cartografía - Líneas de rotura/falla)</v>
      </c>
      <c r="F655" s="19" t="s">
        <v>3798</v>
      </c>
      <c r="G655" s="19" t="s">
        <v>3797</v>
      </c>
      <c r="H655" s="19" t="s">
        <v>3811</v>
      </c>
      <c r="I655" s="10">
        <v>0</v>
      </c>
      <c r="J655" s="10" t="str">
        <f t="shared" si="81"/>
        <v>Topografía / Cartografía - Líneas de rotura/falla</v>
      </c>
      <c r="K655" s="11" t="s">
        <v>2497</v>
      </c>
      <c r="L655" s="11" t="s">
        <v>50</v>
      </c>
      <c r="M655" s="11" t="s">
        <v>2498</v>
      </c>
      <c r="N655" s="18" t="str">
        <f t="shared" si="82"/>
        <v xml:space="preserve">-LAYER N V-BRKL </v>
      </c>
      <c r="O655" s="11" t="str">
        <f t="shared" si="83"/>
        <v xml:space="preserve">-LAYER C white V-BRKL </v>
      </c>
      <c r="P655" s="11" t="str">
        <f t="shared" si="84"/>
        <v xml:space="preserve">-LAYER L Continuous
V-BRKL  </v>
      </c>
      <c r="Q655" s="11" t="str">
        <f t="shared" si="85"/>
        <v xml:space="preserve">-LAYER LW Default
V-BRKL  </v>
      </c>
      <c r="R655" s="11" t="str">
        <f t="shared" si="86"/>
        <v xml:space="preserve">-LAYER TR 0
V-BRKL  </v>
      </c>
      <c r="S655" s="11" t="str">
        <f t="shared" si="87"/>
        <v xml:space="preserve">-LAYER D Topografía / Cartografía - Líneas de rotura/falla
V-BRKL  </v>
      </c>
    </row>
    <row r="656" spans="1:19" x14ac:dyDescent="0.45">
      <c r="A656" s="7">
        <v>0</v>
      </c>
      <c r="B656" s="11" t="s">
        <v>3581</v>
      </c>
      <c r="C656" s="11" t="s">
        <v>51</v>
      </c>
      <c r="D656" s="11" t="s">
        <v>2801</v>
      </c>
      <c r="E656" s="11" t="str">
        <f t="shared" si="80"/>
        <v>V-BRKL-BOTB (Topografía / Cartografía - Líneas de rotura/falla: parte inferior del terraplén)</v>
      </c>
      <c r="F656" s="19" t="s">
        <v>3798</v>
      </c>
      <c r="G656" s="19" t="s">
        <v>3797</v>
      </c>
      <c r="H656" s="19" t="s">
        <v>3811</v>
      </c>
      <c r="I656" s="10">
        <v>0</v>
      </c>
      <c r="J656" s="10" t="str">
        <f t="shared" si="81"/>
        <v>Topografía / Cartografía - Líneas de rotura/falla: parte inferior del terraplén</v>
      </c>
      <c r="K656" s="11" t="s">
        <v>2499</v>
      </c>
      <c r="L656" s="11" t="s">
        <v>50</v>
      </c>
      <c r="M656" s="11" t="s">
        <v>2500</v>
      </c>
      <c r="N656" s="18" t="str">
        <f t="shared" si="82"/>
        <v xml:space="preserve">-LAYER N V-BRKL-BOTB </v>
      </c>
      <c r="O656" s="11" t="str">
        <f t="shared" si="83"/>
        <v xml:space="preserve">-LAYER C white V-BRKL-BOTB </v>
      </c>
      <c r="P656" s="11" t="str">
        <f t="shared" si="84"/>
        <v xml:space="preserve">-LAYER L Continuous
V-BRKL-BOTB  </v>
      </c>
      <c r="Q656" s="11" t="str">
        <f t="shared" si="85"/>
        <v xml:space="preserve">-LAYER LW Default
V-BRKL-BOTB  </v>
      </c>
      <c r="R656" s="11" t="str">
        <f t="shared" si="86"/>
        <v xml:space="preserve">-LAYER TR 0
V-BRKL-BOTB  </v>
      </c>
      <c r="S656" s="11" t="str">
        <f t="shared" si="87"/>
        <v xml:space="preserve">-LAYER D Topografía / Cartografía - Líneas de rotura/falla: parte inferior del terraplén
V-BRKL-BOTB  </v>
      </c>
    </row>
    <row r="657" spans="1:19" x14ac:dyDescent="0.45">
      <c r="A657" s="7">
        <v>0</v>
      </c>
      <c r="B657" s="11" t="s">
        <v>3582</v>
      </c>
      <c r="C657" s="11" t="s">
        <v>51</v>
      </c>
      <c r="D657" s="11" t="s">
        <v>2802</v>
      </c>
      <c r="E657" s="11" t="str">
        <f t="shared" si="80"/>
        <v>V-BRKL-FLOW (Topografía / Cartografía - Líneas de rotura/falla: línea de flujo (punto más bajo de la zanja))</v>
      </c>
      <c r="F657" s="19" t="s">
        <v>3798</v>
      </c>
      <c r="G657" s="19" t="s">
        <v>3797</v>
      </c>
      <c r="H657" s="19" t="s">
        <v>3811</v>
      </c>
      <c r="I657" s="10">
        <v>0</v>
      </c>
      <c r="J657" s="10" t="str">
        <f t="shared" si="81"/>
        <v>Topografía / Cartografía - Líneas de rotura/falla: línea de flujo (punto más bajo de la zanja)</v>
      </c>
      <c r="K657" s="11" t="s">
        <v>2501</v>
      </c>
      <c r="L657" s="11" t="s">
        <v>50</v>
      </c>
      <c r="M657" s="11" t="s">
        <v>2757</v>
      </c>
      <c r="N657" s="18" t="str">
        <f t="shared" si="82"/>
        <v xml:space="preserve">-LAYER N V-BRKL-FLOW </v>
      </c>
      <c r="O657" s="11" t="str">
        <f t="shared" si="83"/>
        <v xml:space="preserve">-LAYER C white V-BRKL-FLOW </v>
      </c>
      <c r="P657" s="11" t="str">
        <f t="shared" si="84"/>
        <v xml:space="preserve">-LAYER L Continuous
V-BRKL-FLOW  </v>
      </c>
      <c r="Q657" s="11" t="str">
        <f t="shared" si="85"/>
        <v xml:space="preserve">-LAYER LW Default
V-BRKL-FLOW  </v>
      </c>
      <c r="R657" s="11" t="str">
        <f t="shared" si="86"/>
        <v xml:space="preserve">-LAYER TR 0
V-BRKL-FLOW  </v>
      </c>
      <c r="S657" s="11" t="str">
        <f t="shared" si="87"/>
        <v xml:space="preserve">-LAYER D Topografía / Cartografía - Líneas de rotura/falla: línea de flujo (punto más bajo de la zanja)
V-BRKL-FLOW  </v>
      </c>
    </row>
    <row r="658" spans="1:19" x14ac:dyDescent="0.45">
      <c r="A658" s="7">
        <v>0</v>
      </c>
      <c r="B658" s="11" t="s">
        <v>3583</v>
      </c>
      <c r="C658" s="11" t="s">
        <v>51</v>
      </c>
      <c r="D658" s="11" t="s">
        <v>2803</v>
      </c>
      <c r="E658" s="11" t="str">
        <f t="shared" si="80"/>
        <v>V-BRKL-TOPB (Topografía / Cartografía - Línea de rotura/falla: parte superior del terraplén)</v>
      </c>
      <c r="F658" s="19" t="s">
        <v>3798</v>
      </c>
      <c r="G658" s="19" t="s">
        <v>3797</v>
      </c>
      <c r="H658" s="19" t="s">
        <v>3811</v>
      </c>
      <c r="I658" s="10">
        <v>0</v>
      </c>
      <c r="J658" s="10" t="str">
        <f t="shared" si="81"/>
        <v>Topografía / Cartografía - Línea de rotura/falla: parte superior del terraplén</v>
      </c>
      <c r="K658" s="11" t="s">
        <v>2758</v>
      </c>
      <c r="L658" s="11" t="s">
        <v>50</v>
      </c>
      <c r="M658" s="11" t="s">
        <v>2502</v>
      </c>
      <c r="N658" s="18" t="str">
        <f t="shared" si="82"/>
        <v xml:space="preserve">-LAYER N V-BRKL-TOPB </v>
      </c>
      <c r="O658" s="11" t="str">
        <f t="shared" si="83"/>
        <v xml:space="preserve">-LAYER C white V-BRKL-TOPB </v>
      </c>
      <c r="P658" s="11" t="str">
        <f t="shared" si="84"/>
        <v xml:space="preserve">-LAYER L Continuous
V-BRKL-TOPB  </v>
      </c>
      <c r="Q658" s="11" t="str">
        <f t="shared" si="85"/>
        <v xml:space="preserve">-LAYER LW Default
V-BRKL-TOPB  </v>
      </c>
      <c r="R658" s="11" t="str">
        <f t="shared" si="86"/>
        <v xml:space="preserve">-LAYER TR 0
V-BRKL-TOPB  </v>
      </c>
      <c r="S658" s="11" t="str">
        <f t="shared" si="87"/>
        <v xml:space="preserve">-LAYER D Topografía / Cartografía - Línea de rotura/falla: parte superior del terraplén
V-BRKL-TOPB  </v>
      </c>
    </row>
    <row r="659" spans="1:19" x14ac:dyDescent="0.45">
      <c r="A659" s="7">
        <v>0</v>
      </c>
      <c r="B659" s="11" t="s">
        <v>3584</v>
      </c>
      <c r="C659" s="11" t="s">
        <v>51</v>
      </c>
      <c r="D659" s="11" t="s">
        <v>2804</v>
      </c>
      <c r="E659" s="11" t="str">
        <f t="shared" si="80"/>
        <v>V-BRLN (Topografía / Cartografía - Línea de restricción de edificación)</v>
      </c>
      <c r="F659" s="19" t="s">
        <v>3798</v>
      </c>
      <c r="G659" s="19" t="s">
        <v>3797</v>
      </c>
      <c r="H659" s="19" t="s">
        <v>3811</v>
      </c>
      <c r="I659" s="10">
        <v>0</v>
      </c>
      <c r="J659" s="10" t="str">
        <f t="shared" si="81"/>
        <v>Topografía / Cartografía - Línea de restricción de edificación</v>
      </c>
      <c r="K659" s="11" t="s">
        <v>2503</v>
      </c>
      <c r="L659" s="11" t="s">
        <v>50</v>
      </c>
      <c r="M659" s="11" t="s">
        <v>203</v>
      </c>
      <c r="N659" s="18" t="str">
        <f t="shared" si="82"/>
        <v xml:space="preserve">-LAYER N V-BRLN </v>
      </c>
      <c r="O659" s="11" t="str">
        <f t="shared" si="83"/>
        <v xml:space="preserve">-LAYER C white V-BRLN </v>
      </c>
      <c r="P659" s="11" t="str">
        <f t="shared" si="84"/>
        <v xml:space="preserve">-LAYER L Continuous
V-BRLN  </v>
      </c>
      <c r="Q659" s="11" t="str">
        <f t="shared" si="85"/>
        <v xml:space="preserve">-LAYER LW Default
V-BRLN  </v>
      </c>
      <c r="R659" s="11" t="str">
        <f t="shared" si="86"/>
        <v xml:space="preserve">-LAYER TR 0
V-BRLN  </v>
      </c>
      <c r="S659" s="11" t="str">
        <f t="shared" si="87"/>
        <v xml:space="preserve">-LAYER D Topografía / Cartografía - Línea de restricción de edificación
V-BRLN  </v>
      </c>
    </row>
    <row r="660" spans="1:19" x14ac:dyDescent="0.45">
      <c r="A660" s="7">
        <v>0</v>
      </c>
      <c r="B660" s="11" t="s">
        <v>3585</v>
      </c>
      <c r="C660" s="11" t="s">
        <v>51</v>
      </c>
      <c r="D660" s="11" t="s">
        <v>207</v>
      </c>
      <c r="E660" s="11" t="str">
        <f t="shared" si="80"/>
        <v>V-BZNA (Topografía / Cartografía - Zona de amortiguamiento)</v>
      </c>
      <c r="F660" s="19" t="s">
        <v>3798</v>
      </c>
      <c r="G660" s="19" t="s">
        <v>3797</v>
      </c>
      <c r="H660" s="19" t="s">
        <v>3811</v>
      </c>
      <c r="I660" s="10">
        <v>0</v>
      </c>
      <c r="J660" s="10" t="str">
        <f t="shared" si="81"/>
        <v>Topografía / Cartografía - Zona de amortiguamiento</v>
      </c>
      <c r="K660" s="11" t="s">
        <v>2504</v>
      </c>
      <c r="L660" s="11" t="s">
        <v>50</v>
      </c>
      <c r="M660" s="11" t="s">
        <v>206</v>
      </c>
      <c r="N660" s="18" t="str">
        <f t="shared" si="82"/>
        <v xml:space="preserve">-LAYER N V-BZNA </v>
      </c>
      <c r="O660" s="11" t="str">
        <f t="shared" si="83"/>
        <v xml:space="preserve">-LAYER C white V-BZNA </v>
      </c>
      <c r="P660" s="11" t="str">
        <f t="shared" si="84"/>
        <v xml:space="preserve">-LAYER L Continuous
V-BZNA  </v>
      </c>
      <c r="Q660" s="11" t="str">
        <f t="shared" si="85"/>
        <v xml:space="preserve">-LAYER LW Default
V-BZNA  </v>
      </c>
      <c r="R660" s="11" t="str">
        <f t="shared" si="86"/>
        <v xml:space="preserve">-LAYER TR 0
V-BZNA  </v>
      </c>
      <c r="S660" s="11" t="str">
        <f t="shared" si="87"/>
        <v xml:space="preserve">-LAYER D Topografía / Cartografía - Zona de amortiguamiento
V-BZNA  </v>
      </c>
    </row>
    <row r="661" spans="1:19" x14ac:dyDescent="0.45">
      <c r="A661" s="7">
        <v>0</v>
      </c>
      <c r="B661" s="11" t="s">
        <v>3586</v>
      </c>
      <c r="C661" s="11" t="s">
        <v>51</v>
      </c>
      <c r="D661" s="11" t="s">
        <v>225</v>
      </c>
      <c r="E661" s="11" t="str">
        <f t="shared" si="80"/>
        <v>V-CHAN (Topografía / Cartografía - Canales navegables)</v>
      </c>
      <c r="F661" s="19" t="s">
        <v>3798</v>
      </c>
      <c r="G661" s="19" t="s">
        <v>3797</v>
      </c>
      <c r="H661" s="19" t="s">
        <v>3811</v>
      </c>
      <c r="I661" s="10">
        <v>0</v>
      </c>
      <c r="J661" s="10" t="str">
        <f t="shared" si="81"/>
        <v>Topografía / Cartografía - Canales navegables</v>
      </c>
      <c r="K661" s="11" t="s">
        <v>2505</v>
      </c>
      <c r="L661" s="11" t="s">
        <v>50</v>
      </c>
      <c r="M661" s="11" t="s">
        <v>224</v>
      </c>
      <c r="N661" s="18" t="str">
        <f t="shared" si="82"/>
        <v xml:space="preserve">-LAYER N V-CHAN </v>
      </c>
      <c r="O661" s="11" t="str">
        <f t="shared" si="83"/>
        <v xml:space="preserve">-LAYER C white V-CHAN </v>
      </c>
      <c r="P661" s="11" t="str">
        <f t="shared" si="84"/>
        <v xml:space="preserve">-LAYER L Continuous
V-CHAN  </v>
      </c>
      <c r="Q661" s="11" t="str">
        <f t="shared" si="85"/>
        <v xml:space="preserve">-LAYER LW Default
V-CHAN  </v>
      </c>
      <c r="R661" s="11" t="str">
        <f t="shared" si="86"/>
        <v xml:space="preserve">-LAYER TR 0
V-CHAN  </v>
      </c>
      <c r="S661" s="11" t="str">
        <f t="shared" si="87"/>
        <v xml:space="preserve">-LAYER D Topografía / Cartografía - Canales navegables
V-CHAN  </v>
      </c>
    </row>
    <row r="662" spans="1:19" x14ac:dyDescent="0.45">
      <c r="A662" s="7">
        <v>0</v>
      </c>
      <c r="B662" s="11" t="s">
        <v>3587</v>
      </c>
      <c r="C662" s="11" t="s">
        <v>51</v>
      </c>
      <c r="D662" s="11" t="s">
        <v>2805</v>
      </c>
      <c r="E662" s="11" t="str">
        <f t="shared" si="80"/>
        <v>V-CHAN-BWTR (Topografía / Cartografía - Navegable Canales: rompeolas)</v>
      </c>
      <c r="F662" s="19" t="s">
        <v>3798</v>
      </c>
      <c r="G662" s="19" t="s">
        <v>3797</v>
      </c>
      <c r="H662" s="19" t="s">
        <v>3811</v>
      </c>
      <c r="I662" s="10">
        <v>0</v>
      </c>
      <c r="J662" s="10" t="str">
        <f t="shared" si="81"/>
        <v>Topografía / Cartografía - Navegable Canales: rompeolas</v>
      </c>
      <c r="K662" s="11" t="s">
        <v>2506</v>
      </c>
      <c r="L662" s="11" t="s">
        <v>50</v>
      </c>
      <c r="M662" s="11" t="s">
        <v>1011</v>
      </c>
      <c r="N662" s="18" t="str">
        <f t="shared" si="82"/>
        <v xml:space="preserve">-LAYER N V-CHAN-BWTR </v>
      </c>
      <c r="O662" s="11" t="str">
        <f t="shared" si="83"/>
        <v xml:space="preserve">-LAYER C white V-CHAN-BWTR </v>
      </c>
      <c r="P662" s="11" t="str">
        <f t="shared" si="84"/>
        <v xml:space="preserve">-LAYER L Continuous
V-CHAN-BWTR  </v>
      </c>
      <c r="Q662" s="11" t="str">
        <f t="shared" si="85"/>
        <v xml:space="preserve">-LAYER LW Default
V-CHAN-BWTR  </v>
      </c>
      <c r="R662" s="11" t="str">
        <f t="shared" si="86"/>
        <v xml:space="preserve">-LAYER TR 0
V-CHAN-BWTR  </v>
      </c>
      <c r="S662" s="11" t="str">
        <f t="shared" si="87"/>
        <v xml:space="preserve">-LAYER D Topografía / Cartografía - Navegable Canales: rompeolas
V-CHAN-BWTR  </v>
      </c>
    </row>
    <row r="663" spans="1:19" x14ac:dyDescent="0.45">
      <c r="A663" s="7">
        <v>0</v>
      </c>
      <c r="B663" s="11" t="s">
        <v>3588</v>
      </c>
      <c r="C663" s="11" t="s">
        <v>51</v>
      </c>
      <c r="D663" s="11" t="s">
        <v>1015</v>
      </c>
      <c r="E663" s="11" t="str">
        <f t="shared" si="80"/>
        <v>V-CHAN-CNTR (Topografía / Cartografía - Canales navegables: centro)</v>
      </c>
      <c r="F663" s="19" t="s">
        <v>3798</v>
      </c>
      <c r="G663" s="19" t="s">
        <v>3797</v>
      </c>
      <c r="H663" s="19" t="s">
        <v>3811</v>
      </c>
      <c r="I663" s="10">
        <v>0</v>
      </c>
      <c r="J663" s="10" t="str">
        <f t="shared" si="81"/>
        <v>Topografía / Cartografía - Canales navegables: centro</v>
      </c>
      <c r="K663" s="11" t="s">
        <v>2507</v>
      </c>
      <c r="L663" s="11" t="s">
        <v>50</v>
      </c>
      <c r="M663" s="11" t="s">
        <v>1014</v>
      </c>
      <c r="N663" s="18" t="str">
        <f t="shared" si="82"/>
        <v xml:space="preserve">-LAYER N V-CHAN-CNTR </v>
      </c>
      <c r="O663" s="11" t="str">
        <f t="shared" si="83"/>
        <v xml:space="preserve">-LAYER C white V-CHAN-CNTR </v>
      </c>
      <c r="P663" s="11" t="str">
        <f t="shared" si="84"/>
        <v xml:space="preserve">-LAYER L Continuous
V-CHAN-CNTR  </v>
      </c>
      <c r="Q663" s="11" t="str">
        <f t="shared" si="85"/>
        <v xml:space="preserve">-LAYER LW Default
V-CHAN-CNTR  </v>
      </c>
      <c r="R663" s="11" t="str">
        <f t="shared" si="86"/>
        <v xml:space="preserve">-LAYER TR 0
V-CHAN-CNTR  </v>
      </c>
      <c r="S663" s="11" t="str">
        <f t="shared" si="87"/>
        <v xml:space="preserve">-LAYER D Topografía / Cartografía - Canales navegables: centro
V-CHAN-CNTR  </v>
      </c>
    </row>
    <row r="664" spans="1:19" x14ac:dyDescent="0.45">
      <c r="A664" s="7">
        <v>0</v>
      </c>
      <c r="B664" s="11" t="s">
        <v>3589</v>
      </c>
      <c r="C664" s="11" t="s">
        <v>51</v>
      </c>
      <c r="D664" s="11" t="s">
        <v>1018</v>
      </c>
      <c r="E664" s="11" t="str">
        <f t="shared" si="80"/>
        <v>V-CHAN-DACL (Topografía / Cartografía - Canales navegables: límites de canales no autorizados, fondeaderos, etc.)</v>
      </c>
      <c r="F664" s="19" t="s">
        <v>3798</v>
      </c>
      <c r="G664" s="19" t="s">
        <v>3797</v>
      </c>
      <c r="H664" s="19" t="s">
        <v>3811</v>
      </c>
      <c r="I664" s="10">
        <v>0</v>
      </c>
      <c r="J664" s="10" t="str">
        <f t="shared" si="81"/>
        <v>Topografía / Cartografía - Canales navegables: límites de canales no autorizados, fondeaderos, etc.</v>
      </c>
      <c r="K664" s="11" t="s">
        <v>2508</v>
      </c>
      <c r="L664" s="11" t="s">
        <v>50</v>
      </c>
      <c r="M664" s="11" t="s">
        <v>1017</v>
      </c>
      <c r="N664" s="18" t="str">
        <f t="shared" si="82"/>
        <v xml:space="preserve">-LAYER N V-CHAN-DACL </v>
      </c>
      <c r="O664" s="11" t="str">
        <f t="shared" si="83"/>
        <v xml:space="preserve">-LAYER C white V-CHAN-DACL </v>
      </c>
      <c r="P664" s="11" t="str">
        <f t="shared" si="84"/>
        <v xml:space="preserve">-LAYER L Continuous
V-CHAN-DACL  </v>
      </c>
      <c r="Q664" s="11" t="str">
        <f t="shared" si="85"/>
        <v xml:space="preserve">-LAYER LW Default
V-CHAN-DACL  </v>
      </c>
      <c r="R664" s="11" t="str">
        <f t="shared" si="86"/>
        <v xml:space="preserve">-LAYER TR 0
V-CHAN-DACL  </v>
      </c>
      <c r="S664" s="11" t="str">
        <f t="shared" si="87"/>
        <v xml:space="preserve">-LAYER D Topografía / Cartografía - Canales navegables: límites de canales no autorizados, fondeaderos, etc.
V-CHAN-DACL  </v>
      </c>
    </row>
    <row r="665" spans="1:19" x14ac:dyDescent="0.45">
      <c r="A665" s="7">
        <v>0</v>
      </c>
      <c r="B665" s="11" t="s">
        <v>3590</v>
      </c>
      <c r="C665" s="11" t="s">
        <v>51</v>
      </c>
      <c r="D665" s="11" t="s">
        <v>1021</v>
      </c>
      <c r="E665" s="11" t="str">
        <f t="shared" si="80"/>
        <v>V-CHAN-DOCK (Topografía / Cartografía - Canales navegables: cubiertas, muelles, flotadores, embarcaderos)</v>
      </c>
      <c r="F665" s="19" t="s">
        <v>3798</v>
      </c>
      <c r="G665" s="19" t="s">
        <v>3797</v>
      </c>
      <c r="H665" s="19" t="s">
        <v>3811</v>
      </c>
      <c r="I665" s="10">
        <v>0</v>
      </c>
      <c r="J665" s="10" t="str">
        <f t="shared" si="81"/>
        <v>Topografía / Cartografía - Canales navegables: cubiertas, muelles, flotadores, embarcaderos</v>
      </c>
      <c r="K665" s="11" t="s">
        <v>2509</v>
      </c>
      <c r="L665" s="11" t="s">
        <v>50</v>
      </c>
      <c r="M665" s="11" t="s">
        <v>2759</v>
      </c>
      <c r="N665" s="18" t="str">
        <f t="shared" si="82"/>
        <v xml:space="preserve">-LAYER N V-CHAN-DOCK </v>
      </c>
      <c r="O665" s="11" t="str">
        <f t="shared" si="83"/>
        <v xml:space="preserve">-LAYER C white V-CHAN-DOCK </v>
      </c>
      <c r="P665" s="11" t="str">
        <f t="shared" si="84"/>
        <v xml:space="preserve">-LAYER L Continuous
V-CHAN-DOCK  </v>
      </c>
      <c r="Q665" s="11" t="str">
        <f t="shared" si="85"/>
        <v xml:space="preserve">-LAYER LW Default
V-CHAN-DOCK  </v>
      </c>
      <c r="R665" s="11" t="str">
        <f t="shared" si="86"/>
        <v xml:space="preserve">-LAYER TR 0
V-CHAN-DOCK  </v>
      </c>
      <c r="S665" s="11" t="str">
        <f t="shared" si="87"/>
        <v xml:space="preserve">-LAYER D Topografía / Cartografía - Canales navegables: cubiertas, muelles, flotadores, embarcaderos
V-CHAN-DOCK  </v>
      </c>
    </row>
    <row r="666" spans="1:19" x14ac:dyDescent="0.45">
      <c r="A666" s="7">
        <v>0</v>
      </c>
      <c r="B666" s="11" t="s">
        <v>3591</v>
      </c>
      <c r="C666" s="11" t="s">
        <v>51</v>
      </c>
      <c r="D666" s="11" t="s">
        <v>1024</v>
      </c>
      <c r="E666" s="11" t="str">
        <f t="shared" si="80"/>
        <v>V-CHAN-NAID (Topografía / Cartografía - Canales navegables: ayudas a la navegación)</v>
      </c>
      <c r="F666" s="19" t="s">
        <v>3798</v>
      </c>
      <c r="G666" s="19" t="s">
        <v>3797</v>
      </c>
      <c r="H666" s="19" t="s">
        <v>3811</v>
      </c>
      <c r="I666" s="10">
        <v>0</v>
      </c>
      <c r="J666" s="10" t="str">
        <f t="shared" si="81"/>
        <v>Topografía / Cartografía - Canales navegables: ayudas a la navegación</v>
      </c>
      <c r="K666" s="11" t="s">
        <v>2760</v>
      </c>
      <c r="L666" s="11" t="s">
        <v>50</v>
      </c>
      <c r="M666" s="11" t="s">
        <v>1023</v>
      </c>
      <c r="N666" s="18" t="str">
        <f t="shared" si="82"/>
        <v xml:space="preserve">-LAYER N V-CHAN-NAID </v>
      </c>
      <c r="O666" s="11" t="str">
        <f t="shared" si="83"/>
        <v xml:space="preserve">-LAYER C white V-CHAN-NAID </v>
      </c>
      <c r="P666" s="11" t="str">
        <f t="shared" si="84"/>
        <v xml:space="preserve">-LAYER L Continuous
V-CHAN-NAID  </v>
      </c>
      <c r="Q666" s="11" t="str">
        <f t="shared" si="85"/>
        <v xml:space="preserve">-LAYER LW Default
V-CHAN-NAID  </v>
      </c>
      <c r="R666" s="11" t="str">
        <f t="shared" si="86"/>
        <v xml:space="preserve">-LAYER TR 0
V-CHAN-NAID  </v>
      </c>
      <c r="S666" s="11" t="str">
        <f t="shared" si="87"/>
        <v xml:space="preserve">-LAYER D Topografía / Cartografía - Canales navegables: ayudas a la navegación
V-CHAN-NAID  </v>
      </c>
    </row>
    <row r="667" spans="1:19" x14ac:dyDescent="0.45">
      <c r="A667" s="7">
        <v>0</v>
      </c>
      <c r="B667" s="11" t="s">
        <v>3592</v>
      </c>
      <c r="C667" s="11" t="s">
        <v>51</v>
      </c>
      <c r="D667" s="11" t="s">
        <v>258</v>
      </c>
      <c r="E667" s="11" t="str">
        <f t="shared" si="80"/>
        <v>V-COMM (Topografía / Cartografía - Comunicaciones)</v>
      </c>
      <c r="F667" s="19" t="s">
        <v>3798</v>
      </c>
      <c r="G667" s="19" t="s">
        <v>3797</v>
      </c>
      <c r="H667" s="19" t="s">
        <v>3811</v>
      </c>
      <c r="I667" s="10">
        <v>0</v>
      </c>
      <c r="J667" s="10" t="str">
        <f t="shared" si="81"/>
        <v>Topografía / Cartografía - Comunicaciones</v>
      </c>
      <c r="K667" s="11" t="s">
        <v>2510</v>
      </c>
      <c r="L667" s="11" t="s">
        <v>50</v>
      </c>
      <c r="M667" s="11" t="s">
        <v>257</v>
      </c>
      <c r="N667" s="18" t="str">
        <f t="shared" si="82"/>
        <v xml:space="preserve">-LAYER N V-COMM </v>
      </c>
      <c r="O667" s="11" t="str">
        <f t="shared" si="83"/>
        <v xml:space="preserve">-LAYER C white V-COMM </v>
      </c>
      <c r="P667" s="11" t="str">
        <f t="shared" si="84"/>
        <v xml:space="preserve">-LAYER L Continuous
V-COMM  </v>
      </c>
      <c r="Q667" s="11" t="str">
        <f t="shared" si="85"/>
        <v xml:space="preserve">-LAYER LW Default
V-COMM  </v>
      </c>
      <c r="R667" s="11" t="str">
        <f t="shared" si="86"/>
        <v xml:space="preserve">-LAYER TR 0
V-COMM  </v>
      </c>
      <c r="S667" s="11" t="str">
        <f t="shared" si="87"/>
        <v xml:space="preserve">-LAYER D Topografía / Cartografía - Comunicaciones
V-COMM  </v>
      </c>
    </row>
    <row r="668" spans="1:19" x14ac:dyDescent="0.45">
      <c r="A668" s="7">
        <v>0</v>
      </c>
      <c r="B668" s="11" t="s">
        <v>3593</v>
      </c>
      <c r="C668" s="11" t="s">
        <v>51</v>
      </c>
      <c r="D668" s="11" t="s">
        <v>2806</v>
      </c>
      <c r="E668" s="11" t="str">
        <f t="shared" si="80"/>
        <v>V-COMM-MHOL (Topografía / Cartografía - Comunicaciones: pozo de registro)</v>
      </c>
      <c r="F668" s="19" t="s">
        <v>3798</v>
      </c>
      <c r="G668" s="19" t="s">
        <v>3797</v>
      </c>
      <c r="H668" s="19" t="s">
        <v>3811</v>
      </c>
      <c r="I668" s="10">
        <v>0</v>
      </c>
      <c r="J668" s="10" t="str">
        <f t="shared" si="81"/>
        <v>Topografía / Cartografía - Comunicaciones: pozo de registro</v>
      </c>
      <c r="K668" s="11" t="s">
        <v>2511</v>
      </c>
      <c r="L668" s="11" t="s">
        <v>50</v>
      </c>
      <c r="M668" s="11" t="s">
        <v>2512</v>
      </c>
      <c r="N668" s="18" t="str">
        <f t="shared" si="82"/>
        <v xml:space="preserve">-LAYER N V-COMM-MHOL </v>
      </c>
      <c r="O668" s="11" t="str">
        <f t="shared" si="83"/>
        <v xml:space="preserve">-LAYER C white V-COMM-MHOL </v>
      </c>
      <c r="P668" s="11" t="str">
        <f t="shared" si="84"/>
        <v xml:space="preserve">-LAYER L Continuous
V-COMM-MHOL  </v>
      </c>
      <c r="Q668" s="11" t="str">
        <f t="shared" si="85"/>
        <v xml:space="preserve">-LAYER LW Default
V-COMM-MHOL  </v>
      </c>
      <c r="R668" s="11" t="str">
        <f t="shared" si="86"/>
        <v xml:space="preserve">-LAYER TR 0
V-COMM-MHOL  </v>
      </c>
      <c r="S668" s="11" t="str">
        <f t="shared" si="87"/>
        <v xml:space="preserve">-LAYER D Topografía / Cartografía - Comunicaciones: pozo de registro
V-COMM-MHOL  </v>
      </c>
    </row>
    <row r="669" spans="1:19" x14ac:dyDescent="0.45">
      <c r="A669" s="7">
        <v>0</v>
      </c>
      <c r="B669" s="11" t="s">
        <v>3594</v>
      </c>
      <c r="C669" s="11" t="s">
        <v>51</v>
      </c>
      <c r="D669" s="11" t="s">
        <v>1028</v>
      </c>
      <c r="E669" s="11" t="str">
        <f t="shared" si="80"/>
        <v>V-COMM-OVHD (Topografía / Cartografía - Comunicaciones: aéreas)</v>
      </c>
      <c r="F669" s="19" t="s">
        <v>3798</v>
      </c>
      <c r="G669" s="19" t="s">
        <v>3797</v>
      </c>
      <c r="H669" s="19" t="s">
        <v>3811</v>
      </c>
      <c r="I669" s="10">
        <v>0</v>
      </c>
      <c r="J669" s="10" t="str">
        <f t="shared" si="81"/>
        <v>Topografía / Cartografía - Comunicaciones: aéreas</v>
      </c>
      <c r="K669" s="11" t="s">
        <v>2513</v>
      </c>
      <c r="L669" s="11" t="s">
        <v>50</v>
      </c>
      <c r="M669" s="11" t="s">
        <v>1027</v>
      </c>
      <c r="N669" s="18" t="str">
        <f t="shared" si="82"/>
        <v xml:space="preserve">-LAYER N V-COMM-OVHD </v>
      </c>
      <c r="O669" s="11" t="str">
        <f t="shared" si="83"/>
        <v xml:space="preserve">-LAYER C white V-COMM-OVHD </v>
      </c>
      <c r="P669" s="11" t="str">
        <f t="shared" si="84"/>
        <v xml:space="preserve">-LAYER L Continuous
V-COMM-OVHD  </v>
      </c>
      <c r="Q669" s="11" t="str">
        <f t="shared" si="85"/>
        <v xml:space="preserve">-LAYER LW Default
V-COMM-OVHD  </v>
      </c>
      <c r="R669" s="11" t="str">
        <f t="shared" si="86"/>
        <v xml:space="preserve">-LAYER TR 0
V-COMM-OVHD  </v>
      </c>
      <c r="S669" s="11" t="str">
        <f t="shared" si="87"/>
        <v xml:space="preserve">-LAYER D Topografía / Cartografía - Comunicaciones: aéreas
V-COMM-OVHD  </v>
      </c>
    </row>
    <row r="670" spans="1:19" x14ac:dyDescent="0.45">
      <c r="A670" s="7">
        <v>0</v>
      </c>
      <c r="B670" s="11" t="s">
        <v>3595</v>
      </c>
      <c r="C670" s="11" t="s">
        <v>51</v>
      </c>
      <c r="D670" s="11" t="s">
        <v>1031</v>
      </c>
      <c r="E670" s="11" t="str">
        <f t="shared" si="80"/>
        <v>V-COMM-POLE (Topografía / Cartografía - Comunicaciones: poste)</v>
      </c>
      <c r="F670" s="19" t="s">
        <v>3798</v>
      </c>
      <c r="G670" s="19" t="s">
        <v>3797</v>
      </c>
      <c r="H670" s="19" t="s">
        <v>3811</v>
      </c>
      <c r="I670" s="10">
        <v>0</v>
      </c>
      <c r="J670" s="10" t="str">
        <f t="shared" si="81"/>
        <v>Topografía / Cartografía - Comunicaciones: poste</v>
      </c>
      <c r="K670" s="11" t="s">
        <v>2514</v>
      </c>
      <c r="L670" s="11" t="s">
        <v>50</v>
      </c>
      <c r="M670" s="11" t="s">
        <v>1030</v>
      </c>
      <c r="N670" s="18" t="str">
        <f t="shared" si="82"/>
        <v xml:space="preserve">-LAYER N V-COMM-POLE </v>
      </c>
      <c r="O670" s="11" t="str">
        <f t="shared" si="83"/>
        <v xml:space="preserve">-LAYER C white V-COMM-POLE </v>
      </c>
      <c r="P670" s="11" t="str">
        <f t="shared" si="84"/>
        <v xml:space="preserve">-LAYER L Continuous
V-COMM-POLE  </v>
      </c>
      <c r="Q670" s="11" t="str">
        <f t="shared" si="85"/>
        <v xml:space="preserve">-LAYER LW Default
V-COMM-POLE  </v>
      </c>
      <c r="R670" s="11" t="str">
        <f t="shared" si="86"/>
        <v xml:space="preserve">-LAYER TR 0
V-COMM-POLE  </v>
      </c>
      <c r="S670" s="11" t="str">
        <f t="shared" si="87"/>
        <v xml:space="preserve">-LAYER D Topografía / Cartografía - Comunicaciones: poste
V-COMM-POLE  </v>
      </c>
    </row>
    <row r="671" spans="1:19" x14ac:dyDescent="0.45">
      <c r="A671" s="7">
        <v>0</v>
      </c>
      <c r="B671" s="11" t="s">
        <v>3596</v>
      </c>
      <c r="C671" s="11" t="s">
        <v>51</v>
      </c>
      <c r="D671" s="11" t="s">
        <v>1034</v>
      </c>
      <c r="E671" s="11" t="str">
        <f t="shared" si="80"/>
        <v>V-COMM-UGND (Topografía / Cartografía - Comunicaciones: subterráneas)</v>
      </c>
      <c r="F671" s="19" t="s">
        <v>3798</v>
      </c>
      <c r="G671" s="19" t="s">
        <v>3797</v>
      </c>
      <c r="H671" s="19" t="s">
        <v>3811</v>
      </c>
      <c r="I671" s="10">
        <v>0</v>
      </c>
      <c r="J671" s="10" t="str">
        <f t="shared" si="81"/>
        <v>Topografía / Cartografía - Comunicaciones: subterráneas</v>
      </c>
      <c r="K671" s="11" t="s">
        <v>2515</v>
      </c>
      <c r="L671" s="11" t="s">
        <v>50</v>
      </c>
      <c r="M671" s="11" t="s">
        <v>1033</v>
      </c>
      <c r="N671" s="18" t="str">
        <f t="shared" si="82"/>
        <v xml:space="preserve">-LAYER N V-COMM-UGND </v>
      </c>
      <c r="O671" s="11" t="str">
        <f t="shared" si="83"/>
        <v xml:space="preserve">-LAYER C white V-COMM-UGND </v>
      </c>
      <c r="P671" s="11" t="str">
        <f t="shared" si="84"/>
        <v xml:space="preserve">-LAYER L Continuous
V-COMM-UGND  </v>
      </c>
      <c r="Q671" s="11" t="str">
        <f t="shared" si="85"/>
        <v xml:space="preserve">-LAYER LW Default
V-COMM-UGND  </v>
      </c>
      <c r="R671" s="11" t="str">
        <f t="shared" si="86"/>
        <v xml:space="preserve">-LAYER TR 0
V-COMM-UGND  </v>
      </c>
      <c r="S671" s="11" t="str">
        <f t="shared" si="87"/>
        <v xml:space="preserve">-LAYER D Topografía / Cartografía - Comunicaciones: subterráneas
V-COMM-UGND  </v>
      </c>
    </row>
    <row r="672" spans="1:19" x14ac:dyDescent="0.45">
      <c r="A672" s="7">
        <v>1</v>
      </c>
      <c r="B672" s="11" t="s">
        <v>3597</v>
      </c>
      <c r="C672" s="11" t="s">
        <v>51</v>
      </c>
      <c r="D672" s="11" t="s">
        <v>273</v>
      </c>
      <c r="E672" s="11" t="str">
        <f t="shared" si="80"/>
        <v>V-CTRL (Topografía / Cartografía - Puntos de control)</v>
      </c>
      <c r="F672" s="19" t="s">
        <v>3798</v>
      </c>
      <c r="G672" s="19" t="s">
        <v>3797</v>
      </c>
      <c r="H672" s="19" t="s">
        <v>3811</v>
      </c>
      <c r="I672" s="10">
        <v>0</v>
      </c>
      <c r="J672" s="10" t="str">
        <f t="shared" si="81"/>
        <v>Topografía / Cartografía - Puntos de control</v>
      </c>
      <c r="K672" s="11" t="s">
        <v>2516</v>
      </c>
      <c r="L672" s="11" t="s">
        <v>50</v>
      </c>
      <c r="M672" s="11" t="s">
        <v>272</v>
      </c>
      <c r="N672" s="18" t="str">
        <f t="shared" si="82"/>
        <v xml:space="preserve">-LAYER N V-CTRL </v>
      </c>
      <c r="O672" s="11" t="str">
        <f t="shared" si="83"/>
        <v xml:space="preserve">-LAYER C white V-CTRL </v>
      </c>
      <c r="P672" s="11" t="str">
        <f t="shared" si="84"/>
        <v xml:space="preserve">-LAYER L Continuous
V-CTRL  </v>
      </c>
      <c r="Q672" s="11" t="str">
        <f t="shared" si="85"/>
        <v xml:space="preserve">-LAYER LW Default
V-CTRL  </v>
      </c>
      <c r="R672" s="11" t="str">
        <f t="shared" si="86"/>
        <v xml:space="preserve">-LAYER TR 0
V-CTRL  </v>
      </c>
      <c r="S672" s="11" t="str">
        <f t="shared" si="87"/>
        <v xml:space="preserve">-LAYER D Topografía / Cartografía - Puntos de control
V-CTRL  </v>
      </c>
    </row>
    <row r="673" spans="1:19" x14ac:dyDescent="0.45">
      <c r="A673" s="7">
        <v>0</v>
      </c>
      <c r="B673" s="11" t="s">
        <v>3598</v>
      </c>
      <c r="C673" s="11" t="s">
        <v>51</v>
      </c>
      <c r="D673" s="11" t="s">
        <v>1038</v>
      </c>
      <c r="E673" s="11" t="str">
        <f t="shared" si="80"/>
        <v>V-CTRL-BMRK (Topografía / Cartografía - Puntos de control: puntos de referencia)</v>
      </c>
      <c r="F673" s="19" t="s">
        <v>3798</v>
      </c>
      <c r="G673" s="19" t="s">
        <v>3797</v>
      </c>
      <c r="H673" s="19" t="s">
        <v>3811</v>
      </c>
      <c r="I673" s="10">
        <v>0</v>
      </c>
      <c r="J673" s="10" t="str">
        <f t="shared" si="81"/>
        <v>Topografía / Cartografía - Puntos de control: puntos de referencia</v>
      </c>
      <c r="K673" s="11" t="s">
        <v>2517</v>
      </c>
      <c r="L673" s="11" t="s">
        <v>50</v>
      </c>
      <c r="M673" s="11" t="s">
        <v>1037</v>
      </c>
      <c r="N673" s="18" t="str">
        <f t="shared" si="82"/>
        <v xml:space="preserve">-LAYER N V-CTRL-BMRK </v>
      </c>
      <c r="O673" s="11" t="str">
        <f t="shared" si="83"/>
        <v xml:space="preserve">-LAYER C white V-CTRL-BMRK </v>
      </c>
      <c r="P673" s="11" t="str">
        <f t="shared" si="84"/>
        <v xml:space="preserve">-LAYER L Continuous
V-CTRL-BMRK  </v>
      </c>
      <c r="Q673" s="11" t="str">
        <f t="shared" si="85"/>
        <v xml:space="preserve">-LAYER LW Default
V-CTRL-BMRK  </v>
      </c>
      <c r="R673" s="11" t="str">
        <f t="shared" si="86"/>
        <v xml:space="preserve">-LAYER TR 0
V-CTRL-BMRK  </v>
      </c>
      <c r="S673" s="11" t="str">
        <f t="shared" si="87"/>
        <v xml:space="preserve">-LAYER D Topografía / Cartografía - Puntos de control: puntos de referencia
V-CTRL-BMRK  </v>
      </c>
    </row>
    <row r="674" spans="1:19" x14ac:dyDescent="0.45">
      <c r="A674" s="7">
        <v>0</v>
      </c>
      <c r="B674" s="11" t="s">
        <v>3599</v>
      </c>
      <c r="C674" s="11" t="s">
        <v>51</v>
      </c>
      <c r="D674" s="11" t="s">
        <v>1041</v>
      </c>
      <c r="E674" s="11" t="str">
        <f t="shared" si="80"/>
        <v>V-CTRL-FLYS (Topografía / Cartografía - Puntos de control: estación de vuelo)</v>
      </c>
      <c r="F674" s="19" t="s">
        <v>3798</v>
      </c>
      <c r="G674" s="19" t="s">
        <v>3797</v>
      </c>
      <c r="H674" s="19" t="s">
        <v>3811</v>
      </c>
      <c r="I674" s="10">
        <v>0</v>
      </c>
      <c r="J674" s="10" t="str">
        <f t="shared" si="81"/>
        <v>Topografía / Cartografía - Puntos de control: estación de vuelo</v>
      </c>
      <c r="K674" s="11" t="s">
        <v>2518</v>
      </c>
      <c r="L674" s="11" t="s">
        <v>50</v>
      </c>
      <c r="M674" s="11" t="s">
        <v>1040</v>
      </c>
      <c r="N674" s="18" t="str">
        <f t="shared" si="82"/>
        <v xml:space="preserve">-LAYER N V-CTRL-FLYS </v>
      </c>
      <c r="O674" s="11" t="str">
        <f t="shared" si="83"/>
        <v xml:space="preserve">-LAYER C white V-CTRL-FLYS </v>
      </c>
      <c r="P674" s="11" t="str">
        <f t="shared" si="84"/>
        <v xml:space="preserve">-LAYER L Continuous
V-CTRL-FLYS  </v>
      </c>
      <c r="Q674" s="11" t="str">
        <f t="shared" si="85"/>
        <v xml:space="preserve">-LAYER LW Default
V-CTRL-FLYS  </v>
      </c>
      <c r="R674" s="11" t="str">
        <f t="shared" si="86"/>
        <v xml:space="preserve">-LAYER TR 0
V-CTRL-FLYS  </v>
      </c>
      <c r="S674" s="11" t="str">
        <f t="shared" si="87"/>
        <v xml:space="preserve">-LAYER D Topografía / Cartografía - Puntos de control: estación de vuelo
V-CTRL-FLYS  </v>
      </c>
    </row>
    <row r="675" spans="1:19" x14ac:dyDescent="0.45">
      <c r="A675" s="7">
        <v>0</v>
      </c>
      <c r="B675" s="11" t="s">
        <v>3600</v>
      </c>
      <c r="C675" s="11" t="s">
        <v>51</v>
      </c>
      <c r="D675" s="11" t="s">
        <v>1044</v>
      </c>
      <c r="E675" s="11" t="str">
        <f t="shared" si="80"/>
        <v>V-CTRL-GRID (Topografía / Cartografía - Puntos de control: cuadrícula)</v>
      </c>
      <c r="F675" s="19" t="s">
        <v>3798</v>
      </c>
      <c r="G675" s="19" t="s">
        <v>3797</v>
      </c>
      <c r="H675" s="19" t="s">
        <v>3811</v>
      </c>
      <c r="I675" s="10">
        <v>0</v>
      </c>
      <c r="J675" s="10" t="str">
        <f t="shared" si="81"/>
        <v>Topografía / Cartografía - Puntos de control: cuadrícula</v>
      </c>
      <c r="K675" s="11" t="s">
        <v>2519</v>
      </c>
      <c r="L675" s="11" t="s">
        <v>50</v>
      </c>
      <c r="M675" s="11" t="s">
        <v>1043</v>
      </c>
      <c r="N675" s="18" t="str">
        <f t="shared" si="82"/>
        <v xml:space="preserve">-LAYER N V-CTRL-GRID </v>
      </c>
      <c r="O675" s="11" t="str">
        <f t="shared" si="83"/>
        <v xml:space="preserve">-LAYER C white V-CTRL-GRID </v>
      </c>
      <c r="P675" s="11" t="str">
        <f t="shared" si="84"/>
        <v xml:space="preserve">-LAYER L Continuous
V-CTRL-GRID  </v>
      </c>
      <c r="Q675" s="11" t="str">
        <f t="shared" si="85"/>
        <v xml:space="preserve">-LAYER LW Default
V-CTRL-GRID  </v>
      </c>
      <c r="R675" s="11" t="str">
        <f t="shared" si="86"/>
        <v xml:space="preserve">-LAYER TR 0
V-CTRL-GRID  </v>
      </c>
      <c r="S675" s="11" t="str">
        <f t="shared" si="87"/>
        <v xml:space="preserve">-LAYER D Topografía / Cartografía - Puntos de control: cuadrícula
V-CTRL-GRID  </v>
      </c>
    </row>
    <row r="676" spans="1:19" x14ac:dyDescent="0.45">
      <c r="A676" s="7">
        <v>0</v>
      </c>
      <c r="B676" s="11" t="s">
        <v>3601</v>
      </c>
      <c r="C676" s="11" t="s">
        <v>51</v>
      </c>
      <c r="D676" s="11" t="s">
        <v>2807</v>
      </c>
      <c r="E676" s="11" t="str">
        <f t="shared" si="80"/>
        <v>V-CTRL-HORZ (Topografía / Cartografía - Puntos de control: horizontales)</v>
      </c>
      <c r="F676" s="19" t="s">
        <v>3798</v>
      </c>
      <c r="G676" s="19" t="s">
        <v>3797</v>
      </c>
      <c r="H676" s="19" t="s">
        <v>3811</v>
      </c>
      <c r="I676" s="10">
        <v>0</v>
      </c>
      <c r="J676" s="10" t="str">
        <f t="shared" si="81"/>
        <v>Topografía / Cartografía - Puntos de control: horizontales</v>
      </c>
      <c r="K676" s="11" t="s">
        <v>2520</v>
      </c>
      <c r="L676" s="11" t="s">
        <v>50</v>
      </c>
      <c r="M676" s="11" t="s">
        <v>1046</v>
      </c>
      <c r="N676" s="18" t="str">
        <f t="shared" si="82"/>
        <v xml:space="preserve">-LAYER N V-CTRL-HORZ </v>
      </c>
      <c r="O676" s="11" t="str">
        <f t="shared" si="83"/>
        <v xml:space="preserve">-LAYER C white V-CTRL-HORZ </v>
      </c>
      <c r="P676" s="11" t="str">
        <f t="shared" si="84"/>
        <v xml:space="preserve">-LAYER L Continuous
V-CTRL-HORZ  </v>
      </c>
      <c r="Q676" s="11" t="str">
        <f t="shared" si="85"/>
        <v xml:space="preserve">-LAYER LW Default
V-CTRL-HORZ  </v>
      </c>
      <c r="R676" s="11" t="str">
        <f t="shared" si="86"/>
        <v xml:space="preserve">-LAYER TR 0
V-CTRL-HORZ  </v>
      </c>
      <c r="S676" s="11" t="str">
        <f t="shared" si="87"/>
        <v xml:space="preserve">-LAYER D Topografía / Cartografía - Puntos de control: horizontales
V-CTRL-HORZ  </v>
      </c>
    </row>
    <row r="677" spans="1:19" x14ac:dyDescent="0.45">
      <c r="A677" s="7">
        <v>0</v>
      </c>
      <c r="B677" s="11" t="s">
        <v>3602</v>
      </c>
      <c r="C677" s="11" t="s">
        <v>51</v>
      </c>
      <c r="D677" s="11" t="s">
        <v>2808</v>
      </c>
      <c r="E677" s="11" t="str">
        <f t="shared" si="80"/>
        <v>V-CTRL-HVPT (Topografía / Cartografía - Puntos de control: horizontales/verticales)</v>
      </c>
      <c r="F677" s="19" t="s">
        <v>3798</v>
      </c>
      <c r="G677" s="19" t="s">
        <v>3797</v>
      </c>
      <c r="H677" s="19" t="s">
        <v>3811</v>
      </c>
      <c r="I677" s="10">
        <v>0</v>
      </c>
      <c r="J677" s="10" t="str">
        <f t="shared" si="81"/>
        <v>Topografía / Cartografía - Puntos de control: horizontales/verticales</v>
      </c>
      <c r="K677" s="11" t="s">
        <v>2521</v>
      </c>
      <c r="L677" s="11" t="s">
        <v>50</v>
      </c>
      <c r="M677" s="11" t="s">
        <v>1049</v>
      </c>
      <c r="N677" s="18" t="str">
        <f t="shared" si="82"/>
        <v xml:space="preserve">-LAYER N V-CTRL-HVPT </v>
      </c>
      <c r="O677" s="11" t="str">
        <f t="shared" si="83"/>
        <v xml:space="preserve">-LAYER C white V-CTRL-HVPT </v>
      </c>
      <c r="P677" s="11" t="str">
        <f t="shared" si="84"/>
        <v xml:space="preserve">-LAYER L Continuous
V-CTRL-HVPT  </v>
      </c>
      <c r="Q677" s="11" t="str">
        <f t="shared" si="85"/>
        <v xml:space="preserve">-LAYER LW Default
V-CTRL-HVPT  </v>
      </c>
      <c r="R677" s="11" t="str">
        <f t="shared" si="86"/>
        <v xml:space="preserve">-LAYER TR 0
V-CTRL-HVPT  </v>
      </c>
      <c r="S677" s="11" t="str">
        <f t="shared" si="87"/>
        <v xml:space="preserve">-LAYER D Topografía / Cartografía - Puntos de control: horizontales/verticales
V-CTRL-HVPT  </v>
      </c>
    </row>
    <row r="678" spans="1:19" x14ac:dyDescent="0.45">
      <c r="A678" s="7">
        <v>0</v>
      </c>
      <c r="B678" s="11" t="s">
        <v>3603</v>
      </c>
      <c r="C678" s="11" t="s">
        <v>51</v>
      </c>
      <c r="D678" s="11" t="s">
        <v>1053</v>
      </c>
      <c r="E678" s="11" t="str">
        <f t="shared" si="80"/>
        <v>V-CTRL-PNPT (Topografía / Cartografía - Puntos de control: puntos de panel)</v>
      </c>
      <c r="F678" s="19" t="s">
        <v>3798</v>
      </c>
      <c r="G678" s="19" t="s">
        <v>3797</v>
      </c>
      <c r="H678" s="19" t="s">
        <v>3811</v>
      </c>
      <c r="I678" s="10">
        <v>0</v>
      </c>
      <c r="J678" s="10" t="str">
        <f t="shared" si="81"/>
        <v>Topografía / Cartografía - Puntos de control: puntos de panel</v>
      </c>
      <c r="K678" s="11" t="s">
        <v>2522</v>
      </c>
      <c r="L678" s="11" t="s">
        <v>50</v>
      </c>
      <c r="M678" s="11" t="s">
        <v>1052</v>
      </c>
      <c r="N678" s="18" t="str">
        <f t="shared" si="82"/>
        <v xml:space="preserve">-LAYER N V-CTRL-PNPT </v>
      </c>
      <c r="O678" s="11" t="str">
        <f t="shared" si="83"/>
        <v xml:space="preserve">-LAYER C white V-CTRL-PNPT </v>
      </c>
      <c r="P678" s="11" t="str">
        <f t="shared" si="84"/>
        <v xml:space="preserve">-LAYER L Continuous
V-CTRL-PNPT  </v>
      </c>
      <c r="Q678" s="11" t="str">
        <f t="shared" si="85"/>
        <v xml:space="preserve">-LAYER LW Default
V-CTRL-PNPT  </v>
      </c>
      <c r="R678" s="11" t="str">
        <f t="shared" si="86"/>
        <v xml:space="preserve">-LAYER TR 0
V-CTRL-PNPT  </v>
      </c>
      <c r="S678" s="11" t="str">
        <f t="shared" si="87"/>
        <v xml:space="preserve">-LAYER D Topografía / Cartografía - Puntos de control: puntos de panel
V-CTRL-PNPT  </v>
      </c>
    </row>
    <row r="679" spans="1:19" x14ac:dyDescent="0.45">
      <c r="A679" s="7">
        <v>0</v>
      </c>
      <c r="B679" s="11" t="s">
        <v>3604</v>
      </c>
      <c r="C679" s="11" t="s">
        <v>51</v>
      </c>
      <c r="D679" s="11" t="s">
        <v>2809</v>
      </c>
      <c r="E679" s="11" t="str">
        <f t="shared" si="80"/>
        <v>V-CTRL-TRAV (Topografía / Cartografía - Puntos de control: transversales)</v>
      </c>
      <c r="F679" s="19" t="s">
        <v>3798</v>
      </c>
      <c r="G679" s="19" t="s">
        <v>3797</v>
      </c>
      <c r="H679" s="19" t="s">
        <v>3811</v>
      </c>
      <c r="I679" s="10">
        <v>0</v>
      </c>
      <c r="J679" s="10" t="str">
        <f t="shared" si="81"/>
        <v>Topografía / Cartografía - Puntos de control: transversales</v>
      </c>
      <c r="K679" s="11" t="s">
        <v>2523</v>
      </c>
      <c r="L679" s="11" t="s">
        <v>50</v>
      </c>
      <c r="M679" s="11" t="s">
        <v>1055</v>
      </c>
      <c r="N679" s="18" t="str">
        <f t="shared" si="82"/>
        <v xml:space="preserve">-LAYER N V-CTRL-TRAV </v>
      </c>
      <c r="O679" s="11" t="str">
        <f t="shared" si="83"/>
        <v xml:space="preserve">-LAYER C white V-CTRL-TRAV </v>
      </c>
      <c r="P679" s="11" t="str">
        <f t="shared" si="84"/>
        <v xml:space="preserve">-LAYER L Continuous
V-CTRL-TRAV  </v>
      </c>
      <c r="Q679" s="11" t="str">
        <f t="shared" si="85"/>
        <v xml:space="preserve">-LAYER LW Default
V-CTRL-TRAV  </v>
      </c>
      <c r="R679" s="11" t="str">
        <f t="shared" si="86"/>
        <v xml:space="preserve">-LAYER TR 0
V-CTRL-TRAV  </v>
      </c>
      <c r="S679" s="11" t="str">
        <f t="shared" si="87"/>
        <v xml:space="preserve">-LAYER D Topografía / Cartografía - Puntos de control: transversales
V-CTRL-TRAV  </v>
      </c>
    </row>
    <row r="680" spans="1:19" x14ac:dyDescent="0.45">
      <c r="A680" s="7">
        <v>0</v>
      </c>
      <c r="B680" s="11" t="s">
        <v>3605</v>
      </c>
      <c r="C680" s="11" t="s">
        <v>51</v>
      </c>
      <c r="D680" s="11" t="s">
        <v>2810</v>
      </c>
      <c r="E680" s="11" t="str">
        <f t="shared" si="80"/>
        <v>V-CTRL-VERT (Topografía / Cartografía - Puntos de control: verticales)</v>
      </c>
      <c r="F680" s="19" t="s">
        <v>3798</v>
      </c>
      <c r="G680" s="19" t="s">
        <v>3797</v>
      </c>
      <c r="H680" s="19" t="s">
        <v>3811</v>
      </c>
      <c r="I680" s="10">
        <v>0</v>
      </c>
      <c r="J680" s="10" t="str">
        <f t="shared" si="81"/>
        <v>Topografía / Cartografía - Puntos de control: verticales</v>
      </c>
      <c r="K680" s="11" t="s">
        <v>2524</v>
      </c>
      <c r="L680" s="11" t="s">
        <v>50</v>
      </c>
      <c r="M680" s="11" t="s">
        <v>1058</v>
      </c>
      <c r="N680" s="18" t="str">
        <f t="shared" si="82"/>
        <v xml:space="preserve">-LAYER N V-CTRL-VERT </v>
      </c>
      <c r="O680" s="11" t="str">
        <f t="shared" si="83"/>
        <v xml:space="preserve">-LAYER C white V-CTRL-VERT </v>
      </c>
      <c r="P680" s="11" t="str">
        <f t="shared" si="84"/>
        <v xml:space="preserve">-LAYER L Continuous
V-CTRL-VERT  </v>
      </c>
      <c r="Q680" s="11" t="str">
        <f t="shared" si="85"/>
        <v xml:space="preserve">-LAYER LW Default
V-CTRL-VERT  </v>
      </c>
      <c r="R680" s="11" t="str">
        <f t="shared" si="86"/>
        <v xml:space="preserve">-LAYER TR 0
V-CTRL-VERT  </v>
      </c>
      <c r="S680" s="11" t="str">
        <f t="shared" si="87"/>
        <v xml:space="preserve">-LAYER D Topografía / Cartografía - Puntos de control: verticales
V-CTRL-VERT  </v>
      </c>
    </row>
    <row r="681" spans="1:19" x14ac:dyDescent="0.45">
      <c r="A681" s="7">
        <v>1</v>
      </c>
      <c r="B681" s="11" t="s">
        <v>3606</v>
      </c>
      <c r="C681" s="11" t="s">
        <v>51</v>
      </c>
      <c r="D681" s="11" t="s">
        <v>1068</v>
      </c>
      <c r="E681" s="11" t="str">
        <f t="shared" si="80"/>
        <v>V-DRIV (Topografía / Cartografía - Accesos vehiculares)</v>
      </c>
      <c r="F681" s="10" t="s">
        <v>3800</v>
      </c>
      <c r="G681" s="10" t="s">
        <v>3797</v>
      </c>
      <c r="H681" s="10">
        <v>0.4</v>
      </c>
      <c r="I681" s="10">
        <v>0</v>
      </c>
      <c r="J681" s="10" t="str">
        <f t="shared" si="81"/>
        <v>Topografía / Cartografía - Accesos vehiculares</v>
      </c>
      <c r="K681" s="11" t="s">
        <v>2525</v>
      </c>
      <c r="L681" s="11" t="s">
        <v>50</v>
      </c>
      <c r="M681" s="11" t="s">
        <v>305</v>
      </c>
      <c r="N681" s="18" t="str">
        <f t="shared" si="82"/>
        <v xml:space="preserve">-LAYER N V-DRIV </v>
      </c>
      <c r="O681" s="11" t="str">
        <f t="shared" si="83"/>
        <v xml:space="preserve">-LAYER C cyan V-DRIV </v>
      </c>
      <c r="P681" s="11" t="str">
        <f t="shared" si="84"/>
        <v xml:space="preserve">-LAYER L Continuous
V-DRIV  </v>
      </c>
      <c r="Q681" s="11" t="str">
        <f t="shared" si="85"/>
        <v xml:space="preserve">-LAYER LW 0.4
V-DRIV  </v>
      </c>
      <c r="R681" s="11" t="str">
        <f t="shared" si="86"/>
        <v xml:space="preserve">-LAYER TR 0
V-DRIV  </v>
      </c>
      <c r="S681" s="11" t="str">
        <f t="shared" si="87"/>
        <v xml:space="preserve">-LAYER D Topografía / Cartografía - Accesos vehiculares
V-DRIV  </v>
      </c>
    </row>
    <row r="682" spans="1:19" x14ac:dyDescent="0.45">
      <c r="A682" s="7">
        <v>0</v>
      </c>
      <c r="B682" s="11" t="s">
        <v>3607</v>
      </c>
      <c r="C682" s="11" t="s">
        <v>51</v>
      </c>
      <c r="D682" s="11" t="s">
        <v>1071</v>
      </c>
      <c r="E682" s="11" t="str">
        <f t="shared" si="80"/>
        <v>V-DRIV-ASPH (Topografía / Cartografía - Accesos vehiculares: asfalto)</v>
      </c>
      <c r="F682" s="19" t="s">
        <v>3798</v>
      </c>
      <c r="G682" s="19" t="s">
        <v>3797</v>
      </c>
      <c r="H682" s="19" t="s">
        <v>3811</v>
      </c>
      <c r="I682" s="10">
        <v>0</v>
      </c>
      <c r="J682" s="10" t="str">
        <f t="shared" si="81"/>
        <v>Topografía / Cartografía - Accesos vehiculares: asfalto</v>
      </c>
      <c r="K682" s="11" t="s">
        <v>2526</v>
      </c>
      <c r="L682" s="11" t="s">
        <v>50</v>
      </c>
      <c r="M682" s="11" t="s">
        <v>1070</v>
      </c>
      <c r="N682" s="18" t="str">
        <f t="shared" si="82"/>
        <v xml:space="preserve">-LAYER N V-DRIV-ASPH </v>
      </c>
      <c r="O682" s="11" t="str">
        <f t="shared" si="83"/>
        <v xml:space="preserve">-LAYER C white V-DRIV-ASPH </v>
      </c>
      <c r="P682" s="11" t="str">
        <f t="shared" si="84"/>
        <v xml:space="preserve">-LAYER L Continuous
V-DRIV-ASPH  </v>
      </c>
      <c r="Q682" s="11" t="str">
        <f t="shared" si="85"/>
        <v xml:space="preserve">-LAYER LW Default
V-DRIV-ASPH  </v>
      </c>
      <c r="R682" s="11" t="str">
        <f t="shared" si="86"/>
        <v xml:space="preserve">-LAYER TR 0
V-DRIV-ASPH  </v>
      </c>
      <c r="S682" s="11" t="str">
        <f t="shared" si="87"/>
        <v xml:space="preserve">-LAYER D Topografía / Cartografía - Accesos vehiculares: asfalto
V-DRIV-ASPH  </v>
      </c>
    </row>
    <row r="683" spans="1:19" x14ac:dyDescent="0.45">
      <c r="A683" s="7">
        <v>0</v>
      </c>
      <c r="B683" s="11" t="s">
        <v>3608</v>
      </c>
      <c r="C683" s="11" t="s">
        <v>51</v>
      </c>
      <c r="D683" s="11" t="s">
        <v>1074</v>
      </c>
      <c r="E683" s="11" t="str">
        <f t="shared" si="80"/>
        <v>V-DRIV-CNTR (Topografía / Cartografía - Accesos vehiculares: centro)</v>
      </c>
      <c r="F683" s="19" t="s">
        <v>3798</v>
      </c>
      <c r="G683" s="19" t="s">
        <v>3797</v>
      </c>
      <c r="H683" s="19" t="s">
        <v>3811</v>
      </c>
      <c r="I683" s="10">
        <v>0</v>
      </c>
      <c r="J683" s="10" t="str">
        <f t="shared" si="81"/>
        <v>Topografía / Cartografía - Accesos vehiculares: centro</v>
      </c>
      <c r="K683" s="11" t="s">
        <v>2527</v>
      </c>
      <c r="L683" s="11" t="s">
        <v>50</v>
      </c>
      <c r="M683" s="11" t="s">
        <v>1073</v>
      </c>
      <c r="N683" s="18" t="str">
        <f t="shared" si="82"/>
        <v xml:space="preserve">-LAYER N V-DRIV-CNTR </v>
      </c>
      <c r="O683" s="11" t="str">
        <f t="shared" si="83"/>
        <v xml:space="preserve">-LAYER C white V-DRIV-CNTR </v>
      </c>
      <c r="P683" s="11" t="str">
        <f t="shared" si="84"/>
        <v xml:space="preserve">-LAYER L Continuous
V-DRIV-CNTR  </v>
      </c>
      <c r="Q683" s="11" t="str">
        <f t="shared" si="85"/>
        <v xml:space="preserve">-LAYER LW Default
V-DRIV-CNTR  </v>
      </c>
      <c r="R683" s="11" t="str">
        <f t="shared" si="86"/>
        <v xml:space="preserve">-LAYER TR 0
V-DRIV-CNTR  </v>
      </c>
      <c r="S683" s="11" t="str">
        <f t="shared" si="87"/>
        <v xml:space="preserve">-LAYER D Topografía / Cartografía - Accesos vehiculares: centro
V-DRIV-CNTR  </v>
      </c>
    </row>
    <row r="684" spans="1:19" x14ac:dyDescent="0.45">
      <c r="A684" s="7">
        <v>0</v>
      </c>
      <c r="B684" s="11" t="s">
        <v>3609</v>
      </c>
      <c r="C684" s="11" t="s">
        <v>51</v>
      </c>
      <c r="D684" s="11" t="s">
        <v>1077</v>
      </c>
      <c r="E684" s="11" t="str">
        <f t="shared" si="80"/>
        <v>V-DRIV-CONC (Topografía / Cartografía - Accesos vehiculares: hormigón)</v>
      </c>
      <c r="F684" s="19" t="s">
        <v>3798</v>
      </c>
      <c r="G684" s="19" t="s">
        <v>3797</v>
      </c>
      <c r="H684" s="19" t="s">
        <v>3811</v>
      </c>
      <c r="I684" s="10">
        <v>0</v>
      </c>
      <c r="J684" s="10" t="str">
        <f t="shared" si="81"/>
        <v>Topografía / Cartografía - Accesos vehiculares: hormigón</v>
      </c>
      <c r="K684" s="11" t="s">
        <v>2528</v>
      </c>
      <c r="L684" s="11" t="s">
        <v>50</v>
      </c>
      <c r="M684" s="11" t="s">
        <v>1076</v>
      </c>
      <c r="N684" s="18" t="str">
        <f t="shared" si="82"/>
        <v xml:space="preserve">-LAYER N V-DRIV-CONC </v>
      </c>
      <c r="O684" s="11" t="str">
        <f t="shared" si="83"/>
        <v xml:space="preserve">-LAYER C white V-DRIV-CONC </v>
      </c>
      <c r="P684" s="11" t="str">
        <f t="shared" si="84"/>
        <v xml:space="preserve">-LAYER L Continuous
V-DRIV-CONC  </v>
      </c>
      <c r="Q684" s="11" t="str">
        <f t="shared" si="85"/>
        <v xml:space="preserve">-LAYER LW Default
V-DRIV-CONC  </v>
      </c>
      <c r="R684" s="11" t="str">
        <f t="shared" si="86"/>
        <v xml:space="preserve">-LAYER TR 0
V-DRIV-CONC  </v>
      </c>
      <c r="S684" s="11" t="str">
        <f t="shared" si="87"/>
        <v xml:space="preserve">-LAYER D Topografía / Cartografía - Accesos vehiculares: hormigón
V-DRIV-CONC  </v>
      </c>
    </row>
    <row r="685" spans="1:19" x14ac:dyDescent="0.45">
      <c r="A685" s="7">
        <v>0</v>
      </c>
      <c r="B685" s="11" t="s">
        <v>3610</v>
      </c>
      <c r="C685" s="11" t="s">
        <v>51</v>
      </c>
      <c r="D685" s="11" t="s">
        <v>2811</v>
      </c>
      <c r="E685" s="11" t="str">
        <f t="shared" si="80"/>
        <v>V-DRIV-CURB (Topografía / Cartografía - Accesos vehiculares: bordillo)</v>
      </c>
      <c r="F685" s="19" t="s">
        <v>3798</v>
      </c>
      <c r="G685" s="19" t="s">
        <v>3797</v>
      </c>
      <c r="H685" s="19" t="s">
        <v>3811</v>
      </c>
      <c r="I685" s="10">
        <v>0</v>
      </c>
      <c r="J685" s="10" t="str">
        <f t="shared" si="81"/>
        <v>Topografía / Cartografía - Accesos vehiculares: bordillo</v>
      </c>
      <c r="K685" s="11" t="s">
        <v>2529</v>
      </c>
      <c r="L685" s="11" t="s">
        <v>50</v>
      </c>
      <c r="M685" s="11" t="s">
        <v>1079</v>
      </c>
      <c r="N685" s="18" t="str">
        <f t="shared" si="82"/>
        <v xml:space="preserve">-LAYER N V-DRIV-CURB </v>
      </c>
      <c r="O685" s="11" t="str">
        <f t="shared" si="83"/>
        <v xml:space="preserve">-LAYER C white V-DRIV-CURB </v>
      </c>
      <c r="P685" s="11" t="str">
        <f t="shared" si="84"/>
        <v xml:space="preserve">-LAYER L Continuous
V-DRIV-CURB  </v>
      </c>
      <c r="Q685" s="11" t="str">
        <f t="shared" si="85"/>
        <v xml:space="preserve">-LAYER LW Default
V-DRIV-CURB  </v>
      </c>
      <c r="R685" s="11" t="str">
        <f t="shared" si="86"/>
        <v xml:space="preserve">-LAYER TR 0
V-DRIV-CURB  </v>
      </c>
      <c r="S685" s="11" t="str">
        <f t="shared" si="87"/>
        <v xml:space="preserve">-LAYER D Topografía / Cartografía - Accesos vehiculares: bordillo
V-DRIV-CURB  </v>
      </c>
    </row>
    <row r="686" spans="1:19" x14ac:dyDescent="0.45">
      <c r="A686" s="7">
        <v>0</v>
      </c>
      <c r="B686" s="11" t="s">
        <v>3611</v>
      </c>
      <c r="C686" s="11" t="s">
        <v>51</v>
      </c>
      <c r="D686" s="11" t="s">
        <v>2812</v>
      </c>
      <c r="E686" s="11" t="str">
        <f t="shared" si="80"/>
        <v>V-DRIV-FLNE (Topografía / Cartografía - Accesos vehiculares: carril de incendios)</v>
      </c>
      <c r="F686" s="19" t="s">
        <v>3798</v>
      </c>
      <c r="G686" s="19" t="s">
        <v>3797</v>
      </c>
      <c r="H686" s="19" t="s">
        <v>3811</v>
      </c>
      <c r="I686" s="10">
        <v>0</v>
      </c>
      <c r="J686" s="10" t="str">
        <f t="shared" si="81"/>
        <v>Topografía / Cartografía - Accesos vehiculares: carril de incendios</v>
      </c>
      <c r="K686" s="11" t="s">
        <v>2530</v>
      </c>
      <c r="L686" s="11" t="s">
        <v>50</v>
      </c>
      <c r="M686" s="11" t="s">
        <v>1088</v>
      </c>
      <c r="N686" s="18" t="str">
        <f t="shared" si="82"/>
        <v xml:space="preserve">-LAYER N V-DRIV-FLNE </v>
      </c>
      <c r="O686" s="11" t="str">
        <f t="shared" si="83"/>
        <v xml:space="preserve">-LAYER C white V-DRIV-FLNE </v>
      </c>
      <c r="P686" s="11" t="str">
        <f t="shared" si="84"/>
        <v xml:space="preserve">-LAYER L Continuous
V-DRIV-FLNE  </v>
      </c>
      <c r="Q686" s="11" t="str">
        <f t="shared" si="85"/>
        <v xml:space="preserve">-LAYER LW Default
V-DRIV-FLNE  </v>
      </c>
      <c r="R686" s="11" t="str">
        <f t="shared" si="86"/>
        <v xml:space="preserve">-LAYER TR 0
V-DRIV-FLNE  </v>
      </c>
      <c r="S686" s="11" t="str">
        <f t="shared" si="87"/>
        <v xml:space="preserve">-LAYER D Topografía / Cartografía - Accesos vehiculares: carril de incendios
V-DRIV-FLNE  </v>
      </c>
    </row>
    <row r="687" spans="1:19" x14ac:dyDescent="0.45">
      <c r="A687" s="7">
        <v>0</v>
      </c>
      <c r="B687" s="11" t="s">
        <v>3612</v>
      </c>
      <c r="C687" s="11" t="s">
        <v>51</v>
      </c>
      <c r="D687" s="11" t="s">
        <v>2813</v>
      </c>
      <c r="E687" s="11" t="str">
        <f t="shared" si="80"/>
        <v>V-DRIV-GRVL (Topografía / Cartografía - Accesos vehiculares: grava)</v>
      </c>
      <c r="F687" s="19" t="s">
        <v>3798</v>
      </c>
      <c r="G687" s="19" t="s">
        <v>3797</v>
      </c>
      <c r="H687" s="19" t="s">
        <v>3811</v>
      </c>
      <c r="I687" s="10">
        <v>0</v>
      </c>
      <c r="J687" s="10" t="str">
        <f t="shared" si="81"/>
        <v>Topografía / Cartografía - Accesos vehiculares: grava</v>
      </c>
      <c r="K687" s="11" t="s">
        <v>2531</v>
      </c>
      <c r="L687" s="11" t="s">
        <v>50</v>
      </c>
      <c r="M687" s="11" t="s">
        <v>1097</v>
      </c>
      <c r="N687" s="18" t="str">
        <f t="shared" si="82"/>
        <v xml:space="preserve">-LAYER N V-DRIV-GRVL </v>
      </c>
      <c r="O687" s="11" t="str">
        <f t="shared" si="83"/>
        <v xml:space="preserve">-LAYER C white V-DRIV-GRVL </v>
      </c>
      <c r="P687" s="11" t="str">
        <f t="shared" si="84"/>
        <v xml:space="preserve">-LAYER L Continuous
V-DRIV-GRVL  </v>
      </c>
      <c r="Q687" s="11" t="str">
        <f t="shared" si="85"/>
        <v xml:space="preserve">-LAYER LW Default
V-DRIV-GRVL  </v>
      </c>
      <c r="R687" s="11" t="str">
        <f t="shared" si="86"/>
        <v xml:space="preserve">-LAYER TR 0
V-DRIV-GRVL  </v>
      </c>
      <c r="S687" s="11" t="str">
        <f t="shared" si="87"/>
        <v xml:space="preserve">-LAYER D Topografía / Cartografía - Accesos vehiculares: grava
V-DRIV-GRVL  </v>
      </c>
    </row>
    <row r="688" spans="1:19" x14ac:dyDescent="0.45">
      <c r="A688" s="7">
        <v>0</v>
      </c>
      <c r="B688" s="11" t="s">
        <v>3613</v>
      </c>
      <c r="C688" s="11" t="s">
        <v>51</v>
      </c>
      <c r="D688" s="11" t="s">
        <v>2814</v>
      </c>
      <c r="E688" s="11" t="str">
        <f t="shared" si="80"/>
        <v>V-DRIV-MRKG (Topografía / Cartografía - Accesos vehiculares: marcas en el pavimento)</v>
      </c>
      <c r="F688" s="19" t="s">
        <v>3798</v>
      </c>
      <c r="G688" s="19" t="s">
        <v>3797</v>
      </c>
      <c r="H688" s="19" t="s">
        <v>3811</v>
      </c>
      <c r="I688" s="10">
        <v>0</v>
      </c>
      <c r="J688" s="10" t="str">
        <f t="shared" si="81"/>
        <v>Topografía / Cartografía - Accesos vehiculares: marcas en el pavimento</v>
      </c>
      <c r="K688" s="11" t="s">
        <v>2532</v>
      </c>
      <c r="L688" s="11" t="s">
        <v>50</v>
      </c>
      <c r="M688" s="11" t="s">
        <v>1100</v>
      </c>
      <c r="N688" s="18" t="str">
        <f t="shared" si="82"/>
        <v xml:space="preserve">-LAYER N V-DRIV-MRKG </v>
      </c>
      <c r="O688" s="11" t="str">
        <f t="shared" si="83"/>
        <v xml:space="preserve">-LAYER C white V-DRIV-MRKG </v>
      </c>
      <c r="P688" s="11" t="str">
        <f t="shared" si="84"/>
        <v xml:space="preserve">-LAYER L Continuous
V-DRIV-MRKG  </v>
      </c>
      <c r="Q688" s="11" t="str">
        <f t="shared" si="85"/>
        <v xml:space="preserve">-LAYER LW Default
V-DRIV-MRKG  </v>
      </c>
      <c r="R688" s="11" t="str">
        <f t="shared" si="86"/>
        <v xml:space="preserve">-LAYER TR 0
V-DRIV-MRKG  </v>
      </c>
      <c r="S688" s="11" t="str">
        <f t="shared" si="87"/>
        <v xml:space="preserve">-LAYER D Topografía / Cartografía - Accesos vehiculares: marcas en el pavimento
V-DRIV-MRKG  </v>
      </c>
    </row>
    <row r="689" spans="1:19" x14ac:dyDescent="0.45">
      <c r="A689" s="7">
        <v>0</v>
      </c>
      <c r="B689" s="11" t="s">
        <v>3614</v>
      </c>
      <c r="C689" s="11" t="s">
        <v>51</v>
      </c>
      <c r="D689" s="11" t="s">
        <v>2815</v>
      </c>
      <c r="E689" s="11" t="str">
        <f t="shared" si="80"/>
        <v>V-DRIV-UPVD (Topografía / Cartografía - Accesos vehiculares: superficie sin pavimentar)</v>
      </c>
      <c r="F689" s="19" t="s">
        <v>3798</v>
      </c>
      <c r="G689" s="19" t="s">
        <v>3797</v>
      </c>
      <c r="H689" s="19" t="s">
        <v>3811</v>
      </c>
      <c r="I689" s="10">
        <v>0</v>
      </c>
      <c r="J689" s="10" t="str">
        <f t="shared" si="81"/>
        <v>Topografía / Cartografía - Accesos vehiculares: superficie sin pavimentar</v>
      </c>
      <c r="K689" s="11" t="s">
        <v>2533</v>
      </c>
      <c r="L689" s="11" t="s">
        <v>50</v>
      </c>
      <c r="M689" s="11" t="s">
        <v>1106</v>
      </c>
      <c r="N689" s="18" t="str">
        <f t="shared" si="82"/>
        <v xml:space="preserve">-LAYER N V-DRIV-UPVD </v>
      </c>
      <c r="O689" s="11" t="str">
        <f t="shared" si="83"/>
        <v xml:space="preserve">-LAYER C white V-DRIV-UPVD </v>
      </c>
      <c r="P689" s="11" t="str">
        <f t="shared" si="84"/>
        <v xml:space="preserve">-LAYER L Continuous
V-DRIV-UPVD  </v>
      </c>
      <c r="Q689" s="11" t="str">
        <f t="shared" si="85"/>
        <v xml:space="preserve">-LAYER LW Default
V-DRIV-UPVD  </v>
      </c>
      <c r="R689" s="11" t="str">
        <f t="shared" si="86"/>
        <v xml:space="preserve">-LAYER TR 0
V-DRIV-UPVD  </v>
      </c>
      <c r="S689" s="11" t="str">
        <f t="shared" si="87"/>
        <v xml:space="preserve">-LAYER D Topografía / Cartografía - Accesos vehiculares: superficie sin pavimentar
V-DRIV-UPVD  </v>
      </c>
    </row>
    <row r="690" spans="1:19" x14ac:dyDescent="0.45">
      <c r="A690" s="7">
        <v>1</v>
      </c>
      <c r="B690" s="11" t="s">
        <v>3615</v>
      </c>
      <c r="C690" s="11" t="s">
        <v>51</v>
      </c>
      <c r="D690" s="11" t="s">
        <v>2920</v>
      </c>
      <c r="E690" s="11" t="str">
        <f t="shared" si="80"/>
        <v>V-DTCH (Topografía / Cartografía - Cunetas o arroyos)</v>
      </c>
      <c r="F690" s="19" t="s">
        <v>3798</v>
      </c>
      <c r="G690" s="19" t="s">
        <v>3797</v>
      </c>
      <c r="H690" s="19" t="s">
        <v>3811</v>
      </c>
      <c r="I690" s="10">
        <v>0</v>
      </c>
      <c r="J690" s="10" t="str">
        <f t="shared" si="81"/>
        <v>Topografía / Cartografía - Cunetas o arroyos</v>
      </c>
      <c r="K690" s="11" t="s">
        <v>2534</v>
      </c>
      <c r="L690" s="11" t="s">
        <v>50</v>
      </c>
      <c r="M690" s="11" t="s">
        <v>308</v>
      </c>
      <c r="N690" s="18" t="str">
        <f t="shared" si="82"/>
        <v xml:space="preserve">-LAYER N V-DTCH </v>
      </c>
      <c r="O690" s="11" t="str">
        <f t="shared" si="83"/>
        <v xml:space="preserve">-LAYER C white V-DTCH </v>
      </c>
      <c r="P690" s="11" t="str">
        <f t="shared" si="84"/>
        <v xml:space="preserve">-LAYER L Continuous
V-DTCH  </v>
      </c>
      <c r="Q690" s="11" t="str">
        <f t="shared" si="85"/>
        <v xml:space="preserve">-LAYER LW Default
V-DTCH  </v>
      </c>
      <c r="R690" s="11" t="str">
        <f t="shared" si="86"/>
        <v xml:space="preserve">-LAYER TR 0
V-DTCH  </v>
      </c>
      <c r="S690" s="11" t="str">
        <f t="shared" si="87"/>
        <v xml:space="preserve">-LAYER D Topografía / Cartografía - Cunetas o arroyos
V-DTCH  </v>
      </c>
    </row>
    <row r="691" spans="1:19" x14ac:dyDescent="0.45">
      <c r="A691" s="7">
        <v>0</v>
      </c>
      <c r="B691" s="11" t="s">
        <v>3616</v>
      </c>
      <c r="C691" s="11" t="s">
        <v>51</v>
      </c>
      <c r="D691" s="11" t="s">
        <v>2921</v>
      </c>
      <c r="E691" s="11" t="str">
        <f t="shared" si="80"/>
        <v>V-DTCH-BOTM (Topografía / Cartografía - Cunetas o arroyos: fondo)</v>
      </c>
      <c r="F691" s="19" t="s">
        <v>3798</v>
      </c>
      <c r="G691" s="19" t="s">
        <v>3797</v>
      </c>
      <c r="H691" s="19" t="s">
        <v>3811</v>
      </c>
      <c r="I691" s="10">
        <v>0</v>
      </c>
      <c r="J691" s="10" t="str">
        <f t="shared" si="81"/>
        <v>Topografía / Cartografía - Cunetas o arroyos: fondo</v>
      </c>
      <c r="K691" s="11" t="s">
        <v>2535</v>
      </c>
      <c r="L691" s="11" t="s">
        <v>50</v>
      </c>
      <c r="M691" s="11" t="s">
        <v>1123</v>
      </c>
      <c r="N691" s="18" t="str">
        <f t="shared" si="82"/>
        <v xml:space="preserve">-LAYER N V-DTCH-BOTM </v>
      </c>
      <c r="O691" s="11" t="str">
        <f t="shared" si="83"/>
        <v xml:space="preserve">-LAYER C white V-DTCH-BOTM </v>
      </c>
      <c r="P691" s="11" t="str">
        <f t="shared" si="84"/>
        <v xml:space="preserve">-LAYER L Continuous
V-DTCH-BOTM  </v>
      </c>
      <c r="Q691" s="11" t="str">
        <f t="shared" si="85"/>
        <v xml:space="preserve">-LAYER LW Default
V-DTCH-BOTM  </v>
      </c>
      <c r="R691" s="11" t="str">
        <f t="shared" si="86"/>
        <v xml:space="preserve">-LAYER TR 0
V-DTCH-BOTM  </v>
      </c>
      <c r="S691" s="11" t="str">
        <f t="shared" si="87"/>
        <v xml:space="preserve">-LAYER D Topografía / Cartografía - Cunetas o arroyos: fondo
V-DTCH-BOTM  </v>
      </c>
    </row>
    <row r="692" spans="1:19" x14ac:dyDescent="0.45">
      <c r="A692" s="7">
        <v>0</v>
      </c>
      <c r="B692" s="11" t="s">
        <v>3617</v>
      </c>
      <c r="C692" s="11" t="s">
        <v>51</v>
      </c>
      <c r="D692" s="11" t="s">
        <v>2922</v>
      </c>
      <c r="E692" s="11" t="str">
        <f t="shared" si="80"/>
        <v>V-DTCH-CNTR (Topografía / Cartografía - Cunetas o arroyos: centro)</v>
      </c>
      <c r="F692" s="19" t="s">
        <v>3798</v>
      </c>
      <c r="G692" s="19" t="s">
        <v>3797</v>
      </c>
      <c r="H692" s="19" t="s">
        <v>3811</v>
      </c>
      <c r="I692" s="10">
        <v>0</v>
      </c>
      <c r="J692" s="10" t="str">
        <f t="shared" si="81"/>
        <v>Topografía / Cartografía - Cunetas o arroyos: centro</v>
      </c>
      <c r="K692" s="11" t="s">
        <v>2536</v>
      </c>
      <c r="L692" s="11" t="s">
        <v>50</v>
      </c>
      <c r="M692" s="11" t="s">
        <v>1126</v>
      </c>
      <c r="N692" s="18" t="str">
        <f t="shared" si="82"/>
        <v xml:space="preserve">-LAYER N V-DTCH-CNTR </v>
      </c>
      <c r="O692" s="11" t="str">
        <f t="shared" si="83"/>
        <v xml:space="preserve">-LAYER C white V-DTCH-CNTR </v>
      </c>
      <c r="P692" s="11" t="str">
        <f t="shared" si="84"/>
        <v xml:space="preserve">-LAYER L Continuous
V-DTCH-CNTR  </v>
      </c>
      <c r="Q692" s="11" t="str">
        <f t="shared" si="85"/>
        <v xml:space="preserve">-LAYER LW Default
V-DTCH-CNTR  </v>
      </c>
      <c r="R692" s="11" t="str">
        <f t="shared" si="86"/>
        <v xml:space="preserve">-LAYER TR 0
V-DTCH-CNTR  </v>
      </c>
      <c r="S692" s="11" t="str">
        <f t="shared" si="87"/>
        <v xml:space="preserve">-LAYER D Topografía / Cartografía - Cunetas o arroyos: centro
V-DTCH-CNTR  </v>
      </c>
    </row>
    <row r="693" spans="1:19" x14ac:dyDescent="0.45">
      <c r="A693" s="7">
        <v>0</v>
      </c>
      <c r="B693" s="11" t="s">
        <v>3618</v>
      </c>
      <c r="C693" s="11" t="s">
        <v>51</v>
      </c>
      <c r="D693" s="11" t="s">
        <v>2923</v>
      </c>
      <c r="E693" s="11" t="str">
        <f t="shared" si="80"/>
        <v>V-DTCH-EWAT (Topografía / Cartografía - Cunetas o arroyos: borde del agua)</v>
      </c>
      <c r="F693" s="19" t="s">
        <v>3798</v>
      </c>
      <c r="G693" s="19" t="s">
        <v>3797</v>
      </c>
      <c r="H693" s="19" t="s">
        <v>3811</v>
      </c>
      <c r="I693" s="10">
        <v>0</v>
      </c>
      <c r="J693" s="10" t="str">
        <f t="shared" si="81"/>
        <v>Topografía / Cartografía - Cunetas o arroyos: borde del agua</v>
      </c>
      <c r="K693" s="11" t="s">
        <v>2537</v>
      </c>
      <c r="L693" s="11" t="s">
        <v>50</v>
      </c>
      <c r="M693" s="11" t="s">
        <v>1129</v>
      </c>
      <c r="N693" s="18" t="str">
        <f t="shared" si="82"/>
        <v xml:space="preserve">-LAYER N V-DTCH-EWAT </v>
      </c>
      <c r="O693" s="11" t="str">
        <f t="shared" si="83"/>
        <v xml:space="preserve">-LAYER C white V-DTCH-EWAT </v>
      </c>
      <c r="P693" s="11" t="str">
        <f t="shared" si="84"/>
        <v xml:space="preserve">-LAYER L Continuous
V-DTCH-EWAT  </v>
      </c>
      <c r="Q693" s="11" t="str">
        <f t="shared" si="85"/>
        <v xml:space="preserve">-LAYER LW Default
V-DTCH-EWAT  </v>
      </c>
      <c r="R693" s="11" t="str">
        <f t="shared" si="86"/>
        <v xml:space="preserve">-LAYER TR 0
V-DTCH-EWAT  </v>
      </c>
      <c r="S693" s="11" t="str">
        <f t="shared" si="87"/>
        <v xml:space="preserve">-LAYER D Topografía / Cartografía - Cunetas o arroyos: borde del agua
V-DTCH-EWAT  </v>
      </c>
    </row>
    <row r="694" spans="1:19" x14ac:dyDescent="0.45">
      <c r="A694" s="7">
        <v>0</v>
      </c>
      <c r="B694" s="11" t="s">
        <v>3619</v>
      </c>
      <c r="C694" s="11" t="s">
        <v>51</v>
      </c>
      <c r="D694" s="11" t="s">
        <v>2924</v>
      </c>
      <c r="E694" s="11" t="str">
        <f t="shared" si="80"/>
        <v>V-DTCH-TOP~ (Topografía / Cartografía - Cunetas o arroyos: Arriba)</v>
      </c>
      <c r="F694" s="19" t="s">
        <v>3798</v>
      </c>
      <c r="G694" s="19" t="s">
        <v>3797</v>
      </c>
      <c r="H694" s="19" t="s">
        <v>3811</v>
      </c>
      <c r="I694" s="10">
        <v>0</v>
      </c>
      <c r="J694" s="10" t="str">
        <f t="shared" si="81"/>
        <v>Topografía / Cartografía - Cunetas o arroyos: Arriba</v>
      </c>
      <c r="K694" s="11" t="s">
        <v>2538</v>
      </c>
      <c r="L694" s="11" t="s">
        <v>50</v>
      </c>
      <c r="M694" s="11" t="s">
        <v>1132</v>
      </c>
      <c r="N694" s="18" t="str">
        <f t="shared" si="82"/>
        <v xml:space="preserve">-LAYER N V-DTCH-TOP~ </v>
      </c>
      <c r="O694" s="11" t="str">
        <f t="shared" si="83"/>
        <v xml:space="preserve">-LAYER C white V-DTCH-TOP~ </v>
      </c>
      <c r="P694" s="11" t="str">
        <f t="shared" si="84"/>
        <v xml:space="preserve">-LAYER L Continuous
V-DTCH-TOP~  </v>
      </c>
      <c r="Q694" s="11" t="str">
        <f t="shared" si="85"/>
        <v xml:space="preserve">-LAYER LW Default
V-DTCH-TOP~  </v>
      </c>
      <c r="R694" s="11" t="str">
        <f t="shared" si="86"/>
        <v xml:space="preserve">-LAYER TR 0
V-DTCH-TOP~  </v>
      </c>
      <c r="S694" s="11" t="str">
        <f t="shared" si="87"/>
        <v xml:space="preserve">-LAYER D Topografía / Cartografía - Cunetas o arroyos: Arriba
V-DTCH-TOP~  </v>
      </c>
    </row>
    <row r="695" spans="1:19" x14ac:dyDescent="0.45">
      <c r="A695" s="7">
        <v>1</v>
      </c>
      <c r="B695" s="11" t="s">
        <v>3620</v>
      </c>
      <c r="C695" s="11" t="s">
        <v>51</v>
      </c>
      <c r="D695" s="11" t="s">
        <v>338</v>
      </c>
      <c r="E695" s="11" t="str">
        <f t="shared" si="80"/>
        <v>V-ESMT (Topografía / Cartografía - Servidumbres)</v>
      </c>
      <c r="F695" s="19" t="s">
        <v>3798</v>
      </c>
      <c r="G695" s="19" t="s">
        <v>3797</v>
      </c>
      <c r="H695" s="19" t="s">
        <v>3811</v>
      </c>
      <c r="I695" s="10">
        <v>0</v>
      </c>
      <c r="J695" s="10" t="str">
        <f t="shared" si="81"/>
        <v>Topografía / Cartografía - Servidumbres</v>
      </c>
      <c r="K695" s="11" t="s">
        <v>2539</v>
      </c>
      <c r="L695" s="11" t="s">
        <v>50</v>
      </c>
      <c r="M695" s="11" t="s">
        <v>337</v>
      </c>
      <c r="N695" s="18" t="str">
        <f t="shared" si="82"/>
        <v xml:space="preserve">-LAYER N V-ESMT </v>
      </c>
      <c r="O695" s="11" t="str">
        <f t="shared" si="83"/>
        <v xml:space="preserve">-LAYER C white V-ESMT </v>
      </c>
      <c r="P695" s="11" t="str">
        <f t="shared" si="84"/>
        <v xml:space="preserve">-LAYER L Continuous
V-ESMT  </v>
      </c>
      <c r="Q695" s="11" t="str">
        <f t="shared" si="85"/>
        <v xml:space="preserve">-LAYER LW Default
V-ESMT  </v>
      </c>
      <c r="R695" s="11" t="str">
        <f t="shared" si="86"/>
        <v xml:space="preserve">-LAYER TR 0
V-ESMT  </v>
      </c>
      <c r="S695" s="11" t="str">
        <f t="shared" si="87"/>
        <v xml:space="preserve">-LAYER D Topografía / Cartografía - Servidumbres
V-ESMT  </v>
      </c>
    </row>
    <row r="696" spans="1:19" x14ac:dyDescent="0.45">
      <c r="A696" s="7">
        <v>0</v>
      </c>
      <c r="B696" s="11" t="s">
        <v>3621</v>
      </c>
      <c r="C696" s="11" t="s">
        <v>51</v>
      </c>
      <c r="D696" s="11" t="s">
        <v>1159</v>
      </c>
      <c r="E696" s="11" t="str">
        <f t="shared" si="80"/>
        <v>V-ESMT-ACCS (Topografía / Cartografía - Servidumbres: acceso (solo para peatones; acceso privado))</v>
      </c>
      <c r="F696" s="19" t="s">
        <v>3798</v>
      </c>
      <c r="G696" s="19" t="s">
        <v>3797</v>
      </c>
      <c r="H696" s="19" t="s">
        <v>3811</v>
      </c>
      <c r="I696" s="10">
        <v>0</v>
      </c>
      <c r="J696" s="10" t="str">
        <f t="shared" si="81"/>
        <v>Topografía / Cartografía - Servidumbres: acceso (solo para peatones; acceso privado)</v>
      </c>
      <c r="K696" s="11" t="s">
        <v>2540</v>
      </c>
      <c r="L696" s="11" t="s">
        <v>50</v>
      </c>
      <c r="M696" s="11" t="s">
        <v>1158</v>
      </c>
      <c r="N696" s="18" t="str">
        <f t="shared" si="82"/>
        <v xml:space="preserve">-LAYER N V-ESMT-ACCS </v>
      </c>
      <c r="O696" s="11" t="str">
        <f t="shared" si="83"/>
        <v xml:space="preserve">-LAYER C white V-ESMT-ACCS </v>
      </c>
      <c r="P696" s="11" t="str">
        <f t="shared" si="84"/>
        <v xml:space="preserve">-LAYER L Continuous
V-ESMT-ACCS  </v>
      </c>
      <c r="Q696" s="11" t="str">
        <f t="shared" si="85"/>
        <v xml:space="preserve">-LAYER LW Default
V-ESMT-ACCS  </v>
      </c>
      <c r="R696" s="11" t="str">
        <f t="shared" si="86"/>
        <v xml:space="preserve">-LAYER TR 0
V-ESMT-ACCS  </v>
      </c>
      <c r="S696" s="11" t="str">
        <f t="shared" si="87"/>
        <v xml:space="preserve">-LAYER D Topografía / Cartografía - Servidumbres: acceso (solo para peatones; acceso privado)
V-ESMT-ACCS  </v>
      </c>
    </row>
    <row r="697" spans="1:19" x14ac:dyDescent="0.45">
      <c r="A697" s="7">
        <v>0</v>
      </c>
      <c r="B697" s="11" t="s">
        <v>3622</v>
      </c>
      <c r="C697" s="11" t="s">
        <v>51</v>
      </c>
      <c r="D697" s="11" t="s">
        <v>2816</v>
      </c>
      <c r="E697" s="11" t="str">
        <f t="shared" si="80"/>
        <v>V-ESMT-CATV (Topografía / Cartografía - Servidumbres: sistema de televisión por cable)</v>
      </c>
      <c r="F697" s="19" t="s">
        <v>3798</v>
      </c>
      <c r="G697" s="19" t="s">
        <v>3797</v>
      </c>
      <c r="H697" s="19" t="s">
        <v>3811</v>
      </c>
      <c r="I697" s="10">
        <v>0</v>
      </c>
      <c r="J697" s="10" t="str">
        <f t="shared" si="81"/>
        <v>Topografía / Cartografía - Servidumbres: sistema de televisión por cable</v>
      </c>
      <c r="K697" s="11" t="s">
        <v>2541</v>
      </c>
      <c r="L697" s="11" t="s">
        <v>50</v>
      </c>
      <c r="M697" s="11" t="s">
        <v>2542</v>
      </c>
      <c r="N697" s="18" t="str">
        <f t="shared" si="82"/>
        <v xml:space="preserve">-LAYER N V-ESMT-CATV </v>
      </c>
      <c r="O697" s="11" t="str">
        <f t="shared" si="83"/>
        <v xml:space="preserve">-LAYER C white V-ESMT-CATV </v>
      </c>
      <c r="P697" s="11" t="str">
        <f t="shared" si="84"/>
        <v xml:space="preserve">-LAYER L Continuous
V-ESMT-CATV  </v>
      </c>
      <c r="Q697" s="11" t="str">
        <f t="shared" si="85"/>
        <v xml:space="preserve">-LAYER LW Default
V-ESMT-CATV  </v>
      </c>
      <c r="R697" s="11" t="str">
        <f t="shared" si="86"/>
        <v xml:space="preserve">-LAYER TR 0
V-ESMT-CATV  </v>
      </c>
      <c r="S697" s="11" t="str">
        <f t="shared" si="87"/>
        <v xml:space="preserve">-LAYER D Topografía / Cartografía - Servidumbres: sistema de televisión por cable
V-ESMT-CATV  </v>
      </c>
    </row>
    <row r="698" spans="1:19" x14ac:dyDescent="0.45">
      <c r="A698" s="7">
        <v>0</v>
      </c>
      <c r="B698" s="11" t="s">
        <v>3623</v>
      </c>
      <c r="C698" s="11" t="s">
        <v>51</v>
      </c>
      <c r="D698" s="11" t="s">
        <v>1165</v>
      </c>
      <c r="E698" s="11" t="str">
        <f t="shared" si="80"/>
        <v>V-ESMT-CONS (Topografía / Cartografía - Servidumbres: conservación)</v>
      </c>
      <c r="F698" s="19" t="s">
        <v>3798</v>
      </c>
      <c r="G698" s="19" t="s">
        <v>3797</v>
      </c>
      <c r="H698" s="19" t="s">
        <v>3811</v>
      </c>
      <c r="I698" s="10">
        <v>0</v>
      </c>
      <c r="J698" s="10" t="str">
        <f t="shared" si="81"/>
        <v>Topografía / Cartografía - Servidumbres: conservación</v>
      </c>
      <c r="K698" s="11" t="s">
        <v>2543</v>
      </c>
      <c r="L698" s="11" t="s">
        <v>50</v>
      </c>
      <c r="M698" s="11" t="s">
        <v>1164</v>
      </c>
      <c r="N698" s="18" t="str">
        <f t="shared" si="82"/>
        <v xml:space="preserve">-LAYER N V-ESMT-CONS </v>
      </c>
      <c r="O698" s="11" t="str">
        <f t="shared" si="83"/>
        <v xml:space="preserve">-LAYER C white V-ESMT-CONS </v>
      </c>
      <c r="P698" s="11" t="str">
        <f t="shared" si="84"/>
        <v xml:space="preserve">-LAYER L Continuous
V-ESMT-CONS  </v>
      </c>
      <c r="Q698" s="11" t="str">
        <f t="shared" si="85"/>
        <v xml:space="preserve">-LAYER LW Default
V-ESMT-CONS  </v>
      </c>
      <c r="R698" s="11" t="str">
        <f t="shared" si="86"/>
        <v xml:space="preserve">-LAYER TR 0
V-ESMT-CONS  </v>
      </c>
      <c r="S698" s="11" t="str">
        <f t="shared" si="87"/>
        <v xml:space="preserve">-LAYER D Topografía / Cartografía - Servidumbres: conservación
V-ESMT-CONS  </v>
      </c>
    </row>
    <row r="699" spans="1:19" x14ac:dyDescent="0.45">
      <c r="A699" s="7">
        <v>0</v>
      </c>
      <c r="B699" s="11" t="s">
        <v>3624</v>
      </c>
      <c r="C699" s="11" t="s">
        <v>51</v>
      </c>
      <c r="D699" s="11" t="s">
        <v>1168</v>
      </c>
      <c r="E699" s="11" t="str">
        <f t="shared" si="80"/>
        <v>V-ESMT-CSTG (Topografía / Cartografía - Servidumbres: construcción/nivelación)</v>
      </c>
      <c r="F699" s="19" t="s">
        <v>3798</v>
      </c>
      <c r="G699" s="19" t="s">
        <v>3797</v>
      </c>
      <c r="H699" s="19" t="s">
        <v>3811</v>
      </c>
      <c r="I699" s="10">
        <v>0</v>
      </c>
      <c r="J699" s="10" t="str">
        <f t="shared" si="81"/>
        <v>Topografía / Cartografía - Servidumbres: construcción/nivelación</v>
      </c>
      <c r="K699" s="11" t="s">
        <v>2544</v>
      </c>
      <c r="L699" s="11" t="s">
        <v>50</v>
      </c>
      <c r="M699" s="11" t="s">
        <v>1167</v>
      </c>
      <c r="N699" s="18" t="str">
        <f t="shared" si="82"/>
        <v xml:space="preserve">-LAYER N V-ESMT-CSTG </v>
      </c>
      <c r="O699" s="11" t="str">
        <f t="shared" si="83"/>
        <v xml:space="preserve">-LAYER C white V-ESMT-CSTG </v>
      </c>
      <c r="P699" s="11" t="str">
        <f t="shared" si="84"/>
        <v xml:space="preserve">-LAYER L Continuous
V-ESMT-CSTG  </v>
      </c>
      <c r="Q699" s="11" t="str">
        <f t="shared" si="85"/>
        <v xml:space="preserve">-LAYER LW Default
V-ESMT-CSTG  </v>
      </c>
      <c r="R699" s="11" t="str">
        <f t="shared" si="86"/>
        <v xml:space="preserve">-LAYER TR 0
V-ESMT-CSTG  </v>
      </c>
      <c r="S699" s="11" t="str">
        <f t="shared" si="87"/>
        <v xml:space="preserve">-LAYER D Topografía / Cartografía - Servidumbres: construcción/nivelación
V-ESMT-CSTG  </v>
      </c>
    </row>
    <row r="700" spans="1:19" x14ac:dyDescent="0.45">
      <c r="A700" s="7">
        <v>0</v>
      </c>
      <c r="B700" s="11" t="s">
        <v>3625</v>
      </c>
      <c r="C700" s="11" t="s">
        <v>51</v>
      </c>
      <c r="D700" s="11" t="s">
        <v>1171</v>
      </c>
      <c r="E700" s="11" t="str">
        <f t="shared" si="80"/>
        <v>V-ESMT-ELEC (Topografía / Cartografía - Servidumbres: electricidad)</v>
      </c>
      <c r="F700" s="19" t="s">
        <v>3798</v>
      </c>
      <c r="G700" s="19" t="s">
        <v>3797</v>
      </c>
      <c r="H700" s="19" t="s">
        <v>3811</v>
      </c>
      <c r="I700" s="10">
        <v>0</v>
      </c>
      <c r="J700" s="10" t="str">
        <f t="shared" si="81"/>
        <v>Topografía / Cartografía - Servidumbres: electricidad</v>
      </c>
      <c r="K700" s="11" t="s">
        <v>2545</v>
      </c>
      <c r="L700" s="11" t="s">
        <v>50</v>
      </c>
      <c r="M700" s="11" t="s">
        <v>1170</v>
      </c>
      <c r="N700" s="18" t="str">
        <f t="shared" si="82"/>
        <v xml:space="preserve">-LAYER N V-ESMT-ELEC </v>
      </c>
      <c r="O700" s="11" t="str">
        <f t="shared" si="83"/>
        <v xml:space="preserve">-LAYER C white V-ESMT-ELEC </v>
      </c>
      <c r="P700" s="11" t="str">
        <f t="shared" si="84"/>
        <v xml:space="preserve">-LAYER L Continuous
V-ESMT-ELEC  </v>
      </c>
      <c r="Q700" s="11" t="str">
        <f t="shared" si="85"/>
        <v xml:space="preserve">-LAYER LW Default
V-ESMT-ELEC  </v>
      </c>
      <c r="R700" s="11" t="str">
        <f t="shared" si="86"/>
        <v xml:space="preserve">-LAYER TR 0
V-ESMT-ELEC  </v>
      </c>
      <c r="S700" s="11" t="str">
        <f t="shared" si="87"/>
        <v xml:space="preserve">-LAYER D Topografía / Cartografía - Servidumbres: electricidad
V-ESMT-ELEC  </v>
      </c>
    </row>
    <row r="701" spans="1:19" x14ac:dyDescent="0.45">
      <c r="A701" s="7">
        <v>0</v>
      </c>
      <c r="B701" s="11" t="s">
        <v>3626</v>
      </c>
      <c r="C701" s="11" t="s">
        <v>51</v>
      </c>
      <c r="D701" s="11" t="s">
        <v>1174</v>
      </c>
      <c r="E701" s="11" t="str">
        <f t="shared" si="80"/>
        <v>V-ESMT-FDPL (Topografía / Cartografía - Servidumbres: llanura aluvial)</v>
      </c>
      <c r="F701" s="19" t="s">
        <v>3798</v>
      </c>
      <c r="G701" s="19" t="s">
        <v>3797</v>
      </c>
      <c r="H701" s="19" t="s">
        <v>3811</v>
      </c>
      <c r="I701" s="10">
        <v>0</v>
      </c>
      <c r="J701" s="10" t="str">
        <f t="shared" si="81"/>
        <v>Topografía / Cartografía - Servidumbres: llanura aluvial</v>
      </c>
      <c r="K701" s="11" t="s">
        <v>2546</v>
      </c>
      <c r="L701" s="11" t="s">
        <v>50</v>
      </c>
      <c r="M701" s="11" t="s">
        <v>1173</v>
      </c>
      <c r="N701" s="18" t="str">
        <f t="shared" si="82"/>
        <v xml:space="preserve">-LAYER N V-ESMT-FDPL </v>
      </c>
      <c r="O701" s="11" t="str">
        <f t="shared" si="83"/>
        <v xml:space="preserve">-LAYER C white V-ESMT-FDPL </v>
      </c>
      <c r="P701" s="11" t="str">
        <f t="shared" si="84"/>
        <v xml:space="preserve">-LAYER L Continuous
V-ESMT-FDPL  </v>
      </c>
      <c r="Q701" s="11" t="str">
        <f t="shared" si="85"/>
        <v xml:space="preserve">-LAYER LW Default
V-ESMT-FDPL  </v>
      </c>
      <c r="R701" s="11" t="str">
        <f t="shared" si="86"/>
        <v xml:space="preserve">-LAYER TR 0
V-ESMT-FDPL  </v>
      </c>
      <c r="S701" s="11" t="str">
        <f t="shared" si="87"/>
        <v xml:space="preserve">-LAYER D Topografía / Cartografía - Servidumbres: llanura aluvial
V-ESMT-FDPL  </v>
      </c>
    </row>
    <row r="702" spans="1:19" x14ac:dyDescent="0.45">
      <c r="A702" s="7">
        <v>0</v>
      </c>
      <c r="B702" s="11" t="s">
        <v>3627</v>
      </c>
      <c r="C702" s="11" t="s">
        <v>51</v>
      </c>
      <c r="D702" s="11" t="s">
        <v>1177</v>
      </c>
      <c r="E702" s="11" t="str">
        <f t="shared" si="80"/>
        <v>V-ESMT-INEG (Topografía / Cartografía - Servidumbres: entrada/salida (vehículos; acceso privado))</v>
      </c>
      <c r="F702" s="19" t="s">
        <v>3798</v>
      </c>
      <c r="G702" s="19" t="s">
        <v>3797</v>
      </c>
      <c r="H702" s="19" t="s">
        <v>3811</v>
      </c>
      <c r="I702" s="10">
        <v>0</v>
      </c>
      <c r="J702" s="10" t="str">
        <f t="shared" si="81"/>
        <v>Topografía / Cartografía - Servidumbres: entrada/salida (vehículos; acceso privado)</v>
      </c>
      <c r="K702" s="11" t="s">
        <v>2547</v>
      </c>
      <c r="L702" s="11" t="s">
        <v>50</v>
      </c>
      <c r="M702" s="11" t="s">
        <v>2761</v>
      </c>
      <c r="N702" s="18" t="str">
        <f t="shared" si="82"/>
        <v xml:space="preserve">-LAYER N V-ESMT-INEG </v>
      </c>
      <c r="O702" s="11" t="str">
        <f t="shared" si="83"/>
        <v xml:space="preserve">-LAYER C white V-ESMT-INEG </v>
      </c>
      <c r="P702" s="11" t="str">
        <f t="shared" si="84"/>
        <v xml:space="preserve">-LAYER L Continuous
V-ESMT-INEG  </v>
      </c>
      <c r="Q702" s="11" t="str">
        <f t="shared" si="85"/>
        <v xml:space="preserve">-LAYER LW Default
V-ESMT-INEG  </v>
      </c>
      <c r="R702" s="11" t="str">
        <f t="shared" si="86"/>
        <v xml:space="preserve">-LAYER TR 0
V-ESMT-INEG  </v>
      </c>
      <c r="S702" s="11" t="str">
        <f t="shared" si="87"/>
        <v xml:space="preserve">-LAYER D Topografía / Cartografía - Servidumbres: entrada/salida (vehículos; acceso privado)
V-ESMT-INEG  </v>
      </c>
    </row>
    <row r="703" spans="1:19" x14ac:dyDescent="0.45">
      <c r="A703" s="7">
        <v>0</v>
      </c>
      <c r="B703" s="11" t="s">
        <v>3628</v>
      </c>
      <c r="C703" s="11" t="s">
        <v>51</v>
      </c>
      <c r="D703" s="11" t="s">
        <v>1180</v>
      </c>
      <c r="E703" s="11" t="str">
        <f t="shared" si="80"/>
        <v>V-ESMT-LSCP (Topografía / Cartografía - Servidumbres: paisajismo)</v>
      </c>
      <c r="F703" s="19" t="s">
        <v>3798</v>
      </c>
      <c r="G703" s="19" t="s">
        <v>3797</v>
      </c>
      <c r="H703" s="19" t="s">
        <v>3811</v>
      </c>
      <c r="I703" s="10">
        <v>0</v>
      </c>
      <c r="J703" s="10" t="str">
        <f t="shared" si="81"/>
        <v>Topografía / Cartografía - Servidumbres: paisajismo</v>
      </c>
      <c r="K703" s="11" t="s">
        <v>2762</v>
      </c>
      <c r="L703" s="11" t="s">
        <v>50</v>
      </c>
      <c r="M703" s="11" t="s">
        <v>1179</v>
      </c>
      <c r="N703" s="18" t="str">
        <f t="shared" si="82"/>
        <v xml:space="preserve">-LAYER N V-ESMT-LSCP </v>
      </c>
      <c r="O703" s="11" t="str">
        <f t="shared" si="83"/>
        <v xml:space="preserve">-LAYER C white V-ESMT-LSCP </v>
      </c>
      <c r="P703" s="11" t="str">
        <f t="shared" si="84"/>
        <v xml:space="preserve">-LAYER L Continuous
V-ESMT-LSCP  </v>
      </c>
      <c r="Q703" s="11" t="str">
        <f t="shared" si="85"/>
        <v xml:space="preserve">-LAYER LW Default
V-ESMT-LSCP  </v>
      </c>
      <c r="R703" s="11" t="str">
        <f t="shared" si="86"/>
        <v xml:space="preserve">-LAYER TR 0
V-ESMT-LSCP  </v>
      </c>
      <c r="S703" s="11" t="str">
        <f t="shared" si="87"/>
        <v xml:space="preserve">-LAYER D Topografía / Cartografía - Servidumbres: paisajismo
V-ESMT-LSCP  </v>
      </c>
    </row>
    <row r="704" spans="1:19" x14ac:dyDescent="0.45">
      <c r="A704" s="7">
        <v>0</v>
      </c>
      <c r="B704" s="11" t="s">
        <v>3629</v>
      </c>
      <c r="C704" s="11" t="s">
        <v>51</v>
      </c>
      <c r="D704" s="11" t="s">
        <v>1183</v>
      </c>
      <c r="E704" s="11" t="str">
        <f t="shared" si="80"/>
        <v>V-ESMT-NGAS (Topografía / Cartografía - Servidumbres: línea de gas natural)</v>
      </c>
      <c r="F704" s="19" t="s">
        <v>3798</v>
      </c>
      <c r="G704" s="19" t="s">
        <v>3797</v>
      </c>
      <c r="H704" s="19" t="s">
        <v>3811</v>
      </c>
      <c r="I704" s="10">
        <v>0</v>
      </c>
      <c r="J704" s="10" t="str">
        <f t="shared" si="81"/>
        <v>Topografía / Cartografía - Servidumbres: línea de gas natural</v>
      </c>
      <c r="K704" s="11" t="s">
        <v>2548</v>
      </c>
      <c r="L704" s="11" t="s">
        <v>50</v>
      </c>
      <c r="M704" s="11" t="s">
        <v>1182</v>
      </c>
      <c r="N704" s="18" t="str">
        <f t="shared" si="82"/>
        <v xml:space="preserve">-LAYER N V-ESMT-NGAS </v>
      </c>
      <c r="O704" s="11" t="str">
        <f t="shared" si="83"/>
        <v xml:space="preserve">-LAYER C white V-ESMT-NGAS </v>
      </c>
      <c r="P704" s="11" t="str">
        <f t="shared" si="84"/>
        <v xml:space="preserve">-LAYER L Continuous
V-ESMT-NGAS  </v>
      </c>
      <c r="Q704" s="11" t="str">
        <f t="shared" si="85"/>
        <v xml:space="preserve">-LAYER LW Default
V-ESMT-NGAS  </v>
      </c>
      <c r="R704" s="11" t="str">
        <f t="shared" si="86"/>
        <v xml:space="preserve">-LAYER TR 0
V-ESMT-NGAS  </v>
      </c>
      <c r="S704" s="11" t="str">
        <f t="shared" si="87"/>
        <v xml:space="preserve">-LAYER D Topografía / Cartografía - Servidumbres: línea de gas natural
V-ESMT-NGAS  </v>
      </c>
    </row>
    <row r="705" spans="1:19" x14ac:dyDescent="0.45">
      <c r="A705" s="7">
        <v>0</v>
      </c>
      <c r="B705" s="11" t="s">
        <v>3630</v>
      </c>
      <c r="C705" s="11" t="s">
        <v>51</v>
      </c>
      <c r="D705" s="11" t="s">
        <v>1186</v>
      </c>
      <c r="E705" s="11" t="str">
        <f t="shared" si="80"/>
        <v>V-ESMT-PHON (Topografía / Cartografía - Servidumbres: línea telefónica)</v>
      </c>
      <c r="F705" s="19" t="s">
        <v>3798</v>
      </c>
      <c r="G705" s="19" t="s">
        <v>3797</v>
      </c>
      <c r="H705" s="19" t="s">
        <v>3811</v>
      </c>
      <c r="I705" s="10">
        <v>0</v>
      </c>
      <c r="J705" s="10" t="str">
        <f t="shared" si="81"/>
        <v>Topografía / Cartografía - Servidumbres: línea telefónica</v>
      </c>
      <c r="K705" s="11" t="s">
        <v>2549</v>
      </c>
      <c r="L705" s="11" t="s">
        <v>50</v>
      </c>
      <c r="M705" s="11" t="s">
        <v>1185</v>
      </c>
      <c r="N705" s="18" t="str">
        <f t="shared" si="82"/>
        <v xml:space="preserve">-LAYER N V-ESMT-PHON </v>
      </c>
      <c r="O705" s="11" t="str">
        <f t="shared" si="83"/>
        <v xml:space="preserve">-LAYER C white V-ESMT-PHON </v>
      </c>
      <c r="P705" s="11" t="str">
        <f t="shared" si="84"/>
        <v xml:space="preserve">-LAYER L Continuous
V-ESMT-PHON  </v>
      </c>
      <c r="Q705" s="11" t="str">
        <f t="shared" si="85"/>
        <v xml:space="preserve">-LAYER LW Default
V-ESMT-PHON  </v>
      </c>
      <c r="R705" s="11" t="str">
        <f t="shared" si="86"/>
        <v xml:space="preserve">-LAYER TR 0
V-ESMT-PHON  </v>
      </c>
      <c r="S705" s="11" t="str">
        <f t="shared" si="87"/>
        <v xml:space="preserve">-LAYER D Topografía / Cartografía - Servidumbres: línea telefónica
V-ESMT-PHON  </v>
      </c>
    </row>
    <row r="706" spans="1:19" x14ac:dyDescent="0.45">
      <c r="A706" s="7">
        <v>0</v>
      </c>
      <c r="B706" s="11" t="s">
        <v>3631</v>
      </c>
      <c r="C706" s="11" t="s">
        <v>51</v>
      </c>
      <c r="D706" s="11" t="s">
        <v>2817</v>
      </c>
      <c r="E706" s="11" t="str">
        <f t="shared" si="80"/>
        <v>V-ESMT-ROAD (Topografía / Cartografía - Servidumbres: calzada)</v>
      </c>
      <c r="F706" s="19" t="s">
        <v>3798</v>
      </c>
      <c r="G706" s="19" t="s">
        <v>3797</v>
      </c>
      <c r="H706" s="19" t="s">
        <v>3811</v>
      </c>
      <c r="I706" s="10">
        <v>0</v>
      </c>
      <c r="J706" s="10" t="str">
        <f t="shared" si="81"/>
        <v>Topografía / Cartografía - Servidumbres: calzada</v>
      </c>
      <c r="K706" s="11" t="s">
        <v>2550</v>
      </c>
      <c r="L706" s="11" t="s">
        <v>50</v>
      </c>
      <c r="M706" s="11" t="s">
        <v>1188</v>
      </c>
      <c r="N706" s="18" t="str">
        <f t="shared" si="82"/>
        <v xml:space="preserve">-LAYER N V-ESMT-ROAD </v>
      </c>
      <c r="O706" s="11" t="str">
        <f t="shared" si="83"/>
        <v xml:space="preserve">-LAYER C white V-ESMT-ROAD </v>
      </c>
      <c r="P706" s="11" t="str">
        <f t="shared" si="84"/>
        <v xml:space="preserve">-LAYER L Continuous
V-ESMT-ROAD  </v>
      </c>
      <c r="Q706" s="11" t="str">
        <f t="shared" si="85"/>
        <v xml:space="preserve">-LAYER LW Default
V-ESMT-ROAD  </v>
      </c>
      <c r="R706" s="11" t="str">
        <f t="shared" si="86"/>
        <v xml:space="preserve">-LAYER TR 0
V-ESMT-ROAD  </v>
      </c>
      <c r="S706" s="11" t="str">
        <f t="shared" si="87"/>
        <v xml:space="preserve">-LAYER D Topografía / Cartografía - Servidumbres: calzada
V-ESMT-ROAD  </v>
      </c>
    </row>
    <row r="707" spans="1:19" x14ac:dyDescent="0.45">
      <c r="A707" s="7">
        <v>0</v>
      </c>
      <c r="B707" s="11" t="s">
        <v>3632</v>
      </c>
      <c r="C707" s="11" t="s">
        <v>51</v>
      </c>
      <c r="D707" s="11" t="s">
        <v>2818</v>
      </c>
      <c r="E707" s="11" t="str">
        <f t="shared" si="80"/>
        <v>V-ESMT-ROAD-PERM (Topografía / Cartografía - Servidumbres: calzada: permanente)</v>
      </c>
      <c r="F707" s="19" t="s">
        <v>3798</v>
      </c>
      <c r="G707" s="19" t="s">
        <v>3797</v>
      </c>
      <c r="H707" s="19" t="s">
        <v>3811</v>
      </c>
      <c r="I707" s="10">
        <v>0</v>
      </c>
      <c r="J707" s="10" t="str">
        <f t="shared" si="81"/>
        <v>Topografía / Cartografía - Servidumbres: calzada: permanente</v>
      </c>
      <c r="K707" s="11" t="s">
        <v>2551</v>
      </c>
      <c r="L707" s="11" t="s">
        <v>50</v>
      </c>
      <c r="M707" s="11" t="s">
        <v>2763</v>
      </c>
      <c r="N707" s="18" t="str">
        <f t="shared" si="82"/>
        <v xml:space="preserve">-LAYER N V-ESMT-ROAD-PERM </v>
      </c>
      <c r="O707" s="11" t="str">
        <f t="shared" si="83"/>
        <v xml:space="preserve">-LAYER C white V-ESMT-ROAD-PERM </v>
      </c>
      <c r="P707" s="11" t="str">
        <f t="shared" si="84"/>
        <v xml:space="preserve">-LAYER L Continuous
V-ESMT-ROAD-PERM  </v>
      </c>
      <c r="Q707" s="11" t="str">
        <f t="shared" si="85"/>
        <v xml:space="preserve">-LAYER LW Default
V-ESMT-ROAD-PERM  </v>
      </c>
      <c r="R707" s="11" t="str">
        <f t="shared" si="86"/>
        <v xml:space="preserve">-LAYER TR 0
V-ESMT-ROAD-PERM  </v>
      </c>
      <c r="S707" s="11" t="str">
        <f t="shared" si="87"/>
        <v xml:space="preserve">-LAYER D Topografía / Cartografía - Servidumbres: calzada: permanente
V-ESMT-ROAD-PERM  </v>
      </c>
    </row>
    <row r="708" spans="1:19" x14ac:dyDescent="0.45">
      <c r="A708" s="7">
        <v>0</v>
      </c>
      <c r="B708" s="11" t="s">
        <v>3633</v>
      </c>
      <c r="C708" s="11" t="s">
        <v>51</v>
      </c>
      <c r="D708" s="11" t="s">
        <v>2819</v>
      </c>
      <c r="E708" s="11" t="str">
        <f t="shared" ref="E708:E771" si="88">_xlfn.CONCAT(B708," (",C708," - ",D708,")")</f>
        <v>V-ESMT-ROAD-TEMP (Topografía / Cartografía - Servidumbres: calzada: temporal)</v>
      </c>
      <c r="F708" s="19" t="s">
        <v>3798</v>
      </c>
      <c r="G708" s="19" t="s">
        <v>3797</v>
      </c>
      <c r="H708" s="19" t="s">
        <v>3811</v>
      </c>
      <c r="I708" s="10">
        <v>0</v>
      </c>
      <c r="J708" s="10" t="str">
        <f t="shared" si="81"/>
        <v>Topografía / Cartografía - Servidumbres: calzada: temporal</v>
      </c>
      <c r="K708" s="11" t="s">
        <v>2764</v>
      </c>
      <c r="L708" s="11" t="s">
        <v>50</v>
      </c>
      <c r="M708" s="11" t="s">
        <v>1194</v>
      </c>
      <c r="N708" s="18" t="str">
        <f t="shared" si="82"/>
        <v xml:space="preserve">-LAYER N V-ESMT-ROAD-TEMP </v>
      </c>
      <c r="O708" s="11" t="str">
        <f t="shared" si="83"/>
        <v xml:space="preserve">-LAYER C white V-ESMT-ROAD-TEMP </v>
      </c>
      <c r="P708" s="11" t="str">
        <f t="shared" si="84"/>
        <v xml:space="preserve">-LAYER L Continuous
V-ESMT-ROAD-TEMP  </v>
      </c>
      <c r="Q708" s="11" t="str">
        <f t="shared" si="85"/>
        <v xml:space="preserve">-LAYER LW Default
V-ESMT-ROAD-TEMP  </v>
      </c>
      <c r="R708" s="11" t="str">
        <f t="shared" si="86"/>
        <v xml:space="preserve">-LAYER TR 0
V-ESMT-ROAD-TEMP  </v>
      </c>
      <c r="S708" s="11" t="str">
        <f t="shared" si="87"/>
        <v xml:space="preserve">-LAYER D Topografía / Cartografía - Servidumbres: calzada: temporal
V-ESMT-ROAD-TEMP  </v>
      </c>
    </row>
    <row r="709" spans="1:19" x14ac:dyDescent="0.45">
      <c r="A709" s="7">
        <v>0</v>
      </c>
      <c r="B709" s="11" t="s">
        <v>3634</v>
      </c>
      <c r="C709" s="11" t="s">
        <v>51</v>
      </c>
      <c r="D709" s="11" t="s">
        <v>1198</v>
      </c>
      <c r="E709" s="11" t="str">
        <f t="shared" si="88"/>
        <v>V-ESMT-RWAY (Topografía / Cartografía - Servidumbres: derecho de paso (acceso público))</v>
      </c>
      <c r="F709" s="19" t="s">
        <v>3798</v>
      </c>
      <c r="G709" s="19" t="s">
        <v>3797</v>
      </c>
      <c r="H709" s="19" t="s">
        <v>3811</v>
      </c>
      <c r="I709" s="10">
        <v>0</v>
      </c>
      <c r="J709" s="10" t="str">
        <f t="shared" ref="J709:J772" si="89">_xlfn.CONCAT(C709," - ",D709)</f>
        <v>Topografía / Cartografía - Servidumbres: derecho de paso (acceso público)</v>
      </c>
      <c r="K709" s="11" t="s">
        <v>2552</v>
      </c>
      <c r="L709" s="11" t="s">
        <v>50</v>
      </c>
      <c r="M709" s="11" t="s">
        <v>1197</v>
      </c>
      <c r="N709" s="18" t="str">
        <f t="shared" ref="N709:N772" si="90">_xlfn.CONCAT("-LAYER N ", B709," ")</f>
        <v xml:space="preserve">-LAYER N V-ESMT-RWAY </v>
      </c>
      <c r="O709" s="11" t="str">
        <f t="shared" ref="O709:O772" si="91">_xlfn.CONCAT("-LAYER C ",F709," ", B709," ")</f>
        <v xml:space="preserve">-LAYER C white V-ESMT-RWAY </v>
      </c>
      <c r="P709" s="11" t="str">
        <f t="shared" ref="P709:P772" si="92">_xlfn.CONCAT("-LAYER L ",G709,CHAR(10), B709,"  ")</f>
        <v xml:space="preserve">-LAYER L Continuous
V-ESMT-RWAY  </v>
      </c>
      <c r="Q709" s="11" t="str">
        <f t="shared" ref="Q709:Q772" si="93">_xlfn.CONCAT("-LAYER LW ",H709,CHAR(10), B709,"  ")</f>
        <v xml:space="preserve">-LAYER LW Default
V-ESMT-RWAY  </v>
      </c>
      <c r="R709" s="11" t="str">
        <f t="shared" ref="R709:R772" si="94">_xlfn.CONCAT("-LAYER TR ",I709,CHAR(10), B709,"  ")</f>
        <v xml:space="preserve">-LAYER TR 0
V-ESMT-RWAY  </v>
      </c>
      <c r="S709" s="11" t="str">
        <f t="shared" ref="S709:S772" si="95">_xlfn.CONCAT("-LAYER D ",J709,CHAR(10), B709,"  ")</f>
        <v xml:space="preserve">-LAYER D Topografía / Cartografía - Servidumbres: derecho de paso (acceso público)
V-ESMT-RWAY  </v>
      </c>
    </row>
    <row r="710" spans="1:19" x14ac:dyDescent="0.45">
      <c r="A710" s="7">
        <v>0</v>
      </c>
      <c r="B710" s="11" t="s">
        <v>3635</v>
      </c>
      <c r="C710" s="11" t="s">
        <v>51</v>
      </c>
      <c r="D710" s="11" t="s">
        <v>1201</v>
      </c>
      <c r="E710" s="11" t="str">
        <f t="shared" si="88"/>
        <v>V-ESMT-SGHT (Topografía / Cartografía - Servidumbres: distancia de visibilidad)</v>
      </c>
      <c r="F710" s="19" t="s">
        <v>3798</v>
      </c>
      <c r="G710" s="19" t="s">
        <v>3797</v>
      </c>
      <c r="H710" s="19" t="s">
        <v>3811</v>
      </c>
      <c r="I710" s="10">
        <v>0</v>
      </c>
      <c r="J710" s="10" t="str">
        <f t="shared" si="89"/>
        <v>Topografía / Cartografía - Servidumbres: distancia de visibilidad</v>
      </c>
      <c r="K710" s="11" t="s">
        <v>2553</v>
      </c>
      <c r="L710" s="11" t="s">
        <v>50</v>
      </c>
      <c r="M710" s="11" t="s">
        <v>1200</v>
      </c>
      <c r="N710" s="18" t="str">
        <f t="shared" si="90"/>
        <v xml:space="preserve">-LAYER N V-ESMT-SGHT </v>
      </c>
      <c r="O710" s="11" t="str">
        <f t="shared" si="91"/>
        <v xml:space="preserve">-LAYER C white V-ESMT-SGHT </v>
      </c>
      <c r="P710" s="11" t="str">
        <f t="shared" si="92"/>
        <v xml:space="preserve">-LAYER L Continuous
V-ESMT-SGHT  </v>
      </c>
      <c r="Q710" s="11" t="str">
        <f t="shared" si="93"/>
        <v xml:space="preserve">-LAYER LW Default
V-ESMT-SGHT  </v>
      </c>
      <c r="R710" s="11" t="str">
        <f t="shared" si="94"/>
        <v xml:space="preserve">-LAYER TR 0
V-ESMT-SGHT  </v>
      </c>
      <c r="S710" s="11" t="str">
        <f t="shared" si="95"/>
        <v xml:space="preserve">-LAYER D Topografía / Cartografía - Servidumbres: distancia de visibilidad
V-ESMT-SGHT  </v>
      </c>
    </row>
    <row r="711" spans="1:19" x14ac:dyDescent="0.45">
      <c r="A711" s="7">
        <v>0</v>
      </c>
      <c r="B711" s="11" t="s">
        <v>3636</v>
      </c>
      <c r="C711" s="11" t="s">
        <v>51</v>
      </c>
      <c r="D711" s="11" t="s">
        <v>1204</v>
      </c>
      <c r="E711" s="11" t="str">
        <f t="shared" si="88"/>
        <v>V-ESMT-SSWR (Topografía / Cartografía - Servidumbres: alcantarillado sanitario)</v>
      </c>
      <c r="F711" s="19" t="s">
        <v>3798</v>
      </c>
      <c r="G711" s="19" t="s">
        <v>3797</v>
      </c>
      <c r="H711" s="19" t="s">
        <v>3811</v>
      </c>
      <c r="I711" s="10">
        <v>0</v>
      </c>
      <c r="J711" s="10" t="str">
        <f t="shared" si="89"/>
        <v>Topografía / Cartografía - Servidumbres: alcantarillado sanitario</v>
      </c>
      <c r="K711" s="11" t="s">
        <v>2554</v>
      </c>
      <c r="L711" s="11" t="s">
        <v>50</v>
      </c>
      <c r="M711" s="11" t="s">
        <v>1203</v>
      </c>
      <c r="N711" s="18" t="str">
        <f t="shared" si="90"/>
        <v xml:space="preserve">-LAYER N V-ESMT-SSWR </v>
      </c>
      <c r="O711" s="11" t="str">
        <f t="shared" si="91"/>
        <v xml:space="preserve">-LAYER C white V-ESMT-SSWR </v>
      </c>
      <c r="P711" s="11" t="str">
        <f t="shared" si="92"/>
        <v xml:space="preserve">-LAYER L Continuous
V-ESMT-SSWR  </v>
      </c>
      <c r="Q711" s="11" t="str">
        <f t="shared" si="93"/>
        <v xml:space="preserve">-LAYER LW Default
V-ESMT-SSWR  </v>
      </c>
      <c r="R711" s="11" t="str">
        <f t="shared" si="94"/>
        <v xml:space="preserve">-LAYER TR 0
V-ESMT-SSWR  </v>
      </c>
      <c r="S711" s="11" t="str">
        <f t="shared" si="95"/>
        <v xml:space="preserve">-LAYER D Topografía / Cartografía - Servidumbres: alcantarillado sanitario
V-ESMT-SSWR  </v>
      </c>
    </row>
    <row r="712" spans="1:19" x14ac:dyDescent="0.45">
      <c r="A712" s="7">
        <v>0</v>
      </c>
      <c r="B712" s="11" t="s">
        <v>3637</v>
      </c>
      <c r="C712" s="11" t="s">
        <v>51</v>
      </c>
      <c r="D712" s="11" t="s">
        <v>1207</v>
      </c>
      <c r="E712" s="11" t="str">
        <f t="shared" si="88"/>
        <v>V-ESMT-STRM (Topografía / Cartografía - Servidumbres: alcantarillado pluvial)</v>
      </c>
      <c r="F712" s="19" t="s">
        <v>3798</v>
      </c>
      <c r="G712" s="19" t="s">
        <v>3797</v>
      </c>
      <c r="H712" s="19" t="s">
        <v>3811</v>
      </c>
      <c r="I712" s="10">
        <v>0</v>
      </c>
      <c r="J712" s="10" t="str">
        <f t="shared" si="89"/>
        <v>Topografía / Cartografía - Servidumbres: alcantarillado pluvial</v>
      </c>
      <c r="K712" s="11" t="s">
        <v>2555</v>
      </c>
      <c r="L712" s="11" t="s">
        <v>50</v>
      </c>
      <c r="M712" s="11" t="s">
        <v>1206</v>
      </c>
      <c r="N712" s="18" t="str">
        <f t="shared" si="90"/>
        <v xml:space="preserve">-LAYER N V-ESMT-STRM </v>
      </c>
      <c r="O712" s="11" t="str">
        <f t="shared" si="91"/>
        <v xml:space="preserve">-LAYER C white V-ESMT-STRM </v>
      </c>
      <c r="P712" s="11" t="str">
        <f t="shared" si="92"/>
        <v xml:space="preserve">-LAYER L Continuous
V-ESMT-STRM  </v>
      </c>
      <c r="Q712" s="11" t="str">
        <f t="shared" si="93"/>
        <v xml:space="preserve">-LAYER LW Default
V-ESMT-STRM  </v>
      </c>
      <c r="R712" s="11" t="str">
        <f t="shared" si="94"/>
        <v xml:space="preserve">-LAYER TR 0
V-ESMT-STRM  </v>
      </c>
      <c r="S712" s="11" t="str">
        <f t="shared" si="95"/>
        <v xml:space="preserve">-LAYER D Topografía / Cartografía - Servidumbres: alcantarillado pluvial
V-ESMT-STRM  </v>
      </c>
    </row>
    <row r="713" spans="1:19" x14ac:dyDescent="0.45">
      <c r="A713" s="7">
        <v>0</v>
      </c>
      <c r="B713" s="11" t="s">
        <v>3638</v>
      </c>
      <c r="C713" s="11" t="s">
        <v>51</v>
      </c>
      <c r="D713" s="11" t="s">
        <v>1210</v>
      </c>
      <c r="E713" s="11" t="str">
        <f t="shared" si="88"/>
        <v>V-ESMT-SWMT (Topografía / Cartografía - Servidumbres: gestión de aguas pluviales)</v>
      </c>
      <c r="F713" s="19" t="s">
        <v>3798</v>
      </c>
      <c r="G713" s="19" t="s">
        <v>3797</v>
      </c>
      <c r="H713" s="19" t="s">
        <v>3811</v>
      </c>
      <c r="I713" s="10">
        <v>0</v>
      </c>
      <c r="J713" s="10" t="str">
        <f t="shared" si="89"/>
        <v>Topografía / Cartografía - Servidumbres: gestión de aguas pluviales</v>
      </c>
      <c r="K713" s="11" t="s">
        <v>2556</v>
      </c>
      <c r="L713" s="11" t="s">
        <v>50</v>
      </c>
      <c r="M713" s="11" t="s">
        <v>1209</v>
      </c>
      <c r="N713" s="18" t="str">
        <f t="shared" si="90"/>
        <v xml:space="preserve">-LAYER N V-ESMT-SWMT </v>
      </c>
      <c r="O713" s="11" t="str">
        <f t="shared" si="91"/>
        <v xml:space="preserve">-LAYER C white V-ESMT-SWMT </v>
      </c>
      <c r="P713" s="11" t="str">
        <f t="shared" si="92"/>
        <v xml:space="preserve">-LAYER L Continuous
V-ESMT-SWMT  </v>
      </c>
      <c r="Q713" s="11" t="str">
        <f t="shared" si="93"/>
        <v xml:space="preserve">-LAYER LW Default
V-ESMT-SWMT  </v>
      </c>
      <c r="R713" s="11" t="str">
        <f t="shared" si="94"/>
        <v xml:space="preserve">-LAYER TR 0
V-ESMT-SWMT  </v>
      </c>
      <c r="S713" s="11" t="str">
        <f t="shared" si="95"/>
        <v xml:space="preserve">-LAYER D Topografía / Cartografía - Servidumbres: gestión de aguas pluviales
V-ESMT-SWMT  </v>
      </c>
    </row>
    <row r="714" spans="1:19" x14ac:dyDescent="0.45">
      <c r="A714" s="7">
        <v>0</v>
      </c>
      <c r="B714" s="11" t="s">
        <v>3639</v>
      </c>
      <c r="C714" s="11" t="s">
        <v>51</v>
      </c>
      <c r="D714" s="11" t="s">
        <v>1213</v>
      </c>
      <c r="E714" s="11" t="str">
        <f t="shared" si="88"/>
        <v>V-ESMT-TRAL (Topografía / Cartografía - Servidumbres: sendero o camino (acceso público))</v>
      </c>
      <c r="F714" s="19" t="s">
        <v>3798</v>
      </c>
      <c r="G714" s="19" t="s">
        <v>3797</v>
      </c>
      <c r="H714" s="19" t="s">
        <v>3811</v>
      </c>
      <c r="I714" s="10">
        <v>0</v>
      </c>
      <c r="J714" s="10" t="str">
        <f t="shared" si="89"/>
        <v>Topografía / Cartografía - Servidumbres: sendero o camino (acceso público)</v>
      </c>
      <c r="K714" s="11" t="s">
        <v>2557</v>
      </c>
      <c r="L714" s="11" t="s">
        <v>50</v>
      </c>
      <c r="M714" s="11" t="s">
        <v>1212</v>
      </c>
      <c r="N714" s="18" t="str">
        <f t="shared" si="90"/>
        <v xml:space="preserve">-LAYER N V-ESMT-TRAL </v>
      </c>
      <c r="O714" s="11" t="str">
        <f t="shared" si="91"/>
        <v xml:space="preserve">-LAYER C white V-ESMT-TRAL </v>
      </c>
      <c r="P714" s="11" t="str">
        <f t="shared" si="92"/>
        <v xml:space="preserve">-LAYER L Continuous
V-ESMT-TRAL  </v>
      </c>
      <c r="Q714" s="11" t="str">
        <f t="shared" si="93"/>
        <v xml:space="preserve">-LAYER LW Default
V-ESMT-TRAL  </v>
      </c>
      <c r="R714" s="11" t="str">
        <f t="shared" si="94"/>
        <v xml:space="preserve">-LAYER TR 0
V-ESMT-TRAL  </v>
      </c>
      <c r="S714" s="11" t="str">
        <f t="shared" si="95"/>
        <v xml:space="preserve">-LAYER D Topografía / Cartografía - Servidumbres: sendero o camino (acceso público)
V-ESMT-TRAL  </v>
      </c>
    </row>
    <row r="715" spans="1:19" x14ac:dyDescent="0.45">
      <c r="A715" s="7">
        <v>0</v>
      </c>
      <c r="B715" s="11" t="s">
        <v>3640</v>
      </c>
      <c r="C715" s="11" t="s">
        <v>51</v>
      </c>
      <c r="D715" s="11" t="s">
        <v>1216</v>
      </c>
      <c r="E715" s="11" t="str">
        <f t="shared" si="88"/>
        <v>V-ESMT-UTIL (Topografía / Cartografía - Servidumbres: líneas de servicios públicos)</v>
      </c>
      <c r="F715" s="19" t="s">
        <v>3798</v>
      </c>
      <c r="G715" s="19" t="s">
        <v>3797</v>
      </c>
      <c r="H715" s="19" t="s">
        <v>3811</v>
      </c>
      <c r="I715" s="10">
        <v>0</v>
      </c>
      <c r="J715" s="10" t="str">
        <f t="shared" si="89"/>
        <v>Topografía / Cartografía - Servidumbres: líneas de servicios públicos</v>
      </c>
      <c r="K715" s="11" t="s">
        <v>2558</v>
      </c>
      <c r="L715" s="11" t="s">
        <v>50</v>
      </c>
      <c r="M715" s="11" t="s">
        <v>1215</v>
      </c>
      <c r="N715" s="18" t="str">
        <f t="shared" si="90"/>
        <v xml:space="preserve">-LAYER N V-ESMT-UTIL </v>
      </c>
      <c r="O715" s="11" t="str">
        <f t="shared" si="91"/>
        <v xml:space="preserve">-LAYER C white V-ESMT-UTIL </v>
      </c>
      <c r="P715" s="11" t="str">
        <f t="shared" si="92"/>
        <v xml:space="preserve">-LAYER L Continuous
V-ESMT-UTIL  </v>
      </c>
      <c r="Q715" s="11" t="str">
        <f t="shared" si="93"/>
        <v xml:space="preserve">-LAYER LW Default
V-ESMT-UTIL  </v>
      </c>
      <c r="R715" s="11" t="str">
        <f t="shared" si="94"/>
        <v xml:space="preserve">-LAYER TR 0
V-ESMT-UTIL  </v>
      </c>
      <c r="S715" s="11" t="str">
        <f t="shared" si="95"/>
        <v xml:space="preserve">-LAYER D Topografía / Cartografía - Servidumbres: líneas de servicios públicos
V-ESMT-UTIL  </v>
      </c>
    </row>
    <row r="716" spans="1:19" x14ac:dyDescent="0.45">
      <c r="A716" s="7">
        <v>0</v>
      </c>
      <c r="B716" s="11" t="s">
        <v>3641</v>
      </c>
      <c r="C716" s="11" t="s">
        <v>51</v>
      </c>
      <c r="D716" s="11" t="s">
        <v>1219</v>
      </c>
      <c r="E716" s="11" t="str">
        <f t="shared" si="88"/>
        <v>V-ESMT-WATR (Topografía / Cartografía - Servidumbres: suministro de agua)</v>
      </c>
      <c r="F716" s="19" t="s">
        <v>3798</v>
      </c>
      <c r="G716" s="19" t="s">
        <v>3797</v>
      </c>
      <c r="H716" s="19" t="s">
        <v>3811</v>
      </c>
      <c r="I716" s="10">
        <v>0</v>
      </c>
      <c r="J716" s="10" t="str">
        <f t="shared" si="89"/>
        <v>Topografía / Cartografía - Servidumbres: suministro de agua</v>
      </c>
      <c r="K716" s="11" t="s">
        <v>2559</v>
      </c>
      <c r="L716" s="11" t="s">
        <v>50</v>
      </c>
      <c r="M716" s="11" t="s">
        <v>1218</v>
      </c>
      <c r="N716" s="18" t="str">
        <f t="shared" si="90"/>
        <v xml:space="preserve">-LAYER N V-ESMT-WATR </v>
      </c>
      <c r="O716" s="11" t="str">
        <f t="shared" si="91"/>
        <v xml:space="preserve">-LAYER C white V-ESMT-WATR </v>
      </c>
      <c r="P716" s="11" t="str">
        <f t="shared" si="92"/>
        <v xml:space="preserve">-LAYER L Continuous
V-ESMT-WATR  </v>
      </c>
      <c r="Q716" s="11" t="str">
        <f t="shared" si="93"/>
        <v xml:space="preserve">-LAYER LW Default
V-ESMT-WATR  </v>
      </c>
      <c r="R716" s="11" t="str">
        <f t="shared" si="94"/>
        <v xml:space="preserve">-LAYER TR 0
V-ESMT-WATR  </v>
      </c>
      <c r="S716" s="11" t="str">
        <f t="shared" si="95"/>
        <v xml:space="preserve">-LAYER D Topografía / Cartografía - Servidumbres: suministro de agua
V-ESMT-WATR  </v>
      </c>
    </row>
    <row r="717" spans="1:19" x14ac:dyDescent="0.45">
      <c r="A717" s="7">
        <v>0</v>
      </c>
      <c r="B717" s="11" t="s">
        <v>3642</v>
      </c>
      <c r="C717" s="11" t="s">
        <v>51</v>
      </c>
      <c r="D717" s="11" t="s">
        <v>352</v>
      </c>
      <c r="E717" s="11" t="str">
        <f t="shared" si="88"/>
        <v>V-FLHA (Topografía / Cartografía - Zona con riesgo de inundación)</v>
      </c>
      <c r="F717" s="19" t="s">
        <v>3798</v>
      </c>
      <c r="G717" s="19" t="s">
        <v>3797</v>
      </c>
      <c r="H717" s="19" t="s">
        <v>3811</v>
      </c>
      <c r="I717" s="10">
        <v>0</v>
      </c>
      <c r="J717" s="10" t="str">
        <f t="shared" si="89"/>
        <v>Topografía / Cartografía - Zona con riesgo de inundación</v>
      </c>
      <c r="K717" s="11" t="s">
        <v>2560</v>
      </c>
      <c r="L717" s="11" t="s">
        <v>50</v>
      </c>
      <c r="M717" s="11" t="s">
        <v>351</v>
      </c>
      <c r="N717" s="18" t="str">
        <f t="shared" si="90"/>
        <v xml:space="preserve">-LAYER N V-FLHA </v>
      </c>
      <c r="O717" s="11" t="str">
        <f t="shared" si="91"/>
        <v xml:space="preserve">-LAYER C white V-FLHA </v>
      </c>
      <c r="P717" s="11" t="str">
        <f t="shared" si="92"/>
        <v xml:space="preserve">-LAYER L Continuous
V-FLHA  </v>
      </c>
      <c r="Q717" s="11" t="str">
        <f t="shared" si="93"/>
        <v xml:space="preserve">-LAYER LW Default
V-FLHA  </v>
      </c>
      <c r="R717" s="11" t="str">
        <f t="shared" si="94"/>
        <v xml:space="preserve">-LAYER TR 0
V-FLHA  </v>
      </c>
      <c r="S717" s="11" t="str">
        <f t="shared" si="95"/>
        <v xml:space="preserve">-LAYER D Topografía / Cartografía - Zona con riesgo de inundación
V-FLHA  </v>
      </c>
    </row>
    <row r="718" spans="1:19" x14ac:dyDescent="0.45">
      <c r="A718" s="7">
        <v>0</v>
      </c>
      <c r="B718" s="11" t="s">
        <v>3643</v>
      </c>
      <c r="C718" s="11" t="s">
        <v>51</v>
      </c>
      <c r="D718" s="11" t="s">
        <v>370</v>
      </c>
      <c r="E718" s="11" t="str">
        <f t="shared" si="88"/>
        <v>V-FUEL (Topografía / Cartografía - Sistemas de combustible)</v>
      </c>
      <c r="F718" s="19" t="s">
        <v>3798</v>
      </c>
      <c r="G718" s="19" t="s">
        <v>3797</v>
      </c>
      <c r="H718" s="19" t="s">
        <v>3811</v>
      </c>
      <c r="I718" s="10">
        <v>0</v>
      </c>
      <c r="J718" s="10" t="str">
        <f t="shared" si="89"/>
        <v>Topografía / Cartografía - Sistemas de combustible</v>
      </c>
      <c r="K718" s="11" t="s">
        <v>2561</v>
      </c>
      <c r="L718" s="11" t="s">
        <v>50</v>
      </c>
      <c r="M718" s="11" t="s">
        <v>369</v>
      </c>
      <c r="N718" s="18" t="str">
        <f t="shared" si="90"/>
        <v xml:space="preserve">-LAYER N V-FUEL </v>
      </c>
      <c r="O718" s="11" t="str">
        <f t="shared" si="91"/>
        <v xml:space="preserve">-LAYER C white V-FUEL </v>
      </c>
      <c r="P718" s="11" t="str">
        <f t="shared" si="92"/>
        <v xml:space="preserve">-LAYER L Continuous
V-FUEL  </v>
      </c>
      <c r="Q718" s="11" t="str">
        <f t="shared" si="93"/>
        <v xml:space="preserve">-LAYER LW Default
V-FUEL  </v>
      </c>
      <c r="R718" s="11" t="str">
        <f t="shared" si="94"/>
        <v xml:space="preserve">-LAYER TR 0
V-FUEL  </v>
      </c>
      <c r="S718" s="11" t="str">
        <f t="shared" si="95"/>
        <v xml:space="preserve">-LAYER D Topografía / Cartografía - Sistemas de combustible
V-FUEL  </v>
      </c>
    </row>
    <row r="719" spans="1:19" x14ac:dyDescent="0.45">
      <c r="A719" s="7">
        <v>0</v>
      </c>
      <c r="B719" s="11" t="s">
        <v>3644</v>
      </c>
      <c r="C719" s="11" t="s">
        <v>51</v>
      </c>
      <c r="D719" s="11" t="s">
        <v>1266</v>
      </c>
      <c r="E719" s="11" t="str">
        <f t="shared" si="88"/>
        <v>V-FUEL-MHOL (Topografía / Cartografía - Sistemas de combustible: pozo de registro)</v>
      </c>
      <c r="F719" s="19" t="s">
        <v>3798</v>
      </c>
      <c r="G719" s="19" t="s">
        <v>3797</v>
      </c>
      <c r="H719" s="19" t="s">
        <v>3811</v>
      </c>
      <c r="I719" s="10">
        <v>0</v>
      </c>
      <c r="J719" s="10" t="str">
        <f t="shared" si="89"/>
        <v>Topografía / Cartografía - Sistemas de combustible: pozo de registro</v>
      </c>
      <c r="K719" s="11" t="s">
        <v>2562</v>
      </c>
      <c r="L719" s="11" t="s">
        <v>50</v>
      </c>
      <c r="M719" s="11" t="s">
        <v>1265</v>
      </c>
      <c r="N719" s="18" t="str">
        <f t="shared" si="90"/>
        <v xml:space="preserve">-LAYER N V-FUEL-MHOL </v>
      </c>
      <c r="O719" s="11" t="str">
        <f t="shared" si="91"/>
        <v xml:space="preserve">-LAYER C white V-FUEL-MHOL </v>
      </c>
      <c r="P719" s="11" t="str">
        <f t="shared" si="92"/>
        <v xml:space="preserve">-LAYER L Continuous
V-FUEL-MHOL  </v>
      </c>
      <c r="Q719" s="11" t="str">
        <f t="shared" si="93"/>
        <v xml:space="preserve">-LAYER LW Default
V-FUEL-MHOL  </v>
      </c>
      <c r="R719" s="11" t="str">
        <f t="shared" si="94"/>
        <v xml:space="preserve">-LAYER TR 0
V-FUEL-MHOL  </v>
      </c>
      <c r="S719" s="11" t="str">
        <f t="shared" si="95"/>
        <v xml:space="preserve">-LAYER D Topografía / Cartografía - Sistemas de combustible: pozo de registro
V-FUEL-MHOL  </v>
      </c>
    </row>
    <row r="720" spans="1:19" x14ac:dyDescent="0.45">
      <c r="A720" s="7">
        <v>0</v>
      </c>
      <c r="B720" s="11" t="s">
        <v>3645</v>
      </c>
      <c r="C720" s="11" t="s">
        <v>51</v>
      </c>
      <c r="D720" s="11" t="s">
        <v>1269</v>
      </c>
      <c r="E720" s="11" t="str">
        <f t="shared" si="88"/>
        <v>V-FUEL-PIPE (Topografía / Cartografía - Sistemas de combustible: tuberías)</v>
      </c>
      <c r="F720" s="19" t="s">
        <v>3798</v>
      </c>
      <c r="G720" s="19" t="s">
        <v>3797</v>
      </c>
      <c r="H720" s="19" t="s">
        <v>3811</v>
      </c>
      <c r="I720" s="10">
        <v>0</v>
      </c>
      <c r="J720" s="10" t="str">
        <f t="shared" si="89"/>
        <v>Topografía / Cartografía - Sistemas de combustible: tuberías</v>
      </c>
      <c r="K720" s="11" t="s">
        <v>2563</v>
      </c>
      <c r="L720" s="11" t="s">
        <v>50</v>
      </c>
      <c r="M720" s="11" t="s">
        <v>1268</v>
      </c>
      <c r="N720" s="18" t="str">
        <f t="shared" si="90"/>
        <v xml:space="preserve">-LAYER N V-FUEL-PIPE </v>
      </c>
      <c r="O720" s="11" t="str">
        <f t="shared" si="91"/>
        <v xml:space="preserve">-LAYER C white V-FUEL-PIPE </v>
      </c>
      <c r="P720" s="11" t="str">
        <f t="shared" si="92"/>
        <v xml:space="preserve">-LAYER L Continuous
V-FUEL-PIPE  </v>
      </c>
      <c r="Q720" s="11" t="str">
        <f t="shared" si="93"/>
        <v xml:space="preserve">-LAYER LW Default
V-FUEL-PIPE  </v>
      </c>
      <c r="R720" s="11" t="str">
        <f t="shared" si="94"/>
        <v xml:space="preserve">-LAYER TR 0
V-FUEL-PIPE  </v>
      </c>
      <c r="S720" s="11" t="str">
        <f t="shared" si="95"/>
        <v xml:space="preserve">-LAYER D Topografía / Cartografía - Sistemas de combustible: tuberías
V-FUEL-PIPE  </v>
      </c>
    </row>
    <row r="721" spans="1:19" x14ac:dyDescent="0.45">
      <c r="A721" s="7">
        <v>0</v>
      </c>
      <c r="B721" s="11" t="s">
        <v>3646</v>
      </c>
      <c r="C721" s="11" t="s">
        <v>51</v>
      </c>
      <c r="D721" s="11" t="s">
        <v>1272</v>
      </c>
      <c r="E721" s="11" t="str">
        <f t="shared" si="88"/>
        <v>V-FUEL-TANK (Topografía / Cartografía - Sistemas de combustible: tanques de almacenamiento)</v>
      </c>
      <c r="F721" s="19" t="s">
        <v>3798</v>
      </c>
      <c r="G721" s="19" t="s">
        <v>3797</v>
      </c>
      <c r="H721" s="19" t="s">
        <v>3811</v>
      </c>
      <c r="I721" s="10">
        <v>0</v>
      </c>
      <c r="J721" s="10" t="str">
        <f t="shared" si="89"/>
        <v>Topografía / Cartografía - Sistemas de combustible: tanques de almacenamiento</v>
      </c>
      <c r="K721" s="11" t="s">
        <v>2564</v>
      </c>
      <c r="L721" s="11" t="s">
        <v>50</v>
      </c>
      <c r="M721" s="11" t="s">
        <v>1271</v>
      </c>
      <c r="N721" s="18" t="str">
        <f t="shared" si="90"/>
        <v xml:space="preserve">-LAYER N V-FUEL-TANK </v>
      </c>
      <c r="O721" s="11" t="str">
        <f t="shared" si="91"/>
        <v xml:space="preserve">-LAYER C white V-FUEL-TANK </v>
      </c>
      <c r="P721" s="11" t="str">
        <f t="shared" si="92"/>
        <v xml:space="preserve">-LAYER L Continuous
V-FUEL-TANK  </v>
      </c>
      <c r="Q721" s="11" t="str">
        <f t="shared" si="93"/>
        <v xml:space="preserve">-LAYER LW Default
V-FUEL-TANK  </v>
      </c>
      <c r="R721" s="11" t="str">
        <f t="shared" si="94"/>
        <v xml:space="preserve">-LAYER TR 0
V-FUEL-TANK  </v>
      </c>
      <c r="S721" s="11" t="str">
        <f t="shared" si="95"/>
        <v xml:space="preserve">-LAYER D Topografía / Cartografía - Sistemas de combustible: tanques de almacenamiento
V-FUEL-TANK  </v>
      </c>
    </row>
    <row r="722" spans="1:19" x14ac:dyDescent="0.45">
      <c r="A722" s="7">
        <v>0</v>
      </c>
      <c r="B722" s="11" t="s">
        <v>3647</v>
      </c>
      <c r="C722" s="11" t="s">
        <v>51</v>
      </c>
      <c r="D722" s="11" t="s">
        <v>1275</v>
      </c>
      <c r="E722" s="11" t="str">
        <f t="shared" si="88"/>
        <v>V-FUEL-UGND (Topografía / Cartografía - Sistemas de combustible: subterráneos)</v>
      </c>
      <c r="F722" s="19" t="s">
        <v>3798</v>
      </c>
      <c r="G722" s="19" t="s">
        <v>3797</v>
      </c>
      <c r="H722" s="19" t="s">
        <v>3811</v>
      </c>
      <c r="I722" s="10">
        <v>0</v>
      </c>
      <c r="J722" s="10" t="str">
        <f t="shared" si="89"/>
        <v>Topografía / Cartografía - Sistemas de combustible: subterráneos</v>
      </c>
      <c r="K722" s="11" t="s">
        <v>2565</v>
      </c>
      <c r="L722" s="11" t="s">
        <v>50</v>
      </c>
      <c r="M722" s="11" t="s">
        <v>1274</v>
      </c>
      <c r="N722" s="18" t="str">
        <f t="shared" si="90"/>
        <v xml:space="preserve">-LAYER N V-FUEL-UGND </v>
      </c>
      <c r="O722" s="11" t="str">
        <f t="shared" si="91"/>
        <v xml:space="preserve">-LAYER C white V-FUEL-UGND </v>
      </c>
      <c r="P722" s="11" t="str">
        <f t="shared" si="92"/>
        <v xml:space="preserve">-LAYER L Continuous
V-FUEL-UGND  </v>
      </c>
      <c r="Q722" s="11" t="str">
        <f t="shared" si="93"/>
        <v xml:space="preserve">-LAYER LW Default
V-FUEL-UGND  </v>
      </c>
      <c r="R722" s="11" t="str">
        <f t="shared" si="94"/>
        <v xml:space="preserve">-LAYER TR 0
V-FUEL-UGND  </v>
      </c>
      <c r="S722" s="11" t="str">
        <f t="shared" si="95"/>
        <v xml:space="preserve">-LAYER D Topografía / Cartografía - Sistemas de combustible: subterráneos
V-FUEL-UGND  </v>
      </c>
    </row>
    <row r="723" spans="1:19" x14ac:dyDescent="0.45">
      <c r="A723" s="7">
        <v>0</v>
      </c>
      <c r="B723" s="11" t="s">
        <v>3648</v>
      </c>
      <c r="C723" s="11" t="s">
        <v>51</v>
      </c>
      <c r="D723" s="11" t="s">
        <v>482</v>
      </c>
      <c r="E723" s="11" t="str">
        <f t="shared" si="88"/>
        <v>V-NGAS (Topografía / Cartografía - Sistemas de gas natural)</v>
      </c>
      <c r="F723" s="19" t="s">
        <v>3798</v>
      </c>
      <c r="G723" s="19" t="s">
        <v>3797</v>
      </c>
      <c r="H723" s="19" t="s">
        <v>3811</v>
      </c>
      <c r="I723" s="10">
        <v>0</v>
      </c>
      <c r="J723" s="10" t="str">
        <f t="shared" si="89"/>
        <v>Topografía / Cartografía - Sistemas de gas natural</v>
      </c>
      <c r="K723" s="11" t="s">
        <v>2566</v>
      </c>
      <c r="L723" s="11" t="s">
        <v>50</v>
      </c>
      <c r="M723" s="11" t="s">
        <v>481</v>
      </c>
      <c r="N723" s="18" t="str">
        <f t="shared" si="90"/>
        <v xml:space="preserve">-LAYER N V-NGAS </v>
      </c>
      <c r="O723" s="11" t="str">
        <f t="shared" si="91"/>
        <v xml:space="preserve">-LAYER C white V-NGAS </v>
      </c>
      <c r="P723" s="11" t="str">
        <f t="shared" si="92"/>
        <v xml:space="preserve">-LAYER L Continuous
V-NGAS  </v>
      </c>
      <c r="Q723" s="11" t="str">
        <f t="shared" si="93"/>
        <v xml:space="preserve">-LAYER LW Default
V-NGAS  </v>
      </c>
      <c r="R723" s="11" t="str">
        <f t="shared" si="94"/>
        <v xml:space="preserve">-LAYER TR 0
V-NGAS  </v>
      </c>
      <c r="S723" s="11" t="str">
        <f t="shared" si="95"/>
        <v xml:space="preserve">-LAYER D Topografía / Cartografía - Sistemas de gas natural
V-NGAS  </v>
      </c>
    </row>
    <row r="724" spans="1:19" x14ac:dyDescent="0.45">
      <c r="A724" s="7">
        <v>0</v>
      </c>
      <c r="B724" s="11" t="s">
        <v>3649</v>
      </c>
      <c r="C724" s="11" t="s">
        <v>51</v>
      </c>
      <c r="D724" s="11" t="s">
        <v>2885</v>
      </c>
      <c r="E724" s="11" t="str">
        <f t="shared" si="88"/>
        <v>V-NGAS-MHOL (Topografía / Cartografía - Sistemas de gas natural: pozo de registro)</v>
      </c>
      <c r="F724" s="19" t="s">
        <v>3798</v>
      </c>
      <c r="G724" s="19" t="s">
        <v>3797</v>
      </c>
      <c r="H724" s="19" t="s">
        <v>3811</v>
      </c>
      <c r="I724" s="10">
        <v>0</v>
      </c>
      <c r="J724" s="10" t="str">
        <f t="shared" si="89"/>
        <v>Topografía / Cartografía - Sistemas de gas natural: pozo de registro</v>
      </c>
      <c r="K724" s="11" t="s">
        <v>2567</v>
      </c>
      <c r="L724" s="11" t="s">
        <v>50</v>
      </c>
      <c r="M724" s="11" t="s">
        <v>1313</v>
      </c>
      <c r="N724" s="18" t="str">
        <f t="shared" si="90"/>
        <v xml:space="preserve">-LAYER N V-NGAS-MHOL </v>
      </c>
      <c r="O724" s="11" t="str">
        <f t="shared" si="91"/>
        <v xml:space="preserve">-LAYER C white V-NGAS-MHOL </v>
      </c>
      <c r="P724" s="11" t="str">
        <f t="shared" si="92"/>
        <v xml:space="preserve">-LAYER L Continuous
V-NGAS-MHOL  </v>
      </c>
      <c r="Q724" s="11" t="str">
        <f t="shared" si="93"/>
        <v xml:space="preserve">-LAYER LW Default
V-NGAS-MHOL  </v>
      </c>
      <c r="R724" s="11" t="str">
        <f t="shared" si="94"/>
        <v xml:space="preserve">-LAYER TR 0
V-NGAS-MHOL  </v>
      </c>
      <c r="S724" s="11" t="str">
        <f t="shared" si="95"/>
        <v xml:space="preserve">-LAYER D Topografía / Cartografía - Sistemas de gas natural: pozo de registro
V-NGAS-MHOL  </v>
      </c>
    </row>
    <row r="725" spans="1:19" x14ac:dyDescent="0.45">
      <c r="A725" s="7">
        <v>0</v>
      </c>
      <c r="B725" s="11" t="s">
        <v>3650</v>
      </c>
      <c r="C725" s="11" t="s">
        <v>51</v>
      </c>
      <c r="D725" s="11" t="s">
        <v>2820</v>
      </c>
      <c r="E725" s="11" t="str">
        <f t="shared" si="88"/>
        <v>V-NGAS-PIPE (Topografía / Cartografía - Sistemas de gas natural: tuberías)</v>
      </c>
      <c r="F725" s="19" t="s">
        <v>3798</v>
      </c>
      <c r="G725" s="19" t="s">
        <v>3797</v>
      </c>
      <c r="H725" s="19" t="s">
        <v>3811</v>
      </c>
      <c r="I725" s="10">
        <v>0</v>
      </c>
      <c r="J725" s="10" t="str">
        <f t="shared" si="89"/>
        <v>Topografía / Cartografía - Sistemas de gas natural: tuberías</v>
      </c>
      <c r="K725" s="11" t="s">
        <v>2568</v>
      </c>
      <c r="L725" s="11" t="s">
        <v>50</v>
      </c>
      <c r="M725" s="11" t="s">
        <v>1316</v>
      </c>
      <c r="N725" s="18" t="str">
        <f t="shared" si="90"/>
        <v xml:space="preserve">-LAYER N V-NGAS-PIPE </v>
      </c>
      <c r="O725" s="11" t="str">
        <f t="shared" si="91"/>
        <v xml:space="preserve">-LAYER C white V-NGAS-PIPE </v>
      </c>
      <c r="P725" s="11" t="str">
        <f t="shared" si="92"/>
        <v xml:space="preserve">-LAYER L Continuous
V-NGAS-PIPE  </v>
      </c>
      <c r="Q725" s="11" t="str">
        <f t="shared" si="93"/>
        <v xml:space="preserve">-LAYER LW Default
V-NGAS-PIPE  </v>
      </c>
      <c r="R725" s="11" t="str">
        <f t="shared" si="94"/>
        <v xml:space="preserve">-LAYER TR 0
V-NGAS-PIPE  </v>
      </c>
      <c r="S725" s="11" t="str">
        <f t="shared" si="95"/>
        <v xml:space="preserve">-LAYER D Topografía / Cartografía - Sistemas de gas natural: tuberías
V-NGAS-PIPE  </v>
      </c>
    </row>
    <row r="726" spans="1:19" x14ac:dyDescent="0.45">
      <c r="A726" s="7">
        <v>0</v>
      </c>
      <c r="B726" s="11" t="s">
        <v>3651</v>
      </c>
      <c r="C726" s="11" t="s">
        <v>51</v>
      </c>
      <c r="D726" s="11" t="s">
        <v>2821</v>
      </c>
      <c r="E726" s="11" t="str">
        <f t="shared" si="88"/>
        <v>V-NGAS-TANK (Topografía / Cartografía - Sistemas de gas natural: tanques de almacenamiento)</v>
      </c>
      <c r="F726" s="19" t="s">
        <v>3798</v>
      </c>
      <c r="G726" s="19" t="s">
        <v>3797</v>
      </c>
      <c r="H726" s="19" t="s">
        <v>3811</v>
      </c>
      <c r="I726" s="10">
        <v>0</v>
      </c>
      <c r="J726" s="10" t="str">
        <f t="shared" si="89"/>
        <v>Topografía / Cartografía - Sistemas de gas natural: tanques de almacenamiento</v>
      </c>
      <c r="K726" s="11" t="s">
        <v>2569</v>
      </c>
      <c r="L726" s="11" t="s">
        <v>50</v>
      </c>
      <c r="M726" s="11" t="s">
        <v>1319</v>
      </c>
      <c r="N726" s="18" t="str">
        <f t="shared" si="90"/>
        <v xml:space="preserve">-LAYER N V-NGAS-TANK </v>
      </c>
      <c r="O726" s="11" t="str">
        <f t="shared" si="91"/>
        <v xml:space="preserve">-LAYER C white V-NGAS-TANK </v>
      </c>
      <c r="P726" s="11" t="str">
        <f t="shared" si="92"/>
        <v xml:space="preserve">-LAYER L Continuous
V-NGAS-TANK  </v>
      </c>
      <c r="Q726" s="11" t="str">
        <f t="shared" si="93"/>
        <v xml:space="preserve">-LAYER LW Default
V-NGAS-TANK  </v>
      </c>
      <c r="R726" s="11" t="str">
        <f t="shared" si="94"/>
        <v xml:space="preserve">-LAYER TR 0
V-NGAS-TANK  </v>
      </c>
      <c r="S726" s="11" t="str">
        <f t="shared" si="95"/>
        <v xml:space="preserve">-LAYER D Topografía / Cartografía - Sistemas de gas natural: tanques de almacenamiento
V-NGAS-TANK  </v>
      </c>
    </row>
    <row r="727" spans="1:19" x14ac:dyDescent="0.45">
      <c r="A727" s="7">
        <v>0</v>
      </c>
      <c r="B727" s="11" t="s">
        <v>3652</v>
      </c>
      <c r="C727" s="11" t="s">
        <v>51</v>
      </c>
      <c r="D727" s="11" t="s">
        <v>2822</v>
      </c>
      <c r="E727" s="11" t="str">
        <f t="shared" si="88"/>
        <v>V-NGAS-UGND (Topografía / Cartografía - Sistemas de gas natural: subterráneos)</v>
      </c>
      <c r="F727" s="19" t="s">
        <v>3798</v>
      </c>
      <c r="G727" s="19" t="s">
        <v>3797</v>
      </c>
      <c r="H727" s="19" t="s">
        <v>3811</v>
      </c>
      <c r="I727" s="10">
        <v>0</v>
      </c>
      <c r="J727" s="10" t="str">
        <f t="shared" si="89"/>
        <v>Topografía / Cartografía - Sistemas de gas natural: subterráneos</v>
      </c>
      <c r="K727" s="11" t="s">
        <v>2570</v>
      </c>
      <c r="L727" s="11" t="s">
        <v>50</v>
      </c>
      <c r="M727" s="11" t="s">
        <v>1322</v>
      </c>
      <c r="N727" s="18" t="str">
        <f t="shared" si="90"/>
        <v xml:space="preserve">-LAYER N V-NGAS-UGND </v>
      </c>
      <c r="O727" s="11" t="str">
        <f t="shared" si="91"/>
        <v xml:space="preserve">-LAYER C white V-NGAS-UGND </v>
      </c>
      <c r="P727" s="11" t="str">
        <f t="shared" si="92"/>
        <v xml:space="preserve">-LAYER L Continuous
V-NGAS-UGND  </v>
      </c>
      <c r="Q727" s="11" t="str">
        <f t="shared" si="93"/>
        <v xml:space="preserve">-LAYER LW Default
V-NGAS-UGND  </v>
      </c>
      <c r="R727" s="11" t="str">
        <f t="shared" si="94"/>
        <v xml:space="preserve">-LAYER TR 0
V-NGAS-UGND  </v>
      </c>
      <c r="S727" s="11" t="str">
        <f t="shared" si="95"/>
        <v xml:space="preserve">-LAYER D Topografía / Cartografía - Sistemas de gas natural: subterráneos
V-NGAS-UGND  </v>
      </c>
    </row>
    <row r="728" spans="1:19" x14ac:dyDescent="0.45">
      <c r="A728" s="7">
        <v>1</v>
      </c>
      <c r="B728" s="11" t="s">
        <v>3653</v>
      </c>
      <c r="C728" s="11" t="s">
        <v>51</v>
      </c>
      <c r="D728" s="11" t="s">
        <v>485</v>
      </c>
      <c r="E728" s="11" t="str">
        <f t="shared" si="88"/>
        <v>V-NODE (Topografía / Cartografía - Nodo)</v>
      </c>
      <c r="F728" s="19" t="s">
        <v>3798</v>
      </c>
      <c r="G728" s="19" t="s">
        <v>3797</v>
      </c>
      <c r="H728" s="19" t="s">
        <v>3811</v>
      </c>
      <c r="I728" s="10">
        <v>0</v>
      </c>
      <c r="J728" s="10" t="str">
        <f t="shared" si="89"/>
        <v>Topografía / Cartografía - Nodo</v>
      </c>
      <c r="K728" s="11" t="s">
        <v>2571</v>
      </c>
      <c r="L728" s="11" t="s">
        <v>50</v>
      </c>
      <c r="M728" s="11" t="s">
        <v>484</v>
      </c>
      <c r="N728" s="18" t="str">
        <f t="shared" si="90"/>
        <v xml:space="preserve">-LAYER N V-NODE </v>
      </c>
      <c r="O728" s="11" t="str">
        <f t="shared" si="91"/>
        <v xml:space="preserve">-LAYER C white V-NODE </v>
      </c>
      <c r="P728" s="11" t="str">
        <f t="shared" si="92"/>
        <v xml:space="preserve">-LAYER L Continuous
V-NODE  </v>
      </c>
      <c r="Q728" s="11" t="str">
        <f t="shared" si="93"/>
        <v xml:space="preserve">-LAYER LW Default
V-NODE  </v>
      </c>
      <c r="R728" s="11" t="str">
        <f t="shared" si="94"/>
        <v xml:space="preserve">-LAYER TR 0
V-NODE  </v>
      </c>
      <c r="S728" s="11" t="str">
        <f t="shared" si="95"/>
        <v xml:space="preserve">-LAYER D Topografía / Cartografía - Nodo
V-NODE  </v>
      </c>
    </row>
    <row r="729" spans="1:19" x14ac:dyDescent="0.45">
      <c r="A729" s="7">
        <v>0</v>
      </c>
      <c r="B729" s="11" t="s">
        <v>3654</v>
      </c>
      <c r="C729" s="11" t="s">
        <v>51</v>
      </c>
      <c r="D729" s="11" t="s">
        <v>2823</v>
      </c>
      <c r="E729" s="11" t="str">
        <f t="shared" si="88"/>
        <v>V-NODE-ABUT (Topografía / Cartografía - Nodo: estribo)</v>
      </c>
      <c r="F729" s="19" t="s">
        <v>3798</v>
      </c>
      <c r="G729" s="19" t="s">
        <v>3797</v>
      </c>
      <c r="H729" s="19" t="s">
        <v>3811</v>
      </c>
      <c r="I729" s="10">
        <v>0</v>
      </c>
      <c r="J729" s="10" t="str">
        <f t="shared" si="89"/>
        <v>Topografía / Cartografía - Nodo: estribo</v>
      </c>
      <c r="K729" s="11" t="s">
        <v>2572</v>
      </c>
      <c r="L729" s="11" t="s">
        <v>50</v>
      </c>
      <c r="M729" s="11" t="s">
        <v>2573</v>
      </c>
      <c r="N729" s="18" t="str">
        <f t="shared" si="90"/>
        <v xml:space="preserve">-LAYER N V-NODE-ABUT </v>
      </c>
      <c r="O729" s="11" t="str">
        <f t="shared" si="91"/>
        <v xml:space="preserve">-LAYER C white V-NODE-ABUT </v>
      </c>
      <c r="P729" s="11" t="str">
        <f t="shared" si="92"/>
        <v xml:space="preserve">-LAYER L Continuous
V-NODE-ABUT  </v>
      </c>
      <c r="Q729" s="11" t="str">
        <f t="shared" si="93"/>
        <v xml:space="preserve">-LAYER LW Default
V-NODE-ABUT  </v>
      </c>
      <c r="R729" s="11" t="str">
        <f t="shared" si="94"/>
        <v xml:space="preserve">-LAYER TR 0
V-NODE-ABUT  </v>
      </c>
      <c r="S729" s="11" t="str">
        <f t="shared" si="95"/>
        <v xml:space="preserve">-LAYER D Topografía / Cartografía - Nodo: estribo
V-NODE-ABUT  </v>
      </c>
    </row>
    <row r="730" spans="1:19" x14ac:dyDescent="0.45">
      <c r="A730" s="7">
        <v>0</v>
      </c>
      <c r="B730" s="11" t="s">
        <v>3655</v>
      </c>
      <c r="C730" s="11" t="s">
        <v>51</v>
      </c>
      <c r="D730" s="11" t="s">
        <v>2824</v>
      </c>
      <c r="E730" s="11" t="str">
        <f t="shared" si="88"/>
        <v>V-NODE-ACTL (Topografía / Cartografía - Nodo: puntos de control aéreos horizontales y verticales)</v>
      </c>
      <c r="F730" s="19" t="s">
        <v>3798</v>
      </c>
      <c r="G730" s="19" t="s">
        <v>3797</v>
      </c>
      <c r="H730" s="19" t="s">
        <v>3811</v>
      </c>
      <c r="I730" s="10">
        <v>0</v>
      </c>
      <c r="J730" s="10" t="str">
        <f t="shared" si="89"/>
        <v>Topografía / Cartografía - Nodo: puntos de control aéreos horizontales y verticales</v>
      </c>
      <c r="K730" s="11" t="s">
        <v>2574</v>
      </c>
      <c r="L730" s="11" t="s">
        <v>50</v>
      </c>
      <c r="M730" s="11" t="s">
        <v>2765</v>
      </c>
      <c r="N730" s="18" t="str">
        <f t="shared" si="90"/>
        <v xml:space="preserve">-LAYER N V-NODE-ACTL </v>
      </c>
      <c r="O730" s="11" t="str">
        <f t="shared" si="91"/>
        <v xml:space="preserve">-LAYER C white V-NODE-ACTL </v>
      </c>
      <c r="P730" s="11" t="str">
        <f t="shared" si="92"/>
        <v xml:space="preserve">-LAYER L Continuous
V-NODE-ACTL  </v>
      </c>
      <c r="Q730" s="11" t="str">
        <f t="shared" si="93"/>
        <v xml:space="preserve">-LAYER LW Default
V-NODE-ACTL  </v>
      </c>
      <c r="R730" s="11" t="str">
        <f t="shared" si="94"/>
        <v xml:space="preserve">-LAYER TR 0
V-NODE-ACTL  </v>
      </c>
      <c r="S730" s="11" t="str">
        <f t="shared" si="95"/>
        <v xml:space="preserve">-LAYER D Topografía / Cartografía - Nodo: puntos de control aéreos horizontales y verticales
V-NODE-ACTL  </v>
      </c>
    </row>
    <row r="731" spans="1:19" x14ac:dyDescent="0.45">
      <c r="A731" s="7">
        <v>0</v>
      </c>
      <c r="B731" s="11" t="s">
        <v>3656</v>
      </c>
      <c r="C731" s="11" t="s">
        <v>51</v>
      </c>
      <c r="D731" s="11" t="s">
        <v>2825</v>
      </c>
      <c r="E731" s="11" t="str">
        <f t="shared" si="88"/>
        <v>V-NODE-BLDG (Topografía / Cartografía - Nodo: puntos de construcción)</v>
      </c>
      <c r="F731" s="19" t="s">
        <v>3798</v>
      </c>
      <c r="G731" s="19" t="s">
        <v>3797</v>
      </c>
      <c r="H731" s="19" t="s">
        <v>3811</v>
      </c>
      <c r="I731" s="10">
        <v>0</v>
      </c>
      <c r="J731" s="10" t="str">
        <f t="shared" si="89"/>
        <v>Topografía / Cartografía - Nodo: puntos de construcción</v>
      </c>
      <c r="K731" s="11" t="s">
        <v>2766</v>
      </c>
      <c r="L731" s="11" t="s">
        <v>50</v>
      </c>
      <c r="M731" s="11" t="s">
        <v>2575</v>
      </c>
      <c r="N731" s="18" t="str">
        <f t="shared" si="90"/>
        <v xml:space="preserve">-LAYER N V-NODE-BLDG </v>
      </c>
      <c r="O731" s="11" t="str">
        <f t="shared" si="91"/>
        <v xml:space="preserve">-LAYER C white V-NODE-BLDG </v>
      </c>
      <c r="P731" s="11" t="str">
        <f t="shared" si="92"/>
        <v xml:space="preserve">-LAYER L Continuous
V-NODE-BLDG  </v>
      </c>
      <c r="Q731" s="11" t="str">
        <f t="shared" si="93"/>
        <v xml:space="preserve">-LAYER LW Default
V-NODE-BLDG  </v>
      </c>
      <c r="R731" s="11" t="str">
        <f t="shared" si="94"/>
        <v xml:space="preserve">-LAYER TR 0
V-NODE-BLDG  </v>
      </c>
      <c r="S731" s="11" t="str">
        <f t="shared" si="95"/>
        <v xml:space="preserve">-LAYER D Topografía / Cartografía - Nodo: puntos de construcción
V-NODE-BLDG  </v>
      </c>
    </row>
    <row r="732" spans="1:19" x14ac:dyDescent="0.45">
      <c r="A732" s="7">
        <v>0</v>
      </c>
      <c r="B732" s="11" t="s">
        <v>3657</v>
      </c>
      <c r="C732" s="11" t="s">
        <v>51</v>
      </c>
      <c r="D732" s="11" t="s">
        <v>2826</v>
      </c>
      <c r="E732" s="11" t="str">
        <f t="shared" si="88"/>
        <v>V-NODE-BLIN (Topografía / Cartografía - Nodo: línea base)</v>
      </c>
      <c r="F732" s="19" t="s">
        <v>3798</v>
      </c>
      <c r="G732" s="19" t="s">
        <v>3797</v>
      </c>
      <c r="H732" s="19" t="s">
        <v>3811</v>
      </c>
      <c r="I732" s="10">
        <v>0</v>
      </c>
      <c r="J732" s="10" t="str">
        <f t="shared" si="89"/>
        <v>Topografía / Cartografía - Nodo: línea base</v>
      </c>
      <c r="K732" s="11" t="s">
        <v>2576</v>
      </c>
      <c r="L732" s="11" t="s">
        <v>50</v>
      </c>
      <c r="M732" s="11" t="s">
        <v>2577</v>
      </c>
      <c r="N732" s="18" t="str">
        <f t="shared" si="90"/>
        <v xml:space="preserve">-LAYER N V-NODE-BLIN </v>
      </c>
      <c r="O732" s="11" t="str">
        <f t="shared" si="91"/>
        <v xml:space="preserve">-LAYER C white V-NODE-BLIN </v>
      </c>
      <c r="P732" s="11" t="str">
        <f t="shared" si="92"/>
        <v xml:space="preserve">-LAYER L Continuous
V-NODE-BLIN  </v>
      </c>
      <c r="Q732" s="11" t="str">
        <f t="shared" si="93"/>
        <v xml:space="preserve">-LAYER LW Default
V-NODE-BLIN  </v>
      </c>
      <c r="R732" s="11" t="str">
        <f t="shared" si="94"/>
        <v xml:space="preserve">-LAYER TR 0
V-NODE-BLIN  </v>
      </c>
      <c r="S732" s="11" t="str">
        <f t="shared" si="95"/>
        <v xml:space="preserve">-LAYER D Topografía / Cartografía - Nodo: línea base
V-NODE-BLIN  </v>
      </c>
    </row>
    <row r="733" spans="1:19" x14ac:dyDescent="0.45">
      <c r="A733" s="7">
        <v>0</v>
      </c>
      <c r="B733" s="11" t="s">
        <v>3658</v>
      </c>
      <c r="C733" s="11" t="s">
        <v>51</v>
      </c>
      <c r="D733" s="11" t="s">
        <v>2886</v>
      </c>
      <c r="E733" s="11" t="str">
        <f t="shared" si="88"/>
        <v>V-NODE-BRDG (Topografía / Cartografía - Nodo: puntos de medición de puentes)</v>
      </c>
      <c r="F733" s="19" t="s">
        <v>3798</v>
      </c>
      <c r="G733" s="19" t="s">
        <v>3797</v>
      </c>
      <c r="H733" s="19" t="s">
        <v>3811</v>
      </c>
      <c r="I733" s="10">
        <v>0</v>
      </c>
      <c r="J733" s="10" t="str">
        <f t="shared" si="89"/>
        <v>Topografía / Cartografía - Nodo: puntos de medición de puentes</v>
      </c>
      <c r="K733" s="11" t="s">
        <v>2578</v>
      </c>
      <c r="L733" s="11" t="s">
        <v>50</v>
      </c>
      <c r="M733" s="11" t="s">
        <v>2579</v>
      </c>
      <c r="N733" s="18" t="str">
        <f t="shared" si="90"/>
        <v xml:space="preserve">-LAYER N V-NODE-BRDG </v>
      </c>
      <c r="O733" s="11" t="str">
        <f t="shared" si="91"/>
        <v xml:space="preserve">-LAYER C white V-NODE-BRDG </v>
      </c>
      <c r="P733" s="11" t="str">
        <f t="shared" si="92"/>
        <v xml:space="preserve">-LAYER L Continuous
V-NODE-BRDG  </v>
      </c>
      <c r="Q733" s="11" t="str">
        <f t="shared" si="93"/>
        <v xml:space="preserve">-LAYER LW Default
V-NODE-BRDG  </v>
      </c>
      <c r="R733" s="11" t="str">
        <f t="shared" si="94"/>
        <v xml:space="preserve">-LAYER TR 0
V-NODE-BRDG  </v>
      </c>
      <c r="S733" s="11" t="str">
        <f t="shared" si="95"/>
        <v xml:space="preserve">-LAYER D Topografía / Cartografía - Nodo: puntos de medición de puentes
V-NODE-BRDG  </v>
      </c>
    </row>
    <row r="734" spans="1:19" x14ac:dyDescent="0.45">
      <c r="A734" s="7">
        <v>0</v>
      </c>
      <c r="B734" s="11" t="s">
        <v>3659</v>
      </c>
      <c r="C734" s="11" t="s">
        <v>51</v>
      </c>
      <c r="D734" s="11" t="s">
        <v>2827</v>
      </c>
      <c r="E734" s="11" t="str">
        <f t="shared" si="88"/>
        <v>V-NODE-BRKL (Topografía / Cartografía - Nodo: líneas de corte, elevación puntual Puntos y líneas para la creación de líneas de quiebre como parte superior del terraplén)</v>
      </c>
      <c r="F734" s="19" t="s">
        <v>3798</v>
      </c>
      <c r="G734" s="19" t="s">
        <v>3797</v>
      </c>
      <c r="H734" s="19" t="s">
        <v>3811</v>
      </c>
      <c r="I734" s="10">
        <v>0</v>
      </c>
      <c r="J734" s="10" t="str">
        <f t="shared" si="89"/>
        <v>Topografía / Cartografía - Nodo: líneas de corte, elevación puntual Puntos y líneas para la creación de líneas de quiebre como parte superior del terraplén</v>
      </c>
      <c r="K734" s="11" t="s">
        <v>2580</v>
      </c>
      <c r="L734" s="11" t="s">
        <v>50</v>
      </c>
      <c r="M734" s="11" t="s">
        <v>2581</v>
      </c>
      <c r="N734" s="18" t="str">
        <f t="shared" si="90"/>
        <v xml:space="preserve">-LAYER N V-NODE-BRKL </v>
      </c>
      <c r="O734" s="11" t="str">
        <f t="shared" si="91"/>
        <v xml:space="preserve">-LAYER C white V-NODE-BRKL </v>
      </c>
      <c r="P734" s="11" t="str">
        <f t="shared" si="92"/>
        <v xml:space="preserve">-LAYER L Continuous
V-NODE-BRKL  </v>
      </c>
      <c r="Q734" s="11" t="str">
        <f t="shared" si="93"/>
        <v xml:space="preserve">-LAYER LW Default
V-NODE-BRKL  </v>
      </c>
      <c r="R734" s="11" t="str">
        <f t="shared" si="94"/>
        <v xml:space="preserve">-LAYER TR 0
V-NODE-BRKL  </v>
      </c>
      <c r="S734" s="11" t="str">
        <f t="shared" si="95"/>
        <v xml:space="preserve">-LAYER D Topografía / Cartografía - Nodo: líneas de corte, elevación puntual Puntos y líneas para la creación de líneas de quiebre como parte superior del terraplén
V-NODE-BRKL  </v>
      </c>
    </row>
    <row r="735" spans="1:19" x14ac:dyDescent="0.45">
      <c r="A735" s="7">
        <v>0</v>
      </c>
      <c r="B735" s="11" t="s">
        <v>3660</v>
      </c>
      <c r="C735" s="11" t="s">
        <v>51</v>
      </c>
      <c r="D735" s="11" t="s">
        <v>2828</v>
      </c>
      <c r="E735" s="11" t="str">
        <f t="shared" si="88"/>
        <v>V-NODE-BROW (Topografía / Cartografía - Nodo: Puntos de hilera de maleza)</v>
      </c>
      <c r="F735" s="19" t="s">
        <v>3798</v>
      </c>
      <c r="G735" s="19" t="s">
        <v>3797</v>
      </c>
      <c r="H735" s="19" t="s">
        <v>3811</v>
      </c>
      <c r="I735" s="10">
        <v>0</v>
      </c>
      <c r="J735" s="10" t="str">
        <f t="shared" si="89"/>
        <v>Topografía / Cartografía - Nodo: Puntos de hilera de maleza</v>
      </c>
      <c r="K735" s="11" t="s">
        <v>2582</v>
      </c>
      <c r="L735" s="11" t="s">
        <v>50</v>
      </c>
      <c r="M735" s="11" t="s">
        <v>2583</v>
      </c>
      <c r="N735" s="18" t="str">
        <f t="shared" si="90"/>
        <v xml:space="preserve">-LAYER N V-NODE-BROW </v>
      </c>
      <c r="O735" s="11" t="str">
        <f t="shared" si="91"/>
        <v xml:space="preserve">-LAYER C white V-NODE-BROW </v>
      </c>
      <c r="P735" s="11" t="str">
        <f t="shared" si="92"/>
        <v xml:space="preserve">-LAYER L Continuous
V-NODE-BROW  </v>
      </c>
      <c r="Q735" s="11" t="str">
        <f t="shared" si="93"/>
        <v xml:space="preserve">-LAYER LW Default
V-NODE-BROW  </v>
      </c>
      <c r="R735" s="11" t="str">
        <f t="shared" si="94"/>
        <v xml:space="preserve">-LAYER TR 0
V-NODE-BROW  </v>
      </c>
      <c r="S735" s="11" t="str">
        <f t="shared" si="95"/>
        <v xml:space="preserve">-LAYER D Topografía / Cartografía - Nodo: Puntos de hilera de maleza
V-NODE-BROW  </v>
      </c>
    </row>
    <row r="736" spans="1:19" x14ac:dyDescent="0.45">
      <c r="A736" s="7">
        <v>0</v>
      </c>
      <c r="B736" s="11" t="s">
        <v>3661</v>
      </c>
      <c r="C736" s="11" t="s">
        <v>51</v>
      </c>
      <c r="D736" s="11" t="s">
        <v>2829</v>
      </c>
      <c r="E736" s="11" t="str">
        <f t="shared" si="88"/>
        <v>V-NODE-BRSH (Topografía / Cartografía - Nodo: Puntos de maleza)</v>
      </c>
      <c r="F736" s="19" t="s">
        <v>3798</v>
      </c>
      <c r="G736" s="19" t="s">
        <v>3797</v>
      </c>
      <c r="H736" s="19" t="s">
        <v>3811</v>
      </c>
      <c r="I736" s="10">
        <v>0</v>
      </c>
      <c r="J736" s="10" t="str">
        <f t="shared" si="89"/>
        <v>Topografía / Cartografía - Nodo: Puntos de maleza</v>
      </c>
      <c r="K736" s="11" t="s">
        <v>2584</v>
      </c>
      <c r="L736" s="11" t="s">
        <v>50</v>
      </c>
      <c r="M736" s="11" t="s">
        <v>2585</v>
      </c>
      <c r="N736" s="18" t="str">
        <f t="shared" si="90"/>
        <v xml:space="preserve">-LAYER N V-NODE-BRSH </v>
      </c>
      <c r="O736" s="11" t="str">
        <f t="shared" si="91"/>
        <v xml:space="preserve">-LAYER C white V-NODE-BRSH </v>
      </c>
      <c r="P736" s="11" t="str">
        <f t="shared" si="92"/>
        <v xml:space="preserve">-LAYER L Continuous
V-NODE-BRSH  </v>
      </c>
      <c r="Q736" s="11" t="str">
        <f t="shared" si="93"/>
        <v xml:space="preserve">-LAYER LW Default
V-NODE-BRSH  </v>
      </c>
      <c r="R736" s="11" t="str">
        <f t="shared" si="94"/>
        <v xml:space="preserve">-LAYER TR 0
V-NODE-BRSH  </v>
      </c>
      <c r="S736" s="11" t="str">
        <f t="shared" si="95"/>
        <v xml:space="preserve">-LAYER D Topografía / Cartografía - Nodo: Puntos de maleza
V-NODE-BRSH  </v>
      </c>
    </row>
    <row r="737" spans="1:19" x14ac:dyDescent="0.45">
      <c r="A737" s="7">
        <v>0</v>
      </c>
      <c r="B737" s="11" t="s">
        <v>3662</v>
      </c>
      <c r="C737" s="11" t="s">
        <v>51</v>
      </c>
      <c r="D737" s="11" t="s">
        <v>2830</v>
      </c>
      <c r="E737" s="11" t="str">
        <f t="shared" si="88"/>
        <v>V-NODE-CABL (Topografía / Cartografía - Nodo: Sistemas de cableado subterráneo)</v>
      </c>
      <c r="F737" s="19" t="s">
        <v>3798</v>
      </c>
      <c r="G737" s="19" t="s">
        <v>3797</v>
      </c>
      <c r="H737" s="19" t="s">
        <v>3811</v>
      </c>
      <c r="I737" s="10">
        <v>0</v>
      </c>
      <c r="J737" s="10" t="str">
        <f t="shared" si="89"/>
        <v>Topografía / Cartografía - Nodo: Sistemas de cableado subterráneo</v>
      </c>
      <c r="K737" s="11" t="s">
        <v>2586</v>
      </c>
      <c r="L737" s="11" t="s">
        <v>50</v>
      </c>
      <c r="M737" s="11" t="s">
        <v>2587</v>
      </c>
      <c r="N737" s="18" t="str">
        <f t="shared" si="90"/>
        <v xml:space="preserve">-LAYER N V-NODE-CABL </v>
      </c>
      <c r="O737" s="11" t="str">
        <f t="shared" si="91"/>
        <v xml:space="preserve">-LAYER C white V-NODE-CABL </v>
      </c>
      <c r="P737" s="11" t="str">
        <f t="shared" si="92"/>
        <v xml:space="preserve">-LAYER L Continuous
V-NODE-CABL  </v>
      </c>
      <c r="Q737" s="11" t="str">
        <f t="shared" si="93"/>
        <v xml:space="preserve">-LAYER LW Default
V-NODE-CABL  </v>
      </c>
      <c r="R737" s="11" t="str">
        <f t="shared" si="94"/>
        <v xml:space="preserve">-LAYER TR 0
V-NODE-CABL  </v>
      </c>
      <c r="S737" s="11" t="str">
        <f t="shared" si="95"/>
        <v xml:space="preserve">-LAYER D Topografía / Cartografía - Nodo: Sistemas de cableado subterráneo
V-NODE-CABL  </v>
      </c>
    </row>
    <row r="738" spans="1:19" x14ac:dyDescent="0.45">
      <c r="A738" s="7">
        <v>0</v>
      </c>
      <c r="B738" s="11" t="s">
        <v>3663</v>
      </c>
      <c r="C738" s="11" t="s">
        <v>51</v>
      </c>
      <c r="D738" s="11" t="s">
        <v>2831</v>
      </c>
      <c r="E738" s="11" t="str">
        <f t="shared" si="88"/>
        <v>V-NODE-CURB (Topografía / Cartografía - Nodo: Bordillo)</v>
      </c>
      <c r="F738" s="19" t="s">
        <v>3798</v>
      </c>
      <c r="G738" s="19" t="s">
        <v>3797</v>
      </c>
      <c r="H738" s="19" t="s">
        <v>3811</v>
      </c>
      <c r="I738" s="10">
        <v>0</v>
      </c>
      <c r="J738" s="10" t="str">
        <f t="shared" si="89"/>
        <v>Topografía / Cartografía - Nodo: Bordillo</v>
      </c>
      <c r="K738" s="11" t="s">
        <v>2588</v>
      </c>
      <c r="L738" s="11" t="s">
        <v>50</v>
      </c>
      <c r="M738" s="11" t="s">
        <v>2589</v>
      </c>
      <c r="N738" s="18" t="str">
        <f t="shared" si="90"/>
        <v xml:space="preserve">-LAYER N V-NODE-CURB </v>
      </c>
      <c r="O738" s="11" t="str">
        <f t="shared" si="91"/>
        <v xml:space="preserve">-LAYER C white V-NODE-CURB </v>
      </c>
      <c r="P738" s="11" t="str">
        <f t="shared" si="92"/>
        <v xml:space="preserve">-LAYER L Continuous
V-NODE-CURB  </v>
      </c>
      <c r="Q738" s="11" t="str">
        <f t="shared" si="93"/>
        <v xml:space="preserve">-LAYER LW Default
V-NODE-CURB  </v>
      </c>
      <c r="R738" s="11" t="str">
        <f t="shared" si="94"/>
        <v xml:space="preserve">-LAYER TR 0
V-NODE-CURB  </v>
      </c>
      <c r="S738" s="11" t="str">
        <f t="shared" si="95"/>
        <v xml:space="preserve">-LAYER D Topografía / Cartografía - Nodo: Bordillo
V-NODE-CURB  </v>
      </c>
    </row>
    <row r="739" spans="1:19" x14ac:dyDescent="0.45">
      <c r="A739" s="7">
        <v>0</v>
      </c>
      <c r="B739" s="11" t="s">
        <v>3664</v>
      </c>
      <c r="C739" s="11" t="s">
        <v>51</v>
      </c>
      <c r="D739" s="11" t="s">
        <v>2832</v>
      </c>
      <c r="E739" s="11" t="str">
        <f t="shared" si="88"/>
        <v>V-NODE-DASP (Topografía / Cartografía - Nodo: Atributos de descripción para puntos topográficos)</v>
      </c>
      <c r="F739" s="19" t="s">
        <v>3798</v>
      </c>
      <c r="G739" s="19" t="s">
        <v>3797</v>
      </c>
      <c r="H739" s="19" t="s">
        <v>3811</v>
      </c>
      <c r="I739" s="10">
        <v>0</v>
      </c>
      <c r="J739" s="10" t="str">
        <f t="shared" si="89"/>
        <v>Topografía / Cartografía - Nodo: Atributos de descripción para puntos topográficos</v>
      </c>
      <c r="K739" s="11" t="s">
        <v>2590</v>
      </c>
      <c r="L739" s="11" t="s">
        <v>50</v>
      </c>
      <c r="M739" s="11" t="s">
        <v>2767</v>
      </c>
      <c r="N739" s="18" t="str">
        <f t="shared" si="90"/>
        <v xml:space="preserve">-LAYER N V-NODE-DASP </v>
      </c>
      <c r="O739" s="11" t="str">
        <f t="shared" si="91"/>
        <v xml:space="preserve">-LAYER C white V-NODE-DASP </v>
      </c>
      <c r="P739" s="11" t="str">
        <f t="shared" si="92"/>
        <v xml:space="preserve">-LAYER L Continuous
V-NODE-DASP  </v>
      </c>
      <c r="Q739" s="11" t="str">
        <f t="shared" si="93"/>
        <v xml:space="preserve">-LAYER LW Default
V-NODE-DASP  </v>
      </c>
      <c r="R739" s="11" t="str">
        <f t="shared" si="94"/>
        <v xml:space="preserve">-LAYER TR 0
V-NODE-DASP  </v>
      </c>
      <c r="S739" s="11" t="str">
        <f t="shared" si="95"/>
        <v xml:space="preserve">-LAYER D Topografía / Cartografía - Nodo: Atributos de descripción para puntos topográficos
V-NODE-DASP  </v>
      </c>
    </row>
    <row r="740" spans="1:19" x14ac:dyDescent="0.45">
      <c r="A740" s="7">
        <v>0</v>
      </c>
      <c r="B740" s="11" t="s">
        <v>3665</v>
      </c>
      <c r="C740" s="11" t="s">
        <v>51</v>
      </c>
      <c r="D740" s="11" t="s">
        <v>2833</v>
      </c>
      <c r="E740" s="11" t="str">
        <f t="shared" si="88"/>
        <v>V-NODE-DECK (Topografía / Cartografía - Nodo: Plataforma)</v>
      </c>
      <c r="F740" s="19" t="s">
        <v>3798</v>
      </c>
      <c r="G740" s="19" t="s">
        <v>3797</v>
      </c>
      <c r="H740" s="19" t="s">
        <v>3811</v>
      </c>
      <c r="I740" s="10">
        <v>0</v>
      </c>
      <c r="J740" s="10" t="str">
        <f t="shared" si="89"/>
        <v>Topografía / Cartografía - Nodo: Plataforma</v>
      </c>
      <c r="K740" s="11" t="s">
        <v>2768</v>
      </c>
      <c r="L740" s="11" t="s">
        <v>50</v>
      </c>
      <c r="M740" s="11" t="s">
        <v>2591</v>
      </c>
      <c r="N740" s="18" t="str">
        <f t="shared" si="90"/>
        <v xml:space="preserve">-LAYER N V-NODE-DECK </v>
      </c>
      <c r="O740" s="11" t="str">
        <f t="shared" si="91"/>
        <v xml:space="preserve">-LAYER C white V-NODE-DECK </v>
      </c>
      <c r="P740" s="11" t="str">
        <f t="shared" si="92"/>
        <v xml:space="preserve">-LAYER L Continuous
V-NODE-DECK  </v>
      </c>
      <c r="Q740" s="11" t="str">
        <f t="shared" si="93"/>
        <v xml:space="preserve">-LAYER LW Default
V-NODE-DECK  </v>
      </c>
      <c r="R740" s="11" t="str">
        <f t="shared" si="94"/>
        <v xml:space="preserve">-LAYER TR 0
V-NODE-DECK  </v>
      </c>
      <c r="S740" s="11" t="str">
        <f t="shared" si="95"/>
        <v xml:space="preserve">-LAYER D Topografía / Cartografía - Nodo: Plataforma
V-NODE-DECK  </v>
      </c>
    </row>
    <row r="741" spans="1:19" x14ac:dyDescent="0.45">
      <c r="A741" s="7">
        <v>0</v>
      </c>
      <c r="B741" s="11" t="s">
        <v>3666</v>
      </c>
      <c r="C741" s="11" t="s">
        <v>51</v>
      </c>
      <c r="D741" s="11" t="s">
        <v>2834</v>
      </c>
      <c r="E741" s="11" t="str">
        <f t="shared" si="88"/>
        <v>V-NODE-DRIV (Topografía / Cartografía - Nodo: Acceso vehicular)</v>
      </c>
      <c r="F741" s="19" t="s">
        <v>3798</v>
      </c>
      <c r="G741" s="19" t="s">
        <v>3797</v>
      </c>
      <c r="H741" s="19" t="s">
        <v>3811</v>
      </c>
      <c r="I741" s="10">
        <v>0</v>
      </c>
      <c r="J741" s="10" t="str">
        <f t="shared" si="89"/>
        <v>Topografía / Cartografía - Nodo: Acceso vehicular</v>
      </c>
      <c r="K741" s="11" t="s">
        <v>2592</v>
      </c>
      <c r="L741" s="11" t="s">
        <v>50</v>
      </c>
      <c r="M741" s="11" t="s">
        <v>2593</v>
      </c>
      <c r="N741" s="18" t="str">
        <f t="shared" si="90"/>
        <v xml:space="preserve">-LAYER N V-NODE-DRIV </v>
      </c>
      <c r="O741" s="11" t="str">
        <f t="shared" si="91"/>
        <v xml:space="preserve">-LAYER C white V-NODE-DRIV </v>
      </c>
      <c r="P741" s="11" t="str">
        <f t="shared" si="92"/>
        <v xml:space="preserve">-LAYER L Continuous
V-NODE-DRIV  </v>
      </c>
      <c r="Q741" s="11" t="str">
        <f t="shared" si="93"/>
        <v xml:space="preserve">-LAYER LW Default
V-NODE-DRIV  </v>
      </c>
      <c r="R741" s="11" t="str">
        <f t="shared" si="94"/>
        <v xml:space="preserve">-LAYER TR 0
V-NODE-DRIV  </v>
      </c>
      <c r="S741" s="11" t="str">
        <f t="shared" si="95"/>
        <v xml:space="preserve">-LAYER D Topografía / Cartografía - Nodo: Acceso vehicular
V-NODE-DRIV  </v>
      </c>
    </row>
    <row r="742" spans="1:19" x14ac:dyDescent="0.45">
      <c r="A742" s="7">
        <v>0</v>
      </c>
      <c r="B742" s="11" t="s">
        <v>3667</v>
      </c>
      <c r="C742" s="11" t="s">
        <v>51</v>
      </c>
      <c r="D742" s="11" t="s">
        <v>2835</v>
      </c>
      <c r="E742" s="11" t="str">
        <f t="shared" si="88"/>
        <v>V-NODE-EASP (Topografía / Cartografía - Nodo: Atributos de elevación para puntos topográficos)</v>
      </c>
      <c r="F742" s="19" t="s">
        <v>3798</v>
      </c>
      <c r="G742" s="19" t="s">
        <v>3797</v>
      </c>
      <c r="H742" s="19" t="s">
        <v>3811</v>
      </c>
      <c r="I742" s="10">
        <v>0</v>
      </c>
      <c r="J742" s="10" t="str">
        <f t="shared" si="89"/>
        <v>Topografía / Cartografía - Nodo: Atributos de elevación para puntos topográficos</v>
      </c>
      <c r="K742" s="11" t="s">
        <v>2594</v>
      </c>
      <c r="L742" s="11" t="s">
        <v>50</v>
      </c>
      <c r="M742" s="11" t="s">
        <v>2595</v>
      </c>
      <c r="N742" s="18" t="str">
        <f t="shared" si="90"/>
        <v xml:space="preserve">-LAYER N V-NODE-EASP </v>
      </c>
      <c r="O742" s="11" t="str">
        <f t="shared" si="91"/>
        <v xml:space="preserve">-LAYER C white V-NODE-EASP </v>
      </c>
      <c r="P742" s="11" t="str">
        <f t="shared" si="92"/>
        <v xml:space="preserve">-LAYER L Continuous
V-NODE-EASP  </v>
      </c>
      <c r="Q742" s="11" t="str">
        <f t="shared" si="93"/>
        <v xml:space="preserve">-LAYER LW Default
V-NODE-EASP  </v>
      </c>
      <c r="R742" s="11" t="str">
        <f t="shared" si="94"/>
        <v xml:space="preserve">-LAYER TR 0
V-NODE-EASP  </v>
      </c>
      <c r="S742" s="11" t="str">
        <f t="shared" si="95"/>
        <v xml:space="preserve">-LAYER D Topografía / Cartografía - Nodo: Atributos de elevación para puntos topográficos
V-NODE-EASP  </v>
      </c>
    </row>
    <row r="743" spans="1:19" x14ac:dyDescent="0.45">
      <c r="A743" s="7">
        <v>0</v>
      </c>
      <c r="B743" s="11" t="s">
        <v>3668</v>
      </c>
      <c r="C743" s="11" t="s">
        <v>51</v>
      </c>
      <c r="D743" s="11" t="s">
        <v>2836</v>
      </c>
      <c r="E743" s="11" t="str">
        <f t="shared" si="88"/>
        <v>V-NODE-EXPJ (Topografía / Cartografía - Nodo: Junta de dilatación)</v>
      </c>
      <c r="F743" s="19" t="s">
        <v>3798</v>
      </c>
      <c r="G743" s="19" t="s">
        <v>3797</v>
      </c>
      <c r="H743" s="19" t="s">
        <v>3811</v>
      </c>
      <c r="I743" s="10">
        <v>0</v>
      </c>
      <c r="J743" s="10" t="str">
        <f t="shared" si="89"/>
        <v>Topografía / Cartografía - Nodo: Junta de dilatación</v>
      </c>
      <c r="K743" s="11" t="s">
        <v>2596</v>
      </c>
      <c r="L743" s="11" t="s">
        <v>50</v>
      </c>
      <c r="M743" s="11" t="s">
        <v>2597</v>
      </c>
      <c r="N743" s="18" t="str">
        <f t="shared" si="90"/>
        <v xml:space="preserve">-LAYER N V-NODE-EXPJ </v>
      </c>
      <c r="O743" s="11" t="str">
        <f t="shared" si="91"/>
        <v xml:space="preserve">-LAYER C white V-NODE-EXPJ </v>
      </c>
      <c r="P743" s="11" t="str">
        <f t="shared" si="92"/>
        <v xml:space="preserve">-LAYER L Continuous
V-NODE-EXPJ  </v>
      </c>
      <c r="Q743" s="11" t="str">
        <f t="shared" si="93"/>
        <v xml:space="preserve">-LAYER LW Default
V-NODE-EXPJ  </v>
      </c>
      <c r="R743" s="11" t="str">
        <f t="shared" si="94"/>
        <v xml:space="preserve">-LAYER TR 0
V-NODE-EXPJ  </v>
      </c>
      <c r="S743" s="11" t="str">
        <f t="shared" si="95"/>
        <v xml:space="preserve">-LAYER D Topografía / Cartografía - Nodo: Junta de dilatación
V-NODE-EXPJ  </v>
      </c>
    </row>
    <row r="744" spans="1:19" x14ac:dyDescent="0.45">
      <c r="A744" s="7">
        <v>0</v>
      </c>
      <c r="B744" s="11" t="s">
        <v>3669</v>
      </c>
      <c r="C744" s="11" t="s">
        <v>51</v>
      </c>
      <c r="D744" s="11" t="s">
        <v>2837</v>
      </c>
      <c r="E744" s="11" t="str">
        <f t="shared" si="88"/>
        <v>V-NODE-GRND (Topografía / Cartografía - Nodo: Suelo)</v>
      </c>
      <c r="F744" s="19" t="s">
        <v>3798</v>
      </c>
      <c r="G744" s="19" t="s">
        <v>3797</v>
      </c>
      <c r="H744" s="19" t="s">
        <v>3811</v>
      </c>
      <c r="I744" s="10">
        <v>0</v>
      </c>
      <c r="J744" s="10" t="str">
        <f t="shared" si="89"/>
        <v>Topografía / Cartografía - Nodo: Suelo</v>
      </c>
      <c r="K744" s="11" t="s">
        <v>2598</v>
      </c>
      <c r="L744" s="11" t="s">
        <v>50</v>
      </c>
      <c r="M744" s="11" t="s">
        <v>2599</v>
      </c>
      <c r="N744" s="18" t="str">
        <f t="shared" si="90"/>
        <v xml:space="preserve">-LAYER N V-NODE-GRND </v>
      </c>
      <c r="O744" s="11" t="str">
        <f t="shared" si="91"/>
        <v xml:space="preserve">-LAYER C white V-NODE-GRND </v>
      </c>
      <c r="P744" s="11" t="str">
        <f t="shared" si="92"/>
        <v xml:space="preserve">-LAYER L Continuous
V-NODE-GRND  </v>
      </c>
      <c r="Q744" s="11" t="str">
        <f t="shared" si="93"/>
        <v xml:space="preserve">-LAYER LW Default
V-NODE-GRND  </v>
      </c>
      <c r="R744" s="11" t="str">
        <f t="shared" si="94"/>
        <v xml:space="preserve">-LAYER TR 0
V-NODE-GRND  </v>
      </c>
      <c r="S744" s="11" t="str">
        <f t="shared" si="95"/>
        <v xml:space="preserve">-LAYER D Topografía / Cartografía - Nodo: Suelo
V-NODE-GRND  </v>
      </c>
    </row>
    <row r="745" spans="1:19" x14ac:dyDescent="0.45">
      <c r="A745" s="7">
        <v>0</v>
      </c>
      <c r="B745" s="11" t="s">
        <v>3670</v>
      </c>
      <c r="C745" s="11" t="s">
        <v>51</v>
      </c>
      <c r="D745" s="11" t="s">
        <v>2838</v>
      </c>
      <c r="E745" s="11" t="str">
        <f t="shared" si="88"/>
        <v>V-NODE-MHOL (Topografía / Cartografía - Nodo: Pozo de registro)</v>
      </c>
      <c r="F745" s="19" t="s">
        <v>3798</v>
      </c>
      <c r="G745" s="19" t="s">
        <v>3797</v>
      </c>
      <c r="H745" s="19" t="s">
        <v>3811</v>
      </c>
      <c r="I745" s="10">
        <v>0</v>
      </c>
      <c r="J745" s="10" t="str">
        <f t="shared" si="89"/>
        <v>Topografía / Cartografía - Nodo: Pozo de registro</v>
      </c>
      <c r="K745" s="11" t="s">
        <v>2600</v>
      </c>
      <c r="L745" s="11" t="s">
        <v>50</v>
      </c>
      <c r="M745" s="11" t="s">
        <v>2601</v>
      </c>
      <c r="N745" s="18" t="str">
        <f t="shared" si="90"/>
        <v xml:space="preserve">-LAYER N V-NODE-MHOL </v>
      </c>
      <c r="O745" s="11" t="str">
        <f t="shared" si="91"/>
        <v xml:space="preserve">-LAYER C white V-NODE-MHOL </v>
      </c>
      <c r="P745" s="11" t="str">
        <f t="shared" si="92"/>
        <v xml:space="preserve">-LAYER L Continuous
V-NODE-MHOL  </v>
      </c>
      <c r="Q745" s="11" t="str">
        <f t="shared" si="93"/>
        <v xml:space="preserve">-LAYER LW Default
V-NODE-MHOL  </v>
      </c>
      <c r="R745" s="11" t="str">
        <f t="shared" si="94"/>
        <v xml:space="preserve">-LAYER TR 0
V-NODE-MHOL  </v>
      </c>
      <c r="S745" s="11" t="str">
        <f t="shared" si="95"/>
        <v xml:space="preserve">-LAYER D Topografía / Cartografía - Nodo: Pozo de registro
V-NODE-MHOL  </v>
      </c>
    </row>
    <row r="746" spans="1:19" x14ac:dyDescent="0.45">
      <c r="A746" s="7">
        <v>0</v>
      </c>
      <c r="B746" s="11" t="s">
        <v>3671</v>
      </c>
      <c r="C746" s="11" t="s">
        <v>51</v>
      </c>
      <c r="D746" s="11" t="s">
        <v>2839</v>
      </c>
      <c r="E746" s="11" t="str">
        <f t="shared" si="88"/>
        <v>V-NODE-MRKG (Topografía / Cartografía - Nodo: Marcas en el pavimento (franjas amarillas/blancas))</v>
      </c>
      <c r="F746" s="19" t="s">
        <v>3798</v>
      </c>
      <c r="G746" s="19" t="s">
        <v>3797</v>
      </c>
      <c r="H746" s="19" t="s">
        <v>3811</v>
      </c>
      <c r="I746" s="10">
        <v>0</v>
      </c>
      <c r="J746" s="10" t="str">
        <f t="shared" si="89"/>
        <v>Topografía / Cartografía - Nodo: Marcas en el pavimento (franjas amarillas/blancas)</v>
      </c>
      <c r="K746" s="11" t="s">
        <v>2602</v>
      </c>
      <c r="L746" s="11" t="s">
        <v>50</v>
      </c>
      <c r="M746" s="11" t="s">
        <v>2769</v>
      </c>
      <c r="N746" s="18" t="str">
        <f t="shared" si="90"/>
        <v xml:space="preserve">-LAYER N V-NODE-MRKG </v>
      </c>
      <c r="O746" s="11" t="str">
        <f t="shared" si="91"/>
        <v xml:space="preserve">-LAYER C white V-NODE-MRKG </v>
      </c>
      <c r="P746" s="11" t="str">
        <f t="shared" si="92"/>
        <v xml:space="preserve">-LAYER L Continuous
V-NODE-MRKG  </v>
      </c>
      <c r="Q746" s="11" t="str">
        <f t="shared" si="93"/>
        <v xml:space="preserve">-LAYER LW Default
V-NODE-MRKG  </v>
      </c>
      <c r="R746" s="11" t="str">
        <f t="shared" si="94"/>
        <v xml:space="preserve">-LAYER TR 0
V-NODE-MRKG  </v>
      </c>
      <c r="S746" s="11" t="str">
        <f t="shared" si="95"/>
        <v xml:space="preserve">-LAYER D Topografía / Cartografía - Nodo: Marcas en el pavimento (franjas amarillas/blancas)
V-NODE-MRKG  </v>
      </c>
    </row>
    <row r="747" spans="1:19" x14ac:dyDescent="0.45">
      <c r="A747" s="7">
        <v>0</v>
      </c>
      <c r="B747" s="11" t="s">
        <v>3672</v>
      </c>
      <c r="C747" s="11" t="s">
        <v>51</v>
      </c>
      <c r="D747" s="11" t="s">
        <v>2840</v>
      </c>
      <c r="E747" s="11" t="str">
        <f t="shared" si="88"/>
        <v>V-NODE-NGAS (Topografía / Cartografía - Nodo: Línea de gas natural)</v>
      </c>
      <c r="F747" s="19" t="s">
        <v>3798</v>
      </c>
      <c r="G747" s="19" t="s">
        <v>3797</v>
      </c>
      <c r="H747" s="19" t="s">
        <v>3811</v>
      </c>
      <c r="I747" s="10">
        <v>0</v>
      </c>
      <c r="J747" s="10" t="str">
        <f t="shared" si="89"/>
        <v>Topografía / Cartografía - Nodo: Línea de gas natural</v>
      </c>
      <c r="K747" s="11" t="s">
        <v>2770</v>
      </c>
      <c r="L747" s="11" t="s">
        <v>50</v>
      </c>
      <c r="M747" s="11" t="s">
        <v>2603</v>
      </c>
      <c r="N747" s="18" t="str">
        <f t="shared" si="90"/>
        <v xml:space="preserve">-LAYER N V-NODE-NGAS </v>
      </c>
      <c r="O747" s="11" t="str">
        <f t="shared" si="91"/>
        <v xml:space="preserve">-LAYER C white V-NODE-NGAS </v>
      </c>
      <c r="P747" s="11" t="str">
        <f t="shared" si="92"/>
        <v xml:space="preserve">-LAYER L Continuous
V-NODE-NGAS  </v>
      </c>
      <c r="Q747" s="11" t="str">
        <f t="shared" si="93"/>
        <v xml:space="preserve">-LAYER LW Default
V-NODE-NGAS  </v>
      </c>
      <c r="R747" s="11" t="str">
        <f t="shared" si="94"/>
        <v xml:space="preserve">-LAYER TR 0
V-NODE-NGAS  </v>
      </c>
      <c r="S747" s="11" t="str">
        <f t="shared" si="95"/>
        <v xml:space="preserve">-LAYER D Topografía / Cartografía - Nodo: Línea de gas natural
V-NODE-NGAS  </v>
      </c>
    </row>
    <row r="748" spans="1:19" x14ac:dyDescent="0.45">
      <c r="A748" s="7">
        <v>0</v>
      </c>
      <c r="B748" s="11" t="s">
        <v>3673</v>
      </c>
      <c r="C748" s="11" t="s">
        <v>51</v>
      </c>
      <c r="D748" s="11" t="s">
        <v>2841</v>
      </c>
      <c r="E748" s="11" t="str">
        <f t="shared" si="88"/>
        <v>V-NODE-PASP (Topografía / Cartografía - Nodo: Atributos de número de punto para puntos topográficos)</v>
      </c>
      <c r="F748" s="19" t="s">
        <v>3798</v>
      </c>
      <c r="G748" s="19" t="s">
        <v>3797</v>
      </c>
      <c r="H748" s="19" t="s">
        <v>3811</v>
      </c>
      <c r="I748" s="10">
        <v>0</v>
      </c>
      <c r="J748" s="10" t="str">
        <f t="shared" si="89"/>
        <v>Topografía / Cartografía - Nodo: Atributos de número de punto para puntos topográficos</v>
      </c>
      <c r="K748" s="11" t="s">
        <v>2604</v>
      </c>
      <c r="L748" s="11" t="s">
        <v>50</v>
      </c>
      <c r="M748" s="11" t="s">
        <v>2771</v>
      </c>
      <c r="N748" s="18" t="str">
        <f t="shared" si="90"/>
        <v xml:space="preserve">-LAYER N V-NODE-PASP </v>
      </c>
      <c r="O748" s="11" t="str">
        <f t="shared" si="91"/>
        <v xml:space="preserve">-LAYER C white V-NODE-PASP </v>
      </c>
      <c r="P748" s="11" t="str">
        <f t="shared" si="92"/>
        <v xml:space="preserve">-LAYER L Continuous
V-NODE-PASP  </v>
      </c>
      <c r="Q748" s="11" t="str">
        <f t="shared" si="93"/>
        <v xml:space="preserve">-LAYER LW Default
V-NODE-PASP  </v>
      </c>
      <c r="R748" s="11" t="str">
        <f t="shared" si="94"/>
        <v xml:space="preserve">-LAYER TR 0
V-NODE-PASP  </v>
      </c>
      <c r="S748" s="11" t="str">
        <f t="shared" si="95"/>
        <v xml:space="preserve">-LAYER D Topografía / Cartografía - Nodo: Atributos de número de punto para puntos topográficos
V-NODE-PASP  </v>
      </c>
    </row>
    <row r="749" spans="1:19" x14ac:dyDescent="0.45">
      <c r="A749" s="7">
        <v>0</v>
      </c>
      <c r="B749" s="11" t="s">
        <v>3674</v>
      </c>
      <c r="C749" s="11" t="s">
        <v>51</v>
      </c>
      <c r="D749" s="11" t="s">
        <v>2842</v>
      </c>
      <c r="E749" s="11" t="str">
        <f t="shared" si="88"/>
        <v>V-NODE-PIPE (Topografía / Cartografía - Nodo: Tuberías (alcantarillas de acceso vehicular/carretera))</v>
      </c>
      <c r="F749" s="19" t="s">
        <v>3798</v>
      </c>
      <c r="G749" s="19" t="s">
        <v>3797</v>
      </c>
      <c r="H749" s="19" t="s">
        <v>3811</v>
      </c>
      <c r="I749" s="10">
        <v>0</v>
      </c>
      <c r="J749" s="10" t="str">
        <f t="shared" si="89"/>
        <v>Topografía / Cartografía - Nodo: Tuberías (alcantarillas de acceso vehicular/carretera)</v>
      </c>
      <c r="K749" s="11" t="s">
        <v>2772</v>
      </c>
      <c r="L749" s="11" t="s">
        <v>50</v>
      </c>
      <c r="M749" s="11" t="s">
        <v>2605</v>
      </c>
      <c r="N749" s="18" t="str">
        <f t="shared" si="90"/>
        <v xml:space="preserve">-LAYER N V-NODE-PIPE </v>
      </c>
      <c r="O749" s="11" t="str">
        <f t="shared" si="91"/>
        <v xml:space="preserve">-LAYER C white V-NODE-PIPE </v>
      </c>
      <c r="P749" s="11" t="str">
        <f t="shared" si="92"/>
        <v xml:space="preserve">-LAYER L Continuous
V-NODE-PIPE  </v>
      </c>
      <c r="Q749" s="11" t="str">
        <f t="shared" si="93"/>
        <v xml:space="preserve">-LAYER LW Default
V-NODE-PIPE  </v>
      </c>
      <c r="R749" s="11" t="str">
        <f t="shared" si="94"/>
        <v xml:space="preserve">-LAYER TR 0
V-NODE-PIPE  </v>
      </c>
      <c r="S749" s="11" t="str">
        <f t="shared" si="95"/>
        <v xml:space="preserve">-LAYER D Topografía / Cartografía - Nodo: Tuberías (alcantarillas de acceso vehicular/carretera)
V-NODE-PIPE  </v>
      </c>
    </row>
    <row r="750" spans="1:19" x14ac:dyDescent="0.45">
      <c r="A750" s="7">
        <v>0</v>
      </c>
      <c r="B750" s="11" t="s">
        <v>3675</v>
      </c>
      <c r="C750" s="11" t="s">
        <v>51</v>
      </c>
      <c r="D750" s="11" t="s">
        <v>2843</v>
      </c>
      <c r="E750" s="11" t="str">
        <f t="shared" si="88"/>
        <v>V-NODE-POLE (Topografía / Cartografía - Nodo: Poste (eléctrico, telefónico, etc.))</v>
      </c>
      <c r="F750" s="19" t="s">
        <v>3798</v>
      </c>
      <c r="G750" s="19" t="s">
        <v>3797</v>
      </c>
      <c r="H750" s="19" t="s">
        <v>3811</v>
      </c>
      <c r="I750" s="10">
        <v>0</v>
      </c>
      <c r="J750" s="10" t="str">
        <f t="shared" si="89"/>
        <v>Topografía / Cartografía - Nodo: Poste (eléctrico, telefónico, etc.)</v>
      </c>
      <c r="K750" s="11" t="s">
        <v>2606</v>
      </c>
      <c r="L750" s="11" t="s">
        <v>50</v>
      </c>
      <c r="M750" s="11" t="s">
        <v>2607</v>
      </c>
      <c r="N750" s="18" t="str">
        <f t="shared" si="90"/>
        <v xml:space="preserve">-LAYER N V-NODE-POLE </v>
      </c>
      <c r="O750" s="11" t="str">
        <f t="shared" si="91"/>
        <v xml:space="preserve">-LAYER C white V-NODE-POLE </v>
      </c>
      <c r="P750" s="11" t="str">
        <f t="shared" si="92"/>
        <v xml:space="preserve">-LAYER L Continuous
V-NODE-POLE  </v>
      </c>
      <c r="Q750" s="11" t="str">
        <f t="shared" si="93"/>
        <v xml:space="preserve">-LAYER LW Default
V-NODE-POLE  </v>
      </c>
      <c r="R750" s="11" t="str">
        <f t="shared" si="94"/>
        <v xml:space="preserve">-LAYER TR 0
V-NODE-POLE  </v>
      </c>
      <c r="S750" s="11" t="str">
        <f t="shared" si="95"/>
        <v xml:space="preserve">-LAYER D Topografía / Cartografía - Nodo: Poste (eléctrico, telefónico, etc.)
V-NODE-POLE  </v>
      </c>
    </row>
    <row r="751" spans="1:19" x14ac:dyDescent="0.45">
      <c r="A751" s="7">
        <v>0</v>
      </c>
      <c r="B751" s="11" t="s">
        <v>3676</v>
      </c>
      <c r="C751" s="11" t="s">
        <v>51</v>
      </c>
      <c r="D751" s="11" t="s">
        <v>2844</v>
      </c>
      <c r="E751" s="11" t="str">
        <f t="shared" si="88"/>
        <v>V-NODE-PVMT (Topografía / Cartografía - Nodo: Pavimento)</v>
      </c>
      <c r="F751" s="19" t="s">
        <v>3798</v>
      </c>
      <c r="G751" s="19" t="s">
        <v>3797</v>
      </c>
      <c r="H751" s="19" t="s">
        <v>3811</v>
      </c>
      <c r="I751" s="10">
        <v>0</v>
      </c>
      <c r="J751" s="10" t="str">
        <f t="shared" si="89"/>
        <v>Topografía / Cartografía - Nodo: Pavimento</v>
      </c>
      <c r="K751" s="11" t="s">
        <v>2608</v>
      </c>
      <c r="L751" s="11" t="s">
        <v>50</v>
      </c>
      <c r="M751" s="11" t="s">
        <v>2609</v>
      </c>
      <c r="N751" s="18" t="str">
        <f t="shared" si="90"/>
        <v xml:space="preserve">-LAYER N V-NODE-PVMT </v>
      </c>
      <c r="O751" s="11" t="str">
        <f t="shared" si="91"/>
        <v xml:space="preserve">-LAYER C white V-NODE-PVMT </v>
      </c>
      <c r="P751" s="11" t="str">
        <f t="shared" si="92"/>
        <v xml:space="preserve">-LAYER L Continuous
V-NODE-PVMT  </v>
      </c>
      <c r="Q751" s="11" t="str">
        <f t="shared" si="93"/>
        <v xml:space="preserve">-LAYER LW Default
V-NODE-PVMT  </v>
      </c>
      <c r="R751" s="11" t="str">
        <f t="shared" si="94"/>
        <v xml:space="preserve">-LAYER TR 0
V-NODE-PVMT  </v>
      </c>
      <c r="S751" s="11" t="str">
        <f t="shared" si="95"/>
        <v xml:space="preserve">-LAYER D Topografía / Cartografía - Nodo: Pavimento
V-NODE-PVMT  </v>
      </c>
    </row>
    <row r="752" spans="1:19" x14ac:dyDescent="0.45">
      <c r="A752" s="7">
        <v>0</v>
      </c>
      <c r="B752" s="11" t="s">
        <v>3677</v>
      </c>
      <c r="C752" s="11" t="s">
        <v>51</v>
      </c>
      <c r="D752" s="11" t="s">
        <v>2845</v>
      </c>
      <c r="E752" s="11" t="str">
        <f t="shared" si="88"/>
        <v>V-NODE-SIGN (Topografía / Cartografía - Nodo: Señalización)</v>
      </c>
      <c r="F752" s="19" t="s">
        <v>3798</v>
      </c>
      <c r="G752" s="19" t="s">
        <v>3797</v>
      </c>
      <c r="H752" s="19" t="s">
        <v>3811</v>
      </c>
      <c r="I752" s="10">
        <v>0</v>
      </c>
      <c r="J752" s="10" t="str">
        <f t="shared" si="89"/>
        <v>Topografía / Cartografía - Nodo: Señalización</v>
      </c>
      <c r="K752" s="11" t="s">
        <v>2610</v>
      </c>
      <c r="L752" s="11" t="s">
        <v>50</v>
      </c>
      <c r="M752" s="11" t="s">
        <v>2611</v>
      </c>
      <c r="N752" s="18" t="str">
        <f t="shared" si="90"/>
        <v xml:space="preserve">-LAYER N V-NODE-SIGN </v>
      </c>
      <c r="O752" s="11" t="str">
        <f t="shared" si="91"/>
        <v xml:space="preserve">-LAYER C white V-NODE-SIGN </v>
      </c>
      <c r="P752" s="11" t="str">
        <f t="shared" si="92"/>
        <v xml:space="preserve">-LAYER L Continuous
V-NODE-SIGN  </v>
      </c>
      <c r="Q752" s="11" t="str">
        <f t="shared" si="93"/>
        <v xml:space="preserve">-LAYER LW Default
V-NODE-SIGN  </v>
      </c>
      <c r="R752" s="11" t="str">
        <f t="shared" si="94"/>
        <v xml:space="preserve">-LAYER TR 0
V-NODE-SIGN  </v>
      </c>
      <c r="S752" s="11" t="str">
        <f t="shared" si="95"/>
        <v xml:space="preserve">-LAYER D Topografía / Cartografía - Nodo: Señalización
V-NODE-SIGN  </v>
      </c>
    </row>
    <row r="753" spans="1:19" x14ac:dyDescent="0.45">
      <c r="A753" s="7">
        <v>0</v>
      </c>
      <c r="B753" s="11" t="s">
        <v>3678</v>
      </c>
      <c r="C753" s="11" t="s">
        <v>51</v>
      </c>
      <c r="D753" s="11" t="s">
        <v>2846</v>
      </c>
      <c r="E753" s="11" t="str">
        <f t="shared" si="88"/>
        <v>V-NODE-SSWR (Topografía / Cartografía - Nodo: Alcantarillado sanitario)</v>
      </c>
      <c r="F753" s="19" t="s">
        <v>3798</v>
      </c>
      <c r="G753" s="19" t="s">
        <v>3797</v>
      </c>
      <c r="H753" s="19" t="s">
        <v>3811</v>
      </c>
      <c r="I753" s="10">
        <v>0</v>
      </c>
      <c r="J753" s="10" t="str">
        <f t="shared" si="89"/>
        <v>Topografía / Cartografía - Nodo: Alcantarillado sanitario</v>
      </c>
      <c r="K753" s="11" t="s">
        <v>2612</v>
      </c>
      <c r="L753" s="11" t="s">
        <v>50</v>
      </c>
      <c r="M753" s="11" t="s">
        <v>2613</v>
      </c>
      <c r="N753" s="18" t="str">
        <f t="shared" si="90"/>
        <v xml:space="preserve">-LAYER N V-NODE-SSWR </v>
      </c>
      <c r="O753" s="11" t="str">
        <f t="shared" si="91"/>
        <v xml:space="preserve">-LAYER C white V-NODE-SSWR </v>
      </c>
      <c r="P753" s="11" t="str">
        <f t="shared" si="92"/>
        <v xml:space="preserve">-LAYER L Continuous
V-NODE-SSWR  </v>
      </c>
      <c r="Q753" s="11" t="str">
        <f t="shared" si="93"/>
        <v xml:space="preserve">-LAYER LW Default
V-NODE-SSWR  </v>
      </c>
      <c r="R753" s="11" t="str">
        <f t="shared" si="94"/>
        <v xml:space="preserve">-LAYER TR 0
V-NODE-SSWR  </v>
      </c>
      <c r="S753" s="11" t="str">
        <f t="shared" si="95"/>
        <v xml:space="preserve">-LAYER D Topografía / Cartografía - Nodo: Alcantarillado sanitario
V-NODE-SSWR  </v>
      </c>
    </row>
    <row r="754" spans="1:19" x14ac:dyDescent="0.45">
      <c r="A754" s="7">
        <v>0</v>
      </c>
      <c r="B754" s="11" t="s">
        <v>3679</v>
      </c>
      <c r="C754" s="11" t="s">
        <v>51</v>
      </c>
      <c r="D754" s="11" t="s">
        <v>2847</v>
      </c>
      <c r="E754" s="11" t="str">
        <f t="shared" si="88"/>
        <v>V-NODE-STRM (Topografía / Cartografía - Nodo: Alcantarillado pluvial)</v>
      </c>
      <c r="F754" s="19" t="s">
        <v>3798</v>
      </c>
      <c r="G754" s="19" t="s">
        <v>3797</v>
      </c>
      <c r="H754" s="19" t="s">
        <v>3811</v>
      </c>
      <c r="I754" s="10">
        <v>0</v>
      </c>
      <c r="J754" s="10" t="str">
        <f t="shared" si="89"/>
        <v>Topografía / Cartografía - Nodo: Alcantarillado pluvial</v>
      </c>
      <c r="K754" s="11" t="s">
        <v>2614</v>
      </c>
      <c r="L754" s="11" t="s">
        <v>50</v>
      </c>
      <c r="M754" s="11" t="s">
        <v>2615</v>
      </c>
      <c r="N754" s="18" t="str">
        <f t="shared" si="90"/>
        <v xml:space="preserve">-LAYER N V-NODE-STRM </v>
      </c>
      <c r="O754" s="11" t="str">
        <f t="shared" si="91"/>
        <v xml:space="preserve">-LAYER C white V-NODE-STRM </v>
      </c>
      <c r="P754" s="11" t="str">
        <f t="shared" si="92"/>
        <v xml:space="preserve">-LAYER L Continuous
V-NODE-STRM  </v>
      </c>
      <c r="Q754" s="11" t="str">
        <f t="shared" si="93"/>
        <v xml:space="preserve">-LAYER LW Default
V-NODE-STRM  </v>
      </c>
      <c r="R754" s="11" t="str">
        <f t="shared" si="94"/>
        <v xml:space="preserve">-LAYER TR 0
V-NODE-STRM  </v>
      </c>
      <c r="S754" s="11" t="str">
        <f t="shared" si="95"/>
        <v xml:space="preserve">-LAYER D Topografía / Cartografía - Nodo: Alcantarillado pluvial
V-NODE-STRM  </v>
      </c>
    </row>
    <row r="755" spans="1:19" x14ac:dyDescent="0.45">
      <c r="A755" s="7">
        <v>0</v>
      </c>
      <c r="B755" s="11" t="s">
        <v>3680</v>
      </c>
      <c r="C755" s="11" t="s">
        <v>51</v>
      </c>
      <c r="D755" s="11" t="s">
        <v>2848</v>
      </c>
      <c r="E755" s="11" t="str">
        <f t="shared" si="88"/>
        <v>V-NODE-SWLK (Topografía / Cartografía - Nodo: Aceras)</v>
      </c>
      <c r="F755" s="19" t="s">
        <v>3798</v>
      </c>
      <c r="G755" s="19" t="s">
        <v>3797</v>
      </c>
      <c r="H755" s="19" t="s">
        <v>3811</v>
      </c>
      <c r="I755" s="10">
        <v>0</v>
      </c>
      <c r="J755" s="10" t="str">
        <f t="shared" si="89"/>
        <v>Topografía / Cartografía - Nodo: Aceras</v>
      </c>
      <c r="K755" s="11" t="s">
        <v>2616</v>
      </c>
      <c r="L755" s="11" t="s">
        <v>50</v>
      </c>
      <c r="M755" s="11" t="s">
        <v>2617</v>
      </c>
      <c r="N755" s="18" t="str">
        <f t="shared" si="90"/>
        <v xml:space="preserve">-LAYER N V-NODE-SWLK </v>
      </c>
      <c r="O755" s="11" t="str">
        <f t="shared" si="91"/>
        <v xml:space="preserve">-LAYER C white V-NODE-SWLK </v>
      </c>
      <c r="P755" s="11" t="str">
        <f t="shared" si="92"/>
        <v xml:space="preserve">-LAYER L Continuous
V-NODE-SWLK  </v>
      </c>
      <c r="Q755" s="11" t="str">
        <f t="shared" si="93"/>
        <v xml:space="preserve">-LAYER LW Default
V-NODE-SWLK  </v>
      </c>
      <c r="R755" s="11" t="str">
        <f t="shared" si="94"/>
        <v xml:space="preserve">-LAYER TR 0
V-NODE-SWLK  </v>
      </c>
      <c r="S755" s="11" t="str">
        <f t="shared" si="95"/>
        <v xml:space="preserve">-LAYER D Topografía / Cartografía - Nodo: Aceras
V-NODE-SWLK  </v>
      </c>
    </row>
    <row r="756" spans="1:19" x14ac:dyDescent="0.45">
      <c r="A756" s="7">
        <v>0</v>
      </c>
      <c r="B756" s="11" t="s">
        <v>3681</v>
      </c>
      <c r="C756" s="11" t="s">
        <v>51</v>
      </c>
      <c r="D756" s="11" t="s">
        <v>2849</v>
      </c>
      <c r="E756" s="11" t="str">
        <f t="shared" si="88"/>
        <v>V-NODE-TREE (Topografía / Cartografía - Nodo: Árbol)</v>
      </c>
      <c r="F756" s="19" t="s">
        <v>3798</v>
      </c>
      <c r="G756" s="19" t="s">
        <v>3797</v>
      </c>
      <c r="H756" s="19" t="s">
        <v>3811</v>
      </c>
      <c r="I756" s="10">
        <v>0</v>
      </c>
      <c r="J756" s="10" t="str">
        <f t="shared" si="89"/>
        <v>Topografía / Cartografía - Nodo: Árbol</v>
      </c>
      <c r="K756" s="11" t="s">
        <v>2618</v>
      </c>
      <c r="L756" s="11" t="s">
        <v>50</v>
      </c>
      <c r="M756" s="11" t="s">
        <v>2619</v>
      </c>
      <c r="N756" s="18" t="str">
        <f t="shared" si="90"/>
        <v xml:space="preserve">-LAYER N V-NODE-TREE </v>
      </c>
      <c r="O756" s="11" t="str">
        <f t="shared" si="91"/>
        <v xml:space="preserve">-LAYER C white V-NODE-TREE </v>
      </c>
      <c r="P756" s="11" t="str">
        <f t="shared" si="92"/>
        <v xml:space="preserve">-LAYER L Continuous
V-NODE-TREE  </v>
      </c>
      <c r="Q756" s="11" t="str">
        <f t="shared" si="93"/>
        <v xml:space="preserve">-LAYER LW Default
V-NODE-TREE  </v>
      </c>
      <c r="R756" s="11" t="str">
        <f t="shared" si="94"/>
        <v xml:space="preserve">-LAYER TR 0
V-NODE-TREE  </v>
      </c>
      <c r="S756" s="11" t="str">
        <f t="shared" si="95"/>
        <v xml:space="preserve">-LAYER D Topografía / Cartografía - Nodo: Árbol
V-NODE-TREE  </v>
      </c>
    </row>
    <row r="757" spans="1:19" x14ac:dyDescent="0.45">
      <c r="A757" s="7">
        <v>0</v>
      </c>
      <c r="B757" s="11" t="s">
        <v>3682</v>
      </c>
      <c r="C757" s="11" t="s">
        <v>51</v>
      </c>
      <c r="D757" s="11" t="s">
        <v>2850</v>
      </c>
      <c r="E757" s="11" t="str">
        <f t="shared" si="88"/>
        <v>V-NODE-TROW (Topografía / Cartografía - Nodo: Hilera de árboles)</v>
      </c>
      <c r="F757" s="19" t="s">
        <v>3798</v>
      </c>
      <c r="G757" s="19" t="s">
        <v>3797</v>
      </c>
      <c r="H757" s="19" t="s">
        <v>3811</v>
      </c>
      <c r="I757" s="10">
        <v>0</v>
      </c>
      <c r="J757" s="10" t="str">
        <f t="shared" si="89"/>
        <v>Topografía / Cartografía - Nodo: Hilera de árboles</v>
      </c>
      <c r="K757" s="11" t="s">
        <v>2620</v>
      </c>
      <c r="L757" s="11" t="s">
        <v>50</v>
      </c>
      <c r="M757" s="11" t="s">
        <v>2621</v>
      </c>
      <c r="N757" s="18" t="str">
        <f t="shared" si="90"/>
        <v xml:space="preserve">-LAYER N V-NODE-TROW </v>
      </c>
      <c r="O757" s="11" t="str">
        <f t="shared" si="91"/>
        <v xml:space="preserve">-LAYER C white V-NODE-TROW </v>
      </c>
      <c r="P757" s="11" t="str">
        <f t="shared" si="92"/>
        <v xml:space="preserve">-LAYER L Continuous
V-NODE-TROW  </v>
      </c>
      <c r="Q757" s="11" t="str">
        <f t="shared" si="93"/>
        <v xml:space="preserve">-LAYER LW Default
V-NODE-TROW  </v>
      </c>
      <c r="R757" s="11" t="str">
        <f t="shared" si="94"/>
        <v xml:space="preserve">-LAYER TR 0
V-NODE-TROW  </v>
      </c>
      <c r="S757" s="11" t="str">
        <f t="shared" si="95"/>
        <v xml:space="preserve">-LAYER D Topografía / Cartografía - Nodo: Hilera de árboles
V-NODE-TROW  </v>
      </c>
    </row>
    <row r="758" spans="1:19" x14ac:dyDescent="0.45">
      <c r="A758" s="7">
        <v>0</v>
      </c>
      <c r="B758" s="11" t="s">
        <v>3683</v>
      </c>
      <c r="C758" s="11" t="s">
        <v>51</v>
      </c>
      <c r="D758" s="11" t="s">
        <v>2851</v>
      </c>
      <c r="E758" s="11" t="str">
        <f t="shared" si="88"/>
        <v>V-NODE-WATR (Topografía / Cartografía - Nodo: Suministro de agua)</v>
      </c>
      <c r="F758" s="19" t="s">
        <v>3798</v>
      </c>
      <c r="G758" s="19" t="s">
        <v>3797</v>
      </c>
      <c r="H758" s="19" t="s">
        <v>3811</v>
      </c>
      <c r="I758" s="10">
        <v>0</v>
      </c>
      <c r="J758" s="10" t="str">
        <f t="shared" si="89"/>
        <v>Topografía / Cartografía - Nodo: Suministro de agua</v>
      </c>
      <c r="K758" s="11" t="s">
        <v>2622</v>
      </c>
      <c r="L758" s="11" t="s">
        <v>50</v>
      </c>
      <c r="M758" s="11" t="s">
        <v>2623</v>
      </c>
      <c r="N758" s="18" t="str">
        <f t="shared" si="90"/>
        <v xml:space="preserve">-LAYER N V-NODE-WATR </v>
      </c>
      <c r="O758" s="11" t="str">
        <f t="shared" si="91"/>
        <v xml:space="preserve">-LAYER C white V-NODE-WATR </v>
      </c>
      <c r="P758" s="11" t="str">
        <f t="shared" si="92"/>
        <v xml:space="preserve">-LAYER L Continuous
V-NODE-WATR  </v>
      </c>
      <c r="Q758" s="11" t="str">
        <f t="shared" si="93"/>
        <v xml:space="preserve">-LAYER LW Default
V-NODE-WATR  </v>
      </c>
      <c r="R758" s="11" t="str">
        <f t="shared" si="94"/>
        <v xml:space="preserve">-LAYER TR 0
V-NODE-WATR  </v>
      </c>
      <c r="S758" s="11" t="str">
        <f t="shared" si="95"/>
        <v xml:space="preserve">-LAYER D Topografía / Cartografía - Nodo: Suministro de agua
V-NODE-WATR  </v>
      </c>
    </row>
    <row r="759" spans="1:19" x14ac:dyDescent="0.45">
      <c r="A759" s="7">
        <v>1</v>
      </c>
      <c r="B759" s="11" t="s">
        <v>3684</v>
      </c>
      <c r="C759" s="11" t="s">
        <v>51</v>
      </c>
      <c r="D759" s="11" t="s">
        <v>527</v>
      </c>
      <c r="E759" s="11" t="str">
        <f t="shared" si="88"/>
        <v>V-POWR (Topografía / Cartografía - Energía)</v>
      </c>
      <c r="F759" s="10" t="s">
        <v>3798</v>
      </c>
      <c r="G759" s="10" t="s">
        <v>3796</v>
      </c>
      <c r="H759" s="10">
        <v>0.15</v>
      </c>
      <c r="I759" s="10">
        <v>0</v>
      </c>
      <c r="J759" s="10" t="str">
        <f t="shared" si="89"/>
        <v>Topografía / Cartografía - Energía</v>
      </c>
      <c r="K759" s="11" t="s">
        <v>2624</v>
      </c>
      <c r="L759" s="11" t="s">
        <v>50</v>
      </c>
      <c r="M759" s="11" t="s">
        <v>526</v>
      </c>
      <c r="N759" s="18" t="str">
        <f t="shared" si="90"/>
        <v xml:space="preserve">-LAYER N V-POWR </v>
      </c>
      <c r="O759" s="11" t="str">
        <f t="shared" si="91"/>
        <v xml:space="preserve">-LAYER C white V-POWR </v>
      </c>
      <c r="P759" s="11" t="str">
        <f t="shared" si="92"/>
        <v xml:space="preserve">-LAYER L DASHED
V-POWR  </v>
      </c>
      <c r="Q759" s="11" t="str">
        <f t="shared" si="93"/>
        <v xml:space="preserve">-LAYER LW 0.15
V-POWR  </v>
      </c>
      <c r="R759" s="11" t="str">
        <f t="shared" si="94"/>
        <v xml:space="preserve">-LAYER TR 0
V-POWR  </v>
      </c>
      <c r="S759" s="11" t="str">
        <f t="shared" si="95"/>
        <v xml:space="preserve">-LAYER D Topografía / Cartografía - Energía
V-POWR  </v>
      </c>
    </row>
    <row r="760" spans="1:19" x14ac:dyDescent="0.45">
      <c r="A760" s="7">
        <v>0</v>
      </c>
      <c r="B760" s="11" t="s">
        <v>3685</v>
      </c>
      <c r="C760" s="11" t="s">
        <v>51</v>
      </c>
      <c r="D760" s="11" t="s">
        <v>2852</v>
      </c>
      <c r="E760" s="11" t="str">
        <f t="shared" si="88"/>
        <v>V-POWR-FENC (Topografía / Cartografía - Energía: Cercas)</v>
      </c>
      <c r="F760" s="19" t="s">
        <v>3798</v>
      </c>
      <c r="G760" s="19" t="s">
        <v>3797</v>
      </c>
      <c r="H760" s="19" t="s">
        <v>3811</v>
      </c>
      <c r="I760" s="10">
        <v>0</v>
      </c>
      <c r="J760" s="10" t="str">
        <f t="shared" si="89"/>
        <v>Topografía / Cartografía - Energía: Cercas</v>
      </c>
      <c r="K760" s="11" t="s">
        <v>2625</v>
      </c>
      <c r="L760" s="11" t="s">
        <v>50</v>
      </c>
      <c r="M760" s="11" t="s">
        <v>1341</v>
      </c>
      <c r="N760" s="18" t="str">
        <f t="shared" si="90"/>
        <v xml:space="preserve">-LAYER N V-POWR-FENC </v>
      </c>
      <c r="O760" s="11" t="str">
        <f t="shared" si="91"/>
        <v xml:space="preserve">-LAYER C white V-POWR-FENC </v>
      </c>
      <c r="P760" s="11" t="str">
        <f t="shared" si="92"/>
        <v xml:space="preserve">-LAYER L Continuous
V-POWR-FENC  </v>
      </c>
      <c r="Q760" s="11" t="str">
        <f t="shared" si="93"/>
        <v xml:space="preserve">-LAYER LW Default
V-POWR-FENC  </v>
      </c>
      <c r="R760" s="11" t="str">
        <f t="shared" si="94"/>
        <v xml:space="preserve">-LAYER TR 0
V-POWR-FENC  </v>
      </c>
      <c r="S760" s="11" t="str">
        <f t="shared" si="95"/>
        <v xml:space="preserve">-LAYER D Topografía / Cartografía - Energía: Cercas
V-POWR-FENC  </v>
      </c>
    </row>
    <row r="761" spans="1:19" x14ac:dyDescent="0.45">
      <c r="A761" s="7">
        <v>0</v>
      </c>
      <c r="B761" s="11" t="s">
        <v>3686</v>
      </c>
      <c r="C761" s="11" t="s">
        <v>51</v>
      </c>
      <c r="D761" s="11" t="s">
        <v>2853</v>
      </c>
      <c r="E761" s="11" t="str">
        <f t="shared" si="88"/>
        <v>V-POWR-INST (Topografía / Cartografía - Energía: Instrumentación (medidores, transformadores))</v>
      </c>
      <c r="F761" s="19" t="s">
        <v>3798</v>
      </c>
      <c r="G761" s="19" t="s">
        <v>3797</v>
      </c>
      <c r="H761" s="19" t="s">
        <v>3811</v>
      </c>
      <c r="I761" s="10">
        <v>0</v>
      </c>
      <c r="J761" s="10" t="str">
        <f t="shared" si="89"/>
        <v>Topografía / Cartografía - Energía: Instrumentación (medidores, transformadores)</v>
      </c>
      <c r="K761" s="11" t="s">
        <v>2626</v>
      </c>
      <c r="L761" s="11" t="s">
        <v>50</v>
      </c>
      <c r="M761" s="11" t="s">
        <v>1344</v>
      </c>
      <c r="N761" s="18" t="str">
        <f t="shared" si="90"/>
        <v xml:space="preserve">-LAYER N V-POWR-INST </v>
      </c>
      <c r="O761" s="11" t="str">
        <f t="shared" si="91"/>
        <v xml:space="preserve">-LAYER C white V-POWR-INST </v>
      </c>
      <c r="P761" s="11" t="str">
        <f t="shared" si="92"/>
        <v xml:space="preserve">-LAYER L Continuous
V-POWR-INST  </v>
      </c>
      <c r="Q761" s="11" t="str">
        <f t="shared" si="93"/>
        <v xml:space="preserve">-LAYER LW Default
V-POWR-INST  </v>
      </c>
      <c r="R761" s="11" t="str">
        <f t="shared" si="94"/>
        <v xml:space="preserve">-LAYER TR 0
V-POWR-INST  </v>
      </c>
      <c r="S761" s="11" t="str">
        <f t="shared" si="95"/>
        <v xml:space="preserve">-LAYER D Topografía / Cartografía - Energía: Instrumentación (medidores, transformadores)
V-POWR-INST  </v>
      </c>
    </row>
    <row r="762" spans="1:19" x14ac:dyDescent="0.45">
      <c r="A762" s="7">
        <v>0</v>
      </c>
      <c r="B762" s="11" t="s">
        <v>3687</v>
      </c>
      <c r="C762" s="11" t="s">
        <v>51</v>
      </c>
      <c r="D762" s="11" t="s">
        <v>2854</v>
      </c>
      <c r="E762" s="11" t="str">
        <f t="shared" si="88"/>
        <v>V-POWR-MHOL (Topografía / Cartografía - Energía: Pozo de registro)</v>
      </c>
      <c r="F762" s="19" t="s">
        <v>3798</v>
      </c>
      <c r="G762" s="19" t="s">
        <v>3797</v>
      </c>
      <c r="H762" s="19" t="s">
        <v>3811</v>
      </c>
      <c r="I762" s="10">
        <v>0</v>
      </c>
      <c r="J762" s="10" t="str">
        <f t="shared" si="89"/>
        <v>Topografía / Cartografía - Energía: Pozo de registro</v>
      </c>
      <c r="K762" s="11" t="s">
        <v>2627</v>
      </c>
      <c r="L762" s="11" t="s">
        <v>50</v>
      </c>
      <c r="M762" s="11" t="s">
        <v>1347</v>
      </c>
      <c r="N762" s="18" t="str">
        <f t="shared" si="90"/>
        <v xml:space="preserve">-LAYER N V-POWR-MHOL </v>
      </c>
      <c r="O762" s="11" t="str">
        <f t="shared" si="91"/>
        <v xml:space="preserve">-LAYER C white V-POWR-MHOL </v>
      </c>
      <c r="P762" s="11" t="str">
        <f t="shared" si="92"/>
        <v xml:space="preserve">-LAYER L Continuous
V-POWR-MHOL  </v>
      </c>
      <c r="Q762" s="11" t="str">
        <f t="shared" si="93"/>
        <v xml:space="preserve">-LAYER LW Default
V-POWR-MHOL  </v>
      </c>
      <c r="R762" s="11" t="str">
        <f t="shared" si="94"/>
        <v xml:space="preserve">-LAYER TR 0
V-POWR-MHOL  </v>
      </c>
      <c r="S762" s="11" t="str">
        <f t="shared" si="95"/>
        <v xml:space="preserve">-LAYER D Topografía / Cartografía - Energía: Pozo de registro
V-POWR-MHOL  </v>
      </c>
    </row>
    <row r="763" spans="1:19" x14ac:dyDescent="0.45">
      <c r="A763" s="7">
        <v>0</v>
      </c>
      <c r="B763" s="11" t="s">
        <v>3688</v>
      </c>
      <c r="C763" s="11" t="s">
        <v>51</v>
      </c>
      <c r="D763" s="11" t="s">
        <v>2855</v>
      </c>
      <c r="E763" s="11" t="str">
        <f t="shared" si="88"/>
        <v>V-POWR-OVHD (Topografía / Cartografía - Energía: Aérea)</v>
      </c>
      <c r="F763" s="19" t="s">
        <v>3798</v>
      </c>
      <c r="G763" s="19" t="s">
        <v>3797</v>
      </c>
      <c r="H763" s="19" t="s">
        <v>3811</v>
      </c>
      <c r="I763" s="10">
        <v>0</v>
      </c>
      <c r="J763" s="10" t="str">
        <f t="shared" si="89"/>
        <v>Topografía / Cartografía - Energía: Aérea</v>
      </c>
      <c r="K763" s="11" t="s">
        <v>2628</v>
      </c>
      <c r="L763" s="11" t="s">
        <v>50</v>
      </c>
      <c r="M763" s="11" t="s">
        <v>1350</v>
      </c>
      <c r="N763" s="18" t="str">
        <f t="shared" si="90"/>
        <v xml:space="preserve">-LAYER N V-POWR-OVHD </v>
      </c>
      <c r="O763" s="11" t="str">
        <f t="shared" si="91"/>
        <v xml:space="preserve">-LAYER C white V-POWR-OVHD </v>
      </c>
      <c r="P763" s="11" t="str">
        <f t="shared" si="92"/>
        <v xml:space="preserve">-LAYER L Continuous
V-POWR-OVHD  </v>
      </c>
      <c r="Q763" s="11" t="str">
        <f t="shared" si="93"/>
        <v xml:space="preserve">-LAYER LW Default
V-POWR-OVHD  </v>
      </c>
      <c r="R763" s="11" t="str">
        <f t="shared" si="94"/>
        <v xml:space="preserve">-LAYER TR 0
V-POWR-OVHD  </v>
      </c>
      <c r="S763" s="11" t="str">
        <f t="shared" si="95"/>
        <v xml:space="preserve">-LAYER D Topografía / Cartografía - Energía: Aérea
V-POWR-OVHD  </v>
      </c>
    </row>
    <row r="764" spans="1:19" x14ac:dyDescent="0.45">
      <c r="A764" s="7">
        <v>0</v>
      </c>
      <c r="B764" s="11" t="s">
        <v>3689</v>
      </c>
      <c r="C764" s="11" t="s">
        <v>51</v>
      </c>
      <c r="D764" s="11" t="s">
        <v>2856</v>
      </c>
      <c r="E764" s="11" t="str">
        <f t="shared" si="88"/>
        <v>V-POWR-POLE (Topografía / Cartografía - Energía: Poste)</v>
      </c>
      <c r="F764" s="19" t="s">
        <v>3798</v>
      </c>
      <c r="G764" s="19" t="s">
        <v>3797</v>
      </c>
      <c r="H764" s="19" t="s">
        <v>3811</v>
      </c>
      <c r="I764" s="10">
        <v>0</v>
      </c>
      <c r="J764" s="10" t="str">
        <f t="shared" si="89"/>
        <v>Topografía / Cartografía - Energía: Poste</v>
      </c>
      <c r="K764" s="11" t="s">
        <v>2629</v>
      </c>
      <c r="L764" s="11" t="s">
        <v>50</v>
      </c>
      <c r="M764" s="11" t="s">
        <v>1353</v>
      </c>
      <c r="N764" s="18" t="str">
        <f t="shared" si="90"/>
        <v xml:space="preserve">-LAYER N V-POWR-POLE </v>
      </c>
      <c r="O764" s="11" t="str">
        <f t="shared" si="91"/>
        <v xml:space="preserve">-LAYER C white V-POWR-POLE </v>
      </c>
      <c r="P764" s="11" t="str">
        <f t="shared" si="92"/>
        <v xml:space="preserve">-LAYER L Continuous
V-POWR-POLE  </v>
      </c>
      <c r="Q764" s="11" t="str">
        <f t="shared" si="93"/>
        <v xml:space="preserve">-LAYER LW Default
V-POWR-POLE  </v>
      </c>
      <c r="R764" s="11" t="str">
        <f t="shared" si="94"/>
        <v xml:space="preserve">-LAYER TR 0
V-POWR-POLE  </v>
      </c>
      <c r="S764" s="11" t="str">
        <f t="shared" si="95"/>
        <v xml:space="preserve">-LAYER D Topografía / Cartografía - Energía: Poste
V-POWR-POLE  </v>
      </c>
    </row>
    <row r="765" spans="1:19" x14ac:dyDescent="0.45">
      <c r="A765" s="7">
        <v>0</v>
      </c>
      <c r="B765" s="11" t="s">
        <v>3690</v>
      </c>
      <c r="C765" s="11" t="s">
        <v>51</v>
      </c>
      <c r="D765" s="11" t="s">
        <v>2857</v>
      </c>
      <c r="E765" s="11" t="str">
        <f t="shared" si="88"/>
        <v>V-POWR-STRC (Topografía / Cartografía - Energía: Estructuras)</v>
      </c>
      <c r="F765" s="19" t="s">
        <v>3798</v>
      </c>
      <c r="G765" s="19" t="s">
        <v>3797</v>
      </c>
      <c r="H765" s="19" t="s">
        <v>3811</v>
      </c>
      <c r="I765" s="10">
        <v>0</v>
      </c>
      <c r="J765" s="10" t="str">
        <f t="shared" si="89"/>
        <v>Topografía / Cartografía - Energía: Estructuras</v>
      </c>
      <c r="K765" s="11" t="s">
        <v>2630</v>
      </c>
      <c r="L765" s="11" t="s">
        <v>50</v>
      </c>
      <c r="M765" s="11" t="s">
        <v>1356</v>
      </c>
      <c r="N765" s="18" t="str">
        <f t="shared" si="90"/>
        <v xml:space="preserve">-LAYER N V-POWR-STRC </v>
      </c>
      <c r="O765" s="11" t="str">
        <f t="shared" si="91"/>
        <v xml:space="preserve">-LAYER C white V-POWR-STRC </v>
      </c>
      <c r="P765" s="11" t="str">
        <f t="shared" si="92"/>
        <v xml:space="preserve">-LAYER L Continuous
V-POWR-STRC  </v>
      </c>
      <c r="Q765" s="11" t="str">
        <f t="shared" si="93"/>
        <v xml:space="preserve">-LAYER LW Default
V-POWR-STRC  </v>
      </c>
      <c r="R765" s="11" t="str">
        <f t="shared" si="94"/>
        <v xml:space="preserve">-LAYER TR 0
V-POWR-STRC  </v>
      </c>
      <c r="S765" s="11" t="str">
        <f t="shared" si="95"/>
        <v xml:space="preserve">-LAYER D Topografía / Cartografía - Energía: Estructuras
V-POWR-STRC  </v>
      </c>
    </row>
    <row r="766" spans="1:19" x14ac:dyDescent="0.45">
      <c r="A766" s="7">
        <v>0</v>
      </c>
      <c r="B766" s="11" t="s">
        <v>3691</v>
      </c>
      <c r="C766" s="11" t="s">
        <v>51</v>
      </c>
      <c r="D766" s="11" t="s">
        <v>2858</v>
      </c>
      <c r="E766" s="11" t="str">
        <f t="shared" si="88"/>
        <v>V-POWR-UGND (Topografía / Cartografía - Energía: Subterráneo)</v>
      </c>
      <c r="F766" s="19" t="s">
        <v>3798</v>
      </c>
      <c r="G766" s="19" t="s">
        <v>3797</v>
      </c>
      <c r="H766" s="19" t="s">
        <v>3811</v>
      </c>
      <c r="I766" s="10">
        <v>0</v>
      </c>
      <c r="J766" s="10" t="str">
        <f t="shared" si="89"/>
        <v>Topografía / Cartografía - Energía: Subterráneo</v>
      </c>
      <c r="K766" s="11" t="s">
        <v>2631</v>
      </c>
      <c r="L766" s="11" t="s">
        <v>50</v>
      </c>
      <c r="M766" s="11" t="s">
        <v>1359</v>
      </c>
      <c r="N766" s="18" t="str">
        <f t="shared" si="90"/>
        <v xml:space="preserve">-LAYER N V-POWR-UGND </v>
      </c>
      <c r="O766" s="11" t="str">
        <f t="shared" si="91"/>
        <v xml:space="preserve">-LAYER C white V-POWR-UGND </v>
      </c>
      <c r="P766" s="11" t="str">
        <f t="shared" si="92"/>
        <v xml:space="preserve">-LAYER L Continuous
V-POWR-UGND  </v>
      </c>
      <c r="Q766" s="11" t="str">
        <f t="shared" si="93"/>
        <v xml:space="preserve">-LAYER LW Default
V-POWR-UGND  </v>
      </c>
      <c r="R766" s="11" t="str">
        <f t="shared" si="94"/>
        <v xml:space="preserve">-LAYER TR 0
V-POWR-UGND  </v>
      </c>
      <c r="S766" s="11" t="str">
        <f t="shared" si="95"/>
        <v xml:space="preserve">-LAYER D Topografía / Cartografía - Energía: Subterráneo
V-POWR-UGND  </v>
      </c>
    </row>
    <row r="767" spans="1:19" x14ac:dyDescent="0.45">
      <c r="A767" s="7">
        <v>1</v>
      </c>
      <c r="B767" s="11" t="s">
        <v>3692</v>
      </c>
      <c r="C767" s="11" t="s">
        <v>51</v>
      </c>
      <c r="D767" s="11" t="s">
        <v>530</v>
      </c>
      <c r="E767" s="11" t="str">
        <f t="shared" si="88"/>
        <v>V-PRKG (Topografía / Cartografía - Estacionamientos)</v>
      </c>
      <c r="F767" s="19" t="s">
        <v>3798</v>
      </c>
      <c r="G767" s="19" t="s">
        <v>3797</v>
      </c>
      <c r="H767" s="19" t="s">
        <v>3811</v>
      </c>
      <c r="I767" s="10">
        <v>0</v>
      </c>
      <c r="J767" s="10" t="str">
        <f t="shared" si="89"/>
        <v>Topografía / Cartografía - Estacionamientos</v>
      </c>
      <c r="K767" s="11" t="s">
        <v>2632</v>
      </c>
      <c r="L767" s="11" t="s">
        <v>50</v>
      </c>
      <c r="M767" s="11" t="s">
        <v>529</v>
      </c>
      <c r="N767" s="18" t="str">
        <f t="shared" si="90"/>
        <v xml:space="preserve">-LAYER N V-PRKG </v>
      </c>
      <c r="O767" s="11" t="str">
        <f t="shared" si="91"/>
        <v xml:space="preserve">-LAYER C white V-PRKG </v>
      </c>
      <c r="P767" s="11" t="str">
        <f t="shared" si="92"/>
        <v xml:space="preserve">-LAYER L Continuous
V-PRKG  </v>
      </c>
      <c r="Q767" s="11" t="str">
        <f t="shared" si="93"/>
        <v xml:space="preserve">-LAYER LW Default
V-PRKG  </v>
      </c>
      <c r="R767" s="11" t="str">
        <f t="shared" si="94"/>
        <v xml:space="preserve">-LAYER TR 0
V-PRKG  </v>
      </c>
      <c r="S767" s="11" t="str">
        <f t="shared" si="95"/>
        <v xml:space="preserve">-LAYER D Topografía / Cartografía - Estacionamientos
V-PRKG  </v>
      </c>
    </row>
    <row r="768" spans="1:19" x14ac:dyDescent="0.45">
      <c r="A768" s="7">
        <v>0</v>
      </c>
      <c r="B768" s="11" t="s">
        <v>3693</v>
      </c>
      <c r="C768" s="11" t="s">
        <v>51</v>
      </c>
      <c r="D768" s="11" t="s">
        <v>1364</v>
      </c>
      <c r="E768" s="11" t="str">
        <f t="shared" si="88"/>
        <v>V-PRKG-ASPH (Topografía / Cartografía - Estacionamientos: asfalto)</v>
      </c>
      <c r="F768" s="19" t="s">
        <v>3798</v>
      </c>
      <c r="G768" s="19" t="s">
        <v>3797</v>
      </c>
      <c r="H768" s="19" t="s">
        <v>3811</v>
      </c>
      <c r="I768" s="10">
        <v>0</v>
      </c>
      <c r="J768" s="10" t="str">
        <f t="shared" si="89"/>
        <v>Topografía / Cartografía - Estacionamientos: asfalto</v>
      </c>
      <c r="K768" s="11" t="s">
        <v>2633</v>
      </c>
      <c r="L768" s="11" t="s">
        <v>50</v>
      </c>
      <c r="M768" s="11" t="s">
        <v>1363</v>
      </c>
      <c r="N768" s="18" t="str">
        <f t="shared" si="90"/>
        <v xml:space="preserve">-LAYER N V-PRKG-ASPH </v>
      </c>
      <c r="O768" s="11" t="str">
        <f t="shared" si="91"/>
        <v xml:space="preserve">-LAYER C white V-PRKG-ASPH </v>
      </c>
      <c r="P768" s="11" t="str">
        <f t="shared" si="92"/>
        <v xml:space="preserve">-LAYER L Continuous
V-PRKG-ASPH  </v>
      </c>
      <c r="Q768" s="11" t="str">
        <f t="shared" si="93"/>
        <v xml:space="preserve">-LAYER LW Default
V-PRKG-ASPH  </v>
      </c>
      <c r="R768" s="11" t="str">
        <f t="shared" si="94"/>
        <v xml:space="preserve">-LAYER TR 0
V-PRKG-ASPH  </v>
      </c>
      <c r="S768" s="11" t="str">
        <f t="shared" si="95"/>
        <v xml:space="preserve">-LAYER D Topografía / Cartografía - Estacionamientos: asfalto
V-PRKG-ASPH  </v>
      </c>
    </row>
    <row r="769" spans="1:19" x14ac:dyDescent="0.45">
      <c r="A769" s="7">
        <v>0</v>
      </c>
      <c r="B769" s="11" t="s">
        <v>3694</v>
      </c>
      <c r="C769" s="11" t="s">
        <v>51</v>
      </c>
      <c r="D769" s="11" t="s">
        <v>2859</v>
      </c>
      <c r="E769" s="11" t="str">
        <f t="shared" si="88"/>
        <v>V-PRKG-CNTR (Topografía / Cartografía - Estacionamientos: centro)</v>
      </c>
      <c r="F769" s="19" t="s">
        <v>3798</v>
      </c>
      <c r="G769" s="19" t="s">
        <v>3797</v>
      </c>
      <c r="H769" s="19" t="s">
        <v>3811</v>
      </c>
      <c r="I769" s="10">
        <v>0</v>
      </c>
      <c r="J769" s="10" t="str">
        <f t="shared" si="89"/>
        <v>Topografía / Cartografía - Estacionamientos: centro</v>
      </c>
      <c r="K769" s="11" t="s">
        <v>2634</v>
      </c>
      <c r="L769" s="11" t="s">
        <v>50</v>
      </c>
      <c r="M769" s="11" t="s">
        <v>2635</v>
      </c>
      <c r="N769" s="18" t="str">
        <f t="shared" si="90"/>
        <v xml:space="preserve">-LAYER N V-PRKG-CNTR </v>
      </c>
      <c r="O769" s="11" t="str">
        <f t="shared" si="91"/>
        <v xml:space="preserve">-LAYER C white V-PRKG-CNTR </v>
      </c>
      <c r="P769" s="11" t="str">
        <f t="shared" si="92"/>
        <v xml:space="preserve">-LAYER L Continuous
V-PRKG-CNTR  </v>
      </c>
      <c r="Q769" s="11" t="str">
        <f t="shared" si="93"/>
        <v xml:space="preserve">-LAYER LW Default
V-PRKG-CNTR  </v>
      </c>
      <c r="R769" s="11" t="str">
        <f t="shared" si="94"/>
        <v xml:space="preserve">-LAYER TR 0
V-PRKG-CNTR  </v>
      </c>
      <c r="S769" s="11" t="str">
        <f t="shared" si="95"/>
        <v xml:space="preserve">-LAYER D Topografía / Cartografía - Estacionamientos: centro
V-PRKG-CNTR  </v>
      </c>
    </row>
    <row r="770" spans="1:19" x14ac:dyDescent="0.45">
      <c r="A770" s="7">
        <v>0</v>
      </c>
      <c r="B770" s="11" t="s">
        <v>3695</v>
      </c>
      <c r="C770" s="11" t="s">
        <v>51</v>
      </c>
      <c r="D770" s="11" t="s">
        <v>1370</v>
      </c>
      <c r="E770" s="11" t="str">
        <f t="shared" si="88"/>
        <v>V-PRKG-CONC (Topografía / Cartografía - Estacionamientos: concreto)</v>
      </c>
      <c r="F770" s="19" t="s">
        <v>3798</v>
      </c>
      <c r="G770" s="19" t="s">
        <v>3797</v>
      </c>
      <c r="H770" s="19" t="s">
        <v>3811</v>
      </c>
      <c r="I770" s="10">
        <v>0</v>
      </c>
      <c r="J770" s="10" t="str">
        <f t="shared" si="89"/>
        <v>Topografía / Cartografía - Estacionamientos: concreto</v>
      </c>
      <c r="K770" s="11" t="s">
        <v>2636</v>
      </c>
      <c r="L770" s="11" t="s">
        <v>50</v>
      </c>
      <c r="M770" s="11" t="s">
        <v>1369</v>
      </c>
      <c r="N770" s="18" t="str">
        <f t="shared" si="90"/>
        <v xml:space="preserve">-LAYER N V-PRKG-CONC </v>
      </c>
      <c r="O770" s="11" t="str">
        <f t="shared" si="91"/>
        <v xml:space="preserve">-LAYER C white V-PRKG-CONC </v>
      </c>
      <c r="P770" s="11" t="str">
        <f t="shared" si="92"/>
        <v xml:space="preserve">-LAYER L Continuous
V-PRKG-CONC  </v>
      </c>
      <c r="Q770" s="11" t="str">
        <f t="shared" si="93"/>
        <v xml:space="preserve">-LAYER LW Default
V-PRKG-CONC  </v>
      </c>
      <c r="R770" s="11" t="str">
        <f t="shared" si="94"/>
        <v xml:space="preserve">-LAYER TR 0
V-PRKG-CONC  </v>
      </c>
      <c r="S770" s="11" t="str">
        <f t="shared" si="95"/>
        <v xml:space="preserve">-LAYER D Topografía / Cartografía - Estacionamientos: concreto
V-PRKG-CONC  </v>
      </c>
    </row>
    <row r="771" spans="1:19" x14ac:dyDescent="0.45">
      <c r="A771" s="7">
        <v>0</v>
      </c>
      <c r="B771" s="11" t="s">
        <v>3696</v>
      </c>
      <c r="C771" s="11" t="s">
        <v>51</v>
      </c>
      <c r="D771" s="11" t="s">
        <v>1373</v>
      </c>
      <c r="E771" s="11" t="str">
        <f t="shared" si="88"/>
        <v>V-PRKG-CURB (Topografía / Cartografía - Estacionamientos: bordillo)</v>
      </c>
      <c r="F771" s="19" t="s">
        <v>3798</v>
      </c>
      <c r="G771" s="19" t="s">
        <v>3797</v>
      </c>
      <c r="H771" s="19" t="s">
        <v>3811</v>
      </c>
      <c r="I771" s="10">
        <v>0</v>
      </c>
      <c r="J771" s="10" t="str">
        <f t="shared" si="89"/>
        <v>Topografía / Cartografía - Estacionamientos: bordillo</v>
      </c>
      <c r="K771" s="11" t="s">
        <v>2637</v>
      </c>
      <c r="L771" s="11" t="s">
        <v>50</v>
      </c>
      <c r="M771" s="11" t="s">
        <v>1372</v>
      </c>
      <c r="N771" s="18" t="str">
        <f t="shared" si="90"/>
        <v xml:space="preserve">-LAYER N V-PRKG-CURB </v>
      </c>
      <c r="O771" s="11" t="str">
        <f t="shared" si="91"/>
        <v xml:space="preserve">-LAYER C white V-PRKG-CURB </v>
      </c>
      <c r="P771" s="11" t="str">
        <f t="shared" si="92"/>
        <v xml:space="preserve">-LAYER L Continuous
V-PRKG-CURB  </v>
      </c>
      <c r="Q771" s="11" t="str">
        <f t="shared" si="93"/>
        <v xml:space="preserve">-LAYER LW Default
V-PRKG-CURB  </v>
      </c>
      <c r="R771" s="11" t="str">
        <f t="shared" si="94"/>
        <v xml:space="preserve">-LAYER TR 0
V-PRKG-CURB  </v>
      </c>
      <c r="S771" s="11" t="str">
        <f t="shared" si="95"/>
        <v xml:space="preserve">-LAYER D Topografía / Cartografía - Estacionamientos: bordillo
V-PRKG-CURB  </v>
      </c>
    </row>
    <row r="772" spans="1:19" x14ac:dyDescent="0.45">
      <c r="A772" s="7">
        <v>0</v>
      </c>
      <c r="B772" s="11" t="s">
        <v>3697</v>
      </c>
      <c r="C772" s="11" t="s">
        <v>51</v>
      </c>
      <c r="D772" s="11" t="s">
        <v>1382</v>
      </c>
      <c r="E772" s="11" t="str">
        <f t="shared" ref="E772:E835" si="96">_xlfn.CONCAT(B772," (",C772," - ",D772,")")</f>
        <v>V-PRKG-DRAN (Topografía / Cartografía - Estacionamientos: indicaciones de pendiente de drenaje)</v>
      </c>
      <c r="F772" s="19" t="s">
        <v>3798</v>
      </c>
      <c r="G772" s="19" t="s">
        <v>3797</v>
      </c>
      <c r="H772" s="19" t="s">
        <v>3811</v>
      </c>
      <c r="I772" s="10">
        <v>0</v>
      </c>
      <c r="J772" s="10" t="str">
        <f t="shared" si="89"/>
        <v>Topografía / Cartografía - Estacionamientos: indicaciones de pendiente de drenaje</v>
      </c>
      <c r="K772" s="11" t="s">
        <v>2638</v>
      </c>
      <c r="L772" s="11" t="s">
        <v>50</v>
      </c>
      <c r="M772" s="11" t="s">
        <v>1381</v>
      </c>
      <c r="N772" s="18" t="str">
        <f t="shared" si="90"/>
        <v xml:space="preserve">-LAYER N V-PRKG-DRAN </v>
      </c>
      <c r="O772" s="11" t="str">
        <f t="shared" si="91"/>
        <v xml:space="preserve">-LAYER C white V-PRKG-DRAN </v>
      </c>
      <c r="P772" s="11" t="str">
        <f t="shared" si="92"/>
        <v xml:space="preserve">-LAYER L Continuous
V-PRKG-DRAN  </v>
      </c>
      <c r="Q772" s="11" t="str">
        <f t="shared" si="93"/>
        <v xml:space="preserve">-LAYER LW Default
V-PRKG-DRAN  </v>
      </c>
      <c r="R772" s="11" t="str">
        <f t="shared" si="94"/>
        <v xml:space="preserve">-LAYER TR 0
V-PRKG-DRAN  </v>
      </c>
      <c r="S772" s="11" t="str">
        <f t="shared" si="95"/>
        <v xml:space="preserve">-LAYER D Topografía / Cartografía - Estacionamientos: indicaciones de pendiente de drenaje
V-PRKG-DRAN  </v>
      </c>
    </row>
    <row r="773" spans="1:19" x14ac:dyDescent="0.45">
      <c r="A773" s="7">
        <v>0</v>
      </c>
      <c r="B773" s="11" t="s">
        <v>3698</v>
      </c>
      <c r="C773" s="11" t="s">
        <v>51</v>
      </c>
      <c r="D773" s="11" t="s">
        <v>1388</v>
      </c>
      <c r="E773" s="11" t="str">
        <f t="shared" si="96"/>
        <v>V-PRKG-FLNE (Topografía / Cartografía - Estacionamientos: carril de incendios)</v>
      </c>
      <c r="F773" s="19" t="s">
        <v>3798</v>
      </c>
      <c r="G773" s="19" t="s">
        <v>3797</v>
      </c>
      <c r="H773" s="19" t="s">
        <v>3811</v>
      </c>
      <c r="I773" s="10">
        <v>0</v>
      </c>
      <c r="J773" s="10" t="str">
        <f t="shared" ref="J773:J836" si="97">_xlfn.CONCAT(C773," - ",D773)</f>
        <v>Topografía / Cartografía - Estacionamientos: carril de incendios</v>
      </c>
      <c r="K773" s="11" t="s">
        <v>2639</v>
      </c>
      <c r="L773" s="11" t="s">
        <v>50</v>
      </c>
      <c r="M773" s="11" t="s">
        <v>1387</v>
      </c>
      <c r="N773" s="18" t="str">
        <f t="shared" ref="N773:N836" si="98">_xlfn.CONCAT("-LAYER N ", B773," ")</f>
        <v xml:space="preserve">-LAYER N V-PRKG-FLNE </v>
      </c>
      <c r="O773" s="11" t="str">
        <f t="shared" ref="O773:O836" si="99">_xlfn.CONCAT("-LAYER C ",F773," ", B773," ")</f>
        <v xml:space="preserve">-LAYER C white V-PRKG-FLNE </v>
      </c>
      <c r="P773" s="11" t="str">
        <f t="shared" ref="P773:P836" si="100">_xlfn.CONCAT("-LAYER L ",G773,CHAR(10), B773,"  ")</f>
        <v xml:space="preserve">-LAYER L Continuous
V-PRKG-FLNE  </v>
      </c>
      <c r="Q773" s="11" t="str">
        <f t="shared" ref="Q773:Q836" si="101">_xlfn.CONCAT("-LAYER LW ",H773,CHAR(10), B773,"  ")</f>
        <v xml:space="preserve">-LAYER LW Default
V-PRKG-FLNE  </v>
      </c>
      <c r="R773" s="11" t="str">
        <f t="shared" ref="R773:R836" si="102">_xlfn.CONCAT("-LAYER TR ",I773,CHAR(10), B773,"  ")</f>
        <v xml:space="preserve">-LAYER TR 0
V-PRKG-FLNE  </v>
      </c>
      <c r="S773" s="11" t="str">
        <f t="shared" ref="S773:S836" si="103">_xlfn.CONCAT("-LAYER D ",J773,CHAR(10), B773,"  ")</f>
        <v xml:space="preserve">-LAYER D Topografía / Cartografía - Estacionamientos: carril de incendios
V-PRKG-FLNE  </v>
      </c>
    </row>
    <row r="774" spans="1:19" x14ac:dyDescent="0.45">
      <c r="A774" s="7">
        <v>0</v>
      </c>
      <c r="B774" s="11" t="s">
        <v>3699</v>
      </c>
      <c r="C774" s="11" t="s">
        <v>51</v>
      </c>
      <c r="D774" s="11" t="s">
        <v>1397</v>
      </c>
      <c r="E774" s="11" t="str">
        <f t="shared" si="96"/>
        <v>V-PRKG-GRVL (Topografía / Cartografía - Estacionamientos: grava)</v>
      </c>
      <c r="F774" s="19" t="s">
        <v>3798</v>
      </c>
      <c r="G774" s="19" t="s">
        <v>3797</v>
      </c>
      <c r="H774" s="19" t="s">
        <v>3811</v>
      </c>
      <c r="I774" s="10">
        <v>0</v>
      </c>
      <c r="J774" s="10" t="str">
        <f t="shared" si="97"/>
        <v>Topografía / Cartografía - Estacionamientos: grava</v>
      </c>
      <c r="K774" s="11" t="s">
        <v>2640</v>
      </c>
      <c r="L774" s="11" t="s">
        <v>50</v>
      </c>
      <c r="M774" s="11" t="s">
        <v>1396</v>
      </c>
      <c r="N774" s="18" t="str">
        <f t="shared" si="98"/>
        <v xml:space="preserve">-LAYER N V-PRKG-GRVL </v>
      </c>
      <c r="O774" s="11" t="str">
        <f t="shared" si="99"/>
        <v xml:space="preserve">-LAYER C white V-PRKG-GRVL </v>
      </c>
      <c r="P774" s="11" t="str">
        <f t="shared" si="100"/>
        <v xml:space="preserve">-LAYER L Continuous
V-PRKG-GRVL  </v>
      </c>
      <c r="Q774" s="11" t="str">
        <f t="shared" si="101"/>
        <v xml:space="preserve">-LAYER LW Default
V-PRKG-GRVL  </v>
      </c>
      <c r="R774" s="11" t="str">
        <f t="shared" si="102"/>
        <v xml:space="preserve">-LAYER TR 0
V-PRKG-GRVL  </v>
      </c>
      <c r="S774" s="11" t="str">
        <f t="shared" si="103"/>
        <v xml:space="preserve">-LAYER D Topografía / Cartografía - Estacionamientos: grava
V-PRKG-GRVL  </v>
      </c>
    </row>
    <row r="775" spans="1:19" x14ac:dyDescent="0.45">
      <c r="A775" s="7">
        <v>0</v>
      </c>
      <c r="B775" s="11" t="s">
        <v>3700</v>
      </c>
      <c r="C775" s="11" t="s">
        <v>51</v>
      </c>
      <c r="D775" s="11" t="s">
        <v>1400</v>
      </c>
      <c r="E775" s="11" t="str">
        <f t="shared" si="96"/>
        <v>V-PRKG-MRKG (Topografía / Cartografía - Estacionamientos: marcas en el pavimento)</v>
      </c>
      <c r="F775" s="19" t="s">
        <v>3798</v>
      </c>
      <c r="G775" s="19" t="s">
        <v>3797</v>
      </c>
      <c r="H775" s="19" t="s">
        <v>3811</v>
      </c>
      <c r="I775" s="10">
        <v>0</v>
      </c>
      <c r="J775" s="10" t="str">
        <f t="shared" si="97"/>
        <v>Topografía / Cartografía - Estacionamientos: marcas en el pavimento</v>
      </c>
      <c r="K775" s="11" t="s">
        <v>2641</v>
      </c>
      <c r="L775" s="11" t="s">
        <v>50</v>
      </c>
      <c r="M775" s="11" t="s">
        <v>1399</v>
      </c>
      <c r="N775" s="18" t="str">
        <f t="shared" si="98"/>
        <v xml:space="preserve">-LAYER N V-PRKG-MRKG </v>
      </c>
      <c r="O775" s="11" t="str">
        <f t="shared" si="99"/>
        <v xml:space="preserve">-LAYER C white V-PRKG-MRKG </v>
      </c>
      <c r="P775" s="11" t="str">
        <f t="shared" si="100"/>
        <v xml:space="preserve">-LAYER L Continuous
V-PRKG-MRKG  </v>
      </c>
      <c r="Q775" s="11" t="str">
        <f t="shared" si="101"/>
        <v xml:space="preserve">-LAYER LW Default
V-PRKG-MRKG  </v>
      </c>
      <c r="R775" s="11" t="str">
        <f t="shared" si="102"/>
        <v xml:space="preserve">-LAYER TR 0
V-PRKG-MRKG  </v>
      </c>
      <c r="S775" s="11" t="str">
        <f t="shared" si="103"/>
        <v xml:space="preserve">-LAYER D Topografía / Cartografía - Estacionamientos: marcas en el pavimento
V-PRKG-MRKG  </v>
      </c>
    </row>
    <row r="776" spans="1:19" x14ac:dyDescent="0.45">
      <c r="A776" s="7">
        <v>0</v>
      </c>
      <c r="B776" s="11" t="s">
        <v>3701</v>
      </c>
      <c r="C776" s="11" t="s">
        <v>51</v>
      </c>
      <c r="D776" s="11" t="s">
        <v>2860</v>
      </c>
      <c r="E776" s="11" t="str">
        <f t="shared" si="96"/>
        <v>V-PRKG-STRP (Topografía / Cartografía - Estacionamientos: líneas)</v>
      </c>
      <c r="F776" s="19" t="s">
        <v>3798</v>
      </c>
      <c r="G776" s="19" t="s">
        <v>3797</v>
      </c>
      <c r="H776" s="19" t="s">
        <v>3811</v>
      </c>
      <c r="I776" s="10">
        <v>0</v>
      </c>
      <c r="J776" s="10" t="str">
        <f t="shared" si="97"/>
        <v>Topografía / Cartografía - Estacionamientos: líneas</v>
      </c>
      <c r="K776" s="11" t="s">
        <v>2642</v>
      </c>
      <c r="L776" s="11" t="s">
        <v>50</v>
      </c>
      <c r="M776" s="11" t="s">
        <v>1405</v>
      </c>
      <c r="N776" s="18" t="str">
        <f t="shared" si="98"/>
        <v xml:space="preserve">-LAYER N V-PRKG-STRP </v>
      </c>
      <c r="O776" s="11" t="str">
        <f t="shared" si="99"/>
        <v xml:space="preserve">-LAYER C white V-PRKG-STRP </v>
      </c>
      <c r="P776" s="11" t="str">
        <f t="shared" si="100"/>
        <v xml:space="preserve">-LAYER L Continuous
V-PRKG-STRP  </v>
      </c>
      <c r="Q776" s="11" t="str">
        <f t="shared" si="101"/>
        <v xml:space="preserve">-LAYER LW Default
V-PRKG-STRP  </v>
      </c>
      <c r="R776" s="11" t="str">
        <f t="shared" si="102"/>
        <v xml:space="preserve">-LAYER TR 0
V-PRKG-STRP  </v>
      </c>
      <c r="S776" s="11" t="str">
        <f t="shared" si="103"/>
        <v xml:space="preserve">-LAYER D Topografía / Cartografía - Estacionamientos: líneas
V-PRKG-STRP  </v>
      </c>
    </row>
    <row r="777" spans="1:19" x14ac:dyDescent="0.45">
      <c r="A777" s="7">
        <v>0</v>
      </c>
      <c r="B777" s="11" t="s">
        <v>3702</v>
      </c>
      <c r="C777" s="11" t="s">
        <v>51</v>
      </c>
      <c r="D777" s="11" t="s">
        <v>1409</v>
      </c>
      <c r="E777" s="11" t="str">
        <f t="shared" si="96"/>
        <v>V-PRKG-UPVD (Topografía / Cartografía - Estacionamientos: superficie sin pavimentar)</v>
      </c>
      <c r="F777" s="19" t="s">
        <v>3798</v>
      </c>
      <c r="G777" s="19" t="s">
        <v>3797</v>
      </c>
      <c r="H777" s="19" t="s">
        <v>3811</v>
      </c>
      <c r="I777" s="10">
        <v>0</v>
      </c>
      <c r="J777" s="10" t="str">
        <f t="shared" si="97"/>
        <v>Topografía / Cartografía - Estacionamientos: superficie sin pavimentar</v>
      </c>
      <c r="K777" s="11" t="s">
        <v>2643</v>
      </c>
      <c r="L777" s="11" t="s">
        <v>50</v>
      </c>
      <c r="M777" s="11" t="s">
        <v>1408</v>
      </c>
      <c r="N777" s="18" t="str">
        <f t="shared" si="98"/>
        <v xml:space="preserve">-LAYER N V-PRKG-UPVD </v>
      </c>
      <c r="O777" s="11" t="str">
        <f t="shared" si="99"/>
        <v xml:space="preserve">-LAYER C white V-PRKG-UPVD </v>
      </c>
      <c r="P777" s="11" t="str">
        <f t="shared" si="100"/>
        <v xml:space="preserve">-LAYER L Continuous
V-PRKG-UPVD  </v>
      </c>
      <c r="Q777" s="11" t="str">
        <f t="shared" si="101"/>
        <v xml:space="preserve">-LAYER LW Default
V-PRKG-UPVD  </v>
      </c>
      <c r="R777" s="11" t="str">
        <f t="shared" si="102"/>
        <v xml:space="preserve">-LAYER TR 0
V-PRKG-UPVD  </v>
      </c>
      <c r="S777" s="11" t="str">
        <f t="shared" si="103"/>
        <v xml:space="preserve">-LAYER D Topografía / Cartografía - Estacionamientos: superficie sin pavimentar
V-PRKG-UPVD  </v>
      </c>
    </row>
    <row r="778" spans="1:19" x14ac:dyDescent="0.45">
      <c r="A778" s="7">
        <v>1</v>
      </c>
      <c r="B778" s="11" t="s">
        <v>3703</v>
      </c>
      <c r="C778" s="11" t="s">
        <v>51</v>
      </c>
      <c r="D778" s="11" t="s">
        <v>539</v>
      </c>
      <c r="E778" s="11" t="str">
        <f t="shared" si="96"/>
        <v>V-PROP (Topografía / Cartografía - Propiedad)</v>
      </c>
      <c r="F778" s="19" t="s">
        <v>3798</v>
      </c>
      <c r="G778" s="19" t="s">
        <v>3797</v>
      </c>
      <c r="H778" s="19" t="s">
        <v>3811</v>
      </c>
      <c r="I778" s="10">
        <v>0</v>
      </c>
      <c r="J778" s="10" t="str">
        <f t="shared" si="97"/>
        <v>Topografía / Cartografía - Propiedad</v>
      </c>
      <c r="K778" s="11" t="s">
        <v>2644</v>
      </c>
      <c r="L778" s="11" t="s">
        <v>50</v>
      </c>
      <c r="M778" s="11" t="s">
        <v>538</v>
      </c>
      <c r="N778" s="18" t="str">
        <f t="shared" si="98"/>
        <v xml:space="preserve">-LAYER N V-PROP </v>
      </c>
      <c r="O778" s="11" t="str">
        <f t="shared" si="99"/>
        <v xml:space="preserve">-LAYER C white V-PROP </v>
      </c>
      <c r="P778" s="11" t="str">
        <f t="shared" si="100"/>
        <v xml:space="preserve">-LAYER L Continuous
V-PROP  </v>
      </c>
      <c r="Q778" s="11" t="str">
        <f t="shared" si="101"/>
        <v xml:space="preserve">-LAYER LW Default
V-PROP  </v>
      </c>
      <c r="R778" s="11" t="str">
        <f t="shared" si="102"/>
        <v xml:space="preserve">-LAYER TR 0
V-PROP  </v>
      </c>
      <c r="S778" s="11" t="str">
        <f t="shared" si="103"/>
        <v xml:space="preserve">-LAYER D Topografía / Cartografía - Propiedad
V-PROP  </v>
      </c>
    </row>
    <row r="779" spans="1:19" x14ac:dyDescent="0.45">
      <c r="A779" s="7">
        <v>0</v>
      </c>
      <c r="B779" s="11" t="s">
        <v>3704</v>
      </c>
      <c r="C779" s="11" t="s">
        <v>51</v>
      </c>
      <c r="D779" s="11" t="s">
        <v>1425</v>
      </c>
      <c r="E779" s="11" t="str">
        <f t="shared" si="96"/>
        <v>V-PROP-LINE (Topografía / Cartografía - Propiedad: líneas)</v>
      </c>
      <c r="F779" s="19" t="s">
        <v>3798</v>
      </c>
      <c r="G779" s="19" t="s">
        <v>3797</v>
      </c>
      <c r="H779" s="19" t="s">
        <v>3811</v>
      </c>
      <c r="I779" s="10">
        <v>0</v>
      </c>
      <c r="J779" s="10" t="str">
        <f t="shared" si="97"/>
        <v>Topografía / Cartografía - Propiedad: líneas</v>
      </c>
      <c r="K779" s="11" t="s">
        <v>2645</v>
      </c>
      <c r="L779" s="11" t="s">
        <v>50</v>
      </c>
      <c r="M779" s="11" t="s">
        <v>1424</v>
      </c>
      <c r="N779" s="18" t="str">
        <f t="shared" si="98"/>
        <v xml:space="preserve">-LAYER N V-PROP-LINE </v>
      </c>
      <c r="O779" s="11" t="str">
        <f t="shared" si="99"/>
        <v xml:space="preserve">-LAYER C white V-PROP-LINE </v>
      </c>
      <c r="P779" s="11" t="str">
        <f t="shared" si="100"/>
        <v xml:space="preserve">-LAYER L Continuous
V-PROP-LINE  </v>
      </c>
      <c r="Q779" s="11" t="str">
        <f t="shared" si="101"/>
        <v xml:space="preserve">-LAYER LW Default
V-PROP-LINE  </v>
      </c>
      <c r="R779" s="11" t="str">
        <f t="shared" si="102"/>
        <v xml:space="preserve">-LAYER TR 0
V-PROP-LINE  </v>
      </c>
      <c r="S779" s="11" t="str">
        <f t="shared" si="103"/>
        <v xml:space="preserve">-LAYER D Topografía / Cartografía - Propiedad: líneas
V-PROP-LINE  </v>
      </c>
    </row>
    <row r="780" spans="1:19" x14ac:dyDescent="0.45">
      <c r="A780" s="7">
        <v>0</v>
      </c>
      <c r="B780" s="11" t="s">
        <v>3705</v>
      </c>
      <c r="C780" s="11" t="s">
        <v>51</v>
      </c>
      <c r="D780" s="11" t="s">
        <v>2861</v>
      </c>
      <c r="E780" s="11" t="str">
        <f t="shared" si="96"/>
        <v>V-PROP-QTRS (Topografía / Cartografía - Propiedad: cuarto de sección)</v>
      </c>
      <c r="F780" s="19" t="s">
        <v>3798</v>
      </c>
      <c r="G780" s="19" t="s">
        <v>3797</v>
      </c>
      <c r="H780" s="19" t="s">
        <v>3811</v>
      </c>
      <c r="I780" s="10">
        <v>0</v>
      </c>
      <c r="J780" s="10" t="str">
        <f t="shared" si="97"/>
        <v>Topografía / Cartografía - Propiedad: cuarto de sección</v>
      </c>
      <c r="K780" s="11" t="s">
        <v>2646</v>
      </c>
      <c r="L780" s="11" t="s">
        <v>50</v>
      </c>
      <c r="M780" s="11" t="s">
        <v>2647</v>
      </c>
      <c r="N780" s="18" t="str">
        <f t="shared" si="98"/>
        <v xml:space="preserve">-LAYER N V-PROP-QTRS </v>
      </c>
      <c r="O780" s="11" t="str">
        <f t="shared" si="99"/>
        <v xml:space="preserve">-LAYER C white V-PROP-QTRS </v>
      </c>
      <c r="P780" s="11" t="str">
        <f t="shared" si="100"/>
        <v xml:space="preserve">-LAYER L Continuous
V-PROP-QTRS  </v>
      </c>
      <c r="Q780" s="11" t="str">
        <f t="shared" si="101"/>
        <v xml:space="preserve">-LAYER LW Default
V-PROP-QTRS  </v>
      </c>
      <c r="R780" s="11" t="str">
        <f t="shared" si="102"/>
        <v xml:space="preserve">-LAYER TR 0
V-PROP-QTRS  </v>
      </c>
      <c r="S780" s="11" t="str">
        <f t="shared" si="103"/>
        <v xml:space="preserve">-LAYER D Topografía / Cartografía - Propiedad: cuarto de sección
V-PROP-QTRS  </v>
      </c>
    </row>
    <row r="781" spans="1:19" x14ac:dyDescent="0.45">
      <c r="A781" s="7">
        <v>0</v>
      </c>
      <c r="B781" s="11" t="s">
        <v>3706</v>
      </c>
      <c r="C781" s="11" t="s">
        <v>51</v>
      </c>
      <c r="D781" s="11" t="s">
        <v>2862</v>
      </c>
      <c r="E781" s="11" t="str">
        <f t="shared" si="96"/>
        <v>V-PROP-RSRV (Topografía / Cartografía - Propiedad: reserva)</v>
      </c>
      <c r="F781" s="19" t="s">
        <v>3798</v>
      </c>
      <c r="G781" s="19" t="s">
        <v>3797</v>
      </c>
      <c r="H781" s="19" t="s">
        <v>3811</v>
      </c>
      <c r="I781" s="10">
        <v>0</v>
      </c>
      <c r="J781" s="10" t="str">
        <f t="shared" si="97"/>
        <v>Topografía / Cartografía - Propiedad: reserva</v>
      </c>
      <c r="K781" s="11" t="s">
        <v>2648</v>
      </c>
      <c r="L781" s="11" t="s">
        <v>50</v>
      </c>
      <c r="M781" s="11" t="s">
        <v>2649</v>
      </c>
      <c r="N781" s="18" t="str">
        <f t="shared" si="98"/>
        <v xml:space="preserve">-LAYER N V-PROP-RSRV </v>
      </c>
      <c r="O781" s="11" t="str">
        <f t="shared" si="99"/>
        <v xml:space="preserve">-LAYER C white V-PROP-RSRV </v>
      </c>
      <c r="P781" s="11" t="str">
        <f t="shared" si="100"/>
        <v xml:space="preserve">-LAYER L Continuous
V-PROP-RSRV  </v>
      </c>
      <c r="Q781" s="11" t="str">
        <f t="shared" si="101"/>
        <v xml:space="preserve">-LAYER LW Default
V-PROP-RSRV  </v>
      </c>
      <c r="R781" s="11" t="str">
        <f t="shared" si="102"/>
        <v xml:space="preserve">-LAYER TR 0
V-PROP-RSRV  </v>
      </c>
      <c r="S781" s="11" t="str">
        <f t="shared" si="103"/>
        <v xml:space="preserve">-LAYER D Topografía / Cartografía - Propiedad: reserva
V-PROP-RSRV  </v>
      </c>
    </row>
    <row r="782" spans="1:19" x14ac:dyDescent="0.45">
      <c r="A782" s="7">
        <v>0</v>
      </c>
      <c r="B782" s="11" t="s">
        <v>3707</v>
      </c>
      <c r="C782" s="11" t="s">
        <v>51</v>
      </c>
      <c r="D782" s="11" t="s">
        <v>1428</v>
      </c>
      <c r="E782" s="11" t="str">
        <f t="shared" si="96"/>
        <v>V-PROP-SBCK (Topografía / Cartografía - Propiedad: líneas de retranqueo)</v>
      </c>
      <c r="F782" s="19" t="s">
        <v>3798</v>
      </c>
      <c r="G782" s="19" t="s">
        <v>3797</v>
      </c>
      <c r="H782" s="19" t="s">
        <v>3811</v>
      </c>
      <c r="I782" s="10">
        <v>0</v>
      </c>
      <c r="J782" s="10" t="str">
        <f t="shared" si="97"/>
        <v>Topografía / Cartografía - Propiedad: líneas de retranqueo</v>
      </c>
      <c r="K782" s="11" t="s">
        <v>2650</v>
      </c>
      <c r="L782" s="11" t="s">
        <v>50</v>
      </c>
      <c r="M782" s="11" t="s">
        <v>1427</v>
      </c>
      <c r="N782" s="18" t="str">
        <f t="shared" si="98"/>
        <v xml:space="preserve">-LAYER N V-PROP-SBCK </v>
      </c>
      <c r="O782" s="11" t="str">
        <f t="shared" si="99"/>
        <v xml:space="preserve">-LAYER C white V-PROP-SBCK </v>
      </c>
      <c r="P782" s="11" t="str">
        <f t="shared" si="100"/>
        <v xml:space="preserve">-LAYER L Continuous
V-PROP-SBCK  </v>
      </c>
      <c r="Q782" s="11" t="str">
        <f t="shared" si="101"/>
        <v xml:space="preserve">-LAYER LW Default
V-PROP-SBCK  </v>
      </c>
      <c r="R782" s="11" t="str">
        <f t="shared" si="102"/>
        <v xml:space="preserve">-LAYER TR 0
V-PROP-SBCK  </v>
      </c>
      <c r="S782" s="11" t="str">
        <f t="shared" si="103"/>
        <v xml:space="preserve">-LAYER D Topografía / Cartografía - Propiedad: líneas de retranqueo
V-PROP-SBCK  </v>
      </c>
    </row>
    <row r="783" spans="1:19" x14ac:dyDescent="0.45">
      <c r="A783" s="7">
        <v>0</v>
      </c>
      <c r="B783" s="11" t="s">
        <v>3708</v>
      </c>
      <c r="C783" s="11" t="s">
        <v>51</v>
      </c>
      <c r="D783" s="11" t="s">
        <v>2863</v>
      </c>
      <c r="E783" s="11" t="str">
        <f t="shared" si="96"/>
        <v>V-PROP-SECT (Topografía / Cartografía - Propiedad: sección)</v>
      </c>
      <c r="F783" s="19" t="s">
        <v>3798</v>
      </c>
      <c r="G783" s="19" t="s">
        <v>3797</v>
      </c>
      <c r="H783" s="19" t="s">
        <v>3811</v>
      </c>
      <c r="I783" s="10">
        <v>0</v>
      </c>
      <c r="J783" s="10" t="str">
        <f t="shared" si="97"/>
        <v>Topografía / Cartografía - Propiedad: sección</v>
      </c>
      <c r="K783" s="11" t="s">
        <v>2651</v>
      </c>
      <c r="L783" s="11" t="s">
        <v>50</v>
      </c>
      <c r="M783" s="11" t="s">
        <v>2652</v>
      </c>
      <c r="N783" s="18" t="str">
        <f t="shared" si="98"/>
        <v xml:space="preserve">-LAYER N V-PROP-SECT </v>
      </c>
      <c r="O783" s="11" t="str">
        <f t="shared" si="99"/>
        <v xml:space="preserve">-LAYER C white V-PROP-SECT </v>
      </c>
      <c r="P783" s="11" t="str">
        <f t="shared" si="100"/>
        <v xml:space="preserve">-LAYER L Continuous
V-PROP-SECT  </v>
      </c>
      <c r="Q783" s="11" t="str">
        <f t="shared" si="101"/>
        <v xml:space="preserve">-LAYER LW Default
V-PROP-SECT  </v>
      </c>
      <c r="R783" s="11" t="str">
        <f t="shared" si="102"/>
        <v xml:space="preserve">-LAYER TR 0
V-PROP-SECT  </v>
      </c>
      <c r="S783" s="11" t="str">
        <f t="shared" si="103"/>
        <v xml:space="preserve">-LAYER D Topografía / Cartografía - Propiedad: sección
V-PROP-SECT  </v>
      </c>
    </row>
    <row r="784" spans="1:19" x14ac:dyDescent="0.45">
      <c r="A784" s="7">
        <v>0</v>
      </c>
      <c r="B784" s="11" t="s">
        <v>3709</v>
      </c>
      <c r="C784" s="11" t="s">
        <v>51</v>
      </c>
      <c r="D784" s="11" t="s">
        <v>2864</v>
      </c>
      <c r="E784" s="11" t="str">
        <f t="shared" si="96"/>
        <v>V-PROP-SUBD (Topografía / Cartografía - Propiedad: líneas de subdivisión (interiores))</v>
      </c>
      <c r="F784" s="19" t="s">
        <v>3798</v>
      </c>
      <c r="G784" s="19" t="s">
        <v>3797</v>
      </c>
      <c r="H784" s="19" t="s">
        <v>3811</v>
      </c>
      <c r="I784" s="10">
        <v>0</v>
      </c>
      <c r="J784" s="10" t="str">
        <f t="shared" si="97"/>
        <v>Topografía / Cartografía - Propiedad: líneas de subdivisión (interiores)</v>
      </c>
      <c r="K784" s="11" t="s">
        <v>2653</v>
      </c>
      <c r="L784" s="11" t="s">
        <v>50</v>
      </c>
      <c r="M784" s="11" t="s">
        <v>2654</v>
      </c>
      <c r="N784" s="18" t="str">
        <f t="shared" si="98"/>
        <v xml:space="preserve">-LAYER N V-PROP-SUBD </v>
      </c>
      <c r="O784" s="11" t="str">
        <f t="shared" si="99"/>
        <v xml:space="preserve">-LAYER C white V-PROP-SUBD </v>
      </c>
      <c r="P784" s="11" t="str">
        <f t="shared" si="100"/>
        <v xml:space="preserve">-LAYER L Continuous
V-PROP-SUBD  </v>
      </c>
      <c r="Q784" s="11" t="str">
        <f t="shared" si="101"/>
        <v xml:space="preserve">-LAYER LW Default
V-PROP-SUBD  </v>
      </c>
      <c r="R784" s="11" t="str">
        <f t="shared" si="102"/>
        <v xml:space="preserve">-LAYER TR 0
V-PROP-SUBD  </v>
      </c>
      <c r="S784" s="11" t="str">
        <f t="shared" si="103"/>
        <v xml:space="preserve">-LAYER D Topografía / Cartografía - Propiedad: líneas de subdivisión (interiores)
V-PROP-SUBD  </v>
      </c>
    </row>
    <row r="785" spans="1:19" x14ac:dyDescent="0.45">
      <c r="A785" s="7">
        <v>0</v>
      </c>
      <c r="B785" s="11" t="s">
        <v>3710</v>
      </c>
      <c r="C785" s="11" t="s">
        <v>51</v>
      </c>
      <c r="D785" s="11" t="s">
        <v>2865</v>
      </c>
      <c r="E785" s="11" t="str">
        <f t="shared" si="96"/>
        <v>V-PROP-SXTS (Topografía / Cartografía - Propiedad: decimosexta sección)</v>
      </c>
      <c r="F785" s="19" t="s">
        <v>3798</v>
      </c>
      <c r="G785" s="19" t="s">
        <v>3797</v>
      </c>
      <c r="H785" s="19" t="s">
        <v>3811</v>
      </c>
      <c r="I785" s="10">
        <v>0</v>
      </c>
      <c r="J785" s="10" t="str">
        <f t="shared" si="97"/>
        <v>Topografía / Cartografía - Propiedad: decimosexta sección</v>
      </c>
      <c r="K785" s="11" t="s">
        <v>2655</v>
      </c>
      <c r="L785" s="11" t="s">
        <v>50</v>
      </c>
      <c r="M785" s="11" t="s">
        <v>2656</v>
      </c>
      <c r="N785" s="18" t="str">
        <f t="shared" si="98"/>
        <v xml:space="preserve">-LAYER N V-PROP-SXTS </v>
      </c>
      <c r="O785" s="11" t="str">
        <f t="shared" si="99"/>
        <v xml:space="preserve">-LAYER C white V-PROP-SXTS </v>
      </c>
      <c r="P785" s="11" t="str">
        <f t="shared" si="100"/>
        <v xml:space="preserve">-LAYER L Continuous
V-PROP-SXTS  </v>
      </c>
      <c r="Q785" s="11" t="str">
        <f t="shared" si="101"/>
        <v xml:space="preserve">-LAYER LW Default
V-PROP-SXTS  </v>
      </c>
      <c r="R785" s="11" t="str">
        <f t="shared" si="102"/>
        <v xml:space="preserve">-LAYER TR 0
V-PROP-SXTS  </v>
      </c>
      <c r="S785" s="11" t="str">
        <f t="shared" si="103"/>
        <v xml:space="preserve">-LAYER D Topografía / Cartografía - Propiedad: decimosexta sección
V-PROP-SXTS  </v>
      </c>
    </row>
    <row r="786" spans="1:19" x14ac:dyDescent="0.45">
      <c r="A786" s="7">
        <v>0</v>
      </c>
      <c r="B786" s="11" t="s">
        <v>3711</v>
      </c>
      <c r="C786" s="11" t="s">
        <v>51</v>
      </c>
      <c r="D786" s="11" t="s">
        <v>551</v>
      </c>
      <c r="E786" s="11" t="str">
        <f t="shared" si="96"/>
        <v>V-PVMT (Topografía / Cartografía - Pavimento)</v>
      </c>
      <c r="F786" s="19" t="s">
        <v>3798</v>
      </c>
      <c r="G786" s="19" t="s">
        <v>3797</v>
      </c>
      <c r="H786" s="19" t="s">
        <v>3811</v>
      </c>
      <c r="I786" s="10">
        <v>0</v>
      </c>
      <c r="J786" s="10" t="str">
        <f t="shared" si="97"/>
        <v>Topografía / Cartografía - Pavimento</v>
      </c>
      <c r="K786" s="11" t="s">
        <v>2657</v>
      </c>
      <c r="L786" s="11" t="s">
        <v>50</v>
      </c>
      <c r="M786" s="11" t="s">
        <v>550</v>
      </c>
      <c r="N786" s="18" t="str">
        <f t="shared" si="98"/>
        <v xml:space="preserve">-LAYER N V-PVMT </v>
      </c>
      <c r="O786" s="11" t="str">
        <f t="shared" si="99"/>
        <v xml:space="preserve">-LAYER C white V-PVMT </v>
      </c>
      <c r="P786" s="11" t="str">
        <f t="shared" si="100"/>
        <v xml:space="preserve">-LAYER L Continuous
V-PVMT  </v>
      </c>
      <c r="Q786" s="11" t="str">
        <f t="shared" si="101"/>
        <v xml:space="preserve">-LAYER LW Default
V-PVMT  </v>
      </c>
      <c r="R786" s="11" t="str">
        <f t="shared" si="102"/>
        <v xml:space="preserve">-LAYER TR 0
V-PVMT  </v>
      </c>
      <c r="S786" s="11" t="str">
        <f t="shared" si="103"/>
        <v xml:space="preserve">-LAYER D Topografía / Cartografía - Pavimento
V-PVMT  </v>
      </c>
    </row>
    <row r="787" spans="1:19" x14ac:dyDescent="0.45">
      <c r="A787" s="7">
        <v>0</v>
      </c>
      <c r="B787" s="11" t="s">
        <v>3712</v>
      </c>
      <c r="C787" s="11" t="s">
        <v>51</v>
      </c>
      <c r="D787" s="11" t="s">
        <v>1432</v>
      </c>
      <c r="E787" s="11" t="str">
        <f t="shared" si="96"/>
        <v>V-PVMT-ASPH (Topografía / Cartografía - Pavimento: asfalto)</v>
      </c>
      <c r="F787" s="19" t="s">
        <v>3798</v>
      </c>
      <c r="G787" s="19" t="s">
        <v>3797</v>
      </c>
      <c r="H787" s="19" t="s">
        <v>3811</v>
      </c>
      <c r="I787" s="10">
        <v>0</v>
      </c>
      <c r="J787" s="10" t="str">
        <f t="shared" si="97"/>
        <v>Topografía / Cartografía - Pavimento: asfalto</v>
      </c>
      <c r="K787" s="11" t="s">
        <v>2658</v>
      </c>
      <c r="L787" s="11" t="s">
        <v>50</v>
      </c>
      <c r="M787" s="11" t="s">
        <v>1431</v>
      </c>
      <c r="N787" s="18" t="str">
        <f t="shared" si="98"/>
        <v xml:space="preserve">-LAYER N V-PVMT-ASPH </v>
      </c>
      <c r="O787" s="11" t="str">
        <f t="shared" si="99"/>
        <v xml:space="preserve">-LAYER C white V-PVMT-ASPH </v>
      </c>
      <c r="P787" s="11" t="str">
        <f t="shared" si="100"/>
        <v xml:space="preserve">-LAYER L Continuous
V-PVMT-ASPH  </v>
      </c>
      <c r="Q787" s="11" t="str">
        <f t="shared" si="101"/>
        <v xml:space="preserve">-LAYER LW Default
V-PVMT-ASPH  </v>
      </c>
      <c r="R787" s="11" t="str">
        <f t="shared" si="102"/>
        <v xml:space="preserve">-LAYER TR 0
V-PVMT-ASPH  </v>
      </c>
      <c r="S787" s="11" t="str">
        <f t="shared" si="103"/>
        <v xml:space="preserve">-LAYER D Topografía / Cartografía - Pavimento: asfalto
V-PVMT-ASPH  </v>
      </c>
    </row>
    <row r="788" spans="1:19" x14ac:dyDescent="0.45">
      <c r="A788" s="7">
        <v>0</v>
      </c>
      <c r="B788" s="11" t="s">
        <v>3713</v>
      </c>
      <c r="C788" s="11" t="s">
        <v>51</v>
      </c>
      <c r="D788" s="11" t="s">
        <v>1435</v>
      </c>
      <c r="E788" s="11" t="str">
        <f t="shared" si="96"/>
        <v>V-PVMT-CONC (Topografía / Cartografía - Pavimento: concreto)</v>
      </c>
      <c r="F788" s="19" t="s">
        <v>3798</v>
      </c>
      <c r="G788" s="19" t="s">
        <v>3797</v>
      </c>
      <c r="H788" s="19" t="s">
        <v>3811</v>
      </c>
      <c r="I788" s="10">
        <v>0</v>
      </c>
      <c r="J788" s="10" t="str">
        <f t="shared" si="97"/>
        <v>Topografía / Cartografía - Pavimento: concreto</v>
      </c>
      <c r="K788" s="11" t="s">
        <v>2659</v>
      </c>
      <c r="L788" s="11" t="s">
        <v>50</v>
      </c>
      <c r="M788" s="11" t="s">
        <v>1434</v>
      </c>
      <c r="N788" s="18" t="str">
        <f t="shared" si="98"/>
        <v xml:space="preserve">-LAYER N V-PVMT-CONC </v>
      </c>
      <c r="O788" s="11" t="str">
        <f t="shared" si="99"/>
        <v xml:space="preserve">-LAYER C white V-PVMT-CONC </v>
      </c>
      <c r="P788" s="11" t="str">
        <f t="shared" si="100"/>
        <v xml:space="preserve">-LAYER L Continuous
V-PVMT-CONC  </v>
      </c>
      <c r="Q788" s="11" t="str">
        <f t="shared" si="101"/>
        <v xml:space="preserve">-LAYER LW Default
V-PVMT-CONC  </v>
      </c>
      <c r="R788" s="11" t="str">
        <f t="shared" si="102"/>
        <v xml:space="preserve">-LAYER TR 0
V-PVMT-CONC  </v>
      </c>
      <c r="S788" s="11" t="str">
        <f t="shared" si="103"/>
        <v xml:space="preserve">-LAYER D Topografía / Cartografía - Pavimento: concreto
V-PVMT-CONC  </v>
      </c>
    </row>
    <row r="789" spans="1:19" x14ac:dyDescent="0.45">
      <c r="A789" s="7">
        <v>0</v>
      </c>
      <c r="B789" s="11" t="s">
        <v>3714</v>
      </c>
      <c r="C789" s="11" t="s">
        <v>51</v>
      </c>
      <c r="D789" s="11" t="s">
        <v>1438</v>
      </c>
      <c r="E789" s="11" t="str">
        <f t="shared" si="96"/>
        <v>V-PVMT-GRVL (Topografía / Cartografía - Pavimento: grava)</v>
      </c>
      <c r="F789" s="19" t="s">
        <v>3798</v>
      </c>
      <c r="G789" s="19" t="s">
        <v>3797</v>
      </c>
      <c r="H789" s="19" t="s">
        <v>3811</v>
      </c>
      <c r="I789" s="10">
        <v>0</v>
      </c>
      <c r="J789" s="10" t="str">
        <f t="shared" si="97"/>
        <v>Topografía / Cartografía - Pavimento: grava</v>
      </c>
      <c r="K789" s="11" t="s">
        <v>2660</v>
      </c>
      <c r="L789" s="11" t="s">
        <v>50</v>
      </c>
      <c r="M789" s="11" t="s">
        <v>1437</v>
      </c>
      <c r="N789" s="18" t="str">
        <f t="shared" si="98"/>
        <v xml:space="preserve">-LAYER N V-PVMT-GRVL </v>
      </c>
      <c r="O789" s="11" t="str">
        <f t="shared" si="99"/>
        <v xml:space="preserve">-LAYER C white V-PVMT-GRVL </v>
      </c>
      <c r="P789" s="11" t="str">
        <f t="shared" si="100"/>
        <v xml:space="preserve">-LAYER L Continuous
V-PVMT-GRVL  </v>
      </c>
      <c r="Q789" s="11" t="str">
        <f t="shared" si="101"/>
        <v xml:space="preserve">-LAYER LW Default
V-PVMT-GRVL  </v>
      </c>
      <c r="R789" s="11" t="str">
        <f t="shared" si="102"/>
        <v xml:space="preserve">-LAYER TR 0
V-PVMT-GRVL  </v>
      </c>
      <c r="S789" s="11" t="str">
        <f t="shared" si="103"/>
        <v xml:space="preserve">-LAYER D Topografía / Cartografía - Pavimento: grava
V-PVMT-GRVL  </v>
      </c>
    </row>
    <row r="790" spans="1:19" x14ac:dyDescent="0.45">
      <c r="A790" s="7">
        <v>0</v>
      </c>
      <c r="B790" s="11" t="s">
        <v>3715</v>
      </c>
      <c r="C790" s="11" t="s">
        <v>51</v>
      </c>
      <c r="D790" s="11" t="s">
        <v>554</v>
      </c>
      <c r="E790" s="11" t="str">
        <f t="shared" si="96"/>
        <v>V-RAIL (Topografía / Cartografía - Ferrocarril)</v>
      </c>
      <c r="F790" s="19" t="s">
        <v>3798</v>
      </c>
      <c r="G790" s="19" t="s">
        <v>3797</v>
      </c>
      <c r="H790" s="19" t="s">
        <v>3811</v>
      </c>
      <c r="I790" s="10">
        <v>0</v>
      </c>
      <c r="J790" s="10" t="str">
        <f t="shared" si="97"/>
        <v>Topografía / Cartografía - Ferrocarril</v>
      </c>
      <c r="K790" s="11" t="s">
        <v>2661</v>
      </c>
      <c r="L790" s="11" t="s">
        <v>50</v>
      </c>
      <c r="M790" s="11" t="s">
        <v>553</v>
      </c>
      <c r="N790" s="18" t="str">
        <f t="shared" si="98"/>
        <v xml:space="preserve">-LAYER N V-RAIL </v>
      </c>
      <c r="O790" s="11" t="str">
        <f t="shared" si="99"/>
        <v xml:space="preserve">-LAYER C white V-RAIL </v>
      </c>
      <c r="P790" s="11" t="str">
        <f t="shared" si="100"/>
        <v xml:space="preserve">-LAYER L Continuous
V-RAIL  </v>
      </c>
      <c r="Q790" s="11" t="str">
        <f t="shared" si="101"/>
        <v xml:space="preserve">-LAYER LW Default
V-RAIL  </v>
      </c>
      <c r="R790" s="11" t="str">
        <f t="shared" si="102"/>
        <v xml:space="preserve">-LAYER TR 0
V-RAIL  </v>
      </c>
      <c r="S790" s="11" t="str">
        <f t="shared" si="103"/>
        <v xml:space="preserve">-LAYER D Topografía / Cartografía - Ferrocarril
V-RAIL  </v>
      </c>
    </row>
    <row r="791" spans="1:19" x14ac:dyDescent="0.45">
      <c r="A791" s="7">
        <v>0</v>
      </c>
      <c r="B791" s="11" t="s">
        <v>3716</v>
      </c>
      <c r="C791" s="11" t="s">
        <v>51</v>
      </c>
      <c r="D791" s="11" t="s">
        <v>1442</v>
      </c>
      <c r="E791" s="11" t="str">
        <f t="shared" si="96"/>
        <v>V-RAIL-CNTR (Topografía / Cartografía - Ferrocarril: centro)</v>
      </c>
      <c r="F791" s="19" t="s">
        <v>3798</v>
      </c>
      <c r="G791" s="19" t="s">
        <v>3797</v>
      </c>
      <c r="H791" s="19" t="s">
        <v>3811</v>
      </c>
      <c r="I791" s="10">
        <v>0</v>
      </c>
      <c r="J791" s="10" t="str">
        <f t="shared" si="97"/>
        <v>Topografía / Cartografía - Ferrocarril: centro</v>
      </c>
      <c r="K791" s="11" t="s">
        <v>2662</v>
      </c>
      <c r="L791" s="11" t="s">
        <v>50</v>
      </c>
      <c r="M791" s="11" t="s">
        <v>1441</v>
      </c>
      <c r="N791" s="18" t="str">
        <f t="shared" si="98"/>
        <v xml:space="preserve">-LAYER N V-RAIL-CNTR </v>
      </c>
      <c r="O791" s="11" t="str">
        <f t="shared" si="99"/>
        <v xml:space="preserve">-LAYER C white V-RAIL-CNTR </v>
      </c>
      <c r="P791" s="11" t="str">
        <f t="shared" si="100"/>
        <v xml:space="preserve">-LAYER L Continuous
V-RAIL-CNTR  </v>
      </c>
      <c r="Q791" s="11" t="str">
        <f t="shared" si="101"/>
        <v xml:space="preserve">-LAYER LW Default
V-RAIL-CNTR  </v>
      </c>
      <c r="R791" s="11" t="str">
        <f t="shared" si="102"/>
        <v xml:space="preserve">-LAYER TR 0
V-RAIL-CNTR  </v>
      </c>
      <c r="S791" s="11" t="str">
        <f t="shared" si="103"/>
        <v xml:space="preserve">-LAYER D Topografía / Cartografía - Ferrocarril: centro
V-RAIL-CNTR  </v>
      </c>
    </row>
    <row r="792" spans="1:19" x14ac:dyDescent="0.45">
      <c r="A792" s="7">
        <v>0</v>
      </c>
      <c r="B792" s="11" t="s">
        <v>3717</v>
      </c>
      <c r="C792" s="11" t="s">
        <v>51</v>
      </c>
      <c r="D792" s="11" t="s">
        <v>1445</v>
      </c>
      <c r="E792" s="11" t="str">
        <f t="shared" si="96"/>
        <v>V-RAIL-EQPM (Topografía / Cartografía - Ferrocarril: equipo (barreras, señales, etc.))</v>
      </c>
      <c r="F792" s="19" t="s">
        <v>3798</v>
      </c>
      <c r="G792" s="19" t="s">
        <v>3797</v>
      </c>
      <c r="H792" s="19" t="s">
        <v>3811</v>
      </c>
      <c r="I792" s="10">
        <v>0</v>
      </c>
      <c r="J792" s="10" t="str">
        <f t="shared" si="97"/>
        <v>Topografía / Cartografía - Ferrocarril: equipo (barreras, señales, etc.)</v>
      </c>
      <c r="K792" s="11" t="s">
        <v>2663</v>
      </c>
      <c r="L792" s="11" t="s">
        <v>50</v>
      </c>
      <c r="M792" s="11" t="s">
        <v>1444</v>
      </c>
      <c r="N792" s="18" t="str">
        <f t="shared" si="98"/>
        <v xml:space="preserve">-LAYER N V-RAIL-EQPM </v>
      </c>
      <c r="O792" s="11" t="str">
        <f t="shared" si="99"/>
        <v xml:space="preserve">-LAYER C white V-RAIL-EQPM </v>
      </c>
      <c r="P792" s="11" t="str">
        <f t="shared" si="100"/>
        <v xml:space="preserve">-LAYER L Continuous
V-RAIL-EQPM  </v>
      </c>
      <c r="Q792" s="11" t="str">
        <f t="shared" si="101"/>
        <v xml:space="preserve">-LAYER LW Default
V-RAIL-EQPM  </v>
      </c>
      <c r="R792" s="11" t="str">
        <f t="shared" si="102"/>
        <v xml:space="preserve">-LAYER TR 0
V-RAIL-EQPM  </v>
      </c>
      <c r="S792" s="11" t="str">
        <f t="shared" si="103"/>
        <v xml:space="preserve">-LAYER D Topografía / Cartografía - Ferrocarril: equipo (barreras, señales, etc.)
V-RAIL-EQPM  </v>
      </c>
    </row>
    <row r="793" spans="1:19" x14ac:dyDescent="0.45">
      <c r="A793" s="7">
        <v>0</v>
      </c>
      <c r="B793" s="11" t="s">
        <v>3718</v>
      </c>
      <c r="C793" s="11" t="s">
        <v>51</v>
      </c>
      <c r="D793" s="11" t="s">
        <v>1448</v>
      </c>
      <c r="E793" s="11" t="str">
        <f t="shared" si="96"/>
        <v>V-RAIL-TRAK (Topografía / Cartografía - Ferrocarril: vía)</v>
      </c>
      <c r="F793" s="19" t="s">
        <v>3798</v>
      </c>
      <c r="G793" s="19" t="s">
        <v>3797</v>
      </c>
      <c r="H793" s="19" t="s">
        <v>3811</v>
      </c>
      <c r="I793" s="10">
        <v>0</v>
      </c>
      <c r="J793" s="10" t="str">
        <f t="shared" si="97"/>
        <v>Topografía / Cartografía - Ferrocarril: vía</v>
      </c>
      <c r="K793" s="11" t="s">
        <v>2664</v>
      </c>
      <c r="L793" s="11" t="s">
        <v>50</v>
      </c>
      <c r="M793" s="11" t="s">
        <v>1447</v>
      </c>
      <c r="N793" s="18" t="str">
        <f t="shared" si="98"/>
        <v xml:space="preserve">-LAYER N V-RAIL-TRAK </v>
      </c>
      <c r="O793" s="11" t="str">
        <f t="shared" si="99"/>
        <v xml:space="preserve">-LAYER C white V-RAIL-TRAK </v>
      </c>
      <c r="P793" s="11" t="str">
        <f t="shared" si="100"/>
        <v xml:space="preserve">-LAYER L Continuous
V-RAIL-TRAK  </v>
      </c>
      <c r="Q793" s="11" t="str">
        <f t="shared" si="101"/>
        <v xml:space="preserve">-LAYER LW Default
V-RAIL-TRAK  </v>
      </c>
      <c r="R793" s="11" t="str">
        <f t="shared" si="102"/>
        <v xml:space="preserve">-LAYER TR 0
V-RAIL-TRAK  </v>
      </c>
      <c r="S793" s="11" t="str">
        <f t="shared" si="103"/>
        <v xml:space="preserve">-LAYER D Topografía / Cartografía - Ferrocarril: vía
V-RAIL-TRAK  </v>
      </c>
    </row>
    <row r="794" spans="1:19" x14ac:dyDescent="0.45">
      <c r="A794" s="7">
        <v>1</v>
      </c>
      <c r="B794" s="11" t="s">
        <v>3719</v>
      </c>
      <c r="C794" s="11" t="s">
        <v>51</v>
      </c>
      <c r="D794" s="11" t="s">
        <v>569</v>
      </c>
      <c r="E794" s="11" t="str">
        <f t="shared" si="96"/>
        <v>V-RIVR (Topografía / Cartografía - Río)</v>
      </c>
      <c r="F794" s="19" t="s">
        <v>3798</v>
      </c>
      <c r="G794" s="19" t="s">
        <v>3797</v>
      </c>
      <c r="H794" s="19" t="s">
        <v>3811</v>
      </c>
      <c r="I794" s="10">
        <v>0</v>
      </c>
      <c r="J794" s="10" t="str">
        <f t="shared" si="97"/>
        <v>Topografía / Cartografía - Río</v>
      </c>
      <c r="K794" s="11" t="s">
        <v>2665</v>
      </c>
      <c r="L794" s="11" t="s">
        <v>50</v>
      </c>
      <c r="M794" s="11" t="s">
        <v>568</v>
      </c>
      <c r="N794" s="18" t="str">
        <f t="shared" si="98"/>
        <v xml:space="preserve">-LAYER N V-RIVR </v>
      </c>
      <c r="O794" s="11" t="str">
        <f t="shared" si="99"/>
        <v xml:space="preserve">-LAYER C white V-RIVR </v>
      </c>
      <c r="P794" s="11" t="str">
        <f t="shared" si="100"/>
        <v xml:space="preserve">-LAYER L Continuous
V-RIVR  </v>
      </c>
      <c r="Q794" s="11" t="str">
        <f t="shared" si="101"/>
        <v xml:space="preserve">-LAYER LW Default
V-RIVR  </v>
      </c>
      <c r="R794" s="11" t="str">
        <f t="shared" si="102"/>
        <v xml:space="preserve">-LAYER TR 0
V-RIVR  </v>
      </c>
      <c r="S794" s="11" t="str">
        <f t="shared" si="103"/>
        <v xml:space="preserve">-LAYER D Topografía / Cartografía - Río
V-RIVR  </v>
      </c>
    </row>
    <row r="795" spans="1:19" x14ac:dyDescent="0.45">
      <c r="A795" s="7">
        <v>0</v>
      </c>
      <c r="B795" s="11" t="s">
        <v>3720</v>
      </c>
      <c r="C795" s="11" t="s">
        <v>51</v>
      </c>
      <c r="D795" s="11" t="s">
        <v>1452</v>
      </c>
      <c r="E795" s="11" t="str">
        <f t="shared" si="96"/>
        <v>V-RIVR-BOTM (Topografía / Cartografía - Río: fondo)</v>
      </c>
      <c r="F795" s="19" t="s">
        <v>3798</v>
      </c>
      <c r="G795" s="19" t="s">
        <v>3797</v>
      </c>
      <c r="H795" s="19" t="s">
        <v>3811</v>
      </c>
      <c r="I795" s="10">
        <v>0</v>
      </c>
      <c r="J795" s="10" t="str">
        <f t="shared" si="97"/>
        <v>Topografía / Cartografía - Río: fondo</v>
      </c>
      <c r="K795" s="11" t="s">
        <v>2666</v>
      </c>
      <c r="L795" s="11" t="s">
        <v>50</v>
      </c>
      <c r="M795" s="11" t="s">
        <v>1451</v>
      </c>
      <c r="N795" s="18" t="str">
        <f t="shared" si="98"/>
        <v xml:space="preserve">-LAYER N V-RIVR-BOTM </v>
      </c>
      <c r="O795" s="11" t="str">
        <f t="shared" si="99"/>
        <v xml:space="preserve">-LAYER C white V-RIVR-BOTM </v>
      </c>
      <c r="P795" s="11" t="str">
        <f t="shared" si="100"/>
        <v xml:space="preserve">-LAYER L Continuous
V-RIVR-BOTM  </v>
      </c>
      <c r="Q795" s="11" t="str">
        <f t="shared" si="101"/>
        <v xml:space="preserve">-LAYER LW Default
V-RIVR-BOTM  </v>
      </c>
      <c r="R795" s="11" t="str">
        <f t="shared" si="102"/>
        <v xml:space="preserve">-LAYER TR 0
V-RIVR-BOTM  </v>
      </c>
      <c r="S795" s="11" t="str">
        <f t="shared" si="103"/>
        <v xml:space="preserve">-LAYER D Topografía / Cartografía - Río: fondo
V-RIVR-BOTM  </v>
      </c>
    </row>
    <row r="796" spans="1:19" x14ac:dyDescent="0.45">
      <c r="A796" s="7">
        <v>0</v>
      </c>
      <c r="B796" s="11" t="s">
        <v>3721</v>
      </c>
      <c r="C796" s="11" t="s">
        <v>51</v>
      </c>
      <c r="D796" s="11" t="s">
        <v>1455</v>
      </c>
      <c r="E796" s="11" t="str">
        <f t="shared" si="96"/>
        <v>V-RIVR-CNTR (Topografía / Cartografía - Río: centro)</v>
      </c>
      <c r="F796" s="19" t="s">
        <v>3798</v>
      </c>
      <c r="G796" s="19" t="s">
        <v>3797</v>
      </c>
      <c r="H796" s="19" t="s">
        <v>3811</v>
      </c>
      <c r="I796" s="10">
        <v>0</v>
      </c>
      <c r="J796" s="10" t="str">
        <f t="shared" si="97"/>
        <v>Topografía / Cartografía - Río: centro</v>
      </c>
      <c r="K796" s="11" t="s">
        <v>2667</v>
      </c>
      <c r="L796" s="11" t="s">
        <v>50</v>
      </c>
      <c r="M796" s="11" t="s">
        <v>1454</v>
      </c>
      <c r="N796" s="18" t="str">
        <f t="shared" si="98"/>
        <v xml:space="preserve">-LAYER N V-RIVR-CNTR </v>
      </c>
      <c r="O796" s="11" t="str">
        <f t="shared" si="99"/>
        <v xml:space="preserve">-LAYER C white V-RIVR-CNTR </v>
      </c>
      <c r="P796" s="11" t="str">
        <f t="shared" si="100"/>
        <v xml:space="preserve">-LAYER L Continuous
V-RIVR-CNTR  </v>
      </c>
      <c r="Q796" s="11" t="str">
        <f t="shared" si="101"/>
        <v xml:space="preserve">-LAYER LW Default
V-RIVR-CNTR  </v>
      </c>
      <c r="R796" s="11" t="str">
        <f t="shared" si="102"/>
        <v xml:space="preserve">-LAYER TR 0
V-RIVR-CNTR  </v>
      </c>
      <c r="S796" s="11" t="str">
        <f t="shared" si="103"/>
        <v xml:space="preserve">-LAYER D Topografía / Cartografía - Río: centro
V-RIVR-CNTR  </v>
      </c>
    </row>
    <row r="797" spans="1:19" x14ac:dyDescent="0.45">
      <c r="A797" s="7">
        <v>0</v>
      </c>
      <c r="B797" s="11" t="s">
        <v>3722</v>
      </c>
      <c r="C797" s="11" t="s">
        <v>51</v>
      </c>
      <c r="D797" s="11" t="s">
        <v>1458</v>
      </c>
      <c r="E797" s="11" t="str">
        <f t="shared" si="96"/>
        <v>V-RIVR-EDGE (Topografía / Cartografía - Río: orilla)</v>
      </c>
      <c r="F797" s="19" t="s">
        <v>3798</v>
      </c>
      <c r="G797" s="19" t="s">
        <v>3797</v>
      </c>
      <c r="H797" s="19" t="s">
        <v>3811</v>
      </c>
      <c r="I797" s="10">
        <v>0</v>
      </c>
      <c r="J797" s="10" t="str">
        <f t="shared" si="97"/>
        <v>Topografía / Cartografía - Río: orilla</v>
      </c>
      <c r="K797" s="11" t="s">
        <v>2668</v>
      </c>
      <c r="L797" s="11" t="s">
        <v>50</v>
      </c>
      <c r="M797" s="11" t="s">
        <v>1457</v>
      </c>
      <c r="N797" s="18" t="str">
        <f t="shared" si="98"/>
        <v xml:space="preserve">-LAYER N V-RIVR-EDGE </v>
      </c>
      <c r="O797" s="11" t="str">
        <f t="shared" si="99"/>
        <v xml:space="preserve">-LAYER C white V-RIVR-EDGE </v>
      </c>
      <c r="P797" s="11" t="str">
        <f t="shared" si="100"/>
        <v xml:space="preserve">-LAYER L Continuous
V-RIVR-EDGE  </v>
      </c>
      <c r="Q797" s="11" t="str">
        <f t="shared" si="101"/>
        <v xml:space="preserve">-LAYER LW Default
V-RIVR-EDGE  </v>
      </c>
      <c r="R797" s="11" t="str">
        <f t="shared" si="102"/>
        <v xml:space="preserve">-LAYER TR 0
V-RIVR-EDGE  </v>
      </c>
      <c r="S797" s="11" t="str">
        <f t="shared" si="103"/>
        <v xml:space="preserve">-LAYER D Topografía / Cartografía - Río: orilla
V-RIVR-EDGE  </v>
      </c>
    </row>
    <row r="798" spans="1:19" x14ac:dyDescent="0.45">
      <c r="A798" s="7">
        <v>0</v>
      </c>
      <c r="B798" s="11" t="s">
        <v>3723</v>
      </c>
      <c r="C798" s="11" t="s">
        <v>51</v>
      </c>
      <c r="D798" s="11" t="s">
        <v>2866</v>
      </c>
      <c r="E798" s="11" t="str">
        <f t="shared" si="96"/>
        <v>V-RIVR-TOPB (Topografía / Cartografía - Río: parte superior de la ribera)</v>
      </c>
      <c r="F798" s="19" t="s">
        <v>3798</v>
      </c>
      <c r="G798" s="19" t="s">
        <v>3797</v>
      </c>
      <c r="H798" s="19" t="s">
        <v>3811</v>
      </c>
      <c r="I798" s="10">
        <v>0</v>
      </c>
      <c r="J798" s="10" t="str">
        <f t="shared" si="97"/>
        <v>Topografía / Cartografía - Río: parte superior de la ribera</v>
      </c>
      <c r="K798" s="11" t="s">
        <v>2669</v>
      </c>
      <c r="L798" s="11" t="s">
        <v>50</v>
      </c>
      <c r="M798" s="11" t="s">
        <v>1460</v>
      </c>
      <c r="N798" s="18" t="str">
        <f t="shared" si="98"/>
        <v xml:space="preserve">-LAYER N V-RIVR-TOPB </v>
      </c>
      <c r="O798" s="11" t="str">
        <f t="shared" si="99"/>
        <v xml:space="preserve">-LAYER C white V-RIVR-TOPB </v>
      </c>
      <c r="P798" s="11" t="str">
        <f t="shared" si="100"/>
        <v xml:space="preserve">-LAYER L Continuous
V-RIVR-TOPB  </v>
      </c>
      <c r="Q798" s="11" t="str">
        <f t="shared" si="101"/>
        <v xml:space="preserve">-LAYER LW Default
V-RIVR-TOPB  </v>
      </c>
      <c r="R798" s="11" t="str">
        <f t="shared" si="102"/>
        <v xml:space="preserve">-LAYER TR 0
V-RIVR-TOPB  </v>
      </c>
      <c r="S798" s="11" t="str">
        <f t="shared" si="103"/>
        <v xml:space="preserve">-LAYER D Topografía / Cartografía - Río: parte superior de la ribera
V-RIVR-TOPB  </v>
      </c>
    </row>
    <row r="799" spans="1:19" x14ac:dyDescent="0.45">
      <c r="A799" s="7">
        <v>1</v>
      </c>
      <c r="B799" s="11" t="s">
        <v>3724</v>
      </c>
      <c r="C799" s="11" t="s">
        <v>51</v>
      </c>
      <c r="D799" s="11" t="s">
        <v>572</v>
      </c>
      <c r="E799" s="11" t="str">
        <f t="shared" si="96"/>
        <v>V-ROAD (Topografía / Cartografía - Carreteras)</v>
      </c>
      <c r="F799" s="19" t="s">
        <v>3798</v>
      </c>
      <c r="G799" s="19" t="s">
        <v>3797</v>
      </c>
      <c r="H799" s="19" t="s">
        <v>3811</v>
      </c>
      <c r="I799" s="10">
        <v>0</v>
      </c>
      <c r="J799" s="10" t="str">
        <f t="shared" si="97"/>
        <v>Topografía / Cartografía - Carreteras</v>
      </c>
      <c r="K799" s="11" t="s">
        <v>2670</v>
      </c>
      <c r="L799" s="11" t="s">
        <v>50</v>
      </c>
      <c r="M799" s="11" t="s">
        <v>571</v>
      </c>
      <c r="N799" s="18" t="str">
        <f t="shared" si="98"/>
        <v xml:space="preserve">-LAYER N V-ROAD </v>
      </c>
      <c r="O799" s="11" t="str">
        <f t="shared" si="99"/>
        <v xml:space="preserve">-LAYER C white V-ROAD </v>
      </c>
      <c r="P799" s="11" t="str">
        <f t="shared" si="100"/>
        <v xml:space="preserve">-LAYER L Continuous
V-ROAD  </v>
      </c>
      <c r="Q799" s="11" t="str">
        <f t="shared" si="101"/>
        <v xml:space="preserve">-LAYER LW Default
V-ROAD  </v>
      </c>
      <c r="R799" s="11" t="str">
        <f t="shared" si="102"/>
        <v xml:space="preserve">-LAYER TR 0
V-ROAD  </v>
      </c>
      <c r="S799" s="11" t="str">
        <f t="shared" si="103"/>
        <v xml:space="preserve">-LAYER D Topografía / Cartografía - Carreteras
V-ROAD  </v>
      </c>
    </row>
    <row r="800" spans="1:19" x14ac:dyDescent="0.45">
      <c r="A800" s="7">
        <v>0</v>
      </c>
      <c r="B800" s="11" t="s">
        <v>3725</v>
      </c>
      <c r="C800" s="11" t="s">
        <v>51</v>
      </c>
      <c r="D800" s="11" t="s">
        <v>1465</v>
      </c>
      <c r="E800" s="11" t="str">
        <f t="shared" si="96"/>
        <v>V-ROAD-ASPH (Topografía / Cartografía - Carreteras: asfalto)</v>
      </c>
      <c r="F800" s="19" t="s">
        <v>3798</v>
      </c>
      <c r="G800" s="19" t="s">
        <v>3797</v>
      </c>
      <c r="H800" s="19" t="s">
        <v>3811</v>
      </c>
      <c r="I800" s="10">
        <v>0</v>
      </c>
      <c r="J800" s="10" t="str">
        <f t="shared" si="97"/>
        <v>Topografía / Cartografía - Carreteras: asfalto</v>
      </c>
      <c r="K800" s="11" t="s">
        <v>2671</v>
      </c>
      <c r="L800" s="11" t="s">
        <v>50</v>
      </c>
      <c r="M800" s="11" t="s">
        <v>1464</v>
      </c>
      <c r="N800" s="18" t="str">
        <f t="shared" si="98"/>
        <v xml:space="preserve">-LAYER N V-ROAD-ASPH </v>
      </c>
      <c r="O800" s="11" t="str">
        <f t="shared" si="99"/>
        <v xml:space="preserve">-LAYER C white V-ROAD-ASPH </v>
      </c>
      <c r="P800" s="11" t="str">
        <f t="shared" si="100"/>
        <v xml:space="preserve">-LAYER L Continuous
V-ROAD-ASPH  </v>
      </c>
      <c r="Q800" s="11" t="str">
        <f t="shared" si="101"/>
        <v xml:space="preserve">-LAYER LW Default
V-ROAD-ASPH  </v>
      </c>
      <c r="R800" s="11" t="str">
        <f t="shared" si="102"/>
        <v xml:space="preserve">-LAYER TR 0
V-ROAD-ASPH  </v>
      </c>
      <c r="S800" s="11" t="str">
        <f t="shared" si="103"/>
        <v xml:space="preserve">-LAYER D Topografía / Cartografía - Carreteras: asfalto
V-ROAD-ASPH  </v>
      </c>
    </row>
    <row r="801" spans="1:19" x14ac:dyDescent="0.45">
      <c r="A801" s="7">
        <v>0</v>
      </c>
      <c r="B801" s="11" t="s">
        <v>3726</v>
      </c>
      <c r="C801" s="11" t="s">
        <v>51</v>
      </c>
      <c r="D801" s="11" t="s">
        <v>1468</v>
      </c>
      <c r="E801" s="11" t="str">
        <f t="shared" si="96"/>
        <v>V-ROAD-CNTR (Topografía / Cartografía - Carreteras: centro)</v>
      </c>
      <c r="F801" s="19" t="s">
        <v>3798</v>
      </c>
      <c r="G801" s="19" t="s">
        <v>3797</v>
      </c>
      <c r="H801" s="19" t="s">
        <v>3811</v>
      </c>
      <c r="I801" s="10">
        <v>0</v>
      </c>
      <c r="J801" s="10" t="str">
        <f t="shared" si="97"/>
        <v>Topografía / Cartografía - Carreteras: centro</v>
      </c>
      <c r="K801" s="11" t="s">
        <v>2672</v>
      </c>
      <c r="L801" s="11" t="s">
        <v>50</v>
      </c>
      <c r="M801" s="11" t="s">
        <v>1467</v>
      </c>
      <c r="N801" s="18" t="str">
        <f t="shared" si="98"/>
        <v xml:space="preserve">-LAYER N V-ROAD-CNTR </v>
      </c>
      <c r="O801" s="11" t="str">
        <f t="shared" si="99"/>
        <v xml:space="preserve">-LAYER C white V-ROAD-CNTR </v>
      </c>
      <c r="P801" s="11" t="str">
        <f t="shared" si="100"/>
        <v xml:space="preserve">-LAYER L Continuous
V-ROAD-CNTR  </v>
      </c>
      <c r="Q801" s="11" t="str">
        <f t="shared" si="101"/>
        <v xml:space="preserve">-LAYER LW Default
V-ROAD-CNTR  </v>
      </c>
      <c r="R801" s="11" t="str">
        <f t="shared" si="102"/>
        <v xml:space="preserve">-LAYER TR 0
V-ROAD-CNTR  </v>
      </c>
      <c r="S801" s="11" t="str">
        <f t="shared" si="103"/>
        <v xml:space="preserve">-LAYER D Topografía / Cartografía - Carreteras: centro
V-ROAD-CNTR  </v>
      </c>
    </row>
    <row r="802" spans="1:19" x14ac:dyDescent="0.45">
      <c r="A802" s="7">
        <v>0</v>
      </c>
      <c r="B802" s="11" t="s">
        <v>3727</v>
      </c>
      <c r="C802" s="11" t="s">
        <v>51</v>
      </c>
      <c r="D802" s="11" t="s">
        <v>1471</v>
      </c>
      <c r="E802" s="11" t="str">
        <f t="shared" si="96"/>
        <v>V-ROAD-CONC (Topografía / Cartografía - Carreteras: concreto)</v>
      </c>
      <c r="F802" s="19" t="s">
        <v>3798</v>
      </c>
      <c r="G802" s="19" t="s">
        <v>3797</v>
      </c>
      <c r="H802" s="19" t="s">
        <v>3811</v>
      </c>
      <c r="I802" s="10">
        <v>0</v>
      </c>
      <c r="J802" s="10" t="str">
        <f t="shared" si="97"/>
        <v>Topografía / Cartografía - Carreteras: concreto</v>
      </c>
      <c r="K802" s="11" t="s">
        <v>2673</v>
      </c>
      <c r="L802" s="11" t="s">
        <v>50</v>
      </c>
      <c r="M802" s="11" t="s">
        <v>1470</v>
      </c>
      <c r="N802" s="18" t="str">
        <f t="shared" si="98"/>
        <v xml:space="preserve">-LAYER N V-ROAD-CONC </v>
      </c>
      <c r="O802" s="11" t="str">
        <f t="shared" si="99"/>
        <v xml:space="preserve">-LAYER C white V-ROAD-CONC </v>
      </c>
      <c r="P802" s="11" t="str">
        <f t="shared" si="100"/>
        <v xml:space="preserve">-LAYER L Continuous
V-ROAD-CONC  </v>
      </c>
      <c r="Q802" s="11" t="str">
        <f t="shared" si="101"/>
        <v xml:space="preserve">-LAYER LW Default
V-ROAD-CONC  </v>
      </c>
      <c r="R802" s="11" t="str">
        <f t="shared" si="102"/>
        <v xml:space="preserve">-LAYER TR 0
V-ROAD-CONC  </v>
      </c>
      <c r="S802" s="11" t="str">
        <f t="shared" si="103"/>
        <v xml:space="preserve">-LAYER D Topografía / Cartografía - Carreteras: concreto
V-ROAD-CONC  </v>
      </c>
    </row>
    <row r="803" spans="1:19" x14ac:dyDescent="0.45">
      <c r="A803" s="7">
        <v>0</v>
      </c>
      <c r="B803" s="11" t="s">
        <v>3728</v>
      </c>
      <c r="C803" s="11" t="s">
        <v>51</v>
      </c>
      <c r="D803" s="11" t="s">
        <v>2867</v>
      </c>
      <c r="E803" s="11" t="str">
        <f t="shared" si="96"/>
        <v>V-ROAD-CURB (Topografía / Cartografía - Carreteras: Bordillo)</v>
      </c>
      <c r="F803" s="19" t="s">
        <v>3798</v>
      </c>
      <c r="G803" s="19" t="s">
        <v>3797</v>
      </c>
      <c r="H803" s="19" t="s">
        <v>3811</v>
      </c>
      <c r="I803" s="10">
        <v>0</v>
      </c>
      <c r="J803" s="10" t="str">
        <f t="shared" si="97"/>
        <v>Topografía / Cartografía - Carreteras: Bordillo</v>
      </c>
      <c r="K803" s="11" t="s">
        <v>2674</v>
      </c>
      <c r="L803" s="11" t="s">
        <v>50</v>
      </c>
      <c r="M803" s="11" t="s">
        <v>1473</v>
      </c>
      <c r="N803" s="18" t="str">
        <f t="shared" si="98"/>
        <v xml:space="preserve">-LAYER N V-ROAD-CURB </v>
      </c>
      <c r="O803" s="11" t="str">
        <f t="shared" si="99"/>
        <v xml:space="preserve">-LAYER C white V-ROAD-CURB </v>
      </c>
      <c r="P803" s="11" t="str">
        <f t="shared" si="100"/>
        <v xml:space="preserve">-LAYER L Continuous
V-ROAD-CURB  </v>
      </c>
      <c r="Q803" s="11" t="str">
        <f t="shared" si="101"/>
        <v xml:space="preserve">-LAYER LW Default
V-ROAD-CURB  </v>
      </c>
      <c r="R803" s="11" t="str">
        <f t="shared" si="102"/>
        <v xml:space="preserve">-LAYER TR 0
V-ROAD-CURB  </v>
      </c>
      <c r="S803" s="11" t="str">
        <f t="shared" si="103"/>
        <v xml:space="preserve">-LAYER D Topografía / Cartografía - Carreteras: Bordillo
V-ROAD-CURB  </v>
      </c>
    </row>
    <row r="804" spans="1:19" x14ac:dyDescent="0.45">
      <c r="A804" s="7">
        <v>0</v>
      </c>
      <c r="B804" s="11" t="s">
        <v>3729</v>
      </c>
      <c r="C804" s="11" t="s">
        <v>51</v>
      </c>
      <c r="D804" s="11" t="s">
        <v>2868</v>
      </c>
      <c r="E804" s="11" t="str">
        <f t="shared" si="96"/>
        <v>V-ROAD-FLNE (Topografía / Cartografía - Vías: carril de incendios)</v>
      </c>
      <c r="F804" s="19" t="s">
        <v>3798</v>
      </c>
      <c r="G804" s="19" t="s">
        <v>3797</v>
      </c>
      <c r="H804" s="19" t="s">
        <v>3811</v>
      </c>
      <c r="I804" s="10">
        <v>0</v>
      </c>
      <c r="J804" s="10" t="str">
        <f t="shared" si="97"/>
        <v>Topografía / Cartografía - Vías: carril de incendios</v>
      </c>
      <c r="K804" s="11" t="s">
        <v>2675</v>
      </c>
      <c r="L804" s="11" t="s">
        <v>50</v>
      </c>
      <c r="M804" s="11" t="s">
        <v>1482</v>
      </c>
      <c r="N804" s="18" t="str">
        <f t="shared" si="98"/>
        <v xml:space="preserve">-LAYER N V-ROAD-FLNE </v>
      </c>
      <c r="O804" s="11" t="str">
        <f t="shared" si="99"/>
        <v xml:space="preserve">-LAYER C white V-ROAD-FLNE </v>
      </c>
      <c r="P804" s="11" t="str">
        <f t="shared" si="100"/>
        <v xml:space="preserve">-LAYER L Continuous
V-ROAD-FLNE  </v>
      </c>
      <c r="Q804" s="11" t="str">
        <f t="shared" si="101"/>
        <v xml:space="preserve">-LAYER LW Default
V-ROAD-FLNE  </v>
      </c>
      <c r="R804" s="11" t="str">
        <f t="shared" si="102"/>
        <v xml:space="preserve">-LAYER TR 0
V-ROAD-FLNE  </v>
      </c>
      <c r="S804" s="11" t="str">
        <f t="shared" si="103"/>
        <v xml:space="preserve">-LAYER D Topografía / Cartografía - Vías: carril de incendios
V-ROAD-FLNE  </v>
      </c>
    </row>
    <row r="805" spans="1:19" x14ac:dyDescent="0.45">
      <c r="A805" s="7">
        <v>0</v>
      </c>
      <c r="B805" s="11" t="s">
        <v>3730</v>
      </c>
      <c r="C805" s="11" t="s">
        <v>51</v>
      </c>
      <c r="D805" s="11" t="s">
        <v>2869</v>
      </c>
      <c r="E805" s="11" t="str">
        <f t="shared" si="96"/>
        <v>V-ROAD-GRVL (Topografía / Cartografía - Vías: grava)</v>
      </c>
      <c r="F805" s="19" t="s">
        <v>3798</v>
      </c>
      <c r="G805" s="19" t="s">
        <v>3797</v>
      </c>
      <c r="H805" s="19" t="s">
        <v>3811</v>
      </c>
      <c r="I805" s="10">
        <v>0</v>
      </c>
      <c r="J805" s="10" t="str">
        <f t="shared" si="97"/>
        <v>Topografía / Cartografía - Vías: grava</v>
      </c>
      <c r="K805" s="11" t="s">
        <v>2676</v>
      </c>
      <c r="L805" s="11" t="s">
        <v>50</v>
      </c>
      <c r="M805" s="11" t="s">
        <v>1491</v>
      </c>
      <c r="N805" s="18" t="str">
        <f t="shared" si="98"/>
        <v xml:space="preserve">-LAYER N V-ROAD-GRVL </v>
      </c>
      <c r="O805" s="11" t="str">
        <f t="shared" si="99"/>
        <v xml:space="preserve">-LAYER C white V-ROAD-GRVL </v>
      </c>
      <c r="P805" s="11" t="str">
        <f t="shared" si="100"/>
        <v xml:space="preserve">-LAYER L Continuous
V-ROAD-GRVL  </v>
      </c>
      <c r="Q805" s="11" t="str">
        <f t="shared" si="101"/>
        <v xml:space="preserve">-LAYER LW Default
V-ROAD-GRVL  </v>
      </c>
      <c r="R805" s="11" t="str">
        <f t="shared" si="102"/>
        <v xml:space="preserve">-LAYER TR 0
V-ROAD-GRVL  </v>
      </c>
      <c r="S805" s="11" t="str">
        <f t="shared" si="103"/>
        <v xml:space="preserve">-LAYER D Topografía / Cartografía - Vías: grava
V-ROAD-GRVL  </v>
      </c>
    </row>
    <row r="806" spans="1:19" x14ac:dyDescent="0.45">
      <c r="A806" s="7">
        <v>0</v>
      </c>
      <c r="B806" s="11" t="s">
        <v>3731</v>
      </c>
      <c r="C806" s="11" t="s">
        <v>51</v>
      </c>
      <c r="D806" s="11" t="s">
        <v>2870</v>
      </c>
      <c r="E806" s="11" t="str">
        <f t="shared" si="96"/>
        <v>V-ROAD-MRKG (Topografía / Cartografía - Vías: marcas viales)</v>
      </c>
      <c r="F806" s="19" t="s">
        <v>3798</v>
      </c>
      <c r="G806" s="19" t="s">
        <v>3797</v>
      </c>
      <c r="H806" s="19" t="s">
        <v>3811</v>
      </c>
      <c r="I806" s="10">
        <v>0</v>
      </c>
      <c r="J806" s="10" t="str">
        <f t="shared" si="97"/>
        <v>Topografía / Cartografía - Vías: marcas viales</v>
      </c>
      <c r="K806" s="11" t="s">
        <v>2677</v>
      </c>
      <c r="L806" s="11" t="s">
        <v>50</v>
      </c>
      <c r="M806" s="11" t="s">
        <v>1494</v>
      </c>
      <c r="N806" s="18" t="str">
        <f t="shared" si="98"/>
        <v xml:space="preserve">-LAYER N V-ROAD-MRKG </v>
      </c>
      <c r="O806" s="11" t="str">
        <f t="shared" si="99"/>
        <v xml:space="preserve">-LAYER C white V-ROAD-MRKG </v>
      </c>
      <c r="P806" s="11" t="str">
        <f t="shared" si="100"/>
        <v xml:space="preserve">-LAYER L Continuous
V-ROAD-MRKG  </v>
      </c>
      <c r="Q806" s="11" t="str">
        <f t="shared" si="101"/>
        <v xml:space="preserve">-LAYER LW Default
V-ROAD-MRKG  </v>
      </c>
      <c r="R806" s="11" t="str">
        <f t="shared" si="102"/>
        <v xml:space="preserve">-LAYER TR 0
V-ROAD-MRKG  </v>
      </c>
      <c r="S806" s="11" t="str">
        <f t="shared" si="103"/>
        <v xml:space="preserve">-LAYER D Topografía / Cartografía - Vías: marcas viales
V-ROAD-MRKG  </v>
      </c>
    </row>
    <row r="807" spans="1:19" x14ac:dyDescent="0.45">
      <c r="A807" s="7">
        <v>0</v>
      </c>
      <c r="B807" s="11" t="s">
        <v>3732</v>
      </c>
      <c r="C807" s="11" t="s">
        <v>51</v>
      </c>
      <c r="D807" s="11" t="s">
        <v>2871</v>
      </c>
      <c r="E807" s="11" t="str">
        <f t="shared" si="96"/>
        <v>V-ROAD-UPVD (Topografía / Cartografía - Vías: superficie sin pavimentar)</v>
      </c>
      <c r="F807" s="19" t="s">
        <v>3798</v>
      </c>
      <c r="G807" s="19" t="s">
        <v>3797</v>
      </c>
      <c r="H807" s="19" t="s">
        <v>3811</v>
      </c>
      <c r="I807" s="10">
        <v>0</v>
      </c>
      <c r="J807" s="10" t="str">
        <f t="shared" si="97"/>
        <v>Topografía / Cartografía - Vías: superficie sin pavimentar</v>
      </c>
      <c r="K807" s="11" t="s">
        <v>2678</v>
      </c>
      <c r="L807" s="11" t="s">
        <v>50</v>
      </c>
      <c r="M807" s="11" t="s">
        <v>1506</v>
      </c>
      <c r="N807" s="18" t="str">
        <f t="shared" si="98"/>
        <v xml:space="preserve">-LAYER N V-ROAD-UPVD </v>
      </c>
      <c r="O807" s="11" t="str">
        <f t="shared" si="99"/>
        <v xml:space="preserve">-LAYER C white V-ROAD-UPVD </v>
      </c>
      <c r="P807" s="11" t="str">
        <f t="shared" si="100"/>
        <v xml:space="preserve">-LAYER L Continuous
V-ROAD-UPVD  </v>
      </c>
      <c r="Q807" s="11" t="str">
        <f t="shared" si="101"/>
        <v xml:space="preserve">-LAYER LW Default
V-ROAD-UPVD  </v>
      </c>
      <c r="R807" s="11" t="str">
        <f t="shared" si="102"/>
        <v xml:space="preserve">-LAYER TR 0
V-ROAD-UPVD  </v>
      </c>
      <c r="S807" s="11" t="str">
        <f t="shared" si="103"/>
        <v xml:space="preserve">-LAYER D Topografía / Cartografía - Vías: superficie sin pavimentar
V-ROAD-UPVD  </v>
      </c>
    </row>
    <row r="808" spans="1:19" x14ac:dyDescent="0.45">
      <c r="A808" s="7">
        <v>1</v>
      </c>
      <c r="B808" s="11" t="s">
        <v>3733</v>
      </c>
      <c r="C808" s="11" t="s">
        <v>51</v>
      </c>
      <c r="D808" s="11" t="s">
        <v>577</v>
      </c>
      <c r="E808" s="11" t="str">
        <f t="shared" si="96"/>
        <v>V-RRAP (Topografía / Cartografía - Escalones)</v>
      </c>
      <c r="F808" s="19" t="s">
        <v>3798</v>
      </c>
      <c r="G808" s="19" t="s">
        <v>3797</v>
      </c>
      <c r="H808" s="19" t="s">
        <v>3811</v>
      </c>
      <c r="I808" s="10">
        <v>0</v>
      </c>
      <c r="J808" s="10" t="str">
        <f t="shared" si="97"/>
        <v>Topografía / Cartografía - Escalones</v>
      </c>
      <c r="K808" s="11" t="s">
        <v>2679</v>
      </c>
      <c r="L808" s="11" t="s">
        <v>50</v>
      </c>
      <c r="M808" s="11" t="s">
        <v>576</v>
      </c>
      <c r="N808" s="18" t="str">
        <f t="shared" si="98"/>
        <v xml:space="preserve">-LAYER N V-RRAP </v>
      </c>
      <c r="O808" s="11" t="str">
        <f t="shared" si="99"/>
        <v xml:space="preserve">-LAYER C white V-RRAP </v>
      </c>
      <c r="P808" s="11" t="str">
        <f t="shared" si="100"/>
        <v xml:space="preserve">-LAYER L Continuous
V-RRAP  </v>
      </c>
      <c r="Q808" s="11" t="str">
        <f t="shared" si="101"/>
        <v xml:space="preserve">-LAYER LW Default
V-RRAP  </v>
      </c>
      <c r="R808" s="11" t="str">
        <f t="shared" si="102"/>
        <v xml:space="preserve">-LAYER TR 0
V-RRAP  </v>
      </c>
      <c r="S808" s="11" t="str">
        <f t="shared" si="103"/>
        <v xml:space="preserve">-LAYER D Topografía / Cartografía - Escalones
V-RRAP  </v>
      </c>
    </row>
    <row r="809" spans="1:19" x14ac:dyDescent="0.45">
      <c r="A809" s="7">
        <v>0</v>
      </c>
      <c r="B809" s="11" t="s">
        <v>3734</v>
      </c>
      <c r="C809" s="11" t="s">
        <v>51</v>
      </c>
      <c r="D809" s="11" t="s">
        <v>583</v>
      </c>
      <c r="E809" s="11" t="str">
        <f t="shared" si="96"/>
        <v>V-RWAY (Topografía / Cartografía - Derecho de paso)</v>
      </c>
      <c r="F809" s="19" t="s">
        <v>3798</v>
      </c>
      <c r="G809" s="19" t="s">
        <v>3797</v>
      </c>
      <c r="H809" s="19" t="s">
        <v>3811</v>
      </c>
      <c r="I809" s="10">
        <v>0</v>
      </c>
      <c r="J809" s="10" t="str">
        <f t="shared" si="97"/>
        <v>Topografía / Cartografía - Derecho de paso</v>
      </c>
      <c r="K809" s="11" t="s">
        <v>2680</v>
      </c>
      <c r="L809" s="11" t="s">
        <v>50</v>
      </c>
      <c r="M809" s="11" t="s">
        <v>582</v>
      </c>
      <c r="N809" s="18" t="str">
        <f t="shared" si="98"/>
        <v xml:space="preserve">-LAYER N V-RWAY </v>
      </c>
      <c r="O809" s="11" t="str">
        <f t="shared" si="99"/>
        <v xml:space="preserve">-LAYER C white V-RWAY </v>
      </c>
      <c r="P809" s="11" t="str">
        <f t="shared" si="100"/>
        <v xml:space="preserve">-LAYER L Continuous
V-RWAY  </v>
      </c>
      <c r="Q809" s="11" t="str">
        <f t="shared" si="101"/>
        <v xml:space="preserve">-LAYER LW Default
V-RWAY  </v>
      </c>
      <c r="R809" s="11" t="str">
        <f t="shared" si="102"/>
        <v xml:space="preserve">-LAYER TR 0
V-RWAY  </v>
      </c>
      <c r="S809" s="11" t="str">
        <f t="shared" si="103"/>
        <v xml:space="preserve">-LAYER D Topografía / Cartografía - Derecho de paso
V-RWAY  </v>
      </c>
    </row>
    <row r="810" spans="1:19" x14ac:dyDescent="0.45">
      <c r="A810" s="7">
        <v>0</v>
      </c>
      <c r="B810" s="11" t="s">
        <v>3735</v>
      </c>
      <c r="C810" s="11" t="s">
        <v>51</v>
      </c>
      <c r="D810" s="11" t="s">
        <v>2872</v>
      </c>
      <c r="E810" s="11" t="str">
        <f t="shared" si="96"/>
        <v>V-RWAY-CNTR (Topografía / Cartografía - Derecho de paso: centro)</v>
      </c>
      <c r="F810" s="19" t="s">
        <v>3798</v>
      </c>
      <c r="G810" s="19" t="s">
        <v>3797</v>
      </c>
      <c r="H810" s="19" t="s">
        <v>3811</v>
      </c>
      <c r="I810" s="10">
        <v>0</v>
      </c>
      <c r="J810" s="10" t="str">
        <f t="shared" si="97"/>
        <v>Topografía / Cartografía - Derecho de paso: centro</v>
      </c>
      <c r="K810" s="11" t="s">
        <v>2681</v>
      </c>
      <c r="L810" s="11" t="s">
        <v>50</v>
      </c>
      <c r="M810" s="11" t="s">
        <v>2682</v>
      </c>
      <c r="N810" s="18" t="str">
        <f t="shared" si="98"/>
        <v xml:space="preserve">-LAYER N V-RWAY-CNTR </v>
      </c>
      <c r="O810" s="11" t="str">
        <f t="shared" si="99"/>
        <v xml:space="preserve">-LAYER C white V-RWAY-CNTR </v>
      </c>
      <c r="P810" s="11" t="str">
        <f t="shared" si="100"/>
        <v xml:space="preserve">-LAYER L Continuous
V-RWAY-CNTR  </v>
      </c>
      <c r="Q810" s="11" t="str">
        <f t="shared" si="101"/>
        <v xml:space="preserve">-LAYER LW Default
V-RWAY-CNTR  </v>
      </c>
      <c r="R810" s="11" t="str">
        <f t="shared" si="102"/>
        <v xml:space="preserve">-LAYER TR 0
V-RWAY-CNTR  </v>
      </c>
      <c r="S810" s="11" t="str">
        <f t="shared" si="103"/>
        <v xml:space="preserve">-LAYER D Topografía / Cartografía - Derecho de paso: centro
V-RWAY-CNTR  </v>
      </c>
    </row>
    <row r="811" spans="1:19" x14ac:dyDescent="0.45">
      <c r="A811" s="7">
        <v>0</v>
      </c>
      <c r="B811" s="11" t="s">
        <v>3736</v>
      </c>
      <c r="C811" s="11" t="s">
        <v>51</v>
      </c>
      <c r="D811" s="11" t="s">
        <v>2873</v>
      </c>
      <c r="E811" s="11" t="str">
        <f t="shared" si="96"/>
        <v>V-RWAY-CTLA (Topografía / Cartografía - Derecho de paso: acceso controlado)</v>
      </c>
      <c r="F811" s="19" t="s">
        <v>3798</v>
      </c>
      <c r="G811" s="19" t="s">
        <v>3797</v>
      </c>
      <c r="H811" s="19" t="s">
        <v>3811</v>
      </c>
      <c r="I811" s="10">
        <v>0</v>
      </c>
      <c r="J811" s="10" t="str">
        <f t="shared" si="97"/>
        <v>Topografía / Cartografía - Derecho de paso: acceso controlado</v>
      </c>
      <c r="K811" s="11" t="s">
        <v>2683</v>
      </c>
      <c r="L811" s="11" t="s">
        <v>50</v>
      </c>
      <c r="M811" s="11" t="s">
        <v>2684</v>
      </c>
      <c r="N811" s="18" t="str">
        <f t="shared" si="98"/>
        <v xml:space="preserve">-LAYER N V-RWAY-CTLA </v>
      </c>
      <c r="O811" s="11" t="str">
        <f t="shared" si="99"/>
        <v xml:space="preserve">-LAYER C white V-RWAY-CTLA </v>
      </c>
      <c r="P811" s="11" t="str">
        <f t="shared" si="100"/>
        <v xml:space="preserve">-LAYER L Continuous
V-RWAY-CTLA  </v>
      </c>
      <c r="Q811" s="11" t="str">
        <f t="shared" si="101"/>
        <v xml:space="preserve">-LAYER LW Default
V-RWAY-CTLA  </v>
      </c>
      <c r="R811" s="11" t="str">
        <f t="shared" si="102"/>
        <v xml:space="preserve">-LAYER TR 0
V-RWAY-CTLA  </v>
      </c>
      <c r="S811" s="11" t="str">
        <f t="shared" si="103"/>
        <v xml:space="preserve">-LAYER D Topografía / Cartografía - Derecho de paso: acceso controlado
V-RWAY-CTLA  </v>
      </c>
    </row>
    <row r="812" spans="1:19" x14ac:dyDescent="0.45">
      <c r="A812" s="7">
        <v>0</v>
      </c>
      <c r="B812" s="11" t="s">
        <v>3737</v>
      </c>
      <c r="C812" s="11" t="s">
        <v>51</v>
      </c>
      <c r="D812" s="11" t="s">
        <v>2874</v>
      </c>
      <c r="E812" s="11" t="str">
        <f t="shared" si="96"/>
        <v>V-RWAY-LINE (Topografía / Cartografía - Derecho de paso: líneas)</v>
      </c>
      <c r="F812" s="19" t="s">
        <v>3798</v>
      </c>
      <c r="G812" s="19" t="s">
        <v>3797</v>
      </c>
      <c r="H812" s="19" t="s">
        <v>3811</v>
      </c>
      <c r="I812" s="10">
        <v>0</v>
      </c>
      <c r="J812" s="10" t="str">
        <f t="shared" si="97"/>
        <v>Topografía / Cartografía - Derecho de paso: líneas</v>
      </c>
      <c r="K812" s="11" t="s">
        <v>2685</v>
      </c>
      <c r="L812" s="11" t="s">
        <v>50</v>
      </c>
      <c r="M812" s="11" t="s">
        <v>2686</v>
      </c>
      <c r="N812" s="18" t="str">
        <f t="shared" si="98"/>
        <v xml:space="preserve">-LAYER N V-RWAY-LINE </v>
      </c>
      <c r="O812" s="11" t="str">
        <f t="shared" si="99"/>
        <v xml:space="preserve">-LAYER C white V-RWAY-LINE </v>
      </c>
      <c r="P812" s="11" t="str">
        <f t="shared" si="100"/>
        <v xml:space="preserve">-LAYER L Continuous
V-RWAY-LINE  </v>
      </c>
      <c r="Q812" s="11" t="str">
        <f t="shared" si="101"/>
        <v xml:space="preserve">-LAYER LW Default
V-RWAY-LINE  </v>
      </c>
      <c r="R812" s="11" t="str">
        <f t="shared" si="102"/>
        <v xml:space="preserve">-LAYER TR 0
V-RWAY-LINE  </v>
      </c>
      <c r="S812" s="11" t="str">
        <f t="shared" si="103"/>
        <v xml:space="preserve">-LAYER D Topografía / Cartografía - Derecho de paso: líneas
V-RWAY-LINE  </v>
      </c>
    </row>
    <row r="813" spans="1:19" x14ac:dyDescent="0.45">
      <c r="A813" s="7">
        <v>0</v>
      </c>
      <c r="B813" s="11" t="s">
        <v>3738</v>
      </c>
      <c r="C813" s="11" t="s">
        <v>51</v>
      </c>
      <c r="D813" s="11" t="s">
        <v>2875</v>
      </c>
      <c r="E813" s="11" t="str">
        <f t="shared" si="96"/>
        <v>V-RWAY-LMTA (Topografía / Cartografía - Derecho de paso: acceso limitado)</v>
      </c>
      <c r="F813" s="19" t="s">
        <v>3798</v>
      </c>
      <c r="G813" s="19" t="s">
        <v>3797</v>
      </c>
      <c r="H813" s="19" t="s">
        <v>3811</v>
      </c>
      <c r="I813" s="10">
        <v>0</v>
      </c>
      <c r="J813" s="10" t="str">
        <f t="shared" si="97"/>
        <v>Topografía / Cartografía - Derecho de paso: acceso limitado</v>
      </c>
      <c r="K813" s="11" t="s">
        <v>2687</v>
      </c>
      <c r="L813" s="11" t="s">
        <v>50</v>
      </c>
      <c r="M813" s="11" t="s">
        <v>2688</v>
      </c>
      <c r="N813" s="18" t="str">
        <f t="shared" si="98"/>
        <v xml:space="preserve">-LAYER N V-RWAY-LMTA </v>
      </c>
      <c r="O813" s="11" t="str">
        <f t="shared" si="99"/>
        <v xml:space="preserve">-LAYER C white V-RWAY-LMTA </v>
      </c>
      <c r="P813" s="11" t="str">
        <f t="shared" si="100"/>
        <v xml:space="preserve">-LAYER L Continuous
V-RWAY-LMTA  </v>
      </c>
      <c r="Q813" s="11" t="str">
        <f t="shared" si="101"/>
        <v xml:space="preserve">-LAYER LW Default
V-RWAY-LMTA  </v>
      </c>
      <c r="R813" s="11" t="str">
        <f t="shared" si="102"/>
        <v xml:space="preserve">-LAYER TR 0
V-RWAY-LMTA  </v>
      </c>
      <c r="S813" s="11" t="str">
        <f t="shared" si="103"/>
        <v xml:space="preserve">-LAYER D Topografía / Cartografía - Derecho de paso: acceso limitado
V-RWAY-LMTA  </v>
      </c>
    </row>
    <row r="814" spans="1:19" x14ac:dyDescent="0.45">
      <c r="A814" s="7">
        <v>0</v>
      </c>
      <c r="B814" s="11" t="s">
        <v>3739</v>
      </c>
      <c r="C814" s="11" t="s">
        <v>51</v>
      </c>
      <c r="D814" s="11" t="s">
        <v>2876</v>
      </c>
      <c r="E814" s="11" t="str">
        <f t="shared" si="96"/>
        <v>V-RWAY-MRKR (Topografía / Cartografía - Derecho de paso: marcador)</v>
      </c>
      <c r="F814" s="19" t="s">
        <v>3798</v>
      </c>
      <c r="G814" s="19" t="s">
        <v>3797</v>
      </c>
      <c r="H814" s="19" t="s">
        <v>3811</v>
      </c>
      <c r="I814" s="10">
        <v>0</v>
      </c>
      <c r="J814" s="10" t="str">
        <f t="shared" si="97"/>
        <v>Topografía / Cartografía - Derecho de paso: marcador</v>
      </c>
      <c r="K814" s="11" t="s">
        <v>2689</v>
      </c>
      <c r="L814" s="11" t="s">
        <v>50</v>
      </c>
      <c r="M814" s="11" t="s">
        <v>2690</v>
      </c>
      <c r="N814" s="18" t="str">
        <f t="shared" si="98"/>
        <v xml:space="preserve">-LAYER N V-RWAY-MRKR </v>
      </c>
      <c r="O814" s="11" t="str">
        <f t="shared" si="99"/>
        <v xml:space="preserve">-LAYER C white V-RWAY-MRKR </v>
      </c>
      <c r="P814" s="11" t="str">
        <f t="shared" si="100"/>
        <v xml:space="preserve">-LAYER L Continuous
V-RWAY-MRKR  </v>
      </c>
      <c r="Q814" s="11" t="str">
        <f t="shared" si="101"/>
        <v xml:space="preserve">-LAYER LW Default
V-RWAY-MRKR  </v>
      </c>
      <c r="R814" s="11" t="str">
        <f t="shared" si="102"/>
        <v xml:space="preserve">-LAYER TR 0
V-RWAY-MRKR  </v>
      </c>
      <c r="S814" s="11" t="str">
        <f t="shared" si="103"/>
        <v xml:space="preserve">-LAYER D Topografía / Cartografía - Derecho de paso: marcador
V-RWAY-MRKR  </v>
      </c>
    </row>
    <row r="815" spans="1:19" x14ac:dyDescent="0.45">
      <c r="A815" s="7">
        <v>0</v>
      </c>
      <c r="B815" s="11" t="s">
        <v>3740</v>
      </c>
      <c r="C815" s="11" t="s">
        <v>51</v>
      </c>
      <c r="D815" s="11" t="s">
        <v>2877</v>
      </c>
      <c r="E815" s="11" t="str">
        <f t="shared" si="96"/>
        <v>V-RWAY-STAN (Topografía / Cartografía - Derecho de paso: estacionamiento)</v>
      </c>
      <c r="F815" s="19" t="s">
        <v>3798</v>
      </c>
      <c r="G815" s="19" t="s">
        <v>3797</v>
      </c>
      <c r="H815" s="19" t="s">
        <v>3811</v>
      </c>
      <c r="I815" s="10">
        <v>0</v>
      </c>
      <c r="J815" s="10" t="str">
        <f t="shared" si="97"/>
        <v>Topografía / Cartografía - Derecho de paso: estacionamiento</v>
      </c>
      <c r="K815" s="11" t="s">
        <v>2691</v>
      </c>
      <c r="L815" s="11" t="s">
        <v>50</v>
      </c>
      <c r="M815" s="11" t="s">
        <v>2692</v>
      </c>
      <c r="N815" s="18" t="str">
        <f t="shared" si="98"/>
        <v xml:space="preserve">-LAYER N V-RWAY-STAN </v>
      </c>
      <c r="O815" s="11" t="str">
        <f t="shared" si="99"/>
        <v xml:space="preserve">-LAYER C white V-RWAY-STAN </v>
      </c>
      <c r="P815" s="11" t="str">
        <f t="shared" si="100"/>
        <v xml:space="preserve">-LAYER L Continuous
V-RWAY-STAN  </v>
      </c>
      <c r="Q815" s="11" t="str">
        <f t="shared" si="101"/>
        <v xml:space="preserve">-LAYER LW Default
V-RWAY-STAN  </v>
      </c>
      <c r="R815" s="11" t="str">
        <f t="shared" si="102"/>
        <v xml:space="preserve">-LAYER TR 0
V-RWAY-STAN  </v>
      </c>
      <c r="S815" s="11" t="str">
        <f t="shared" si="103"/>
        <v xml:space="preserve">-LAYER D Topografía / Cartografía - Derecho de paso: estacionamiento
V-RWAY-STAN  </v>
      </c>
    </row>
    <row r="816" spans="1:19" x14ac:dyDescent="0.45">
      <c r="A816" s="7">
        <v>1</v>
      </c>
      <c r="B816" s="11" t="s">
        <v>3741</v>
      </c>
      <c r="C816" s="11" t="s">
        <v>51</v>
      </c>
      <c r="D816" s="11" t="s">
        <v>598</v>
      </c>
      <c r="E816" s="11" t="str">
        <f t="shared" si="96"/>
        <v>V-SITE (Topografía / Cartografía - Características del sitio)</v>
      </c>
      <c r="F816" s="19" t="s">
        <v>3798</v>
      </c>
      <c r="G816" s="19" t="s">
        <v>3797</v>
      </c>
      <c r="H816" s="19" t="s">
        <v>3811</v>
      </c>
      <c r="I816" s="10">
        <v>0</v>
      </c>
      <c r="J816" s="10" t="str">
        <f t="shared" si="97"/>
        <v>Topografía / Cartografía - Características del sitio</v>
      </c>
      <c r="K816" s="11" t="s">
        <v>2693</v>
      </c>
      <c r="L816" s="11" t="s">
        <v>50</v>
      </c>
      <c r="M816" s="11" t="s">
        <v>597</v>
      </c>
      <c r="N816" s="18" t="str">
        <f t="shared" si="98"/>
        <v xml:space="preserve">-LAYER N V-SITE </v>
      </c>
      <c r="O816" s="11" t="str">
        <f t="shared" si="99"/>
        <v xml:space="preserve">-LAYER C white V-SITE </v>
      </c>
      <c r="P816" s="11" t="str">
        <f t="shared" si="100"/>
        <v xml:space="preserve">-LAYER L Continuous
V-SITE  </v>
      </c>
      <c r="Q816" s="11" t="str">
        <f t="shared" si="101"/>
        <v xml:space="preserve">-LAYER LW Default
V-SITE  </v>
      </c>
      <c r="R816" s="11" t="str">
        <f t="shared" si="102"/>
        <v xml:space="preserve">-LAYER TR 0
V-SITE  </v>
      </c>
      <c r="S816" s="11" t="str">
        <f t="shared" si="103"/>
        <v xml:space="preserve">-LAYER D Topografía / Cartografía - Características del sitio
V-SITE  </v>
      </c>
    </row>
    <row r="817" spans="1:19" x14ac:dyDescent="0.45">
      <c r="A817" s="7">
        <v>0</v>
      </c>
      <c r="B817" s="11" t="s">
        <v>3742</v>
      </c>
      <c r="C817" s="11" t="s">
        <v>51</v>
      </c>
      <c r="D817" s="11" t="s">
        <v>2878</v>
      </c>
      <c r="E817" s="11" t="str">
        <f t="shared" si="96"/>
        <v>V-SITE-EWAT (Topografía / Cartografía - Características del sitio: borde del agua)</v>
      </c>
      <c r="F817" s="19" t="s">
        <v>3798</v>
      </c>
      <c r="G817" s="19" t="s">
        <v>3797</v>
      </c>
      <c r="H817" s="19" t="s">
        <v>3811</v>
      </c>
      <c r="I817" s="10">
        <v>0</v>
      </c>
      <c r="J817" s="10" t="str">
        <f t="shared" si="97"/>
        <v>Topografía / Cartografía - Características del sitio: borde del agua</v>
      </c>
      <c r="K817" s="11" t="s">
        <v>2694</v>
      </c>
      <c r="L817" s="11" t="s">
        <v>50</v>
      </c>
      <c r="M817" s="11" t="s">
        <v>2695</v>
      </c>
      <c r="N817" s="18" t="str">
        <f t="shared" si="98"/>
        <v xml:space="preserve">-LAYER N V-SITE-EWAT </v>
      </c>
      <c r="O817" s="11" t="str">
        <f t="shared" si="99"/>
        <v xml:space="preserve">-LAYER C white V-SITE-EWAT </v>
      </c>
      <c r="P817" s="11" t="str">
        <f t="shared" si="100"/>
        <v xml:space="preserve">-LAYER L Continuous
V-SITE-EWAT  </v>
      </c>
      <c r="Q817" s="11" t="str">
        <f t="shared" si="101"/>
        <v xml:space="preserve">-LAYER LW Default
V-SITE-EWAT  </v>
      </c>
      <c r="R817" s="11" t="str">
        <f t="shared" si="102"/>
        <v xml:space="preserve">-LAYER TR 0
V-SITE-EWAT  </v>
      </c>
      <c r="S817" s="11" t="str">
        <f t="shared" si="103"/>
        <v xml:space="preserve">-LAYER D Topografía / Cartografía - Características del sitio: borde del agua
V-SITE-EWAT  </v>
      </c>
    </row>
    <row r="818" spans="1:19" x14ac:dyDescent="0.45">
      <c r="A818" s="7">
        <v>0</v>
      </c>
      <c r="B818" s="11" t="s">
        <v>3743</v>
      </c>
      <c r="C818" s="11" t="s">
        <v>51</v>
      </c>
      <c r="D818" s="11" t="s">
        <v>2879</v>
      </c>
      <c r="E818" s="11" t="str">
        <f t="shared" si="96"/>
        <v>V-SITE-FENC (Topografía / Cartografía - Características del sitio: cercas)</v>
      </c>
      <c r="F818" s="19" t="s">
        <v>3798</v>
      </c>
      <c r="G818" s="19" t="s">
        <v>3797</v>
      </c>
      <c r="H818" s="19" t="s">
        <v>3811</v>
      </c>
      <c r="I818" s="10">
        <v>0</v>
      </c>
      <c r="J818" s="10" t="str">
        <f t="shared" si="97"/>
        <v>Topografía / Cartografía - Características del sitio: cercas</v>
      </c>
      <c r="K818" s="11" t="s">
        <v>2696</v>
      </c>
      <c r="L818" s="11" t="s">
        <v>50</v>
      </c>
      <c r="M818" s="11" t="s">
        <v>2697</v>
      </c>
      <c r="N818" s="18" t="str">
        <f t="shared" si="98"/>
        <v xml:space="preserve">-LAYER N V-SITE-FENC </v>
      </c>
      <c r="O818" s="11" t="str">
        <f t="shared" si="99"/>
        <v xml:space="preserve">-LAYER C white V-SITE-FENC </v>
      </c>
      <c r="P818" s="11" t="str">
        <f t="shared" si="100"/>
        <v xml:space="preserve">-LAYER L Continuous
V-SITE-FENC  </v>
      </c>
      <c r="Q818" s="11" t="str">
        <f t="shared" si="101"/>
        <v xml:space="preserve">-LAYER LW Default
V-SITE-FENC  </v>
      </c>
      <c r="R818" s="11" t="str">
        <f t="shared" si="102"/>
        <v xml:space="preserve">-LAYER TR 0
V-SITE-FENC  </v>
      </c>
      <c r="S818" s="11" t="str">
        <f t="shared" si="103"/>
        <v xml:space="preserve">-LAYER D Topografía / Cartografía - Características del sitio: cercas
V-SITE-FENC  </v>
      </c>
    </row>
    <row r="819" spans="1:19" x14ac:dyDescent="0.45">
      <c r="A819" s="7">
        <v>0</v>
      </c>
      <c r="B819" s="11" t="s">
        <v>3744</v>
      </c>
      <c r="C819" s="11" t="s">
        <v>51</v>
      </c>
      <c r="D819" s="11" t="s">
        <v>2880</v>
      </c>
      <c r="E819" s="11" t="str">
        <f t="shared" si="96"/>
        <v>V-SITE-ROCK (Topografía / Cartografía - Características del sitio: rocas grandes y afloramientos rocosos)</v>
      </c>
      <c r="F819" s="19" t="s">
        <v>3798</v>
      </c>
      <c r="G819" s="19" t="s">
        <v>3797</v>
      </c>
      <c r="H819" s="19" t="s">
        <v>3811</v>
      </c>
      <c r="I819" s="10">
        <v>0</v>
      </c>
      <c r="J819" s="10" t="str">
        <f t="shared" si="97"/>
        <v>Topografía / Cartografía - Características del sitio: rocas grandes y afloramientos rocosos</v>
      </c>
      <c r="K819" s="11" t="s">
        <v>2698</v>
      </c>
      <c r="L819" s="11" t="s">
        <v>50</v>
      </c>
      <c r="M819" s="11" t="s">
        <v>2699</v>
      </c>
      <c r="N819" s="18" t="str">
        <f t="shared" si="98"/>
        <v xml:space="preserve">-LAYER N V-SITE-ROCK </v>
      </c>
      <c r="O819" s="11" t="str">
        <f t="shared" si="99"/>
        <v xml:space="preserve">-LAYER C white V-SITE-ROCK </v>
      </c>
      <c r="P819" s="11" t="str">
        <f t="shared" si="100"/>
        <v xml:space="preserve">-LAYER L Continuous
V-SITE-ROCK  </v>
      </c>
      <c r="Q819" s="11" t="str">
        <f t="shared" si="101"/>
        <v xml:space="preserve">-LAYER LW Default
V-SITE-ROCK  </v>
      </c>
      <c r="R819" s="11" t="str">
        <f t="shared" si="102"/>
        <v xml:space="preserve">-LAYER TR 0
V-SITE-ROCK  </v>
      </c>
      <c r="S819" s="11" t="str">
        <f t="shared" si="103"/>
        <v xml:space="preserve">-LAYER D Topografía / Cartografía - Características del sitio: rocas grandes y afloramientos rocosos
V-SITE-ROCK  </v>
      </c>
    </row>
    <row r="820" spans="1:19" x14ac:dyDescent="0.45">
      <c r="A820" s="7">
        <v>0</v>
      </c>
      <c r="B820" s="11" t="s">
        <v>3745</v>
      </c>
      <c r="C820" s="11" t="s">
        <v>51</v>
      </c>
      <c r="D820" s="11" t="s">
        <v>2881</v>
      </c>
      <c r="E820" s="11" t="str">
        <f t="shared" si="96"/>
        <v>V-SITE-RTWL (Topografía / Cartografía - Características del sitio: muro de contención)</v>
      </c>
      <c r="F820" s="19" t="s">
        <v>3798</v>
      </c>
      <c r="G820" s="19" t="s">
        <v>3797</v>
      </c>
      <c r="H820" s="19" t="s">
        <v>3811</v>
      </c>
      <c r="I820" s="10">
        <v>0</v>
      </c>
      <c r="J820" s="10" t="str">
        <f t="shared" si="97"/>
        <v>Topografía / Cartografía - Características del sitio: muro de contención</v>
      </c>
      <c r="K820" s="11" t="s">
        <v>2700</v>
      </c>
      <c r="L820" s="11" t="s">
        <v>50</v>
      </c>
      <c r="M820" s="11" t="s">
        <v>2701</v>
      </c>
      <c r="N820" s="18" t="str">
        <f t="shared" si="98"/>
        <v xml:space="preserve">-LAYER N V-SITE-RTWL </v>
      </c>
      <c r="O820" s="11" t="str">
        <f t="shared" si="99"/>
        <v xml:space="preserve">-LAYER C white V-SITE-RTWL </v>
      </c>
      <c r="P820" s="11" t="str">
        <f t="shared" si="100"/>
        <v xml:space="preserve">-LAYER L Continuous
V-SITE-RTWL  </v>
      </c>
      <c r="Q820" s="11" t="str">
        <f t="shared" si="101"/>
        <v xml:space="preserve">-LAYER LW Default
V-SITE-RTWL  </v>
      </c>
      <c r="R820" s="11" t="str">
        <f t="shared" si="102"/>
        <v xml:space="preserve">-LAYER TR 0
V-SITE-RTWL  </v>
      </c>
      <c r="S820" s="11" t="str">
        <f t="shared" si="103"/>
        <v xml:space="preserve">-LAYER D Topografía / Cartografía - Características del sitio: muro de contención
V-SITE-RTWL  </v>
      </c>
    </row>
    <row r="821" spans="1:19" x14ac:dyDescent="0.45">
      <c r="A821" s="7">
        <v>0</v>
      </c>
      <c r="B821" s="11" t="s">
        <v>3746</v>
      </c>
      <c r="C821" s="11" t="s">
        <v>51</v>
      </c>
      <c r="D821" s="11" t="s">
        <v>2882</v>
      </c>
      <c r="E821" s="11" t="str">
        <f t="shared" si="96"/>
        <v>V-SITE-SIGN (Topografía / Cartografía - Características del sitio: señalización)</v>
      </c>
      <c r="F821" s="19" t="s">
        <v>3798</v>
      </c>
      <c r="G821" s="19" t="s">
        <v>3797</v>
      </c>
      <c r="H821" s="19" t="s">
        <v>3811</v>
      </c>
      <c r="I821" s="10">
        <v>0</v>
      </c>
      <c r="J821" s="10" t="str">
        <f t="shared" si="97"/>
        <v>Topografía / Cartografía - Características del sitio: señalización</v>
      </c>
      <c r="K821" s="11" t="s">
        <v>2702</v>
      </c>
      <c r="L821" s="11" t="s">
        <v>50</v>
      </c>
      <c r="M821" s="11" t="s">
        <v>2703</v>
      </c>
      <c r="N821" s="18" t="str">
        <f t="shared" si="98"/>
        <v xml:space="preserve">-LAYER N V-SITE-SIGN </v>
      </c>
      <c r="O821" s="11" t="str">
        <f t="shared" si="99"/>
        <v xml:space="preserve">-LAYER C white V-SITE-SIGN </v>
      </c>
      <c r="P821" s="11" t="str">
        <f t="shared" si="100"/>
        <v xml:space="preserve">-LAYER L Continuous
V-SITE-SIGN  </v>
      </c>
      <c r="Q821" s="11" t="str">
        <f t="shared" si="101"/>
        <v xml:space="preserve">-LAYER LW Default
V-SITE-SIGN  </v>
      </c>
      <c r="R821" s="11" t="str">
        <f t="shared" si="102"/>
        <v xml:space="preserve">-LAYER TR 0
V-SITE-SIGN  </v>
      </c>
      <c r="S821" s="11" t="str">
        <f t="shared" si="103"/>
        <v xml:space="preserve">-LAYER D Topografía / Cartografía - Características del sitio: señalización
V-SITE-SIGN  </v>
      </c>
    </row>
    <row r="822" spans="1:19" x14ac:dyDescent="0.45">
      <c r="A822" s="7">
        <v>0</v>
      </c>
      <c r="B822" s="11" t="s">
        <v>3747</v>
      </c>
      <c r="C822" s="11" t="s">
        <v>51</v>
      </c>
      <c r="D822" s="11" t="s">
        <v>2883</v>
      </c>
      <c r="E822" s="11" t="str">
        <f t="shared" si="96"/>
        <v>V-SITE-VEGE (Topografía / Cartografía - Características del sitio: árboles, arbustos y otra vegetación)</v>
      </c>
      <c r="F822" s="19" t="s">
        <v>3798</v>
      </c>
      <c r="G822" s="19" t="s">
        <v>3797</v>
      </c>
      <c r="H822" s="19" t="s">
        <v>3811</v>
      </c>
      <c r="I822" s="10">
        <v>0</v>
      </c>
      <c r="J822" s="10" t="str">
        <f t="shared" si="97"/>
        <v>Topografía / Cartografía - Características del sitio: árboles, arbustos y otra vegetación</v>
      </c>
      <c r="K822" s="11" t="s">
        <v>2704</v>
      </c>
      <c r="L822" s="11" t="s">
        <v>50</v>
      </c>
      <c r="M822" s="11" t="s">
        <v>2705</v>
      </c>
      <c r="N822" s="18" t="str">
        <f t="shared" si="98"/>
        <v xml:space="preserve">-LAYER N V-SITE-VEGE </v>
      </c>
      <c r="O822" s="11" t="str">
        <f t="shared" si="99"/>
        <v xml:space="preserve">-LAYER C white V-SITE-VEGE </v>
      </c>
      <c r="P822" s="11" t="str">
        <f t="shared" si="100"/>
        <v xml:space="preserve">-LAYER L Continuous
V-SITE-VEGE  </v>
      </c>
      <c r="Q822" s="11" t="str">
        <f t="shared" si="101"/>
        <v xml:space="preserve">-LAYER LW Default
V-SITE-VEGE  </v>
      </c>
      <c r="R822" s="11" t="str">
        <f t="shared" si="102"/>
        <v xml:space="preserve">-LAYER TR 0
V-SITE-VEGE  </v>
      </c>
      <c r="S822" s="11" t="str">
        <f t="shared" si="103"/>
        <v xml:space="preserve">-LAYER D Topografía / Cartografía - Características del sitio: árboles, arbustos y otra vegetación
V-SITE-VEGE  </v>
      </c>
    </row>
    <row r="823" spans="1:19" x14ac:dyDescent="0.45">
      <c r="A823" s="7">
        <v>1</v>
      </c>
      <c r="B823" s="11" t="s">
        <v>3748</v>
      </c>
      <c r="C823" s="11" t="s">
        <v>51</v>
      </c>
      <c r="D823" s="11" t="s">
        <v>625</v>
      </c>
      <c r="E823" s="11" t="str">
        <f t="shared" si="96"/>
        <v>V-SSWR (Topografía / Cartografía - Alcantarillado sanitario)</v>
      </c>
      <c r="F823" s="10" t="s">
        <v>3803</v>
      </c>
      <c r="G823" s="10" t="s">
        <v>3797</v>
      </c>
      <c r="H823" s="10">
        <v>0.3</v>
      </c>
      <c r="I823" s="10">
        <v>0</v>
      </c>
      <c r="J823" s="10" t="str">
        <f t="shared" si="97"/>
        <v>Topografía / Cartografía - Alcantarillado sanitario</v>
      </c>
      <c r="K823" s="11" t="s">
        <v>2706</v>
      </c>
      <c r="L823" s="11" t="s">
        <v>50</v>
      </c>
      <c r="M823" s="11" t="s">
        <v>624</v>
      </c>
      <c r="N823" s="18" t="str">
        <f t="shared" si="98"/>
        <v xml:space="preserve">-LAYER N V-SSWR </v>
      </c>
      <c r="O823" s="11" t="str">
        <f t="shared" si="99"/>
        <v xml:space="preserve">-LAYER C green V-SSWR </v>
      </c>
      <c r="P823" s="11" t="str">
        <f t="shared" si="100"/>
        <v xml:space="preserve">-LAYER L Continuous
V-SSWR  </v>
      </c>
      <c r="Q823" s="11" t="str">
        <f t="shared" si="101"/>
        <v xml:space="preserve">-LAYER LW 0.3
V-SSWR  </v>
      </c>
      <c r="R823" s="11" t="str">
        <f t="shared" si="102"/>
        <v xml:space="preserve">-LAYER TR 0
V-SSWR  </v>
      </c>
      <c r="S823" s="11" t="str">
        <f t="shared" si="103"/>
        <v xml:space="preserve">-LAYER D Topografía / Cartografía - Alcantarillado sanitario
V-SSWR  </v>
      </c>
    </row>
    <row r="824" spans="1:19" x14ac:dyDescent="0.45">
      <c r="A824" s="7">
        <v>0</v>
      </c>
      <c r="B824" s="11" t="s">
        <v>3749</v>
      </c>
      <c r="C824" s="11" t="s">
        <v>51</v>
      </c>
      <c r="D824" s="11" t="s">
        <v>1538</v>
      </c>
      <c r="E824" s="11" t="str">
        <f t="shared" si="96"/>
        <v>V-SSWR-MHOL (Topografía / Cartografía - Alcantarillado sanitario: pozo de registro)</v>
      </c>
      <c r="F824" s="19" t="s">
        <v>3798</v>
      </c>
      <c r="G824" s="19" t="s">
        <v>3797</v>
      </c>
      <c r="H824" s="19" t="s">
        <v>3811</v>
      </c>
      <c r="I824" s="10">
        <v>0</v>
      </c>
      <c r="J824" s="10" t="str">
        <f t="shared" si="97"/>
        <v>Topografía / Cartografía - Alcantarillado sanitario: pozo de registro</v>
      </c>
      <c r="K824" s="11" t="s">
        <v>2707</v>
      </c>
      <c r="L824" s="11" t="s">
        <v>50</v>
      </c>
      <c r="M824" s="11" t="s">
        <v>1537</v>
      </c>
      <c r="N824" s="18" t="str">
        <f t="shared" si="98"/>
        <v xml:space="preserve">-LAYER N V-SSWR-MHOL </v>
      </c>
      <c r="O824" s="11" t="str">
        <f t="shared" si="99"/>
        <v xml:space="preserve">-LAYER C white V-SSWR-MHOL </v>
      </c>
      <c r="P824" s="11" t="str">
        <f t="shared" si="100"/>
        <v xml:space="preserve">-LAYER L Continuous
V-SSWR-MHOL  </v>
      </c>
      <c r="Q824" s="11" t="str">
        <f t="shared" si="101"/>
        <v xml:space="preserve">-LAYER LW Default
V-SSWR-MHOL  </v>
      </c>
      <c r="R824" s="11" t="str">
        <f t="shared" si="102"/>
        <v xml:space="preserve">-LAYER TR 0
V-SSWR-MHOL  </v>
      </c>
      <c r="S824" s="11" t="str">
        <f t="shared" si="103"/>
        <v xml:space="preserve">-LAYER D Topografía / Cartografía - Alcantarillado sanitario: pozo de registro
V-SSWR-MHOL  </v>
      </c>
    </row>
    <row r="825" spans="1:19" x14ac:dyDescent="0.45">
      <c r="A825" s="7">
        <v>0</v>
      </c>
      <c r="B825" s="11" t="s">
        <v>3750</v>
      </c>
      <c r="C825" s="11" t="s">
        <v>51</v>
      </c>
      <c r="D825" s="11" t="s">
        <v>1541</v>
      </c>
      <c r="E825" s="11" t="str">
        <f t="shared" si="96"/>
        <v>V-SSWR-PIPE (Topografía / Cartografía - Alcantarillado sanitario: tuberías)</v>
      </c>
      <c r="F825" s="19" t="s">
        <v>3798</v>
      </c>
      <c r="G825" s="19" t="s">
        <v>3797</v>
      </c>
      <c r="H825" s="19" t="s">
        <v>3811</v>
      </c>
      <c r="I825" s="10">
        <v>0</v>
      </c>
      <c r="J825" s="10" t="str">
        <f t="shared" si="97"/>
        <v>Topografía / Cartografía - Alcantarillado sanitario: tuberías</v>
      </c>
      <c r="K825" s="11" t="s">
        <v>2708</v>
      </c>
      <c r="L825" s="11" t="s">
        <v>50</v>
      </c>
      <c r="M825" s="11" t="s">
        <v>1540</v>
      </c>
      <c r="N825" s="18" t="str">
        <f t="shared" si="98"/>
        <v xml:space="preserve">-LAYER N V-SSWR-PIPE </v>
      </c>
      <c r="O825" s="11" t="str">
        <f t="shared" si="99"/>
        <v xml:space="preserve">-LAYER C white V-SSWR-PIPE </v>
      </c>
      <c r="P825" s="11" t="str">
        <f t="shared" si="100"/>
        <v xml:space="preserve">-LAYER L Continuous
V-SSWR-PIPE  </v>
      </c>
      <c r="Q825" s="11" t="str">
        <f t="shared" si="101"/>
        <v xml:space="preserve">-LAYER LW Default
V-SSWR-PIPE  </v>
      </c>
      <c r="R825" s="11" t="str">
        <f t="shared" si="102"/>
        <v xml:space="preserve">-LAYER TR 0
V-SSWR-PIPE  </v>
      </c>
      <c r="S825" s="11" t="str">
        <f t="shared" si="103"/>
        <v xml:space="preserve">-LAYER D Topografía / Cartografía - Alcantarillado sanitario: tuberías
V-SSWR-PIPE  </v>
      </c>
    </row>
    <row r="826" spans="1:19" x14ac:dyDescent="0.45">
      <c r="A826" s="7">
        <v>0</v>
      </c>
      <c r="B826" s="11" t="s">
        <v>3751</v>
      </c>
      <c r="C826" s="11" t="s">
        <v>51</v>
      </c>
      <c r="D826" s="11" t="s">
        <v>1556</v>
      </c>
      <c r="E826" s="11" t="str">
        <f t="shared" si="96"/>
        <v>V-SSWR-STRC (Topografía / Cartografía - Alcantarillado sanitario: estructuras)</v>
      </c>
      <c r="F826" s="19" t="s">
        <v>3798</v>
      </c>
      <c r="G826" s="19" t="s">
        <v>3797</v>
      </c>
      <c r="H826" s="19" t="s">
        <v>3811</v>
      </c>
      <c r="I826" s="10">
        <v>0</v>
      </c>
      <c r="J826" s="10" t="str">
        <f t="shared" si="97"/>
        <v>Topografía / Cartografía - Alcantarillado sanitario: estructuras</v>
      </c>
      <c r="K826" s="11" t="s">
        <v>2709</v>
      </c>
      <c r="L826" s="11" t="s">
        <v>50</v>
      </c>
      <c r="M826" s="11" t="s">
        <v>1555</v>
      </c>
      <c r="N826" s="18" t="str">
        <f t="shared" si="98"/>
        <v xml:space="preserve">-LAYER N V-SSWR-STRC </v>
      </c>
      <c r="O826" s="11" t="str">
        <f t="shared" si="99"/>
        <v xml:space="preserve">-LAYER C white V-SSWR-STRC </v>
      </c>
      <c r="P826" s="11" t="str">
        <f t="shared" si="100"/>
        <v xml:space="preserve">-LAYER L Continuous
V-SSWR-STRC  </v>
      </c>
      <c r="Q826" s="11" t="str">
        <f t="shared" si="101"/>
        <v xml:space="preserve">-LAYER LW Default
V-SSWR-STRC  </v>
      </c>
      <c r="R826" s="11" t="str">
        <f t="shared" si="102"/>
        <v xml:space="preserve">-LAYER TR 0
V-SSWR-STRC  </v>
      </c>
      <c r="S826" s="11" t="str">
        <f t="shared" si="103"/>
        <v xml:space="preserve">-LAYER D Topografía / Cartografía - Alcantarillado sanitario: estructuras
V-SSWR-STRC  </v>
      </c>
    </row>
    <row r="827" spans="1:19" x14ac:dyDescent="0.45">
      <c r="A827" s="7">
        <v>0</v>
      </c>
      <c r="B827" s="11" t="s">
        <v>3752</v>
      </c>
      <c r="C827" s="11" t="s">
        <v>51</v>
      </c>
      <c r="D827" s="11" t="s">
        <v>1559</v>
      </c>
      <c r="E827" s="11" t="str">
        <f t="shared" si="96"/>
        <v>V-SSWR-UGND (Topografía / Cartografía - Alcantarillado sanitario: subterráneo)</v>
      </c>
      <c r="F827" s="19" t="s">
        <v>3798</v>
      </c>
      <c r="G827" s="19" t="s">
        <v>3797</v>
      </c>
      <c r="H827" s="19" t="s">
        <v>3811</v>
      </c>
      <c r="I827" s="10">
        <v>0</v>
      </c>
      <c r="J827" s="10" t="str">
        <f t="shared" si="97"/>
        <v>Topografía / Cartografía - Alcantarillado sanitario: subterráneo</v>
      </c>
      <c r="K827" s="11" t="s">
        <v>2710</v>
      </c>
      <c r="L827" s="11" t="s">
        <v>50</v>
      </c>
      <c r="M827" s="11" t="s">
        <v>1558</v>
      </c>
      <c r="N827" s="18" t="str">
        <f t="shared" si="98"/>
        <v xml:space="preserve">-LAYER N V-SSWR-UGND </v>
      </c>
      <c r="O827" s="11" t="str">
        <f t="shared" si="99"/>
        <v xml:space="preserve">-LAYER C white V-SSWR-UGND </v>
      </c>
      <c r="P827" s="11" t="str">
        <f t="shared" si="100"/>
        <v xml:space="preserve">-LAYER L Continuous
V-SSWR-UGND  </v>
      </c>
      <c r="Q827" s="11" t="str">
        <f t="shared" si="101"/>
        <v xml:space="preserve">-LAYER LW Default
V-SSWR-UGND  </v>
      </c>
      <c r="R827" s="11" t="str">
        <f t="shared" si="102"/>
        <v xml:space="preserve">-LAYER TR 0
V-SSWR-UGND  </v>
      </c>
      <c r="S827" s="11" t="str">
        <f t="shared" si="103"/>
        <v xml:space="preserve">-LAYER D Topografía / Cartografía - Alcantarillado sanitario: subterráneo
V-SSWR-UGND  </v>
      </c>
    </row>
    <row r="828" spans="1:19" x14ac:dyDescent="0.45">
      <c r="A828" s="7">
        <v>0</v>
      </c>
      <c r="B828" s="11" t="s">
        <v>3753</v>
      </c>
      <c r="C828" s="11" t="s">
        <v>51</v>
      </c>
      <c r="D828" s="11" t="s">
        <v>628</v>
      </c>
      <c r="E828" s="11" t="str">
        <f t="shared" si="96"/>
        <v>V-STEM (Topografía / Cartografía - Sistema de vapor)</v>
      </c>
      <c r="F828" s="19" t="s">
        <v>3798</v>
      </c>
      <c r="G828" s="19" t="s">
        <v>3797</v>
      </c>
      <c r="H828" s="19" t="s">
        <v>3811</v>
      </c>
      <c r="I828" s="10">
        <v>0</v>
      </c>
      <c r="J828" s="10" t="str">
        <f t="shared" si="97"/>
        <v>Topografía / Cartografía - Sistema de vapor</v>
      </c>
      <c r="K828" s="11" t="s">
        <v>2711</v>
      </c>
      <c r="L828" s="11" t="s">
        <v>50</v>
      </c>
      <c r="M828" s="11" t="s">
        <v>627</v>
      </c>
      <c r="N828" s="18" t="str">
        <f t="shared" si="98"/>
        <v xml:space="preserve">-LAYER N V-STEM </v>
      </c>
      <c r="O828" s="11" t="str">
        <f t="shared" si="99"/>
        <v xml:space="preserve">-LAYER C white V-STEM </v>
      </c>
      <c r="P828" s="11" t="str">
        <f t="shared" si="100"/>
        <v xml:space="preserve">-LAYER L Continuous
V-STEM  </v>
      </c>
      <c r="Q828" s="11" t="str">
        <f t="shared" si="101"/>
        <v xml:space="preserve">-LAYER LW Default
V-STEM  </v>
      </c>
      <c r="R828" s="11" t="str">
        <f t="shared" si="102"/>
        <v xml:space="preserve">-LAYER TR 0
V-STEM  </v>
      </c>
      <c r="S828" s="11" t="str">
        <f t="shared" si="103"/>
        <v xml:space="preserve">-LAYER D Topografía / Cartografía - Sistema de vapor
V-STEM  </v>
      </c>
    </row>
    <row r="829" spans="1:19" x14ac:dyDescent="0.45">
      <c r="A829" s="7">
        <v>0</v>
      </c>
      <c r="B829" s="11" t="s">
        <v>3754</v>
      </c>
      <c r="C829" s="11" t="s">
        <v>51</v>
      </c>
      <c r="D829" s="11" t="s">
        <v>2884</v>
      </c>
      <c r="E829" s="11" t="str">
        <f t="shared" si="96"/>
        <v>V-STEM-INST (Topografía / Cartografía - Sistema de vapor: instrumentación (medidores, válvulas, bombas))</v>
      </c>
      <c r="F829" s="19" t="s">
        <v>3798</v>
      </c>
      <c r="G829" s="19" t="s">
        <v>3797</v>
      </c>
      <c r="H829" s="19" t="s">
        <v>3811</v>
      </c>
      <c r="I829" s="10">
        <v>0</v>
      </c>
      <c r="J829" s="10" t="str">
        <f t="shared" si="97"/>
        <v>Topografía / Cartografía - Sistema de vapor: instrumentación (medidores, válvulas, bombas)</v>
      </c>
      <c r="K829" s="11" t="s">
        <v>2712</v>
      </c>
      <c r="L829" s="11" t="s">
        <v>50</v>
      </c>
      <c r="M829" s="11" t="s">
        <v>2773</v>
      </c>
      <c r="N829" s="18" t="str">
        <f t="shared" si="98"/>
        <v xml:space="preserve">-LAYER N V-STEM-INST </v>
      </c>
      <c r="O829" s="11" t="str">
        <f t="shared" si="99"/>
        <v xml:space="preserve">-LAYER C white V-STEM-INST </v>
      </c>
      <c r="P829" s="11" t="str">
        <f t="shared" si="100"/>
        <v xml:space="preserve">-LAYER L Continuous
V-STEM-INST  </v>
      </c>
      <c r="Q829" s="11" t="str">
        <f t="shared" si="101"/>
        <v xml:space="preserve">-LAYER LW Default
V-STEM-INST  </v>
      </c>
      <c r="R829" s="11" t="str">
        <f t="shared" si="102"/>
        <v xml:space="preserve">-LAYER TR 0
V-STEM-INST  </v>
      </c>
      <c r="S829" s="11" t="str">
        <f t="shared" si="103"/>
        <v xml:space="preserve">-LAYER D Topografía / Cartografía - Sistema de vapor: instrumentación (medidores, válvulas, bombas)
V-STEM-INST  </v>
      </c>
    </row>
    <row r="830" spans="1:19" x14ac:dyDescent="0.45">
      <c r="A830" s="7">
        <v>0</v>
      </c>
      <c r="B830" s="11" t="s">
        <v>3755</v>
      </c>
      <c r="C830" s="11" t="s">
        <v>51</v>
      </c>
      <c r="D830" s="11" t="s">
        <v>1566</v>
      </c>
      <c r="E830" s="11" t="str">
        <f t="shared" si="96"/>
        <v>V-STEM-MHOL (Topografía / Cartografía - Sistema de vapor: pozo de registro)</v>
      </c>
      <c r="F830" s="19" t="s">
        <v>3798</v>
      </c>
      <c r="G830" s="19" t="s">
        <v>3797</v>
      </c>
      <c r="H830" s="19" t="s">
        <v>3811</v>
      </c>
      <c r="I830" s="10">
        <v>0</v>
      </c>
      <c r="J830" s="10" t="str">
        <f t="shared" si="97"/>
        <v>Topografía / Cartografía - Sistema de vapor: pozo de registro</v>
      </c>
      <c r="K830" s="11" t="s">
        <v>2774</v>
      </c>
      <c r="L830" s="11" t="s">
        <v>50</v>
      </c>
      <c r="M830" s="11" t="s">
        <v>1565</v>
      </c>
      <c r="N830" s="18" t="str">
        <f t="shared" si="98"/>
        <v xml:space="preserve">-LAYER N V-STEM-MHOL </v>
      </c>
      <c r="O830" s="11" t="str">
        <f t="shared" si="99"/>
        <v xml:space="preserve">-LAYER C white V-STEM-MHOL </v>
      </c>
      <c r="P830" s="11" t="str">
        <f t="shared" si="100"/>
        <v xml:space="preserve">-LAYER L Continuous
V-STEM-MHOL  </v>
      </c>
      <c r="Q830" s="11" t="str">
        <f t="shared" si="101"/>
        <v xml:space="preserve">-LAYER LW Default
V-STEM-MHOL  </v>
      </c>
      <c r="R830" s="11" t="str">
        <f t="shared" si="102"/>
        <v xml:space="preserve">-LAYER TR 0
V-STEM-MHOL  </v>
      </c>
      <c r="S830" s="11" t="str">
        <f t="shared" si="103"/>
        <v xml:space="preserve">-LAYER D Topografía / Cartografía - Sistema de vapor: pozo de registro
V-STEM-MHOL  </v>
      </c>
    </row>
    <row r="831" spans="1:19" x14ac:dyDescent="0.45">
      <c r="A831" s="7">
        <v>0</v>
      </c>
      <c r="B831" s="11" t="s">
        <v>3756</v>
      </c>
      <c r="C831" s="11" t="s">
        <v>51</v>
      </c>
      <c r="D831" s="11" t="s">
        <v>1569</v>
      </c>
      <c r="E831" s="11" t="str">
        <f t="shared" si="96"/>
        <v>V-STEM-PIPE (Topografía / Cartografía - Sistema de vapor: tuberías)</v>
      </c>
      <c r="F831" s="19" t="s">
        <v>3798</v>
      </c>
      <c r="G831" s="19" t="s">
        <v>3797</v>
      </c>
      <c r="H831" s="19" t="s">
        <v>3811</v>
      </c>
      <c r="I831" s="10">
        <v>0</v>
      </c>
      <c r="J831" s="10" t="str">
        <f t="shared" si="97"/>
        <v>Topografía / Cartografía - Sistema de vapor: tuberías</v>
      </c>
      <c r="K831" s="11" t="s">
        <v>2713</v>
      </c>
      <c r="L831" s="11" t="s">
        <v>50</v>
      </c>
      <c r="M831" s="11" t="s">
        <v>1568</v>
      </c>
      <c r="N831" s="18" t="str">
        <f t="shared" si="98"/>
        <v xml:space="preserve">-LAYER N V-STEM-PIPE </v>
      </c>
      <c r="O831" s="11" t="str">
        <f t="shared" si="99"/>
        <v xml:space="preserve">-LAYER C white V-STEM-PIPE </v>
      </c>
      <c r="P831" s="11" t="str">
        <f t="shared" si="100"/>
        <v xml:space="preserve">-LAYER L Continuous
V-STEM-PIPE  </v>
      </c>
      <c r="Q831" s="11" t="str">
        <f t="shared" si="101"/>
        <v xml:space="preserve">-LAYER LW Default
V-STEM-PIPE  </v>
      </c>
      <c r="R831" s="11" t="str">
        <f t="shared" si="102"/>
        <v xml:space="preserve">-LAYER TR 0
V-STEM-PIPE  </v>
      </c>
      <c r="S831" s="11" t="str">
        <f t="shared" si="103"/>
        <v xml:space="preserve">-LAYER D Topografía / Cartografía - Sistema de vapor: tuberías
V-STEM-PIPE  </v>
      </c>
    </row>
    <row r="832" spans="1:19" x14ac:dyDescent="0.45">
      <c r="A832" s="7">
        <v>0</v>
      </c>
      <c r="B832" s="11" t="s">
        <v>3757</v>
      </c>
      <c r="C832" s="11" t="s">
        <v>51</v>
      </c>
      <c r="D832" s="11" t="s">
        <v>1572</v>
      </c>
      <c r="E832" s="11" t="str">
        <f t="shared" si="96"/>
        <v>V-STEM-STRC (Topografía / Cartografía - Sistema de vapor: estructuras)</v>
      </c>
      <c r="F832" s="19" t="s">
        <v>3798</v>
      </c>
      <c r="G832" s="19" t="s">
        <v>3797</v>
      </c>
      <c r="H832" s="19" t="s">
        <v>3811</v>
      </c>
      <c r="I832" s="10">
        <v>0</v>
      </c>
      <c r="J832" s="10" t="str">
        <f t="shared" si="97"/>
        <v>Topografía / Cartografía - Sistema de vapor: estructuras</v>
      </c>
      <c r="K832" s="11" t="s">
        <v>2714</v>
      </c>
      <c r="L832" s="11" t="s">
        <v>50</v>
      </c>
      <c r="M832" s="11" t="s">
        <v>1571</v>
      </c>
      <c r="N832" s="18" t="str">
        <f t="shared" si="98"/>
        <v xml:space="preserve">-LAYER N V-STEM-STRC </v>
      </c>
      <c r="O832" s="11" t="str">
        <f t="shared" si="99"/>
        <v xml:space="preserve">-LAYER C white V-STEM-STRC </v>
      </c>
      <c r="P832" s="11" t="str">
        <f t="shared" si="100"/>
        <v xml:space="preserve">-LAYER L Continuous
V-STEM-STRC  </v>
      </c>
      <c r="Q832" s="11" t="str">
        <f t="shared" si="101"/>
        <v xml:space="preserve">-LAYER LW Default
V-STEM-STRC  </v>
      </c>
      <c r="R832" s="11" t="str">
        <f t="shared" si="102"/>
        <v xml:space="preserve">-LAYER TR 0
V-STEM-STRC  </v>
      </c>
      <c r="S832" s="11" t="str">
        <f t="shared" si="103"/>
        <v xml:space="preserve">-LAYER D Topografía / Cartografía - Sistema de vapor: estructuras
V-STEM-STRC  </v>
      </c>
    </row>
    <row r="833" spans="1:19" x14ac:dyDescent="0.45">
      <c r="A833" s="7">
        <v>0</v>
      </c>
      <c r="B833" s="11" t="s">
        <v>3758</v>
      </c>
      <c r="C833" s="11" t="s">
        <v>51</v>
      </c>
      <c r="D833" s="11" t="s">
        <v>2887</v>
      </c>
      <c r="E833" s="11" t="str">
        <f t="shared" si="96"/>
        <v>V-STEM-UGND (Topografía / Cartografía - Sistema de vapor: Subterráneo)</v>
      </c>
      <c r="F833" s="19" t="s">
        <v>3798</v>
      </c>
      <c r="G833" s="19" t="s">
        <v>3797</v>
      </c>
      <c r="H833" s="19" t="s">
        <v>3811</v>
      </c>
      <c r="I833" s="10">
        <v>0</v>
      </c>
      <c r="J833" s="10" t="str">
        <f t="shared" si="97"/>
        <v>Topografía / Cartografía - Sistema de vapor: Subterráneo</v>
      </c>
      <c r="K833" s="11" t="s">
        <v>2715</v>
      </c>
      <c r="L833" s="11" t="s">
        <v>50</v>
      </c>
      <c r="M833" s="11" t="s">
        <v>1574</v>
      </c>
      <c r="N833" s="18" t="str">
        <f t="shared" si="98"/>
        <v xml:space="preserve">-LAYER N V-STEM-UGND </v>
      </c>
      <c r="O833" s="11" t="str">
        <f t="shared" si="99"/>
        <v xml:space="preserve">-LAYER C white V-STEM-UGND </v>
      </c>
      <c r="P833" s="11" t="str">
        <f t="shared" si="100"/>
        <v xml:space="preserve">-LAYER L Continuous
V-STEM-UGND  </v>
      </c>
      <c r="Q833" s="11" t="str">
        <f t="shared" si="101"/>
        <v xml:space="preserve">-LAYER LW Default
V-STEM-UGND  </v>
      </c>
      <c r="R833" s="11" t="str">
        <f t="shared" si="102"/>
        <v xml:space="preserve">-LAYER TR 0
V-STEM-UGND  </v>
      </c>
      <c r="S833" s="11" t="str">
        <f t="shared" si="103"/>
        <v xml:space="preserve">-LAYER D Topografía / Cartografía - Sistema de vapor: Subterráneo
V-STEM-UGND  </v>
      </c>
    </row>
    <row r="834" spans="1:19" x14ac:dyDescent="0.45">
      <c r="A834" s="7">
        <v>1</v>
      </c>
      <c r="B834" s="11" t="s">
        <v>3759</v>
      </c>
      <c r="C834" s="11" t="s">
        <v>51</v>
      </c>
      <c r="D834" s="11" t="s">
        <v>634</v>
      </c>
      <c r="E834" s="11" t="str">
        <f t="shared" si="96"/>
        <v>V-STRM (Topografía / Cartografía - Alcantarillado pluvial)</v>
      </c>
      <c r="F834" s="10">
        <v>151</v>
      </c>
      <c r="G834" s="10" t="s">
        <v>3797</v>
      </c>
      <c r="H834" s="10">
        <v>0.3</v>
      </c>
      <c r="I834" s="10">
        <v>0</v>
      </c>
      <c r="J834" s="10" t="str">
        <f t="shared" si="97"/>
        <v>Topografía / Cartografía - Alcantarillado pluvial</v>
      </c>
      <c r="K834" s="11" t="s">
        <v>2716</v>
      </c>
      <c r="L834" s="11" t="s">
        <v>50</v>
      </c>
      <c r="M834" s="11" t="s">
        <v>633</v>
      </c>
      <c r="N834" s="18" t="str">
        <f t="shared" si="98"/>
        <v xml:space="preserve">-LAYER N V-STRM </v>
      </c>
      <c r="O834" s="11" t="str">
        <f t="shared" si="99"/>
        <v xml:space="preserve">-LAYER C 151 V-STRM </v>
      </c>
      <c r="P834" s="11" t="str">
        <f t="shared" si="100"/>
        <v xml:space="preserve">-LAYER L Continuous
V-STRM  </v>
      </c>
      <c r="Q834" s="11" t="str">
        <f t="shared" si="101"/>
        <v xml:space="preserve">-LAYER LW 0.3
V-STRM  </v>
      </c>
      <c r="R834" s="11" t="str">
        <f t="shared" si="102"/>
        <v xml:space="preserve">-LAYER TR 0
V-STRM  </v>
      </c>
      <c r="S834" s="11" t="str">
        <f t="shared" si="103"/>
        <v xml:space="preserve">-LAYER D Topografía / Cartografía - Alcantarillado pluvial
V-STRM  </v>
      </c>
    </row>
    <row r="835" spans="1:19" x14ac:dyDescent="0.45">
      <c r="A835" s="7">
        <v>0</v>
      </c>
      <c r="B835" s="11" t="s">
        <v>3760</v>
      </c>
      <c r="C835" s="11" t="s">
        <v>51</v>
      </c>
      <c r="D835" s="11" t="s">
        <v>2888</v>
      </c>
      <c r="E835" s="11" t="str">
        <f t="shared" si="96"/>
        <v>V-STRM-DTCH (Topografía / Cartografía - Alcantarillado pluvial: zanjas o lavaderos)</v>
      </c>
      <c r="F835" s="19" t="s">
        <v>3798</v>
      </c>
      <c r="G835" s="19" t="s">
        <v>3797</v>
      </c>
      <c r="H835" s="19" t="s">
        <v>3811</v>
      </c>
      <c r="I835" s="10">
        <v>0</v>
      </c>
      <c r="J835" s="10" t="str">
        <f t="shared" si="97"/>
        <v>Topografía / Cartografía - Alcantarillado pluvial: zanjas o lavaderos</v>
      </c>
      <c r="K835" s="11" t="s">
        <v>2717</v>
      </c>
      <c r="L835" s="11" t="s">
        <v>50</v>
      </c>
      <c r="M835" s="11" t="s">
        <v>2718</v>
      </c>
      <c r="N835" s="18" t="str">
        <f t="shared" si="98"/>
        <v xml:space="preserve">-LAYER N V-STRM-DTCH </v>
      </c>
      <c r="O835" s="11" t="str">
        <f t="shared" si="99"/>
        <v xml:space="preserve">-LAYER C white V-STRM-DTCH </v>
      </c>
      <c r="P835" s="11" t="str">
        <f t="shared" si="100"/>
        <v xml:space="preserve">-LAYER L Continuous
V-STRM-DTCH  </v>
      </c>
      <c r="Q835" s="11" t="str">
        <f t="shared" si="101"/>
        <v xml:space="preserve">-LAYER LW Default
V-STRM-DTCH  </v>
      </c>
      <c r="R835" s="11" t="str">
        <f t="shared" si="102"/>
        <v xml:space="preserve">-LAYER TR 0
V-STRM-DTCH  </v>
      </c>
      <c r="S835" s="11" t="str">
        <f t="shared" si="103"/>
        <v xml:space="preserve">-LAYER D Topografía / Cartografía - Alcantarillado pluvial: zanjas o lavaderos
V-STRM-DTCH  </v>
      </c>
    </row>
    <row r="836" spans="1:19" x14ac:dyDescent="0.45">
      <c r="A836" s="7">
        <v>0</v>
      </c>
      <c r="B836" s="11" t="s">
        <v>3761</v>
      </c>
      <c r="C836" s="11" t="s">
        <v>51</v>
      </c>
      <c r="D836" s="11" t="s">
        <v>1588</v>
      </c>
      <c r="E836" s="11" t="str">
        <f t="shared" ref="E836:E865" si="104">_xlfn.CONCAT(B836," (",C836," - ",D836,")")</f>
        <v>V-STRM-MHOL (Topografía / Cartografía - Alcantarillado pluvial: pozo de registro)</v>
      </c>
      <c r="F836" s="19" t="s">
        <v>3798</v>
      </c>
      <c r="G836" s="19" t="s">
        <v>3797</v>
      </c>
      <c r="H836" s="19" t="s">
        <v>3811</v>
      </c>
      <c r="I836" s="10">
        <v>0</v>
      </c>
      <c r="J836" s="10" t="str">
        <f t="shared" si="97"/>
        <v>Topografía / Cartografía - Alcantarillado pluvial: pozo de registro</v>
      </c>
      <c r="K836" s="11" t="s">
        <v>2719</v>
      </c>
      <c r="L836" s="11" t="s">
        <v>50</v>
      </c>
      <c r="M836" s="11" t="s">
        <v>1587</v>
      </c>
      <c r="N836" s="18" t="str">
        <f t="shared" si="98"/>
        <v xml:space="preserve">-LAYER N V-STRM-MHOL </v>
      </c>
      <c r="O836" s="11" t="str">
        <f t="shared" si="99"/>
        <v xml:space="preserve">-LAYER C white V-STRM-MHOL </v>
      </c>
      <c r="P836" s="11" t="str">
        <f t="shared" si="100"/>
        <v xml:space="preserve">-LAYER L Continuous
V-STRM-MHOL  </v>
      </c>
      <c r="Q836" s="11" t="str">
        <f t="shared" si="101"/>
        <v xml:space="preserve">-LAYER LW Default
V-STRM-MHOL  </v>
      </c>
      <c r="R836" s="11" t="str">
        <f t="shared" si="102"/>
        <v xml:space="preserve">-LAYER TR 0
V-STRM-MHOL  </v>
      </c>
      <c r="S836" s="11" t="str">
        <f t="shared" si="103"/>
        <v xml:space="preserve">-LAYER D Topografía / Cartografía - Alcantarillado pluvial: pozo de registro
V-STRM-MHOL  </v>
      </c>
    </row>
    <row r="837" spans="1:19" x14ac:dyDescent="0.45">
      <c r="A837" s="7">
        <v>0</v>
      </c>
      <c r="B837" s="11" t="s">
        <v>3762</v>
      </c>
      <c r="C837" s="11" t="s">
        <v>51</v>
      </c>
      <c r="D837" s="11" t="s">
        <v>1591</v>
      </c>
      <c r="E837" s="11" t="str">
        <f t="shared" si="104"/>
        <v>V-STRM-PIPE (Topografía / Cartografía - Alcantarillado pluvial: tuberías)</v>
      </c>
      <c r="F837" s="19" t="s">
        <v>3798</v>
      </c>
      <c r="G837" s="19" t="s">
        <v>3797</v>
      </c>
      <c r="H837" s="19" t="s">
        <v>3811</v>
      </c>
      <c r="I837" s="10">
        <v>0</v>
      </c>
      <c r="J837" s="10" t="str">
        <f t="shared" ref="J837:J865" si="105">_xlfn.CONCAT(C837," - ",D837)</f>
        <v>Topografía / Cartografía - Alcantarillado pluvial: tuberías</v>
      </c>
      <c r="K837" s="11" t="s">
        <v>2720</v>
      </c>
      <c r="L837" s="11" t="s">
        <v>50</v>
      </c>
      <c r="M837" s="11" t="s">
        <v>1590</v>
      </c>
      <c r="N837" s="18" t="str">
        <f t="shared" ref="N837:N865" si="106">_xlfn.CONCAT("-LAYER N ", B837," ")</f>
        <v xml:space="preserve">-LAYER N V-STRM-PIPE </v>
      </c>
      <c r="O837" s="11" t="str">
        <f t="shared" ref="O837:O865" si="107">_xlfn.CONCAT("-LAYER C ",F837," ", B837," ")</f>
        <v xml:space="preserve">-LAYER C white V-STRM-PIPE </v>
      </c>
      <c r="P837" s="11" t="str">
        <f t="shared" ref="P837:P865" si="108">_xlfn.CONCAT("-LAYER L ",G837,CHAR(10), B837,"  ")</f>
        <v xml:space="preserve">-LAYER L Continuous
V-STRM-PIPE  </v>
      </c>
      <c r="Q837" s="11" t="str">
        <f t="shared" ref="Q837:Q865" si="109">_xlfn.CONCAT("-LAYER LW ",H837,CHAR(10), B837,"  ")</f>
        <v xml:space="preserve">-LAYER LW Default
V-STRM-PIPE  </v>
      </c>
      <c r="R837" s="11" t="str">
        <f t="shared" ref="R837:R865" si="110">_xlfn.CONCAT("-LAYER TR ",I837,CHAR(10), B837,"  ")</f>
        <v xml:space="preserve">-LAYER TR 0
V-STRM-PIPE  </v>
      </c>
      <c r="S837" s="11" t="str">
        <f t="shared" ref="S837:S865" si="111">_xlfn.CONCAT("-LAYER D ",J837,CHAR(10), B837,"  ")</f>
        <v xml:space="preserve">-LAYER D Topografía / Cartografía - Alcantarillado pluvial: tuberías
V-STRM-PIPE  </v>
      </c>
    </row>
    <row r="838" spans="1:19" x14ac:dyDescent="0.45">
      <c r="A838" s="7">
        <v>0</v>
      </c>
      <c r="B838" s="11" t="s">
        <v>3763</v>
      </c>
      <c r="C838" s="11" t="s">
        <v>51</v>
      </c>
      <c r="D838" s="11" t="s">
        <v>2889</v>
      </c>
      <c r="E838" s="11" t="str">
        <f t="shared" si="104"/>
        <v>V-STRM-POND (Topografía / Cartografía - Alcantarillado pluvial: estanque de retención)</v>
      </c>
      <c r="F838" s="19" t="s">
        <v>3798</v>
      </c>
      <c r="G838" s="19" t="s">
        <v>3797</v>
      </c>
      <c r="H838" s="19" t="s">
        <v>3811</v>
      </c>
      <c r="I838" s="10">
        <v>0</v>
      </c>
      <c r="J838" s="10" t="str">
        <f t="shared" si="105"/>
        <v>Topografía / Cartografía - Alcantarillado pluvial: estanque de retención</v>
      </c>
      <c r="K838" s="11" t="s">
        <v>2721</v>
      </c>
      <c r="L838" s="11" t="s">
        <v>50</v>
      </c>
      <c r="M838" s="11" t="s">
        <v>2722</v>
      </c>
      <c r="N838" s="18" t="str">
        <f t="shared" si="106"/>
        <v xml:space="preserve">-LAYER N V-STRM-POND </v>
      </c>
      <c r="O838" s="11" t="str">
        <f t="shared" si="107"/>
        <v xml:space="preserve">-LAYER C white V-STRM-POND </v>
      </c>
      <c r="P838" s="11" t="str">
        <f t="shared" si="108"/>
        <v xml:space="preserve">-LAYER L Continuous
V-STRM-POND  </v>
      </c>
      <c r="Q838" s="11" t="str">
        <f t="shared" si="109"/>
        <v xml:space="preserve">-LAYER LW Default
V-STRM-POND  </v>
      </c>
      <c r="R838" s="11" t="str">
        <f t="shared" si="110"/>
        <v xml:space="preserve">-LAYER TR 0
V-STRM-POND  </v>
      </c>
      <c r="S838" s="11" t="str">
        <f t="shared" si="111"/>
        <v xml:space="preserve">-LAYER D Topografía / Cartografía - Alcantarillado pluvial: estanque de retención
V-STRM-POND  </v>
      </c>
    </row>
    <row r="839" spans="1:19" x14ac:dyDescent="0.45">
      <c r="A839" s="7">
        <v>0</v>
      </c>
      <c r="B839" s="11" t="s">
        <v>3764</v>
      </c>
      <c r="C839" s="11" t="s">
        <v>51</v>
      </c>
      <c r="D839" s="11" t="s">
        <v>1606</v>
      </c>
      <c r="E839" s="11" t="str">
        <f t="shared" si="104"/>
        <v>V-STRM-STRC (Topografía / Cartografía - Alcantarillado pluvial: estructuras)</v>
      </c>
      <c r="F839" s="19" t="s">
        <v>3798</v>
      </c>
      <c r="G839" s="19" t="s">
        <v>3797</v>
      </c>
      <c r="H839" s="19" t="s">
        <v>3811</v>
      </c>
      <c r="I839" s="10">
        <v>0</v>
      </c>
      <c r="J839" s="10" t="str">
        <f t="shared" si="105"/>
        <v>Topografía / Cartografía - Alcantarillado pluvial: estructuras</v>
      </c>
      <c r="K839" s="11" t="s">
        <v>2723</v>
      </c>
      <c r="L839" s="11" t="s">
        <v>50</v>
      </c>
      <c r="M839" s="11" t="s">
        <v>1605</v>
      </c>
      <c r="N839" s="18" t="str">
        <f t="shared" si="106"/>
        <v xml:space="preserve">-LAYER N V-STRM-STRC </v>
      </c>
      <c r="O839" s="11" t="str">
        <f t="shared" si="107"/>
        <v xml:space="preserve">-LAYER C white V-STRM-STRC </v>
      </c>
      <c r="P839" s="11" t="str">
        <f t="shared" si="108"/>
        <v xml:space="preserve">-LAYER L Continuous
V-STRM-STRC  </v>
      </c>
      <c r="Q839" s="11" t="str">
        <f t="shared" si="109"/>
        <v xml:space="preserve">-LAYER LW Default
V-STRM-STRC  </v>
      </c>
      <c r="R839" s="11" t="str">
        <f t="shared" si="110"/>
        <v xml:space="preserve">-LAYER TR 0
V-STRM-STRC  </v>
      </c>
      <c r="S839" s="11" t="str">
        <f t="shared" si="111"/>
        <v xml:space="preserve">-LAYER D Topografía / Cartografía - Alcantarillado pluvial: estructuras
V-STRM-STRC  </v>
      </c>
    </row>
    <row r="840" spans="1:19" x14ac:dyDescent="0.45">
      <c r="A840" s="7">
        <v>0</v>
      </c>
      <c r="B840" s="11" t="s">
        <v>3765</v>
      </c>
      <c r="C840" s="11" t="s">
        <v>51</v>
      </c>
      <c r="D840" s="11" t="s">
        <v>1609</v>
      </c>
      <c r="E840" s="11" t="str">
        <f t="shared" si="104"/>
        <v>V-STRM-UGND (Topografía / Cartografía - Alcantarillado pluvial: subterráneo)</v>
      </c>
      <c r="F840" s="19" t="s">
        <v>3798</v>
      </c>
      <c r="G840" s="19" t="s">
        <v>3797</v>
      </c>
      <c r="H840" s="19" t="s">
        <v>3811</v>
      </c>
      <c r="I840" s="10">
        <v>0</v>
      </c>
      <c r="J840" s="10" t="str">
        <f t="shared" si="105"/>
        <v>Topografía / Cartografía - Alcantarillado pluvial: subterráneo</v>
      </c>
      <c r="K840" s="11" t="s">
        <v>2724</v>
      </c>
      <c r="L840" s="11" t="s">
        <v>50</v>
      </c>
      <c r="M840" s="11" t="s">
        <v>1608</v>
      </c>
      <c r="N840" s="18" t="str">
        <f t="shared" si="106"/>
        <v xml:space="preserve">-LAYER N V-STRM-UGND </v>
      </c>
      <c r="O840" s="11" t="str">
        <f t="shared" si="107"/>
        <v xml:space="preserve">-LAYER C white V-STRM-UGND </v>
      </c>
      <c r="P840" s="11" t="str">
        <f t="shared" si="108"/>
        <v xml:space="preserve">-LAYER L Continuous
V-STRM-UGND  </v>
      </c>
      <c r="Q840" s="11" t="str">
        <f t="shared" si="109"/>
        <v xml:space="preserve">-LAYER LW Default
V-STRM-UGND  </v>
      </c>
      <c r="R840" s="11" t="str">
        <f t="shared" si="110"/>
        <v xml:space="preserve">-LAYER TR 0
V-STRM-UGND  </v>
      </c>
      <c r="S840" s="11" t="str">
        <f t="shared" si="111"/>
        <v xml:space="preserve">-LAYER D Topografía / Cartografía - Alcantarillado pluvial: subterráneo
V-STRM-UGND  </v>
      </c>
    </row>
    <row r="841" spans="1:19" x14ac:dyDescent="0.45">
      <c r="A841" s="7">
        <v>1</v>
      </c>
      <c r="B841" s="11" t="s">
        <v>3766</v>
      </c>
      <c r="C841" s="11" t="s">
        <v>51</v>
      </c>
      <c r="D841" s="11" t="s">
        <v>2890</v>
      </c>
      <c r="E841" s="11" t="str">
        <f t="shared" si="104"/>
        <v>V-SURV (Topografía / Cartografía - Levantamiento)</v>
      </c>
      <c r="F841" s="19" t="s">
        <v>3798</v>
      </c>
      <c r="G841" s="19" t="s">
        <v>3797</v>
      </c>
      <c r="H841" s="19" t="s">
        <v>3811</v>
      </c>
      <c r="I841" s="10">
        <v>0</v>
      </c>
      <c r="J841" s="10" t="str">
        <f t="shared" si="105"/>
        <v>Topografía / Cartografía - Levantamiento</v>
      </c>
      <c r="K841" s="11" t="s">
        <v>2725</v>
      </c>
      <c r="L841" s="11" t="s">
        <v>50</v>
      </c>
      <c r="M841" s="11" t="s">
        <v>639</v>
      </c>
      <c r="N841" s="18" t="str">
        <f t="shared" si="106"/>
        <v xml:space="preserve">-LAYER N V-SURV </v>
      </c>
      <c r="O841" s="11" t="str">
        <f t="shared" si="107"/>
        <v xml:space="preserve">-LAYER C white V-SURV </v>
      </c>
      <c r="P841" s="11" t="str">
        <f t="shared" si="108"/>
        <v xml:space="preserve">-LAYER L Continuous
V-SURV  </v>
      </c>
      <c r="Q841" s="11" t="str">
        <f t="shared" si="109"/>
        <v xml:space="preserve">-LAYER LW Default
V-SURV  </v>
      </c>
      <c r="R841" s="11" t="str">
        <f t="shared" si="110"/>
        <v xml:space="preserve">-LAYER TR 0
V-SURV  </v>
      </c>
      <c r="S841" s="11" t="str">
        <f t="shared" si="111"/>
        <v xml:space="preserve">-LAYER D Topografía / Cartografía - Levantamiento
V-SURV  </v>
      </c>
    </row>
    <row r="842" spans="1:19" x14ac:dyDescent="0.45">
      <c r="A842" s="7">
        <v>0</v>
      </c>
      <c r="B842" s="11" t="s">
        <v>3767</v>
      </c>
      <c r="C842" s="11" t="s">
        <v>51</v>
      </c>
      <c r="D842" s="11" t="s">
        <v>2891</v>
      </c>
      <c r="E842" s="11" t="str">
        <f t="shared" si="104"/>
        <v>V-SURV-DATA (Topografía / Cartografía - Levantamiento: datos)</v>
      </c>
      <c r="F842" s="19" t="s">
        <v>3798</v>
      </c>
      <c r="G842" s="19" t="s">
        <v>3797</v>
      </c>
      <c r="H842" s="19" t="s">
        <v>3811</v>
      </c>
      <c r="I842" s="10">
        <v>0</v>
      </c>
      <c r="J842" s="10" t="str">
        <f t="shared" si="105"/>
        <v>Topografía / Cartografía - Levantamiento: datos</v>
      </c>
      <c r="K842" s="11" t="s">
        <v>2726</v>
      </c>
      <c r="L842" s="11" t="s">
        <v>50</v>
      </c>
      <c r="M842" s="11" t="s">
        <v>2727</v>
      </c>
      <c r="N842" s="18" t="str">
        <f t="shared" si="106"/>
        <v xml:space="preserve">-LAYER N V-SURV-DATA </v>
      </c>
      <c r="O842" s="11" t="str">
        <f t="shared" si="107"/>
        <v xml:space="preserve">-LAYER C white V-SURV-DATA </v>
      </c>
      <c r="P842" s="11" t="str">
        <f t="shared" si="108"/>
        <v xml:space="preserve">-LAYER L Continuous
V-SURV-DATA  </v>
      </c>
      <c r="Q842" s="11" t="str">
        <f t="shared" si="109"/>
        <v xml:space="preserve">-LAYER LW Default
V-SURV-DATA  </v>
      </c>
      <c r="R842" s="11" t="str">
        <f t="shared" si="110"/>
        <v xml:space="preserve">-LAYER TR 0
V-SURV-DATA  </v>
      </c>
      <c r="S842" s="11" t="str">
        <f t="shared" si="111"/>
        <v xml:space="preserve">-LAYER D Topografía / Cartografía - Levantamiento: datos
V-SURV-DATA  </v>
      </c>
    </row>
    <row r="843" spans="1:19" x14ac:dyDescent="0.45">
      <c r="A843" s="7">
        <v>1</v>
      </c>
      <c r="B843" s="11" t="s">
        <v>3768</v>
      </c>
      <c r="C843" s="11" t="s">
        <v>51</v>
      </c>
      <c r="D843" s="11" t="s">
        <v>643</v>
      </c>
      <c r="E843" s="11" t="str">
        <f t="shared" si="104"/>
        <v>V-SWLK (Topografía / Cartografía - Aceras)</v>
      </c>
      <c r="F843" s="19" t="s">
        <v>3798</v>
      </c>
      <c r="G843" s="19" t="s">
        <v>3797</v>
      </c>
      <c r="H843" s="19" t="s">
        <v>3811</v>
      </c>
      <c r="I843" s="10">
        <v>0</v>
      </c>
      <c r="J843" s="10" t="str">
        <f t="shared" si="105"/>
        <v>Topografía / Cartografía - Aceras</v>
      </c>
      <c r="K843" s="11" t="s">
        <v>2728</v>
      </c>
      <c r="L843" s="11" t="s">
        <v>50</v>
      </c>
      <c r="M843" s="11" t="s">
        <v>642</v>
      </c>
      <c r="N843" s="18" t="str">
        <f t="shared" si="106"/>
        <v xml:space="preserve">-LAYER N V-SWLK </v>
      </c>
      <c r="O843" s="11" t="str">
        <f t="shared" si="107"/>
        <v xml:space="preserve">-LAYER C white V-SWLK </v>
      </c>
      <c r="P843" s="11" t="str">
        <f t="shared" si="108"/>
        <v xml:space="preserve">-LAYER L Continuous
V-SWLK  </v>
      </c>
      <c r="Q843" s="11" t="str">
        <f t="shared" si="109"/>
        <v xml:space="preserve">-LAYER LW Default
V-SWLK  </v>
      </c>
      <c r="R843" s="11" t="str">
        <f t="shared" si="110"/>
        <v xml:space="preserve">-LAYER TR 0
V-SWLK  </v>
      </c>
      <c r="S843" s="11" t="str">
        <f t="shared" si="111"/>
        <v xml:space="preserve">-LAYER D Topografía / Cartografía - Aceras
V-SWLK  </v>
      </c>
    </row>
    <row r="844" spans="1:19" x14ac:dyDescent="0.45">
      <c r="A844" s="7">
        <v>0</v>
      </c>
      <c r="B844" s="11" t="s">
        <v>3769</v>
      </c>
      <c r="C844" s="11" t="s">
        <v>51</v>
      </c>
      <c r="D844" s="11" t="s">
        <v>1613</v>
      </c>
      <c r="E844" s="11" t="str">
        <f t="shared" si="104"/>
        <v>V-SWLK-ASPH (Topografía / Cartografía - Aceras: asfalto)</v>
      </c>
      <c r="F844" s="19" t="s">
        <v>3798</v>
      </c>
      <c r="G844" s="19" t="s">
        <v>3797</v>
      </c>
      <c r="H844" s="19" t="s">
        <v>3811</v>
      </c>
      <c r="I844" s="10">
        <v>0</v>
      </c>
      <c r="J844" s="10" t="str">
        <f t="shared" si="105"/>
        <v>Topografía / Cartografía - Aceras: asfalto</v>
      </c>
      <c r="K844" s="11" t="s">
        <v>2729</v>
      </c>
      <c r="L844" s="11" t="s">
        <v>50</v>
      </c>
      <c r="M844" s="11" t="s">
        <v>1612</v>
      </c>
      <c r="N844" s="18" t="str">
        <f t="shared" si="106"/>
        <v xml:space="preserve">-LAYER N V-SWLK-ASPH </v>
      </c>
      <c r="O844" s="11" t="str">
        <f t="shared" si="107"/>
        <v xml:space="preserve">-LAYER C white V-SWLK-ASPH </v>
      </c>
      <c r="P844" s="11" t="str">
        <f t="shared" si="108"/>
        <v xml:space="preserve">-LAYER L Continuous
V-SWLK-ASPH  </v>
      </c>
      <c r="Q844" s="11" t="str">
        <f t="shared" si="109"/>
        <v xml:space="preserve">-LAYER LW Default
V-SWLK-ASPH  </v>
      </c>
      <c r="R844" s="11" t="str">
        <f t="shared" si="110"/>
        <v xml:space="preserve">-LAYER TR 0
V-SWLK-ASPH  </v>
      </c>
      <c r="S844" s="11" t="str">
        <f t="shared" si="111"/>
        <v xml:space="preserve">-LAYER D Topografía / Cartografía - Aceras: asfalto
V-SWLK-ASPH  </v>
      </c>
    </row>
    <row r="845" spans="1:19" x14ac:dyDescent="0.45">
      <c r="A845" s="7">
        <v>0</v>
      </c>
      <c r="B845" s="11" t="s">
        <v>3770</v>
      </c>
      <c r="C845" s="11" t="s">
        <v>51</v>
      </c>
      <c r="D845" s="11" t="s">
        <v>1616</v>
      </c>
      <c r="E845" s="11" t="str">
        <f t="shared" si="104"/>
        <v>V-SWLK-CONC (Topografía / Cartografía - Aceras: hormigón)</v>
      </c>
      <c r="F845" s="19" t="s">
        <v>3798</v>
      </c>
      <c r="G845" s="19" t="s">
        <v>3797</v>
      </c>
      <c r="H845" s="19" t="s">
        <v>3811</v>
      </c>
      <c r="I845" s="10">
        <v>0</v>
      </c>
      <c r="J845" s="10" t="str">
        <f t="shared" si="105"/>
        <v>Topografía / Cartografía - Aceras: hormigón</v>
      </c>
      <c r="K845" s="11" t="s">
        <v>2730</v>
      </c>
      <c r="L845" s="11" t="s">
        <v>50</v>
      </c>
      <c r="M845" s="11" t="s">
        <v>1615</v>
      </c>
      <c r="N845" s="18" t="str">
        <f t="shared" si="106"/>
        <v xml:space="preserve">-LAYER N V-SWLK-CONC </v>
      </c>
      <c r="O845" s="11" t="str">
        <f t="shared" si="107"/>
        <v xml:space="preserve">-LAYER C white V-SWLK-CONC </v>
      </c>
      <c r="P845" s="11" t="str">
        <f t="shared" si="108"/>
        <v xml:space="preserve">-LAYER L Continuous
V-SWLK-CONC  </v>
      </c>
      <c r="Q845" s="11" t="str">
        <f t="shared" si="109"/>
        <v xml:space="preserve">-LAYER LW Default
V-SWLK-CONC  </v>
      </c>
      <c r="R845" s="11" t="str">
        <f t="shared" si="110"/>
        <v xml:space="preserve">-LAYER TR 0
V-SWLK-CONC  </v>
      </c>
      <c r="S845" s="11" t="str">
        <f t="shared" si="111"/>
        <v xml:space="preserve">-LAYER D Topografía / Cartografía - Aceras: hormigón
V-SWLK-CONC  </v>
      </c>
    </row>
    <row r="846" spans="1:19" x14ac:dyDescent="0.45">
      <c r="A846" s="7">
        <v>1</v>
      </c>
      <c r="B846" s="11" t="s">
        <v>3771</v>
      </c>
      <c r="C846" s="11" t="s">
        <v>51</v>
      </c>
      <c r="D846" s="11" t="s">
        <v>655</v>
      </c>
      <c r="E846" s="11" t="str">
        <f t="shared" si="104"/>
        <v>V-TOPO (Topografía / Cartografía - Característica topográfica)</v>
      </c>
      <c r="F846" s="19" t="s">
        <v>3798</v>
      </c>
      <c r="G846" s="19" t="s">
        <v>3797</v>
      </c>
      <c r="H846" s="19" t="s">
        <v>3811</v>
      </c>
      <c r="I846" s="10">
        <v>0</v>
      </c>
      <c r="J846" s="10" t="str">
        <f t="shared" si="105"/>
        <v>Topografía / Cartografía - Característica topográfica</v>
      </c>
      <c r="K846" s="11" t="s">
        <v>2731</v>
      </c>
      <c r="L846" s="11" t="s">
        <v>50</v>
      </c>
      <c r="M846" s="11" t="s">
        <v>654</v>
      </c>
      <c r="N846" s="18" t="str">
        <f t="shared" si="106"/>
        <v xml:space="preserve">-LAYER N V-TOPO </v>
      </c>
      <c r="O846" s="11" t="str">
        <f t="shared" si="107"/>
        <v xml:space="preserve">-LAYER C white V-TOPO </v>
      </c>
      <c r="P846" s="11" t="str">
        <f t="shared" si="108"/>
        <v xml:space="preserve">-LAYER L Continuous
V-TOPO  </v>
      </c>
      <c r="Q846" s="11" t="str">
        <f t="shared" si="109"/>
        <v xml:space="preserve">-LAYER LW Default
V-TOPO  </v>
      </c>
      <c r="R846" s="11" t="str">
        <f t="shared" si="110"/>
        <v xml:space="preserve">-LAYER TR 0
V-TOPO  </v>
      </c>
      <c r="S846" s="11" t="str">
        <f t="shared" si="111"/>
        <v xml:space="preserve">-LAYER D Topografía / Cartografía - Característica topográfica
V-TOPO  </v>
      </c>
    </row>
    <row r="847" spans="1:19" x14ac:dyDescent="0.45">
      <c r="A847" s="7">
        <v>0</v>
      </c>
      <c r="B847" s="11" t="s">
        <v>3772</v>
      </c>
      <c r="C847" s="11" t="s">
        <v>51</v>
      </c>
      <c r="D847" s="11" t="s">
        <v>2892</v>
      </c>
      <c r="E847" s="11" t="str">
        <f t="shared" si="104"/>
        <v>V-TOPO-EWAT (Topografía / Cartografía - Característica topográfica: borde del agua)</v>
      </c>
      <c r="F847" s="19" t="s">
        <v>3798</v>
      </c>
      <c r="G847" s="19" t="s">
        <v>3797</v>
      </c>
      <c r="H847" s="19" t="s">
        <v>3811</v>
      </c>
      <c r="I847" s="10">
        <v>0</v>
      </c>
      <c r="J847" s="10" t="str">
        <f t="shared" si="105"/>
        <v>Topografía / Cartografía - Característica topográfica: borde del agua</v>
      </c>
      <c r="K847" s="11" t="s">
        <v>2732</v>
      </c>
      <c r="L847" s="11" t="s">
        <v>50</v>
      </c>
      <c r="M847" s="11" t="s">
        <v>2733</v>
      </c>
      <c r="N847" s="18" t="str">
        <f t="shared" si="106"/>
        <v xml:space="preserve">-LAYER N V-TOPO-EWAT </v>
      </c>
      <c r="O847" s="11" t="str">
        <f t="shared" si="107"/>
        <v xml:space="preserve">-LAYER C white V-TOPO-EWAT </v>
      </c>
      <c r="P847" s="11" t="str">
        <f t="shared" si="108"/>
        <v xml:space="preserve">-LAYER L Continuous
V-TOPO-EWAT  </v>
      </c>
      <c r="Q847" s="11" t="str">
        <f t="shared" si="109"/>
        <v xml:space="preserve">-LAYER LW Default
V-TOPO-EWAT  </v>
      </c>
      <c r="R847" s="11" t="str">
        <f t="shared" si="110"/>
        <v xml:space="preserve">-LAYER TR 0
V-TOPO-EWAT  </v>
      </c>
      <c r="S847" s="11" t="str">
        <f t="shared" si="111"/>
        <v xml:space="preserve">-LAYER D Topografía / Cartografía - Característica topográfica: borde del agua
V-TOPO-EWAT  </v>
      </c>
    </row>
    <row r="848" spans="1:19" x14ac:dyDescent="0.45">
      <c r="A848" s="7">
        <v>0</v>
      </c>
      <c r="B848" s="11" t="s">
        <v>3773</v>
      </c>
      <c r="C848" s="11" t="s">
        <v>51</v>
      </c>
      <c r="D848" s="11" t="s">
        <v>2893</v>
      </c>
      <c r="E848" s="11" t="str">
        <f t="shared" si="104"/>
        <v>V-TOPO-GRID (Topografía / Cartografía - Característica topográfica: cuadrícula)</v>
      </c>
      <c r="F848" s="19" t="s">
        <v>3798</v>
      </c>
      <c r="G848" s="19" t="s">
        <v>3797</v>
      </c>
      <c r="H848" s="19" t="s">
        <v>3811</v>
      </c>
      <c r="I848" s="10">
        <v>0</v>
      </c>
      <c r="J848" s="10" t="str">
        <f t="shared" si="105"/>
        <v>Topografía / Cartografía - Característica topográfica: cuadrícula</v>
      </c>
      <c r="K848" s="11" t="s">
        <v>2734</v>
      </c>
      <c r="L848" s="11" t="s">
        <v>50</v>
      </c>
      <c r="M848" s="11" t="s">
        <v>2735</v>
      </c>
      <c r="N848" s="18" t="str">
        <f t="shared" si="106"/>
        <v xml:space="preserve">-LAYER N V-TOPO-GRID </v>
      </c>
      <c r="O848" s="11" t="str">
        <f t="shared" si="107"/>
        <v xml:space="preserve">-LAYER C white V-TOPO-GRID </v>
      </c>
      <c r="P848" s="11" t="str">
        <f t="shared" si="108"/>
        <v xml:space="preserve">-LAYER L Continuous
V-TOPO-GRID  </v>
      </c>
      <c r="Q848" s="11" t="str">
        <f t="shared" si="109"/>
        <v xml:space="preserve">-LAYER LW Default
V-TOPO-GRID  </v>
      </c>
      <c r="R848" s="11" t="str">
        <f t="shared" si="110"/>
        <v xml:space="preserve">-LAYER TR 0
V-TOPO-GRID  </v>
      </c>
      <c r="S848" s="11" t="str">
        <f t="shared" si="111"/>
        <v xml:space="preserve">-LAYER D Topografía / Cartografía - Característica topográfica: cuadrícula
V-TOPO-GRID  </v>
      </c>
    </row>
    <row r="849" spans="1:19" x14ac:dyDescent="0.45">
      <c r="A849" s="7">
        <v>0</v>
      </c>
      <c r="B849" s="11" t="s">
        <v>3774</v>
      </c>
      <c r="C849" s="11" t="s">
        <v>51</v>
      </c>
      <c r="D849" s="11" t="s">
        <v>1637</v>
      </c>
      <c r="E849" s="11" t="str">
        <f t="shared" si="104"/>
        <v>V-TOPO-MAJR (Topografía / Cartografía - Característica topográfica: principal (curvas de nivel))</v>
      </c>
      <c r="F849" s="19" t="s">
        <v>3798</v>
      </c>
      <c r="G849" s="19" t="s">
        <v>3797</v>
      </c>
      <c r="H849" s="19" t="s">
        <v>3811</v>
      </c>
      <c r="I849" s="10">
        <v>0</v>
      </c>
      <c r="J849" s="10" t="str">
        <f t="shared" si="105"/>
        <v>Topografía / Cartografía - Característica topográfica: principal (curvas de nivel)</v>
      </c>
      <c r="K849" s="11" t="s">
        <v>2736</v>
      </c>
      <c r="L849" s="11" t="s">
        <v>50</v>
      </c>
      <c r="M849" s="11" t="s">
        <v>1636</v>
      </c>
      <c r="N849" s="18" t="str">
        <f t="shared" si="106"/>
        <v xml:space="preserve">-LAYER N V-TOPO-MAJR </v>
      </c>
      <c r="O849" s="11" t="str">
        <f t="shared" si="107"/>
        <v xml:space="preserve">-LAYER C white V-TOPO-MAJR </v>
      </c>
      <c r="P849" s="11" t="str">
        <f t="shared" si="108"/>
        <v xml:space="preserve">-LAYER L Continuous
V-TOPO-MAJR  </v>
      </c>
      <c r="Q849" s="11" t="str">
        <f t="shared" si="109"/>
        <v xml:space="preserve">-LAYER LW Default
V-TOPO-MAJR  </v>
      </c>
      <c r="R849" s="11" t="str">
        <f t="shared" si="110"/>
        <v xml:space="preserve">-LAYER TR 0
V-TOPO-MAJR  </v>
      </c>
      <c r="S849" s="11" t="str">
        <f t="shared" si="111"/>
        <v xml:space="preserve">-LAYER D Topografía / Cartografía - Característica topográfica: principal (curvas de nivel)
V-TOPO-MAJR  </v>
      </c>
    </row>
    <row r="850" spans="1:19" x14ac:dyDescent="0.45">
      <c r="A850" s="7">
        <v>0</v>
      </c>
      <c r="B850" s="11" t="s">
        <v>3775</v>
      </c>
      <c r="C850" s="11" t="s">
        <v>51</v>
      </c>
      <c r="D850" s="11" t="s">
        <v>1640</v>
      </c>
      <c r="E850" s="11" t="str">
        <f t="shared" si="104"/>
        <v>V-TOPO-MINR (Topografía / Cartografía - Característica topográfica: menor (curvas de nivel))</v>
      </c>
      <c r="F850" s="19" t="s">
        <v>3798</v>
      </c>
      <c r="G850" s="19" t="s">
        <v>3797</v>
      </c>
      <c r="H850" s="19" t="s">
        <v>3811</v>
      </c>
      <c r="I850" s="10">
        <v>0</v>
      </c>
      <c r="J850" s="10" t="str">
        <f t="shared" si="105"/>
        <v>Topografía / Cartografía - Característica topográfica: menor (curvas de nivel)</v>
      </c>
      <c r="K850" s="11" t="s">
        <v>2737</v>
      </c>
      <c r="L850" s="11" t="s">
        <v>50</v>
      </c>
      <c r="M850" s="11" t="s">
        <v>1639</v>
      </c>
      <c r="N850" s="18" t="str">
        <f t="shared" si="106"/>
        <v xml:space="preserve">-LAYER N V-TOPO-MINR </v>
      </c>
      <c r="O850" s="11" t="str">
        <f t="shared" si="107"/>
        <v xml:space="preserve">-LAYER C white V-TOPO-MINR </v>
      </c>
      <c r="P850" s="11" t="str">
        <f t="shared" si="108"/>
        <v xml:space="preserve">-LAYER L Continuous
V-TOPO-MINR  </v>
      </c>
      <c r="Q850" s="11" t="str">
        <f t="shared" si="109"/>
        <v xml:space="preserve">-LAYER LW Default
V-TOPO-MINR  </v>
      </c>
      <c r="R850" s="11" t="str">
        <f t="shared" si="110"/>
        <v xml:space="preserve">-LAYER TR 0
V-TOPO-MINR  </v>
      </c>
      <c r="S850" s="11" t="str">
        <f t="shared" si="111"/>
        <v xml:space="preserve">-LAYER D Topografía / Cartografía - Característica topográfica: menor (curvas de nivel)
V-TOPO-MINR  </v>
      </c>
    </row>
    <row r="851" spans="1:19" x14ac:dyDescent="0.45">
      <c r="A851" s="7">
        <v>0</v>
      </c>
      <c r="B851" s="11" t="s">
        <v>3776</v>
      </c>
      <c r="C851" s="11" t="s">
        <v>51</v>
      </c>
      <c r="D851" s="11" t="s">
        <v>2894</v>
      </c>
      <c r="E851" s="11" t="str">
        <f t="shared" si="104"/>
        <v>V-TOPO-SOUN (Topografía / Cartografía - Característica topográfica: sondeos)</v>
      </c>
      <c r="F851" s="19" t="s">
        <v>3798</v>
      </c>
      <c r="G851" s="19" t="s">
        <v>3797</v>
      </c>
      <c r="H851" s="19" t="s">
        <v>3811</v>
      </c>
      <c r="I851" s="10">
        <v>0</v>
      </c>
      <c r="J851" s="10" t="str">
        <f t="shared" si="105"/>
        <v>Topografía / Cartografía - Característica topográfica: sondeos</v>
      </c>
      <c r="K851" s="11" t="s">
        <v>2738</v>
      </c>
      <c r="L851" s="11" t="s">
        <v>50</v>
      </c>
      <c r="M851" s="11" t="s">
        <v>2739</v>
      </c>
      <c r="N851" s="18" t="str">
        <f t="shared" si="106"/>
        <v xml:space="preserve">-LAYER N V-TOPO-SOUN </v>
      </c>
      <c r="O851" s="11" t="str">
        <f t="shared" si="107"/>
        <v xml:space="preserve">-LAYER C white V-TOPO-SOUN </v>
      </c>
      <c r="P851" s="11" t="str">
        <f t="shared" si="108"/>
        <v xml:space="preserve">-LAYER L Continuous
V-TOPO-SOUN  </v>
      </c>
      <c r="Q851" s="11" t="str">
        <f t="shared" si="109"/>
        <v xml:space="preserve">-LAYER LW Default
V-TOPO-SOUN  </v>
      </c>
      <c r="R851" s="11" t="str">
        <f t="shared" si="110"/>
        <v xml:space="preserve">-LAYER TR 0
V-TOPO-SOUN  </v>
      </c>
      <c r="S851" s="11" t="str">
        <f t="shared" si="111"/>
        <v xml:space="preserve">-LAYER D Topografía / Cartografía - Característica topográfica: sondeos
V-TOPO-SOUN  </v>
      </c>
    </row>
    <row r="852" spans="1:19" x14ac:dyDescent="0.45">
      <c r="A852" s="7">
        <v>0</v>
      </c>
      <c r="B852" s="11" t="s">
        <v>3777</v>
      </c>
      <c r="C852" s="11" t="s">
        <v>51</v>
      </c>
      <c r="D852" s="11" t="s">
        <v>1643</v>
      </c>
      <c r="E852" s="11" t="str">
        <f t="shared" si="104"/>
        <v>V-TOPO-SPOT (Topografía / Cartografía - Característica topográfica: elevaciones puntuales)</v>
      </c>
      <c r="F852" s="19" t="s">
        <v>3798</v>
      </c>
      <c r="G852" s="19" t="s">
        <v>3797</v>
      </c>
      <c r="H852" s="19" t="s">
        <v>3811</v>
      </c>
      <c r="I852" s="10">
        <v>0</v>
      </c>
      <c r="J852" s="10" t="str">
        <f t="shared" si="105"/>
        <v>Topografía / Cartografía - Característica topográfica: elevaciones puntuales</v>
      </c>
      <c r="K852" s="11" t="s">
        <v>2740</v>
      </c>
      <c r="L852" s="11" t="s">
        <v>50</v>
      </c>
      <c r="M852" s="11" t="s">
        <v>1642</v>
      </c>
      <c r="N852" s="18" t="str">
        <f t="shared" si="106"/>
        <v xml:space="preserve">-LAYER N V-TOPO-SPOT </v>
      </c>
      <c r="O852" s="11" t="str">
        <f t="shared" si="107"/>
        <v xml:space="preserve">-LAYER C white V-TOPO-SPOT </v>
      </c>
      <c r="P852" s="11" t="str">
        <f t="shared" si="108"/>
        <v xml:space="preserve">-LAYER L Continuous
V-TOPO-SPOT  </v>
      </c>
      <c r="Q852" s="11" t="str">
        <f t="shared" si="109"/>
        <v xml:space="preserve">-LAYER LW Default
V-TOPO-SPOT  </v>
      </c>
      <c r="R852" s="11" t="str">
        <f t="shared" si="110"/>
        <v xml:space="preserve">-LAYER TR 0
V-TOPO-SPOT  </v>
      </c>
      <c r="S852" s="11" t="str">
        <f t="shared" si="111"/>
        <v xml:space="preserve">-LAYER D Topografía / Cartografía - Característica topográfica: elevaciones puntuales
V-TOPO-SPOT  </v>
      </c>
    </row>
    <row r="853" spans="1:19" x14ac:dyDescent="0.45">
      <c r="A853" s="7">
        <v>1</v>
      </c>
      <c r="B853" s="11" t="s">
        <v>3778</v>
      </c>
      <c r="C853" s="11" t="s">
        <v>51</v>
      </c>
      <c r="D853" s="11" t="s">
        <v>673</v>
      </c>
      <c r="E853" s="11" t="str">
        <f t="shared" si="104"/>
        <v>V-UNID (Topografía / Cartografía - Objetos no identificados del sitio)</v>
      </c>
      <c r="F853" s="19" t="s">
        <v>3798</v>
      </c>
      <c r="G853" s="19" t="s">
        <v>3797</v>
      </c>
      <c r="H853" s="19" t="s">
        <v>3811</v>
      </c>
      <c r="I853" s="10">
        <v>0</v>
      </c>
      <c r="J853" s="10" t="str">
        <f t="shared" si="105"/>
        <v>Topografía / Cartografía - Objetos no identificados del sitio</v>
      </c>
      <c r="K853" s="11" t="s">
        <v>2741</v>
      </c>
      <c r="L853" s="11" t="s">
        <v>50</v>
      </c>
      <c r="M853" s="11" t="s">
        <v>672</v>
      </c>
      <c r="N853" s="18" t="str">
        <f t="shared" si="106"/>
        <v xml:space="preserve">-LAYER N V-UNID </v>
      </c>
      <c r="O853" s="11" t="str">
        <f t="shared" si="107"/>
        <v xml:space="preserve">-LAYER C white V-UNID </v>
      </c>
      <c r="P853" s="11" t="str">
        <f t="shared" si="108"/>
        <v xml:space="preserve">-LAYER L Continuous
V-UNID  </v>
      </c>
      <c r="Q853" s="11" t="str">
        <f t="shared" si="109"/>
        <v xml:space="preserve">-LAYER LW Default
V-UNID  </v>
      </c>
      <c r="R853" s="11" t="str">
        <f t="shared" si="110"/>
        <v xml:space="preserve">-LAYER TR 0
V-UNID  </v>
      </c>
      <c r="S853" s="11" t="str">
        <f t="shared" si="111"/>
        <v xml:space="preserve">-LAYER D Topografía / Cartografía - Objetos no identificados del sitio
V-UNID  </v>
      </c>
    </row>
    <row r="854" spans="1:19" x14ac:dyDescent="0.45">
      <c r="A854" s="7">
        <v>0</v>
      </c>
      <c r="B854" s="11" t="s">
        <v>3779</v>
      </c>
      <c r="C854" s="11" t="s">
        <v>51</v>
      </c>
      <c r="D854" s="11" t="s">
        <v>2895</v>
      </c>
      <c r="E854" s="11" t="str">
        <f t="shared" si="104"/>
        <v>V-UNID-CABL (Topografía / Cartografía - Objetos no identificados del sitio: sistemas de cableado)</v>
      </c>
      <c r="F854" s="19" t="s">
        <v>3798</v>
      </c>
      <c r="G854" s="19" t="s">
        <v>3797</v>
      </c>
      <c r="H854" s="19" t="s">
        <v>3811</v>
      </c>
      <c r="I854" s="10">
        <v>0</v>
      </c>
      <c r="J854" s="10" t="str">
        <f t="shared" si="105"/>
        <v>Topografía / Cartografía - Objetos no identificados del sitio: sistemas de cableado</v>
      </c>
      <c r="K854" s="11" t="s">
        <v>2742</v>
      </c>
      <c r="L854" s="11" t="s">
        <v>50</v>
      </c>
      <c r="M854" s="11" t="s">
        <v>2743</v>
      </c>
      <c r="N854" s="18" t="str">
        <f t="shared" si="106"/>
        <v xml:space="preserve">-LAYER N V-UNID-CABL </v>
      </c>
      <c r="O854" s="11" t="str">
        <f t="shared" si="107"/>
        <v xml:space="preserve">-LAYER C white V-UNID-CABL </v>
      </c>
      <c r="P854" s="11" t="str">
        <f t="shared" si="108"/>
        <v xml:space="preserve">-LAYER L Continuous
V-UNID-CABL  </v>
      </c>
      <c r="Q854" s="11" t="str">
        <f t="shared" si="109"/>
        <v xml:space="preserve">-LAYER LW Default
V-UNID-CABL  </v>
      </c>
      <c r="R854" s="11" t="str">
        <f t="shared" si="110"/>
        <v xml:space="preserve">-LAYER TR 0
V-UNID-CABL  </v>
      </c>
      <c r="S854" s="11" t="str">
        <f t="shared" si="111"/>
        <v xml:space="preserve">-LAYER D Topografía / Cartografía - Objetos no identificados del sitio: sistemas de cableado
V-UNID-CABL  </v>
      </c>
    </row>
    <row r="855" spans="1:19" x14ac:dyDescent="0.45">
      <c r="A855" s="7">
        <v>0</v>
      </c>
      <c r="B855" s="11" t="s">
        <v>3780</v>
      </c>
      <c r="C855" s="11" t="s">
        <v>51</v>
      </c>
      <c r="D855" s="11" t="s">
        <v>2896</v>
      </c>
      <c r="E855" s="11" t="str">
        <f t="shared" si="104"/>
        <v>V-UNID-PIPE (Topografía / Cartografía - Objetos no identificados del sitio: tuberías)</v>
      </c>
      <c r="F855" s="19" t="s">
        <v>3798</v>
      </c>
      <c r="G855" s="19" t="s">
        <v>3797</v>
      </c>
      <c r="H855" s="19" t="s">
        <v>3811</v>
      </c>
      <c r="I855" s="10">
        <v>0</v>
      </c>
      <c r="J855" s="10" t="str">
        <f t="shared" si="105"/>
        <v>Topografía / Cartografía - Objetos no identificados del sitio: tuberías</v>
      </c>
      <c r="K855" s="11" t="s">
        <v>2744</v>
      </c>
      <c r="L855" s="11" t="s">
        <v>50</v>
      </c>
      <c r="M855" s="11" t="s">
        <v>2745</v>
      </c>
      <c r="N855" s="18" t="str">
        <f t="shared" si="106"/>
        <v xml:space="preserve">-LAYER N V-UNID-PIPE </v>
      </c>
      <c r="O855" s="11" t="str">
        <f t="shared" si="107"/>
        <v xml:space="preserve">-LAYER C white V-UNID-PIPE </v>
      </c>
      <c r="P855" s="11" t="str">
        <f t="shared" si="108"/>
        <v xml:space="preserve">-LAYER L Continuous
V-UNID-PIPE  </v>
      </c>
      <c r="Q855" s="11" t="str">
        <f t="shared" si="109"/>
        <v xml:space="preserve">-LAYER LW Default
V-UNID-PIPE  </v>
      </c>
      <c r="R855" s="11" t="str">
        <f t="shared" si="110"/>
        <v xml:space="preserve">-LAYER TR 0
V-UNID-PIPE  </v>
      </c>
      <c r="S855" s="11" t="str">
        <f t="shared" si="111"/>
        <v xml:space="preserve">-LAYER D Topografía / Cartografía - Objetos no identificados del sitio: tuberías
V-UNID-PIPE  </v>
      </c>
    </row>
    <row r="856" spans="1:19" x14ac:dyDescent="0.45">
      <c r="A856" s="7">
        <v>0</v>
      </c>
      <c r="B856" s="11" t="s">
        <v>3781</v>
      </c>
      <c r="C856" s="11" t="s">
        <v>51</v>
      </c>
      <c r="D856" s="11" t="s">
        <v>2897</v>
      </c>
      <c r="E856" s="11" t="str">
        <f t="shared" si="104"/>
        <v>V-UNID-TANK (Topografía / Cartografía - Objetos no identificados del sitio: tanques de almacenamiento)</v>
      </c>
      <c r="F856" s="19" t="s">
        <v>3798</v>
      </c>
      <c r="G856" s="19" t="s">
        <v>3797</v>
      </c>
      <c r="H856" s="19" t="s">
        <v>3811</v>
      </c>
      <c r="I856" s="10">
        <v>0</v>
      </c>
      <c r="J856" s="10" t="str">
        <f t="shared" si="105"/>
        <v>Topografía / Cartografía - Objetos no identificados del sitio: tanques de almacenamiento</v>
      </c>
      <c r="K856" s="11" t="s">
        <v>2746</v>
      </c>
      <c r="L856" s="11" t="s">
        <v>50</v>
      </c>
      <c r="M856" s="11" t="s">
        <v>2747</v>
      </c>
      <c r="N856" s="18" t="str">
        <f t="shared" si="106"/>
        <v xml:space="preserve">-LAYER N V-UNID-TANK </v>
      </c>
      <c r="O856" s="11" t="str">
        <f t="shared" si="107"/>
        <v xml:space="preserve">-LAYER C white V-UNID-TANK </v>
      </c>
      <c r="P856" s="11" t="str">
        <f t="shared" si="108"/>
        <v xml:space="preserve">-LAYER L Continuous
V-UNID-TANK  </v>
      </c>
      <c r="Q856" s="11" t="str">
        <f t="shared" si="109"/>
        <v xml:space="preserve">-LAYER LW Default
V-UNID-TANK  </v>
      </c>
      <c r="R856" s="11" t="str">
        <f t="shared" si="110"/>
        <v xml:space="preserve">-LAYER TR 0
V-UNID-TANK  </v>
      </c>
      <c r="S856" s="11" t="str">
        <f t="shared" si="111"/>
        <v xml:space="preserve">-LAYER D Topografía / Cartografía - Objetos no identificados del sitio: tanques de almacenamiento
V-UNID-TANK  </v>
      </c>
    </row>
    <row r="857" spans="1:19" x14ac:dyDescent="0.45">
      <c r="A857" s="7">
        <v>0</v>
      </c>
      <c r="B857" s="11" t="s">
        <v>3782</v>
      </c>
      <c r="C857" s="11" t="s">
        <v>51</v>
      </c>
      <c r="D857" s="11" t="s">
        <v>2898</v>
      </c>
      <c r="E857" s="11" t="str">
        <f t="shared" si="104"/>
        <v>V-UNID-UTIL (Topografía / Cartografía - Objetos no identificados del sitio: líneas de servicios públicos)</v>
      </c>
      <c r="F857" s="19" t="s">
        <v>3798</v>
      </c>
      <c r="G857" s="19" t="s">
        <v>3797</v>
      </c>
      <c r="H857" s="19" t="s">
        <v>3811</v>
      </c>
      <c r="I857" s="10">
        <v>0</v>
      </c>
      <c r="J857" s="10" t="str">
        <f t="shared" si="105"/>
        <v>Topografía / Cartografía - Objetos no identificados del sitio: líneas de servicios públicos</v>
      </c>
      <c r="K857" s="11" t="s">
        <v>2748</v>
      </c>
      <c r="L857" s="11" t="s">
        <v>50</v>
      </c>
      <c r="M857" s="11" t="s">
        <v>2749</v>
      </c>
      <c r="N857" s="18" t="str">
        <f t="shared" si="106"/>
        <v xml:space="preserve">-LAYER N V-UNID-UTIL </v>
      </c>
      <c r="O857" s="11" t="str">
        <f t="shared" si="107"/>
        <v xml:space="preserve">-LAYER C white V-UNID-UTIL </v>
      </c>
      <c r="P857" s="11" t="str">
        <f t="shared" si="108"/>
        <v xml:space="preserve">-LAYER L Continuous
V-UNID-UTIL  </v>
      </c>
      <c r="Q857" s="11" t="str">
        <f t="shared" si="109"/>
        <v xml:space="preserve">-LAYER LW Default
V-UNID-UTIL  </v>
      </c>
      <c r="R857" s="11" t="str">
        <f t="shared" si="110"/>
        <v xml:space="preserve">-LAYER TR 0
V-UNID-UTIL  </v>
      </c>
      <c r="S857" s="11" t="str">
        <f t="shared" si="111"/>
        <v xml:space="preserve">-LAYER D Topografía / Cartografía - Objetos no identificados del sitio: líneas de servicios públicos
V-UNID-UTIL  </v>
      </c>
    </row>
    <row r="858" spans="1:19" x14ac:dyDescent="0.45">
      <c r="A858" s="7">
        <v>0</v>
      </c>
      <c r="B858" s="11" t="s">
        <v>3783</v>
      </c>
      <c r="C858" s="11" t="s">
        <v>51</v>
      </c>
      <c r="D858" s="11" t="s">
        <v>2899</v>
      </c>
      <c r="E858" s="11" t="str">
        <f t="shared" si="104"/>
        <v>V-UNID-UTIL-OVHD (Topografía / Cartografía - Objetos no identificados del sitio: líneas de servicios públicos aéreas)</v>
      </c>
      <c r="F858" s="19" t="s">
        <v>3798</v>
      </c>
      <c r="G858" s="19" t="s">
        <v>3797</v>
      </c>
      <c r="H858" s="19" t="s">
        <v>3811</v>
      </c>
      <c r="I858" s="10">
        <v>0</v>
      </c>
      <c r="J858" s="10" t="str">
        <f t="shared" si="105"/>
        <v>Topografía / Cartografía - Objetos no identificados del sitio: líneas de servicios públicos aéreas</v>
      </c>
      <c r="K858" s="11" t="s">
        <v>2750</v>
      </c>
      <c r="L858" s="11" t="s">
        <v>50</v>
      </c>
      <c r="M858" s="11" t="s">
        <v>2775</v>
      </c>
      <c r="N858" s="18" t="str">
        <f t="shared" si="106"/>
        <v xml:space="preserve">-LAYER N V-UNID-UTIL-OVHD </v>
      </c>
      <c r="O858" s="11" t="str">
        <f t="shared" si="107"/>
        <v xml:space="preserve">-LAYER C white V-UNID-UTIL-OVHD </v>
      </c>
      <c r="P858" s="11" t="str">
        <f t="shared" si="108"/>
        <v xml:space="preserve">-LAYER L Continuous
V-UNID-UTIL-OVHD  </v>
      </c>
      <c r="Q858" s="11" t="str">
        <f t="shared" si="109"/>
        <v xml:space="preserve">-LAYER LW Default
V-UNID-UTIL-OVHD  </v>
      </c>
      <c r="R858" s="11" t="str">
        <f t="shared" si="110"/>
        <v xml:space="preserve">-LAYER TR 0
V-UNID-UTIL-OVHD  </v>
      </c>
      <c r="S858" s="11" t="str">
        <f t="shared" si="111"/>
        <v xml:space="preserve">-LAYER D Topografía / Cartografía - Objetos no identificados del sitio: líneas de servicios públicos aéreas
V-UNID-UTIL-OVHD  </v>
      </c>
    </row>
    <row r="859" spans="1:19" x14ac:dyDescent="0.45">
      <c r="A859" s="7">
        <v>0</v>
      </c>
      <c r="B859" s="11" t="s">
        <v>3784</v>
      </c>
      <c r="C859" s="11" t="s">
        <v>51</v>
      </c>
      <c r="D859" s="11" t="s">
        <v>2900</v>
      </c>
      <c r="E859" s="11" t="str">
        <f t="shared" si="104"/>
        <v>V-UNID-UTIL-UGND (Topografía / Cartografía - Objetos no identificados del sitio: líneas de servicios públicos subterráneas)</v>
      </c>
      <c r="F859" s="19" t="s">
        <v>3798</v>
      </c>
      <c r="G859" s="19" t="s">
        <v>3797</v>
      </c>
      <c r="H859" s="19" t="s">
        <v>3811</v>
      </c>
      <c r="I859" s="10">
        <v>0</v>
      </c>
      <c r="J859" s="10" t="str">
        <f t="shared" si="105"/>
        <v>Topografía / Cartografía - Objetos no identificados del sitio: líneas de servicios públicos subterráneas</v>
      </c>
      <c r="K859" s="11" t="s">
        <v>2776</v>
      </c>
      <c r="L859" s="11" t="s">
        <v>50</v>
      </c>
      <c r="M859" s="11" t="s">
        <v>2778</v>
      </c>
      <c r="N859" s="18" t="str">
        <f t="shared" si="106"/>
        <v xml:space="preserve">-LAYER N V-UNID-UTIL-UGND </v>
      </c>
      <c r="O859" s="11" t="str">
        <f t="shared" si="107"/>
        <v xml:space="preserve">-LAYER C white V-UNID-UTIL-UGND </v>
      </c>
      <c r="P859" s="11" t="str">
        <f t="shared" si="108"/>
        <v xml:space="preserve">-LAYER L Continuous
V-UNID-UTIL-UGND  </v>
      </c>
      <c r="Q859" s="11" t="str">
        <f t="shared" si="109"/>
        <v xml:space="preserve">-LAYER LW Default
V-UNID-UTIL-UGND  </v>
      </c>
      <c r="R859" s="11" t="str">
        <f t="shared" si="110"/>
        <v xml:space="preserve">-LAYER TR 0
V-UNID-UTIL-UGND  </v>
      </c>
      <c r="S859" s="11" t="str">
        <f t="shared" si="111"/>
        <v xml:space="preserve">-LAYER D Topografía / Cartografía - Objetos no identificados del sitio: líneas de servicios públicos subterráneas
V-UNID-UTIL-UGND  </v>
      </c>
    </row>
    <row r="860" spans="1:19" x14ac:dyDescent="0.45">
      <c r="A860" s="7">
        <v>1</v>
      </c>
      <c r="B860" s="11" t="s">
        <v>3806</v>
      </c>
      <c r="C860" s="11" t="s">
        <v>51</v>
      </c>
      <c r="D860" s="11" t="s">
        <v>688</v>
      </c>
      <c r="E860" s="11" t="str">
        <f t="shared" si="104"/>
        <v>V-WATR (Topografía / Cartografía - Suministro de agua)</v>
      </c>
      <c r="F860" s="19" t="s">
        <v>3798</v>
      </c>
      <c r="G860" s="19" t="s">
        <v>3797</v>
      </c>
      <c r="H860" s="19" t="s">
        <v>3811</v>
      </c>
      <c r="I860" s="10">
        <v>0</v>
      </c>
      <c r="J860" s="10" t="str">
        <f t="shared" si="105"/>
        <v>Topografía / Cartografía - Suministro de agua</v>
      </c>
      <c r="K860" s="11" t="s">
        <v>2777</v>
      </c>
      <c r="L860" s="11" t="s">
        <v>50</v>
      </c>
      <c r="M860" s="11" t="s">
        <v>687</v>
      </c>
      <c r="N860" s="18" t="str">
        <f t="shared" si="106"/>
        <v xml:space="preserve">-LAYER N V-WATR </v>
      </c>
      <c r="O860" s="11" t="str">
        <f t="shared" si="107"/>
        <v xml:space="preserve">-LAYER C white V-WATR </v>
      </c>
      <c r="P860" s="11" t="str">
        <f t="shared" si="108"/>
        <v xml:space="preserve">-LAYER L Continuous
V-WATR  </v>
      </c>
      <c r="Q860" s="11" t="str">
        <f t="shared" si="109"/>
        <v xml:space="preserve">-LAYER LW Default
V-WATR  </v>
      </c>
      <c r="R860" s="11" t="str">
        <f t="shared" si="110"/>
        <v xml:space="preserve">-LAYER TR 0
V-WATR  </v>
      </c>
      <c r="S860" s="11" t="str">
        <f t="shared" si="111"/>
        <v xml:space="preserve">-LAYER D Topografía / Cartografía - Suministro de agua
V-WATR  </v>
      </c>
    </row>
    <row r="861" spans="1:19" x14ac:dyDescent="0.45">
      <c r="A861" s="7">
        <v>0</v>
      </c>
      <c r="B861" s="11" t="s">
        <v>3785</v>
      </c>
      <c r="C861" s="11" t="s">
        <v>51</v>
      </c>
      <c r="D861" s="11" t="s">
        <v>2901</v>
      </c>
      <c r="E861" s="11" t="str">
        <f t="shared" si="104"/>
        <v>V-WATR-INST (Topografía / Cartografía - Suministro de agua: instrumentación (medidores, válvulas, bombas))</v>
      </c>
      <c r="F861" s="19" t="s">
        <v>3798</v>
      </c>
      <c r="G861" s="19" t="s">
        <v>3797</v>
      </c>
      <c r="H861" s="19" t="s">
        <v>3811</v>
      </c>
      <c r="I861" s="10">
        <v>0</v>
      </c>
      <c r="J861" s="10" t="str">
        <f t="shared" si="105"/>
        <v>Topografía / Cartografía - Suministro de agua: instrumentación (medidores, válvulas, bombas)</v>
      </c>
      <c r="K861" s="11" t="s">
        <v>2751</v>
      </c>
      <c r="L861" s="11" t="s">
        <v>50</v>
      </c>
      <c r="M861" s="11" t="s">
        <v>2779</v>
      </c>
      <c r="N861" s="18" t="str">
        <f t="shared" si="106"/>
        <v xml:space="preserve">-LAYER N V-WATR-INST </v>
      </c>
      <c r="O861" s="11" t="str">
        <f t="shared" si="107"/>
        <v xml:space="preserve">-LAYER C white V-WATR-INST </v>
      </c>
      <c r="P861" s="11" t="str">
        <f t="shared" si="108"/>
        <v xml:space="preserve">-LAYER L Continuous
V-WATR-INST  </v>
      </c>
      <c r="Q861" s="11" t="str">
        <f t="shared" si="109"/>
        <v xml:space="preserve">-LAYER LW Default
V-WATR-INST  </v>
      </c>
      <c r="R861" s="11" t="str">
        <f t="shared" si="110"/>
        <v xml:space="preserve">-LAYER TR 0
V-WATR-INST  </v>
      </c>
      <c r="S861" s="11" t="str">
        <f t="shared" si="111"/>
        <v xml:space="preserve">-LAYER D Topografía / Cartografía - Suministro de agua: instrumentación (medidores, válvulas, bombas)
V-WATR-INST  </v>
      </c>
    </row>
    <row r="862" spans="1:19" x14ac:dyDescent="0.45">
      <c r="A862" s="7">
        <v>0</v>
      </c>
      <c r="B862" s="11" t="s">
        <v>3786</v>
      </c>
      <c r="C862" s="11" t="s">
        <v>51</v>
      </c>
      <c r="D862" s="11" t="s">
        <v>2902</v>
      </c>
      <c r="E862" s="11" t="str">
        <f t="shared" si="104"/>
        <v>V-WATR-MHOL (Topografía / Cartografía - Suministro de agua: pozo de registro)</v>
      </c>
      <c r="F862" s="19" t="s">
        <v>3798</v>
      </c>
      <c r="G862" s="19" t="s">
        <v>3797</v>
      </c>
      <c r="H862" s="19" t="s">
        <v>3811</v>
      </c>
      <c r="I862" s="10">
        <v>0</v>
      </c>
      <c r="J862" s="10" t="str">
        <f t="shared" si="105"/>
        <v>Topografía / Cartografía - Suministro de agua: pozo de registro</v>
      </c>
      <c r="K862" s="11" t="s">
        <v>2780</v>
      </c>
      <c r="L862" s="11" t="s">
        <v>50</v>
      </c>
      <c r="M862" s="11" t="s">
        <v>2752</v>
      </c>
      <c r="N862" s="18" t="str">
        <f t="shared" si="106"/>
        <v xml:space="preserve">-LAYER N V-WATR-MHOL </v>
      </c>
      <c r="O862" s="11" t="str">
        <f t="shared" si="107"/>
        <v xml:space="preserve">-LAYER C white V-WATR-MHOL </v>
      </c>
      <c r="P862" s="11" t="str">
        <f t="shared" si="108"/>
        <v xml:space="preserve">-LAYER L Continuous
V-WATR-MHOL  </v>
      </c>
      <c r="Q862" s="11" t="str">
        <f t="shared" si="109"/>
        <v xml:space="preserve">-LAYER LW Default
V-WATR-MHOL  </v>
      </c>
      <c r="R862" s="11" t="str">
        <f t="shared" si="110"/>
        <v xml:space="preserve">-LAYER TR 0
V-WATR-MHOL  </v>
      </c>
      <c r="S862" s="11" t="str">
        <f t="shared" si="111"/>
        <v xml:space="preserve">-LAYER D Topografía / Cartografía - Suministro de agua: pozo de registro
V-WATR-MHOL  </v>
      </c>
    </row>
    <row r="863" spans="1:19" x14ac:dyDescent="0.45">
      <c r="A863" s="7">
        <v>0</v>
      </c>
      <c r="B863" s="11" t="s">
        <v>3787</v>
      </c>
      <c r="C863" s="11" t="s">
        <v>51</v>
      </c>
      <c r="D863" s="11" t="s">
        <v>2903</v>
      </c>
      <c r="E863" s="11" t="str">
        <f t="shared" si="104"/>
        <v>V-WATR-PIPE (Topografía / Cartografía - Suministro de agua: Tuberías)</v>
      </c>
      <c r="F863" s="19" t="s">
        <v>3798</v>
      </c>
      <c r="G863" s="19" t="s">
        <v>3797</v>
      </c>
      <c r="H863" s="19" t="s">
        <v>3811</v>
      </c>
      <c r="I863" s="10">
        <v>0</v>
      </c>
      <c r="J863" s="10" t="str">
        <f t="shared" si="105"/>
        <v>Topografía / Cartografía - Suministro de agua: Tuberías</v>
      </c>
      <c r="K863" s="11" t="s">
        <v>2753</v>
      </c>
      <c r="L863" s="11" t="s">
        <v>50</v>
      </c>
      <c r="M863" s="11" t="s">
        <v>1687</v>
      </c>
      <c r="N863" s="18" t="str">
        <f t="shared" si="106"/>
        <v xml:space="preserve">-LAYER N V-WATR-PIPE </v>
      </c>
      <c r="O863" s="11" t="str">
        <f t="shared" si="107"/>
        <v xml:space="preserve">-LAYER C white V-WATR-PIPE </v>
      </c>
      <c r="P863" s="11" t="str">
        <f t="shared" si="108"/>
        <v xml:space="preserve">-LAYER L Continuous
V-WATR-PIPE  </v>
      </c>
      <c r="Q863" s="11" t="str">
        <f t="shared" si="109"/>
        <v xml:space="preserve">-LAYER LW Default
V-WATR-PIPE  </v>
      </c>
      <c r="R863" s="11" t="str">
        <f t="shared" si="110"/>
        <v xml:space="preserve">-LAYER TR 0
V-WATR-PIPE  </v>
      </c>
      <c r="S863" s="11" t="str">
        <f t="shared" si="111"/>
        <v xml:space="preserve">-LAYER D Topografía / Cartografía - Suministro de agua: Tuberías
V-WATR-PIPE  </v>
      </c>
    </row>
    <row r="864" spans="1:19" x14ac:dyDescent="0.45">
      <c r="A864" s="7">
        <v>0</v>
      </c>
      <c r="B864" s="11" t="s">
        <v>3788</v>
      </c>
      <c r="C864" s="11" t="s">
        <v>51</v>
      </c>
      <c r="D864" s="11" t="s">
        <v>2904</v>
      </c>
      <c r="E864" s="11" t="str">
        <f t="shared" si="104"/>
        <v>V-WATR-STRC (Topografía / Cartografía - Abastecimiento de agua: estructuras)</v>
      </c>
      <c r="F864" s="19" t="s">
        <v>3798</v>
      </c>
      <c r="G864" s="19" t="s">
        <v>3797</v>
      </c>
      <c r="H864" s="19" t="s">
        <v>3811</v>
      </c>
      <c r="I864" s="10">
        <v>0</v>
      </c>
      <c r="J864" s="10" t="str">
        <f t="shared" si="105"/>
        <v>Topografía / Cartografía - Abastecimiento de agua: estructuras</v>
      </c>
      <c r="K864" s="11" t="s">
        <v>2754</v>
      </c>
      <c r="L864" s="11" t="s">
        <v>50</v>
      </c>
      <c r="M864" s="11" t="s">
        <v>1696</v>
      </c>
      <c r="N864" s="18" t="str">
        <f t="shared" si="106"/>
        <v xml:space="preserve">-LAYER N V-WATR-STRC </v>
      </c>
      <c r="O864" s="11" t="str">
        <f t="shared" si="107"/>
        <v xml:space="preserve">-LAYER C white V-WATR-STRC </v>
      </c>
      <c r="P864" s="11" t="str">
        <f t="shared" si="108"/>
        <v xml:space="preserve">-LAYER L Continuous
V-WATR-STRC  </v>
      </c>
      <c r="Q864" s="11" t="str">
        <f t="shared" si="109"/>
        <v xml:space="preserve">-LAYER LW Default
V-WATR-STRC  </v>
      </c>
      <c r="R864" s="11" t="str">
        <f t="shared" si="110"/>
        <v xml:space="preserve">-LAYER TR 0
V-WATR-STRC  </v>
      </c>
      <c r="S864" s="11" t="str">
        <f t="shared" si="111"/>
        <v xml:space="preserve">-LAYER D Topografía / Cartografía - Abastecimiento de agua: estructuras
V-WATR-STRC  </v>
      </c>
    </row>
    <row r="865" spans="1:19" x14ac:dyDescent="0.45">
      <c r="A865" s="7">
        <v>0</v>
      </c>
      <c r="B865" s="11" t="s">
        <v>3789</v>
      </c>
      <c r="C865" s="11" t="s">
        <v>51</v>
      </c>
      <c r="D865" s="11" t="s">
        <v>2905</v>
      </c>
      <c r="E865" s="11" t="str">
        <f t="shared" si="104"/>
        <v>V-WATR-UGND (Topografía / Cartografía - Abastecimiento de agua: subterráneo)</v>
      </c>
      <c r="F865" s="19" t="s">
        <v>3798</v>
      </c>
      <c r="G865" s="19" t="s">
        <v>3797</v>
      </c>
      <c r="H865" s="19" t="s">
        <v>3811</v>
      </c>
      <c r="I865" s="10">
        <v>0</v>
      </c>
      <c r="J865" s="10" t="str">
        <f t="shared" si="105"/>
        <v>Topografía / Cartografía - Abastecimiento de agua: subterráneo</v>
      </c>
      <c r="K865" s="11" t="s">
        <v>2755</v>
      </c>
      <c r="L865" s="11" t="s">
        <v>50</v>
      </c>
      <c r="M865" s="11" t="s">
        <v>1699</v>
      </c>
      <c r="N865" s="18" t="str">
        <f t="shared" si="106"/>
        <v xml:space="preserve">-LAYER N V-WATR-UGND </v>
      </c>
      <c r="O865" s="11" t="str">
        <f t="shared" si="107"/>
        <v xml:space="preserve">-LAYER C white V-WATR-UGND </v>
      </c>
      <c r="P865" s="11" t="str">
        <f t="shared" si="108"/>
        <v xml:space="preserve">-LAYER L Continuous
V-WATR-UGND  </v>
      </c>
      <c r="Q865" s="11" t="str">
        <f t="shared" si="109"/>
        <v xml:space="preserve">-LAYER LW Default
V-WATR-UGND  </v>
      </c>
      <c r="R865" s="11" t="str">
        <f t="shared" si="110"/>
        <v xml:space="preserve">-LAYER TR 0
V-WATR-UGND  </v>
      </c>
      <c r="S865" s="11" t="str">
        <f t="shared" si="111"/>
        <v xml:space="preserve">-LAYER D Topografía / Cartografía - Abastecimiento de agua: subterráneo
V-WATR-UGND  </v>
      </c>
    </row>
  </sheetData>
  <autoFilter ref="A3:M865" xr:uid="{2CA60E93-22D8-4E5B-AC58-CD121D74306E}"/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57372F6A-0CB6-4CF6-90AD-C355DFC0B202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5Quarters" iconId="0"/>
              <x14:cfIcon iconSet="4TrafficLights" iconId="0"/>
              <x14:cfIcon iconSet="3TrafficLights1" iconId="0"/>
            </x14:iconSet>
          </x14:cfRule>
          <xm:sqref>A4:A865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05E68-8BEA-4AAF-AA36-F42D084D63A7}">
  <dimension ref="B2:B6"/>
  <sheetViews>
    <sheetView showGridLines="0" zoomScale="115" zoomScaleNormal="115" workbookViewId="0">
      <selection activeCell="B6" sqref="B6"/>
    </sheetView>
  </sheetViews>
  <sheetFormatPr defaultColWidth="9.1328125" defaultRowHeight="16.5" x14ac:dyDescent="0.6"/>
  <cols>
    <col min="1" max="1" width="2.53125" style="1" customWidth="1"/>
    <col min="2" max="2" width="76.53125" style="1" customWidth="1"/>
    <col min="3" max="16384" width="9.1328125" style="1"/>
  </cols>
  <sheetData>
    <row r="2" spans="2:2" x14ac:dyDescent="0.6">
      <c r="B2" s="1" t="s">
        <v>700</v>
      </c>
    </row>
    <row r="3" spans="2:2" x14ac:dyDescent="0.6">
      <c r="B3" s="4" t="s">
        <v>701</v>
      </c>
    </row>
    <row r="4" spans="2:2" x14ac:dyDescent="0.6">
      <c r="B4" s="4" t="s">
        <v>702</v>
      </c>
    </row>
    <row r="5" spans="2:2" x14ac:dyDescent="0.6">
      <c r="B5" s="1" t="s">
        <v>2162</v>
      </c>
    </row>
    <row r="6" spans="2:2" x14ac:dyDescent="0.6">
      <c r="B6" s="8" t="s">
        <v>3807</v>
      </c>
    </row>
  </sheetData>
  <sheetProtection algorithmName="SHA-512" hashValue="0ktRkSHWYB1oh01KUbVACqEBX84TIxrOCr7aBKGB4O0Xr+xSbsCGWEOn7GRZ+9vj2YBTImaMZqcgaskHCI0wQg==" saltValue="LxBIxbW2WXIcDe9k+eTfjw==" spinCount="100000" sheet="1" objects="1" scenarios="1"/>
  <hyperlinks>
    <hyperlink ref="B3" r:id="rId1" xr:uid="{81F25F9E-52E4-4B9C-ADC1-9EF16A160958}"/>
    <hyperlink ref="B4" r:id="rId2" xr:uid="{D3C162BE-7D9A-484A-B3A4-F80F02420D0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D7322AB1F17A44BE7FE5C8D995D347" ma:contentTypeVersion="18" ma:contentTypeDescription="Create a new document." ma:contentTypeScope="" ma:versionID="a34332f796df4527adfd50cc06e73342">
  <xsd:schema xmlns:xsd="http://www.w3.org/2001/XMLSchema" xmlns:xs="http://www.w3.org/2001/XMLSchema" xmlns:p="http://schemas.microsoft.com/office/2006/metadata/properties" xmlns:ns3="7eeb79fa-ffdc-4bd7-a04f-d010a9c58256" xmlns:ns4="85273d68-90a1-4455-8abc-8dc013f26eed" targetNamespace="http://schemas.microsoft.com/office/2006/metadata/properties" ma:root="true" ma:fieldsID="c194d0ced072f42b9bcad298aae9931c" ns3:_="" ns4:_="">
    <xsd:import namespace="7eeb79fa-ffdc-4bd7-a04f-d010a9c58256"/>
    <xsd:import namespace="85273d68-90a1-4455-8abc-8dc013f26ee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eb79fa-ffdc-4bd7-a04f-d010a9c5825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273d68-90a1-4455-8abc-8dc013f26e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MediaServiceLocation" ma:description="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5273d68-90a1-4455-8abc-8dc013f26eed" xsi:nil="true"/>
  </documentManagement>
</p:properties>
</file>

<file path=customXml/itemProps1.xml><?xml version="1.0" encoding="utf-8"?>
<ds:datastoreItem xmlns:ds="http://schemas.openxmlformats.org/officeDocument/2006/customXml" ds:itemID="{17A2906D-5802-451E-9C96-391B04836A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eb79fa-ffdc-4bd7-a04f-d010a9c58256"/>
    <ds:schemaRef ds:uri="85273d68-90a1-4455-8abc-8dc013f26e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C1556B-F96F-4768-A5C1-84E54B001E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0E66BA-068D-48E6-8C46-D96E2B6CA4E9}">
  <ds:schemaRefs>
    <ds:schemaRef ds:uri="http://purl.org/dc/dcmitype/"/>
    <ds:schemaRef ds:uri="http://schemas.microsoft.com/office/2006/documentManagement/types"/>
    <ds:schemaRef ds:uri="85273d68-90a1-4455-8abc-8dc013f26eed"/>
    <ds:schemaRef ds:uri="http://purl.org/dc/elements/1.1/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7eeb79fa-ffdc-4bd7-a04f-d010a9c58256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Level1</vt:lpstr>
      <vt:lpstr>Level2</vt:lpstr>
      <vt:lpstr>Group</vt:lpstr>
      <vt:lpstr>Status</vt:lpstr>
      <vt:lpstr>Layer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RICARDO AGUILAR PIÑA</dc:creator>
  <cp:lastModifiedBy>WILLIAM RICARDO AGUILAR PIÑA</cp:lastModifiedBy>
  <dcterms:created xsi:type="dcterms:W3CDTF">2025-06-24T13:24:31Z</dcterms:created>
  <dcterms:modified xsi:type="dcterms:W3CDTF">2025-08-21T13:36:07Z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0x01010071D7322AB1F17A44BE7FE5C8D995D347</vt:lpwstr>
  </property>
</Properties>
</file>