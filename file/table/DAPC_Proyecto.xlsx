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7E7D1DEE-3950-4919-AA1B-B2DCB7439D62}" xr6:coauthVersionLast="47" xr6:coauthVersionMax="47" xr10:uidLastSave="{00000000-0000-0000-0000-000000000000}"/>
  <bookViews>
    <workbookView xWindow="-98" yWindow="-98" windowWidth="28996" windowHeight="15675" activeTab="1" xr2:uid="{00000000-000D-0000-FFFF-FFFF00000000}"/>
  </bookViews>
  <sheets>
    <sheet name="1.Tecnicas" sheetId="2" r:id="rId1"/>
    <sheet name="2.Arquitectonica" sheetId="4" r:id="rId2"/>
    <sheet name="Files" sheetId="1" r:id="rId3"/>
    <sheet name="Metadata" sheetId="3" r:id="rId4"/>
  </sheets>
  <definedNames>
    <definedName name="SumUDig">'1.Tecnicas'!$E$30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8" i="4" l="1"/>
  <c r="D50" i="4" s="1"/>
  <c r="D45" i="4" s="1"/>
  <c r="D8" i="4"/>
  <c r="D12" i="4" s="1"/>
  <c r="D23" i="4"/>
  <c r="D7" i="4"/>
  <c r="D13" i="4" s="1"/>
  <c r="D32" i="4"/>
  <c r="E28" i="2"/>
  <c r="E21" i="2"/>
  <c r="E22" i="2"/>
  <c r="E23" i="2"/>
  <c r="E24" i="2"/>
  <c r="E25" i="2"/>
  <c r="E26" i="2"/>
  <c r="E27" i="2"/>
  <c r="E29" i="2"/>
  <c r="E20" i="2"/>
  <c r="D26" i="4" l="1"/>
  <c r="D28" i="4" s="1"/>
  <c r="D15" i="4" s="1"/>
  <c r="D14" i="4"/>
  <c r="D38" i="4"/>
  <c r="D39" i="4" s="1"/>
  <c r="E30" i="2"/>
  <c r="D17" i="4" l="1"/>
  <c r="D16" i="4"/>
  <c r="D18" i="4" s="1"/>
  <c r="D27" i="4"/>
  <c r="D30" i="4" s="1"/>
  <c r="D3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9" authorId="0" shapeId="0" xr:uid="{8FA6F4B0-21C7-4A5C-ABA3-36A7AA5DFC59}">
      <text>
        <r>
          <rPr>
            <sz val="9"/>
            <color indexed="81"/>
            <rFont val="Segoe UI Light"/>
            <family val="2"/>
          </rPr>
          <t>Último dígito del código de alumno</t>
        </r>
      </text>
    </comment>
  </commentList>
</comments>
</file>

<file path=xl/sharedStrings.xml><?xml version="1.0" encoding="utf-8"?>
<sst xmlns="http://schemas.openxmlformats.org/spreadsheetml/2006/main" count="196" uniqueCount="149">
  <si>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</si>
  <si>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</si>
  <si>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</si>
  <si>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</si>
  <si>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</si>
  <si>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</si>
  <si>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</si>
  <si>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</si>
  <si>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</si>
  <si>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</si>
  <si>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</si>
  <si>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</si>
  <si>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</si>
  <si>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</si>
  <si>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</si>
  <si>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</si>
  <si>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Archivos digitales del proyecto</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</si>
  <si>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</si>
  <si>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</si>
  <si>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</si>
  <si>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</si>
  <si>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</si>
  <si>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</si>
  <si>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</si>
  <si>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</si>
  <si>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</si>
  <si>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</si>
  <si>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</si>
  <si>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</si>
  <si>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</si>
  <si>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</si>
  <si>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</si>
  <si>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</si>
  <si>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</si>
  <si>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</si>
  <si>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</si>
  <si>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</si>
  <si>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</si>
  <si>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</si>
  <si>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r>
      <t xml:space="preserve">Estructura de directorios </t>
    </r>
    <r>
      <rPr>
        <sz val="8"/>
        <color theme="1"/>
        <rFont val="Segoe UI Light"/>
        <family val="2"/>
      </rPr>
      <t>(Utilizar la estructura definida para el curso DAPC)</t>
    </r>
  </si>
  <si>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</si>
  <si>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</si>
  <si>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r>
      <t xml:space="preserve">Plantilla o layout AutoCAD
</t>
    </r>
    <r>
      <rPr>
        <sz val="8"/>
        <color theme="1"/>
        <rFont val="Segoe UI Light"/>
        <family val="2"/>
      </rPr>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r>
  </si>
  <si>
    <t>Especificación</t>
  </si>
  <si>
    <t>Descripción y alcance</t>
  </si>
  <si>
    <t>Ancho de bodega</t>
  </si>
  <si>
    <t>Largo de bodega</t>
  </si>
  <si>
    <t>Alto de bodega</t>
  </si>
  <si>
    <t>1 nivel con altura de 12 metros.</t>
  </si>
  <si>
    <t>Patio posterior</t>
  </si>
  <si>
    <t>Oficina</t>
  </si>
  <si>
    <t>Baños</t>
  </si>
  <si>
    <t>Adosados a la zona de oficinas. Baños privado en oficinas con al menos dos sanitarios. Baños generales con al menos 4 sanitarios. Tamaño y distribución a libre elección.</t>
  </si>
  <si>
    <t>Puerta principal</t>
  </si>
  <si>
    <t>Puertas secundarias</t>
  </si>
  <si>
    <t>Metálica. Utilizar anchos estándar.</t>
  </si>
  <si>
    <t>Ventanas</t>
  </si>
  <si>
    <t>Metálica. Utilizar anchos estándar. Utilizar solo en fachada frontal y posterior e internamente en oficinas y baños.</t>
  </si>
  <si>
    <t>Estructura</t>
  </si>
  <si>
    <t>Cree una tabla cuantificando todos los elementos requeridos.</t>
  </si>
  <si>
    <t>Valor</t>
  </si>
  <si>
    <t>Unidad</t>
  </si>
  <si>
    <t>Área lote</t>
  </si>
  <si>
    <t>Largo lote</t>
  </si>
  <si>
    <t>Ancho lote</t>
  </si>
  <si>
    <t>8 metros + Σ del último dígito de los códigos de estudiante. En los laterales de la bodega no deben existir ventanas.</t>
  </si>
  <si>
    <t>m</t>
  </si>
  <si>
    <t>m²</t>
  </si>
  <si>
    <t>cm</t>
  </si>
  <si>
    <t>Tabla de áreas</t>
  </si>
  <si>
    <t>Acceso a mezanine e integrada al volúmen general de oficinas y en estructura metálica.</t>
  </si>
  <si>
    <t>Localizadas cerca a la puerta de acceso y en costado de la bodega. Máximo ocupar 60 m² en planta. Incluir área de escalera.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</si>
  <si>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</si>
  <si>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</si>
  <si>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</si>
  <si>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</si>
  <si>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</si>
  <si>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</si>
  <si>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</si>
  <si>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</si>
  <si>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Diseño de cubierta</t>
  </si>
  <si>
    <t>Líneas de vida</t>
  </si>
  <si>
    <t>Distribución interna</t>
  </si>
  <si>
    <t>Elementos estructurales</t>
  </si>
  <si>
    <t>Longitud del patio a lo ancho del lote.</t>
  </si>
  <si>
    <t>Longitud del aíslamiento frontal a lo ancho del lote.</t>
  </si>
  <si>
    <t>Área total del lote, no deben existir elementos constructivos fuera del el polígono que inscribe esta área.</t>
  </si>
  <si>
    <t>Índice de ocupación</t>
  </si>
  <si>
    <t>Adim.</t>
  </si>
  <si>
    <t>Láminas metálicas sobre estructura metálica. La cubierta no deberá sobre salir mas allá del ancho del lote. Incluir voladizo frontal y posterior. Libre elección: cubierta a dos aguas o cubierta en domo.</t>
  </si>
  <si>
    <t>A los costados y a lo ancho de la cubierta (incluídos voladizos), se deben dibujar canales de recolección de aguas lluvias. Diseñar con el ancho indicado.</t>
  </si>
  <si>
    <t>La cubierta debe descargar sobre la viga canal lateral a ambos costados utilizando sobrelapado.</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</si>
  <si>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</si>
  <si>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</si>
  <si>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</si>
  <si>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Corresponde a la división del área ocupada bajo cubiertas entre el área del lote.</t>
  </si>
  <si>
    <t>Número de ventiladores x área de cada ventilador.</t>
  </si>
  <si>
    <t>Área canal descontable del total de la cubierta. Ancho de canal menos el sobrelapo x largo de la cubierta y por dos costados.</t>
  </si>
  <si>
    <t>Láminas metálicas sobre estructura metálica. La cubierta no deberá sobre salir mas allá del ancho del lote. Incluir voladizo frontal y posterior de 2 metros. Descontar la fracción correspondiente a la viga canal lateral.</t>
  </si>
  <si>
    <t>Láminas metálicas sobre estructura metálica. La cubierta no deberá sobre salir mas allá del ancho del lote. Incluir voladizo frontal y posterior de 2 metros. Este valor corresponde al área ocupada en el lote. Descontar la fracción correspondiente a la viga canal lateral.</t>
  </si>
  <si>
    <t>Voladizo</t>
  </si>
  <si>
    <t>Pendiente en %</t>
  </si>
  <si>
    <t>Pendiente en °</t>
  </si>
  <si>
    <t>Viga canal - Sobrelapado de cubierta</t>
  </si>
  <si>
    <t>Viga canal - Ancho</t>
  </si>
  <si>
    <t>Viga canal - Área fuera de cubierta</t>
  </si>
  <si>
    <t>Área sin voladizo</t>
  </si>
  <si>
    <t>Área con voladizo</t>
  </si>
  <si>
    <t>Ventiladores - Separación</t>
  </si>
  <si>
    <t>Ventiladores - Cantidad requerida</t>
  </si>
  <si>
    <t>Ventiladores - Díametro ØC</t>
  </si>
  <si>
    <t>Ventiladores - Área por ventilador</t>
  </si>
  <si>
    <t>Ventiladores - Área total ventiladores</t>
  </si>
  <si>
    <t>10 metros + Σ del último dígito de los códigos de estudiante.</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</si>
  <si>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</si>
  <si>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Incluir ventiladores eléctricos axiales industriales para extracción de aire caliente.</t>
  </si>
  <si>
    <t>La cantidad requerida de ventiladores es igual al área total de la cubierta sin voladizos dividido entre la separación². Se analiza únicamente con el área interna de la cubierta y sin los voladizos.</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</si>
  <si>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</si>
  <si>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</si>
  <si>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</si>
  <si>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</si>
  <si>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</si>
  <si>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</si>
  <si>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</si>
  <si>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</si>
  <si>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</si>
  <si>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</si>
  <si>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Interno bajo cubierta solo en zona de oficinas y baños. Utilizar solo baranda perimetral y sin muros. Descontar área de escalera.</t>
  </si>
  <si>
    <t>Escalera - Escalones</t>
  </si>
  <si>
    <t>Número de escalones entre el nivel de piso a borde superior de placa.</t>
  </si>
  <si>
    <t>Escalera - Contrahuella</t>
  </si>
  <si>
    <t>Escalera - Ancho</t>
  </si>
  <si>
    <t>Ancho mínimo de la escalera.</t>
  </si>
  <si>
    <t>Escalera - Área</t>
  </si>
  <si>
    <t>Interno bajo cubierta solo en zona de oficinas y baños. Sobre el nivel de placa a 3.99 metros a base de estructura.</t>
  </si>
  <si>
    <t>Área ocupada por escalera = ancho * número de escalones  * longitud de huella.</t>
  </si>
  <si>
    <t xml:space="preserve">Ubicar en lado frontal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</si>
  <si>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Especificaciones generales e índices</t>
  </si>
  <si>
    <t>Área construída</t>
  </si>
  <si>
    <t>Área bajo cubierta más área de mezanine.</t>
  </si>
  <si>
    <t>Índice de construcción</t>
  </si>
  <si>
    <t>Corresponde a la división del área ocupada bajo cubiertas entre el área del lote. No incluir las zonas duras externas que no están bajo cubierta.</t>
  </si>
  <si>
    <t>Área ocupada</t>
  </si>
  <si>
    <t>Área ocupada bajo cubiertas.</t>
  </si>
  <si>
    <t>Placa de contra piso - espesor</t>
  </si>
  <si>
    <r>
      <t xml:space="preserve">Libre elección: metálica o en concreto utilizando pórticos con máximo 6 metros de luz o espaciado entre apoyos. Para dibujo en planta y cortes utilizar columnas de 30 x 50 centímetros y vigas de 50 centímetros. Investigar especificaciones de refuerzo y dibujar detalle estructural. </t>
    </r>
    <r>
      <rPr>
        <i/>
        <sz val="8"/>
        <color theme="1"/>
        <rFont val="Segoe UI Light"/>
        <family val="2"/>
      </rPr>
      <t>Atención: tenga en cuenta que este tipo de elementos requieren de un diseño avanzado; los valores aquí definidos son esquemáticos y requieren ser revisados por un ingeniero experto.</t>
    </r>
  </si>
  <si>
    <r>
      <t xml:space="preserve">Placa de cimentación en concreto reforzado. Investigar especificaciones de refuerzo y dibujar detalle estructural. </t>
    </r>
    <r>
      <rPr>
        <i/>
        <sz val="8"/>
        <color theme="1"/>
        <rFont val="Segoe UI Light"/>
        <family val="2"/>
      </rPr>
      <t>Atención: tenga en cuenta que este tipo de elementos requieren de un diseño avanzado; los valores aquí definidos son esquemáticos y requieren ser revisados por un ingeniero experto.</t>
    </r>
  </si>
  <si>
    <t>Libre elección en estructura metálica o en concreto. Utilizar un espesor de referencia de 20 cm.</t>
  </si>
  <si>
    <t>Placa mezanine - espesor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</si>
</sst>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color rgb="FFC00000"/>
      <name val="Segoe UI Light"/>
      <family val="2"/>
    </font>
    <font>
      <sz val="11"/>
      <name val="Segoe UI Light"/>
      <family val="2"/>
    </font>
    <font>
      <i/>
      <sz val="8"/>
      <color theme="1"/>
      <name val="Segoe UI Light"/>
      <family val="2"/>
    </font>
  </fonts>
  <fills count="3">
    <fill>
      <patternFill patternType="none"/>
    </fill>
    <fill>
      <patternFill patternType="gray125"/>
    </fill>
    <fill>
      <patternFill patternType="solid">
        <fgColor theme="0" tint="-4.9989318521683403E-2"/>
        <bgColor indexed="64"/>
      </patternFill>
    </fill>
  </fills>
  <borders count="21">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94">
    <xf numFmtId="0" fontId="0" fillId="0" borderId="0" xfId="0"/>
    <xf numFmtId="0" fontId="2" fillId="0" borderId="0" xfId="0" applyFont="1"/>
    <xf numFmtId="0" fontId="2" fillId="0" borderId="0" xfId="0" applyFont="1" applyAlignment="1">
      <alignment horizontal="left" vertical="top"/>
    </xf>
    <xf numFmtId="0" fontId="2" fillId="0" borderId="0" xfId="0" applyFont="1" applyAlignment="1">
      <alignment horizontal="left" vertical="top"/>
    </xf>
    <xf numFmtId="0" fontId="2" fillId="0" borderId="0" xfId="0" applyFont="1" applyAlignment="1">
      <alignment horizontal="center"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8" xfId="0" applyFont="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1" xfId="0" applyFont="1" applyFill="1" applyBorder="1" applyAlignment="1">
      <alignment horizontal="left" vertical="top"/>
    </xf>
    <xf numFmtId="0" fontId="2" fillId="0" borderId="0" xfId="0" applyFont="1" applyFill="1" applyAlignment="1">
      <alignment horizontal="left" vertical="top"/>
    </xf>
    <xf numFmtId="0" fontId="2" fillId="0" borderId="1" xfId="0" applyFont="1" applyFill="1" applyBorder="1" applyAlignment="1">
      <alignment horizontal="left" vertical="top"/>
    </xf>
    <xf numFmtId="0" fontId="2" fillId="0" borderId="6" xfId="0" applyFont="1" applyFill="1" applyBorder="1" applyAlignment="1">
      <alignment horizontal="left" vertical="top"/>
    </xf>
    <xf numFmtId="0" fontId="2" fillId="0" borderId="6" xfId="0" applyFont="1" applyBorder="1" applyAlignment="1">
      <alignment horizontal="left" vertical="top"/>
    </xf>
    <xf numFmtId="0" fontId="2" fillId="0" borderId="7" xfId="0" applyFont="1" applyBorder="1" applyAlignment="1">
      <alignment horizontal="left" vertical="top"/>
    </xf>
    <xf numFmtId="0" fontId="2" fillId="2" borderId="4" xfId="0" applyFont="1" applyFill="1" applyBorder="1" applyAlignment="1">
      <alignment horizontal="left" vertical="top"/>
    </xf>
    <xf numFmtId="0" fontId="4" fillId="0" borderId="5" xfId="0" applyFont="1" applyBorder="1" applyAlignment="1">
      <alignment horizontal="center" vertical="top"/>
    </xf>
    <xf numFmtId="0" fontId="4" fillId="0" borderId="7" xfId="0" applyFont="1" applyBorder="1" applyAlignment="1">
      <alignment horizontal="center" vertical="top"/>
    </xf>
    <xf numFmtId="0" fontId="4" fillId="2" borderId="2" xfId="0" applyFont="1" applyFill="1" applyBorder="1" applyAlignment="1">
      <alignment horizontal="center" vertical="top"/>
    </xf>
    <xf numFmtId="0" fontId="3" fillId="0" borderId="0" xfId="0" applyFont="1" applyBorder="1" applyAlignment="1">
      <alignment horizontal="left" vertical="top"/>
    </xf>
    <xf numFmtId="0" fontId="2" fillId="2" borderId="4" xfId="0" applyFont="1" applyFill="1" applyBorder="1" applyAlignment="1">
      <alignment horizontal="left" vertical="top"/>
    </xf>
    <xf numFmtId="0" fontId="2" fillId="2" borderId="15" xfId="0" applyFont="1" applyFill="1" applyBorder="1" applyAlignment="1">
      <alignment horizontal="center" vertical="top"/>
    </xf>
    <xf numFmtId="0" fontId="4" fillId="0" borderId="5" xfId="0" applyFont="1" applyFill="1" applyBorder="1" applyAlignment="1">
      <alignment horizontal="center" vertical="top"/>
    </xf>
    <xf numFmtId="0" fontId="4" fillId="0" borderId="7" xfId="0" applyFont="1" applyFill="1" applyBorder="1" applyAlignment="1">
      <alignment horizontal="center" vertical="top"/>
    </xf>
    <xf numFmtId="0" fontId="5" fillId="0" borderId="0" xfId="0" applyFont="1" applyAlignment="1">
      <alignment horizontal="left" vertical="top"/>
    </xf>
    <xf numFmtId="0" fontId="2" fillId="0" borderId="0" xfId="0" applyFont="1" applyBorder="1" applyAlignment="1">
      <alignment horizontal="left" vertical="top"/>
    </xf>
    <xf numFmtId="0" fontId="7" fillId="0" borderId="0" xfId="2" applyFont="1"/>
    <xf numFmtId="0" fontId="4" fillId="0" borderId="0" xfId="0" applyFont="1"/>
    <xf numFmtId="0" fontId="2" fillId="0" borderId="6" xfId="0" applyFont="1" applyFill="1" applyBorder="1" applyAlignment="1">
      <alignment horizontal="left" vertical="top"/>
    </xf>
    <xf numFmtId="0" fontId="2" fillId="0" borderId="0" xfId="0" applyFont="1" applyBorder="1" applyAlignment="1">
      <alignment horizontal="left" vertical="top"/>
    </xf>
    <xf numFmtId="0" fontId="9" fillId="0" borderId="0" xfId="0" applyFont="1" applyBorder="1" applyAlignment="1">
      <alignment horizontal="left" vertical="top"/>
    </xf>
    <xf numFmtId="0" fontId="4" fillId="0" borderId="0" xfId="0" applyFont="1" applyAlignment="1">
      <alignment horizontal="right" vertical="top"/>
    </xf>
    <xf numFmtId="0" fontId="3" fillId="0" borderId="5" xfId="0" applyFont="1" applyFill="1" applyBorder="1" applyAlignment="1" applyProtection="1">
      <alignment horizontal="left" vertical="top"/>
      <protection locked="0"/>
    </xf>
    <xf numFmtId="0" fontId="3" fillId="0" borderId="1" xfId="0" applyFont="1" applyFill="1" applyBorder="1" applyAlignment="1" applyProtection="1">
      <alignment horizontal="left" vertical="top"/>
      <protection locked="0"/>
    </xf>
    <xf numFmtId="0" fontId="3" fillId="0" borderId="6" xfId="0" applyFont="1" applyFill="1" applyBorder="1" applyAlignment="1" applyProtection="1">
      <alignment horizontal="left" vertical="top"/>
      <protection locked="0"/>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0" fontId="3" fillId="0" borderId="8" xfId="0" applyFont="1" applyBorder="1" applyAlignment="1" applyProtection="1">
      <alignment horizontal="left" vertical="top"/>
      <protection locked="0"/>
    </xf>
    <xf numFmtId="49" fontId="3" fillId="0" borderId="8" xfId="0" applyNumberFormat="1" applyFont="1" applyBorder="1" applyAlignment="1" applyProtection="1">
      <alignment horizontal="center" vertical="top"/>
      <protection locked="0"/>
    </xf>
    <xf numFmtId="0" fontId="2" fillId="0" borderId="1" xfId="0" applyFont="1" applyFill="1" applyBorder="1" applyAlignment="1">
      <alignment horizontal="left" vertical="top" wrapText="1"/>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3" xfId="0" applyFont="1" applyBorder="1" applyAlignment="1">
      <alignment horizontal="left" vertical="top" wrapText="1"/>
    </xf>
    <xf numFmtId="0" fontId="2" fillId="0" borderId="13" xfId="0" applyFont="1" applyBorder="1" applyAlignment="1">
      <alignment horizontal="left" vertical="top"/>
    </xf>
    <xf numFmtId="0" fontId="2" fillId="0" borderId="14" xfId="0" applyFont="1" applyBorder="1" applyAlignment="1">
      <alignment horizontal="left" vertical="top"/>
    </xf>
    <xf numFmtId="0" fontId="4" fillId="0" borderId="0" xfId="0" applyFont="1" applyAlignment="1">
      <alignment horizontal="left" vertical="top" wrapText="1"/>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2" borderId="2" xfId="0" applyFont="1" applyFill="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2" fillId="2" borderId="4" xfId="0" applyFont="1" applyFill="1" applyBorder="1" applyAlignment="1">
      <alignment horizontal="left" vertical="top" wrapText="1"/>
    </xf>
    <xf numFmtId="0" fontId="4" fillId="0" borderId="1" xfId="0" applyFont="1" applyBorder="1" applyAlignment="1">
      <alignment horizontal="left" vertical="top" wrapText="1"/>
    </xf>
    <xf numFmtId="0" fontId="4" fillId="0" borderId="8" xfId="0" applyFont="1" applyBorder="1" applyAlignment="1">
      <alignment horizontal="left" vertical="top"/>
    </xf>
    <xf numFmtId="0" fontId="3" fillId="0" borderId="1" xfId="0" applyFont="1" applyBorder="1" applyAlignment="1">
      <alignment horizontal="center"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2" fillId="2" borderId="12" xfId="0" applyFont="1" applyFill="1" applyBorder="1" applyAlignment="1">
      <alignment horizontal="left" vertical="top" wrapText="1"/>
    </xf>
    <xf numFmtId="0" fontId="2" fillId="2" borderId="18" xfId="0" applyFont="1" applyFill="1" applyBorder="1" applyAlignment="1">
      <alignment horizontal="left" vertical="top" wrapText="1"/>
    </xf>
    <xf numFmtId="0" fontId="2" fillId="2" borderId="19" xfId="0" applyFont="1" applyFill="1" applyBorder="1" applyAlignment="1">
      <alignment horizontal="left" vertical="top" wrapText="1"/>
    </xf>
    <xf numFmtId="0" fontId="2" fillId="2" borderId="19" xfId="0" applyFont="1" applyFill="1" applyBorder="1" applyAlignment="1">
      <alignment horizontal="center" vertical="top" wrapText="1"/>
    </xf>
    <xf numFmtId="0" fontId="2" fillId="2" borderId="20" xfId="0" applyFont="1" applyFill="1" applyBorder="1" applyAlignment="1">
      <alignment horizontal="left" vertical="top" wrapText="1"/>
    </xf>
    <xf numFmtId="0" fontId="2" fillId="0" borderId="7" xfId="0" applyFont="1" applyBorder="1" applyAlignment="1">
      <alignment horizontal="left" vertical="top" wrapText="1"/>
    </xf>
    <xf numFmtId="0" fontId="4"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0" fontId="10" fillId="0" borderId="5" xfId="0" applyFont="1" applyBorder="1" applyAlignment="1">
      <alignment horizontal="left" vertical="top" wrapText="1"/>
    </xf>
    <xf numFmtId="0" fontId="2" fillId="0" borderId="17" xfId="0" applyFont="1" applyBorder="1" applyAlignment="1">
      <alignment horizontal="left" vertical="top" wrapText="1"/>
    </xf>
    <xf numFmtId="0" fontId="4" fillId="0" borderId="13"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0" fontId="3" fillId="0" borderId="13" xfId="0" applyFont="1" applyBorder="1" applyAlignment="1">
      <alignment horizontal="center" vertical="top" wrapText="1"/>
    </xf>
    <xf numFmtId="0" fontId="3" fillId="0" borderId="1" xfId="1" applyNumberFormat="1" applyFont="1" applyBorder="1" applyAlignment="1">
      <alignment horizontal="center" vertical="top" wrapText="1"/>
    </xf>
    <xf numFmtId="0" fontId="11" fillId="0" borderId="1"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E30"/>
  <sheetViews>
    <sheetView showGridLines="0" zoomScale="130" zoomScaleNormal="130" workbookViewId="0">
      <pane ySplit="3" topLeftCell="A13" activePane="bottomLeft" state="frozen"/>
      <selection pane="bottomLeft" activeCell="E30" sqref="E30"/>
    </sheetView>
  </sheetViews>
  <sheetFormatPr defaultRowHeight="16.5" x14ac:dyDescent="0.45"/>
  <cols>
    <col min="1" max="2" width="2.59765625" style="2" customWidth="1"/>
    <col min="3" max="3" width="34.73046875" style="2" customWidth="1"/>
    <col min="4" max="4" width="14.53125" style="2" customWidth="1"/>
    <col min="5" max="5" width="9.06640625" style="2"/>
    <col min="6" max="6" width="2.59765625" style="2" customWidth="1"/>
    <col min="7" max="16384" width="9.06640625" style="2"/>
  </cols>
  <sheetData>
    <row r="1" spans="2:5" x14ac:dyDescent="0.45">
      <c r="E1" s="43"/>
    </row>
    <row r="2" spans="2:5" x14ac:dyDescent="0.45">
      <c r="B2" s="2" t="s">
        <v>23</v>
      </c>
    </row>
    <row r="3" spans="2:5" x14ac:dyDescent="0.45">
      <c r="B3" s="2" t="s">
        <v>0</v>
      </c>
    </row>
    <row r="4" spans="2:5" ht="16.5" customHeight="1" x14ac:dyDescent="0.45">
      <c r="B4" s="63" t="s">
        <v>41</v>
      </c>
      <c r="C4" s="63"/>
      <c r="D4" s="63"/>
      <c r="E4" s="63"/>
    </row>
    <row r="5" spans="2:5" x14ac:dyDescent="0.45">
      <c r="B5" s="63"/>
      <c r="C5" s="63"/>
      <c r="D5" s="63"/>
      <c r="E5" s="63"/>
    </row>
    <row r="6" spans="2:5" x14ac:dyDescent="0.45">
      <c r="B6" s="63"/>
      <c r="C6" s="63"/>
      <c r="D6" s="63"/>
      <c r="E6" s="63"/>
    </row>
    <row r="8" spans="2:5" x14ac:dyDescent="0.45">
      <c r="B8" s="8" t="s">
        <v>1</v>
      </c>
      <c r="C8" s="9"/>
      <c r="D8" s="9"/>
      <c r="E8" s="32"/>
    </row>
    <row r="9" spans="2:5" x14ac:dyDescent="0.45">
      <c r="B9" s="44" t="s">
        <v>12</v>
      </c>
      <c r="C9" s="45"/>
      <c r="D9" s="45"/>
      <c r="E9" s="46"/>
    </row>
    <row r="10" spans="2:5" x14ac:dyDescent="0.45">
      <c r="B10" s="10" t="s">
        <v>2</v>
      </c>
      <c r="C10" s="11"/>
      <c r="D10" s="11"/>
      <c r="E10" s="12"/>
    </row>
    <row r="11" spans="2:5" x14ac:dyDescent="0.45">
      <c r="B11" s="47" t="s">
        <v>13</v>
      </c>
      <c r="C11" s="48"/>
      <c r="D11" s="48"/>
      <c r="E11" s="49"/>
    </row>
    <row r="12" spans="2:5" x14ac:dyDescent="0.45">
      <c r="B12" s="50"/>
      <c r="C12" s="51"/>
      <c r="D12" s="51"/>
      <c r="E12" s="52"/>
    </row>
    <row r="13" spans="2:5" x14ac:dyDescent="0.45">
      <c r="B13" s="10" t="s">
        <v>21</v>
      </c>
      <c r="C13" s="11"/>
      <c r="D13" s="11"/>
      <c r="E13" s="12"/>
    </row>
    <row r="14" spans="2:5" x14ac:dyDescent="0.45">
      <c r="B14" s="47" t="s">
        <v>19</v>
      </c>
      <c r="C14" s="48"/>
      <c r="D14" s="48"/>
      <c r="E14" s="49"/>
    </row>
    <row r="15" spans="2:5" x14ac:dyDescent="0.45">
      <c r="B15" s="50"/>
      <c r="C15" s="51"/>
      <c r="D15" s="51"/>
      <c r="E15" s="52"/>
    </row>
    <row r="16" spans="2:5" s="41" customFormat="1" x14ac:dyDescent="0.45">
      <c r="B16" s="42" t="s">
        <v>22</v>
      </c>
      <c r="C16" s="42"/>
      <c r="D16" s="42"/>
      <c r="E16" s="42"/>
    </row>
    <row r="17" spans="2:5" s="41" customFormat="1" x14ac:dyDescent="0.45">
      <c r="B17" s="31"/>
      <c r="C17" s="31"/>
      <c r="D17" s="31"/>
      <c r="E17" s="31"/>
    </row>
    <row r="18" spans="2:5" s="41" customFormat="1" x14ac:dyDescent="0.45">
      <c r="B18" s="37" t="s">
        <v>14</v>
      </c>
      <c r="C18" s="37"/>
      <c r="D18" s="37"/>
      <c r="E18" s="37"/>
    </row>
    <row r="19" spans="2:5" x14ac:dyDescent="0.45">
      <c r="B19" s="30" t="s">
        <v>10</v>
      </c>
      <c r="C19" s="14" t="s">
        <v>30</v>
      </c>
      <c r="D19" s="15" t="s">
        <v>29</v>
      </c>
      <c r="E19" s="18" t="s">
        <v>4</v>
      </c>
    </row>
    <row r="20" spans="2:5" x14ac:dyDescent="0.45">
      <c r="B20" s="28">
        <v>1</v>
      </c>
      <c r="C20" s="53" t="s">
        <v>8</v>
      </c>
      <c r="D20" s="54" t="s">
        <v>3</v>
      </c>
      <c r="E20" s="19">
        <f>IFERROR(RIGHT(D20,1)*1,0)</f>
        <v>1</v>
      </c>
    </row>
    <row r="21" spans="2:5" x14ac:dyDescent="0.45">
      <c r="B21" s="28">
        <v>2</v>
      </c>
      <c r="C21" s="53" t="s">
        <v>8</v>
      </c>
      <c r="D21" s="54" t="s">
        <v>5</v>
      </c>
      <c r="E21" s="19">
        <f>IFERROR(RIGHT(D21,1)*1,0)</f>
        <v>4</v>
      </c>
    </row>
    <row r="22" spans="2:5" x14ac:dyDescent="0.45">
      <c r="B22" s="28">
        <v>3</v>
      </c>
      <c r="C22" s="53" t="s">
        <v>8</v>
      </c>
      <c r="D22" s="54" t="s">
        <v>6</v>
      </c>
      <c r="E22" s="19">
        <f>IFERROR(RIGHT(D22,1)*1,0)</f>
        <v>5</v>
      </c>
    </row>
    <row r="23" spans="2:5" x14ac:dyDescent="0.45">
      <c r="B23" s="28">
        <v>4</v>
      </c>
      <c r="C23" s="53" t="s">
        <v>8</v>
      </c>
      <c r="D23" s="54" t="s">
        <v>7</v>
      </c>
      <c r="E23" s="19">
        <f>IFERROR(RIGHT(D23,1)*1,0)</f>
        <v>8</v>
      </c>
    </row>
    <row r="24" spans="2:5" x14ac:dyDescent="0.45">
      <c r="B24" s="28">
        <v>5</v>
      </c>
      <c r="C24" s="53" t="s">
        <v>8</v>
      </c>
      <c r="D24" s="54" t="s">
        <v>9</v>
      </c>
      <c r="E24" s="19">
        <f>IFERROR(RIGHT(D24,1)*1,0)</f>
        <v>9</v>
      </c>
    </row>
    <row r="25" spans="2:5" x14ac:dyDescent="0.45">
      <c r="B25" s="28">
        <v>6</v>
      </c>
      <c r="C25" s="53" t="s">
        <v>8</v>
      </c>
      <c r="D25" s="54"/>
      <c r="E25" s="19">
        <f>IFERROR(RIGHT(D25,1)*1,0)</f>
        <v>0</v>
      </c>
    </row>
    <row r="26" spans="2:5" x14ac:dyDescent="0.45">
      <c r="B26" s="28">
        <v>7</v>
      </c>
      <c r="C26" s="53" t="s">
        <v>8</v>
      </c>
      <c r="D26" s="54"/>
      <c r="E26" s="19">
        <f>IFERROR(RIGHT(D26,1)*1,0)</f>
        <v>0</v>
      </c>
    </row>
    <row r="27" spans="2:5" x14ac:dyDescent="0.45">
      <c r="B27" s="28">
        <v>8</v>
      </c>
      <c r="C27" s="53" t="s">
        <v>8</v>
      </c>
      <c r="D27" s="54"/>
      <c r="E27" s="19">
        <f>IFERROR(RIGHT(D27,1)*1,0)</f>
        <v>0</v>
      </c>
    </row>
    <row r="28" spans="2:5" x14ac:dyDescent="0.45">
      <c r="B28" s="28">
        <v>9</v>
      </c>
      <c r="C28" s="53" t="s">
        <v>8</v>
      </c>
      <c r="D28" s="54"/>
      <c r="E28" s="19">
        <f>IFERROR(RIGHT(D28,1)*1,0)</f>
        <v>0</v>
      </c>
    </row>
    <row r="29" spans="2:5" x14ac:dyDescent="0.45">
      <c r="B29" s="29">
        <v>10</v>
      </c>
      <c r="C29" s="55" t="s">
        <v>8</v>
      </c>
      <c r="D29" s="56"/>
      <c r="E29" s="17">
        <f>IFERROR(RIGHT(D29,1)*1,0)</f>
        <v>0</v>
      </c>
    </row>
    <row r="30" spans="2:5" x14ac:dyDescent="0.45">
      <c r="D30" s="33" t="s">
        <v>11</v>
      </c>
      <c r="E30" s="20">
        <f>SUM(E20:E29)</f>
        <v>27</v>
      </c>
    </row>
  </sheetData>
  <mergeCells count="8">
    <mergeCell ref="B13:E13"/>
    <mergeCell ref="B14:E15"/>
    <mergeCell ref="B4:E6"/>
    <mergeCell ref="B18:E18"/>
    <mergeCell ref="B11:E12"/>
    <mergeCell ref="B10:E10"/>
    <mergeCell ref="B9:E9"/>
    <mergeCell ref="B8:E8"/>
  </mergeCells>
  <pageMargins left="0.7" right="0.7" top="0.75" bottom="0.75" header="0.3" footer="0.3"/>
  <ignoredErrors>
    <ignoredError sqref="D20:D29" numberStoredAsText="1"/>
  </ignoredErrors>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G60"/>
  <sheetViews>
    <sheetView showGridLines="0" tabSelected="1" zoomScale="130" zoomScaleNormal="130" workbookViewId="0">
      <pane ySplit="5" topLeftCell="A52" activePane="bottomLeft" state="frozen"/>
      <selection pane="bottomLeft" activeCell="B58" sqref="B58"/>
    </sheetView>
  </sheetViews>
  <sheetFormatPr defaultRowHeight="16.5" x14ac:dyDescent="0.45"/>
  <cols>
    <col min="1" max="1" width="2.59765625" style="2" customWidth="1"/>
    <col min="2" max="2" width="25.59765625" style="2" customWidth="1"/>
    <col min="3" max="3" width="41" style="2" customWidth="1"/>
    <col min="4" max="5" width="9.19921875" style="4" customWidth="1"/>
    <col min="6" max="6" width="28.53125" style="2" customWidth="1"/>
    <col min="7" max="7" width="14.86328125" style="2" customWidth="1"/>
    <col min="8" max="16384" width="9.06640625" style="2"/>
  </cols>
  <sheetData>
    <row r="2" spans="2:7" x14ac:dyDescent="0.45">
      <c r="B2" s="2" t="s">
        <v>23</v>
      </c>
    </row>
    <row r="3" spans="2:7" x14ac:dyDescent="0.45">
      <c r="B3" s="36" t="s">
        <v>0</v>
      </c>
    </row>
    <row r="5" spans="2:7" x14ac:dyDescent="0.45">
      <c r="B5" s="78" t="s">
        <v>43</v>
      </c>
      <c r="C5" s="79" t="s">
        <v>44</v>
      </c>
      <c r="D5" s="80" t="s">
        <v>60</v>
      </c>
      <c r="E5" s="80" t="s">
        <v>61</v>
      </c>
      <c r="F5" s="79" t="s">
        <v>27</v>
      </c>
      <c r="G5" s="81" t="s">
        <v>28</v>
      </c>
    </row>
    <row r="6" spans="2:7" x14ac:dyDescent="0.45">
      <c r="B6" s="13" t="s">
        <v>137</v>
      </c>
      <c r="C6" s="68"/>
      <c r="D6" s="69"/>
      <c r="E6" s="69"/>
      <c r="F6" s="68"/>
      <c r="G6" s="70"/>
    </row>
    <row r="7" spans="2:7" ht="25.5" x14ac:dyDescent="0.45">
      <c r="B7" s="65" t="s">
        <v>45</v>
      </c>
      <c r="C7" s="71" t="s">
        <v>65</v>
      </c>
      <c r="D7" s="64">
        <f>8+SumUDig</f>
        <v>35</v>
      </c>
      <c r="E7" s="64" t="s">
        <v>66</v>
      </c>
      <c r="F7" s="58"/>
      <c r="G7" s="66"/>
    </row>
    <row r="8" spans="2:7" x14ac:dyDescent="0.45">
      <c r="B8" s="65" t="s">
        <v>46</v>
      </c>
      <c r="C8" s="71" t="s">
        <v>113</v>
      </c>
      <c r="D8" s="64">
        <f>10+SumUDig</f>
        <v>37</v>
      </c>
      <c r="E8" s="64" t="s">
        <v>66</v>
      </c>
      <c r="F8" s="58"/>
      <c r="G8" s="66"/>
    </row>
    <row r="9" spans="2:7" x14ac:dyDescent="0.45">
      <c r="B9" s="65" t="s">
        <v>47</v>
      </c>
      <c r="C9" s="71" t="s">
        <v>48</v>
      </c>
      <c r="D9" s="73">
        <v>12</v>
      </c>
      <c r="E9" s="64" t="s">
        <v>66</v>
      </c>
      <c r="F9" s="58"/>
      <c r="G9" s="66"/>
    </row>
    <row r="10" spans="2:7" x14ac:dyDescent="0.45">
      <c r="B10" s="65" t="s">
        <v>75</v>
      </c>
      <c r="C10" s="71" t="s">
        <v>85</v>
      </c>
      <c r="D10" s="73">
        <v>6</v>
      </c>
      <c r="E10" s="64" t="s">
        <v>66</v>
      </c>
      <c r="F10" s="58"/>
      <c r="G10" s="66"/>
    </row>
    <row r="11" spans="2:7" x14ac:dyDescent="0.45">
      <c r="B11" s="65" t="s">
        <v>49</v>
      </c>
      <c r="C11" s="71" t="s">
        <v>84</v>
      </c>
      <c r="D11" s="73">
        <v>12</v>
      </c>
      <c r="E11" s="64" t="s">
        <v>66</v>
      </c>
      <c r="F11" s="58"/>
      <c r="G11" s="66"/>
    </row>
    <row r="12" spans="2:7" x14ac:dyDescent="0.45">
      <c r="B12" s="65" t="s">
        <v>63</v>
      </c>
      <c r="C12" s="71" t="s">
        <v>74</v>
      </c>
      <c r="D12" s="64">
        <f>D8+D11+D10</f>
        <v>55</v>
      </c>
      <c r="E12" s="64" t="s">
        <v>66</v>
      </c>
      <c r="F12" s="58"/>
      <c r="G12" s="66"/>
    </row>
    <row r="13" spans="2:7" ht="25.5" x14ac:dyDescent="0.45">
      <c r="B13" s="65" t="s">
        <v>64</v>
      </c>
      <c r="C13" s="71" t="s">
        <v>76</v>
      </c>
      <c r="D13" s="64">
        <f>D7</f>
        <v>35</v>
      </c>
      <c r="E13" s="64" t="s">
        <v>66</v>
      </c>
      <c r="F13" s="58"/>
      <c r="G13" s="66"/>
    </row>
    <row r="14" spans="2:7" ht="25.5" x14ac:dyDescent="0.45">
      <c r="B14" s="65" t="s">
        <v>62</v>
      </c>
      <c r="C14" s="71" t="s">
        <v>86</v>
      </c>
      <c r="D14" s="64">
        <f>D12*D13</f>
        <v>1925</v>
      </c>
      <c r="E14" s="64" t="s">
        <v>67</v>
      </c>
      <c r="F14" s="58"/>
      <c r="G14" s="66"/>
    </row>
    <row r="15" spans="2:7" x14ac:dyDescent="0.45">
      <c r="B15" s="87" t="s">
        <v>142</v>
      </c>
      <c r="C15" s="88" t="s">
        <v>143</v>
      </c>
      <c r="D15" s="89">
        <f>D28+D26</f>
        <v>1435</v>
      </c>
      <c r="E15" s="64" t="s">
        <v>67</v>
      </c>
      <c r="F15" s="60"/>
      <c r="G15" s="90"/>
    </row>
    <row r="16" spans="2:7" x14ac:dyDescent="0.45">
      <c r="B16" s="87" t="s">
        <v>138</v>
      </c>
      <c r="C16" s="88" t="s">
        <v>139</v>
      </c>
      <c r="D16" s="89">
        <f>D28+D26+D42</f>
        <v>1495</v>
      </c>
      <c r="E16" s="64" t="s">
        <v>67</v>
      </c>
      <c r="F16" s="60"/>
      <c r="G16" s="90"/>
    </row>
    <row r="17" spans="2:7" ht="38.25" x14ac:dyDescent="0.45">
      <c r="B17" s="87" t="s">
        <v>87</v>
      </c>
      <c r="C17" s="88" t="s">
        <v>141</v>
      </c>
      <c r="D17" s="89">
        <f>D15/D14</f>
        <v>0.74545454545454548</v>
      </c>
      <c r="E17" s="89" t="s">
        <v>88</v>
      </c>
      <c r="F17" s="60"/>
      <c r="G17" s="90"/>
    </row>
    <row r="18" spans="2:7" ht="25.5" x14ac:dyDescent="0.45">
      <c r="B18" s="87" t="s">
        <v>140</v>
      </c>
      <c r="C18" s="88" t="s">
        <v>95</v>
      </c>
      <c r="D18" s="89">
        <f>D16/D14</f>
        <v>0.77662337662337666</v>
      </c>
      <c r="E18" s="89" t="s">
        <v>88</v>
      </c>
      <c r="F18" s="60"/>
      <c r="G18" s="90"/>
    </row>
    <row r="19" spans="2:7" x14ac:dyDescent="0.45">
      <c r="B19" s="82"/>
      <c r="C19" s="83"/>
      <c r="D19" s="84"/>
      <c r="E19" s="84"/>
      <c r="F19" s="59"/>
      <c r="G19" s="85"/>
    </row>
    <row r="20" spans="2:7" x14ac:dyDescent="0.45">
      <c r="B20" s="67" t="s">
        <v>80</v>
      </c>
      <c r="C20" s="68"/>
      <c r="D20" s="69"/>
      <c r="E20" s="69"/>
      <c r="F20" s="68"/>
      <c r="G20" s="70"/>
    </row>
    <row r="21" spans="2:7" ht="38.25" x14ac:dyDescent="0.45">
      <c r="B21" s="65" t="s">
        <v>100</v>
      </c>
      <c r="C21" s="71" t="s">
        <v>89</v>
      </c>
      <c r="D21" s="73">
        <v>2</v>
      </c>
      <c r="E21" s="64" t="s">
        <v>66</v>
      </c>
      <c r="F21" s="58"/>
      <c r="G21" s="66"/>
    </row>
    <row r="22" spans="2:7" ht="76.5" x14ac:dyDescent="0.45">
      <c r="B22" s="65" t="s">
        <v>101</v>
      </c>
      <c r="C22" s="71" t="s">
        <v>114</v>
      </c>
      <c r="D22" s="92">
        <v>5</v>
      </c>
      <c r="E22" s="64" t="s">
        <v>92</v>
      </c>
      <c r="F22" s="58"/>
      <c r="G22" s="66"/>
    </row>
    <row r="23" spans="2:7" ht="51" x14ac:dyDescent="0.45">
      <c r="B23" s="65" t="s">
        <v>102</v>
      </c>
      <c r="C23" s="71" t="s">
        <v>94</v>
      </c>
      <c r="D23" s="64">
        <f>ROUND(ATAN(D22/100)*180/PI(),0)</f>
        <v>3</v>
      </c>
      <c r="E23" s="64" t="s">
        <v>93</v>
      </c>
      <c r="F23" s="58"/>
      <c r="G23" s="66"/>
    </row>
    <row r="24" spans="2:7" ht="38.25" x14ac:dyDescent="0.45">
      <c r="B24" s="87" t="s">
        <v>104</v>
      </c>
      <c r="C24" s="88" t="s">
        <v>90</v>
      </c>
      <c r="D24" s="91">
        <v>0.6</v>
      </c>
      <c r="E24" s="89" t="s">
        <v>66</v>
      </c>
      <c r="F24" s="60"/>
      <c r="G24" s="90"/>
    </row>
    <row r="25" spans="2:7" ht="33" x14ac:dyDescent="0.45">
      <c r="B25" s="65" t="s">
        <v>103</v>
      </c>
      <c r="C25" s="71" t="s">
        <v>91</v>
      </c>
      <c r="D25" s="73">
        <v>0.2</v>
      </c>
      <c r="E25" s="64" t="s">
        <v>66</v>
      </c>
      <c r="F25" s="58"/>
      <c r="G25" s="66"/>
    </row>
    <row r="26" spans="2:7" ht="33" x14ac:dyDescent="0.45">
      <c r="B26" s="87" t="s">
        <v>105</v>
      </c>
      <c r="C26" s="88" t="s">
        <v>97</v>
      </c>
      <c r="D26" s="89">
        <f>(D24-D25)*(D8+D21+D21)*2</f>
        <v>32.799999999999997</v>
      </c>
      <c r="E26" s="64" t="s">
        <v>67</v>
      </c>
      <c r="F26" s="60"/>
      <c r="G26" s="90"/>
    </row>
    <row r="27" spans="2:7" ht="51" x14ac:dyDescent="0.45">
      <c r="B27" s="65" t="s">
        <v>106</v>
      </c>
      <c r="C27" s="71" t="s">
        <v>98</v>
      </c>
      <c r="D27" s="64">
        <f>(D7*D8)-D26</f>
        <v>1262.2</v>
      </c>
      <c r="E27" s="64" t="s">
        <v>67</v>
      </c>
      <c r="F27" s="58"/>
      <c r="G27" s="66"/>
    </row>
    <row r="28" spans="2:7" ht="70.5" customHeight="1" x14ac:dyDescent="0.45">
      <c r="B28" s="65" t="s">
        <v>107</v>
      </c>
      <c r="C28" s="71" t="s">
        <v>99</v>
      </c>
      <c r="D28" s="64">
        <f>((D7*D8)+D7*(D21+D21))-D26</f>
        <v>1402.2</v>
      </c>
      <c r="E28" s="64" t="s">
        <v>67</v>
      </c>
      <c r="F28" s="58"/>
      <c r="G28" s="66"/>
    </row>
    <row r="29" spans="2:7" ht="25.5" x14ac:dyDescent="0.45">
      <c r="B29" s="65" t="s">
        <v>108</v>
      </c>
      <c r="C29" s="71" t="s">
        <v>115</v>
      </c>
      <c r="D29" s="73">
        <v>10</v>
      </c>
      <c r="E29" s="64" t="s">
        <v>66</v>
      </c>
      <c r="F29" s="58"/>
      <c r="G29" s="66"/>
    </row>
    <row r="30" spans="2:7" ht="38.25" x14ac:dyDescent="0.45">
      <c r="B30" s="65" t="s">
        <v>109</v>
      </c>
      <c r="C30" s="71" t="s">
        <v>116</v>
      </c>
      <c r="D30" s="64">
        <f>ROUND(D27/(D29*D29),0)</f>
        <v>13</v>
      </c>
      <c r="E30" s="64" t="s">
        <v>61</v>
      </c>
      <c r="F30" s="58"/>
      <c r="G30" s="66"/>
    </row>
    <row r="31" spans="2:7" ht="25.5" x14ac:dyDescent="0.45">
      <c r="B31" s="65" t="s">
        <v>110</v>
      </c>
      <c r="C31" s="71" t="s">
        <v>78</v>
      </c>
      <c r="D31" s="73">
        <v>1200</v>
      </c>
      <c r="E31" s="64" t="s">
        <v>79</v>
      </c>
      <c r="F31" s="58"/>
      <c r="G31" s="66"/>
    </row>
    <row r="32" spans="2:7" ht="38.25" x14ac:dyDescent="0.45">
      <c r="B32" s="65" t="s">
        <v>111</v>
      </c>
      <c r="C32" s="71" t="s">
        <v>77</v>
      </c>
      <c r="D32" s="64">
        <f>D31*D31/(1000*1000)</f>
        <v>1.44</v>
      </c>
      <c r="E32" s="64" t="s">
        <v>67</v>
      </c>
      <c r="F32" s="58"/>
      <c r="G32" s="66"/>
    </row>
    <row r="33" spans="2:7" ht="33" x14ac:dyDescent="0.45">
      <c r="B33" s="65" t="s">
        <v>112</v>
      </c>
      <c r="C33" s="71" t="s">
        <v>96</v>
      </c>
      <c r="D33" s="64">
        <f>D30*D32</f>
        <v>18.72</v>
      </c>
      <c r="E33" s="64"/>
      <c r="F33" s="58"/>
      <c r="G33" s="66"/>
    </row>
    <row r="34" spans="2:7" x14ac:dyDescent="0.45">
      <c r="B34" s="82"/>
      <c r="C34" s="83"/>
      <c r="D34" s="84"/>
      <c r="E34" s="84"/>
      <c r="F34" s="59"/>
      <c r="G34" s="85"/>
    </row>
    <row r="35" spans="2:7" x14ac:dyDescent="0.45">
      <c r="B35" s="67" t="s">
        <v>81</v>
      </c>
      <c r="C35" s="68"/>
      <c r="D35" s="69"/>
      <c r="E35" s="69"/>
      <c r="F35" s="68"/>
      <c r="G35" s="70"/>
    </row>
    <row r="36" spans="2:7" x14ac:dyDescent="0.45">
      <c r="B36" s="65" t="s">
        <v>117</v>
      </c>
      <c r="C36" s="71" t="s">
        <v>121</v>
      </c>
      <c r="D36" s="73">
        <v>1</v>
      </c>
      <c r="E36" s="64" t="s">
        <v>66</v>
      </c>
      <c r="F36" s="58"/>
      <c r="G36" s="66"/>
    </row>
    <row r="37" spans="2:7" ht="25.5" x14ac:dyDescent="0.45">
      <c r="B37" s="65" t="s">
        <v>118</v>
      </c>
      <c r="C37" s="71" t="s">
        <v>122</v>
      </c>
      <c r="D37" s="73">
        <v>15</v>
      </c>
      <c r="E37" s="64" t="s">
        <v>66</v>
      </c>
      <c r="F37" s="58"/>
      <c r="G37" s="66"/>
    </row>
    <row r="38" spans="2:7" ht="54.4" customHeight="1" x14ac:dyDescent="0.45">
      <c r="B38" s="65" t="s">
        <v>119</v>
      </c>
      <c r="C38" s="71" t="s">
        <v>123</v>
      </c>
      <c r="D38" s="64">
        <f>D8+(INT(D8/D37)*D7)</f>
        <v>107</v>
      </c>
      <c r="E38" s="64" t="s">
        <v>66</v>
      </c>
      <c r="F38" s="58"/>
      <c r="G38" s="66"/>
    </row>
    <row r="39" spans="2:7" ht="25.5" x14ac:dyDescent="0.45">
      <c r="B39" s="65" t="s">
        <v>120</v>
      </c>
      <c r="C39" s="71" t="s">
        <v>124</v>
      </c>
      <c r="D39" s="64">
        <f>D38*D36</f>
        <v>107</v>
      </c>
      <c r="E39" s="64" t="s">
        <v>67</v>
      </c>
      <c r="F39" s="58"/>
      <c r="G39" s="66"/>
    </row>
    <row r="40" spans="2:7" x14ac:dyDescent="0.45">
      <c r="B40" s="82"/>
      <c r="C40" s="83"/>
      <c r="D40" s="84"/>
      <c r="E40" s="84"/>
      <c r="F40" s="59"/>
      <c r="G40" s="85"/>
    </row>
    <row r="41" spans="2:7" x14ac:dyDescent="0.45">
      <c r="B41" s="67" t="s">
        <v>82</v>
      </c>
      <c r="C41" s="68"/>
      <c r="D41" s="69"/>
      <c r="E41" s="69"/>
      <c r="F41" s="68"/>
      <c r="G41" s="70"/>
    </row>
    <row r="42" spans="2:7" ht="25.5" x14ac:dyDescent="0.45">
      <c r="B42" s="65" t="s">
        <v>50</v>
      </c>
      <c r="C42" s="71" t="s">
        <v>71</v>
      </c>
      <c r="D42" s="73">
        <v>60</v>
      </c>
      <c r="E42" s="64" t="s">
        <v>67</v>
      </c>
      <c r="F42" s="58"/>
      <c r="G42" s="66"/>
    </row>
    <row r="43" spans="2:7" ht="38.25" x14ac:dyDescent="0.45">
      <c r="B43" s="65" t="s">
        <v>51</v>
      </c>
      <c r="C43" s="71" t="s">
        <v>52</v>
      </c>
      <c r="D43" s="73">
        <v>24</v>
      </c>
      <c r="E43" s="64" t="s">
        <v>67</v>
      </c>
      <c r="F43" s="58"/>
      <c r="G43" s="66"/>
    </row>
    <row r="44" spans="2:7" ht="25.5" x14ac:dyDescent="0.45">
      <c r="B44" s="65" t="s">
        <v>125</v>
      </c>
      <c r="C44" s="71" t="s">
        <v>134</v>
      </c>
      <c r="D44" s="73">
        <v>3.9900000000000007</v>
      </c>
      <c r="E44" s="64" t="s">
        <v>66</v>
      </c>
      <c r="F44" s="58"/>
      <c r="G44" s="66"/>
    </row>
    <row r="45" spans="2:7" ht="25.5" x14ac:dyDescent="0.45">
      <c r="B45" s="65" t="s">
        <v>126</v>
      </c>
      <c r="C45" s="71" t="s">
        <v>127</v>
      </c>
      <c r="D45" s="64">
        <f>D42-D50</f>
        <v>52.943999999999996</v>
      </c>
      <c r="E45" s="64" t="s">
        <v>67</v>
      </c>
      <c r="F45" s="58"/>
      <c r="G45" s="66"/>
    </row>
    <row r="46" spans="2:7" ht="25.5" x14ac:dyDescent="0.45">
      <c r="B46" s="65" t="s">
        <v>72</v>
      </c>
      <c r="C46" s="71" t="s">
        <v>70</v>
      </c>
      <c r="D46" s="73">
        <v>28</v>
      </c>
      <c r="E46" s="64" t="s">
        <v>68</v>
      </c>
      <c r="F46" s="58"/>
      <c r="G46" s="66"/>
    </row>
    <row r="47" spans="2:7" ht="25.5" x14ac:dyDescent="0.45">
      <c r="B47" s="65" t="s">
        <v>130</v>
      </c>
      <c r="C47" s="71" t="s">
        <v>73</v>
      </c>
      <c r="D47" s="73">
        <v>19</v>
      </c>
      <c r="E47" s="64" t="s">
        <v>68</v>
      </c>
      <c r="F47" s="58"/>
      <c r="G47" s="66"/>
    </row>
    <row r="48" spans="2:7" ht="25.5" x14ac:dyDescent="0.45">
      <c r="B48" s="65" t="s">
        <v>128</v>
      </c>
      <c r="C48" s="71" t="s">
        <v>129</v>
      </c>
      <c r="D48" s="64">
        <f>D44/(D47/100)</f>
        <v>21.000000000000004</v>
      </c>
      <c r="E48" s="64" t="s">
        <v>61</v>
      </c>
      <c r="F48" s="58"/>
      <c r="G48" s="66"/>
    </row>
    <row r="49" spans="2:7" x14ac:dyDescent="0.45">
      <c r="B49" s="65" t="s">
        <v>131</v>
      </c>
      <c r="C49" s="71" t="s">
        <v>132</v>
      </c>
      <c r="D49" s="73">
        <v>1.2</v>
      </c>
      <c r="E49" s="64" t="s">
        <v>66</v>
      </c>
      <c r="F49" s="58"/>
      <c r="G49" s="66"/>
    </row>
    <row r="50" spans="2:7" ht="25.5" x14ac:dyDescent="0.45">
      <c r="B50" s="65" t="s">
        <v>133</v>
      </c>
      <c r="C50" s="71" t="s">
        <v>135</v>
      </c>
      <c r="D50" s="93">
        <f>D49*D48*(D46/100)</f>
        <v>7.0560000000000018</v>
      </c>
      <c r="E50" s="64" t="s">
        <v>67</v>
      </c>
      <c r="F50" s="58"/>
      <c r="G50" s="66"/>
    </row>
    <row r="51" spans="2:7" ht="89.25" x14ac:dyDescent="0.45">
      <c r="B51" s="65" t="s">
        <v>53</v>
      </c>
      <c r="C51" s="71" t="s">
        <v>136</v>
      </c>
      <c r="D51" s="64"/>
      <c r="E51" s="64"/>
      <c r="F51" s="58"/>
      <c r="G51" s="66"/>
    </row>
    <row r="52" spans="2:7" x14ac:dyDescent="0.45">
      <c r="B52" s="65" t="s">
        <v>54</v>
      </c>
      <c r="C52" s="71" t="s">
        <v>55</v>
      </c>
      <c r="D52" s="64"/>
      <c r="E52" s="64"/>
      <c r="F52" s="58"/>
      <c r="G52" s="66"/>
    </row>
    <row r="53" spans="2:7" ht="25.5" x14ac:dyDescent="0.45">
      <c r="B53" s="65" t="s">
        <v>56</v>
      </c>
      <c r="C53" s="71" t="s">
        <v>57</v>
      </c>
      <c r="D53" s="64"/>
      <c r="E53" s="64"/>
      <c r="F53" s="58"/>
      <c r="G53" s="66"/>
    </row>
    <row r="54" spans="2:7" x14ac:dyDescent="0.45">
      <c r="B54" s="82"/>
      <c r="C54" s="83"/>
      <c r="D54" s="84"/>
      <c r="E54" s="84"/>
      <c r="F54" s="59"/>
      <c r="G54" s="85"/>
    </row>
    <row r="55" spans="2:7" x14ac:dyDescent="0.45">
      <c r="B55" s="74" t="s">
        <v>83</v>
      </c>
      <c r="C55" s="75"/>
      <c r="D55" s="76"/>
      <c r="E55" s="76"/>
      <c r="F55" s="75"/>
      <c r="G55" s="77"/>
    </row>
    <row r="56" spans="2:7" ht="63.75" x14ac:dyDescent="0.45">
      <c r="B56" s="65" t="s">
        <v>144</v>
      </c>
      <c r="C56" s="71" t="s">
        <v>146</v>
      </c>
      <c r="D56" s="64">
        <v>40</v>
      </c>
      <c r="E56" s="64" t="s">
        <v>68</v>
      </c>
      <c r="F56" s="58"/>
      <c r="G56" s="66"/>
    </row>
    <row r="57" spans="2:7" ht="25.5" x14ac:dyDescent="0.45">
      <c r="B57" s="65" t="s">
        <v>148</v>
      </c>
      <c r="C57" s="71" t="s">
        <v>147</v>
      </c>
      <c r="D57" s="64">
        <v>20</v>
      </c>
      <c r="E57" s="64" t="s">
        <v>68</v>
      </c>
      <c r="F57" s="58"/>
      <c r="G57" s="66"/>
    </row>
    <row r="58" spans="2:7" ht="102" x14ac:dyDescent="0.45">
      <c r="B58" s="65" t="s">
        <v>58</v>
      </c>
      <c r="C58" s="71" t="s">
        <v>145</v>
      </c>
      <c r="D58" s="64"/>
      <c r="E58" s="64"/>
      <c r="F58" s="58"/>
      <c r="G58" s="66"/>
    </row>
    <row r="59" spans="2:7" x14ac:dyDescent="0.45">
      <c r="B59" s="86" t="s">
        <v>69</v>
      </c>
      <c r="C59" s="71" t="s">
        <v>59</v>
      </c>
      <c r="D59" s="64"/>
      <c r="E59" s="64"/>
      <c r="F59" s="58"/>
      <c r="G59" s="66"/>
    </row>
    <row r="60" spans="2:7" x14ac:dyDescent="0.45">
      <c r="B60" s="26"/>
      <c r="C60" s="72"/>
      <c r="D60" s="16"/>
      <c r="E60" s="16"/>
      <c r="F60" s="6"/>
      <c r="G6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6"/>
  <sheetViews>
    <sheetView showGridLines="0" zoomScale="130" zoomScaleNormal="130" workbookViewId="0">
      <pane ySplit="5" topLeftCell="A6" activePane="bottomLeft" state="frozen"/>
      <selection pane="bottomLeft" activeCell="C9" sqref="C9"/>
    </sheetView>
  </sheetViews>
  <sheetFormatPr defaultRowHeight="16.5" x14ac:dyDescent="0.45"/>
  <cols>
    <col min="1" max="2" width="2.59765625" style="2" customWidth="1"/>
    <col min="3" max="3" width="46.6640625" style="2" customWidth="1"/>
    <col min="4" max="4" width="33.46484375" style="2" customWidth="1"/>
    <col min="5" max="5" width="30.3984375" style="2" customWidth="1"/>
    <col min="6" max="6" width="11.59765625" style="2" customWidth="1"/>
    <col min="7" max="16384" width="9.06640625" style="2"/>
  </cols>
  <sheetData>
    <row r="2" spans="2:6" x14ac:dyDescent="0.45">
      <c r="B2" s="3" t="s">
        <v>23</v>
      </c>
      <c r="C2" s="3"/>
      <c r="D2" s="3"/>
      <c r="E2" s="3"/>
      <c r="F2" s="3"/>
    </row>
    <row r="3" spans="2:6" x14ac:dyDescent="0.45">
      <c r="B3" s="3" t="s">
        <v>16</v>
      </c>
      <c r="C3" s="3"/>
      <c r="D3" s="3"/>
      <c r="E3" s="3"/>
      <c r="F3" s="3"/>
    </row>
    <row r="5" spans="2:6" x14ac:dyDescent="0.45">
      <c r="B5" s="30" t="s">
        <v>10</v>
      </c>
      <c r="C5" s="14" t="s">
        <v>17</v>
      </c>
      <c r="D5" s="14" t="s">
        <v>18</v>
      </c>
      <c r="E5" s="14" t="s">
        <v>27</v>
      </c>
      <c r="F5" s="27" t="s">
        <v>28</v>
      </c>
    </row>
    <row r="6" spans="2:6" s="22" customFormat="1" ht="29.25" x14ac:dyDescent="0.45">
      <c r="B6" s="34">
        <v>0</v>
      </c>
      <c r="C6" s="57" t="s">
        <v>39</v>
      </c>
      <c r="D6" s="21" t="s">
        <v>40</v>
      </c>
      <c r="E6" s="21"/>
      <c r="F6" s="24"/>
    </row>
    <row r="7" spans="2:6" s="22" customFormat="1" x14ac:dyDescent="0.45">
      <c r="B7" s="34">
        <v>1</v>
      </c>
      <c r="C7" s="57" t="s">
        <v>20</v>
      </c>
      <c r="D7" s="21" t="s">
        <v>32</v>
      </c>
      <c r="E7" s="21"/>
      <c r="F7" s="24"/>
    </row>
    <row r="8" spans="2:6" s="22" customFormat="1" ht="131.25" x14ac:dyDescent="0.45">
      <c r="B8" s="34">
        <v>2</v>
      </c>
      <c r="C8" s="57" t="s">
        <v>42</v>
      </c>
      <c r="D8" s="21" t="s">
        <v>15</v>
      </c>
      <c r="E8" s="21"/>
      <c r="F8" s="24"/>
    </row>
    <row r="9" spans="2:6" s="22" customFormat="1" ht="42" x14ac:dyDescent="0.45">
      <c r="B9" s="34">
        <v>3</v>
      </c>
      <c r="C9" s="57" t="s">
        <v>36</v>
      </c>
      <c r="D9" s="21" t="s">
        <v>33</v>
      </c>
      <c r="E9" s="23"/>
      <c r="F9" s="40"/>
    </row>
    <row r="10" spans="2:6" s="22" customFormat="1" ht="54.75" x14ac:dyDescent="0.45">
      <c r="B10" s="34">
        <v>4</v>
      </c>
      <c r="C10" s="57" t="s">
        <v>37</v>
      </c>
      <c r="D10" s="21" t="s">
        <v>34</v>
      </c>
      <c r="E10" s="23"/>
      <c r="F10" s="40"/>
    </row>
    <row r="11" spans="2:6" s="22" customFormat="1" ht="29.25" x14ac:dyDescent="0.45">
      <c r="B11" s="34">
        <v>5</v>
      </c>
      <c r="C11" s="57" t="s">
        <v>38</v>
      </c>
      <c r="D11" s="21" t="s">
        <v>35</v>
      </c>
      <c r="E11" s="23"/>
      <c r="F11" s="40"/>
    </row>
    <row r="12" spans="2:6" s="22" customFormat="1" x14ac:dyDescent="0.45">
      <c r="B12" s="34">
        <v>6</v>
      </c>
      <c r="C12" s="57"/>
      <c r="D12" s="21"/>
      <c r="E12" s="21"/>
      <c r="F12" s="24"/>
    </row>
    <row r="13" spans="2:6" x14ac:dyDescent="0.45">
      <c r="B13" s="34">
        <v>7</v>
      </c>
      <c r="C13" s="58"/>
      <c r="D13" s="5"/>
      <c r="E13" s="5"/>
      <c r="F13" s="25"/>
    </row>
    <row r="14" spans="2:6" x14ac:dyDescent="0.45">
      <c r="B14" s="34">
        <v>8</v>
      </c>
      <c r="C14" s="58"/>
      <c r="D14" s="5"/>
      <c r="E14" s="5"/>
      <c r="F14" s="25"/>
    </row>
    <row r="15" spans="2:6" x14ac:dyDescent="0.45">
      <c r="B15" s="34">
        <v>9</v>
      </c>
      <c r="C15" s="58"/>
      <c r="D15" s="5"/>
      <c r="E15" s="5"/>
      <c r="F15" s="25"/>
    </row>
    <row r="16" spans="2:6" x14ac:dyDescent="0.45">
      <c r="B16" s="34">
        <v>10</v>
      </c>
      <c r="C16" s="58"/>
      <c r="D16" s="5"/>
      <c r="E16" s="5"/>
      <c r="F16" s="25"/>
    </row>
    <row r="17" spans="2:6" x14ac:dyDescent="0.45">
      <c r="B17" s="34">
        <v>11</v>
      </c>
      <c r="C17" s="58"/>
      <c r="D17" s="5"/>
      <c r="E17" s="5"/>
      <c r="F17" s="25"/>
    </row>
    <row r="18" spans="2:6" x14ac:dyDescent="0.45">
      <c r="B18" s="34">
        <v>12</v>
      </c>
      <c r="C18" s="58"/>
      <c r="D18" s="5"/>
      <c r="E18" s="5"/>
      <c r="F18" s="25"/>
    </row>
    <row r="19" spans="2:6" x14ac:dyDescent="0.45">
      <c r="B19" s="34">
        <v>13</v>
      </c>
      <c r="C19" s="58"/>
      <c r="D19" s="5"/>
      <c r="E19" s="5"/>
      <c r="F19" s="25"/>
    </row>
    <row r="20" spans="2:6" x14ac:dyDescent="0.45">
      <c r="B20" s="34">
        <v>14</v>
      </c>
      <c r="C20" s="58"/>
      <c r="D20" s="5"/>
      <c r="E20" s="5"/>
      <c r="F20" s="25"/>
    </row>
    <row r="21" spans="2:6" x14ac:dyDescent="0.45">
      <c r="B21" s="34">
        <v>15</v>
      </c>
      <c r="C21" s="58"/>
      <c r="D21" s="5"/>
      <c r="E21" s="5"/>
      <c r="F21" s="25"/>
    </row>
    <row r="22" spans="2:6" x14ac:dyDescent="0.45">
      <c r="B22" s="34">
        <v>16</v>
      </c>
      <c r="C22" s="58"/>
      <c r="D22" s="5"/>
      <c r="E22" s="5"/>
      <c r="F22" s="25"/>
    </row>
    <row r="23" spans="2:6" x14ac:dyDescent="0.45">
      <c r="B23" s="34">
        <v>17</v>
      </c>
      <c r="C23" s="58"/>
      <c r="D23" s="5"/>
      <c r="E23" s="5"/>
      <c r="F23" s="25"/>
    </row>
    <row r="24" spans="2:6" x14ac:dyDescent="0.45">
      <c r="B24" s="34">
        <v>18</v>
      </c>
      <c r="C24" s="58"/>
      <c r="D24" s="5"/>
      <c r="E24" s="5"/>
      <c r="F24" s="25"/>
    </row>
    <row r="25" spans="2:6" x14ac:dyDescent="0.45">
      <c r="B25" s="34">
        <v>19</v>
      </c>
      <c r="C25" s="60"/>
      <c r="D25" s="61"/>
      <c r="E25" s="61"/>
      <c r="F25" s="62"/>
    </row>
    <row r="26" spans="2:6" x14ac:dyDescent="0.45">
      <c r="B26" s="35">
        <v>20</v>
      </c>
      <c r="C26" s="59"/>
      <c r="D26" s="6"/>
      <c r="E26" s="6"/>
      <c r="F26" s="7"/>
    </row>
  </sheetData>
  <mergeCells count="5">
    <mergeCell ref="B3:F3"/>
    <mergeCell ref="B2:F2"/>
    <mergeCell ref="E10:F10"/>
    <mergeCell ref="E11:F11"/>
    <mergeCell ref="E9:F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43" t="s">
        <v>31</v>
      </c>
    </row>
    <row r="2" spans="2:2" x14ac:dyDescent="0.6">
      <c r="B2" s="1" t="s">
        <v>24</v>
      </c>
    </row>
    <row r="3" spans="2:2" x14ac:dyDescent="0.6">
      <c r="B3" s="38" t="s">
        <v>25</v>
      </c>
    </row>
    <row r="4" spans="2:2" x14ac:dyDescent="0.6">
      <c r="B4" s="39" t="s">
        <v>26</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1.Tecnicas</vt:lpstr>
      <vt:lpstr>2.Arquitectonica</vt:lpstr>
      <vt:lpstr>Files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2025-07-24T14:09:21Z</dcterms:modified>
</cp:coreProperties>
</file>