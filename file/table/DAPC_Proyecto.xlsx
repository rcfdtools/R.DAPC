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1"/>
  <workbookPr/>
  <mc:AlternateContent xmlns:mc="http://schemas.openxmlformats.org/markup-compatibility/2006">
    <mc:Choice Requires="x15">
      <x15ac:absPath xmlns:x15ac="http://schemas.microsoft.com/office/spreadsheetml/2010/11/ac" url="D:\R.DAPC\file\table\"/>
    </mc:Choice>
  </mc:AlternateContent>
  <xr:revisionPtr revIDLastSave="0" documentId="13_ncr:1_{DD1DA8CC-4CD7-4FB7-9D95-3D2D9B5C5539}" xr6:coauthVersionLast="47" xr6:coauthVersionMax="47" xr10:uidLastSave="{00000000-0000-0000-0000-000000000000}"/>
  <bookViews>
    <workbookView xWindow="-98" yWindow="-98" windowWidth="28996" windowHeight="15675" activeTab="2" xr2:uid="{00000000-000D-0000-FFFF-FFFF00000000}"/>
  </bookViews>
  <sheets>
    <sheet name="1.Técnicas" sheetId="2" r:id="rId1"/>
    <sheet name="2.Arquitectónica" sheetId="4" r:id="rId2"/>
    <sheet name="3.Eléctrica" sheetId="5" r:id="rId3"/>
    <sheet name="Files" sheetId="1" r:id="rId4"/>
    <sheet name="Metadata" sheetId="3" r:id="rId5"/>
  </sheets>
  <definedNames>
    <definedName name="SumUDig">'1.Técnicas'!$E$30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2" i="5" l="1"/>
  <c r="D25" i="5" s="1"/>
  <c r="D10" i="4"/>
  <c r="D15" i="4" s="1"/>
  <c r="D9" i="4"/>
  <c r="D14" i="4" s="1"/>
  <c r="C82" i="4"/>
  <c r="D51" i="4"/>
  <c r="D53" i="4" s="1"/>
  <c r="D48" i="4" s="1"/>
  <c r="C84" i="4" s="1"/>
  <c r="D25" i="4"/>
  <c r="D35" i="4"/>
  <c r="E28" i="2"/>
  <c r="E21" i="2"/>
  <c r="E22" i="2"/>
  <c r="E23" i="2"/>
  <c r="E24" i="2"/>
  <c r="E25" i="2"/>
  <c r="E26" i="2"/>
  <c r="E27" i="2"/>
  <c r="E29" i="2"/>
  <c r="E20" i="2"/>
  <c r="D93" i="4" l="1"/>
  <c r="D29" i="4"/>
  <c r="D31" i="4" s="1"/>
  <c r="D17" i="4" s="1"/>
  <c r="C83" i="4"/>
  <c r="D66" i="4"/>
  <c r="D67" i="4"/>
  <c r="D16" i="4"/>
  <c r="C80" i="4" s="1"/>
  <c r="D41" i="4"/>
  <c r="D42" i="4" s="1"/>
  <c r="E30" i="2"/>
  <c r="D73" i="4" l="1"/>
  <c r="D96" i="4"/>
  <c r="C81" i="4"/>
  <c r="D63" i="4"/>
  <c r="D91" i="4" s="1"/>
  <c r="D92" i="4" s="1"/>
  <c r="D68" i="4"/>
  <c r="D94" i="4" s="1"/>
  <c r="D95" i="4" s="1"/>
  <c r="D74" i="4"/>
  <c r="D19" i="4"/>
  <c r="C86" i="4" s="1"/>
  <c r="D18" i="4"/>
  <c r="D30" i="4"/>
  <c r="D20" i="4" l="1"/>
  <c r="C87" i="4" s="1"/>
  <c r="C85" i="4"/>
  <c r="D33" i="4"/>
  <c r="D36" i="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9" authorId="0" shapeId="0" xr:uid="{8FA6F4B0-21C7-4A5C-ABA3-36A7AA5DFC59}">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5" authorId="0" shapeId="0" xr:uid="{0CB28302-451A-4555-A660-A2220D7B31D2}">
      <text>
        <r>
          <rPr>
            <sz val="9"/>
            <color indexed="81"/>
            <rFont val="Segoe UI Light"/>
            <family val="2"/>
          </rPr>
          <t>Un. corresponde a Unidad.</t>
        </r>
      </text>
    </comment>
    <comment ref="F5" authorId="0" shapeId="0" xr:uid="{85292CD4-4682-4AA7-84E2-85458BBE80E0}">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4" authorId="0" shapeId="0" xr:uid="{C543050A-FDED-428A-9308-BA8924B01043}">
      <text>
        <r>
          <rPr>
            <sz val="9"/>
            <color indexed="81"/>
            <rFont val="Segoe UI Light"/>
            <family val="2"/>
          </rPr>
          <t>Un. corresponde a Unidad.</t>
        </r>
      </text>
    </comment>
    <comment ref="F4" authorId="0" shapeId="0" xr:uid="{63AED0DA-6025-48C5-A1A7-D7E100634909}">
      <text>
        <r>
          <rPr>
            <sz val="9"/>
            <color indexed="81"/>
            <rFont val="Segoe UI Light"/>
            <family val="2"/>
          </rPr>
          <t xml:space="preserve">Actividad de referencia en curso DAPC.
</t>
        </r>
      </text>
    </comment>
  </commentList>
</comments>
</file>

<file path=xl/sharedStrings.xml><?xml version="1.0" encoding="utf-8"?>
<sst xmlns="http://schemas.openxmlformats.org/spreadsheetml/2006/main" count="358" uniqueCount="242">
  <si>
    <t>1. Especificaciones técnicas generales</t>
  </si>
  <si>
    <t>Código del grupo</t>
  </si>
  <si>
    <t>Nombre del grupo</t>
  </si>
  <si>
    <t>1002123132131</t>
  </si>
  <si>
    <t>UDig</t>
  </si>
  <si>
    <t>1002123132134</t>
  </si>
  <si>
    <t>1002123132135</t>
  </si>
  <si>
    <t>1002123132138</t>
  </si>
  <si>
    <t>Ingrese el nombre del integrante</t>
  </si>
  <si>
    <t>1002123132139</t>
  </si>
  <si>
    <t>#</t>
  </si>
  <si>
    <t>∑:</t>
  </si>
  <si>
    <t>Ingrese el código asignado a su grupo</t>
  </si>
  <si>
    <t>Ingrese el nombre de grupo definido para su proyecto</t>
  </si>
  <si>
    <t>Integrantes del grupo</t>
  </si>
  <si>
    <t>/file/cad/DAPC.dwt</t>
  </si>
  <si>
    <t>Archivos digitales del proyecto</t>
  </si>
  <si>
    <t>Archivo</t>
  </si>
  <si>
    <t>Localización</t>
  </si>
  <si>
    <t>Ingrese la dirección web de su repositorio de archivos.</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</si>
  <si>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</si>
  <si>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</si>
  <si>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</si>
  <si>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</si>
  <si>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</si>
  <si>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</si>
  <si>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</si>
  <si>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</si>
  <si>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</si>
  <si>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</si>
  <si>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</si>
  <si>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v.20250723</t>
  </si>
  <si>
    <t>/file/cad/Logotipo.dwg</t>
  </si>
  <si>
    <t>/file/cad/Bloque_Arquitectonico.dwg</t>
  </si>
  <si>
    <t>/file/cad/Bloque_Electrico.dwg</t>
  </si>
  <si>
    <t>/file/cad/Bloque_Otros.dwg</t>
  </si>
  <si>
    <r>
      <t xml:space="preserve">Bloques - arquitectónicos </t>
    </r>
    <r>
      <rPr>
        <sz val="8"/>
        <color theme="1"/>
        <rFont val="Segoe UI Light"/>
        <family val="2"/>
      </rPr>
      <t>(Utilizar los bloques ejemplo del ADC de AutoCAD, o utilizar una librería de bloque externos, citando la fuente de descarga)</t>
    </r>
  </si>
  <si>
    <r>
      <t xml:space="preserve">Bloques - eléctricos </t>
    </r>
    <r>
      <rPr>
        <sz val="8"/>
        <color theme="1"/>
        <rFont val="Segoe UI Light"/>
        <family val="2"/>
      </rPr>
      <t>(Para el dibujo de los planos eléctricos, utilizar los bloques creados a partir de las especificaciones establecidas en el Reglamento Técnico de Instalaciones Eléctricas - RETIE del Ministerio de Minas y Energía de Colombia)</t>
    </r>
  </si>
  <si>
    <r>
      <t xml:space="preserve">Bloques - otros </t>
    </r>
    <r>
      <rPr>
        <sz val="8"/>
        <color theme="1"/>
        <rFont val="Segoe UI Light"/>
        <family val="2"/>
      </rPr>
      <t>(Utilizar una librería de bloque externos citando la fuente de descarga.)</t>
    </r>
  </si>
  <si>
    <r>
      <t xml:space="preserve">Estructura de directorios </t>
    </r>
    <r>
      <rPr>
        <sz val="8"/>
        <color theme="1"/>
        <rFont val="Segoe UI Light"/>
        <family val="2"/>
      </rPr>
      <t>(Utilizar la estructura definida para el curso DAPC)</t>
    </r>
  </si>
  <si>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</si>
  <si>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</si>
  <si>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r>
      <t xml:space="preserve">Plantilla o layout AutoCAD
</t>
    </r>
    <r>
      <rPr>
        <sz val="8"/>
        <color theme="1"/>
        <rFont val="Segoe UI Light"/>
        <family val="2"/>
      </rPr>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r>
  </si>
  <si>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</si>
  <si>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</si>
  <si>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</si>
  <si>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</si>
  <si>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</si>
  <si>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</si>
  <si>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</si>
  <si>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</si>
  <si>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</si>
  <si>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</si>
  <si>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</si>
  <si>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</si>
  <si>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</si>
  <si>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</si>
  <si>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</si>
  <si>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</si>
  <si>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</si>
  <si>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</si>
  <si>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</si>
  <si>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</si>
  <si>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</si>
  <si>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</si>
  <si>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</si>
  <si>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</si>
  <si>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</si>
  <si>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</si>
  <si>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 Utilizar cuadrado con lado igual al diametro externo ØC.</t>
  </si>
  <si>
    <t>Ver especificaciones técnicas en archivo /file/ref/FT_D37-AXP-AXD-AXM-104.pdf.</t>
  </si>
  <si>
    <t>mm</t>
  </si>
  <si>
    <t>Especificaciones generales</t>
  </si>
  <si>
    <t>Líneas de vida</t>
  </si>
  <si>
    <t>Distribución interna</t>
  </si>
  <si>
    <t>Elementos estructurales</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</si>
  <si>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</si>
  <si>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</si>
  <si>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</si>
  <si>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</si>
  <si>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</si>
  <si>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</si>
  <si>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</si>
  <si>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</si>
  <si>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</si>
  <si>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</si>
  <si>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</si>
  <si>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</si>
  <si>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</si>
  <si>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Separación</t>
  </si>
  <si>
    <t>Ventiladores - Cantidad requerida</t>
  </si>
  <si>
    <t>Ventiladores - Díametro ØC</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</si>
  <si>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</si>
  <si>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</si>
  <si>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</si>
  <si>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Ancho</t>
  </si>
  <si>
    <t>Separación</t>
  </si>
  <si>
    <t>Longitud</t>
  </si>
  <si>
    <t>Área</t>
  </si>
  <si>
    <t>Ancho de la pasarela. Cómo mínimo utilizar 1 metro.</t>
  </si>
  <si>
    <t>Separación de corredores a lo largo de la cubierta. Cómo mínimo cada 15 metros.</t>
  </si>
  <si>
    <t>Líneas a lo largo de toda la cubierta cubriendo todo el ancho y en forma de cruz. No incluir en voladizo de cubierta.</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</si>
  <si>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</si>
  <si>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</si>
  <si>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</si>
  <si>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</si>
  <si>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</si>
  <si>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</si>
  <si>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</si>
  <si>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</si>
  <si>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</si>
  <si>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</si>
  <si>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Especificaciones generales e índices</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</si>
  <si>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</si>
  <si>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</si>
  <si>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</si>
  <si>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</si>
  <si>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</si>
  <si>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</si>
  <si>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</si>
  <si>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</si>
  <si>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</si>
  <si>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</si>
  <si>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</si>
  <si>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</si>
  <si>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</si>
  <si>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</si>
  <si>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</si>
  <si>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</si>
  <si>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</si>
  <si>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</si>
  <si>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Tabla de áreas (resumen a incluir en planos)</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</si>
  <si>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</si>
  <si>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</si>
  <si>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</si>
  <si>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</si>
  <si>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</si>
  <si>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</si>
  <si>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</si>
  <si>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</si>
  <si>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</si>
  <si>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</si>
  <si>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</si>
  <si>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</si>
  <si>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</si>
  <si>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</si>
  <si>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</si>
  <si>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</si>
  <si>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</si>
  <si>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</si>
  <si>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</si>
  <si>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</si>
  <si>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r>
      <t xml:space="preserve">A los costados y a lo ancho de la cubierta (incluídos voladizos), se deben dibujar canales de recolección de aguas lluvias. Diseñar con el ancho indicado. </t>
    </r>
    <r>
      <rPr>
        <i/>
        <sz val="8"/>
        <color theme="1"/>
        <rFont val="Segoe UI Light"/>
        <family val="2"/>
      </rPr>
      <t>Ver nota 1a.</t>
    </r>
  </si>
  <si>
    <t>Viga canal - Costados</t>
  </si>
  <si>
    <t>Área canal descontable del total de la cubierta. Ancho de canal menos el sobrelapo x largo de la cubierta y por # de costados.</t>
  </si>
  <si>
    <t>1 para solo vigacanal localizada a un costado, 2 para ambos costados.</t>
  </si>
  <si>
    <t>Área cubierta sin voladizo</t>
  </si>
  <si>
    <t>Área cubierta con voladizo</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</si>
  <si>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</si>
  <si>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</si>
  <si>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</si>
  <si>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</si>
  <si>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Localizadas cerca a la puerta de acceso y en costado de la bodega. Máximo ocupar 60 m² en planta, incluida el área de la escalera.</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</si>
  <si>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</si>
  <si>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</si>
  <si>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</si>
  <si>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ancho mínimo 30 centímetros. Dibujar ancho en el sentido del ancho de la bodega. Para columnas en concreto investigar especificaciones de refuerzo y dibujar detalle estructural. </t>
    </r>
    <r>
      <rPr>
        <i/>
        <sz val="8"/>
        <color theme="1"/>
        <rFont val="Segoe UI Light"/>
        <family val="2"/>
      </rPr>
      <t>Ver nota 1a.</t>
    </r>
  </si>
  <si>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</si>
  <si>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</si>
  <si>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</si>
  <si>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</si>
  <si>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</si>
  <si>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</si>
  <si>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</si>
  <si>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</si>
  <si>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</si>
  <si>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</si>
  <si>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Largo de bodega - Referencias</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</si>
  <si>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</si>
  <si>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</si>
  <si>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</si>
  <si>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</si>
  <si>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</si>
  <si>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</si>
  <si>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Cuadro de cantidades (resumen a incluir en planos)</t>
  </si>
  <si>
    <t>Placa de contra piso - Área</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</si>
  <si>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</si>
  <si>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</si>
  <si>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</si>
  <si>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</si>
  <si>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</si>
  <si>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</si>
  <si>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</si>
  <si>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</si>
  <si>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</si>
  <si>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</si>
  <si>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</si>
  <si>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</si>
  <si>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</si>
  <si>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</si>
  <si>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</si>
  <si>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</si>
  <si>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</si>
  <si>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</si>
  <si>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</si>
  <si>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</si>
  <si>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</si>
  <si>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</si>
  <si>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</si>
  <si>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</si>
  <si>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</si>
  <si>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</si>
  <si>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</si>
  <si>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</si>
  <si>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</si>
  <si>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</si>
  <si>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Acometida</t>
  </si>
  <si>
    <t>Utilizando las especificaciones del Reglamento Técnico de Instalaciones Eléctricas - RETIE del Ministerio de Minas y Energía de Colombia, dibuje la acometida eléctrica. Dibujar en planta y en cortes.</t>
  </si>
  <si>
    <t>Tomacorrientes</t>
  </si>
  <si>
    <t>Interruptores</t>
  </si>
  <si>
    <t>Luminarias</t>
  </si>
  <si>
    <t>Luces de emergencia</t>
  </si>
  <si>
    <t>Esquema solo en planta.</t>
  </si>
  <si>
    <t>Localizados en planta y en cortes.</t>
  </si>
  <si>
    <t>Energía solar</t>
  </si>
  <si>
    <t>Red foto-voltáica</t>
  </si>
  <si>
    <t>Área disponible en cubierta</t>
  </si>
  <si>
    <r>
      <t>Redes</t>
    </r>
    <r>
      <rPr>
        <sz val="8"/>
        <color theme="1"/>
        <rFont val="Segoe UI Light"/>
        <family val="2"/>
      </rPr>
      <t xml:space="preserve"> (en este curso, no es necesario crear los planos de instalaciones hidráulicas, sanitarias y contra incendios)</t>
    </r>
  </si>
  <si>
    <r>
      <t>Diseño de cubierta</t>
    </r>
    <r>
      <rPr>
        <sz val="8"/>
        <color theme="1"/>
        <rFont val="Segoe UI Light"/>
        <family val="2"/>
      </rPr>
      <t xml:space="preserve"> (dibujo y diseño a partir de la altura de la bodega)</t>
    </r>
  </si>
  <si>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</si>
  <si>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</si>
  <si>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</si>
  <si>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</si>
  <si>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</si>
  <si>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</si>
  <si>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</si>
  <si>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Para rayos</t>
  </si>
  <si>
    <t>Polo a tierra</t>
  </si>
  <si>
    <t>Acometida eléctrica</t>
  </si>
  <si>
    <t>Red eléctrica interna 220v</t>
  </si>
  <si>
    <t>Red eléctrica interna 110v</t>
  </si>
  <si>
    <t>Red de datos usando cableado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</si>
</sst>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s>
  <fills count="3">
    <fill>
      <patternFill patternType="none"/>
    </fill>
    <fill>
      <patternFill patternType="gray125"/>
    </fill>
    <fill>
      <patternFill patternType="solid">
        <fgColor theme="0" tint="-4.9989318521683403E-2"/>
        <bgColor indexed="64"/>
      </patternFill>
    </fill>
  </fills>
  <borders count="21">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40">
    <xf numFmtId="0" fontId="0" fillId="0" borderId="0" xfId="0"/>
    <xf numFmtId="0" fontId="2" fillId="0" borderId="0" xfId="0" applyFont="1"/>
    <xf numFmtId="0" fontId="2" fillId="0" borderId="0" xfId="0" applyFont="1" applyAlignment="1">
      <alignment horizontal="left" vertical="top"/>
    </xf>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0" borderId="9" xfId="0" applyFont="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3" xfId="0" applyFont="1" applyFill="1" applyBorder="1" applyAlignment="1">
      <alignment horizontal="center"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2" fillId="0" borderId="16" xfId="0" applyFont="1" applyBorder="1" applyAlignment="1">
      <alignment horizontal="center" vertical="top"/>
    </xf>
    <xf numFmtId="0" fontId="2" fillId="0" borderId="1" xfId="0" applyFont="1" applyFill="1" applyBorder="1" applyAlignment="1">
      <alignment horizontal="left" vertical="top"/>
    </xf>
    <xf numFmtId="0" fontId="2" fillId="0" borderId="0" xfId="0" applyFont="1" applyFill="1" applyAlignment="1">
      <alignment horizontal="left" vertical="top"/>
    </xf>
    <xf numFmtId="0" fontId="2" fillId="0" borderId="1" xfId="0" applyFont="1" applyFill="1" applyBorder="1" applyAlignment="1">
      <alignment horizontal="left" vertical="top"/>
    </xf>
    <xf numFmtId="0" fontId="2" fillId="0" borderId="6" xfId="0" applyFont="1" applyFill="1" applyBorder="1" applyAlignment="1">
      <alignment horizontal="left" vertical="top"/>
    </xf>
    <xf numFmtId="0" fontId="2" fillId="0" borderId="6" xfId="0" applyFont="1" applyBorder="1" applyAlignment="1">
      <alignment horizontal="left" vertical="top"/>
    </xf>
    <xf numFmtId="0" fontId="2" fillId="2" borderId="4" xfId="0" applyFont="1" applyFill="1" applyBorder="1" applyAlignment="1">
      <alignment horizontal="left"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5" fillId="2" borderId="2" xfId="0" applyFont="1" applyFill="1" applyBorder="1" applyAlignment="1">
      <alignment horizontal="center" vertical="top"/>
    </xf>
    <xf numFmtId="0" fontId="3" fillId="0" borderId="0" xfId="0" applyFont="1" applyBorder="1" applyAlignment="1">
      <alignment horizontal="left" vertical="top"/>
    </xf>
    <xf numFmtId="0" fontId="2" fillId="2" borderId="4" xfId="0" applyFont="1" applyFill="1" applyBorder="1" applyAlignment="1">
      <alignment horizontal="left" vertical="top"/>
    </xf>
    <xf numFmtId="0" fontId="2" fillId="2" borderId="15" xfId="0" applyFont="1" applyFill="1" applyBorder="1" applyAlignment="1">
      <alignment horizontal="center" vertical="top"/>
    </xf>
    <xf numFmtId="0" fontId="5" fillId="0" borderId="5" xfId="0" applyFont="1" applyFill="1" applyBorder="1" applyAlignment="1">
      <alignment horizontal="center" vertical="top"/>
    </xf>
    <xf numFmtId="0" fontId="5" fillId="0" borderId="7" xfId="0" applyFont="1" applyFill="1" applyBorder="1" applyAlignment="1">
      <alignment horizontal="center" vertical="top"/>
    </xf>
    <xf numFmtId="0" fontId="6" fillId="0" borderId="0" xfId="0" applyFont="1" applyAlignment="1">
      <alignment horizontal="left" vertical="top"/>
    </xf>
    <xf numFmtId="0" fontId="2" fillId="0" borderId="0" xfId="0" applyFont="1" applyBorder="1" applyAlignment="1">
      <alignment horizontal="left" vertical="top"/>
    </xf>
    <xf numFmtId="0" fontId="8" fillId="0" borderId="0" xfId="2" applyFont="1"/>
    <xf numFmtId="0" fontId="5" fillId="0" borderId="0" xfId="0" applyFont="1"/>
    <xf numFmtId="0" fontId="2" fillId="0" borderId="6" xfId="0" applyFont="1" applyFill="1" applyBorder="1" applyAlignment="1">
      <alignment horizontal="left" vertical="top"/>
    </xf>
    <xf numFmtId="0" fontId="2" fillId="0" borderId="0" xfId="0" applyFont="1" applyBorder="1" applyAlignment="1">
      <alignment horizontal="left" vertical="top"/>
    </xf>
    <xf numFmtId="0" fontId="10" fillId="0" borderId="0" xfId="0" applyFont="1" applyBorder="1" applyAlignment="1">
      <alignment horizontal="left" vertical="top"/>
    </xf>
    <xf numFmtId="0" fontId="5" fillId="0" borderId="0" xfId="0" applyFont="1" applyAlignment="1">
      <alignment horizontal="right" vertical="top"/>
    </xf>
    <xf numFmtId="0" fontId="3" fillId="0" borderId="5" xfId="0" applyFont="1" applyFill="1" applyBorder="1" applyAlignment="1" applyProtection="1">
      <alignment horizontal="left" vertical="top"/>
      <protection locked="0"/>
    </xf>
    <xf numFmtId="0" fontId="3" fillId="0" borderId="1" xfId="0" applyFont="1" applyFill="1" applyBorder="1" applyAlignment="1" applyProtection="1">
      <alignment horizontal="left" vertical="top"/>
      <protection locked="0"/>
    </xf>
    <xf numFmtId="0" fontId="3" fillId="0" borderId="6" xfId="0" applyFont="1" applyFill="1" applyBorder="1" applyAlignment="1" applyProtection="1">
      <alignment horizontal="left" vertical="top"/>
      <protection locked="0"/>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49" fontId="3" fillId="0" borderId="1" xfId="0" applyNumberFormat="1" applyFont="1" applyBorder="1" applyAlignment="1" applyProtection="1">
      <alignment horizontal="center" vertical="top"/>
      <protection locked="0"/>
    </xf>
    <xf numFmtId="0" fontId="3" fillId="0" borderId="8" xfId="0" applyFont="1" applyBorder="1" applyAlignment="1" applyProtection="1">
      <alignment horizontal="left" vertical="top"/>
      <protection locked="0"/>
    </xf>
    <xf numFmtId="49" fontId="3" fillId="0" borderId="8" xfId="0" applyNumberFormat="1" applyFont="1" applyBorder="1" applyAlignment="1" applyProtection="1">
      <alignment horizontal="center" vertical="top"/>
      <protection locked="0"/>
    </xf>
    <xf numFmtId="0" fontId="2" fillId="0" borderId="1" xfId="0" applyFont="1" applyFill="1" applyBorder="1" applyAlignment="1">
      <alignment horizontal="left" vertical="top" wrapText="1"/>
    </xf>
    <xf numFmtId="0" fontId="2" fillId="0" borderId="1" xfId="0" applyFont="1" applyBorder="1" applyAlignment="1">
      <alignment horizontal="left" vertical="top" wrapText="1"/>
    </xf>
    <xf numFmtId="0" fontId="2" fillId="0" borderId="8" xfId="0" applyFont="1" applyBorder="1" applyAlignment="1">
      <alignment horizontal="left" vertical="top" wrapText="1"/>
    </xf>
    <xf numFmtId="0" fontId="2" fillId="0" borderId="13" xfId="0" applyFont="1" applyBorder="1" applyAlignment="1">
      <alignment horizontal="left" vertical="top" wrapText="1"/>
    </xf>
    <xf numFmtId="0" fontId="2" fillId="0" borderId="13" xfId="0" applyFont="1" applyBorder="1" applyAlignment="1">
      <alignment horizontal="left" vertical="top"/>
    </xf>
    <xf numFmtId="0" fontId="2" fillId="0" borderId="14" xfId="0" applyFont="1" applyBorder="1" applyAlignment="1">
      <alignment horizontal="left" vertical="top"/>
    </xf>
    <xf numFmtId="0" fontId="5" fillId="0" borderId="0" xfId="0" applyFont="1" applyAlignment="1">
      <alignment horizontal="left" vertical="top" wrapText="1"/>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0" borderId="6"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2" fillId="2" borderId="4" xfId="0" applyFont="1" applyFill="1" applyBorder="1" applyAlignment="1">
      <alignment horizontal="left"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8" xfId="0" applyFont="1" applyFill="1" applyBorder="1" applyAlignment="1">
      <alignment horizontal="left" vertical="top" wrapText="1"/>
    </xf>
    <xf numFmtId="0" fontId="2" fillId="2" borderId="19" xfId="0" applyFont="1" applyFill="1" applyBorder="1" applyAlignment="1">
      <alignment horizontal="left" vertical="top" wrapText="1"/>
    </xf>
    <xf numFmtId="0" fontId="2" fillId="2" borderId="19" xfId="0" applyFont="1" applyFill="1" applyBorder="1" applyAlignment="1">
      <alignment horizontal="center" vertical="top" wrapText="1"/>
    </xf>
    <xf numFmtId="0" fontId="2" fillId="2" borderId="20" xfId="0" applyFont="1" applyFill="1" applyBorder="1" applyAlignment="1">
      <alignment horizontal="left"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9" xfId="0" applyFont="1" applyBorder="1" applyAlignment="1">
      <alignment horizontal="left" vertical="top" wrapText="1"/>
    </xf>
    <xf numFmtId="0" fontId="2" fillId="0" borderId="17"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2" fillId="0" borderId="14" xfId="0" applyFont="1" applyBorder="1" applyAlignment="1">
      <alignment horizontal="left" vertical="top" wrapText="1"/>
    </xf>
    <xf numFmtId="0" fontId="11" fillId="0" borderId="1" xfId="0" applyFont="1" applyBorder="1" applyAlignment="1">
      <alignment horizontal="center" vertical="top" wrapText="1"/>
    </xf>
    <xf numFmtId="0" fontId="2" fillId="0" borderId="0" xfId="0" applyFont="1" applyAlignment="1" applyProtection="1">
      <alignment horizontal="left" vertical="top"/>
    </xf>
    <xf numFmtId="0" fontId="2" fillId="0" borderId="0" xfId="0" applyFont="1" applyAlignment="1" applyProtection="1">
      <alignment horizontal="center" vertical="top"/>
    </xf>
    <xf numFmtId="0" fontId="6" fillId="0" borderId="0" xfId="0" applyFont="1" applyAlignment="1" applyProtection="1">
      <alignment horizontal="left" vertical="top"/>
    </xf>
    <xf numFmtId="0" fontId="2" fillId="2" borderId="18" xfId="0" applyFont="1" applyFill="1" applyBorder="1" applyAlignment="1" applyProtection="1">
      <alignment horizontal="left" vertical="top" wrapText="1"/>
    </xf>
    <xf numFmtId="0" fontId="2" fillId="2" borderId="19" xfId="0" applyFont="1" applyFill="1" applyBorder="1" applyAlignment="1" applyProtection="1">
      <alignment horizontal="left" vertical="top" wrapText="1"/>
    </xf>
    <xf numFmtId="0" fontId="2" fillId="2" borderId="19" xfId="0" applyFont="1" applyFill="1" applyBorder="1" applyAlignment="1" applyProtection="1">
      <alignment horizontal="center" vertical="top" wrapText="1"/>
    </xf>
    <xf numFmtId="0" fontId="2" fillId="2" borderId="20" xfId="0" applyFont="1" applyFill="1" applyBorder="1" applyAlignment="1" applyProtection="1">
      <alignment horizontal="left" vertical="top" wrapText="1"/>
    </xf>
    <xf numFmtId="0" fontId="2" fillId="2" borderId="2" xfId="0" applyFont="1" applyFill="1" applyBorder="1" applyAlignment="1" applyProtection="1">
      <alignment horizontal="left" vertical="top"/>
    </xf>
    <xf numFmtId="0" fontId="2" fillId="2" borderId="3" xfId="0" applyFont="1" applyFill="1" applyBorder="1" applyAlignment="1" applyProtection="1">
      <alignment horizontal="left" vertical="top" wrapText="1"/>
    </xf>
    <xf numFmtId="0" fontId="2" fillId="2" borderId="3" xfId="0" applyFont="1" applyFill="1" applyBorder="1" applyAlignment="1" applyProtection="1">
      <alignment horizontal="center" vertical="top" wrapText="1"/>
    </xf>
    <xf numFmtId="0" fontId="2" fillId="2" borderId="4" xfId="0" applyFont="1" applyFill="1" applyBorder="1" applyAlignment="1" applyProtection="1">
      <alignment horizontal="left" vertical="top" wrapText="1"/>
    </xf>
    <xf numFmtId="0" fontId="2" fillId="0" borderId="5" xfId="0" applyFont="1" applyBorder="1" applyAlignment="1" applyProtection="1">
      <alignment horizontal="left" vertical="top" wrapText="1"/>
    </xf>
    <xf numFmtId="0" fontId="5" fillId="0" borderId="1" xfId="0" applyFont="1" applyBorder="1" applyAlignment="1" applyProtection="1">
      <alignment horizontal="left" vertical="top" wrapText="1"/>
    </xf>
    <xf numFmtId="0" fontId="2" fillId="0" borderId="1" xfId="0" applyFont="1" applyBorder="1" applyAlignment="1" applyProtection="1">
      <alignment horizontal="center" vertical="top" wrapText="1"/>
    </xf>
    <xf numFmtId="0" fontId="2" fillId="0" borderId="1" xfId="0" applyFont="1" applyBorder="1" applyAlignment="1" applyProtection="1">
      <alignment horizontal="left" vertical="top" wrapText="1"/>
    </xf>
    <xf numFmtId="0" fontId="2" fillId="0" borderId="6" xfId="0" applyFont="1" applyBorder="1" applyAlignment="1" applyProtection="1">
      <alignment horizontal="left" vertical="top" wrapText="1"/>
    </xf>
    <xf numFmtId="0" fontId="3" fillId="0" borderId="1" xfId="0" applyFont="1" applyBorder="1" applyAlignment="1" applyProtection="1">
      <alignment horizontal="center" vertical="top" wrapText="1"/>
    </xf>
    <xf numFmtId="0" fontId="2" fillId="0" borderId="17" xfId="0" applyFont="1" applyBorder="1" applyAlignment="1" applyProtection="1">
      <alignment horizontal="left" vertical="top" wrapText="1"/>
    </xf>
    <xf numFmtId="0" fontId="5" fillId="0" borderId="13" xfId="0" applyFont="1" applyBorder="1" applyAlignment="1" applyProtection="1">
      <alignment horizontal="left" vertical="top" wrapText="1"/>
    </xf>
    <xf numFmtId="0" fontId="2" fillId="0" borderId="13" xfId="0" applyFont="1" applyBorder="1" applyAlignment="1" applyProtection="1">
      <alignment horizontal="center" vertical="top" wrapText="1"/>
    </xf>
    <xf numFmtId="0" fontId="2" fillId="0" borderId="13" xfId="0" applyFont="1" applyBorder="1" applyAlignment="1" applyProtection="1">
      <alignment horizontal="left" vertical="top" wrapText="1"/>
    </xf>
    <xf numFmtId="0" fontId="2" fillId="0" borderId="14" xfId="0" applyFont="1" applyBorder="1" applyAlignment="1" applyProtection="1">
      <alignment horizontal="left" vertical="top" wrapText="1"/>
    </xf>
    <xf numFmtId="0" fontId="2" fillId="0" borderId="7" xfId="0" applyFont="1" applyBorder="1" applyAlignment="1" applyProtection="1">
      <alignment horizontal="left" vertical="top" wrapText="1"/>
    </xf>
    <xf numFmtId="0" fontId="5" fillId="0" borderId="8" xfId="0" applyFont="1" applyBorder="1" applyAlignment="1" applyProtection="1">
      <alignment horizontal="left" vertical="top" wrapText="1"/>
    </xf>
    <xf numFmtId="0" fontId="2" fillId="0" borderId="8" xfId="0" applyFont="1" applyBorder="1" applyAlignment="1" applyProtection="1">
      <alignment horizontal="center" vertical="top" wrapText="1"/>
    </xf>
    <xf numFmtId="0" fontId="2" fillId="0" borderId="8" xfId="0" applyFont="1" applyBorder="1" applyAlignment="1" applyProtection="1">
      <alignment horizontal="left" vertical="top" wrapText="1"/>
    </xf>
    <xf numFmtId="0" fontId="2" fillId="0" borderId="9" xfId="0" applyFont="1" applyBorder="1" applyAlignment="1" applyProtection="1">
      <alignment horizontal="left" vertical="top" wrapText="1"/>
    </xf>
    <xf numFmtId="0" fontId="2" fillId="2" borderId="2" xfId="0" applyFont="1" applyFill="1" applyBorder="1" applyAlignment="1" applyProtection="1">
      <alignment horizontal="left" vertical="top" wrapText="1"/>
    </xf>
    <xf numFmtId="0" fontId="3" fillId="0" borderId="1" xfId="1" applyNumberFormat="1" applyFont="1" applyBorder="1" applyAlignment="1" applyProtection="1">
      <alignment horizontal="center" vertical="top" wrapText="1"/>
    </xf>
    <xf numFmtId="0" fontId="3" fillId="0" borderId="13" xfId="0" applyFont="1" applyBorder="1" applyAlignment="1" applyProtection="1">
      <alignment horizontal="center" vertical="top" wrapText="1"/>
    </xf>
    <xf numFmtId="0" fontId="11" fillId="0" borderId="1" xfId="0" applyFont="1" applyBorder="1" applyAlignment="1" applyProtection="1">
      <alignment horizontal="center" vertical="top" wrapText="1"/>
    </xf>
    <xf numFmtId="0" fontId="2" fillId="2" borderId="10" xfId="0" applyFont="1" applyFill="1" applyBorder="1" applyAlignment="1" applyProtection="1">
      <alignment horizontal="left" vertical="top" wrapText="1"/>
    </xf>
    <xf numFmtId="0" fontId="2" fillId="2" borderId="11" xfId="0" applyFont="1" applyFill="1" applyBorder="1" applyAlignment="1" applyProtection="1">
      <alignment horizontal="left" vertical="top" wrapText="1"/>
    </xf>
    <xf numFmtId="0" fontId="2" fillId="2" borderId="11" xfId="0" applyFont="1" applyFill="1" applyBorder="1" applyAlignment="1" applyProtection="1">
      <alignment horizontal="center" vertical="top" wrapText="1"/>
    </xf>
    <xf numFmtId="0" fontId="2" fillId="2" borderId="12" xfId="0" applyFont="1" applyFill="1" applyBorder="1" applyAlignment="1" applyProtection="1">
      <alignment horizontal="left" vertical="top" wrapText="1"/>
    </xf>
    <xf numFmtId="0" fontId="11" fillId="0" borderId="1" xfId="0" applyNumberFormat="1" applyFont="1" applyBorder="1" applyAlignment="1" applyProtection="1">
      <alignment horizontal="center" vertical="top" wrapText="1"/>
    </xf>
    <xf numFmtId="0" fontId="2" fillId="0" borderId="7" xfId="0" applyFont="1" applyBorder="1" applyAlignment="1" applyProtection="1">
      <alignment horizontal="left" vertical="top"/>
    </xf>
    <xf numFmtId="0" fontId="5" fillId="0" borderId="8" xfId="0" applyFont="1" applyBorder="1" applyAlignment="1" applyProtection="1">
      <alignment horizontal="left" vertical="top"/>
    </xf>
    <xf numFmtId="0" fontId="2" fillId="0" borderId="8" xfId="0" applyFont="1" applyBorder="1" applyAlignment="1" applyProtection="1">
      <alignment horizontal="center" vertical="top"/>
    </xf>
    <xf numFmtId="0" fontId="2" fillId="0" borderId="8" xfId="0" applyFont="1" applyBorder="1" applyAlignment="1" applyProtection="1">
      <alignment horizontal="left" vertical="top"/>
    </xf>
    <xf numFmtId="0" fontId="2" fillId="0" borderId="9" xfId="0" applyFont="1" applyBorder="1" applyAlignment="1" applyProtection="1">
      <alignment horizontal="left" vertical="top"/>
    </xf>
    <xf numFmtId="0" fontId="4" fillId="0" borderId="0" xfId="0" applyFont="1" applyAlignment="1" applyProtection="1">
      <alignment horizontal="left" vertical="top"/>
    </xf>
    <xf numFmtId="0" fontId="2" fillId="2" borderId="4" xfId="0" applyFont="1" applyFill="1" applyBorder="1" applyAlignment="1" applyProtection="1">
      <alignment horizontal="left" vertical="top"/>
    </xf>
    <xf numFmtId="0" fontId="2" fillId="0" borderId="5" xfId="0" applyFont="1" applyBorder="1" applyAlignment="1" applyProtection="1">
      <alignment horizontal="left" vertical="top"/>
    </xf>
    <xf numFmtId="0" fontId="2" fillId="0" borderId="6" xfId="0" applyFont="1" applyBorder="1" applyAlignment="1" applyProtection="1">
      <alignment horizontal="left" vertical="top"/>
    </xf>
    <xf numFmtId="0" fontId="2" fillId="2" borderId="17" xfId="0" applyFont="1" applyFill="1" applyBorder="1" applyAlignment="1" applyProtection="1">
      <alignment horizontal="left" vertical="top"/>
    </xf>
    <xf numFmtId="0" fontId="2" fillId="2" borderId="14" xfId="0" applyFont="1" applyFill="1" applyBorder="1" applyAlignment="1" applyProtection="1">
      <alignment horizontal="left" vertical="top"/>
    </xf>
    <xf numFmtId="0" fontId="2" fillId="0" borderId="2" xfId="0" applyFont="1" applyBorder="1" applyAlignment="1" applyProtection="1">
      <alignment horizontal="left" vertical="top"/>
    </xf>
    <xf numFmtId="0" fontId="2" fillId="0" borderId="4" xfId="0" applyFont="1" applyBorder="1" applyAlignment="1" applyProtection="1">
      <alignment horizontal="left" vertical="top"/>
    </xf>
    <xf numFmtId="0" fontId="2" fillId="0" borderId="0" xfId="0" applyFont="1" applyAlignment="1" applyProtection="1">
      <alignment horizontal="left" vertical="top" wrapText="1"/>
    </xf>
    <xf numFmtId="0" fontId="2" fillId="0" borderId="1" xfId="0" applyFont="1" applyBorder="1" applyAlignment="1" applyProtection="1">
      <alignment horizontal="center" vertical="top"/>
    </xf>
    <xf numFmtId="0" fontId="2" fillId="0" borderId="6" xfId="0" applyFont="1" applyBorder="1" applyAlignment="1" applyProtection="1">
      <alignment horizontal="center" vertical="top"/>
    </xf>
    <xf numFmtId="0" fontId="2" fillId="0" borderId="9" xfId="0" applyFont="1" applyBorder="1" applyAlignment="1" applyProtection="1">
      <alignment horizontal="center" vertical="top"/>
    </xf>
    <xf numFmtId="0" fontId="2" fillId="2" borderId="4" xfId="0" applyFont="1" applyFill="1" applyBorder="1" applyAlignment="1" applyProtection="1">
      <alignment horizontal="center" vertical="top"/>
    </xf>
    <xf numFmtId="0" fontId="2" fillId="2" borderId="3" xfId="0" applyFont="1" applyFill="1" applyBorder="1" applyAlignment="1" applyProtection="1">
      <alignment horizontal="center" vertical="top"/>
    </xf>
    <xf numFmtId="0" fontId="2" fillId="0" borderId="13" xfId="0" applyFont="1" applyBorder="1" applyAlignment="1" applyProtection="1">
      <alignment horizontal="center" vertical="top"/>
    </xf>
    <xf numFmtId="0" fontId="2" fillId="0" borderId="14" xfId="0" applyFont="1" applyBorder="1" applyAlignment="1" applyProtection="1">
      <alignment horizontal="center" vertical="top"/>
    </xf>
    <xf numFmtId="0" fontId="3" fillId="0" borderId="13" xfId="0" applyFont="1" applyBorder="1" applyAlignment="1" applyProtection="1">
      <alignment horizontal="center" vertical="top"/>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E30"/>
  <sheetViews>
    <sheetView showGridLines="0" zoomScale="130" zoomScaleNormal="130" workbookViewId="0">
      <pane ySplit="3" topLeftCell="A4" activePane="bottomLeft" state="frozen"/>
      <selection pane="bottomLeft" activeCell="C19" sqref="C19"/>
    </sheetView>
  </sheetViews>
  <sheetFormatPr defaultRowHeight="16.5" x14ac:dyDescent="0.45"/>
  <cols>
    <col min="1" max="2" width="2.59765625" style="2" customWidth="1"/>
    <col min="3" max="3" width="40.59765625" style="2" customWidth="1"/>
    <col min="4" max="4" width="14.53125" style="2" customWidth="1"/>
    <col min="5" max="5" width="9.06640625" style="2"/>
    <col min="6" max="6" width="2.59765625" style="2" customWidth="1"/>
    <col min="7" max="16384" width="9.06640625" style="2"/>
  </cols>
  <sheetData>
    <row r="1" spans="2:5" x14ac:dyDescent="0.45">
      <c r="E1" s="40"/>
    </row>
    <row r="2" spans="2:5" x14ac:dyDescent="0.45">
      <c r="B2" s="2" t="s">
        <v>23</v>
      </c>
    </row>
    <row r="3" spans="2:5" x14ac:dyDescent="0.45">
      <c r="B3" s="33" t="s">
        <v>0</v>
      </c>
    </row>
    <row r="4" spans="2:5" ht="16.5" customHeight="1" x14ac:dyDescent="0.45">
      <c r="B4" s="60" t="s">
        <v>41</v>
      </c>
      <c r="C4" s="60"/>
      <c r="D4" s="60"/>
      <c r="E4" s="60"/>
    </row>
    <row r="5" spans="2:5" x14ac:dyDescent="0.45">
      <c r="B5" s="60"/>
      <c r="C5" s="60"/>
      <c r="D5" s="60"/>
      <c r="E5" s="60"/>
    </row>
    <row r="6" spans="2:5" x14ac:dyDescent="0.45">
      <c r="B6" s="60"/>
      <c r="C6" s="60"/>
      <c r="D6" s="60"/>
      <c r="E6" s="60"/>
    </row>
    <row r="8" spans="2:5" x14ac:dyDescent="0.45">
      <c r="B8" s="7" t="s">
        <v>1</v>
      </c>
      <c r="C8" s="8"/>
      <c r="D8" s="8"/>
      <c r="E8" s="29"/>
    </row>
    <row r="9" spans="2:5" x14ac:dyDescent="0.45">
      <c r="B9" s="41" t="s">
        <v>12</v>
      </c>
      <c r="C9" s="42"/>
      <c r="D9" s="42"/>
      <c r="E9" s="43"/>
    </row>
    <row r="10" spans="2:5" x14ac:dyDescent="0.45">
      <c r="B10" s="9" t="s">
        <v>2</v>
      </c>
      <c r="C10" s="10"/>
      <c r="D10" s="10"/>
      <c r="E10" s="11"/>
    </row>
    <row r="11" spans="2:5" x14ac:dyDescent="0.45">
      <c r="B11" s="44" t="s">
        <v>13</v>
      </c>
      <c r="C11" s="45"/>
      <c r="D11" s="45"/>
      <c r="E11" s="46"/>
    </row>
    <row r="12" spans="2:5" x14ac:dyDescent="0.45">
      <c r="B12" s="47"/>
      <c r="C12" s="48"/>
      <c r="D12" s="48"/>
      <c r="E12" s="49"/>
    </row>
    <row r="13" spans="2:5" x14ac:dyDescent="0.45">
      <c r="B13" s="9" t="s">
        <v>21</v>
      </c>
      <c r="C13" s="10"/>
      <c r="D13" s="10"/>
      <c r="E13" s="11"/>
    </row>
    <row r="14" spans="2:5" x14ac:dyDescent="0.45">
      <c r="B14" s="44" t="s">
        <v>19</v>
      </c>
      <c r="C14" s="45"/>
      <c r="D14" s="45"/>
      <c r="E14" s="46"/>
    </row>
    <row r="15" spans="2:5" x14ac:dyDescent="0.45">
      <c r="B15" s="47"/>
      <c r="C15" s="48"/>
      <c r="D15" s="48"/>
      <c r="E15" s="49"/>
    </row>
    <row r="16" spans="2:5" s="38" customFormat="1" x14ac:dyDescent="0.45">
      <c r="B16" s="39" t="s">
        <v>22</v>
      </c>
      <c r="C16" s="39"/>
      <c r="D16" s="39"/>
      <c r="E16" s="39"/>
    </row>
    <row r="17" spans="2:5" s="38" customFormat="1" x14ac:dyDescent="0.45">
      <c r="B17" s="28"/>
      <c r="C17" s="28"/>
      <c r="D17" s="28"/>
      <c r="E17" s="28"/>
    </row>
    <row r="18" spans="2:5" s="38" customFormat="1" x14ac:dyDescent="0.45">
      <c r="B18" s="34" t="s">
        <v>14</v>
      </c>
      <c r="C18" s="34"/>
      <c r="D18" s="34"/>
      <c r="E18" s="34"/>
    </row>
    <row r="19" spans="2:5" x14ac:dyDescent="0.45">
      <c r="B19" s="27" t="s">
        <v>10</v>
      </c>
      <c r="C19" s="13" t="s">
        <v>30</v>
      </c>
      <c r="D19" s="14" t="s">
        <v>29</v>
      </c>
      <c r="E19" s="16" t="s">
        <v>4</v>
      </c>
    </row>
    <row r="20" spans="2:5" x14ac:dyDescent="0.45">
      <c r="B20" s="25">
        <v>1</v>
      </c>
      <c r="C20" s="50" t="s">
        <v>8</v>
      </c>
      <c r="D20" s="51" t="s">
        <v>3</v>
      </c>
      <c r="E20" s="17">
        <f>IFERROR(RIGHT(D20,1)*1,0)</f>
        <v>1</v>
      </c>
    </row>
    <row r="21" spans="2:5" x14ac:dyDescent="0.45">
      <c r="B21" s="25">
        <v>2</v>
      </c>
      <c r="C21" s="50" t="s">
        <v>8</v>
      </c>
      <c r="D21" s="51" t="s">
        <v>5</v>
      </c>
      <c r="E21" s="17">
        <f>IFERROR(RIGHT(D21,1)*1,0)</f>
        <v>4</v>
      </c>
    </row>
    <row r="22" spans="2:5" x14ac:dyDescent="0.45">
      <c r="B22" s="25">
        <v>3</v>
      </c>
      <c r="C22" s="50" t="s">
        <v>8</v>
      </c>
      <c r="D22" s="51" t="s">
        <v>6</v>
      </c>
      <c r="E22" s="17">
        <f>IFERROR(RIGHT(D22,1)*1,0)</f>
        <v>5</v>
      </c>
    </row>
    <row r="23" spans="2:5" x14ac:dyDescent="0.45">
      <c r="B23" s="25">
        <v>4</v>
      </c>
      <c r="C23" s="50" t="s">
        <v>8</v>
      </c>
      <c r="D23" s="51" t="s">
        <v>7</v>
      </c>
      <c r="E23" s="17">
        <f>IFERROR(RIGHT(D23,1)*1,0)</f>
        <v>8</v>
      </c>
    </row>
    <row r="24" spans="2:5" x14ac:dyDescent="0.45">
      <c r="B24" s="25">
        <v>5</v>
      </c>
      <c r="C24" s="50" t="s">
        <v>8</v>
      </c>
      <c r="D24" s="51" t="s">
        <v>9</v>
      </c>
      <c r="E24" s="17">
        <f>IFERROR(RIGHT(D24,1)*1,0)</f>
        <v>9</v>
      </c>
    </row>
    <row r="25" spans="2:5" x14ac:dyDescent="0.45">
      <c r="B25" s="25">
        <v>6</v>
      </c>
      <c r="C25" s="50" t="s">
        <v>8</v>
      </c>
      <c r="D25" s="51"/>
      <c r="E25" s="17">
        <f>IFERROR(RIGHT(D25,1)*1,0)</f>
        <v>0</v>
      </c>
    </row>
    <row r="26" spans="2:5" x14ac:dyDescent="0.45">
      <c r="B26" s="25">
        <v>7</v>
      </c>
      <c r="C26" s="50" t="s">
        <v>8</v>
      </c>
      <c r="D26" s="51"/>
      <c r="E26" s="17">
        <f>IFERROR(RIGHT(D26,1)*1,0)</f>
        <v>0</v>
      </c>
    </row>
    <row r="27" spans="2:5" x14ac:dyDescent="0.45">
      <c r="B27" s="25">
        <v>8</v>
      </c>
      <c r="C27" s="50" t="s">
        <v>8</v>
      </c>
      <c r="D27" s="51"/>
      <c r="E27" s="17">
        <f>IFERROR(RIGHT(D27,1)*1,0)</f>
        <v>0</v>
      </c>
    </row>
    <row r="28" spans="2:5" x14ac:dyDescent="0.45">
      <c r="B28" s="25">
        <v>9</v>
      </c>
      <c r="C28" s="50" t="s">
        <v>8</v>
      </c>
      <c r="D28" s="51"/>
      <c r="E28" s="17">
        <f>IFERROR(RIGHT(D28,1)*1,0)</f>
        <v>0</v>
      </c>
    </row>
    <row r="29" spans="2:5" x14ac:dyDescent="0.45">
      <c r="B29" s="26">
        <v>10</v>
      </c>
      <c r="C29" s="52" t="s">
        <v>8</v>
      </c>
      <c r="D29" s="53"/>
      <c r="E29" s="15">
        <f>IFERROR(RIGHT(D29,1)*1,0)</f>
        <v>0</v>
      </c>
    </row>
    <row r="30" spans="2:5" x14ac:dyDescent="0.45">
      <c r="D30" s="30" t="s">
        <v>11</v>
      </c>
      <c r="E30" s="18">
        <f>SUM(E20:E29)</f>
        <v>27</v>
      </c>
    </row>
  </sheetData>
  <mergeCells count="8">
    <mergeCell ref="B13:E13"/>
    <mergeCell ref="B14:E15"/>
    <mergeCell ref="B4:E6"/>
    <mergeCell ref="B18:E18"/>
    <mergeCell ref="B11:E12"/>
    <mergeCell ref="B10:E10"/>
    <mergeCell ref="B9:E9"/>
    <mergeCell ref="B8:E8"/>
  </mergeCells>
  <pageMargins left="0.7" right="0.7" top="0.75" bottom="0.75" header="0.3" footer="0.3"/>
  <ignoredErrors>
    <ignoredError sqref="D20:D29" numberStoredAsText="1"/>
  </ignoredErrors>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H113"/>
  <sheetViews>
    <sheetView showGridLines="0" zoomScale="130" zoomScaleNormal="130" workbookViewId="0">
      <pane ySplit="5" topLeftCell="A32" activePane="bottomLeft" state="frozen"/>
      <selection pane="bottomLeft" activeCell="B23" sqref="B23"/>
    </sheetView>
  </sheetViews>
  <sheetFormatPr defaultRowHeight="16.5" x14ac:dyDescent="0.45"/>
  <cols>
    <col min="1" max="1" width="2.59765625" style="82" customWidth="1"/>
    <col min="2" max="2" width="27.06640625" style="82" customWidth="1"/>
    <col min="3" max="3" width="41" style="82" customWidth="1"/>
    <col min="4" max="6" width="9.19921875" style="83" customWidth="1"/>
    <col min="7" max="7" width="28.53125" style="82" customWidth="1"/>
    <col min="8" max="8" width="14.86328125" style="82" customWidth="1"/>
    <col min="9" max="9" width="2.59765625" style="82" customWidth="1"/>
    <col min="10" max="16384" width="9.06640625" style="82"/>
  </cols>
  <sheetData>
    <row r="2" spans="2:8" x14ac:dyDescent="0.45">
      <c r="B2" s="82" t="s">
        <v>23</v>
      </c>
    </row>
    <row r="3" spans="2:8" x14ac:dyDescent="0.45">
      <c r="B3" s="84" t="s">
        <v>175</v>
      </c>
    </row>
    <row r="5" spans="2:8" x14ac:dyDescent="0.45">
      <c r="B5" s="85" t="s">
        <v>43</v>
      </c>
      <c r="C5" s="86" t="s">
        <v>44</v>
      </c>
      <c r="D5" s="87" t="s">
        <v>55</v>
      </c>
      <c r="E5" s="87" t="s">
        <v>56</v>
      </c>
      <c r="F5" s="87" t="s">
        <v>45</v>
      </c>
      <c r="G5" s="86" t="s">
        <v>27</v>
      </c>
      <c r="H5" s="88" t="s">
        <v>28</v>
      </c>
    </row>
    <row r="6" spans="2:8" x14ac:dyDescent="0.45">
      <c r="B6" s="89" t="s">
        <v>112</v>
      </c>
      <c r="C6" s="90"/>
      <c r="D6" s="91"/>
      <c r="E6" s="91"/>
      <c r="F6" s="91"/>
      <c r="G6" s="90"/>
      <c r="H6" s="92"/>
    </row>
    <row r="7" spans="2:8" x14ac:dyDescent="0.45">
      <c r="B7" s="93" t="s">
        <v>176</v>
      </c>
      <c r="C7" s="94" t="s">
        <v>178</v>
      </c>
      <c r="D7" s="98">
        <v>8</v>
      </c>
      <c r="E7" s="95" t="s">
        <v>60</v>
      </c>
      <c r="F7" s="95"/>
      <c r="G7" s="96"/>
      <c r="H7" s="97"/>
    </row>
    <row r="8" spans="2:8" x14ac:dyDescent="0.45">
      <c r="B8" s="93" t="s">
        <v>177</v>
      </c>
      <c r="C8" s="94" t="s">
        <v>179</v>
      </c>
      <c r="D8" s="98">
        <v>10</v>
      </c>
      <c r="E8" s="95" t="s">
        <v>60</v>
      </c>
      <c r="F8" s="95"/>
      <c r="G8" s="96"/>
      <c r="H8" s="97"/>
    </row>
    <row r="9" spans="2:8" ht="25.5" x14ac:dyDescent="0.45">
      <c r="B9" s="93" t="s">
        <v>182</v>
      </c>
      <c r="C9" s="94" t="s">
        <v>180</v>
      </c>
      <c r="D9" s="95">
        <f>D7+SumUDig</f>
        <v>35</v>
      </c>
      <c r="E9" s="95" t="s">
        <v>60</v>
      </c>
      <c r="F9" s="95"/>
      <c r="G9" s="96"/>
      <c r="H9" s="97"/>
    </row>
    <row r="10" spans="2:8" ht="25.5" x14ac:dyDescent="0.45">
      <c r="B10" s="93" t="s">
        <v>183</v>
      </c>
      <c r="C10" s="94" t="s">
        <v>181</v>
      </c>
      <c r="D10" s="95">
        <f>D8+SumUDig</f>
        <v>37</v>
      </c>
      <c r="E10" s="95" t="s">
        <v>60</v>
      </c>
      <c r="F10" s="95"/>
      <c r="G10" s="96"/>
      <c r="H10" s="97"/>
    </row>
    <row r="11" spans="2:8" x14ac:dyDescent="0.45">
      <c r="B11" s="93" t="s">
        <v>46</v>
      </c>
      <c r="C11" s="94" t="s">
        <v>193</v>
      </c>
      <c r="D11" s="98">
        <v>12</v>
      </c>
      <c r="E11" s="95" t="s">
        <v>60</v>
      </c>
      <c r="F11" s="95"/>
      <c r="G11" s="96"/>
      <c r="H11" s="97"/>
    </row>
    <row r="12" spans="2:8" x14ac:dyDescent="0.45">
      <c r="B12" s="93" t="s">
        <v>67</v>
      </c>
      <c r="C12" s="94" t="s">
        <v>77</v>
      </c>
      <c r="D12" s="98">
        <v>6</v>
      </c>
      <c r="E12" s="95" t="s">
        <v>60</v>
      </c>
      <c r="F12" s="95"/>
      <c r="G12" s="96"/>
      <c r="H12" s="97"/>
    </row>
    <row r="13" spans="2:8" x14ac:dyDescent="0.45">
      <c r="B13" s="93" t="s">
        <v>47</v>
      </c>
      <c r="C13" s="94" t="s">
        <v>76</v>
      </c>
      <c r="D13" s="98">
        <v>12</v>
      </c>
      <c r="E13" s="95" t="s">
        <v>60</v>
      </c>
      <c r="F13" s="95"/>
      <c r="G13" s="96"/>
      <c r="H13" s="97"/>
    </row>
    <row r="14" spans="2:8" ht="25.5" x14ac:dyDescent="0.45">
      <c r="B14" s="93" t="s">
        <v>59</v>
      </c>
      <c r="C14" s="94" t="s">
        <v>68</v>
      </c>
      <c r="D14" s="95">
        <f>D9</f>
        <v>35</v>
      </c>
      <c r="E14" s="95" t="s">
        <v>60</v>
      </c>
      <c r="F14" s="95"/>
      <c r="G14" s="96"/>
      <c r="H14" s="97"/>
    </row>
    <row r="15" spans="2:8" x14ac:dyDescent="0.45">
      <c r="B15" s="93" t="s">
        <v>58</v>
      </c>
      <c r="C15" s="94" t="s">
        <v>66</v>
      </c>
      <c r="D15" s="95">
        <f>D10+D13+D12</f>
        <v>55</v>
      </c>
      <c r="E15" s="95" t="s">
        <v>60</v>
      </c>
      <c r="F15" s="95"/>
      <c r="G15" s="96"/>
      <c r="H15" s="97"/>
    </row>
    <row r="16" spans="2:8" ht="25.5" x14ac:dyDescent="0.45">
      <c r="B16" s="93" t="s">
        <v>57</v>
      </c>
      <c r="C16" s="94" t="s">
        <v>146</v>
      </c>
      <c r="D16" s="95">
        <f>D15*D14</f>
        <v>1925</v>
      </c>
      <c r="E16" s="95" t="s">
        <v>61</v>
      </c>
      <c r="F16" s="95"/>
      <c r="G16" s="96"/>
      <c r="H16" s="97"/>
    </row>
    <row r="17" spans="2:8" x14ac:dyDescent="0.45">
      <c r="B17" s="99" t="s">
        <v>115</v>
      </c>
      <c r="C17" s="100" t="s">
        <v>116</v>
      </c>
      <c r="D17" s="101">
        <f>D31+D29</f>
        <v>1435</v>
      </c>
      <c r="E17" s="95" t="s">
        <v>61</v>
      </c>
      <c r="F17" s="101"/>
      <c r="G17" s="102"/>
      <c r="H17" s="103"/>
    </row>
    <row r="18" spans="2:8" x14ac:dyDescent="0.45">
      <c r="B18" s="99" t="s">
        <v>113</v>
      </c>
      <c r="C18" s="100" t="s">
        <v>147</v>
      </c>
      <c r="D18" s="101">
        <f>D31+D29+D45</f>
        <v>1495</v>
      </c>
      <c r="E18" s="95" t="s">
        <v>61</v>
      </c>
      <c r="F18" s="101"/>
      <c r="G18" s="102"/>
      <c r="H18" s="103"/>
    </row>
    <row r="19" spans="2:8" ht="38.25" x14ac:dyDescent="0.45">
      <c r="B19" s="99" t="s">
        <v>78</v>
      </c>
      <c r="C19" s="100" t="s">
        <v>148</v>
      </c>
      <c r="D19" s="101">
        <f>D17/D16</f>
        <v>0.74545454545454548</v>
      </c>
      <c r="E19" s="101" t="s">
        <v>79</v>
      </c>
      <c r="F19" s="101"/>
      <c r="G19" s="102"/>
      <c r="H19" s="103"/>
    </row>
    <row r="20" spans="2:8" ht="25.5" x14ac:dyDescent="0.45">
      <c r="B20" s="99" t="s">
        <v>114</v>
      </c>
      <c r="C20" s="100" t="s">
        <v>149</v>
      </c>
      <c r="D20" s="101">
        <f>D18/D16</f>
        <v>0.77662337662337666</v>
      </c>
      <c r="E20" s="101" t="s">
        <v>79</v>
      </c>
      <c r="F20" s="101"/>
      <c r="G20" s="102"/>
      <c r="H20" s="103"/>
    </row>
    <row r="21" spans="2:8" x14ac:dyDescent="0.45">
      <c r="B21" s="104"/>
      <c r="C21" s="105"/>
      <c r="D21" s="106"/>
      <c r="E21" s="106"/>
      <c r="F21" s="106"/>
      <c r="G21" s="107"/>
      <c r="H21" s="108"/>
    </row>
    <row r="22" spans="2:8" x14ac:dyDescent="0.45">
      <c r="B22" s="89" t="s">
        <v>228</v>
      </c>
      <c r="C22" s="90"/>
      <c r="D22" s="91"/>
      <c r="E22" s="91"/>
      <c r="F22" s="91"/>
      <c r="G22" s="90"/>
      <c r="H22" s="92"/>
    </row>
    <row r="23" spans="2:8" ht="38.25" x14ac:dyDescent="0.45">
      <c r="B23" s="93" t="s">
        <v>83</v>
      </c>
      <c r="C23" s="94" t="s">
        <v>150</v>
      </c>
      <c r="D23" s="98">
        <v>2</v>
      </c>
      <c r="E23" s="95" t="s">
        <v>60</v>
      </c>
      <c r="F23" s="95"/>
      <c r="G23" s="96"/>
      <c r="H23" s="97"/>
    </row>
    <row r="24" spans="2:8" ht="76.5" x14ac:dyDescent="0.45">
      <c r="B24" s="93" t="s">
        <v>84</v>
      </c>
      <c r="C24" s="94" t="s">
        <v>94</v>
      </c>
      <c r="D24" s="110">
        <v>5</v>
      </c>
      <c r="E24" s="95" t="s">
        <v>80</v>
      </c>
      <c r="F24" s="95"/>
      <c r="G24" s="96"/>
      <c r="H24" s="97"/>
    </row>
    <row r="25" spans="2:8" ht="51" x14ac:dyDescent="0.45">
      <c r="B25" s="93" t="s">
        <v>85</v>
      </c>
      <c r="C25" s="94" t="s">
        <v>82</v>
      </c>
      <c r="D25" s="95">
        <f>ROUND(ATAN(D24/100)*180/PI(),0)</f>
        <v>3</v>
      </c>
      <c r="E25" s="95" t="s">
        <v>81</v>
      </c>
      <c r="F25" s="95"/>
      <c r="G25" s="96"/>
      <c r="H25" s="97"/>
    </row>
    <row r="26" spans="2:8" ht="38.25" x14ac:dyDescent="0.45">
      <c r="B26" s="99" t="s">
        <v>87</v>
      </c>
      <c r="C26" s="100" t="s">
        <v>152</v>
      </c>
      <c r="D26" s="111">
        <v>0.6</v>
      </c>
      <c r="E26" s="101" t="s">
        <v>60</v>
      </c>
      <c r="F26" s="101"/>
      <c r="G26" s="102"/>
      <c r="H26" s="103"/>
    </row>
    <row r="27" spans="2:8" ht="33" x14ac:dyDescent="0.45">
      <c r="B27" s="93" t="s">
        <v>86</v>
      </c>
      <c r="C27" s="94" t="s">
        <v>151</v>
      </c>
      <c r="D27" s="98">
        <v>0.2</v>
      </c>
      <c r="E27" s="95" t="s">
        <v>60</v>
      </c>
      <c r="F27" s="95"/>
      <c r="G27" s="96"/>
      <c r="H27" s="97"/>
    </row>
    <row r="28" spans="2:8" ht="25.5" x14ac:dyDescent="0.45">
      <c r="B28" s="93" t="s">
        <v>153</v>
      </c>
      <c r="C28" s="94" t="s">
        <v>155</v>
      </c>
      <c r="D28" s="98">
        <v>2</v>
      </c>
      <c r="E28" s="95" t="s">
        <v>79</v>
      </c>
      <c r="F28" s="95"/>
      <c r="G28" s="96"/>
      <c r="H28" s="97"/>
    </row>
    <row r="29" spans="2:8" ht="33" x14ac:dyDescent="0.45">
      <c r="B29" s="99" t="s">
        <v>88</v>
      </c>
      <c r="C29" s="100" t="s">
        <v>154</v>
      </c>
      <c r="D29" s="101">
        <f>(D26-D27)*(D10+D23+D23)*D28</f>
        <v>32.799999999999997</v>
      </c>
      <c r="E29" s="95" t="s">
        <v>61</v>
      </c>
      <c r="F29" s="101"/>
      <c r="G29" s="102"/>
      <c r="H29" s="103"/>
    </row>
    <row r="30" spans="2:8" ht="38.25" x14ac:dyDescent="0.45">
      <c r="B30" s="93" t="s">
        <v>156</v>
      </c>
      <c r="C30" s="94" t="s">
        <v>158</v>
      </c>
      <c r="D30" s="95">
        <f>(D9*D10)-D29</f>
        <v>1262.2</v>
      </c>
      <c r="E30" s="95" t="s">
        <v>61</v>
      </c>
      <c r="F30" s="95"/>
      <c r="G30" s="96"/>
      <c r="H30" s="97"/>
    </row>
    <row r="31" spans="2:8" ht="51" x14ac:dyDescent="0.45">
      <c r="B31" s="93" t="s">
        <v>157</v>
      </c>
      <c r="C31" s="94" t="s">
        <v>159</v>
      </c>
      <c r="D31" s="95">
        <f>((D9*D10)+D9*(D23+D23))-D29</f>
        <v>1402.2</v>
      </c>
      <c r="E31" s="95" t="s">
        <v>61</v>
      </c>
      <c r="F31" s="95"/>
      <c r="G31" s="96"/>
      <c r="H31" s="97"/>
    </row>
    <row r="32" spans="2:8" ht="25.5" x14ac:dyDescent="0.45">
      <c r="B32" s="93" t="s">
        <v>89</v>
      </c>
      <c r="C32" s="94" t="s">
        <v>139</v>
      </c>
      <c r="D32" s="98">
        <v>10</v>
      </c>
      <c r="E32" s="95" t="s">
        <v>60</v>
      </c>
      <c r="F32" s="95"/>
      <c r="G32" s="96"/>
      <c r="H32" s="97"/>
    </row>
    <row r="33" spans="2:8" ht="51" x14ac:dyDescent="0.45">
      <c r="B33" s="93" t="s">
        <v>90</v>
      </c>
      <c r="C33" s="94" t="s">
        <v>160</v>
      </c>
      <c r="D33" s="95">
        <f>EVEN(D30/(D32*D32))</f>
        <v>14</v>
      </c>
      <c r="E33" s="95" t="s">
        <v>130</v>
      </c>
      <c r="F33" s="95"/>
      <c r="G33" s="96"/>
      <c r="H33" s="97"/>
    </row>
    <row r="34" spans="2:8" ht="25.5" x14ac:dyDescent="0.45">
      <c r="B34" s="93" t="s">
        <v>91</v>
      </c>
      <c r="C34" s="94" t="s">
        <v>70</v>
      </c>
      <c r="D34" s="98">
        <v>1200</v>
      </c>
      <c r="E34" s="95" t="s">
        <v>71</v>
      </c>
      <c r="F34" s="95"/>
      <c r="G34" s="96"/>
      <c r="H34" s="97"/>
    </row>
    <row r="35" spans="2:8" ht="38.25" x14ac:dyDescent="0.45">
      <c r="B35" s="93" t="s">
        <v>92</v>
      </c>
      <c r="C35" s="94" t="s">
        <v>69</v>
      </c>
      <c r="D35" s="95">
        <f>D34*D34/(1000*1000)</f>
        <v>1.44</v>
      </c>
      <c r="E35" s="95" t="s">
        <v>61</v>
      </c>
      <c r="F35" s="95"/>
      <c r="G35" s="96"/>
      <c r="H35" s="97"/>
    </row>
    <row r="36" spans="2:8" ht="33" x14ac:dyDescent="0.45">
      <c r="B36" s="93" t="s">
        <v>93</v>
      </c>
      <c r="C36" s="94" t="s">
        <v>161</v>
      </c>
      <c r="D36" s="95">
        <f>D33*D35</f>
        <v>20.16</v>
      </c>
      <c r="E36" s="95" t="s">
        <v>61</v>
      </c>
      <c r="F36" s="95"/>
      <c r="G36" s="96"/>
      <c r="H36" s="97"/>
    </row>
    <row r="37" spans="2:8" x14ac:dyDescent="0.45">
      <c r="B37" s="104"/>
      <c r="C37" s="105"/>
      <c r="D37" s="106"/>
      <c r="E37" s="106"/>
      <c r="F37" s="106"/>
      <c r="G37" s="107"/>
      <c r="H37" s="108"/>
    </row>
    <row r="38" spans="2:8" x14ac:dyDescent="0.45">
      <c r="B38" s="109" t="s">
        <v>73</v>
      </c>
      <c r="C38" s="90"/>
      <c r="D38" s="91"/>
      <c r="E38" s="91"/>
      <c r="F38" s="91"/>
      <c r="G38" s="90"/>
      <c r="H38" s="92"/>
    </row>
    <row r="39" spans="2:8" x14ac:dyDescent="0.45">
      <c r="B39" s="93" t="s">
        <v>95</v>
      </c>
      <c r="C39" s="94" t="s">
        <v>99</v>
      </c>
      <c r="D39" s="98">
        <v>1</v>
      </c>
      <c r="E39" s="95" t="s">
        <v>60</v>
      </c>
      <c r="F39" s="95"/>
      <c r="G39" s="96"/>
      <c r="H39" s="97"/>
    </row>
    <row r="40" spans="2:8" ht="25.5" x14ac:dyDescent="0.45">
      <c r="B40" s="93" t="s">
        <v>96</v>
      </c>
      <c r="C40" s="94" t="s">
        <v>100</v>
      </c>
      <c r="D40" s="98">
        <v>15</v>
      </c>
      <c r="E40" s="95" t="s">
        <v>60</v>
      </c>
      <c r="F40" s="95"/>
      <c r="G40" s="96"/>
      <c r="H40" s="97"/>
    </row>
    <row r="41" spans="2:8" ht="25.5" x14ac:dyDescent="0.45">
      <c r="B41" s="93" t="s">
        <v>97</v>
      </c>
      <c r="C41" s="94" t="s">
        <v>101</v>
      </c>
      <c r="D41" s="95">
        <f>D10+(INT(D10/D40)*D9)</f>
        <v>107</v>
      </c>
      <c r="E41" s="95" t="s">
        <v>60</v>
      </c>
      <c r="F41" s="95"/>
      <c r="G41" s="96"/>
      <c r="H41" s="97"/>
    </row>
    <row r="42" spans="2:8" ht="25.5" x14ac:dyDescent="0.45">
      <c r="B42" s="93" t="s">
        <v>98</v>
      </c>
      <c r="C42" s="94" t="s">
        <v>102</v>
      </c>
      <c r="D42" s="95">
        <f>D41*D39</f>
        <v>107</v>
      </c>
      <c r="E42" s="95" t="s">
        <v>61</v>
      </c>
      <c r="F42" s="95"/>
      <c r="G42" s="96"/>
      <c r="H42" s="97"/>
    </row>
    <row r="43" spans="2:8" x14ac:dyDescent="0.45">
      <c r="B43" s="104"/>
      <c r="C43" s="105"/>
      <c r="D43" s="106"/>
      <c r="E43" s="106"/>
      <c r="F43" s="106"/>
      <c r="G43" s="107"/>
      <c r="H43" s="108"/>
    </row>
    <row r="44" spans="2:8" x14ac:dyDescent="0.45">
      <c r="B44" s="109" t="s">
        <v>74</v>
      </c>
      <c r="C44" s="90"/>
      <c r="D44" s="91"/>
      <c r="E44" s="91"/>
      <c r="F44" s="91"/>
      <c r="G44" s="90"/>
      <c r="H44" s="92"/>
    </row>
    <row r="45" spans="2:8" ht="25.5" x14ac:dyDescent="0.45">
      <c r="B45" s="93" t="s">
        <v>48</v>
      </c>
      <c r="C45" s="94" t="s">
        <v>162</v>
      </c>
      <c r="D45" s="98">
        <v>60</v>
      </c>
      <c r="E45" s="95" t="s">
        <v>61</v>
      </c>
      <c r="F45" s="95"/>
      <c r="G45" s="96"/>
      <c r="H45" s="97"/>
    </row>
    <row r="46" spans="2:8" ht="38.25" x14ac:dyDescent="0.45">
      <c r="B46" s="93" t="s">
        <v>49</v>
      </c>
      <c r="C46" s="94" t="s">
        <v>50</v>
      </c>
      <c r="D46" s="98">
        <v>24</v>
      </c>
      <c r="E46" s="95" t="s">
        <v>61</v>
      </c>
      <c r="F46" s="95"/>
      <c r="G46" s="96"/>
      <c r="H46" s="97"/>
    </row>
    <row r="47" spans="2:8" ht="38.25" x14ac:dyDescent="0.45">
      <c r="B47" s="93" t="s">
        <v>103</v>
      </c>
      <c r="C47" s="94" t="s">
        <v>140</v>
      </c>
      <c r="D47" s="98">
        <v>3.9900000000000007</v>
      </c>
      <c r="E47" s="95" t="s">
        <v>60</v>
      </c>
      <c r="F47" s="95"/>
      <c r="G47" s="96"/>
      <c r="H47" s="97"/>
    </row>
    <row r="48" spans="2:8" ht="25.5" x14ac:dyDescent="0.45">
      <c r="B48" s="93" t="s">
        <v>104</v>
      </c>
      <c r="C48" s="94" t="s">
        <v>163</v>
      </c>
      <c r="D48" s="95">
        <f>D45-D53</f>
        <v>52.943999999999996</v>
      </c>
      <c r="E48" s="95" t="s">
        <v>61</v>
      </c>
      <c r="F48" s="95"/>
      <c r="G48" s="96"/>
      <c r="H48" s="97"/>
    </row>
    <row r="49" spans="2:8" ht="25.5" x14ac:dyDescent="0.45">
      <c r="B49" s="93" t="s">
        <v>64</v>
      </c>
      <c r="C49" s="94" t="s">
        <v>63</v>
      </c>
      <c r="D49" s="98">
        <v>28</v>
      </c>
      <c r="E49" s="95" t="s">
        <v>62</v>
      </c>
      <c r="F49" s="95"/>
      <c r="G49" s="96"/>
      <c r="H49" s="97"/>
    </row>
    <row r="50" spans="2:8" ht="25.5" x14ac:dyDescent="0.45">
      <c r="B50" s="93" t="s">
        <v>107</v>
      </c>
      <c r="C50" s="94" t="s">
        <v>65</v>
      </c>
      <c r="D50" s="98">
        <v>19</v>
      </c>
      <c r="E50" s="95" t="s">
        <v>62</v>
      </c>
      <c r="F50" s="95"/>
      <c r="G50" s="96"/>
      <c r="H50" s="97"/>
    </row>
    <row r="51" spans="2:8" ht="25.5" x14ac:dyDescent="0.45">
      <c r="B51" s="93" t="s">
        <v>105</v>
      </c>
      <c r="C51" s="94" t="s">
        <v>106</v>
      </c>
      <c r="D51" s="95">
        <f>D47/(D50/100)</f>
        <v>21.000000000000004</v>
      </c>
      <c r="E51" s="95" t="s">
        <v>56</v>
      </c>
      <c r="F51" s="95"/>
      <c r="G51" s="96"/>
      <c r="H51" s="97"/>
    </row>
    <row r="52" spans="2:8" x14ac:dyDescent="0.45">
      <c r="B52" s="93" t="s">
        <v>108</v>
      </c>
      <c r="C52" s="94" t="s">
        <v>109</v>
      </c>
      <c r="D52" s="98">
        <v>1.2</v>
      </c>
      <c r="E52" s="95" t="s">
        <v>60</v>
      </c>
      <c r="F52" s="95"/>
      <c r="G52" s="96"/>
      <c r="H52" s="97"/>
    </row>
    <row r="53" spans="2:8" ht="25.5" x14ac:dyDescent="0.45">
      <c r="B53" s="93" t="s">
        <v>110</v>
      </c>
      <c r="C53" s="94" t="s">
        <v>111</v>
      </c>
      <c r="D53" s="112">
        <f>D52*D51*(D49/100)</f>
        <v>7.0560000000000018</v>
      </c>
      <c r="E53" s="95" t="s">
        <v>61</v>
      </c>
      <c r="F53" s="95"/>
      <c r="G53" s="96"/>
      <c r="H53" s="97"/>
    </row>
    <row r="54" spans="2:8" ht="89.25" x14ac:dyDescent="0.45">
      <c r="B54" s="93" t="s">
        <v>141</v>
      </c>
      <c r="C54" s="94" t="s">
        <v>205</v>
      </c>
      <c r="D54" s="98">
        <v>6</v>
      </c>
      <c r="E54" s="95" t="s">
        <v>60</v>
      </c>
      <c r="F54" s="95"/>
      <c r="G54" s="96"/>
      <c r="H54" s="97"/>
    </row>
    <row r="55" spans="2:8" ht="102" x14ac:dyDescent="0.45">
      <c r="B55" s="93" t="s">
        <v>142</v>
      </c>
      <c r="C55" s="94" t="s">
        <v>206</v>
      </c>
      <c r="D55" s="98">
        <v>4.5</v>
      </c>
      <c r="E55" s="95" t="s">
        <v>60</v>
      </c>
      <c r="F55" s="95"/>
      <c r="G55" s="96"/>
      <c r="H55" s="97"/>
    </row>
    <row r="56" spans="2:8" x14ac:dyDescent="0.45">
      <c r="B56" s="93" t="s">
        <v>144</v>
      </c>
      <c r="C56" s="94" t="s">
        <v>143</v>
      </c>
      <c r="D56" s="98">
        <v>1.2</v>
      </c>
      <c r="E56" s="95" t="s">
        <v>60</v>
      </c>
      <c r="F56" s="95"/>
      <c r="G56" s="96"/>
      <c r="H56" s="97"/>
    </row>
    <row r="57" spans="2:8" x14ac:dyDescent="0.45">
      <c r="B57" s="93" t="s">
        <v>203</v>
      </c>
      <c r="C57" s="94" t="s">
        <v>204</v>
      </c>
      <c r="D57" s="98">
        <v>2.2999999999999998</v>
      </c>
      <c r="E57" s="95" t="s">
        <v>60</v>
      </c>
      <c r="F57" s="95"/>
      <c r="G57" s="96"/>
      <c r="H57" s="97"/>
    </row>
    <row r="58" spans="2:8" ht="38.25" x14ac:dyDescent="0.45">
      <c r="B58" s="93" t="s">
        <v>145</v>
      </c>
      <c r="C58" s="94" t="s">
        <v>207</v>
      </c>
      <c r="D58" s="98">
        <v>3</v>
      </c>
      <c r="E58" s="95" t="s">
        <v>60</v>
      </c>
      <c r="F58" s="95"/>
      <c r="G58" s="96"/>
      <c r="H58" s="97"/>
    </row>
    <row r="59" spans="2:8" ht="38.25" x14ac:dyDescent="0.45">
      <c r="B59" s="93" t="s">
        <v>202</v>
      </c>
      <c r="C59" s="94" t="s">
        <v>208</v>
      </c>
      <c r="D59" s="98">
        <v>2</v>
      </c>
      <c r="E59" s="95" t="s">
        <v>60</v>
      </c>
      <c r="F59" s="95"/>
      <c r="G59" s="96"/>
      <c r="H59" s="97"/>
    </row>
    <row r="60" spans="2:8" x14ac:dyDescent="0.45">
      <c r="B60" s="104"/>
      <c r="C60" s="105"/>
      <c r="D60" s="106"/>
      <c r="E60" s="106"/>
      <c r="F60" s="106"/>
      <c r="G60" s="107"/>
      <c r="H60" s="108"/>
    </row>
    <row r="61" spans="2:8" x14ac:dyDescent="0.45">
      <c r="B61" s="113" t="s">
        <v>75</v>
      </c>
      <c r="C61" s="114"/>
      <c r="D61" s="115"/>
      <c r="E61" s="115"/>
      <c r="F61" s="115"/>
      <c r="G61" s="114"/>
      <c r="H61" s="116"/>
    </row>
    <row r="62" spans="2:8" ht="38.25" x14ac:dyDescent="0.45">
      <c r="B62" s="93" t="s">
        <v>186</v>
      </c>
      <c r="C62" s="94" t="s">
        <v>118</v>
      </c>
      <c r="D62" s="98">
        <v>40</v>
      </c>
      <c r="E62" s="95" t="s">
        <v>62</v>
      </c>
      <c r="F62" s="95"/>
      <c r="G62" s="96"/>
      <c r="H62" s="97"/>
    </row>
    <row r="63" spans="2:8" ht="25.5" x14ac:dyDescent="0.45">
      <c r="B63" s="93" t="s">
        <v>185</v>
      </c>
      <c r="C63" s="94" t="s">
        <v>187</v>
      </c>
      <c r="D63" s="112">
        <f>D17</f>
        <v>1435</v>
      </c>
      <c r="E63" s="95" t="s">
        <v>61</v>
      </c>
      <c r="F63" s="95"/>
      <c r="G63" s="96"/>
      <c r="H63" s="97"/>
    </row>
    <row r="64" spans="2:8" ht="25.5" x14ac:dyDescent="0.45">
      <c r="B64" s="93" t="s">
        <v>117</v>
      </c>
      <c r="C64" s="94" t="s">
        <v>119</v>
      </c>
      <c r="D64" s="98">
        <v>20</v>
      </c>
      <c r="E64" s="95" t="s">
        <v>62</v>
      </c>
      <c r="F64" s="95"/>
      <c r="G64" s="96"/>
      <c r="H64" s="97"/>
    </row>
    <row r="65" spans="2:8" ht="33" x14ac:dyDescent="0.45">
      <c r="B65" s="93" t="s">
        <v>128</v>
      </c>
      <c r="C65" s="94" t="s">
        <v>121</v>
      </c>
      <c r="D65" s="98">
        <v>6</v>
      </c>
      <c r="E65" s="95" t="s">
        <v>60</v>
      </c>
      <c r="F65" s="95"/>
      <c r="G65" s="96"/>
      <c r="H65" s="97"/>
    </row>
    <row r="66" spans="2:8" ht="38.25" x14ac:dyDescent="0.45">
      <c r="B66" s="93" t="s">
        <v>129</v>
      </c>
      <c r="C66" s="94" t="s">
        <v>164</v>
      </c>
      <c r="D66" s="112">
        <f>ROUND(D9/D65,0)</f>
        <v>6</v>
      </c>
      <c r="E66" s="95" t="s">
        <v>130</v>
      </c>
      <c r="F66" s="95"/>
      <c r="G66" s="96"/>
      <c r="H66" s="97"/>
    </row>
    <row r="67" spans="2:8" ht="38.25" x14ac:dyDescent="0.45">
      <c r="B67" s="93" t="s">
        <v>132</v>
      </c>
      <c r="C67" s="94" t="s">
        <v>165</v>
      </c>
      <c r="D67" s="112">
        <f>ROUND(D10/D65,0)</f>
        <v>6</v>
      </c>
      <c r="E67" s="95" t="s">
        <v>130</v>
      </c>
      <c r="F67" s="95"/>
      <c r="G67" s="96"/>
      <c r="H67" s="97"/>
    </row>
    <row r="68" spans="2:8" x14ac:dyDescent="0.45">
      <c r="B68" s="93" t="s">
        <v>133</v>
      </c>
      <c r="C68" s="94" t="s">
        <v>134</v>
      </c>
      <c r="D68" s="112">
        <f>D67*D66</f>
        <v>36</v>
      </c>
      <c r="E68" s="95" t="s">
        <v>130</v>
      </c>
      <c r="F68" s="95"/>
      <c r="G68" s="96"/>
      <c r="H68" s="97"/>
    </row>
    <row r="69" spans="2:8" ht="51" x14ac:dyDescent="0.45">
      <c r="B69" s="93" t="s">
        <v>120</v>
      </c>
      <c r="C69" s="94" t="s">
        <v>166</v>
      </c>
      <c r="D69" s="98">
        <v>0.3</v>
      </c>
      <c r="E69" s="95" t="s">
        <v>60</v>
      </c>
      <c r="F69" s="95"/>
      <c r="G69" s="96"/>
      <c r="H69" s="97"/>
    </row>
    <row r="70" spans="2:8" ht="51" x14ac:dyDescent="0.45">
      <c r="B70" s="93" t="s">
        <v>122</v>
      </c>
      <c r="C70" s="94" t="s">
        <v>167</v>
      </c>
      <c r="D70" s="98">
        <v>0.4</v>
      </c>
      <c r="E70" s="95" t="s">
        <v>60</v>
      </c>
      <c r="F70" s="95"/>
      <c r="G70" s="96"/>
      <c r="H70" s="97"/>
    </row>
    <row r="71" spans="2:8" ht="38.25" x14ac:dyDescent="0.45">
      <c r="B71" s="93" t="s">
        <v>124</v>
      </c>
      <c r="C71" s="94" t="s">
        <v>126</v>
      </c>
      <c r="D71" s="98">
        <v>0.3</v>
      </c>
      <c r="E71" s="95" t="s">
        <v>60</v>
      </c>
      <c r="F71" s="95"/>
      <c r="G71" s="96"/>
      <c r="H71" s="97"/>
    </row>
    <row r="72" spans="2:8" ht="38.25" x14ac:dyDescent="0.45">
      <c r="B72" s="93" t="s">
        <v>125</v>
      </c>
      <c r="C72" s="94" t="s">
        <v>127</v>
      </c>
      <c r="D72" s="98">
        <v>0.4</v>
      </c>
      <c r="E72" s="95" t="s">
        <v>60</v>
      </c>
      <c r="F72" s="95"/>
      <c r="G72" s="96"/>
      <c r="H72" s="97"/>
    </row>
    <row r="73" spans="2:8" ht="38.25" x14ac:dyDescent="0.45">
      <c r="B73" s="93" t="s">
        <v>135</v>
      </c>
      <c r="C73" s="94" t="s">
        <v>137</v>
      </c>
      <c r="D73" s="117">
        <f>(D9-D69)/D66</f>
        <v>5.7833333333333341</v>
      </c>
      <c r="E73" s="95" t="s">
        <v>60</v>
      </c>
      <c r="F73" s="95"/>
      <c r="G73" s="96"/>
      <c r="H73" s="97"/>
    </row>
    <row r="74" spans="2:8" ht="38.25" x14ac:dyDescent="0.45">
      <c r="B74" s="93" t="s">
        <v>136</v>
      </c>
      <c r="C74" s="94" t="s">
        <v>138</v>
      </c>
      <c r="D74" s="112">
        <f>(D10-D70)/D67</f>
        <v>6.1000000000000005</v>
      </c>
      <c r="E74" s="95" t="s">
        <v>60</v>
      </c>
      <c r="F74" s="95"/>
      <c r="G74" s="96"/>
      <c r="H74" s="97"/>
    </row>
    <row r="75" spans="2:8" x14ac:dyDescent="0.45">
      <c r="B75" s="118"/>
      <c r="C75" s="119"/>
      <c r="D75" s="120"/>
      <c r="E75" s="120"/>
      <c r="F75" s="120"/>
      <c r="G75" s="121"/>
      <c r="H75" s="122"/>
    </row>
    <row r="76" spans="2:8" x14ac:dyDescent="0.45">
      <c r="B76" s="123" t="s">
        <v>123</v>
      </c>
    </row>
    <row r="78" spans="2:8" x14ac:dyDescent="0.45">
      <c r="B78" s="82" t="s">
        <v>131</v>
      </c>
    </row>
    <row r="79" spans="2:8" x14ac:dyDescent="0.45">
      <c r="B79" s="89" t="s">
        <v>168</v>
      </c>
      <c r="C79" s="124" t="s">
        <v>169</v>
      </c>
    </row>
    <row r="80" spans="2:8" x14ac:dyDescent="0.45">
      <c r="B80" s="125" t="s">
        <v>170</v>
      </c>
      <c r="C80" s="126">
        <f>D16</f>
        <v>1925</v>
      </c>
    </row>
    <row r="81" spans="2:5" x14ac:dyDescent="0.45">
      <c r="B81" s="125" t="s">
        <v>173</v>
      </c>
      <c r="C81" s="126">
        <f>D17</f>
        <v>1435</v>
      </c>
    </row>
    <row r="82" spans="2:5" x14ac:dyDescent="0.45">
      <c r="B82" s="125" t="s">
        <v>172</v>
      </c>
      <c r="C82" s="126">
        <f>D45</f>
        <v>60</v>
      </c>
    </row>
    <row r="83" spans="2:5" x14ac:dyDescent="0.45">
      <c r="B83" s="125" t="s">
        <v>52</v>
      </c>
      <c r="C83" s="126">
        <f>D53</f>
        <v>7.0560000000000018</v>
      </c>
    </row>
    <row r="84" spans="2:5" x14ac:dyDescent="0.45">
      <c r="B84" s="125" t="s">
        <v>51</v>
      </c>
      <c r="C84" s="126">
        <f>D48</f>
        <v>52.943999999999996</v>
      </c>
    </row>
    <row r="85" spans="2:5" x14ac:dyDescent="0.45">
      <c r="B85" s="127" t="s">
        <v>171</v>
      </c>
      <c r="C85" s="128">
        <f>D18</f>
        <v>1495</v>
      </c>
    </row>
    <row r="86" spans="2:5" x14ac:dyDescent="0.45">
      <c r="B86" s="129" t="s">
        <v>78</v>
      </c>
      <c r="C86" s="130">
        <f>D19</f>
        <v>0.74545454545454548</v>
      </c>
    </row>
    <row r="87" spans="2:5" x14ac:dyDescent="0.45">
      <c r="B87" s="118" t="s">
        <v>114</v>
      </c>
      <c r="C87" s="122">
        <f>D20</f>
        <v>0.77662337662337666</v>
      </c>
    </row>
    <row r="89" spans="2:5" x14ac:dyDescent="0.45">
      <c r="B89" s="82" t="s">
        <v>184</v>
      </c>
    </row>
    <row r="90" spans="2:5" x14ac:dyDescent="0.45">
      <c r="B90" s="89" t="s">
        <v>168</v>
      </c>
      <c r="C90" s="90" t="s">
        <v>44</v>
      </c>
      <c r="D90" s="136" t="s">
        <v>55</v>
      </c>
      <c r="E90" s="135" t="s">
        <v>56</v>
      </c>
    </row>
    <row r="91" spans="2:5" x14ac:dyDescent="0.45">
      <c r="B91" s="93" t="s">
        <v>189</v>
      </c>
      <c r="C91" s="96" t="s">
        <v>188</v>
      </c>
      <c r="D91" s="132">
        <f>D63</f>
        <v>1435</v>
      </c>
      <c r="E91" s="133" t="s">
        <v>61</v>
      </c>
    </row>
    <row r="92" spans="2:5" ht="33" x14ac:dyDescent="0.45">
      <c r="B92" s="93" t="s">
        <v>190</v>
      </c>
      <c r="C92" s="96" t="s">
        <v>191</v>
      </c>
      <c r="D92" s="132">
        <f>D91*D62</f>
        <v>57400</v>
      </c>
      <c r="E92" s="133" t="s">
        <v>192</v>
      </c>
    </row>
    <row r="93" spans="2:5" x14ac:dyDescent="0.45">
      <c r="B93" s="93" t="s">
        <v>201</v>
      </c>
      <c r="C93" s="96" t="s">
        <v>200</v>
      </c>
      <c r="D93" s="132">
        <f>D48</f>
        <v>52.943999999999996</v>
      </c>
      <c r="E93" s="133" t="s">
        <v>61</v>
      </c>
    </row>
    <row r="94" spans="2:5" x14ac:dyDescent="0.45">
      <c r="B94" s="93" t="s">
        <v>194</v>
      </c>
      <c r="C94" s="96" t="s">
        <v>195</v>
      </c>
      <c r="D94" s="132">
        <f>D68</f>
        <v>36</v>
      </c>
      <c r="E94" s="133" t="s">
        <v>130</v>
      </c>
    </row>
    <row r="95" spans="2:5" ht="33" x14ac:dyDescent="0.45">
      <c r="B95" s="93" t="s">
        <v>196</v>
      </c>
      <c r="C95" s="96" t="s">
        <v>197</v>
      </c>
      <c r="D95" s="132">
        <f>D94*D11</f>
        <v>432</v>
      </c>
      <c r="E95" s="133" t="s">
        <v>60</v>
      </c>
    </row>
    <row r="96" spans="2:5" ht="49.5" x14ac:dyDescent="0.45">
      <c r="B96" s="93" t="s">
        <v>198</v>
      </c>
      <c r="C96" s="96" t="s">
        <v>199</v>
      </c>
      <c r="D96" s="132">
        <f>((D66*D8)+(D67*D7))*INT(D11/D47)</f>
        <v>324</v>
      </c>
      <c r="E96" s="133" t="s">
        <v>60</v>
      </c>
    </row>
    <row r="97" spans="2:5" ht="33" x14ac:dyDescent="0.45">
      <c r="B97" s="99" t="s">
        <v>209</v>
      </c>
      <c r="C97" s="102" t="s">
        <v>212</v>
      </c>
      <c r="D97" s="139" t="s">
        <v>211</v>
      </c>
      <c r="E97" s="133" t="s">
        <v>61</v>
      </c>
    </row>
    <row r="98" spans="2:5" x14ac:dyDescent="0.45">
      <c r="B98" s="99" t="s">
        <v>210</v>
      </c>
      <c r="C98" s="102" t="s">
        <v>213</v>
      </c>
      <c r="D98" s="139">
        <v>2</v>
      </c>
      <c r="E98" s="133" t="s">
        <v>130</v>
      </c>
    </row>
    <row r="99" spans="2:5" ht="49.5" x14ac:dyDescent="0.45">
      <c r="B99" s="99" t="s">
        <v>53</v>
      </c>
      <c r="C99" s="102" t="s">
        <v>214</v>
      </c>
      <c r="D99" s="139" t="s">
        <v>211</v>
      </c>
      <c r="E99" s="133" t="s">
        <v>130</v>
      </c>
    </row>
    <row r="100" spans="2:5" ht="33" x14ac:dyDescent="0.45">
      <c r="B100" s="99" t="s">
        <v>54</v>
      </c>
      <c r="C100" s="102" t="s">
        <v>215</v>
      </c>
      <c r="D100" s="139" t="s">
        <v>211</v>
      </c>
      <c r="E100" s="133" t="s">
        <v>130</v>
      </c>
    </row>
    <row r="101" spans="2:5" x14ac:dyDescent="0.45">
      <c r="B101" s="99"/>
      <c r="C101" s="102"/>
      <c r="D101" s="137"/>
      <c r="E101" s="138"/>
    </row>
    <row r="102" spans="2:5" x14ac:dyDescent="0.45">
      <c r="B102" s="104"/>
      <c r="C102" s="107"/>
      <c r="D102" s="120"/>
      <c r="E102" s="134"/>
    </row>
    <row r="103" spans="2:5" x14ac:dyDescent="0.45">
      <c r="B103" s="131"/>
      <c r="C103" s="131"/>
    </row>
    <row r="104" spans="2:5" x14ac:dyDescent="0.45">
      <c r="B104" s="131"/>
      <c r="C104" s="131"/>
    </row>
    <row r="105" spans="2:5" x14ac:dyDescent="0.45">
      <c r="B105" s="131"/>
      <c r="C105" s="131"/>
    </row>
    <row r="106" spans="2:5" x14ac:dyDescent="0.45">
      <c r="B106" s="131"/>
      <c r="C106" s="131"/>
    </row>
    <row r="107" spans="2:5" x14ac:dyDescent="0.45">
      <c r="B107" s="131"/>
      <c r="C107" s="131"/>
    </row>
    <row r="108" spans="2:5" x14ac:dyDescent="0.45">
      <c r="B108" s="131"/>
      <c r="C108" s="131"/>
    </row>
    <row r="109" spans="2:5" x14ac:dyDescent="0.45">
      <c r="B109" s="131"/>
      <c r="C109" s="131"/>
    </row>
    <row r="110" spans="2:5" x14ac:dyDescent="0.45">
      <c r="B110" s="131"/>
      <c r="C110" s="131"/>
    </row>
    <row r="111" spans="2:5" x14ac:dyDescent="0.45">
      <c r="B111" s="131"/>
      <c r="C111" s="131"/>
    </row>
    <row r="112" spans="2:5" x14ac:dyDescent="0.45">
      <c r="B112" s="131"/>
      <c r="C112" s="131"/>
    </row>
    <row r="113" spans="2:3" x14ac:dyDescent="0.45">
      <c r="B113" s="131"/>
      <c r="C113" s="131"/>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H32"/>
  <sheetViews>
    <sheetView showGridLines="0" tabSelected="1" zoomScale="130" zoomScaleNormal="130" workbookViewId="0">
      <pane ySplit="4" topLeftCell="A5" activePane="bottomLeft" state="frozen"/>
      <selection pane="bottomLeft" activeCell="B15" sqref="B15"/>
    </sheetView>
  </sheetViews>
  <sheetFormatPr defaultRowHeight="14.25" x14ac:dyDescent="0.45"/>
  <cols>
    <col min="1" max="1" width="2.59765625" customWidth="1"/>
    <col min="2" max="2" width="29.1328125" customWidth="1"/>
    <col min="3" max="3" width="51.73046875" customWidth="1"/>
    <col min="4" max="4" width="11.265625" bestFit="1" customWidth="1"/>
    <col min="6" max="6" width="11.59765625" customWidth="1"/>
    <col min="7" max="7" width="35.1328125" customWidth="1"/>
    <col min="8" max="8" width="13.46484375" customWidth="1"/>
  </cols>
  <sheetData>
    <row r="2" spans="2:8" ht="16.5" x14ac:dyDescent="0.45">
      <c r="B2" s="2" t="s">
        <v>23</v>
      </c>
    </row>
    <row r="3" spans="2:8" ht="16.5" x14ac:dyDescent="0.45">
      <c r="B3" s="33" t="s">
        <v>174</v>
      </c>
    </row>
    <row r="4" spans="2:8" ht="16.5" x14ac:dyDescent="0.45">
      <c r="B4" s="69" t="s">
        <v>43</v>
      </c>
      <c r="C4" s="70" t="s">
        <v>44</v>
      </c>
      <c r="D4" s="71" t="s">
        <v>55</v>
      </c>
      <c r="E4" s="71" t="s">
        <v>56</v>
      </c>
      <c r="F4" s="71" t="s">
        <v>45</v>
      </c>
      <c r="G4" s="70" t="s">
        <v>27</v>
      </c>
      <c r="H4" s="72" t="s">
        <v>28</v>
      </c>
    </row>
    <row r="5" spans="2:8" ht="16.5" x14ac:dyDescent="0.45">
      <c r="B5" s="12" t="s">
        <v>72</v>
      </c>
      <c r="C5" s="64"/>
      <c r="D5" s="65"/>
      <c r="E5" s="65"/>
      <c r="F5" s="65"/>
      <c r="G5" s="64"/>
      <c r="H5" s="66"/>
    </row>
    <row r="6" spans="2:8" ht="38.25" x14ac:dyDescent="0.45">
      <c r="B6" s="62" t="s">
        <v>216</v>
      </c>
      <c r="C6" s="67" t="s">
        <v>217</v>
      </c>
      <c r="D6" s="61">
        <v>1</v>
      </c>
      <c r="E6" s="61" t="s">
        <v>130</v>
      </c>
      <c r="F6" s="61"/>
      <c r="G6" s="55"/>
      <c r="H6" s="63"/>
    </row>
    <row r="7" spans="2:8" ht="16.5" x14ac:dyDescent="0.45">
      <c r="B7" s="62"/>
      <c r="C7" s="67"/>
      <c r="D7" s="61"/>
      <c r="E7" s="61"/>
      <c r="F7" s="61"/>
      <c r="G7" s="55"/>
      <c r="H7" s="63"/>
    </row>
    <row r="8" spans="2:8" ht="16.5" x14ac:dyDescent="0.45">
      <c r="B8" s="12" t="s">
        <v>227</v>
      </c>
      <c r="C8" s="64"/>
      <c r="D8" s="65"/>
      <c r="E8" s="65"/>
      <c r="F8" s="65"/>
      <c r="G8" s="64"/>
      <c r="H8" s="66"/>
    </row>
    <row r="9" spans="2:8" ht="16.5" x14ac:dyDescent="0.45">
      <c r="B9" s="62" t="s">
        <v>238</v>
      </c>
      <c r="C9" s="67" t="s">
        <v>222</v>
      </c>
      <c r="D9" s="61">
        <v>1</v>
      </c>
      <c r="E9" s="61" t="s">
        <v>130</v>
      </c>
      <c r="F9" s="61"/>
      <c r="G9" s="55"/>
      <c r="H9" s="63"/>
    </row>
    <row r="10" spans="2:8" ht="16.5" x14ac:dyDescent="0.45">
      <c r="B10" s="62" t="s">
        <v>240</v>
      </c>
      <c r="C10" s="67" t="s">
        <v>222</v>
      </c>
      <c r="D10" s="61">
        <v>1</v>
      </c>
      <c r="E10" s="61" t="s">
        <v>130</v>
      </c>
      <c r="F10" s="61"/>
      <c r="G10" s="55"/>
      <c r="H10" s="63"/>
    </row>
    <row r="11" spans="2:8" ht="16.5" x14ac:dyDescent="0.45">
      <c r="B11" s="62" t="s">
        <v>239</v>
      </c>
      <c r="C11" s="67" t="s">
        <v>222</v>
      </c>
      <c r="D11" s="61">
        <v>1</v>
      </c>
      <c r="E11" s="61" t="s">
        <v>130</v>
      </c>
      <c r="F11" s="61"/>
      <c r="G11" s="55"/>
      <c r="H11" s="63"/>
    </row>
    <row r="12" spans="2:8" ht="16.5" x14ac:dyDescent="0.45">
      <c r="B12" s="62" t="s">
        <v>241</v>
      </c>
      <c r="C12" s="67" t="s">
        <v>222</v>
      </c>
      <c r="D12" s="61">
        <v>1</v>
      </c>
      <c r="E12" s="61" t="s">
        <v>130</v>
      </c>
      <c r="F12" s="61"/>
      <c r="G12" s="55"/>
      <c r="H12" s="63"/>
    </row>
    <row r="13" spans="2:8" ht="16.5" x14ac:dyDescent="0.45">
      <c r="B13" s="77" t="s">
        <v>225</v>
      </c>
      <c r="C13" s="67" t="s">
        <v>222</v>
      </c>
      <c r="D13" s="61">
        <v>1</v>
      </c>
      <c r="E13" s="61" t="s">
        <v>130</v>
      </c>
      <c r="F13" s="79"/>
      <c r="G13" s="57"/>
      <c r="H13" s="80"/>
    </row>
    <row r="14" spans="2:8" ht="16.5" x14ac:dyDescent="0.45">
      <c r="B14" s="62" t="s">
        <v>218</v>
      </c>
      <c r="C14" s="67" t="s">
        <v>223</v>
      </c>
      <c r="D14" s="61">
        <v>1</v>
      </c>
      <c r="E14" s="61" t="s">
        <v>130</v>
      </c>
      <c r="F14" s="61"/>
      <c r="G14" s="55"/>
      <c r="H14" s="63"/>
    </row>
    <row r="15" spans="2:8" ht="16.5" x14ac:dyDescent="0.45">
      <c r="B15" s="62" t="s">
        <v>219</v>
      </c>
      <c r="C15" s="67" t="s">
        <v>223</v>
      </c>
      <c r="D15" s="61">
        <v>1</v>
      </c>
      <c r="E15" s="61" t="s">
        <v>130</v>
      </c>
      <c r="F15" s="61"/>
      <c r="G15" s="55"/>
      <c r="H15" s="63"/>
    </row>
    <row r="16" spans="2:8" ht="16.5" x14ac:dyDescent="0.45">
      <c r="B16" s="77" t="s">
        <v>220</v>
      </c>
      <c r="C16" s="67" t="s">
        <v>223</v>
      </c>
      <c r="D16" s="61">
        <v>1</v>
      </c>
      <c r="E16" s="61" t="s">
        <v>130</v>
      </c>
      <c r="F16" s="79"/>
      <c r="G16" s="57"/>
      <c r="H16" s="80"/>
    </row>
    <row r="17" spans="2:8" ht="16.5" x14ac:dyDescent="0.45">
      <c r="B17" s="77" t="s">
        <v>221</v>
      </c>
      <c r="C17" s="67" t="s">
        <v>223</v>
      </c>
      <c r="D17" s="61">
        <v>1</v>
      </c>
      <c r="E17" s="61" t="s">
        <v>130</v>
      </c>
      <c r="F17" s="79"/>
      <c r="G17" s="57"/>
      <c r="H17" s="80"/>
    </row>
    <row r="18" spans="2:8" ht="16.5" x14ac:dyDescent="0.45">
      <c r="B18" s="77" t="s">
        <v>236</v>
      </c>
      <c r="C18" s="67" t="s">
        <v>223</v>
      </c>
      <c r="D18" s="79">
        <v>1</v>
      </c>
      <c r="E18" s="61" t="s">
        <v>130</v>
      </c>
      <c r="F18" s="79"/>
      <c r="G18" s="57"/>
      <c r="H18" s="80"/>
    </row>
    <row r="19" spans="2:8" ht="16.5" x14ac:dyDescent="0.45">
      <c r="B19" s="77" t="s">
        <v>237</v>
      </c>
      <c r="C19" s="67" t="s">
        <v>223</v>
      </c>
      <c r="D19" s="79">
        <v>1</v>
      </c>
      <c r="E19" s="61" t="s">
        <v>130</v>
      </c>
      <c r="F19" s="79"/>
      <c r="G19" s="57"/>
      <c r="H19" s="80"/>
    </row>
    <row r="20" spans="2:8" ht="16.5" x14ac:dyDescent="0.45">
      <c r="B20" s="77"/>
      <c r="C20" s="78"/>
      <c r="D20" s="79"/>
      <c r="E20" s="79"/>
      <c r="F20" s="79"/>
      <c r="G20" s="57"/>
      <c r="H20" s="80"/>
    </row>
    <row r="21" spans="2:8" ht="16.5" x14ac:dyDescent="0.45">
      <c r="B21" s="12" t="s">
        <v>224</v>
      </c>
      <c r="C21" s="64"/>
      <c r="D21" s="65"/>
      <c r="E21" s="65"/>
      <c r="F21" s="65"/>
      <c r="G21" s="64"/>
      <c r="H21" s="66"/>
    </row>
    <row r="22" spans="2:8" ht="38.25" x14ac:dyDescent="0.45">
      <c r="B22" s="62" t="s">
        <v>226</v>
      </c>
      <c r="C22" s="67" t="s">
        <v>231</v>
      </c>
      <c r="D22" s="81">
        <f>'2.Arquitectónica'!D30-'2.Arquitectónica'!D36-'2.Arquitectónica'!D42</f>
        <v>1135.04</v>
      </c>
      <c r="E22" s="61" t="s">
        <v>61</v>
      </c>
      <c r="F22" s="61"/>
      <c r="G22" s="55"/>
      <c r="H22" s="63"/>
    </row>
    <row r="23" spans="2:8" ht="16.5" x14ac:dyDescent="0.45">
      <c r="B23" s="62" t="s">
        <v>230</v>
      </c>
      <c r="C23" s="67" t="s">
        <v>233</v>
      </c>
      <c r="D23" s="68">
        <v>992</v>
      </c>
      <c r="E23" s="61" t="s">
        <v>71</v>
      </c>
      <c r="F23" s="61"/>
      <c r="G23" s="55"/>
      <c r="H23" s="63"/>
    </row>
    <row r="24" spans="2:8" ht="16.5" x14ac:dyDescent="0.45">
      <c r="B24" s="62" t="s">
        <v>229</v>
      </c>
      <c r="C24" s="67" t="s">
        <v>234</v>
      </c>
      <c r="D24" s="68">
        <v>1950</v>
      </c>
      <c r="E24" s="61" t="s">
        <v>71</v>
      </c>
      <c r="F24" s="61"/>
      <c r="G24" s="55"/>
      <c r="H24" s="63"/>
    </row>
    <row r="25" spans="2:8" ht="51" x14ac:dyDescent="0.45">
      <c r="B25" s="62" t="s">
        <v>232</v>
      </c>
      <c r="C25" s="67" t="s">
        <v>235</v>
      </c>
      <c r="D25" s="61">
        <f>INT(D22/(D23/1000*D24/1000))</f>
        <v>586</v>
      </c>
      <c r="E25" s="61" t="s">
        <v>130</v>
      </c>
      <c r="F25" s="61"/>
      <c r="G25" s="55"/>
      <c r="H25" s="63"/>
    </row>
    <row r="26" spans="2:8" ht="16.5" x14ac:dyDescent="0.45">
      <c r="B26" s="62"/>
      <c r="C26" s="67"/>
      <c r="D26" s="61"/>
      <c r="E26" s="61"/>
      <c r="F26" s="61"/>
      <c r="G26" s="55"/>
      <c r="H26" s="63"/>
    </row>
    <row r="27" spans="2:8" ht="16.5" x14ac:dyDescent="0.45">
      <c r="B27" s="77"/>
      <c r="C27" s="67"/>
      <c r="D27" s="79"/>
      <c r="E27" s="61"/>
      <c r="F27" s="79"/>
      <c r="G27" s="57"/>
      <c r="H27" s="80"/>
    </row>
    <row r="28" spans="2:8" ht="16.5" x14ac:dyDescent="0.45">
      <c r="B28" s="77"/>
      <c r="C28" s="67"/>
      <c r="D28" s="79"/>
      <c r="E28" s="61"/>
      <c r="F28" s="79"/>
      <c r="G28" s="57"/>
      <c r="H28" s="80"/>
    </row>
    <row r="29" spans="2:8" ht="16.5" x14ac:dyDescent="0.45">
      <c r="B29" s="77"/>
      <c r="C29" s="78"/>
      <c r="D29" s="79"/>
      <c r="E29" s="79"/>
      <c r="F29" s="79"/>
      <c r="G29" s="57"/>
      <c r="H29" s="80"/>
    </row>
    <row r="30" spans="2:8" ht="16.5" x14ac:dyDescent="0.45">
      <c r="B30" s="77"/>
      <c r="C30" s="78"/>
      <c r="D30" s="79"/>
      <c r="E30" s="79"/>
      <c r="F30" s="79"/>
      <c r="G30" s="57"/>
      <c r="H30" s="80"/>
    </row>
    <row r="31" spans="2:8" ht="16.5" x14ac:dyDescent="0.45">
      <c r="B31" s="77"/>
      <c r="C31" s="78"/>
      <c r="D31" s="79"/>
      <c r="E31" s="79"/>
      <c r="F31" s="79"/>
      <c r="G31" s="57"/>
      <c r="H31" s="80"/>
    </row>
    <row r="32" spans="2:8" ht="16.5" x14ac:dyDescent="0.45">
      <c r="B32" s="73"/>
      <c r="C32" s="74"/>
      <c r="D32" s="75"/>
      <c r="E32" s="75"/>
      <c r="F32" s="75"/>
      <c r="G32" s="56"/>
      <c r="H32" s="76"/>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F26"/>
  <sheetViews>
    <sheetView showGridLines="0" zoomScale="130" zoomScaleNormal="130" workbookViewId="0">
      <pane ySplit="5" topLeftCell="A6" activePane="bottomLeft" state="frozen"/>
      <selection pane="bottomLeft" activeCell="C11" sqref="C11"/>
    </sheetView>
  </sheetViews>
  <sheetFormatPr defaultRowHeight="16.5" x14ac:dyDescent="0.45"/>
  <cols>
    <col min="1" max="2" width="2.59765625" style="2" customWidth="1"/>
    <col min="3" max="3" width="46.6640625" style="2" customWidth="1"/>
    <col min="4" max="4" width="33.46484375" style="2" customWidth="1"/>
    <col min="5" max="5" width="30.3984375" style="2" customWidth="1"/>
    <col min="6" max="6" width="11.59765625" style="2" customWidth="1"/>
    <col min="7" max="16384" width="9.06640625" style="2"/>
  </cols>
  <sheetData>
    <row r="2" spans="2:6" x14ac:dyDescent="0.45">
      <c r="B2" s="3" t="s">
        <v>23</v>
      </c>
      <c r="C2" s="3"/>
      <c r="D2" s="3"/>
      <c r="E2" s="3"/>
      <c r="F2" s="3"/>
    </row>
    <row r="3" spans="2:6" x14ac:dyDescent="0.45">
      <c r="B3" s="3" t="s">
        <v>16</v>
      </c>
      <c r="C3" s="3"/>
      <c r="D3" s="3"/>
      <c r="E3" s="3"/>
      <c r="F3" s="3"/>
    </row>
    <row r="5" spans="2:6" x14ac:dyDescent="0.45">
      <c r="B5" s="27" t="s">
        <v>10</v>
      </c>
      <c r="C5" s="13" t="s">
        <v>17</v>
      </c>
      <c r="D5" s="13" t="s">
        <v>18</v>
      </c>
      <c r="E5" s="13" t="s">
        <v>27</v>
      </c>
      <c r="F5" s="24" t="s">
        <v>28</v>
      </c>
    </row>
    <row r="6" spans="2:6" s="20" customFormat="1" ht="29.25" x14ac:dyDescent="0.45">
      <c r="B6" s="31">
        <v>0</v>
      </c>
      <c r="C6" s="54" t="s">
        <v>39</v>
      </c>
      <c r="D6" s="19" t="s">
        <v>40</v>
      </c>
      <c r="E6" s="19"/>
      <c r="F6" s="22"/>
    </row>
    <row r="7" spans="2:6" s="20" customFormat="1" x14ac:dyDescent="0.45">
      <c r="B7" s="31">
        <v>1</v>
      </c>
      <c r="C7" s="54" t="s">
        <v>20</v>
      </c>
      <c r="D7" s="19" t="s">
        <v>32</v>
      </c>
      <c r="E7" s="19"/>
      <c r="F7" s="22"/>
    </row>
    <row r="8" spans="2:6" s="20" customFormat="1" ht="131.25" x14ac:dyDescent="0.45">
      <c r="B8" s="31">
        <v>2</v>
      </c>
      <c r="C8" s="54" t="s">
        <v>42</v>
      </c>
      <c r="D8" s="19" t="s">
        <v>15</v>
      </c>
      <c r="E8" s="19"/>
      <c r="F8" s="22"/>
    </row>
    <row r="9" spans="2:6" s="20" customFormat="1" ht="42" x14ac:dyDescent="0.45">
      <c r="B9" s="31">
        <v>3</v>
      </c>
      <c r="C9" s="54" t="s">
        <v>36</v>
      </c>
      <c r="D9" s="19" t="s">
        <v>33</v>
      </c>
      <c r="E9" s="21"/>
      <c r="F9" s="37"/>
    </row>
    <row r="10" spans="2:6" s="20" customFormat="1" ht="54.75" x14ac:dyDescent="0.45">
      <c r="B10" s="31">
        <v>4</v>
      </c>
      <c r="C10" s="54" t="s">
        <v>37</v>
      </c>
      <c r="D10" s="19" t="s">
        <v>34</v>
      </c>
      <c r="E10" s="21"/>
      <c r="F10" s="37"/>
    </row>
    <row r="11" spans="2:6" s="20" customFormat="1" ht="29.25" x14ac:dyDescent="0.45">
      <c r="B11" s="31">
        <v>5</v>
      </c>
      <c r="C11" s="54" t="s">
        <v>38</v>
      </c>
      <c r="D11" s="19" t="s">
        <v>35</v>
      </c>
      <c r="E11" s="21"/>
      <c r="F11" s="37"/>
    </row>
    <row r="12" spans="2:6" s="20" customFormat="1" x14ac:dyDescent="0.45">
      <c r="B12" s="31">
        <v>6</v>
      </c>
      <c r="C12" s="54"/>
      <c r="D12" s="19"/>
      <c r="E12" s="19"/>
      <c r="F12" s="22"/>
    </row>
    <row r="13" spans="2:6" x14ac:dyDescent="0.45">
      <c r="B13" s="31">
        <v>7</v>
      </c>
      <c r="C13" s="55"/>
      <c r="D13" s="4"/>
      <c r="E13" s="4"/>
      <c r="F13" s="23"/>
    </row>
    <row r="14" spans="2:6" x14ac:dyDescent="0.45">
      <c r="B14" s="31">
        <v>8</v>
      </c>
      <c r="C14" s="55"/>
      <c r="D14" s="4"/>
      <c r="E14" s="4"/>
      <c r="F14" s="23"/>
    </row>
    <row r="15" spans="2:6" x14ac:dyDescent="0.45">
      <c r="B15" s="31">
        <v>9</v>
      </c>
      <c r="C15" s="55"/>
      <c r="D15" s="4"/>
      <c r="E15" s="4"/>
      <c r="F15" s="23"/>
    </row>
    <row r="16" spans="2:6" x14ac:dyDescent="0.45">
      <c r="B16" s="31">
        <v>10</v>
      </c>
      <c r="C16" s="55"/>
      <c r="D16" s="4"/>
      <c r="E16" s="4"/>
      <c r="F16" s="23"/>
    </row>
    <row r="17" spans="2:6" x14ac:dyDescent="0.45">
      <c r="B17" s="31">
        <v>11</v>
      </c>
      <c r="C17" s="55"/>
      <c r="D17" s="4"/>
      <c r="E17" s="4"/>
      <c r="F17" s="23"/>
    </row>
    <row r="18" spans="2:6" x14ac:dyDescent="0.45">
      <c r="B18" s="31">
        <v>12</v>
      </c>
      <c r="C18" s="55"/>
      <c r="D18" s="4"/>
      <c r="E18" s="4"/>
      <c r="F18" s="23"/>
    </row>
    <row r="19" spans="2:6" x14ac:dyDescent="0.45">
      <c r="B19" s="31">
        <v>13</v>
      </c>
      <c r="C19" s="55"/>
      <c r="D19" s="4"/>
      <c r="E19" s="4"/>
      <c r="F19" s="23"/>
    </row>
    <row r="20" spans="2:6" x14ac:dyDescent="0.45">
      <c r="B20" s="31">
        <v>14</v>
      </c>
      <c r="C20" s="55"/>
      <c r="D20" s="4"/>
      <c r="E20" s="4"/>
      <c r="F20" s="23"/>
    </row>
    <row r="21" spans="2:6" x14ac:dyDescent="0.45">
      <c r="B21" s="31">
        <v>15</v>
      </c>
      <c r="C21" s="55"/>
      <c r="D21" s="4"/>
      <c r="E21" s="4"/>
      <c r="F21" s="23"/>
    </row>
    <row r="22" spans="2:6" x14ac:dyDescent="0.45">
      <c r="B22" s="31">
        <v>16</v>
      </c>
      <c r="C22" s="55"/>
      <c r="D22" s="4"/>
      <c r="E22" s="4"/>
      <c r="F22" s="23"/>
    </row>
    <row r="23" spans="2:6" x14ac:dyDescent="0.45">
      <c r="B23" s="31">
        <v>17</v>
      </c>
      <c r="C23" s="55"/>
      <c r="D23" s="4"/>
      <c r="E23" s="4"/>
      <c r="F23" s="23"/>
    </row>
    <row r="24" spans="2:6" x14ac:dyDescent="0.45">
      <c r="B24" s="31">
        <v>18</v>
      </c>
      <c r="C24" s="55"/>
      <c r="D24" s="4"/>
      <c r="E24" s="4"/>
      <c r="F24" s="23"/>
    </row>
    <row r="25" spans="2:6" x14ac:dyDescent="0.45">
      <c r="B25" s="31">
        <v>19</v>
      </c>
      <c r="C25" s="57"/>
      <c r="D25" s="58"/>
      <c r="E25" s="58"/>
      <c r="F25" s="59"/>
    </row>
    <row r="26" spans="2:6" x14ac:dyDescent="0.45">
      <c r="B26" s="32">
        <v>20</v>
      </c>
      <c r="C26" s="56"/>
      <c r="D26" s="5"/>
      <c r="E26" s="5"/>
      <c r="F26" s="6"/>
    </row>
  </sheetData>
  <mergeCells count="5">
    <mergeCell ref="B3:F3"/>
    <mergeCell ref="B2:F2"/>
    <mergeCell ref="E10:F10"/>
    <mergeCell ref="E11:F11"/>
    <mergeCell ref="E9:F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B8" sqref="B8"/>
    </sheetView>
  </sheetViews>
  <sheetFormatPr defaultRowHeight="16.5" x14ac:dyDescent="0.6"/>
  <cols>
    <col min="1" max="1" width="2.59765625" style="1" customWidth="1"/>
    <col min="2" max="2" width="95.3984375" style="1" customWidth="1"/>
    <col min="3" max="16384" width="9.06640625" style="1"/>
  </cols>
  <sheetData>
    <row r="1" spans="2:2" x14ac:dyDescent="0.6">
      <c r="B1" s="40" t="s">
        <v>31</v>
      </c>
    </row>
    <row r="2" spans="2:2" x14ac:dyDescent="0.6">
      <c r="B2" s="1" t="s">
        <v>24</v>
      </c>
    </row>
    <row r="3" spans="2:2" x14ac:dyDescent="0.6">
      <c r="B3" s="35" t="s">
        <v>25</v>
      </c>
    </row>
    <row r="4" spans="2:2" x14ac:dyDescent="0.6">
      <c r="B4" s="36" t="s">
        <v>26</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1.Técnicas</vt:lpstr>
      <vt:lpstr>2.Arquitectónica</vt:lpstr>
      <vt:lpstr>3.Eléctrica</vt:lpstr>
      <vt:lpstr>Files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2025-07-24T21:28:14Z</dcterms:modified>
</cp:coreProperties>
</file>