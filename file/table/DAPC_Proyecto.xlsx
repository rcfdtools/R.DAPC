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1"/>
  <workbookPr/>
  <mc:AlternateContent xmlns:mc="http://schemas.openxmlformats.org/markup-compatibility/2006">
    <mc:Choice Requires="x15">
      <x15ac:absPath xmlns:x15ac="http://schemas.microsoft.com/office/spreadsheetml/2010/11/ac" url="D:\R.DAPC\file\table\"/>
    </mc:Choice>
  </mc:AlternateContent>
  <xr:revisionPtr revIDLastSave="0" documentId="13_ncr:1_{A8DC2229-6D59-4537-88CC-B5A353B0F536}" xr6:coauthVersionLast="47" xr6:coauthVersionMax="47" xr10:uidLastSave="{00000000-0000-0000-0000-000000000000}"/>
  <bookViews>
    <workbookView xWindow="-98" yWindow="-98" windowWidth="28996" windowHeight="15675" activeTab="2" xr2:uid="{00000000-000D-0000-FFFF-FFFF00000000}"/>
  </bookViews>
  <sheets>
    <sheet name="1.Técnicas" sheetId="2" r:id="rId1"/>
    <sheet name="2.Arquitectónica" sheetId="4" r:id="rId2"/>
    <sheet name="3.Eléctrica" sheetId="5" r:id="rId3"/>
    <sheet name="Files" sheetId="1" r:id="rId4"/>
    <sheet name="Metadata" sheetId="3" r:id="rId5"/>
  </sheets>
  <definedNames>
    <definedName name="SumUDig">'1.Técnicas'!$E$30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5" l="1"/>
  <c r="D26" i="5" s="1"/>
  <c r="D10" i="4"/>
  <c r="D15" i="4" s="1"/>
  <c r="D9" i="4"/>
  <c r="D14" i="4" s="1"/>
  <c r="C82" i="4"/>
  <c r="D51" i="4"/>
  <c r="D53" i="4" s="1"/>
  <c r="D48" i="4" s="1"/>
  <c r="C84" i="4" s="1"/>
  <c r="D25" i="4"/>
  <c r="D35" i="4"/>
  <c r="E28" i="2"/>
  <c r="E21" i="2"/>
  <c r="E22" i="2"/>
  <c r="E23" i="2"/>
  <c r="E24" i="2"/>
  <c r="E25" i="2"/>
  <c r="E26" i="2"/>
  <c r="E27" i="2"/>
  <c r="E29" i="2"/>
  <c r="E20" i="2"/>
  <c r="D93" i="4" l="1"/>
  <c r="D29" i="4"/>
  <c r="D31" i="4" s="1"/>
  <c r="D17" i="4" s="1"/>
  <c r="C83" i="4"/>
  <c r="D66" i="4"/>
  <c r="D67" i="4"/>
  <c r="D16" i="4"/>
  <c r="C80" i="4" s="1"/>
  <c r="D41" i="4"/>
  <c r="D42" i="4" s="1"/>
  <c r="E30" i="2"/>
  <c r="D73" i="4" l="1"/>
  <c r="D96" i="4"/>
  <c r="C81" i="4"/>
  <c r="D63" i="4"/>
  <c r="D91" i="4" s="1"/>
  <c r="D92" i="4" s="1"/>
  <c r="D68" i="4"/>
  <c r="D94" i="4" s="1"/>
  <c r="D95" i="4" s="1"/>
  <c r="D74" i="4"/>
  <c r="D19" i="4"/>
  <c r="C86" i="4" s="1"/>
  <c r="D18" i="4"/>
  <c r="D30" i="4"/>
  <c r="D20" i="4" l="1"/>
  <c r="C87" i="4" s="1"/>
  <c r="C85" i="4"/>
  <c r="D33" i="4"/>
  <c r="D3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9" authorId="0" shapeId="0" xr:uid="{8FA6F4B0-21C7-4A5C-ABA3-36A7AA5DFC59}">
      <text>
        <r>
          <rPr>
            <sz val="9"/>
            <color indexed="81"/>
            <rFont val="Segoe UI Light"/>
            <family val="2"/>
          </rPr>
          <t>Último dígito del código de alumno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5" authorId="0" shapeId="0" xr:uid="{0CB28302-451A-4555-A660-A2220D7B31D2}">
      <text>
        <r>
          <rPr>
            <sz val="9"/>
            <color indexed="81"/>
            <rFont val="Segoe UI Light"/>
            <family val="2"/>
          </rPr>
          <t>Un. corresponde a Unidad.</t>
        </r>
      </text>
    </comment>
    <comment ref="F5" authorId="0" shapeId="0" xr:uid="{85292CD4-4682-4AA7-84E2-85458BBE80E0}">
      <text>
        <r>
          <rPr>
            <sz val="9"/>
            <color indexed="81"/>
            <rFont val="Segoe UI Light"/>
            <family val="2"/>
          </rPr>
          <t xml:space="preserve">Actividad de referencia en curso DAPC.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4" authorId="0" shapeId="0" xr:uid="{C543050A-FDED-428A-9308-BA8924B01043}">
      <text>
        <r>
          <rPr>
            <sz val="9"/>
            <color indexed="81"/>
            <rFont val="Segoe UI Light"/>
            <family val="2"/>
          </rPr>
          <t>Un. corresponde a Unidad.</t>
        </r>
      </text>
    </comment>
    <comment ref="F4" authorId="0" shapeId="0" xr:uid="{63AED0DA-6025-48C5-A1A7-D7E100634909}">
      <text>
        <r>
          <rPr>
            <sz val="9"/>
            <color indexed="81"/>
            <rFont val="Segoe UI Light"/>
            <family val="2"/>
          </rPr>
          <t xml:space="preserve">Actividad de referencia en curso DAPC.
</t>
        </r>
      </text>
    </comment>
  </commentList>
</comments>
</file>

<file path=xl/sharedStrings.xml><?xml version="1.0" encoding="utf-8"?>
<sst xmlns="http://schemas.openxmlformats.org/spreadsheetml/2006/main" count="361" uniqueCount="247">
  <si>
    <t>1. Especificaciones técnicas generales</t>
  </si>
  <si>
    <t>Código del grupo</t>
  </si>
  <si>
    <t>Nombre del grupo</t>
  </si>
  <si>
    <t>1002123132131</t>
  </si>
  <si>
    <t>UDig</t>
  </si>
  <si>
    <t>1002123132134</t>
  </si>
  <si>
    <t>1002123132135</t>
  </si>
  <si>
    <t>1002123132138</t>
  </si>
  <si>
    <t>Ingrese el nombre del integrante</t>
  </si>
  <si>
    <t>1002123132139</t>
  </si>
  <si>
    <t>#</t>
  </si>
  <si>
    <t>∑:</t>
  </si>
  <si>
    <t>Ingrese el código asignado a su grupo</t>
  </si>
  <si>
    <t>Ingrese el nombre de grupo definido para su proyecto</t>
  </si>
  <si>
    <t>Integrantes del grupo</t>
  </si>
  <si>
    <t>/file/cad/DAPC.dwt</t>
  </si>
  <si>
    <t>Archivos digitales del proyecto</t>
  </si>
  <si>
    <t>Archivo</t>
  </si>
  <si>
    <t>Localización</t>
  </si>
  <si>
    <t>Ingrese la dirección web de su repositorio de archivos.</t>
  </si>
  <si>
    <t>Archivo logotipo AutoCAD</t>
  </si>
  <si>
    <t>Repositorio de archivos*</t>
  </si>
  <si>
    <t>*La localización del repositorio se debe mantener activa durante todo el curso.</t>
  </si>
  <si>
    <t>UECIJG / Dibujo asistido por computador - DAPC</t>
  </si>
  <si>
    <t>Metadata</t>
  </si>
  <si>
    <t>https://github.com/rcfdtools/R.DAPC</t>
  </si>
  <si>
    <t>Pass: 1234</t>
  </si>
  <si>
    <t>Revisión</t>
  </si>
  <si>
    <t>Calificación</t>
  </si>
  <si>
    <t>Código alumno</t>
  </si>
  <si>
    <t>Nombre alumno</t>
  </si>
  <si>
    <t>v.20250723</t>
  </si>
  <si>
    <t>/file/cad/Logotipo.dwg</t>
  </si>
  <si>
    <t>/file/cad/Bloque_Arquitectonico.dwg</t>
  </si>
  <si>
    <t>/file/cad/Bloque_Electrico.dwg</t>
  </si>
  <si>
    <t>/file/cad/Bloque_Otros.dwg</t>
  </si>
  <si>
    <r>
      <t xml:space="preserve">Bloques - arquitectónicos </t>
    </r>
    <r>
      <rPr>
        <sz val="8"/>
        <color theme="1"/>
        <rFont val="Segoe UI Light"/>
        <family val="2"/>
      </rPr>
      <t>(Utilizar los bloques ejemplo del ADC de AutoCAD, o utilizar una librería de bloque externos, citando la fuente de descarga)</t>
    </r>
  </si>
  <si>
    <r>
      <t xml:space="preserve">Bloques - eléctricos </t>
    </r>
    <r>
      <rPr>
        <sz val="8"/>
        <color theme="1"/>
        <rFont val="Segoe UI Light"/>
        <family val="2"/>
      </rPr>
      <t>(Para el dibujo de los planos eléctricos, utilizar los bloques creados a partir de las especificaciones establecidas en el Reglamento Técnico de Instalaciones Eléctricas - RETIE del Ministerio de Minas y Energía de Colombia)</t>
    </r>
  </si>
  <si>
    <r>
      <t xml:space="preserve">Bloques - otros </t>
    </r>
    <r>
      <rPr>
        <sz val="8"/>
        <color theme="1"/>
        <rFont val="Segoe UI Light"/>
        <family val="2"/>
      </rPr>
      <t>(Utilizar una librería de bloque externos citando la fuente de descarga.)</t>
    </r>
  </si>
  <si>
    <r>
      <t xml:space="preserve">Estructura de directorios </t>
    </r>
    <r>
      <rPr>
        <sz val="8"/>
        <color theme="1"/>
        <rFont val="Segoe UI Light"/>
        <family val="2"/>
      </rPr>
      <t>(Utilizar la estructura definida para el curso DAPC)</t>
    </r>
  </si>
  <si>
    <t>/file/</t>
  </si>
  <si>
    <t>El proyecto se desarrolla en grupo, el número de estudiantes se indica al inicio del curso. Cada grupo tendrá un código numérico consecutivo asignado por el instructor. Los estudiantes deberán definir el nombre de su grupo de proyecto y crear un logotipo en AutoCAD. El código, logotipo y nombre del grupo deberán incluirse en todos los planos generados.</t>
  </si>
  <si>
    <r>
      <t xml:space="preserve">Plantilla o layout AutoCAD
</t>
    </r>
    <r>
      <rPr>
        <sz val="8"/>
        <color theme="1"/>
        <rFont val="Segoe UI Light"/>
        <family val="2"/>
      </rPr>
      <t>Incluye unidades de dibujo lineales en metros, angulares en grados, precisión a dos decimales, capas o layers, estilos de acotado fijos y anotativos para las diferentes escalas de impresión a usar utilizando el prefijo DAPC., formatos para impresión A0 / A4 con logotipo, código y nombre del grupo. Se deben utilizar los nombres de capas establecidos en la norma internacional estándar ISO-13567, aplicando las especificaciones del United States National CAD Stardard - v5 del National Institute of Building Sciences para los grupos A-Architectural, C-Civil, E-Electrical, S-Structural, V-Survey / Mapping y W-Distributed Energy.</t>
    </r>
  </si>
  <si>
    <t>Especificación</t>
  </si>
  <si>
    <t>Descripción y alcance</t>
  </si>
  <si>
    <t>Actividad</t>
  </si>
  <si>
    <t>Alto de bodega</t>
  </si>
  <si>
    <t>Patio posterior</t>
  </si>
  <si>
    <t>Oficina</t>
  </si>
  <si>
    <t>Baños</t>
  </si>
  <si>
    <t>Adosados a la zona de oficinas. Baños privado en oficinas con al menos dos sanitarios. Baños generales con al menos 4 sanitarios. Tamaño y distribución a libre elección.</t>
  </si>
  <si>
    <t>Mezanine</t>
  </si>
  <si>
    <t>Escalera</t>
  </si>
  <si>
    <t>Puertas secundarias</t>
  </si>
  <si>
    <t>Ventanas</t>
  </si>
  <si>
    <t>Valor</t>
  </si>
  <si>
    <t>Unidad</t>
  </si>
  <si>
    <t>Área lote</t>
  </si>
  <si>
    <t>Largo lote</t>
  </si>
  <si>
    <t>Ancho lote</t>
  </si>
  <si>
    <t>m</t>
  </si>
  <si>
    <t>m²</t>
  </si>
  <si>
    <t>cm</t>
  </si>
  <si>
    <t>Acceso a mezanine e integrada al volúmen general de oficinas y en estructura metálica.</t>
  </si>
  <si>
    <t>Escalera - Huella</t>
  </si>
  <si>
    <t xml:space="preserve">Acceso a mezanine e integrada al volúmen general de oficinas y en estructura metálica. </t>
  </si>
  <si>
    <t>Largo total del lote incluyendo patio posterior.</t>
  </si>
  <si>
    <t>Aislamiento frontal</t>
  </si>
  <si>
    <t>Ancho total del lote. Igual al ancho de la bodega debido a que no se permiten voladizos laterales ni sobre extensiones de la cubierta.</t>
  </si>
  <si>
    <t>Ver especificaciones técnicas en archivo /file/ref/FT_D37-AXP-AXD-AXM-104.pdf. Utilizar cuadrado con lado igual al diametro externo ØC.</t>
  </si>
  <si>
    <t>Ver especificaciones técnicas en archivo /file/ref/FT_D37-AXP-AXD-AXM-104.pdf.</t>
  </si>
  <si>
    <t>mm</t>
  </si>
  <si>
    <t>Especificaciones generales</t>
  </si>
  <si>
    <t>Líneas de vida</t>
  </si>
  <si>
    <t>Distribución interna</t>
  </si>
  <si>
    <t>Elementos estructurales</t>
  </si>
  <si>
    <t>Longitud del patio a lo ancho del lote.</t>
  </si>
  <si>
    <t>Longitud del aíslamiento frontal a lo ancho del lote.</t>
  </si>
  <si>
    <t>Índice de ocupación</t>
  </si>
  <si>
    <t>Adim.</t>
  </si>
  <si>
    <t>%</t>
  </si>
  <si>
    <t>°</t>
  </si>
  <si>
    <t>Por cada unidad horizontal, la cubierta se eleva el % indicado, p. ej., si la pendiente es del 100% el ángulo de inclinación es de 45°, lo que significa que por cada unidad horizontal, la cubierta se eleva el mismo valor. Redondear al entero más cercano.</t>
  </si>
  <si>
    <t>Voladizo</t>
  </si>
  <si>
    <t>Pendiente en %</t>
  </si>
  <si>
    <t>Pendiente en °</t>
  </si>
  <si>
    <t>Viga canal - Sobrelapado de cubierta</t>
  </si>
  <si>
    <t>Viga canal - Ancho</t>
  </si>
  <si>
    <t>Viga canal - Área fuera de cubierta</t>
  </si>
  <si>
    <t>Ventiladores - Separación</t>
  </si>
  <si>
    <t>Ventiladores - Cantidad requerida</t>
  </si>
  <si>
    <t>Ventiladores - Díametro ØC</t>
  </si>
  <si>
    <t>Ventiladores - Área por ventilador</t>
  </si>
  <si>
    <t>Ventiladores - Área total ventiladores</t>
  </si>
  <si>
    <t xml:space="preserve">Pendiente mínima de inclinación de la cubierta para asegurar el buen drenaje del agua provendiente de la lluvia o precipitación. Cómo referencia, para láminas metálicas continuas, algunos fabricantes recomiendan pendientes tan bajas como 2%, mientras que para cubiertas con solapes, se sugiere una pendiente mínima del 10% para evitar filtraciones. </t>
  </si>
  <si>
    <t>Ancho</t>
  </si>
  <si>
    <t>Separación</t>
  </si>
  <si>
    <t>Longitud</t>
  </si>
  <si>
    <t>Área</t>
  </si>
  <si>
    <t>Ancho de la pasarela. Cómo mínimo utilizar 1 metro.</t>
  </si>
  <si>
    <t>Separación de corredores a lo largo de la cubierta. Cómo mínimo cada 15 metros.</t>
  </si>
  <si>
    <t>Líneas a lo largo de toda la cubierta cubriendo todo el ancho y en forma de cruz. No incluir en voladizo de cubierta.</t>
  </si>
  <si>
    <t>Área total ocupada. Descontar del ánálisis de áreas de páneles solares.</t>
  </si>
  <si>
    <t>Mezanine - Altura entrepiso</t>
  </si>
  <si>
    <t>Mezanine - Área</t>
  </si>
  <si>
    <t>Escalera - Escalones</t>
  </si>
  <si>
    <t>Número de escalones entre el nivel de piso a borde superior de placa.</t>
  </si>
  <si>
    <t>Escalera - Contrahuella</t>
  </si>
  <si>
    <t>Escalera - Ancho</t>
  </si>
  <si>
    <t>Ancho mínimo de la escalera.</t>
  </si>
  <si>
    <t>Escalera - Área</t>
  </si>
  <si>
    <t>Área ocupada por escalera = ancho * número de escalones  * longitud de huella.</t>
  </si>
  <si>
    <t>Especificaciones generales e índices</t>
  </si>
  <si>
    <t>Área construída</t>
  </si>
  <si>
    <t>Índice de construcción</t>
  </si>
  <si>
    <t>Área ocupada</t>
  </si>
  <si>
    <t>Área ocupada bajo cubiertas.</t>
  </si>
  <si>
    <t>Placa mezanine - Espesor</t>
  </si>
  <si>
    <r>
      <t xml:space="preserve">Placa de cimentación en concreto reforzado. Investigar especificaciones de refuerzo y dibujar detalle estructural. </t>
    </r>
    <r>
      <rPr>
        <i/>
        <sz val="8"/>
        <color theme="1"/>
        <rFont val="Segoe UI Light"/>
        <family val="2"/>
      </rPr>
      <t xml:space="preserve"> Ver nota 1a.</t>
    </r>
  </si>
  <si>
    <r>
      <t xml:space="preserve">Libre elección en estructura metálica o en concreto. Utilizar un espesor de referencia de 20 cm. </t>
    </r>
    <r>
      <rPr>
        <i/>
        <sz val="8"/>
        <color theme="1"/>
        <rFont val="Segoe UI Light"/>
        <family val="2"/>
      </rPr>
      <t>Ver nota 1a.</t>
    </r>
  </si>
  <si>
    <t>Estructura - Columna ancho</t>
  </si>
  <si>
    <r>
      <t xml:space="preserve">Libre elección: metálica o en concreto utilizando pórticos o espaciado entre apoyos con máximo 6 metros de luz . </t>
    </r>
    <r>
      <rPr>
        <i/>
        <sz val="8"/>
        <color theme="1"/>
        <rFont val="Segoe UI Light"/>
        <family val="2"/>
      </rPr>
      <t>Ver nota 1a.</t>
    </r>
  </si>
  <si>
    <t>Estructura - Columna largo</t>
  </si>
  <si>
    <t>Nota 1a: tenga en cuenta que este tipo de elementos requieren de un diseño avanzado, los valores aquí definidos son esquemáticos y requieren ser revisados por un ingeniero experto.</t>
  </si>
  <si>
    <t>Estructura - Viga ancho</t>
  </si>
  <si>
    <t>Estructura - Viga alto</t>
  </si>
  <si>
    <r>
      <t xml:space="preserve">Utilizar como referencia un viga de mínimo 30 centímetros de ancho. Para vigas en concreto investigar especificaciones de refuerzo y dibujar detalle estructural. </t>
    </r>
    <r>
      <rPr>
        <i/>
        <sz val="8"/>
        <color theme="1"/>
        <rFont val="Segoe UI Light"/>
        <family val="2"/>
      </rPr>
      <t>Ver nota 1a.</t>
    </r>
  </si>
  <si>
    <r>
      <t xml:space="preserve">Utilizar como referencia un viga de mínimo 40 centímetros de alto. Para vigas en concreto investigar especificaciones de refuerzo y dibujar detalle estructural. </t>
    </r>
    <r>
      <rPr>
        <i/>
        <sz val="8"/>
        <color theme="1"/>
        <rFont val="Segoe UI Light"/>
        <family val="2"/>
      </rPr>
      <t>Ver nota 1a.</t>
    </r>
  </si>
  <si>
    <t>Estructura - Luz entre columnas o apoyos</t>
  </si>
  <si>
    <t>Estructura - # de columnas a lo ancho</t>
  </si>
  <si>
    <t>Un.</t>
  </si>
  <si>
    <t>Tabla de áreas (resumen a incluir en planos)</t>
  </si>
  <si>
    <t>Estructura - # de columnas a lo largo</t>
  </si>
  <si>
    <t>Estructura - Total de columnas</t>
  </si>
  <si>
    <t>Total de columnas requeridas.</t>
  </si>
  <si>
    <t>Estructura - Separación entre ejes a lo ancho</t>
  </si>
  <si>
    <t>Estructura - Separación entre ejes a lo largo</t>
  </si>
  <si>
    <t>Separación entre ejes considerando el ancho de las columnas. Al ancho de la bodega se le resta el ancho de una columna y se divide por el # de columnas requeridas a lo ancho de la bodega.</t>
  </si>
  <si>
    <t>Separación entre ejes considerando el largo de las columnas. Al largo de la bodega se le resta el largo de una columna y se divide por el # de columnas requeridas a lo largo de la bodega.</t>
  </si>
  <si>
    <t>Incluir ventiladores eléctricos axiales industriales para extracción de aire caliente utilizando la separación indicada.</t>
  </si>
  <si>
    <t>Interno bajo cubierta solo en zona de oficinas y baños. Sobre el nivel de placa a 3.99 metros hasta la corona de la base del mezanine .</t>
  </si>
  <si>
    <t>Puerta principal - Ancho</t>
  </si>
  <si>
    <t>Puerta principal - Alto</t>
  </si>
  <si>
    <t>Metálica. Ancho a libre elección utilizando valores estándar.</t>
  </si>
  <si>
    <t>Puertas secundarias - Ancho</t>
  </si>
  <si>
    <t>Ventanas - Ancho</t>
  </si>
  <si>
    <t>Área total del lote, no deben existir elementos constructivos fuera del polígono que inscribe esta área.</t>
  </si>
  <si>
    <t>Área construída bajo cubierta más área de mezanine.</t>
  </si>
  <si>
    <t>Corresponde a la división del área ocupada bajo cubiertas entre el área del lote. No incluir las zonas duras externas que no están bajo cubierta. El resultado siempre es menor o igual a 1.</t>
  </si>
  <si>
    <t>Corresponde a la división del área construída bajo cubiertas entre el área del lote. El resultado puede ser mayor a 1.</t>
  </si>
  <si>
    <t>Láminas metálicas sobre estructura metálica. La cubierta no deberá sobre salir mas allá del ancho del lote. Incluir voladizo frontal y posterior. Libre elección: a un agua, a dos aguas o en domo.</t>
  </si>
  <si>
    <t>La cubierta debe descargar sobre la viga canal lateral a los costados utilizando sobrelapado.</t>
  </si>
  <si>
    <r>
      <t xml:space="preserve">A los costados y a lo ancho de la cubierta (incluídos voladizos), se deben dibujar canales de recolección de aguas lluvias. Diseñar con el ancho indicado. </t>
    </r>
    <r>
      <rPr>
        <i/>
        <sz val="8"/>
        <color theme="1"/>
        <rFont val="Segoe UI Light"/>
        <family val="2"/>
      </rPr>
      <t>Ver nota 1a.</t>
    </r>
  </si>
  <si>
    <t>Viga canal - Costados</t>
  </si>
  <si>
    <t>Área canal descontable del total de la cubierta. Ancho de canal menos el sobrelapo x largo de la cubierta y por # de costados.</t>
  </si>
  <si>
    <t>1 para solo vigacanal localizada a un costado, 2 para ambos costados.</t>
  </si>
  <si>
    <t>Área cubierta sin voladizo</t>
  </si>
  <si>
    <t>Área cubierta con voladizo</t>
  </si>
  <si>
    <t>Láminas metálicas sobre estructura metálica. La cubierta no deberá sobre salir mas allá del ancho del lote. Descontar la fracción correspondiente a la viga canal lateral.</t>
  </si>
  <si>
    <t>Láminas metálicas sobre estructura metálica. La cubierta no deberá sobre salir mas allá del ancho del lote. Incluir voladizo frontal y posterior. Este valor corresponde al área ocupada en el lote. Descontar la fracción correspondiente a la viga canal lateral.</t>
  </si>
  <si>
    <t>La cantidad requerida de ventiladores es igual al área total de la cubierta sin voladizos dividido entre la separación² de los ventiladores. Evaluar en números pares. Se analiza únicamente con el área interna de la cubierta y sin los voladizos.</t>
  </si>
  <si>
    <t>Se calcula con el número de ventiladores x área de cada ventilador.</t>
  </si>
  <si>
    <t>Localizadas cerca a la puerta de acceso y en costado de la bodega. Máximo ocupar 60 m² en planta, incluida el área de la escalera.</t>
  </si>
  <si>
    <t>Interno bajo cubierta solo sobre zona de oficinas. Utilizar solo baranda perimetral y sin muros. Descontar área de escalera.</t>
  </si>
  <si>
    <t>Se calcula a partir de la distancia de separación entre apoyos a lo ancho de la construcción interna de la bodeba sin zonas de voladizos.</t>
  </si>
  <si>
    <t>Se calcula a partir de la distancia de separación entre apoyos a lo largo de la construcción interna de la bodeba sin zonas de voladizos.</t>
  </si>
  <si>
    <r>
      <t xml:space="preserve">Utilizar como referencia un ancho mínimo 30 centímetros. Dibujar ancho en el sentido del ancho de la bodega. Para columnas en concreto investigar especificaciones de refuerzo y dibujar detalle estructural. </t>
    </r>
    <r>
      <rPr>
        <i/>
        <sz val="8"/>
        <color theme="1"/>
        <rFont val="Segoe UI Light"/>
        <family val="2"/>
      </rPr>
      <t>Ver nota 1a.</t>
    </r>
  </si>
  <si>
    <r>
      <t xml:space="preserve">Utilizar como referencia un largo mínimo 30 centímetros. Dibujar largo en el sentido del largo de la bodega. Para columnas en concreto investigar especificaciones de refuerzo y dibujar detalle estructural. </t>
    </r>
    <r>
      <rPr>
        <i/>
        <sz val="8"/>
        <color theme="1"/>
        <rFont val="Segoe UI Light"/>
        <family val="2"/>
      </rPr>
      <t>Ver nota 1a.</t>
    </r>
  </si>
  <si>
    <t>Elemento</t>
  </si>
  <si>
    <t>Área (m²)</t>
  </si>
  <si>
    <t>Lote</t>
  </si>
  <si>
    <t>Total construído</t>
  </si>
  <si>
    <t>Oficinas incluída escalera</t>
  </si>
  <si>
    <t>Cubierta incluídos voladizos</t>
  </si>
  <si>
    <t>3. Especificaciones eléctricas</t>
  </si>
  <si>
    <t>2. Especificaciones arquitectónicas y estructurales</t>
  </si>
  <si>
    <t>Ancho de bodega - Referencia</t>
  </si>
  <si>
    <t>Largo de bodega - Referencias</t>
  </si>
  <si>
    <t>Valor de referencia para ancho de bodega.</t>
  </si>
  <si>
    <t>Valor de referencia para largo de bodega.</t>
  </si>
  <si>
    <t>Ancho de referencia + Σ del último dígito de los códigos de estudiante. En los laterales de la bodega no deben existir ventanas.</t>
  </si>
  <si>
    <t>Largo de referencia + Σ del último dígito de los códigos de estudiante.</t>
  </si>
  <si>
    <t>Ancho de bodega - Proyecto</t>
  </si>
  <si>
    <t>Largo de bodega - Proyecto</t>
  </si>
  <si>
    <t>Cuadro de cantidades (resumen a incluir en planos)</t>
  </si>
  <si>
    <t>Placa de contra piso - Área</t>
  </si>
  <si>
    <t>Placa de cimentación- Espesor</t>
  </si>
  <si>
    <t>Fundir hasta el límite de cubierta incluyendo en área bajo los voladizos.</t>
  </si>
  <si>
    <t>Área a fundir.</t>
  </si>
  <si>
    <t>Área placa estructural de piso</t>
  </si>
  <si>
    <t>Volúmen placa estructural de piso</t>
  </si>
  <si>
    <t>Volúmen en concreto sin descontar el volúmen de los refuerzos estructurales.</t>
  </si>
  <si>
    <t>m³</t>
  </si>
  <si>
    <t>1 nivel con altura de 12 metros y hasta la base de la cubierta.</t>
  </si>
  <si>
    <t>Número de columnas</t>
  </si>
  <si>
    <t>Total de columnas requeridas por la estructura.</t>
  </si>
  <si>
    <t>Longitud de columnas</t>
  </si>
  <si>
    <t>Número de columnas multiplicado por alto de la estructura.</t>
  </si>
  <si>
    <t>Longitud de vigas</t>
  </si>
  <si>
    <t>Se obtiene a partir de la distribución de las columnas y el # de separaciones horizontales de pórticos .</t>
  </si>
  <si>
    <t>Área pizo mezanine.</t>
  </si>
  <si>
    <t>Área piso mezanine</t>
  </si>
  <si>
    <t>Ventanas - Alto</t>
  </si>
  <si>
    <t>Puertas secundarias - Alto</t>
  </si>
  <si>
    <t>Metálica. Alto a libre elección utilizando valores estándar.</t>
  </si>
  <si>
    <t xml:space="preserve">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t>
  </si>
  <si>
    <t>Ubicar en lado frontal y posterior sobre el ancho de la bodega y con apertura hacia arriba. Metálica. Dimensionar a partir del tamaño de un vehículo de carga de 10 toneladas que puede tener dimensiones variables dependiendo del tipo de carrocería y configuración, sin embargo, en general, suele tener una longitud entre 5.5 y 8 metros, un ancho de alrededor de 2.4 metros y una altura de 2.4 a 2.75 metros. Utilizar como referencia el alto o vano de un puente vehicular.</t>
  </si>
  <si>
    <t>Metálica. Ancho a libre elección utilizando valores estándar. Utilizar solo en fachada frontal y posterior e internamente en oficinas y baños.</t>
  </si>
  <si>
    <t>Metálica. Alto a libre elección utilizando valores estándar. Utilizar solo en fachada frontal y posterior e internamente en oficinas y baños.</t>
  </si>
  <si>
    <t>Área de muros</t>
  </si>
  <si>
    <t>Puertas principales</t>
  </si>
  <si>
    <t>?</t>
  </si>
  <si>
    <t>Calcule el área total de muros descontando los vanos de puertas y ventanas.</t>
  </si>
  <si>
    <t>En fachada principal y posterior.</t>
  </si>
  <si>
    <t>Indicar según la distribución interna de oficinas y baños. En la fachada principal incluir al menos 1 puerta secundaria de acceso y una ventana.</t>
  </si>
  <si>
    <t>Total de ventanas localizadas en fachada principal, posterior y en oficinas.</t>
  </si>
  <si>
    <t>Acometida</t>
  </si>
  <si>
    <t>Utilizando las especificaciones del Reglamento Técnico de Instalaciones Eléctricas - RETIE del Ministerio de Minas y Energía de Colombia, dibuje la acometida eléctrica. Dibujar en planta y en cortes.</t>
  </si>
  <si>
    <t>Tomacorrientes</t>
  </si>
  <si>
    <t>Interruptores</t>
  </si>
  <si>
    <t>Luminarias</t>
  </si>
  <si>
    <t>Luces de emergencia</t>
  </si>
  <si>
    <t>Localizados en planta y en cortes.</t>
  </si>
  <si>
    <t>Energía solar</t>
  </si>
  <si>
    <t>Red foto-voltáica</t>
  </si>
  <si>
    <t>Área disponible en cubierta</t>
  </si>
  <si>
    <r>
      <t>Redes</t>
    </r>
    <r>
      <rPr>
        <sz val="8"/>
        <color theme="1"/>
        <rFont val="Segoe UI Light"/>
        <family val="2"/>
      </rPr>
      <t xml:space="preserve"> (en este curso, no es necesario crear los planos de instalaciones hidráulicas, sanitarias y contra incendios)</t>
    </r>
  </si>
  <si>
    <r>
      <t>Diseño de cubierta</t>
    </r>
    <r>
      <rPr>
        <sz val="8"/>
        <color theme="1"/>
        <rFont val="Segoe UI Light"/>
        <family val="2"/>
      </rPr>
      <t xml:space="preserve"> (dibujo y diseño a partir de la altura de la bodega)</t>
    </r>
  </si>
  <si>
    <t>Panel solar - Largo</t>
  </si>
  <si>
    <t>Panel solar - Ancho</t>
  </si>
  <si>
    <t>Del área total de la cubierta debe restar los espacios para las pasarelas de instalación y mantenimiento, líneas de vída y ventiladores eléctricos industriales. Solo se instalan en el área de cubierta sin voladizos.</t>
  </si>
  <si>
    <t># de páneles</t>
  </si>
  <si>
    <t>Ancho del pánel, utilizar medida estándar para pánel industrial.</t>
  </si>
  <si>
    <t>Largo del pánel, utilizar medida estándar para pánel industrial.</t>
  </si>
  <si>
    <t>Área disponible en cubierta / área por pánel. Calcular como valor entero debido a que los páneles son unidades selladas. El número de páneles debe ser verificado dibujando su localización y verificando que queden embebidos dentro de las áreas remanentes de la cubierta.</t>
  </si>
  <si>
    <t>Para rayos</t>
  </si>
  <si>
    <t>Polo a tierra</t>
  </si>
  <si>
    <t>Acometida eléctrica</t>
  </si>
  <si>
    <t>Red eléctrica interna 220v</t>
  </si>
  <si>
    <t>Red eléctrica interna 110v</t>
  </si>
  <si>
    <t>Red de datos usando cableado</t>
  </si>
  <si>
    <t>Red vigilancia</t>
  </si>
  <si>
    <t>Esquema solo en planta. Redes eléctricas internas.</t>
  </si>
  <si>
    <t>Esquema solo en planta. Líneas de conexión de páneles y unión a acumuladores e inversores. Localizar cerca del tablero eléctrico.</t>
  </si>
  <si>
    <t>Esquema solo en planta. Localización de cámaras de seguridad.</t>
  </si>
  <si>
    <t>Esquema solo en planta. Conexión desde poste o subterránea desde lindero de entrada al predio en uno de los laterales.</t>
  </si>
  <si>
    <t>Esquema solo en planta. Red de datos en zona de oficinas y puntos generales de localización de equipos de cómputo, repetidores wi-fi y cámaras.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</si>
</sst>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1"/>
      <color theme="1"/>
      <name val="Segoe UI Light"/>
      <family val="2"/>
    </font>
    <font>
      <sz val="11"/>
      <color rgb="FF0070C0"/>
      <name val="Segoe UI Light"/>
      <family val="2"/>
    </font>
    <font>
      <sz val="9"/>
      <color theme="1"/>
      <name val="Segoe UI Light"/>
      <family val="2"/>
    </font>
    <font>
      <sz val="8"/>
      <color theme="1"/>
      <name val="Segoe UI Light"/>
      <family val="2"/>
    </font>
    <font>
      <b/>
      <sz val="11"/>
      <color theme="1"/>
      <name val="Segoe UI Light"/>
      <family val="2"/>
    </font>
    <font>
      <u/>
      <sz val="11"/>
      <color theme="10"/>
      <name val="Calibri"/>
      <family val="2"/>
      <scheme val="minor"/>
    </font>
    <font>
      <sz val="11"/>
      <color theme="10"/>
      <name val="Segoe UI Light"/>
      <family val="2"/>
    </font>
    <font>
      <sz val="9"/>
      <color indexed="81"/>
      <name val="Segoe UI Light"/>
      <family val="2"/>
    </font>
    <font>
      <sz val="8"/>
      <name val="Segoe UI Light"/>
      <family val="2"/>
    </font>
    <font>
      <sz val="11"/>
      <name val="Segoe UI Light"/>
      <family val="2"/>
    </font>
    <font>
      <i/>
      <sz val="8"/>
      <color theme="1"/>
      <name val="Segoe UI Light"/>
      <family val="2"/>
    </font>
  </fonts>
  <fills count="3">
    <fill>
      <patternFill patternType="none"/>
    </fill>
    <fill>
      <patternFill patternType="gray125"/>
    </fill>
    <fill>
      <patternFill patternType="solid">
        <fgColor theme="0" tint="-4.9989318521683403E-2"/>
        <bgColor indexed="64"/>
      </patternFill>
    </fill>
  </fills>
  <borders count="21">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indexed="64"/>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indexed="64"/>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indexed="64"/>
      </right>
      <top style="thin">
        <color theme="0" tint="-4.9989318521683403E-2"/>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indexed="64"/>
      </right>
      <top style="thin">
        <color indexed="64"/>
      </top>
      <bottom style="thin">
        <color indexed="64"/>
      </bottom>
      <diagonal/>
    </border>
    <border>
      <left style="thin">
        <color indexed="64"/>
      </left>
      <right style="thin">
        <color theme="0" tint="-4.9989318521683403E-2"/>
      </right>
      <top style="thin">
        <color theme="0" tint="-4.9989318521683403E-2"/>
      </top>
      <bottom/>
      <diagonal/>
    </border>
    <border>
      <left style="thin">
        <color indexed="64"/>
      </left>
      <right style="thin">
        <color theme="0" tint="-4.9989318521683403E-2"/>
      </right>
      <top style="thin">
        <color indexed="64"/>
      </top>
      <bottom/>
      <diagonal/>
    </border>
    <border>
      <left style="thin">
        <color theme="0" tint="-4.9989318521683403E-2"/>
      </left>
      <right style="thin">
        <color theme="0" tint="-4.9989318521683403E-2"/>
      </right>
      <top style="thin">
        <color indexed="64"/>
      </top>
      <bottom/>
      <diagonal/>
    </border>
    <border>
      <left style="thin">
        <color theme="0" tint="-4.9989318521683403E-2"/>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140">
    <xf numFmtId="0" fontId="0" fillId="0" borderId="0" xfId="0"/>
    <xf numFmtId="0" fontId="2" fillId="0" borderId="0" xfId="0" applyFont="1"/>
    <xf numFmtId="0" fontId="2" fillId="0" borderId="0" xfId="0" applyFont="1" applyAlignment="1">
      <alignment horizontal="left" vertical="top"/>
    </xf>
    <xf numFmtId="0" fontId="2" fillId="0" borderId="0" xfId="0" applyFont="1" applyAlignment="1">
      <alignment horizontal="left" vertical="top"/>
    </xf>
    <xf numFmtId="0" fontId="2" fillId="0" borderId="1" xfId="0" applyFont="1" applyBorder="1" applyAlignment="1">
      <alignment horizontal="left" vertical="top"/>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5" xfId="0" applyFont="1" applyFill="1" applyBorder="1" applyAlignment="1">
      <alignment horizontal="left"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3" xfId="0" applyFont="1" applyFill="1" applyBorder="1" applyAlignment="1">
      <alignment horizontal="center" vertical="top"/>
    </xf>
    <xf numFmtId="0" fontId="2" fillId="0" borderId="9" xfId="0" applyFont="1" applyBorder="1" applyAlignment="1">
      <alignment horizontal="center" vertical="top"/>
    </xf>
    <xf numFmtId="0" fontId="2" fillId="2" borderId="4" xfId="0" applyFont="1" applyFill="1" applyBorder="1" applyAlignment="1">
      <alignment horizontal="center" vertical="top"/>
    </xf>
    <xf numFmtId="0" fontId="2" fillId="0" borderId="6" xfId="0" applyFont="1" applyBorder="1" applyAlignment="1">
      <alignment horizontal="center" vertical="top"/>
    </xf>
    <xf numFmtId="0" fontId="2" fillId="0" borderId="16" xfId="0" applyFont="1" applyBorder="1" applyAlignment="1">
      <alignment horizontal="center" vertical="top"/>
    </xf>
    <xf numFmtId="0" fontId="2" fillId="0" borderId="1" xfId="0" applyFont="1" applyFill="1" applyBorder="1" applyAlignment="1">
      <alignment horizontal="left" vertical="top"/>
    </xf>
    <xf numFmtId="0" fontId="2" fillId="0" borderId="0" xfId="0" applyFont="1" applyFill="1" applyAlignment="1">
      <alignment horizontal="left" vertical="top"/>
    </xf>
    <xf numFmtId="0" fontId="2" fillId="0" borderId="1" xfId="0" applyFont="1" applyFill="1" applyBorder="1" applyAlignment="1">
      <alignment horizontal="left" vertical="top"/>
    </xf>
    <xf numFmtId="0" fontId="2" fillId="0" borderId="6" xfId="0" applyFont="1" applyFill="1" applyBorder="1" applyAlignment="1">
      <alignment horizontal="left" vertical="top"/>
    </xf>
    <xf numFmtId="0" fontId="2" fillId="0" borderId="6" xfId="0" applyFont="1" applyBorder="1" applyAlignment="1">
      <alignment horizontal="left" vertical="top"/>
    </xf>
    <xf numFmtId="0" fontId="2" fillId="2" borderId="4" xfId="0" applyFont="1" applyFill="1" applyBorder="1" applyAlignment="1">
      <alignment horizontal="left" vertical="top"/>
    </xf>
    <xf numFmtId="0" fontId="5" fillId="0" borderId="5" xfId="0" applyFont="1" applyBorder="1" applyAlignment="1">
      <alignment horizontal="center" vertical="top"/>
    </xf>
    <xf numFmtId="0" fontId="5" fillId="0" borderId="7" xfId="0" applyFont="1" applyBorder="1" applyAlignment="1">
      <alignment horizontal="center" vertical="top"/>
    </xf>
    <xf numFmtId="0" fontId="5" fillId="2" borderId="2" xfId="0" applyFont="1" applyFill="1" applyBorder="1" applyAlignment="1">
      <alignment horizontal="center" vertical="top"/>
    </xf>
    <xf numFmtId="0" fontId="3" fillId="0" borderId="0" xfId="0" applyFont="1" applyBorder="1" applyAlignment="1">
      <alignment horizontal="left" vertical="top"/>
    </xf>
    <xf numFmtId="0" fontId="2" fillId="2" borderId="4" xfId="0" applyFont="1" applyFill="1" applyBorder="1" applyAlignment="1">
      <alignment horizontal="left" vertical="top"/>
    </xf>
    <xf numFmtId="0" fontId="2" fillId="2" borderId="15" xfId="0" applyFont="1" applyFill="1" applyBorder="1" applyAlignment="1">
      <alignment horizontal="center" vertical="top"/>
    </xf>
    <xf numFmtId="0" fontId="5" fillId="0" borderId="5" xfId="0" applyFont="1" applyFill="1" applyBorder="1" applyAlignment="1">
      <alignment horizontal="center" vertical="top"/>
    </xf>
    <xf numFmtId="0" fontId="5" fillId="0" borderId="7" xfId="0" applyFont="1" applyFill="1" applyBorder="1" applyAlignment="1">
      <alignment horizontal="center" vertical="top"/>
    </xf>
    <xf numFmtId="0" fontId="6" fillId="0" borderId="0" xfId="0" applyFont="1" applyAlignment="1">
      <alignment horizontal="left" vertical="top"/>
    </xf>
    <xf numFmtId="0" fontId="2" fillId="0" borderId="0" xfId="0" applyFont="1" applyBorder="1" applyAlignment="1">
      <alignment horizontal="left" vertical="top"/>
    </xf>
    <xf numFmtId="0" fontId="8" fillId="0" borderId="0" xfId="2" applyFont="1"/>
    <xf numFmtId="0" fontId="5" fillId="0" borderId="0" xfId="0" applyFont="1"/>
    <xf numFmtId="0" fontId="2" fillId="0" borderId="6" xfId="0" applyFont="1" applyFill="1" applyBorder="1" applyAlignment="1">
      <alignment horizontal="left" vertical="top"/>
    </xf>
    <xf numFmtId="0" fontId="2" fillId="0" borderId="0" xfId="0" applyFont="1" applyBorder="1" applyAlignment="1">
      <alignment horizontal="left" vertical="top"/>
    </xf>
    <xf numFmtId="0" fontId="10" fillId="0" borderId="0" xfId="0" applyFont="1" applyBorder="1" applyAlignment="1">
      <alignment horizontal="left" vertical="top"/>
    </xf>
    <xf numFmtId="0" fontId="5" fillId="0" borderId="0" xfId="0" applyFont="1" applyAlignment="1">
      <alignment horizontal="right" vertical="top"/>
    </xf>
    <xf numFmtId="0" fontId="3" fillId="0" borderId="5" xfId="0" applyFont="1" applyFill="1" applyBorder="1" applyAlignment="1" applyProtection="1">
      <alignment horizontal="left" vertical="top"/>
      <protection locked="0"/>
    </xf>
    <xf numFmtId="0" fontId="3" fillId="0" borderId="1" xfId="0" applyFont="1" applyFill="1" applyBorder="1" applyAlignment="1" applyProtection="1">
      <alignment horizontal="left" vertical="top"/>
      <protection locked="0"/>
    </xf>
    <xf numFmtId="0" fontId="3" fillId="0" borderId="6" xfId="0" applyFont="1" applyFill="1" applyBorder="1" applyAlignment="1" applyProtection="1">
      <alignment horizontal="left" vertical="top"/>
      <protection locked="0"/>
    </xf>
    <xf numFmtId="0" fontId="3" fillId="0" borderId="5" xfId="0"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0" fontId="3" fillId="0" borderId="6" xfId="0" applyFont="1" applyBorder="1" applyAlignment="1" applyProtection="1">
      <alignment horizontal="left" vertical="top"/>
      <protection locked="0"/>
    </xf>
    <xf numFmtId="0" fontId="3" fillId="0" borderId="7" xfId="0" applyFont="1" applyBorder="1" applyAlignment="1" applyProtection="1">
      <alignment horizontal="left" vertical="top"/>
      <protection locked="0"/>
    </xf>
    <xf numFmtId="0" fontId="3" fillId="0" borderId="8" xfId="0" applyFont="1" applyBorder="1" applyAlignment="1" applyProtection="1">
      <alignment horizontal="left" vertical="top"/>
      <protection locked="0"/>
    </xf>
    <xf numFmtId="0" fontId="3" fillId="0" borderId="9" xfId="0" applyFont="1" applyBorder="1" applyAlignment="1" applyProtection="1">
      <alignment horizontal="left" vertical="top"/>
      <protection locked="0"/>
    </xf>
    <xf numFmtId="0" fontId="3" fillId="0" borderId="1" xfId="0" applyFont="1" applyBorder="1" applyAlignment="1" applyProtection="1">
      <alignment horizontal="left" vertical="top"/>
      <protection locked="0"/>
    </xf>
    <xf numFmtId="49" fontId="3" fillId="0" borderId="1" xfId="0" applyNumberFormat="1" applyFont="1" applyBorder="1" applyAlignment="1" applyProtection="1">
      <alignment horizontal="center" vertical="top"/>
      <protection locked="0"/>
    </xf>
    <xf numFmtId="0" fontId="3" fillId="0" borderId="8" xfId="0" applyFont="1" applyBorder="1" applyAlignment="1" applyProtection="1">
      <alignment horizontal="left" vertical="top"/>
      <protection locked="0"/>
    </xf>
    <xf numFmtId="49" fontId="3" fillId="0" borderId="8" xfId="0" applyNumberFormat="1" applyFont="1" applyBorder="1" applyAlignment="1" applyProtection="1">
      <alignment horizontal="center" vertical="top"/>
      <protection locked="0"/>
    </xf>
    <xf numFmtId="0" fontId="2" fillId="0"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8" xfId="0" applyFont="1" applyBorder="1" applyAlignment="1">
      <alignment horizontal="left" vertical="top" wrapText="1"/>
    </xf>
    <xf numFmtId="0" fontId="2" fillId="0" borderId="13" xfId="0" applyFont="1" applyBorder="1" applyAlignment="1">
      <alignment horizontal="left" vertical="top" wrapText="1"/>
    </xf>
    <xf numFmtId="0" fontId="2" fillId="0" borderId="13" xfId="0" applyFont="1" applyBorder="1" applyAlignment="1">
      <alignment horizontal="left" vertical="top"/>
    </xf>
    <xf numFmtId="0" fontId="2" fillId="0" borderId="14" xfId="0" applyFont="1" applyBorder="1" applyAlignment="1">
      <alignment horizontal="left" vertical="top"/>
    </xf>
    <xf numFmtId="0" fontId="5" fillId="0" borderId="0" xfId="0" applyFont="1" applyAlignment="1">
      <alignment horizontal="left" vertical="top" wrapText="1"/>
    </xf>
    <xf numFmtId="0" fontId="2" fillId="0" borderId="1" xfId="0" applyFont="1" applyBorder="1" applyAlignment="1">
      <alignment horizontal="center"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2" borderId="3" xfId="0" applyFont="1" applyFill="1" applyBorder="1" applyAlignment="1">
      <alignment horizontal="left"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left" vertical="top" wrapText="1"/>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19" xfId="0" applyFont="1" applyFill="1" applyBorder="1" applyAlignment="1">
      <alignment horizontal="center" vertical="top" wrapText="1"/>
    </xf>
    <xf numFmtId="0" fontId="2" fillId="2" borderId="20" xfId="0" applyFont="1" applyFill="1" applyBorder="1" applyAlignment="1">
      <alignment horizontal="left" vertical="top" wrapText="1"/>
    </xf>
    <xf numFmtId="0" fontId="2" fillId="0" borderId="7" xfId="0" applyFont="1" applyBorder="1" applyAlignment="1">
      <alignment horizontal="left" vertical="top" wrapText="1"/>
    </xf>
    <xf numFmtId="0" fontId="5" fillId="0" borderId="8" xfId="0" applyFont="1" applyBorder="1" applyAlignment="1">
      <alignment horizontal="left" vertical="top" wrapText="1"/>
    </xf>
    <xf numFmtId="0" fontId="2" fillId="0" borderId="8" xfId="0" applyFont="1" applyBorder="1" applyAlignment="1">
      <alignment horizontal="center" vertical="top" wrapText="1"/>
    </xf>
    <xf numFmtId="0" fontId="2" fillId="0" borderId="9" xfId="0" applyFont="1" applyBorder="1" applyAlignment="1">
      <alignment horizontal="left" vertical="top" wrapText="1"/>
    </xf>
    <xf numFmtId="0" fontId="2" fillId="0" borderId="17" xfId="0" applyFont="1" applyBorder="1" applyAlignment="1">
      <alignment horizontal="left" vertical="top" wrapText="1"/>
    </xf>
    <xf numFmtId="0" fontId="5" fillId="0" borderId="13" xfId="0" applyFont="1" applyBorder="1" applyAlignment="1">
      <alignment horizontal="left" vertical="top" wrapText="1"/>
    </xf>
    <xf numFmtId="0" fontId="2" fillId="0" borderId="13" xfId="0" applyFont="1" applyBorder="1" applyAlignment="1">
      <alignment horizontal="center" vertical="top" wrapText="1"/>
    </xf>
    <xf numFmtId="0" fontId="2" fillId="0" borderId="14" xfId="0" applyFont="1" applyBorder="1" applyAlignment="1">
      <alignment horizontal="left" vertical="top" wrapText="1"/>
    </xf>
    <xf numFmtId="0" fontId="11" fillId="0" borderId="1" xfId="0" applyFont="1" applyBorder="1" applyAlignment="1">
      <alignment horizontal="center" vertical="top" wrapText="1"/>
    </xf>
    <xf numFmtId="0" fontId="2" fillId="0" borderId="0" xfId="0" applyFont="1" applyAlignment="1" applyProtection="1">
      <alignment horizontal="left" vertical="top"/>
    </xf>
    <xf numFmtId="0" fontId="2" fillId="0" borderId="0" xfId="0" applyFont="1" applyAlignment="1" applyProtection="1">
      <alignment horizontal="center" vertical="top"/>
    </xf>
    <xf numFmtId="0" fontId="6" fillId="0" borderId="0" xfId="0" applyFont="1" applyAlignment="1" applyProtection="1">
      <alignment horizontal="left" vertical="top"/>
    </xf>
    <xf numFmtId="0" fontId="2" fillId="2" borderId="18" xfId="0" applyFont="1" applyFill="1" applyBorder="1" applyAlignment="1" applyProtection="1">
      <alignment horizontal="left" vertical="top" wrapText="1"/>
    </xf>
    <xf numFmtId="0" fontId="2" fillId="2" borderId="19" xfId="0" applyFont="1" applyFill="1" applyBorder="1" applyAlignment="1" applyProtection="1">
      <alignment horizontal="left" vertical="top" wrapText="1"/>
    </xf>
    <xf numFmtId="0" fontId="2" fillId="2" borderId="19" xfId="0" applyFont="1" applyFill="1" applyBorder="1" applyAlignment="1" applyProtection="1">
      <alignment horizontal="center" vertical="top" wrapText="1"/>
    </xf>
    <xf numFmtId="0" fontId="2" fillId="2" borderId="20" xfId="0" applyFont="1" applyFill="1" applyBorder="1" applyAlignment="1" applyProtection="1">
      <alignment horizontal="left" vertical="top" wrapText="1"/>
    </xf>
    <xf numFmtId="0" fontId="2" fillId="2" borderId="2" xfId="0" applyFont="1" applyFill="1" applyBorder="1" applyAlignment="1" applyProtection="1">
      <alignment horizontal="left" vertical="top"/>
    </xf>
    <xf numFmtId="0" fontId="2" fillId="2" borderId="3" xfId="0" applyFont="1" applyFill="1" applyBorder="1" applyAlignment="1" applyProtection="1">
      <alignment horizontal="left" vertical="top" wrapText="1"/>
    </xf>
    <xf numFmtId="0" fontId="2" fillId="2" borderId="3" xfId="0" applyFont="1" applyFill="1" applyBorder="1" applyAlignment="1" applyProtection="1">
      <alignment horizontal="center" vertical="top" wrapText="1"/>
    </xf>
    <xf numFmtId="0" fontId="2" fillId="2" borderId="4" xfId="0" applyFont="1" applyFill="1" applyBorder="1" applyAlignment="1" applyProtection="1">
      <alignment horizontal="left" vertical="top" wrapText="1"/>
    </xf>
    <xf numFmtId="0" fontId="2" fillId="0" borderId="5" xfId="0" applyFont="1" applyBorder="1" applyAlignment="1" applyProtection="1">
      <alignment horizontal="left" vertical="top" wrapText="1"/>
    </xf>
    <xf numFmtId="0" fontId="5" fillId="0" borderId="1" xfId="0" applyFont="1" applyBorder="1" applyAlignment="1" applyProtection="1">
      <alignment horizontal="left" vertical="top" wrapText="1"/>
    </xf>
    <xf numFmtId="0" fontId="2" fillId="0" borderId="1" xfId="0" applyFont="1" applyBorder="1" applyAlignment="1" applyProtection="1">
      <alignment horizontal="center" vertical="top" wrapText="1"/>
    </xf>
    <xf numFmtId="0" fontId="2" fillId="0" borderId="1" xfId="0" applyFont="1" applyBorder="1" applyAlignment="1" applyProtection="1">
      <alignment horizontal="left" vertical="top" wrapText="1"/>
    </xf>
    <xf numFmtId="0" fontId="2" fillId="0" borderId="6" xfId="0" applyFont="1" applyBorder="1" applyAlignment="1" applyProtection="1">
      <alignment horizontal="left" vertical="top" wrapText="1"/>
    </xf>
    <xf numFmtId="0" fontId="3" fillId="0" borderId="1" xfId="0" applyFont="1" applyBorder="1" applyAlignment="1" applyProtection="1">
      <alignment horizontal="center" vertical="top" wrapText="1"/>
    </xf>
    <xf numFmtId="0" fontId="2" fillId="0" borderId="17" xfId="0" applyFont="1" applyBorder="1" applyAlignment="1" applyProtection="1">
      <alignment horizontal="left" vertical="top" wrapText="1"/>
    </xf>
    <xf numFmtId="0" fontId="5" fillId="0" borderId="13" xfId="0" applyFont="1" applyBorder="1" applyAlignment="1" applyProtection="1">
      <alignment horizontal="left" vertical="top" wrapText="1"/>
    </xf>
    <xf numFmtId="0" fontId="2" fillId="0" borderId="13" xfId="0" applyFont="1" applyBorder="1" applyAlignment="1" applyProtection="1">
      <alignment horizontal="center" vertical="top" wrapText="1"/>
    </xf>
    <xf numFmtId="0" fontId="2" fillId="0" borderId="13" xfId="0" applyFont="1" applyBorder="1" applyAlignment="1" applyProtection="1">
      <alignment horizontal="left" vertical="top" wrapText="1"/>
    </xf>
    <xf numFmtId="0" fontId="2" fillId="0" borderId="14" xfId="0" applyFont="1" applyBorder="1" applyAlignment="1" applyProtection="1">
      <alignment horizontal="left" vertical="top" wrapText="1"/>
    </xf>
    <xf numFmtId="0" fontId="2" fillId="0" borderId="7" xfId="0" applyFont="1" applyBorder="1" applyAlignment="1" applyProtection="1">
      <alignment horizontal="left" vertical="top" wrapText="1"/>
    </xf>
    <xf numFmtId="0" fontId="5" fillId="0" borderId="8" xfId="0" applyFont="1" applyBorder="1" applyAlignment="1" applyProtection="1">
      <alignment horizontal="left" vertical="top" wrapText="1"/>
    </xf>
    <xf numFmtId="0" fontId="2" fillId="0" borderId="8" xfId="0" applyFont="1" applyBorder="1" applyAlignment="1" applyProtection="1">
      <alignment horizontal="center" vertical="top" wrapText="1"/>
    </xf>
    <xf numFmtId="0" fontId="2" fillId="0" borderId="8" xfId="0" applyFont="1" applyBorder="1" applyAlignment="1" applyProtection="1">
      <alignment horizontal="left" vertical="top" wrapText="1"/>
    </xf>
    <xf numFmtId="0" fontId="2" fillId="0" borderId="9" xfId="0" applyFont="1" applyBorder="1" applyAlignment="1" applyProtection="1">
      <alignment horizontal="left" vertical="top" wrapText="1"/>
    </xf>
    <xf numFmtId="0" fontId="2" fillId="2" borderId="2" xfId="0" applyFont="1" applyFill="1" applyBorder="1" applyAlignment="1" applyProtection="1">
      <alignment horizontal="left" vertical="top" wrapText="1"/>
    </xf>
    <xf numFmtId="0" fontId="3" fillId="0" borderId="1" xfId="1" applyNumberFormat="1" applyFont="1" applyBorder="1" applyAlignment="1" applyProtection="1">
      <alignment horizontal="center" vertical="top" wrapText="1"/>
    </xf>
    <xf numFmtId="0" fontId="3" fillId="0" borderId="13" xfId="0" applyFont="1" applyBorder="1" applyAlignment="1" applyProtection="1">
      <alignment horizontal="center" vertical="top" wrapText="1"/>
    </xf>
    <xf numFmtId="0" fontId="11" fillId="0" borderId="1" xfId="0" applyFont="1" applyBorder="1" applyAlignment="1" applyProtection="1">
      <alignment horizontal="center" vertical="top" wrapText="1"/>
    </xf>
    <xf numFmtId="0" fontId="2" fillId="2" borderId="10" xfId="0" applyFont="1" applyFill="1" applyBorder="1" applyAlignment="1" applyProtection="1">
      <alignment horizontal="left" vertical="top" wrapText="1"/>
    </xf>
    <xf numFmtId="0" fontId="2" fillId="2" borderId="11" xfId="0" applyFont="1" applyFill="1" applyBorder="1" applyAlignment="1" applyProtection="1">
      <alignment horizontal="left" vertical="top" wrapText="1"/>
    </xf>
    <xf numFmtId="0" fontId="2" fillId="2" borderId="11" xfId="0" applyFont="1" applyFill="1" applyBorder="1" applyAlignment="1" applyProtection="1">
      <alignment horizontal="center" vertical="top" wrapText="1"/>
    </xf>
    <xf numFmtId="0" fontId="2" fillId="2" borderId="12" xfId="0" applyFont="1" applyFill="1" applyBorder="1" applyAlignment="1" applyProtection="1">
      <alignment horizontal="left" vertical="top" wrapText="1"/>
    </xf>
    <xf numFmtId="0" fontId="11" fillId="0" borderId="1" xfId="0" applyNumberFormat="1" applyFont="1" applyBorder="1" applyAlignment="1" applyProtection="1">
      <alignment horizontal="center" vertical="top" wrapText="1"/>
    </xf>
    <xf numFmtId="0" fontId="2" fillId="0" borderId="7" xfId="0" applyFont="1" applyBorder="1" applyAlignment="1" applyProtection="1">
      <alignment horizontal="left" vertical="top"/>
    </xf>
    <xf numFmtId="0" fontId="5" fillId="0" borderId="8" xfId="0" applyFont="1" applyBorder="1" applyAlignment="1" applyProtection="1">
      <alignment horizontal="left" vertical="top"/>
    </xf>
    <xf numFmtId="0" fontId="2" fillId="0" borderId="8" xfId="0" applyFont="1" applyBorder="1" applyAlignment="1" applyProtection="1">
      <alignment horizontal="center" vertical="top"/>
    </xf>
    <xf numFmtId="0" fontId="2" fillId="0" borderId="8" xfId="0" applyFont="1" applyBorder="1" applyAlignment="1" applyProtection="1">
      <alignment horizontal="left" vertical="top"/>
    </xf>
    <xf numFmtId="0" fontId="2" fillId="0" borderId="9" xfId="0" applyFont="1" applyBorder="1" applyAlignment="1" applyProtection="1">
      <alignment horizontal="left" vertical="top"/>
    </xf>
    <xf numFmtId="0" fontId="4" fillId="0" borderId="0" xfId="0" applyFont="1" applyAlignment="1" applyProtection="1">
      <alignment horizontal="left" vertical="top"/>
    </xf>
    <xf numFmtId="0" fontId="2" fillId="2" borderId="4" xfId="0" applyFont="1" applyFill="1" applyBorder="1" applyAlignment="1" applyProtection="1">
      <alignment horizontal="left" vertical="top"/>
    </xf>
    <xf numFmtId="0" fontId="2" fillId="0" borderId="5" xfId="0" applyFont="1" applyBorder="1" applyAlignment="1" applyProtection="1">
      <alignment horizontal="left" vertical="top"/>
    </xf>
    <xf numFmtId="0" fontId="2" fillId="0" borderId="6" xfId="0" applyFont="1" applyBorder="1" applyAlignment="1" applyProtection="1">
      <alignment horizontal="left" vertical="top"/>
    </xf>
    <xf numFmtId="0" fontId="2" fillId="2" borderId="17" xfId="0" applyFont="1" applyFill="1" applyBorder="1" applyAlignment="1" applyProtection="1">
      <alignment horizontal="left" vertical="top"/>
    </xf>
    <xf numFmtId="0" fontId="2" fillId="2" borderId="14" xfId="0" applyFont="1" applyFill="1" applyBorder="1" applyAlignment="1" applyProtection="1">
      <alignment horizontal="left" vertical="top"/>
    </xf>
    <xf numFmtId="0" fontId="2" fillId="0" borderId="2" xfId="0" applyFont="1" applyBorder="1" applyAlignment="1" applyProtection="1">
      <alignment horizontal="left" vertical="top"/>
    </xf>
    <xf numFmtId="0" fontId="2" fillId="0" borderId="4" xfId="0" applyFont="1" applyBorder="1" applyAlignment="1" applyProtection="1">
      <alignment horizontal="left" vertical="top"/>
    </xf>
    <xf numFmtId="0" fontId="2" fillId="0" borderId="0" xfId="0" applyFont="1" applyAlignment="1" applyProtection="1">
      <alignment horizontal="left" vertical="top" wrapText="1"/>
    </xf>
    <xf numFmtId="0" fontId="2" fillId="0" borderId="1" xfId="0" applyFont="1" applyBorder="1" applyAlignment="1" applyProtection="1">
      <alignment horizontal="center" vertical="top"/>
    </xf>
    <xf numFmtId="0" fontId="2" fillId="0" borderId="6" xfId="0" applyFont="1" applyBorder="1" applyAlignment="1" applyProtection="1">
      <alignment horizontal="center" vertical="top"/>
    </xf>
    <xf numFmtId="0" fontId="2" fillId="0" borderId="9" xfId="0" applyFont="1" applyBorder="1" applyAlignment="1" applyProtection="1">
      <alignment horizontal="center" vertical="top"/>
    </xf>
    <xf numFmtId="0" fontId="2" fillId="2" borderId="4" xfId="0" applyFont="1" applyFill="1" applyBorder="1" applyAlignment="1" applyProtection="1">
      <alignment horizontal="center" vertical="top"/>
    </xf>
    <xf numFmtId="0" fontId="2" fillId="2" borderId="3" xfId="0" applyFont="1" applyFill="1" applyBorder="1" applyAlignment="1" applyProtection="1">
      <alignment horizontal="center" vertical="top"/>
    </xf>
    <xf numFmtId="0" fontId="2" fillId="0" borderId="13" xfId="0" applyFont="1" applyBorder="1" applyAlignment="1" applyProtection="1">
      <alignment horizontal="center" vertical="top"/>
    </xf>
    <xf numFmtId="0" fontId="2" fillId="0" borderId="14" xfId="0" applyFont="1" applyBorder="1" applyAlignment="1" applyProtection="1">
      <alignment horizontal="center" vertical="top"/>
    </xf>
    <xf numFmtId="0" fontId="3" fillId="0" borderId="13" xfId="0" applyFont="1" applyBorder="1" applyAlignment="1" applyProtection="1">
      <alignment horizontal="center" vertical="top"/>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rcfdtools/R.DAP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C4DD-D653-4634-8C4F-29057F021A54}">
  <dimension ref="B1:E30"/>
  <sheetViews>
    <sheetView showGridLines="0" zoomScale="130" zoomScaleNormal="130" workbookViewId="0">
      <pane ySplit="3" topLeftCell="A4" activePane="bottomLeft" state="frozen"/>
      <selection pane="bottomLeft" activeCell="C19" sqref="C19"/>
    </sheetView>
  </sheetViews>
  <sheetFormatPr defaultRowHeight="16.5" x14ac:dyDescent="0.45"/>
  <cols>
    <col min="1" max="2" width="2.59765625" style="2" customWidth="1"/>
    <col min="3" max="3" width="40.59765625" style="2" customWidth="1"/>
    <col min="4" max="4" width="14.53125" style="2" customWidth="1"/>
    <col min="5" max="5" width="9.06640625" style="2"/>
    <col min="6" max="6" width="2.59765625" style="2" customWidth="1"/>
    <col min="7" max="16384" width="9.06640625" style="2"/>
  </cols>
  <sheetData>
    <row r="1" spans="2:5" x14ac:dyDescent="0.45">
      <c r="E1" s="40"/>
    </row>
    <row r="2" spans="2:5" x14ac:dyDescent="0.45">
      <c r="B2" s="2" t="s">
        <v>23</v>
      </c>
    </row>
    <row r="3" spans="2:5" x14ac:dyDescent="0.45">
      <c r="B3" s="33" t="s">
        <v>0</v>
      </c>
    </row>
    <row r="4" spans="2:5" ht="16.5" customHeight="1" x14ac:dyDescent="0.45">
      <c r="B4" s="60" t="s">
        <v>41</v>
      </c>
      <c r="C4" s="60"/>
      <c r="D4" s="60"/>
      <c r="E4" s="60"/>
    </row>
    <row r="5" spans="2:5" x14ac:dyDescent="0.45">
      <c r="B5" s="60"/>
      <c r="C5" s="60"/>
      <c r="D5" s="60"/>
      <c r="E5" s="60"/>
    </row>
    <row r="6" spans="2:5" x14ac:dyDescent="0.45">
      <c r="B6" s="60"/>
      <c r="C6" s="60"/>
      <c r="D6" s="60"/>
      <c r="E6" s="60"/>
    </row>
    <row r="8" spans="2:5" x14ac:dyDescent="0.45">
      <c r="B8" s="7" t="s">
        <v>1</v>
      </c>
      <c r="C8" s="8"/>
      <c r="D8" s="8"/>
      <c r="E8" s="29"/>
    </row>
    <row r="9" spans="2:5" x14ac:dyDescent="0.45">
      <c r="B9" s="41" t="s">
        <v>12</v>
      </c>
      <c r="C9" s="42"/>
      <c r="D9" s="42"/>
      <c r="E9" s="43"/>
    </row>
    <row r="10" spans="2:5" x14ac:dyDescent="0.45">
      <c r="B10" s="9" t="s">
        <v>2</v>
      </c>
      <c r="C10" s="10"/>
      <c r="D10" s="10"/>
      <c r="E10" s="11"/>
    </row>
    <row r="11" spans="2:5" x14ac:dyDescent="0.45">
      <c r="B11" s="44" t="s">
        <v>13</v>
      </c>
      <c r="C11" s="45"/>
      <c r="D11" s="45"/>
      <c r="E11" s="46"/>
    </row>
    <row r="12" spans="2:5" x14ac:dyDescent="0.45">
      <c r="B12" s="47"/>
      <c r="C12" s="48"/>
      <c r="D12" s="48"/>
      <c r="E12" s="49"/>
    </row>
    <row r="13" spans="2:5" x14ac:dyDescent="0.45">
      <c r="B13" s="9" t="s">
        <v>21</v>
      </c>
      <c r="C13" s="10"/>
      <c r="D13" s="10"/>
      <c r="E13" s="11"/>
    </row>
    <row r="14" spans="2:5" x14ac:dyDescent="0.45">
      <c r="B14" s="44" t="s">
        <v>19</v>
      </c>
      <c r="C14" s="45"/>
      <c r="D14" s="45"/>
      <c r="E14" s="46"/>
    </row>
    <row r="15" spans="2:5" x14ac:dyDescent="0.45">
      <c r="B15" s="47"/>
      <c r="C15" s="48"/>
      <c r="D15" s="48"/>
      <c r="E15" s="49"/>
    </row>
    <row r="16" spans="2:5" s="38" customFormat="1" x14ac:dyDescent="0.45">
      <c r="B16" s="39" t="s">
        <v>22</v>
      </c>
      <c r="C16" s="39"/>
      <c r="D16" s="39"/>
      <c r="E16" s="39"/>
    </row>
    <row r="17" spans="2:5" s="38" customFormat="1" x14ac:dyDescent="0.45">
      <c r="B17" s="28"/>
      <c r="C17" s="28"/>
      <c r="D17" s="28"/>
      <c r="E17" s="28"/>
    </row>
    <row r="18" spans="2:5" s="38" customFormat="1" x14ac:dyDescent="0.45">
      <c r="B18" s="34" t="s">
        <v>14</v>
      </c>
      <c r="C18" s="34"/>
      <c r="D18" s="34"/>
      <c r="E18" s="34"/>
    </row>
    <row r="19" spans="2:5" x14ac:dyDescent="0.45">
      <c r="B19" s="27" t="s">
        <v>10</v>
      </c>
      <c r="C19" s="13" t="s">
        <v>30</v>
      </c>
      <c r="D19" s="14" t="s">
        <v>29</v>
      </c>
      <c r="E19" s="16" t="s">
        <v>4</v>
      </c>
    </row>
    <row r="20" spans="2:5" x14ac:dyDescent="0.45">
      <c r="B20" s="25">
        <v>1</v>
      </c>
      <c r="C20" s="50" t="s">
        <v>8</v>
      </c>
      <c r="D20" s="51" t="s">
        <v>3</v>
      </c>
      <c r="E20" s="17">
        <f>IFERROR(RIGHT(D20,1)*1,0)</f>
        <v>1</v>
      </c>
    </row>
    <row r="21" spans="2:5" x14ac:dyDescent="0.45">
      <c r="B21" s="25">
        <v>2</v>
      </c>
      <c r="C21" s="50" t="s">
        <v>8</v>
      </c>
      <c r="D21" s="51" t="s">
        <v>5</v>
      </c>
      <c r="E21" s="17">
        <f>IFERROR(RIGHT(D21,1)*1,0)</f>
        <v>4</v>
      </c>
    </row>
    <row r="22" spans="2:5" x14ac:dyDescent="0.45">
      <c r="B22" s="25">
        <v>3</v>
      </c>
      <c r="C22" s="50" t="s">
        <v>8</v>
      </c>
      <c r="D22" s="51" t="s">
        <v>6</v>
      </c>
      <c r="E22" s="17">
        <f>IFERROR(RIGHT(D22,1)*1,0)</f>
        <v>5</v>
      </c>
    </row>
    <row r="23" spans="2:5" x14ac:dyDescent="0.45">
      <c r="B23" s="25">
        <v>4</v>
      </c>
      <c r="C23" s="50" t="s">
        <v>8</v>
      </c>
      <c r="D23" s="51" t="s">
        <v>7</v>
      </c>
      <c r="E23" s="17">
        <f>IFERROR(RIGHT(D23,1)*1,0)</f>
        <v>8</v>
      </c>
    </row>
    <row r="24" spans="2:5" x14ac:dyDescent="0.45">
      <c r="B24" s="25">
        <v>5</v>
      </c>
      <c r="C24" s="50" t="s">
        <v>8</v>
      </c>
      <c r="D24" s="51" t="s">
        <v>9</v>
      </c>
      <c r="E24" s="17">
        <f>IFERROR(RIGHT(D24,1)*1,0)</f>
        <v>9</v>
      </c>
    </row>
    <row r="25" spans="2:5" x14ac:dyDescent="0.45">
      <c r="B25" s="25">
        <v>6</v>
      </c>
      <c r="C25" s="50" t="s">
        <v>8</v>
      </c>
      <c r="D25" s="51"/>
      <c r="E25" s="17">
        <f>IFERROR(RIGHT(D25,1)*1,0)</f>
        <v>0</v>
      </c>
    </row>
    <row r="26" spans="2:5" x14ac:dyDescent="0.45">
      <c r="B26" s="25">
        <v>7</v>
      </c>
      <c r="C26" s="50" t="s">
        <v>8</v>
      </c>
      <c r="D26" s="51"/>
      <c r="E26" s="17">
        <f>IFERROR(RIGHT(D26,1)*1,0)</f>
        <v>0</v>
      </c>
    </row>
    <row r="27" spans="2:5" x14ac:dyDescent="0.45">
      <c r="B27" s="25">
        <v>8</v>
      </c>
      <c r="C27" s="50" t="s">
        <v>8</v>
      </c>
      <c r="D27" s="51"/>
      <c r="E27" s="17">
        <f>IFERROR(RIGHT(D27,1)*1,0)</f>
        <v>0</v>
      </c>
    </row>
    <row r="28" spans="2:5" x14ac:dyDescent="0.45">
      <c r="B28" s="25">
        <v>9</v>
      </c>
      <c r="C28" s="50" t="s">
        <v>8</v>
      </c>
      <c r="D28" s="51"/>
      <c r="E28" s="17">
        <f>IFERROR(RIGHT(D28,1)*1,0)</f>
        <v>0</v>
      </c>
    </row>
    <row r="29" spans="2:5" x14ac:dyDescent="0.45">
      <c r="B29" s="26">
        <v>10</v>
      </c>
      <c r="C29" s="52" t="s">
        <v>8</v>
      </c>
      <c r="D29" s="53"/>
      <c r="E29" s="15">
        <f>IFERROR(RIGHT(D29,1)*1,0)</f>
        <v>0</v>
      </c>
    </row>
    <row r="30" spans="2:5" x14ac:dyDescent="0.45">
      <c r="D30" s="30" t="s">
        <v>11</v>
      </c>
      <c r="E30" s="18">
        <f>SUM(E20:E29)</f>
        <v>27</v>
      </c>
    </row>
  </sheetData>
  <mergeCells count="8">
    <mergeCell ref="B13:E13"/>
    <mergeCell ref="B14:E15"/>
    <mergeCell ref="B4:E6"/>
    <mergeCell ref="B18:E18"/>
    <mergeCell ref="B11:E12"/>
    <mergeCell ref="B10:E10"/>
    <mergeCell ref="B9:E9"/>
    <mergeCell ref="B8:E8"/>
  </mergeCells>
  <pageMargins left="0.7" right="0.7" top="0.75" bottom="0.75" header="0.3" footer="0.3"/>
  <ignoredErrors>
    <ignoredError sqref="D20:D29" numberStoredAsText="1"/>
  </ignoredErrors>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59D4-4937-4491-BD3F-7DBC007EDF85}">
  <dimension ref="B2:H113"/>
  <sheetViews>
    <sheetView showGridLines="0" zoomScale="130" zoomScaleNormal="130" workbookViewId="0">
      <pane ySplit="5" topLeftCell="A90" activePane="bottomLeft" state="frozen"/>
      <selection pane="bottomLeft" activeCell="B23" sqref="B23"/>
    </sheetView>
  </sheetViews>
  <sheetFormatPr defaultRowHeight="16.5" x14ac:dyDescent="0.45"/>
  <cols>
    <col min="1" max="1" width="2.59765625" style="82" customWidth="1"/>
    <col min="2" max="2" width="27.06640625" style="82" customWidth="1"/>
    <col min="3" max="3" width="41" style="82" customWidth="1"/>
    <col min="4" max="6" width="9.19921875" style="83" customWidth="1"/>
    <col min="7" max="7" width="28.53125" style="82" customWidth="1"/>
    <col min="8" max="8" width="14.86328125" style="82" customWidth="1"/>
    <col min="9" max="9" width="2.59765625" style="82" customWidth="1"/>
    <col min="10" max="16384" width="9.06640625" style="82"/>
  </cols>
  <sheetData>
    <row r="2" spans="2:8" x14ac:dyDescent="0.45">
      <c r="B2" s="82" t="s">
        <v>23</v>
      </c>
    </row>
    <row r="3" spans="2:8" x14ac:dyDescent="0.45">
      <c r="B3" s="84" t="s">
        <v>175</v>
      </c>
    </row>
    <row r="5" spans="2:8" x14ac:dyDescent="0.45">
      <c r="B5" s="85" t="s">
        <v>43</v>
      </c>
      <c r="C5" s="86" t="s">
        <v>44</v>
      </c>
      <c r="D5" s="87" t="s">
        <v>55</v>
      </c>
      <c r="E5" s="87" t="s">
        <v>56</v>
      </c>
      <c r="F5" s="87" t="s">
        <v>45</v>
      </c>
      <c r="G5" s="86" t="s">
        <v>27</v>
      </c>
      <c r="H5" s="88" t="s">
        <v>28</v>
      </c>
    </row>
    <row r="6" spans="2:8" x14ac:dyDescent="0.45">
      <c r="B6" s="89" t="s">
        <v>112</v>
      </c>
      <c r="C6" s="90"/>
      <c r="D6" s="91"/>
      <c r="E6" s="91"/>
      <c r="F6" s="91"/>
      <c r="G6" s="90"/>
      <c r="H6" s="92"/>
    </row>
    <row r="7" spans="2:8" x14ac:dyDescent="0.45">
      <c r="B7" s="93" t="s">
        <v>176</v>
      </c>
      <c r="C7" s="94" t="s">
        <v>178</v>
      </c>
      <c r="D7" s="98">
        <v>8</v>
      </c>
      <c r="E7" s="95" t="s">
        <v>60</v>
      </c>
      <c r="F7" s="95"/>
      <c r="G7" s="96"/>
      <c r="H7" s="97"/>
    </row>
    <row r="8" spans="2:8" x14ac:dyDescent="0.45">
      <c r="B8" s="93" t="s">
        <v>177</v>
      </c>
      <c r="C8" s="94" t="s">
        <v>179</v>
      </c>
      <c r="D8" s="98">
        <v>10</v>
      </c>
      <c r="E8" s="95" t="s">
        <v>60</v>
      </c>
      <c r="F8" s="95"/>
      <c r="G8" s="96"/>
      <c r="H8" s="97"/>
    </row>
    <row r="9" spans="2:8" ht="25.5" x14ac:dyDescent="0.45">
      <c r="B9" s="93" t="s">
        <v>182</v>
      </c>
      <c r="C9" s="94" t="s">
        <v>180</v>
      </c>
      <c r="D9" s="95">
        <f>D7+SumUDig</f>
        <v>35</v>
      </c>
      <c r="E9" s="95" t="s">
        <v>60</v>
      </c>
      <c r="F9" s="95"/>
      <c r="G9" s="96"/>
      <c r="H9" s="97"/>
    </row>
    <row r="10" spans="2:8" ht="25.5" x14ac:dyDescent="0.45">
      <c r="B10" s="93" t="s">
        <v>183</v>
      </c>
      <c r="C10" s="94" t="s">
        <v>181</v>
      </c>
      <c r="D10" s="95">
        <f>D8+SumUDig</f>
        <v>37</v>
      </c>
      <c r="E10" s="95" t="s">
        <v>60</v>
      </c>
      <c r="F10" s="95"/>
      <c r="G10" s="96"/>
      <c r="H10" s="97"/>
    </row>
    <row r="11" spans="2:8" x14ac:dyDescent="0.45">
      <c r="B11" s="93" t="s">
        <v>46</v>
      </c>
      <c r="C11" s="94" t="s">
        <v>193</v>
      </c>
      <c r="D11" s="98">
        <v>12</v>
      </c>
      <c r="E11" s="95" t="s">
        <v>60</v>
      </c>
      <c r="F11" s="95"/>
      <c r="G11" s="96"/>
      <c r="H11" s="97"/>
    </row>
    <row r="12" spans="2:8" x14ac:dyDescent="0.45">
      <c r="B12" s="93" t="s">
        <v>67</v>
      </c>
      <c r="C12" s="94" t="s">
        <v>77</v>
      </c>
      <c r="D12" s="98">
        <v>6</v>
      </c>
      <c r="E12" s="95" t="s">
        <v>60</v>
      </c>
      <c r="F12" s="95"/>
      <c r="G12" s="96"/>
      <c r="H12" s="97"/>
    </row>
    <row r="13" spans="2:8" x14ac:dyDescent="0.45">
      <c r="B13" s="93" t="s">
        <v>47</v>
      </c>
      <c r="C13" s="94" t="s">
        <v>76</v>
      </c>
      <c r="D13" s="98">
        <v>12</v>
      </c>
      <c r="E13" s="95" t="s">
        <v>60</v>
      </c>
      <c r="F13" s="95"/>
      <c r="G13" s="96"/>
      <c r="H13" s="97"/>
    </row>
    <row r="14" spans="2:8" ht="25.5" x14ac:dyDescent="0.45">
      <c r="B14" s="93" t="s">
        <v>59</v>
      </c>
      <c r="C14" s="94" t="s">
        <v>68</v>
      </c>
      <c r="D14" s="95">
        <f>D9</f>
        <v>35</v>
      </c>
      <c r="E14" s="95" t="s">
        <v>60</v>
      </c>
      <c r="F14" s="95"/>
      <c r="G14" s="96"/>
      <c r="H14" s="97"/>
    </row>
    <row r="15" spans="2:8" x14ac:dyDescent="0.45">
      <c r="B15" s="93" t="s">
        <v>58</v>
      </c>
      <c r="C15" s="94" t="s">
        <v>66</v>
      </c>
      <c r="D15" s="95">
        <f>D10+D13+D12</f>
        <v>55</v>
      </c>
      <c r="E15" s="95" t="s">
        <v>60</v>
      </c>
      <c r="F15" s="95"/>
      <c r="G15" s="96"/>
      <c r="H15" s="97"/>
    </row>
    <row r="16" spans="2:8" ht="25.5" x14ac:dyDescent="0.45">
      <c r="B16" s="93" t="s">
        <v>57</v>
      </c>
      <c r="C16" s="94" t="s">
        <v>146</v>
      </c>
      <c r="D16" s="95">
        <f>D15*D14</f>
        <v>1925</v>
      </c>
      <c r="E16" s="95" t="s">
        <v>61</v>
      </c>
      <c r="F16" s="95"/>
      <c r="G16" s="96"/>
      <c r="H16" s="97"/>
    </row>
    <row r="17" spans="2:8" x14ac:dyDescent="0.45">
      <c r="B17" s="99" t="s">
        <v>115</v>
      </c>
      <c r="C17" s="100" t="s">
        <v>116</v>
      </c>
      <c r="D17" s="101">
        <f>D31+D29</f>
        <v>1435</v>
      </c>
      <c r="E17" s="95" t="s">
        <v>61</v>
      </c>
      <c r="F17" s="101"/>
      <c r="G17" s="102"/>
      <c r="H17" s="103"/>
    </row>
    <row r="18" spans="2:8" x14ac:dyDescent="0.45">
      <c r="B18" s="99" t="s">
        <v>113</v>
      </c>
      <c r="C18" s="100" t="s">
        <v>147</v>
      </c>
      <c r="D18" s="101">
        <f>D31+D29+D45</f>
        <v>1495</v>
      </c>
      <c r="E18" s="95" t="s">
        <v>61</v>
      </c>
      <c r="F18" s="101"/>
      <c r="G18" s="102"/>
      <c r="H18" s="103"/>
    </row>
    <row r="19" spans="2:8" ht="38.25" x14ac:dyDescent="0.45">
      <c r="B19" s="99" t="s">
        <v>78</v>
      </c>
      <c r="C19" s="100" t="s">
        <v>148</v>
      </c>
      <c r="D19" s="101">
        <f>D17/D16</f>
        <v>0.74545454545454548</v>
      </c>
      <c r="E19" s="101" t="s">
        <v>79</v>
      </c>
      <c r="F19" s="101"/>
      <c r="G19" s="102"/>
      <c r="H19" s="103"/>
    </row>
    <row r="20" spans="2:8" ht="25.5" x14ac:dyDescent="0.45">
      <c r="B20" s="99" t="s">
        <v>114</v>
      </c>
      <c r="C20" s="100" t="s">
        <v>149</v>
      </c>
      <c r="D20" s="101">
        <f>D18/D16</f>
        <v>0.77662337662337666</v>
      </c>
      <c r="E20" s="101" t="s">
        <v>79</v>
      </c>
      <c r="F20" s="101"/>
      <c r="G20" s="102"/>
      <c r="H20" s="103"/>
    </row>
    <row r="21" spans="2:8" x14ac:dyDescent="0.45">
      <c r="B21" s="104"/>
      <c r="C21" s="105"/>
      <c r="D21" s="106"/>
      <c r="E21" s="106"/>
      <c r="F21" s="106"/>
      <c r="G21" s="107"/>
      <c r="H21" s="108"/>
    </row>
    <row r="22" spans="2:8" x14ac:dyDescent="0.45">
      <c r="B22" s="89" t="s">
        <v>227</v>
      </c>
      <c r="C22" s="90"/>
      <c r="D22" s="91"/>
      <c r="E22" s="91"/>
      <c r="F22" s="91"/>
      <c r="G22" s="90"/>
      <c r="H22" s="92"/>
    </row>
    <row r="23" spans="2:8" ht="38.25" x14ac:dyDescent="0.45">
      <c r="B23" s="93" t="s">
        <v>83</v>
      </c>
      <c r="C23" s="94" t="s">
        <v>150</v>
      </c>
      <c r="D23" s="98">
        <v>2</v>
      </c>
      <c r="E23" s="95" t="s">
        <v>60</v>
      </c>
      <c r="F23" s="95"/>
      <c r="G23" s="96"/>
      <c r="H23" s="97"/>
    </row>
    <row r="24" spans="2:8" ht="76.5" x14ac:dyDescent="0.45">
      <c r="B24" s="93" t="s">
        <v>84</v>
      </c>
      <c r="C24" s="94" t="s">
        <v>94</v>
      </c>
      <c r="D24" s="110">
        <v>5</v>
      </c>
      <c r="E24" s="95" t="s">
        <v>80</v>
      </c>
      <c r="F24" s="95"/>
      <c r="G24" s="96"/>
      <c r="H24" s="97"/>
    </row>
    <row r="25" spans="2:8" ht="51" x14ac:dyDescent="0.45">
      <c r="B25" s="93" t="s">
        <v>85</v>
      </c>
      <c r="C25" s="94" t="s">
        <v>82</v>
      </c>
      <c r="D25" s="95">
        <f>ROUND(ATAN(D24/100)*180/PI(),0)</f>
        <v>3</v>
      </c>
      <c r="E25" s="95" t="s">
        <v>81</v>
      </c>
      <c r="F25" s="95"/>
      <c r="G25" s="96"/>
      <c r="H25" s="97"/>
    </row>
    <row r="26" spans="2:8" ht="38.25" x14ac:dyDescent="0.45">
      <c r="B26" s="99" t="s">
        <v>87</v>
      </c>
      <c r="C26" s="100" t="s">
        <v>152</v>
      </c>
      <c r="D26" s="111">
        <v>0.6</v>
      </c>
      <c r="E26" s="101" t="s">
        <v>60</v>
      </c>
      <c r="F26" s="101"/>
      <c r="G26" s="102"/>
      <c r="H26" s="103"/>
    </row>
    <row r="27" spans="2:8" ht="33" x14ac:dyDescent="0.45">
      <c r="B27" s="93" t="s">
        <v>86</v>
      </c>
      <c r="C27" s="94" t="s">
        <v>151</v>
      </c>
      <c r="D27" s="98">
        <v>0.2</v>
      </c>
      <c r="E27" s="95" t="s">
        <v>60</v>
      </c>
      <c r="F27" s="95"/>
      <c r="G27" s="96"/>
      <c r="H27" s="97"/>
    </row>
    <row r="28" spans="2:8" ht="25.5" x14ac:dyDescent="0.45">
      <c r="B28" s="93" t="s">
        <v>153</v>
      </c>
      <c r="C28" s="94" t="s">
        <v>155</v>
      </c>
      <c r="D28" s="98">
        <v>2</v>
      </c>
      <c r="E28" s="95" t="s">
        <v>79</v>
      </c>
      <c r="F28" s="95"/>
      <c r="G28" s="96"/>
      <c r="H28" s="97"/>
    </row>
    <row r="29" spans="2:8" ht="33" x14ac:dyDescent="0.45">
      <c r="B29" s="99" t="s">
        <v>88</v>
      </c>
      <c r="C29" s="100" t="s">
        <v>154</v>
      </c>
      <c r="D29" s="101">
        <f>(D26-D27)*(D10+D23+D23)*D28</f>
        <v>32.799999999999997</v>
      </c>
      <c r="E29" s="95" t="s">
        <v>61</v>
      </c>
      <c r="F29" s="101"/>
      <c r="G29" s="102"/>
      <c r="H29" s="103"/>
    </row>
    <row r="30" spans="2:8" ht="38.25" x14ac:dyDescent="0.45">
      <c r="B30" s="93" t="s">
        <v>156</v>
      </c>
      <c r="C30" s="94" t="s">
        <v>158</v>
      </c>
      <c r="D30" s="95">
        <f>(D9*D10)-D29</f>
        <v>1262.2</v>
      </c>
      <c r="E30" s="95" t="s">
        <v>61</v>
      </c>
      <c r="F30" s="95"/>
      <c r="G30" s="96"/>
      <c r="H30" s="97"/>
    </row>
    <row r="31" spans="2:8" ht="51" x14ac:dyDescent="0.45">
      <c r="B31" s="93" t="s">
        <v>157</v>
      </c>
      <c r="C31" s="94" t="s">
        <v>159</v>
      </c>
      <c r="D31" s="95">
        <f>((D9*D10)+D9*(D23+D23))-D29</f>
        <v>1402.2</v>
      </c>
      <c r="E31" s="95" t="s">
        <v>61</v>
      </c>
      <c r="F31" s="95"/>
      <c r="G31" s="96"/>
      <c r="H31" s="97"/>
    </row>
    <row r="32" spans="2:8" ht="25.5" x14ac:dyDescent="0.45">
      <c r="B32" s="93" t="s">
        <v>89</v>
      </c>
      <c r="C32" s="94" t="s">
        <v>139</v>
      </c>
      <c r="D32" s="98">
        <v>10</v>
      </c>
      <c r="E32" s="95" t="s">
        <v>60</v>
      </c>
      <c r="F32" s="95"/>
      <c r="G32" s="96"/>
      <c r="H32" s="97"/>
    </row>
    <row r="33" spans="2:8" ht="51" x14ac:dyDescent="0.45">
      <c r="B33" s="93" t="s">
        <v>90</v>
      </c>
      <c r="C33" s="94" t="s">
        <v>160</v>
      </c>
      <c r="D33" s="95">
        <f>EVEN(D30/(D32*D32))</f>
        <v>14</v>
      </c>
      <c r="E33" s="95" t="s">
        <v>130</v>
      </c>
      <c r="F33" s="95"/>
      <c r="G33" s="96"/>
      <c r="H33" s="97"/>
    </row>
    <row r="34" spans="2:8" ht="25.5" x14ac:dyDescent="0.45">
      <c r="B34" s="93" t="s">
        <v>91</v>
      </c>
      <c r="C34" s="94" t="s">
        <v>70</v>
      </c>
      <c r="D34" s="98">
        <v>1200</v>
      </c>
      <c r="E34" s="95" t="s">
        <v>71</v>
      </c>
      <c r="F34" s="95"/>
      <c r="G34" s="96"/>
      <c r="H34" s="97"/>
    </row>
    <row r="35" spans="2:8" ht="38.25" x14ac:dyDescent="0.45">
      <c r="B35" s="93" t="s">
        <v>92</v>
      </c>
      <c r="C35" s="94" t="s">
        <v>69</v>
      </c>
      <c r="D35" s="95">
        <f>D34*D34/(1000*1000)</f>
        <v>1.44</v>
      </c>
      <c r="E35" s="95" t="s">
        <v>61</v>
      </c>
      <c r="F35" s="95"/>
      <c r="G35" s="96"/>
      <c r="H35" s="97"/>
    </row>
    <row r="36" spans="2:8" ht="33" x14ac:dyDescent="0.45">
      <c r="B36" s="93" t="s">
        <v>93</v>
      </c>
      <c r="C36" s="94" t="s">
        <v>161</v>
      </c>
      <c r="D36" s="95">
        <f>D33*D35</f>
        <v>20.16</v>
      </c>
      <c r="E36" s="95" t="s">
        <v>61</v>
      </c>
      <c r="F36" s="95"/>
      <c r="G36" s="96"/>
      <c r="H36" s="97"/>
    </row>
    <row r="37" spans="2:8" x14ac:dyDescent="0.45">
      <c r="B37" s="104"/>
      <c r="C37" s="105"/>
      <c r="D37" s="106"/>
      <c r="E37" s="106"/>
      <c r="F37" s="106"/>
      <c r="G37" s="107"/>
      <c r="H37" s="108"/>
    </row>
    <row r="38" spans="2:8" x14ac:dyDescent="0.45">
      <c r="B38" s="109" t="s">
        <v>73</v>
      </c>
      <c r="C38" s="90"/>
      <c r="D38" s="91"/>
      <c r="E38" s="91"/>
      <c r="F38" s="91"/>
      <c r="G38" s="90"/>
      <c r="H38" s="92"/>
    </row>
    <row r="39" spans="2:8" x14ac:dyDescent="0.45">
      <c r="B39" s="93" t="s">
        <v>95</v>
      </c>
      <c r="C39" s="94" t="s">
        <v>99</v>
      </c>
      <c r="D39" s="98">
        <v>1</v>
      </c>
      <c r="E39" s="95" t="s">
        <v>60</v>
      </c>
      <c r="F39" s="95"/>
      <c r="G39" s="96"/>
      <c r="H39" s="97"/>
    </row>
    <row r="40" spans="2:8" ht="25.5" x14ac:dyDescent="0.45">
      <c r="B40" s="93" t="s">
        <v>96</v>
      </c>
      <c r="C40" s="94" t="s">
        <v>100</v>
      </c>
      <c r="D40" s="98">
        <v>15</v>
      </c>
      <c r="E40" s="95" t="s">
        <v>60</v>
      </c>
      <c r="F40" s="95"/>
      <c r="G40" s="96"/>
      <c r="H40" s="97"/>
    </row>
    <row r="41" spans="2:8" ht="25.5" x14ac:dyDescent="0.45">
      <c r="B41" s="93" t="s">
        <v>97</v>
      </c>
      <c r="C41" s="94" t="s">
        <v>101</v>
      </c>
      <c r="D41" s="95">
        <f>D10+(INT(D10/D40)*D9)</f>
        <v>107</v>
      </c>
      <c r="E41" s="95" t="s">
        <v>60</v>
      </c>
      <c r="F41" s="95"/>
      <c r="G41" s="96"/>
      <c r="H41" s="97"/>
    </row>
    <row r="42" spans="2:8" ht="25.5" x14ac:dyDescent="0.45">
      <c r="B42" s="93" t="s">
        <v>98</v>
      </c>
      <c r="C42" s="94" t="s">
        <v>102</v>
      </c>
      <c r="D42" s="95">
        <f>D41*D39</f>
        <v>107</v>
      </c>
      <c r="E42" s="95" t="s">
        <v>61</v>
      </c>
      <c r="F42" s="95"/>
      <c r="G42" s="96"/>
      <c r="H42" s="97"/>
    </row>
    <row r="43" spans="2:8" x14ac:dyDescent="0.45">
      <c r="B43" s="104"/>
      <c r="C43" s="105"/>
      <c r="D43" s="106"/>
      <c r="E43" s="106"/>
      <c r="F43" s="106"/>
      <c r="G43" s="107"/>
      <c r="H43" s="108"/>
    </row>
    <row r="44" spans="2:8" x14ac:dyDescent="0.45">
      <c r="B44" s="109" t="s">
        <v>74</v>
      </c>
      <c r="C44" s="90"/>
      <c r="D44" s="91"/>
      <c r="E44" s="91"/>
      <c r="F44" s="91"/>
      <c r="G44" s="90"/>
      <c r="H44" s="92"/>
    </row>
    <row r="45" spans="2:8" ht="25.5" x14ac:dyDescent="0.45">
      <c r="B45" s="93" t="s">
        <v>48</v>
      </c>
      <c r="C45" s="94" t="s">
        <v>162</v>
      </c>
      <c r="D45" s="98">
        <v>60</v>
      </c>
      <c r="E45" s="95" t="s">
        <v>61</v>
      </c>
      <c r="F45" s="95"/>
      <c r="G45" s="96"/>
      <c r="H45" s="97"/>
    </row>
    <row r="46" spans="2:8" ht="38.25" x14ac:dyDescent="0.45">
      <c r="B46" s="93" t="s">
        <v>49</v>
      </c>
      <c r="C46" s="94" t="s">
        <v>50</v>
      </c>
      <c r="D46" s="98">
        <v>24</v>
      </c>
      <c r="E46" s="95" t="s">
        <v>61</v>
      </c>
      <c r="F46" s="95"/>
      <c r="G46" s="96"/>
      <c r="H46" s="97"/>
    </row>
    <row r="47" spans="2:8" ht="38.25" x14ac:dyDescent="0.45">
      <c r="B47" s="93" t="s">
        <v>103</v>
      </c>
      <c r="C47" s="94" t="s">
        <v>140</v>
      </c>
      <c r="D47" s="98">
        <v>3.9900000000000007</v>
      </c>
      <c r="E47" s="95" t="s">
        <v>60</v>
      </c>
      <c r="F47" s="95"/>
      <c r="G47" s="96"/>
      <c r="H47" s="97"/>
    </row>
    <row r="48" spans="2:8" ht="25.5" x14ac:dyDescent="0.45">
      <c r="B48" s="93" t="s">
        <v>104</v>
      </c>
      <c r="C48" s="94" t="s">
        <v>163</v>
      </c>
      <c r="D48" s="95">
        <f>D45-D53</f>
        <v>52.943999999999996</v>
      </c>
      <c r="E48" s="95" t="s">
        <v>61</v>
      </c>
      <c r="F48" s="95"/>
      <c r="G48" s="96"/>
      <c r="H48" s="97"/>
    </row>
    <row r="49" spans="2:8" ht="25.5" x14ac:dyDescent="0.45">
      <c r="B49" s="93" t="s">
        <v>64</v>
      </c>
      <c r="C49" s="94" t="s">
        <v>63</v>
      </c>
      <c r="D49" s="98">
        <v>28</v>
      </c>
      <c r="E49" s="95" t="s">
        <v>62</v>
      </c>
      <c r="F49" s="95"/>
      <c r="G49" s="96"/>
      <c r="H49" s="97"/>
    </row>
    <row r="50" spans="2:8" ht="25.5" x14ac:dyDescent="0.45">
      <c r="B50" s="93" t="s">
        <v>107</v>
      </c>
      <c r="C50" s="94" t="s">
        <v>65</v>
      </c>
      <c r="D50" s="98">
        <v>19</v>
      </c>
      <c r="E50" s="95" t="s">
        <v>62</v>
      </c>
      <c r="F50" s="95"/>
      <c r="G50" s="96"/>
      <c r="H50" s="97"/>
    </row>
    <row r="51" spans="2:8" ht="25.5" x14ac:dyDescent="0.45">
      <c r="B51" s="93" t="s">
        <v>105</v>
      </c>
      <c r="C51" s="94" t="s">
        <v>106</v>
      </c>
      <c r="D51" s="95">
        <f>D47/(D50/100)</f>
        <v>21.000000000000004</v>
      </c>
      <c r="E51" s="95" t="s">
        <v>56</v>
      </c>
      <c r="F51" s="95"/>
      <c r="G51" s="96"/>
      <c r="H51" s="97"/>
    </row>
    <row r="52" spans="2:8" x14ac:dyDescent="0.45">
      <c r="B52" s="93" t="s">
        <v>108</v>
      </c>
      <c r="C52" s="94" t="s">
        <v>109</v>
      </c>
      <c r="D52" s="98">
        <v>1.2</v>
      </c>
      <c r="E52" s="95" t="s">
        <v>60</v>
      </c>
      <c r="F52" s="95"/>
      <c r="G52" s="96"/>
      <c r="H52" s="97"/>
    </row>
    <row r="53" spans="2:8" ht="25.5" x14ac:dyDescent="0.45">
      <c r="B53" s="93" t="s">
        <v>110</v>
      </c>
      <c r="C53" s="94" t="s">
        <v>111</v>
      </c>
      <c r="D53" s="112">
        <f>D52*D51*(D49/100)</f>
        <v>7.0560000000000018</v>
      </c>
      <c r="E53" s="95" t="s">
        <v>61</v>
      </c>
      <c r="F53" s="95"/>
      <c r="G53" s="96"/>
      <c r="H53" s="97"/>
    </row>
    <row r="54" spans="2:8" ht="89.25" x14ac:dyDescent="0.45">
      <c r="B54" s="93" t="s">
        <v>141</v>
      </c>
      <c r="C54" s="94" t="s">
        <v>205</v>
      </c>
      <c r="D54" s="98">
        <v>6</v>
      </c>
      <c r="E54" s="95" t="s">
        <v>60</v>
      </c>
      <c r="F54" s="95"/>
      <c r="G54" s="96"/>
      <c r="H54" s="97"/>
    </row>
    <row r="55" spans="2:8" ht="102" x14ac:dyDescent="0.45">
      <c r="B55" s="93" t="s">
        <v>142</v>
      </c>
      <c r="C55" s="94" t="s">
        <v>206</v>
      </c>
      <c r="D55" s="98">
        <v>4.5</v>
      </c>
      <c r="E55" s="95" t="s">
        <v>60</v>
      </c>
      <c r="F55" s="95"/>
      <c r="G55" s="96"/>
      <c r="H55" s="97"/>
    </row>
    <row r="56" spans="2:8" x14ac:dyDescent="0.45">
      <c r="B56" s="93" t="s">
        <v>144</v>
      </c>
      <c r="C56" s="94" t="s">
        <v>143</v>
      </c>
      <c r="D56" s="98">
        <v>1.2</v>
      </c>
      <c r="E56" s="95" t="s">
        <v>60</v>
      </c>
      <c r="F56" s="95"/>
      <c r="G56" s="96"/>
      <c r="H56" s="97"/>
    </row>
    <row r="57" spans="2:8" x14ac:dyDescent="0.45">
      <c r="B57" s="93" t="s">
        <v>203</v>
      </c>
      <c r="C57" s="94" t="s">
        <v>204</v>
      </c>
      <c r="D57" s="98">
        <v>2.2999999999999998</v>
      </c>
      <c r="E57" s="95" t="s">
        <v>60</v>
      </c>
      <c r="F57" s="95"/>
      <c r="G57" s="96"/>
      <c r="H57" s="97"/>
    </row>
    <row r="58" spans="2:8" ht="38.25" x14ac:dyDescent="0.45">
      <c r="B58" s="93" t="s">
        <v>145</v>
      </c>
      <c r="C58" s="94" t="s">
        <v>207</v>
      </c>
      <c r="D58" s="98">
        <v>3</v>
      </c>
      <c r="E58" s="95" t="s">
        <v>60</v>
      </c>
      <c r="F58" s="95"/>
      <c r="G58" s="96"/>
      <c r="H58" s="97"/>
    </row>
    <row r="59" spans="2:8" ht="38.25" x14ac:dyDescent="0.45">
      <c r="B59" s="93" t="s">
        <v>202</v>
      </c>
      <c r="C59" s="94" t="s">
        <v>208</v>
      </c>
      <c r="D59" s="98">
        <v>2</v>
      </c>
      <c r="E59" s="95" t="s">
        <v>60</v>
      </c>
      <c r="F59" s="95"/>
      <c r="G59" s="96"/>
      <c r="H59" s="97"/>
    </row>
    <row r="60" spans="2:8" x14ac:dyDescent="0.45">
      <c r="B60" s="104"/>
      <c r="C60" s="105"/>
      <c r="D60" s="106"/>
      <c r="E60" s="106"/>
      <c r="F60" s="106"/>
      <c r="G60" s="107"/>
      <c r="H60" s="108"/>
    </row>
    <row r="61" spans="2:8" x14ac:dyDescent="0.45">
      <c r="B61" s="113" t="s">
        <v>75</v>
      </c>
      <c r="C61" s="114"/>
      <c r="D61" s="115"/>
      <c r="E61" s="115"/>
      <c r="F61" s="115"/>
      <c r="G61" s="114"/>
      <c r="H61" s="116"/>
    </row>
    <row r="62" spans="2:8" ht="38.25" x14ac:dyDescent="0.45">
      <c r="B62" s="93" t="s">
        <v>186</v>
      </c>
      <c r="C62" s="94" t="s">
        <v>118</v>
      </c>
      <c r="D62" s="98">
        <v>40</v>
      </c>
      <c r="E62" s="95" t="s">
        <v>62</v>
      </c>
      <c r="F62" s="95"/>
      <c r="G62" s="96"/>
      <c r="H62" s="97"/>
    </row>
    <row r="63" spans="2:8" ht="25.5" x14ac:dyDescent="0.45">
      <c r="B63" s="93" t="s">
        <v>185</v>
      </c>
      <c r="C63" s="94" t="s">
        <v>187</v>
      </c>
      <c r="D63" s="112">
        <f>D17</f>
        <v>1435</v>
      </c>
      <c r="E63" s="95" t="s">
        <v>61</v>
      </c>
      <c r="F63" s="95"/>
      <c r="G63" s="96"/>
      <c r="H63" s="97"/>
    </row>
    <row r="64" spans="2:8" ht="25.5" x14ac:dyDescent="0.45">
      <c r="B64" s="93" t="s">
        <v>117</v>
      </c>
      <c r="C64" s="94" t="s">
        <v>119</v>
      </c>
      <c r="D64" s="98">
        <v>20</v>
      </c>
      <c r="E64" s="95" t="s">
        <v>62</v>
      </c>
      <c r="F64" s="95"/>
      <c r="G64" s="96"/>
      <c r="H64" s="97"/>
    </row>
    <row r="65" spans="2:8" ht="33" x14ac:dyDescent="0.45">
      <c r="B65" s="93" t="s">
        <v>128</v>
      </c>
      <c r="C65" s="94" t="s">
        <v>121</v>
      </c>
      <c r="D65" s="98">
        <v>6</v>
      </c>
      <c r="E65" s="95" t="s">
        <v>60</v>
      </c>
      <c r="F65" s="95"/>
      <c r="G65" s="96"/>
      <c r="H65" s="97"/>
    </row>
    <row r="66" spans="2:8" ht="38.25" x14ac:dyDescent="0.45">
      <c r="B66" s="93" t="s">
        <v>129</v>
      </c>
      <c r="C66" s="94" t="s">
        <v>164</v>
      </c>
      <c r="D66" s="112">
        <f>ROUND(D9/D65,0)</f>
        <v>6</v>
      </c>
      <c r="E66" s="95" t="s">
        <v>130</v>
      </c>
      <c r="F66" s="95"/>
      <c r="G66" s="96"/>
      <c r="H66" s="97"/>
    </row>
    <row r="67" spans="2:8" ht="38.25" x14ac:dyDescent="0.45">
      <c r="B67" s="93" t="s">
        <v>132</v>
      </c>
      <c r="C67" s="94" t="s">
        <v>165</v>
      </c>
      <c r="D67" s="112">
        <f>ROUND(D10/D65,0)</f>
        <v>6</v>
      </c>
      <c r="E67" s="95" t="s">
        <v>130</v>
      </c>
      <c r="F67" s="95"/>
      <c r="G67" s="96"/>
      <c r="H67" s="97"/>
    </row>
    <row r="68" spans="2:8" x14ac:dyDescent="0.45">
      <c r="B68" s="93" t="s">
        <v>133</v>
      </c>
      <c r="C68" s="94" t="s">
        <v>134</v>
      </c>
      <c r="D68" s="112">
        <f>D67*D66</f>
        <v>36</v>
      </c>
      <c r="E68" s="95" t="s">
        <v>130</v>
      </c>
      <c r="F68" s="95"/>
      <c r="G68" s="96"/>
      <c r="H68" s="97"/>
    </row>
    <row r="69" spans="2:8" ht="51" x14ac:dyDescent="0.45">
      <c r="B69" s="93" t="s">
        <v>120</v>
      </c>
      <c r="C69" s="94" t="s">
        <v>166</v>
      </c>
      <c r="D69" s="98">
        <v>0.3</v>
      </c>
      <c r="E69" s="95" t="s">
        <v>60</v>
      </c>
      <c r="F69" s="95"/>
      <c r="G69" s="96"/>
      <c r="H69" s="97"/>
    </row>
    <row r="70" spans="2:8" ht="51" x14ac:dyDescent="0.45">
      <c r="B70" s="93" t="s">
        <v>122</v>
      </c>
      <c r="C70" s="94" t="s">
        <v>167</v>
      </c>
      <c r="D70" s="98">
        <v>0.4</v>
      </c>
      <c r="E70" s="95" t="s">
        <v>60</v>
      </c>
      <c r="F70" s="95"/>
      <c r="G70" s="96"/>
      <c r="H70" s="97"/>
    </row>
    <row r="71" spans="2:8" ht="38.25" x14ac:dyDescent="0.45">
      <c r="B71" s="93" t="s">
        <v>124</v>
      </c>
      <c r="C71" s="94" t="s">
        <v>126</v>
      </c>
      <c r="D71" s="98">
        <v>0.3</v>
      </c>
      <c r="E71" s="95" t="s">
        <v>60</v>
      </c>
      <c r="F71" s="95"/>
      <c r="G71" s="96"/>
      <c r="H71" s="97"/>
    </row>
    <row r="72" spans="2:8" ht="38.25" x14ac:dyDescent="0.45">
      <c r="B72" s="93" t="s">
        <v>125</v>
      </c>
      <c r="C72" s="94" t="s">
        <v>127</v>
      </c>
      <c r="D72" s="98">
        <v>0.4</v>
      </c>
      <c r="E72" s="95" t="s">
        <v>60</v>
      </c>
      <c r="F72" s="95"/>
      <c r="G72" s="96"/>
      <c r="H72" s="97"/>
    </row>
    <row r="73" spans="2:8" ht="38.25" x14ac:dyDescent="0.45">
      <c r="B73" s="93" t="s">
        <v>135</v>
      </c>
      <c r="C73" s="94" t="s">
        <v>137</v>
      </c>
      <c r="D73" s="117">
        <f>(D9-D69)/D66</f>
        <v>5.7833333333333341</v>
      </c>
      <c r="E73" s="95" t="s">
        <v>60</v>
      </c>
      <c r="F73" s="95"/>
      <c r="G73" s="96"/>
      <c r="H73" s="97"/>
    </row>
    <row r="74" spans="2:8" ht="38.25" x14ac:dyDescent="0.45">
      <c r="B74" s="93" t="s">
        <v>136</v>
      </c>
      <c r="C74" s="94" t="s">
        <v>138</v>
      </c>
      <c r="D74" s="112">
        <f>(D10-D70)/D67</f>
        <v>6.1000000000000005</v>
      </c>
      <c r="E74" s="95" t="s">
        <v>60</v>
      </c>
      <c r="F74" s="95"/>
      <c r="G74" s="96"/>
      <c r="H74" s="97"/>
    </row>
    <row r="75" spans="2:8" x14ac:dyDescent="0.45">
      <c r="B75" s="118"/>
      <c r="C75" s="119"/>
      <c r="D75" s="120"/>
      <c r="E75" s="120"/>
      <c r="F75" s="120"/>
      <c r="G75" s="121"/>
      <c r="H75" s="122"/>
    </row>
    <row r="76" spans="2:8" x14ac:dyDescent="0.45">
      <c r="B76" s="123" t="s">
        <v>123</v>
      </c>
    </row>
    <row r="78" spans="2:8" x14ac:dyDescent="0.45">
      <c r="B78" s="82" t="s">
        <v>131</v>
      </c>
    </row>
    <row r="79" spans="2:8" x14ac:dyDescent="0.45">
      <c r="B79" s="89" t="s">
        <v>168</v>
      </c>
      <c r="C79" s="124" t="s">
        <v>169</v>
      </c>
    </row>
    <row r="80" spans="2:8" x14ac:dyDescent="0.45">
      <c r="B80" s="125" t="s">
        <v>170</v>
      </c>
      <c r="C80" s="126">
        <f>D16</f>
        <v>1925</v>
      </c>
    </row>
    <row r="81" spans="2:5" x14ac:dyDescent="0.45">
      <c r="B81" s="125" t="s">
        <v>173</v>
      </c>
      <c r="C81" s="126">
        <f>D17</f>
        <v>1435</v>
      </c>
    </row>
    <row r="82" spans="2:5" x14ac:dyDescent="0.45">
      <c r="B82" s="125" t="s">
        <v>172</v>
      </c>
      <c r="C82" s="126">
        <f>D45</f>
        <v>60</v>
      </c>
    </row>
    <row r="83" spans="2:5" x14ac:dyDescent="0.45">
      <c r="B83" s="125" t="s">
        <v>52</v>
      </c>
      <c r="C83" s="126">
        <f>D53</f>
        <v>7.0560000000000018</v>
      </c>
    </row>
    <row r="84" spans="2:5" x14ac:dyDescent="0.45">
      <c r="B84" s="125" t="s">
        <v>51</v>
      </c>
      <c r="C84" s="126">
        <f>D48</f>
        <v>52.943999999999996</v>
      </c>
    </row>
    <row r="85" spans="2:5" x14ac:dyDescent="0.45">
      <c r="B85" s="127" t="s">
        <v>171</v>
      </c>
      <c r="C85" s="128">
        <f>D18</f>
        <v>1495</v>
      </c>
    </row>
    <row r="86" spans="2:5" x14ac:dyDescent="0.45">
      <c r="B86" s="129" t="s">
        <v>78</v>
      </c>
      <c r="C86" s="130">
        <f>D19</f>
        <v>0.74545454545454548</v>
      </c>
    </row>
    <row r="87" spans="2:5" x14ac:dyDescent="0.45">
      <c r="B87" s="118" t="s">
        <v>114</v>
      </c>
      <c r="C87" s="122">
        <f>D20</f>
        <v>0.77662337662337666</v>
      </c>
    </row>
    <row r="89" spans="2:5" x14ac:dyDescent="0.45">
      <c r="B89" s="82" t="s">
        <v>184</v>
      </c>
    </row>
    <row r="90" spans="2:5" x14ac:dyDescent="0.45">
      <c r="B90" s="89" t="s">
        <v>168</v>
      </c>
      <c r="C90" s="90" t="s">
        <v>44</v>
      </c>
      <c r="D90" s="136" t="s">
        <v>55</v>
      </c>
      <c r="E90" s="135" t="s">
        <v>56</v>
      </c>
    </row>
    <row r="91" spans="2:5" x14ac:dyDescent="0.45">
      <c r="B91" s="93" t="s">
        <v>189</v>
      </c>
      <c r="C91" s="96" t="s">
        <v>188</v>
      </c>
      <c r="D91" s="132">
        <f>D63</f>
        <v>1435</v>
      </c>
      <c r="E91" s="133" t="s">
        <v>61</v>
      </c>
    </row>
    <row r="92" spans="2:5" ht="33" x14ac:dyDescent="0.45">
      <c r="B92" s="93" t="s">
        <v>190</v>
      </c>
      <c r="C92" s="96" t="s">
        <v>191</v>
      </c>
      <c r="D92" s="132">
        <f>D91*D62</f>
        <v>57400</v>
      </c>
      <c r="E92" s="133" t="s">
        <v>192</v>
      </c>
    </row>
    <row r="93" spans="2:5" x14ac:dyDescent="0.45">
      <c r="B93" s="93" t="s">
        <v>201</v>
      </c>
      <c r="C93" s="96" t="s">
        <v>200</v>
      </c>
      <c r="D93" s="132">
        <f>D48</f>
        <v>52.943999999999996</v>
      </c>
      <c r="E93" s="133" t="s">
        <v>61</v>
      </c>
    </row>
    <row r="94" spans="2:5" x14ac:dyDescent="0.45">
      <c r="B94" s="93" t="s">
        <v>194</v>
      </c>
      <c r="C94" s="96" t="s">
        <v>195</v>
      </c>
      <c r="D94" s="132">
        <f>D68</f>
        <v>36</v>
      </c>
      <c r="E94" s="133" t="s">
        <v>130</v>
      </c>
    </row>
    <row r="95" spans="2:5" ht="33" x14ac:dyDescent="0.45">
      <c r="B95" s="93" t="s">
        <v>196</v>
      </c>
      <c r="C95" s="96" t="s">
        <v>197</v>
      </c>
      <c r="D95" s="132">
        <f>D94*D11</f>
        <v>432</v>
      </c>
      <c r="E95" s="133" t="s">
        <v>60</v>
      </c>
    </row>
    <row r="96" spans="2:5" ht="49.5" x14ac:dyDescent="0.45">
      <c r="B96" s="93" t="s">
        <v>198</v>
      </c>
      <c r="C96" s="96" t="s">
        <v>199</v>
      </c>
      <c r="D96" s="132">
        <f>((D66*D8)+(D67*D7))*INT(D11/D47)</f>
        <v>324</v>
      </c>
      <c r="E96" s="133" t="s">
        <v>60</v>
      </c>
    </row>
    <row r="97" spans="2:5" ht="33" x14ac:dyDescent="0.45">
      <c r="B97" s="99" t="s">
        <v>209</v>
      </c>
      <c r="C97" s="102" t="s">
        <v>212</v>
      </c>
      <c r="D97" s="139" t="s">
        <v>211</v>
      </c>
      <c r="E97" s="133" t="s">
        <v>61</v>
      </c>
    </row>
    <row r="98" spans="2:5" x14ac:dyDescent="0.45">
      <c r="B98" s="99" t="s">
        <v>210</v>
      </c>
      <c r="C98" s="102" t="s">
        <v>213</v>
      </c>
      <c r="D98" s="139">
        <v>2</v>
      </c>
      <c r="E98" s="133" t="s">
        <v>130</v>
      </c>
    </row>
    <row r="99" spans="2:5" ht="49.5" x14ac:dyDescent="0.45">
      <c r="B99" s="99" t="s">
        <v>53</v>
      </c>
      <c r="C99" s="102" t="s">
        <v>214</v>
      </c>
      <c r="D99" s="139" t="s">
        <v>211</v>
      </c>
      <c r="E99" s="133" t="s">
        <v>130</v>
      </c>
    </row>
    <row r="100" spans="2:5" ht="33" x14ac:dyDescent="0.45">
      <c r="B100" s="99" t="s">
        <v>54</v>
      </c>
      <c r="C100" s="102" t="s">
        <v>215</v>
      </c>
      <c r="D100" s="139" t="s">
        <v>211</v>
      </c>
      <c r="E100" s="133" t="s">
        <v>130</v>
      </c>
    </row>
    <row r="101" spans="2:5" x14ac:dyDescent="0.45">
      <c r="B101" s="99"/>
      <c r="C101" s="102"/>
      <c r="D101" s="137"/>
      <c r="E101" s="138"/>
    </row>
    <row r="102" spans="2:5" x14ac:dyDescent="0.45">
      <c r="B102" s="104"/>
      <c r="C102" s="107"/>
      <c r="D102" s="120"/>
      <c r="E102" s="134"/>
    </row>
    <row r="103" spans="2:5" x14ac:dyDescent="0.45">
      <c r="B103" s="131"/>
      <c r="C103" s="131"/>
    </row>
    <row r="104" spans="2:5" x14ac:dyDescent="0.45">
      <c r="B104" s="131"/>
      <c r="C104" s="131"/>
    </row>
    <row r="105" spans="2:5" x14ac:dyDescent="0.45">
      <c r="B105" s="131"/>
      <c r="C105" s="131"/>
    </row>
    <row r="106" spans="2:5" x14ac:dyDescent="0.45">
      <c r="B106" s="131"/>
      <c r="C106" s="131"/>
    </row>
    <row r="107" spans="2:5" x14ac:dyDescent="0.45">
      <c r="B107" s="131"/>
      <c r="C107" s="131"/>
    </row>
    <row r="108" spans="2:5" x14ac:dyDescent="0.45">
      <c r="B108" s="131"/>
      <c r="C108" s="131"/>
    </row>
    <row r="109" spans="2:5" x14ac:dyDescent="0.45">
      <c r="B109" s="131"/>
      <c r="C109" s="131"/>
    </row>
    <row r="110" spans="2:5" x14ac:dyDescent="0.45">
      <c r="B110" s="131"/>
      <c r="C110" s="131"/>
    </row>
    <row r="111" spans="2:5" x14ac:dyDescent="0.45">
      <c r="B111" s="131"/>
      <c r="C111" s="131"/>
    </row>
    <row r="112" spans="2:5" x14ac:dyDescent="0.45">
      <c r="B112" s="131"/>
      <c r="C112" s="131"/>
    </row>
    <row r="113" spans="2:3" x14ac:dyDescent="0.45">
      <c r="B113" s="131"/>
      <c r="C113" s="131"/>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0663E-105D-42EA-893B-DB8B7FE41FC2}">
  <dimension ref="B2:H27"/>
  <sheetViews>
    <sheetView showGridLines="0" tabSelected="1" zoomScale="130" zoomScaleNormal="130" workbookViewId="0">
      <pane ySplit="4" topLeftCell="A14" activePane="bottomLeft" state="frozen"/>
      <selection pane="bottomLeft" activeCell="C26" sqref="C26"/>
    </sheetView>
  </sheetViews>
  <sheetFormatPr defaultRowHeight="14.25" x14ac:dyDescent="0.45"/>
  <cols>
    <col min="1" max="1" width="2.59765625" customWidth="1"/>
    <col min="2" max="2" width="29.1328125" customWidth="1"/>
    <col min="3" max="3" width="51.73046875" customWidth="1"/>
    <col min="4" max="4" width="11.265625" bestFit="1" customWidth="1"/>
    <col min="6" max="6" width="11.59765625" customWidth="1"/>
    <col min="7" max="7" width="35.1328125" customWidth="1"/>
    <col min="8" max="8" width="13.46484375" customWidth="1"/>
  </cols>
  <sheetData>
    <row r="2" spans="2:8" ht="16.5" x14ac:dyDescent="0.45">
      <c r="B2" s="2" t="s">
        <v>23</v>
      </c>
    </row>
    <row r="3" spans="2:8" ht="16.5" x14ac:dyDescent="0.45">
      <c r="B3" s="33" t="s">
        <v>174</v>
      </c>
    </row>
    <row r="4" spans="2:8" ht="16.5" x14ac:dyDescent="0.45">
      <c r="B4" s="69" t="s">
        <v>43</v>
      </c>
      <c r="C4" s="70" t="s">
        <v>44</v>
      </c>
      <c r="D4" s="71" t="s">
        <v>55</v>
      </c>
      <c r="E4" s="71" t="s">
        <v>56</v>
      </c>
      <c r="F4" s="71" t="s">
        <v>45</v>
      </c>
      <c r="G4" s="70" t="s">
        <v>27</v>
      </c>
      <c r="H4" s="72" t="s">
        <v>28</v>
      </c>
    </row>
    <row r="5" spans="2:8" ht="16.5" x14ac:dyDescent="0.45">
      <c r="B5" s="12" t="s">
        <v>72</v>
      </c>
      <c r="C5" s="64"/>
      <c r="D5" s="65"/>
      <c r="E5" s="65"/>
      <c r="F5" s="65"/>
      <c r="G5" s="64"/>
      <c r="H5" s="66"/>
    </row>
    <row r="6" spans="2:8" ht="38.25" x14ac:dyDescent="0.45">
      <c r="B6" s="62" t="s">
        <v>216</v>
      </c>
      <c r="C6" s="67" t="s">
        <v>217</v>
      </c>
      <c r="D6" s="61">
        <v>1</v>
      </c>
      <c r="E6" s="61" t="s">
        <v>130</v>
      </c>
      <c r="F6" s="61"/>
      <c r="G6" s="55"/>
      <c r="H6" s="63"/>
    </row>
    <row r="7" spans="2:8" ht="16.5" x14ac:dyDescent="0.45">
      <c r="B7" s="62"/>
      <c r="C7" s="67"/>
      <c r="D7" s="61"/>
      <c r="E7" s="61"/>
      <c r="F7" s="61"/>
      <c r="G7" s="55"/>
      <c r="H7" s="63"/>
    </row>
    <row r="8" spans="2:8" ht="16.5" x14ac:dyDescent="0.45">
      <c r="B8" s="12" t="s">
        <v>226</v>
      </c>
      <c r="C8" s="64"/>
      <c r="D8" s="65"/>
      <c r="E8" s="65"/>
      <c r="F8" s="65"/>
      <c r="G8" s="64"/>
      <c r="H8" s="66"/>
    </row>
    <row r="9" spans="2:8" ht="25.5" x14ac:dyDescent="0.45">
      <c r="B9" s="62" t="s">
        <v>237</v>
      </c>
      <c r="C9" s="67" t="s">
        <v>245</v>
      </c>
      <c r="D9" s="61">
        <v>1</v>
      </c>
      <c r="E9" s="61" t="s">
        <v>130</v>
      </c>
      <c r="F9" s="61"/>
      <c r="G9" s="55"/>
      <c r="H9" s="63"/>
    </row>
    <row r="10" spans="2:8" ht="16.5" x14ac:dyDescent="0.45">
      <c r="B10" s="62" t="s">
        <v>239</v>
      </c>
      <c r="C10" s="67" t="s">
        <v>242</v>
      </c>
      <c r="D10" s="61">
        <v>1</v>
      </c>
      <c r="E10" s="61" t="s">
        <v>130</v>
      </c>
      <c r="F10" s="61"/>
      <c r="G10" s="55"/>
      <c r="H10" s="63"/>
    </row>
    <row r="11" spans="2:8" ht="16.5" x14ac:dyDescent="0.45">
      <c r="B11" s="62" t="s">
        <v>238</v>
      </c>
      <c r="C11" s="67" t="s">
        <v>242</v>
      </c>
      <c r="D11" s="61">
        <v>1</v>
      </c>
      <c r="E11" s="61" t="s">
        <v>130</v>
      </c>
      <c r="F11" s="61"/>
      <c r="G11" s="55"/>
      <c r="H11" s="63"/>
    </row>
    <row r="12" spans="2:8" ht="25.5" x14ac:dyDescent="0.45">
      <c r="B12" s="62" t="s">
        <v>240</v>
      </c>
      <c r="C12" s="67" t="s">
        <v>246</v>
      </c>
      <c r="D12" s="61">
        <v>1</v>
      </c>
      <c r="E12" s="61" t="s">
        <v>130</v>
      </c>
      <c r="F12" s="61"/>
      <c r="G12" s="55"/>
      <c r="H12" s="63"/>
    </row>
    <row r="13" spans="2:8" ht="25.5" x14ac:dyDescent="0.45">
      <c r="B13" s="77" t="s">
        <v>224</v>
      </c>
      <c r="C13" s="67" t="s">
        <v>243</v>
      </c>
      <c r="D13" s="61">
        <v>1</v>
      </c>
      <c r="E13" s="61" t="s">
        <v>130</v>
      </c>
      <c r="F13" s="79"/>
      <c r="G13" s="57"/>
      <c r="H13" s="80"/>
    </row>
    <row r="14" spans="2:8" ht="16.5" x14ac:dyDescent="0.45">
      <c r="B14" s="77" t="s">
        <v>241</v>
      </c>
      <c r="C14" s="67" t="s">
        <v>244</v>
      </c>
      <c r="D14" s="61">
        <v>1</v>
      </c>
      <c r="E14" s="61" t="s">
        <v>130</v>
      </c>
      <c r="F14" s="79"/>
      <c r="G14" s="57"/>
      <c r="H14" s="80"/>
    </row>
    <row r="15" spans="2:8" ht="16.5" x14ac:dyDescent="0.45">
      <c r="B15" s="62" t="s">
        <v>218</v>
      </c>
      <c r="C15" s="67" t="s">
        <v>222</v>
      </c>
      <c r="D15" s="61">
        <v>1</v>
      </c>
      <c r="E15" s="61" t="s">
        <v>130</v>
      </c>
      <c r="F15" s="61"/>
      <c r="G15" s="55"/>
      <c r="H15" s="63"/>
    </row>
    <row r="16" spans="2:8" ht="16.5" x14ac:dyDescent="0.45">
      <c r="B16" s="62" t="s">
        <v>219</v>
      </c>
      <c r="C16" s="67" t="s">
        <v>222</v>
      </c>
      <c r="D16" s="61">
        <v>1</v>
      </c>
      <c r="E16" s="61" t="s">
        <v>130</v>
      </c>
      <c r="F16" s="61"/>
      <c r="G16" s="55"/>
      <c r="H16" s="63"/>
    </row>
    <row r="17" spans="2:8" ht="16.5" x14ac:dyDescent="0.45">
      <c r="B17" s="77" t="s">
        <v>220</v>
      </c>
      <c r="C17" s="67" t="s">
        <v>222</v>
      </c>
      <c r="D17" s="61">
        <v>1</v>
      </c>
      <c r="E17" s="61" t="s">
        <v>130</v>
      </c>
      <c r="F17" s="79"/>
      <c r="G17" s="57"/>
      <c r="H17" s="80"/>
    </row>
    <row r="18" spans="2:8" ht="16.5" x14ac:dyDescent="0.45">
      <c r="B18" s="77" t="s">
        <v>221</v>
      </c>
      <c r="C18" s="67" t="s">
        <v>222</v>
      </c>
      <c r="D18" s="61">
        <v>1</v>
      </c>
      <c r="E18" s="61" t="s">
        <v>130</v>
      </c>
      <c r="F18" s="79"/>
      <c r="G18" s="57"/>
      <c r="H18" s="80"/>
    </row>
    <row r="19" spans="2:8" ht="16.5" x14ac:dyDescent="0.45">
      <c r="B19" s="77" t="s">
        <v>235</v>
      </c>
      <c r="C19" s="67" t="s">
        <v>222</v>
      </c>
      <c r="D19" s="79">
        <v>1</v>
      </c>
      <c r="E19" s="61" t="s">
        <v>130</v>
      </c>
      <c r="F19" s="79"/>
      <c r="G19" s="57"/>
      <c r="H19" s="80"/>
    </row>
    <row r="20" spans="2:8" ht="16.5" x14ac:dyDescent="0.45">
      <c r="B20" s="77" t="s">
        <v>236</v>
      </c>
      <c r="C20" s="67" t="s">
        <v>222</v>
      </c>
      <c r="D20" s="79">
        <v>1</v>
      </c>
      <c r="E20" s="61" t="s">
        <v>130</v>
      </c>
      <c r="F20" s="79"/>
      <c r="G20" s="57"/>
      <c r="H20" s="80"/>
    </row>
    <row r="21" spans="2:8" ht="16.5" x14ac:dyDescent="0.45">
      <c r="B21" s="77"/>
      <c r="C21" s="78"/>
      <c r="D21" s="79"/>
      <c r="E21" s="79"/>
      <c r="F21" s="79"/>
      <c r="G21" s="57"/>
      <c r="H21" s="80"/>
    </row>
    <row r="22" spans="2:8" ht="16.5" x14ac:dyDescent="0.45">
      <c r="B22" s="12" t="s">
        <v>223</v>
      </c>
      <c r="C22" s="64"/>
      <c r="D22" s="65"/>
      <c r="E22" s="65"/>
      <c r="F22" s="65"/>
      <c r="G22" s="64"/>
      <c r="H22" s="66"/>
    </row>
    <row r="23" spans="2:8" ht="38.25" x14ac:dyDescent="0.45">
      <c r="B23" s="62" t="s">
        <v>225</v>
      </c>
      <c r="C23" s="67" t="s">
        <v>230</v>
      </c>
      <c r="D23" s="81">
        <f>'2.Arquitectónica'!D30-'2.Arquitectónica'!D36-'2.Arquitectónica'!D42</f>
        <v>1135.04</v>
      </c>
      <c r="E23" s="61" t="s">
        <v>61</v>
      </c>
      <c r="F23" s="61"/>
      <c r="G23" s="55"/>
      <c r="H23" s="63"/>
    </row>
    <row r="24" spans="2:8" ht="16.5" x14ac:dyDescent="0.45">
      <c r="B24" s="62" t="s">
        <v>229</v>
      </c>
      <c r="C24" s="67" t="s">
        <v>232</v>
      </c>
      <c r="D24" s="68">
        <v>992</v>
      </c>
      <c r="E24" s="61" t="s">
        <v>71</v>
      </c>
      <c r="F24" s="61"/>
      <c r="G24" s="55"/>
      <c r="H24" s="63"/>
    </row>
    <row r="25" spans="2:8" ht="16.5" x14ac:dyDescent="0.45">
      <c r="B25" s="62" t="s">
        <v>228</v>
      </c>
      <c r="C25" s="67" t="s">
        <v>233</v>
      </c>
      <c r="D25" s="68">
        <v>1950</v>
      </c>
      <c r="E25" s="61" t="s">
        <v>71</v>
      </c>
      <c r="F25" s="61"/>
      <c r="G25" s="55"/>
      <c r="H25" s="63"/>
    </row>
    <row r="26" spans="2:8" ht="51" x14ac:dyDescent="0.45">
      <c r="B26" s="62" t="s">
        <v>231</v>
      </c>
      <c r="C26" s="67" t="s">
        <v>234</v>
      </c>
      <c r="D26" s="61">
        <f>INT(D23/(D24/1000*D25/1000))</f>
        <v>586</v>
      </c>
      <c r="E26" s="61" t="s">
        <v>130</v>
      </c>
      <c r="F26" s="61"/>
      <c r="G26" s="55"/>
      <c r="H26" s="63"/>
    </row>
    <row r="27" spans="2:8" ht="16.5" x14ac:dyDescent="0.45">
      <c r="B27" s="73"/>
      <c r="C27" s="74"/>
      <c r="D27" s="75"/>
      <c r="E27" s="75"/>
      <c r="F27" s="75"/>
      <c r="G27" s="56"/>
      <c r="H27" s="76"/>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6"/>
  <sheetViews>
    <sheetView showGridLines="0" zoomScale="130" zoomScaleNormal="130" workbookViewId="0">
      <pane ySplit="5" topLeftCell="A6" activePane="bottomLeft" state="frozen"/>
      <selection pane="bottomLeft" activeCell="C11" sqref="C11"/>
    </sheetView>
  </sheetViews>
  <sheetFormatPr defaultRowHeight="16.5" x14ac:dyDescent="0.45"/>
  <cols>
    <col min="1" max="2" width="2.59765625" style="2" customWidth="1"/>
    <col min="3" max="3" width="46.6640625" style="2" customWidth="1"/>
    <col min="4" max="4" width="33.46484375" style="2" customWidth="1"/>
    <col min="5" max="5" width="30.3984375" style="2" customWidth="1"/>
    <col min="6" max="6" width="11.59765625" style="2" customWidth="1"/>
    <col min="7" max="16384" width="9.06640625" style="2"/>
  </cols>
  <sheetData>
    <row r="2" spans="2:6" x14ac:dyDescent="0.45">
      <c r="B2" s="3" t="s">
        <v>23</v>
      </c>
      <c r="C2" s="3"/>
      <c r="D2" s="3"/>
      <c r="E2" s="3"/>
      <c r="F2" s="3"/>
    </row>
    <row r="3" spans="2:6" x14ac:dyDescent="0.45">
      <c r="B3" s="3" t="s">
        <v>16</v>
      </c>
      <c r="C3" s="3"/>
      <c r="D3" s="3"/>
      <c r="E3" s="3"/>
      <c r="F3" s="3"/>
    </row>
    <row r="5" spans="2:6" x14ac:dyDescent="0.45">
      <c r="B5" s="27" t="s">
        <v>10</v>
      </c>
      <c r="C5" s="13" t="s">
        <v>17</v>
      </c>
      <c r="D5" s="13" t="s">
        <v>18</v>
      </c>
      <c r="E5" s="13" t="s">
        <v>27</v>
      </c>
      <c r="F5" s="24" t="s">
        <v>28</v>
      </c>
    </row>
    <row r="6" spans="2:6" s="20" customFormat="1" ht="29.25" x14ac:dyDescent="0.45">
      <c r="B6" s="31">
        <v>0</v>
      </c>
      <c r="C6" s="54" t="s">
        <v>39</v>
      </c>
      <c r="D6" s="19" t="s">
        <v>40</v>
      </c>
      <c r="E6" s="19"/>
      <c r="F6" s="22"/>
    </row>
    <row r="7" spans="2:6" s="20" customFormat="1" x14ac:dyDescent="0.45">
      <c r="B7" s="31">
        <v>1</v>
      </c>
      <c r="C7" s="54" t="s">
        <v>20</v>
      </c>
      <c r="D7" s="19" t="s">
        <v>32</v>
      </c>
      <c r="E7" s="19"/>
      <c r="F7" s="22"/>
    </row>
    <row r="8" spans="2:6" s="20" customFormat="1" ht="131.25" x14ac:dyDescent="0.45">
      <c r="B8" s="31">
        <v>2</v>
      </c>
      <c r="C8" s="54" t="s">
        <v>42</v>
      </c>
      <c r="D8" s="19" t="s">
        <v>15</v>
      </c>
      <c r="E8" s="19"/>
      <c r="F8" s="22"/>
    </row>
    <row r="9" spans="2:6" s="20" customFormat="1" ht="42" x14ac:dyDescent="0.45">
      <c r="B9" s="31">
        <v>3</v>
      </c>
      <c r="C9" s="54" t="s">
        <v>36</v>
      </c>
      <c r="D9" s="19" t="s">
        <v>33</v>
      </c>
      <c r="E9" s="21"/>
      <c r="F9" s="37"/>
    </row>
    <row r="10" spans="2:6" s="20" customFormat="1" ht="54.75" x14ac:dyDescent="0.45">
      <c r="B10" s="31">
        <v>4</v>
      </c>
      <c r="C10" s="54" t="s">
        <v>37</v>
      </c>
      <c r="D10" s="19" t="s">
        <v>34</v>
      </c>
      <c r="E10" s="21"/>
      <c r="F10" s="37"/>
    </row>
    <row r="11" spans="2:6" s="20" customFormat="1" ht="29.25" x14ac:dyDescent="0.45">
      <c r="B11" s="31">
        <v>5</v>
      </c>
      <c r="C11" s="54" t="s">
        <v>38</v>
      </c>
      <c r="D11" s="19" t="s">
        <v>35</v>
      </c>
      <c r="E11" s="21"/>
      <c r="F11" s="37"/>
    </row>
    <row r="12" spans="2:6" s="20" customFormat="1" x14ac:dyDescent="0.45">
      <c r="B12" s="31">
        <v>6</v>
      </c>
      <c r="C12" s="54"/>
      <c r="D12" s="19"/>
      <c r="E12" s="19"/>
      <c r="F12" s="22"/>
    </row>
    <row r="13" spans="2:6" x14ac:dyDescent="0.45">
      <c r="B13" s="31">
        <v>7</v>
      </c>
      <c r="C13" s="55"/>
      <c r="D13" s="4"/>
      <c r="E13" s="4"/>
      <c r="F13" s="23"/>
    </row>
    <row r="14" spans="2:6" x14ac:dyDescent="0.45">
      <c r="B14" s="31">
        <v>8</v>
      </c>
      <c r="C14" s="55"/>
      <c r="D14" s="4"/>
      <c r="E14" s="4"/>
      <c r="F14" s="23"/>
    </row>
    <row r="15" spans="2:6" x14ac:dyDescent="0.45">
      <c r="B15" s="31">
        <v>9</v>
      </c>
      <c r="C15" s="55"/>
      <c r="D15" s="4"/>
      <c r="E15" s="4"/>
      <c r="F15" s="23"/>
    </row>
    <row r="16" spans="2:6" x14ac:dyDescent="0.45">
      <c r="B16" s="31">
        <v>10</v>
      </c>
      <c r="C16" s="55"/>
      <c r="D16" s="4"/>
      <c r="E16" s="4"/>
      <c r="F16" s="23"/>
    </row>
    <row r="17" spans="2:6" x14ac:dyDescent="0.45">
      <c r="B17" s="31">
        <v>11</v>
      </c>
      <c r="C17" s="55"/>
      <c r="D17" s="4"/>
      <c r="E17" s="4"/>
      <c r="F17" s="23"/>
    </row>
    <row r="18" spans="2:6" x14ac:dyDescent="0.45">
      <c r="B18" s="31">
        <v>12</v>
      </c>
      <c r="C18" s="55"/>
      <c r="D18" s="4"/>
      <c r="E18" s="4"/>
      <c r="F18" s="23"/>
    </row>
    <row r="19" spans="2:6" x14ac:dyDescent="0.45">
      <c r="B19" s="31">
        <v>13</v>
      </c>
      <c r="C19" s="55"/>
      <c r="D19" s="4"/>
      <c r="E19" s="4"/>
      <c r="F19" s="23"/>
    </row>
    <row r="20" spans="2:6" x14ac:dyDescent="0.45">
      <c r="B20" s="31">
        <v>14</v>
      </c>
      <c r="C20" s="55"/>
      <c r="D20" s="4"/>
      <c r="E20" s="4"/>
      <c r="F20" s="23"/>
    </row>
    <row r="21" spans="2:6" x14ac:dyDescent="0.45">
      <c r="B21" s="31">
        <v>15</v>
      </c>
      <c r="C21" s="55"/>
      <c r="D21" s="4"/>
      <c r="E21" s="4"/>
      <c r="F21" s="23"/>
    </row>
    <row r="22" spans="2:6" x14ac:dyDescent="0.45">
      <c r="B22" s="31">
        <v>16</v>
      </c>
      <c r="C22" s="55"/>
      <c r="D22" s="4"/>
      <c r="E22" s="4"/>
      <c r="F22" s="23"/>
    </row>
    <row r="23" spans="2:6" x14ac:dyDescent="0.45">
      <c r="B23" s="31">
        <v>17</v>
      </c>
      <c r="C23" s="55"/>
      <c r="D23" s="4"/>
      <c r="E23" s="4"/>
      <c r="F23" s="23"/>
    </row>
    <row r="24" spans="2:6" x14ac:dyDescent="0.45">
      <c r="B24" s="31">
        <v>18</v>
      </c>
      <c r="C24" s="55"/>
      <c r="D24" s="4"/>
      <c r="E24" s="4"/>
      <c r="F24" s="23"/>
    </row>
    <row r="25" spans="2:6" x14ac:dyDescent="0.45">
      <c r="B25" s="31">
        <v>19</v>
      </c>
      <c r="C25" s="57"/>
      <c r="D25" s="58"/>
      <c r="E25" s="58"/>
      <c r="F25" s="59"/>
    </row>
    <row r="26" spans="2:6" x14ac:dyDescent="0.45">
      <c r="B26" s="32">
        <v>20</v>
      </c>
      <c r="C26" s="56"/>
      <c r="D26" s="5"/>
      <c r="E26" s="5"/>
      <c r="F26" s="6"/>
    </row>
  </sheetData>
  <mergeCells count="5">
    <mergeCell ref="B3:F3"/>
    <mergeCell ref="B2:F2"/>
    <mergeCell ref="E10:F10"/>
    <mergeCell ref="E11:F11"/>
    <mergeCell ref="E9:F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CBC5-BEDD-4E97-A57A-4EDFE72E7B14}">
  <dimension ref="B1:B4"/>
  <sheetViews>
    <sheetView showGridLines="0" zoomScale="130" zoomScaleNormal="130" workbookViewId="0">
      <pane ySplit="2" topLeftCell="A3" activePane="bottomLeft" state="frozen"/>
      <selection pane="bottomLeft" activeCell="B8" sqref="B8"/>
    </sheetView>
  </sheetViews>
  <sheetFormatPr defaultRowHeight="16.5" x14ac:dyDescent="0.6"/>
  <cols>
    <col min="1" max="1" width="2.59765625" style="1" customWidth="1"/>
    <col min="2" max="2" width="95.3984375" style="1" customWidth="1"/>
    <col min="3" max="16384" width="9.06640625" style="1"/>
  </cols>
  <sheetData>
    <row r="1" spans="2:2" x14ac:dyDescent="0.6">
      <c r="B1" s="40" t="s">
        <v>31</v>
      </c>
    </row>
    <row r="2" spans="2:2" x14ac:dyDescent="0.6">
      <c r="B2" s="1" t="s">
        <v>24</v>
      </c>
    </row>
    <row r="3" spans="2:2" x14ac:dyDescent="0.6">
      <c r="B3" s="35" t="s">
        <v>25</v>
      </c>
    </row>
    <row r="4" spans="2:2" x14ac:dyDescent="0.6">
      <c r="B4" s="36" t="s">
        <v>26</v>
      </c>
    </row>
  </sheetData>
  <hyperlinks>
    <hyperlink ref="B3" r:id="rId1" xr:uid="{FA9D10BB-9570-4A07-A858-45222C95A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1.Técnicas</vt:lpstr>
      <vt:lpstr>2.Arquitectónica</vt:lpstr>
      <vt:lpstr>3.Eléctrica</vt:lpstr>
      <vt:lpstr>Files</vt:lpstr>
      <vt:lpstr>Metadata</vt:lpstr>
      <vt:lpstr>SumUDig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c:creator>
  <cp:lastModifiedBy>WILLIAM RICARDO AGUILAR PIÑA</cp:lastModifiedBy>
  <dcterms:created xsi:type="dcterms:W3CDTF">2015-06-05T18:17:20Z</dcterms:created>
  <dcterms:modified xsi:type="dcterms:W3CDTF">2025-07-24T21:37:12Z</dcterms:modified>
</cp:coreProperties>
</file>