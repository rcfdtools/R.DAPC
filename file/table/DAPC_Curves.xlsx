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8249D70B-3C86-44E4-94F4-1752D4BB91B0}" xr6:coauthVersionLast="47" xr6:coauthVersionMax="47" xr10:uidLastSave="{00000000-0000-0000-0000-000000000000}"/>
  <bookViews>
    <workbookView xWindow="-98" yWindow="-98" windowWidth="28996" windowHeight="15675" tabRatio="684" activeTab="5" xr2:uid="{9A4D6CE6-1E62-441D-8A43-C5F05171BE31}"/>
  </bookViews>
  <sheets>
    <sheet name="ElipseTabla" sheetId="1" r:id="rId1"/>
    <sheet name="ElipseGráfico" sheetId="3" r:id="rId2"/>
    <sheet name="ElipseAutoCAD" sheetId="4" r:id="rId3"/>
    <sheet name="SuperElipseTabla" sheetId="9" r:id="rId4"/>
    <sheet name="SuperElipseAutoCAD" sheetId="10" r:id="rId5"/>
    <sheet name="HiperbolaTabla" sheetId="6" r:id="rId6"/>
    <sheet name="HiperbolaAutoCAD" sheetId="7" r:id="rId7"/>
    <sheet name="Trigonometrica" sheetId="8" r:id="rId8"/>
    <sheet name="PistaAtlDiscoRect" sheetId="11" r:id="rId9"/>
    <sheet name="Metadata" sheetId="5" r:id="rId10"/>
  </sheets>
  <definedNames>
    <definedName name="a_elipse">ElipseTabla!$D$8</definedName>
    <definedName name="a_hiperbola">HiperbolaTabla!$D$8</definedName>
    <definedName name="a_superelipse" localSheetId="3">SuperElipseTabla!$D$7</definedName>
    <definedName name="b_elipse">ElipseTabla!$D$9</definedName>
    <definedName name="b_hiperbola">HiperbolaTabla!$D$9</definedName>
    <definedName name="b_superelipse" localSheetId="3">SuperElipseTabla!$D$8</definedName>
    <definedName name="h_elipse">ElipseTabla!$D$6</definedName>
    <definedName name="h_superelipse" localSheetId="3">SuperElipseTabla!#REF!</definedName>
    <definedName name="k_elipse">ElipseTabla!$D$7</definedName>
    <definedName name="k_superelipse" localSheetId="3">SuperElipseTabla!#REF!</definedName>
    <definedName name="n_superelipse">SuperElipseTabla!$D$6</definedName>
    <definedName name="np_elipse">ElipseTabla!$D$10</definedName>
    <definedName name="np_hiperbola">HiperbolaTabla!$D$10</definedName>
    <definedName name="np_superelipse" localSheetId="3">SuperElipseTabla!$D$9</definedName>
    <definedName name="xend_hiperbola">HiperbolaTabla!$D$7</definedName>
    <definedName name="xstart_hiperbola">HiperbolaTabla!$D$6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C7" i="11"/>
  <c r="C8" i="11"/>
  <c r="C10" i="11" s="1"/>
  <c r="C12" i="9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D11" i="9"/>
  <c r="A2" i="10" s="1"/>
  <c r="C377" i="8"/>
  <c r="E377" i="8" s="1"/>
  <c r="F37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8" i="8"/>
  <c r="F378" i="8" s="1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18" i="8"/>
  <c r="D7" i="6"/>
  <c r="C14" i="6"/>
  <c r="E14" i="6" s="1"/>
  <c r="E14" i="1"/>
  <c r="C14" i="1"/>
  <c r="D11" i="1"/>
  <c r="D12" i="1" s="1"/>
  <c r="E11" i="9" l="1"/>
  <c r="G11" i="9"/>
  <c r="A206" i="10" s="1"/>
  <c r="F11" i="9"/>
  <c r="D372" i="8"/>
  <c r="K373" i="8" s="1"/>
  <c r="H18" i="8"/>
  <c r="O19" i="8" s="1"/>
  <c r="D371" i="8"/>
  <c r="K372" i="8" s="1"/>
  <c r="D363" i="8"/>
  <c r="K364" i="8" s="1"/>
  <c r="D355" i="8"/>
  <c r="K356" i="8" s="1"/>
  <c r="D347" i="8"/>
  <c r="K348" i="8" s="1"/>
  <c r="E291" i="8"/>
  <c r="L292" i="8" s="1"/>
  <c r="G283" i="8"/>
  <c r="N284" i="8" s="1"/>
  <c r="E275" i="8"/>
  <c r="L276" i="8" s="1"/>
  <c r="E259" i="8"/>
  <c r="L260" i="8" s="1"/>
  <c r="E243" i="8"/>
  <c r="L244" i="8" s="1"/>
  <c r="E227" i="8"/>
  <c r="L228" i="8" s="1"/>
  <c r="I123" i="8"/>
  <c r="P124" i="8" s="1"/>
  <c r="H377" i="8"/>
  <c r="O378" i="8" s="1"/>
  <c r="F362" i="8"/>
  <c r="M363" i="8" s="1"/>
  <c r="E330" i="8"/>
  <c r="L331" i="8" s="1"/>
  <c r="I314" i="8"/>
  <c r="P315" i="8" s="1"/>
  <c r="I266" i="8"/>
  <c r="P267" i="8" s="1"/>
  <c r="I194" i="8"/>
  <c r="P195" i="8" s="1"/>
  <c r="H346" i="8"/>
  <c r="O347" i="8" s="1"/>
  <c r="E298" i="8"/>
  <c r="L299" i="8" s="1"/>
  <c r="F369" i="8"/>
  <c r="M370" i="8" s="1"/>
  <c r="F361" i="8"/>
  <c r="M362" i="8" s="1"/>
  <c r="F353" i="8"/>
  <c r="M354" i="8" s="1"/>
  <c r="F345" i="8"/>
  <c r="M346" i="8" s="1"/>
  <c r="D348" i="8"/>
  <c r="K349" i="8" s="1"/>
  <c r="I300" i="8"/>
  <c r="P301" i="8" s="1"/>
  <c r="F370" i="8"/>
  <c r="M371" i="8" s="1"/>
  <c r="H354" i="8"/>
  <c r="O355" i="8" s="1"/>
  <c r="G338" i="8"/>
  <c r="N339" i="8" s="1"/>
  <c r="I322" i="8"/>
  <c r="P323" i="8" s="1"/>
  <c r="E306" i="8"/>
  <c r="L307" i="8" s="1"/>
  <c r="D376" i="8"/>
  <c r="K377" i="8" s="1"/>
  <c r="D360" i="8"/>
  <c r="K361" i="8" s="1"/>
  <c r="D352" i="8"/>
  <c r="K353" i="8" s="1"/>
  <c r="E320" i="8"/>
  <c r="L321" i="8" s="1"/>
  <c r="I304" i="8"/>
  <c r="P305" i="8" s="1"/>
  <c r="G264" i="8"/>
  <c r="N265" i="8" s="1"/>
  <c r="G248" i="8"/>
  <c r="N249" i="8" s="1"/>
  <c r="G232" i="8"/>
  <c r="N233" i="8" s="1"/>
  <c r="E216" i="8"/>
  <c r="L217" i="8" s="1"/>
  <c r="D377" i="8"/>
  <c r="K378" i="8" s="1"/>
  <c r="M378" i="8"/>
  <c r="L378" i="8"/>
  <c r="D364" i="8"/>
  <c r="K365" i="8" s="1"/>
  <c r="E308" i="8"/>
  <c r="L309" i="8" s="1"/>
  <c r="D368" i="8"/>
  <c r="K369" i="8" s="1"/>
  <c r="D344" i="8"/>
  <c r="K345" i="8" s="1"/>
  <c r="E328" i="8"/>
  <c r="L329" i="8" s="1"/>
  <c r="I312" i="8"/>
  <c r="P313" i="8" s="1"/>
  <c r="I375" i="8"/>
  <c r="P376" i="8" s="1"/>
  <c r="D367" i="8"/>
  <c r="K368" i="8" s="1"/>
  <c r="D359" i="8"/>
  <c r="K360" i="8" s="1"/>
  <c r="D351" i="8"/>
  <c r="K352" i="8" s="1"/>
  <c r="D343" i="8"/>
  <c r="K344" i="8" s="1"/>
  <c r="D340" i="8"/>
  <c r="K341" i="8" s="1"/>
  <c r="F374" i="8"/>
  <c r="M375" i="8" s="1"/>
  <c r="F358" i="8"/>
  <c r="M359" i="8" s="1"/>
  <c r="H342" i="8"/>
  <c r="O343" i="8" s="1"/>
  <c r="E310" i="8"/>
  <c r="L311" i="8" s="1"/>
  <c r="E294" i="8"/>
  <c r="L295" i="8" s="1"/>
  <c r="H270" i="8"/>
  <c r="O271" i="8" s="1"/>
  <c r="H254" i="8"/>
  <c r="O255" i="8" s="1"/>
  <c r="H238" i="8"/>
  <c r="O239" i="8" s="1"/>
  <c r="H222" i="8"/>
  <c r="O223" i="8" s="1"/>
  <c r="H206" i="8"/>
  <c r="O207" i="8" s="1"/>
  <c r="H190" i="8"/>
  <c r="O191" i="8" s="1"/>
  <c r="G102" i="8"/>
  <c r="N103" i="8" s="1"/>
  <c r="D356" i="8"/>
  <c r="K357" i="8" s="1"/>
  <c r="F366" i="8"/>
  <c r="M367" i="8" s="1"/>
  <c r="H350" i="8"/>
  <c r="O351" i="8" s="1"/>
  <c r="G334" i="8"/>
  <c r="N335" i="8" s="1"/>
  <c r="H278" i="8"/>
  <c r="O279" i="8" s="1"/>
  <c r="H198" i="8"/>
  <c r="O199" i="8" s="1"/>
  <c r="F373" i="8"/>
  <c r="M374" i="8" s="1"/>
  <c r="F365" i="8"/>
  <c r="M366" i="8" s="1"/>
  <c r="F357" i="8"/>
  <c r="M358" i="8" s="1"/>
  <c r="F349" i="8"/>
  <c r="M350" i="8"/>
  <c r="F341" i="8"/>
  <c r="M342" i="8" s="1"/>
  <c r="E317" i="8"/>
  <c r="L318" i="8" s="1"/>
  <c r="E309" i="8"/>
  <c r="L310" i="8" s="1"/>
  <c r="I377" i="8"/>
  <c r="P378" i="8" s="1"/>
  <c r="G377" i="8"/>
  <c r="N378" i="8" s="1"/>
  <c r="E369" i="8"/>
  <c r="L370" i="8" s="1"/>
  <c r="I354" i="8"/>
  <c r="P355" i="8" s="1"/>
  <c r="E338" i="8"/>
  <c r="L339" i="8" s="1"/>
  <c r="E314" i="8"/>
  <c r="L315" i="8" s="1"/>
  <c r="I368" i="8"/>
  <c r="P369" i="8" s="1"/>
  <c r="G354" i="8"/>
  <c r="N355" i="8" s="1"/>
  <c r="G330" i="8"/>
  <c r="N331" i="8" s="1"/>
  <c r="E365" i="8"/>
  <c r="L366" i="8" s="1"/>
  <c r="I352" i="8"/>
  <c r="P353" i="8" s="1"/>
  <c r="G362" i="8"/>
  <c r="N363" i="8" s="1"/>
  <c r="E352" i="8"/>
  <c r="L353" i="8" s="1"/>
  <c r="E378" i="8"/>
  <c r="E362" i="8"/>
  <c r="L363" i="8" s="1"/>
  <c r="E349" i="8"/>
  <c r="L350" i="8" s="1"/>
  <c r="G373" i="8"/>
  <c r="N374" i="8" s="1"/>
  <c r="E361" i="8"/>
  <c r="L362" i="8" s="1"/>
  <c r="I344" i="8"/>
  <c r="P345" i="8" s="1"/>
  <c r="I298" i="8"/>
  <c r="P299" i="8" s="1"/>
  <c r="I370" i="8"/>
  <c r="P371" i="8" s="1"/>
  <c r="I360" i="8"/>
  <c r="P361" i="8" s="1"/>
  <c r="E344" i="8"/>
  <c r="L345" i="8" s="1"/>
  <c r="H370" i="8"/>
  <c r="O371" i="8" s="1"/>
  <c r="E357" i="8"/>
  <c r="L358" i="8" s="1"/>
  <c r="G280" i="8"/>
  <c r="N281" i="8" s="1"/>
  <c r="D335" i="8"/>
  <c r="K336" i="8" s="1"/>
  <c r="F292" i="8"/>
  <c r="M293" i="8" s="1"/>
  <c r="D339" i="8"/>
  <c r="K340" i="8" s="1"/>
  <c r="D307" i="8"/>
  <c r="K308" i="8" s="1"/>
  <c r="G363" i="8"/>
  <c r="N364" i="8" s="1"/>
  <c r="H338" i="8"/>
  <c r="O339" i="8" s="1"/>
  <c r="H330" i="8"/>
  <c r="O331" i="8" s="1"/>
  <c r="H322" i="8"/>
  <c r="O323" i="8" s="1"/>
  <c r="H314" i="8"/>
  <c r="O315" i="8" s="1"/>
  <c r="H306" i="8"/>
  <c r="O307" i="8" s="1"/>
  <c r="H298" i="8"/>
  <c r="O299" i="8" s="1"/>
  <c r="G290" i="8"/>
  <c r="N291" i="8" s="1"/>
  <c r="G282" i="8"/>
  <c r="N283" i="8" s="1"/>
  <c r="G274" i="8"/>
  <c r="N275" i="8" s="1"/>
  <c r="E266" i="8"/>
  <c r="L267" i="8" s="1"/>
  <c r="F258" i="8"/>
  <c r="M259" i="8" s="1"/>
  <c r="F250" i="8"/>
  <c r="M251" i="8" s="1"/>
  <c r="F242" i="8"/>
  <c r="M243" i="8" s="1"/>
  <c r="F234" i="8"/>
  <c r="M235" i="8" s="1"/>
  <c r="F226" i="8"/>
  <c r="M227" i="8" s="1"/>
  <c r="F218" i="8"/>
  <c r="M219" i="8" s="1"/>
  <c r="I210" i="8"/>
  <c r="P211" i="8" s="1"/>
  <c r="H194" i="8"/>
  <c r="O195" i="8" s="1"/>
  <c r="H186" i="8"/>
  <c r="O187" i="8" s="1"/>
  <c r="E178" i="8"/>
  <c r="L179" i="8" s="1"/>
  <c r="I376" i="8"/>
  <c r="P377" i="8" s="1"/>
  <c r="E373" i="8"/>
  <c r="L374" i="8" s="1"/>
  <c r="G370" i="8"/>
  <c r="N371" i="8" s="1"/>
  <c r="G366" i="8"/>
  <c r="N367" i="8" s="1"/>
  <c r="F363" i="8"/>
  <c r="M364" i="8" s="1"/>
  <c r="E360" i="8"/>
  <c r="L361" i="8" s="1"/>
  <c r="E356" i="8"/>
  <c r="L357" i="8" s="1"/>
  <c r="I350" i="8"/>
  <c r="P351" i="8" s="1"/>
  <c r="I346" i="8"/>
  <c r="P347" i="8" s="1"/>
  <c r="E341" i="8"/>
  <c r="L342" i="8" s="1"/>
  <c r="I336" i="8"/>
  <c r="P337" i="8" s="1"/>
  <c r="I331" i="8"/>
  <c r="P332" i="8" s="1"/>
  <c r="G326" i="8"/>
  <c r="N327" i="8" s="1"/>
  <c r="G322" i="8"/>
  <c r="N323" i="8" s="1"/>
  <c r="I316" i="8"/>
  <c r="P317" i="8" s="1"/>
  <c r="E312" i="8"/>
  <c r="L313" i="8" s="1"/>
  <c r="G307" i="8"/>
  <c r="N308" i="8" s="1"/>
  <c r="G294" i="8"/>
  <c r="N295" i="8" s="1"/>
  <c r="D324" i="8"/>
  <c r="K325" i="8" s="1"/>
  <c r="D300" i="8"/>
  <c r="K301" i="8" s="1"/>
  <c r="D323" i="8"/>
  <c r="K324" i="8" s="1"/>
  <c r="D299" i="8"/>
  <c r="K300" i="8" s="1"/>
  <c r="I139" i="8"/>
  <c r="P140" i="8" s="1"/>
  <c r="I107" i="8"/>
  <c r="P108" i="8" s="1"/>
  <c r="I356" i="8"/>
  <c r="P357" i="8" s="1"/>
  <c r="F337" i="8"/>
  <c r="M338" i="8" s="1"/>
  <c r="F329" i="8"/>
  <c r="M330" i="8" s="1"/>
  <c r="F321" i="8"/>
  <c r="M322" i="8" s="1"/>
  <c r="F313" i="8"/>
  <c r="M314" i="8" s="1"/>
  <c r="F305" i="8"/>
  <c r="M306" i="8" s="1"/>
  <c r="F297" i="8"/>
  <c r="M298" i="8" s="1"/>
  <c r="D289" i="8"/>
  <c r="K290" i="8" s="1"/>
  <c r="D281" i="8"/>
  <c r="K282" i="8" s="1"/>
  <c r="D273" i="8"/>
  <c r="K274" i="8" s="1"/>
  <c r="F265" i="8"/>
  <c r="M266" i="8" s="1"/>
  <c r="G257" i="8"/>
  <c r="N258" i="8" s="1"/>
  <c r="F249" i="8"/>
  <c r="M250" i="8" s="1"/>
  <c r="G241" i="8"/>
  <c r="N242" i="8" s="1"/>
  <c r="F233" i="8"/>
  <c r="M234" i="8" s="1"/>
  <c r="G225" i="8"/>
  <c r="N226" i="8" s="1"/>
  <c r="F217" i="8"/>
  <c r="M218" i="8" s="1"/>
  <c r="F209" i="8"/>
  <c r="M210" i="8" s="1"/>
  <c r="F201" i="8"/>
  <c r="M202" i="8" s="1"/>
  <c r="F193" i="8"/>
  <c r="M194" i="8" s="1"/>
  <c r="F185" i="8"/>
  <c r="M186" i="8" s="1"/>
  <c r="E145" i="8"/>
  <c r="L146" i="8" s="1"/>
  <c r="E129" i="8"/>
  <c r="L130" i="8" s="1"/>
  <c r="E113" i="8"/>
  <c r="L114" i="8" s="1"/>
  <c r="E97" i="8"/>
  <c r="L98" i="8" s="1"/>
  <c r="E81" i="8"/>
  <c r="L82" i="8" s="1"/>
  <c r="E376" i="8"/>
  <c r="L377" i="8" s="1"/>
  <c r="I372" i="8"/>
  <c r="P373" i="8" s="1"/>
  <c r="E370" i="8"/>
  <c r="L371" i="8" s="1"/>
  <c r="E366" i="8"/>
  <c r="L367" i="8" s="1"/>
  <c r="I362" i="8"/>
  <c r="P363" i="8" s="1"/>
  <c r="I358" i="8"/>
  <c r="P359" i="8" s="1"/>
  <c r="I355" i="8"/>
  <c r="P356" i="8" s="1"/>
  <c r="G350" i="8"/>
  <c r="N351" i="8" s="1"/>
  <c r="G346" i="8"/>
  <c r="N347" i="8" s="1"/>
  <c r="I340" i="8"/>
  <c r="P341" i="8" s="1"/>
  <c r="E336" i="8"/>
  <c r="L337" i="8" s="1"/>
  <c r="G331" i="8"/>
  <c r="N332" i="8" s="1"/>
  <c r="E326" i="8"/>
  <c r="L327" i="8" s="1"/>
  <c r="E322" i="8"/>
  <c r="L323" i="8" s="1"/>
  <c r="E316" i="8"/>
  <c r="L317" i="8" s="1"/>
  <c r="I310" i="8"/>
  <c r="P311" i="8" s="1"/>
  <c r="I306" i="8"/>
  <c r="P307" i="8" s="1"/>
  <c r="E300" i="8"/>
  <c r="L301" i="8" s="1"/>
  <c r="H282" i="8"/>
  <c r="O283" i="8" s="1"/>
  <c r="H274" i="8"/>
  <c r="O275" i="8" s="1"/>
  <c r="H258" i="8"/>
  <c r="O259" i="8" s="1"/>
  <c r="H242" i="8"/>
  <c r="O243" i="8" s="1"/>
  <c r="H226" i="8"/>
  <c r="O227" i="8" s="1"/>
  <c r="I202" i="8"/>
  <c r="P203" i="8" s="1"/>
  <c r="D327" i="8"/>
  <c r="K328" i="8" s="1"/>
  <c r="D332" i="8"/>
  <c r="K333" i="8" s="1"/>
  <c r="F284" i="8"/>
  <c r="M285" i="8" s="1"/>
  <c r="D315" i="8"/>
  <c r="K316" i="8" s="1"/>
  <c r="F283" i="8"/>
  <c r="M284" i="8" s="1"/>
  <c r="E187" i="8"/>
  <c r="L188" i="8" s="1"/>
  <c r="D336" i="8"/>
  <c r="K337" i="8" s="1"/>
  <c r="D328" i="8"/>
  <c r="K329" i="8" s="1"/>
  <c r="D320" i="8"/>
  <c r="K321" i="8" s="1"/>
  <c r="D312" i="8"/>
  <c r="K313" i="8" s="1"/>
  <c r="D304" i="8"/>
  <c r="K305" i="8" s="1"/>
  <c r="D296" i="8"/>
  <c r="K297" i="8" s="1"/>
  <c r="F288" i="8"/>
  <c r="M289" i="8" s="1"/>
  <c r="F280" i="8"/>
  <c r="M281" i="8" s="1"/>
  <c r="D272" i="8"/>
  <c r="K273" i="8" s="1"/>
  <c r="D264" i="8"/>
  <c r="K265" i="8" s="1"/>
  <c r="D256" i="8"/>
  <c r="K257" i="8" s="1"/>
  <c r="D248" i="8"/>
  <c r="K249" i="8" s="1"/>
  <c r="D240" i="8"/>
  <c r="K241" i="8" s="1"/>
  <c r="D232" i="8"/>
  <c r="K233" i="8" s="1"/>
  <c r="D224" i="8"/>
  <c r="K225" i="8" s="1"/>
  <c r="D216" i="8"/>
  <c r="K217" i="8" s="1"/>
  <c r="D208" i="8"/>
  <c r="K209" i="8" s="1"/>
  <c r="D200" i="8"/>
  <c r="K201" i="8" s="1"/>
  <c r="E192" i="8"/>
  <c r="L193" i="8" s="1"/>
  <c r="D184" i="8"/>
  <c r="K185" i="8" s="1"/>
  <c r="I374" i="8"/>
  <c r="P375" i="8" s="1"/>
  <c r="E372" i="8"/>
  <c r="L373" i="8" s="1"/>
  <c r="D370" i="8"/>
  <c r="K371" i="8" s="1"/>
  <c r="D366" i="8"/>
  <c r="K367" i="8" s="1"/>
  <c r="H362" i="8"/>
  <c r="O363" i="8" s="1"/>
  <c r="H358" i="8"/>
  <c r="O359" i="8" s="1"/>
  <c r="G355" i="8"/>
  <c r="N356" i="8" s="1"/>
  <c r="E350" i="8"/>
  <c r="L351" i="8" s="1"/>
  <c r="E346" i="8"/>
  <c r="L347" i="8" s="1"/>
  <c r="E340" i="8"/>
  <c r="L341" i="8" s="1"/>
  <c r="I334" i="8"/>
  <c r="P335" i="8" s="1"/>
  <c r="I330" i="8"/>
  <c r="P331" i="8" s="1"/>
  <c r="E325" i="8"/>
  <c r="L326" i="8" s="1"/>
  <c r="I320" i="8"/>
  <c r="P321" i="8" s="1"/>
  <c r="I315" i="8"/>
  <c r="P316" i="8" s="1"/>
  <c r="G310" i="8"/>
  <c r="N311" i="8" s="1"/>
  <c r="G306" i="8"/>
  <c r="N307" i="8" s="1"/>
  <c r="I299" i="8"/>
  <c r="P300" i="8" s="1"/>
  <c r="I292" i="8"/>
  <c r="P293" i="8" s="1"/>
  <c r="E282" i="8"/>
  <c r="L283" i="8" s="1"/>
  <c r="G256" i="8"/>
  <c r="N257" i="8" s="1"/>
  <c r="G240" i="8"/>
  <c r="N241" i="8" s="1"/>
  <c r="G224" i="8"/>
  <c r="N225" i="8" s="1"/>
  <c r="D319" i="8"/>
  <c r="K320" i="8" s="1"/>
  <c r="D311" i="8"/>
  <c r="K312" i="8" s="1"/>
  <c r="D295" i="8"/>
  <c r="K296" i="8" s="1"/>
  <c r="E271" i="8"/>
  <c r="L272" i="8" s="1"/>
  <c r="E255" i="8"/>
  <c r="L256" i="8" s="1"/>
  <c r="E247" i="8"/>
  <c r="L248" i="8" s="1"/>
  <c r="E223" i="8"/>
  <c r="L224" i="8" s="1"/>
  <c r="E215" i="8"/>
  <c r="L216" i="8" s="1"/>
  <c r="H374" i="8"/>
  <c r="O375" i="8" s="1"/>
  <c r="I371" i="8"/>
  <c r="P372" i="8" s="1"/>
  <c r="G358" i="8"/>
  <c r="N359" i="8" s="1"/>
  <c r="I339" i="8"/>
  <c r="P340" i="8" s="1"/>
  <c r="I324" i="8"/>
  <c r="P325" i="8" s="1"/>
  <c r="G315" i="8"/>
  <c r="N316" i="8" s="1"/>
  <c r="G299" i="8"/>
  <c r="N300" i="8" s="1"/>
  <c r="G291" i="8"/>
  <c r="N292" i="8" s="1"/>
  <c r="G267" i="8"/>
  <c r="N268" i="8" s="1"/>
  <c r="D303" i="8"/>
  <c r="K304" i="8" s="1"/>
  <c r="H334" i="8"/>
  <c r="O335" i="8" s="1"/>
  <c r="H318" i="8"/>
  <c r="O319" i="8" s="1"/>
  <c r="H302" i="8"/>
  <c r="O303" i="8" s="1"/>
  <c r="G286" i="8"/>
  <c r="N287" i="8" s="1"/>
  <c r="G374" i="8"/>
  <c r="N375" i="8" s="1"/>
  <c r="I364" i="8"/>
  <c r="P365" i="8" s="1"/>
  <c r="E358" i="8"/>
  <c r="L359" i="8" s="1"/>
  <c r="I348" i="8"/>
  <c r="P349" i="8" s="1"/>
  <c r="G339" i="8"/>
  <c r="N340" i="8" s="1"/>
  <c r="E324" i="8"/>
  <c r="L325" i="8" s="1"/>
  <c r="I318" i="8"/>
  <c r="P319" i="8" s="1"/>
  <c r="E251" i="8"/>
  <c r="L252" i="8" s="1"/>
  <c r="E235" i="8"/>
  <c r="L236" i="8" s="1"/>
  <c r="E219" i="8"/>
  <c r="L220" i="8" s="1"/>
  <c r="H326" i="8"/>
  <c r="O327" i="8" s="1"/>
  <c r="H310" i="8"/>
  <c r="O311" i="8" s="1"/>
  <c r="H294" i="8"/>
  <c r="O295" i="8" s="1"/>
  <c r="G278" i="8"/>
  <c r="N279" i="8" s="1"/>
  <c r="G371" i="8"/>
  <c r="N372" i="8" s="1"/>
  <c r="E334" i="8"/>
  <c r="L335" i="8" s="1"/>
  <c r="F333" i="8"/>
  <c r="M334" i="8" s="1"/>
  <c r="F325" i="8"/>
  <c r="M326" i="8" s="1"/>
  <c r="F317" i="8"/>
  <c r="M318" i="8" s="1"/>
  <c r="F309" i="8"/>
  <c r="M310" i="8" s="1"/>
  <c r="F301" i="8"/>
  <c r="M302" i="8" s="1"/>
  <c r="I293" i="8"/>
  <c r="P294" i="8" s="1"/>
  <c r="F285" i="8"/>
  <c r="M286" i="8" s="1"/>
  <c r="D269" i="8"/>
  <c r="K270" i="8" s="1"/>
  <c r="D261" i="8"/>
  <c r="K262" i="8" s="1"/>
  <c r="G253" i="8"/>
  <c r="N254" i="8" s="1"/>
  <c r="F245" i="8"/>
  <c r="M246" i="8" s="1"/>
  <c r="D237" i="8"/>
  <c r="K238" i="8" s="1"/>
  <c r="G229" i="8"/>
  <c r="N230" i="8" s="1"/>
  <c r="D221" i="8"/>
  <c r="K222" i="8" s="1"/>
  <c r="F205" i="8"/>
  <c r="M206" i="8" s="1"/>
  <c r="I197" i="8"/>
  <c r="P198" i="8" s="1"/>
  <c r="G189" i="8"/>
  <c r="N190" i="8" s="1"/>
  <c r="F181" i="8"/>
  <c r="M182" i="8" s="1"/>
  <c r="E374" i="8"/>
  <c r="L375" i="8" s="1"/>
  <c r="F371" i="8"/>
  <c r="M372" i="8" s="1"/>
  <c r="E368" i="8"/>
  <c r="L369" i="8" s="1"/>
  <c r="E364" i="8"/>
  <c r="L365" i="8" s="1"/>
  <c r="D362" i="8"/>
  <c r="K363" i="8" s="1"/>
  <c r="D358" i="8"/>
  <c r="K359" i="8" s="1"/>
  <c r="E354" i="8"/>
  <c r="L355" i="8" s="1"/>
  <c r="E348" i="8"/>
  <c r="L349" i="8" s="1"/>
  <c r="I342" i="8"/>
  <c r="P343" i="8" s="1"/>
  <c r="I338" i="8"/>
  <c r="P339" i="8" s="1"/>
  <c r="E333" i="8"/>
  <c r="L334" i="8" s="1"/>
  <c r="I328" i="8"/>
  <c r="P329" i="8" s="1"/>
  <c r="I323" i="8"/>
  <c r="P324" i="8" s="1"/>
  <c r="G318" i="8"/>
  <c r="N319" i="8" s="1"/>
  <c r="G314" i="8"/>
  <c r="N315" i="8" s="1"/>
  <c r="I308" i="8"/>
  <c r="P309" i="8" s="1"/>
  <c r="I302" i="8"/>
  <c r="P303" i="8" s="1"/>
  <c r="G298" i="8"/>
  <c r="N299" i="8" s="1"/>
  <c r="H290" i="8"/>
  <c r="O291" i="8" s="1"/>
  <c r="E278" i="8"/>
  <c r="L279" i="8" s="1"/>
  <c r="F266" i="8"/>
  <c r="M267" i="8" s="1"/>
  <c r="H250" i="8"/>
  <c r="O251" i="8" s="1"/>
  <c r="H234" i="8"/>
  <c r="O235" i="8" s="1"/>
  <c r="H218" i="8"/>
  <c r="O219" i="8" s="1"/>
  <c r="I186" i="8"/>
  <c r="P187" i="8" s="1"/>
  <c r="D316" i="8"/>
  <c r="K317" i="8" s="1"/>
  <c r="F276" i="8"/>
  <c r="M277" i="8" s="1"/>
  <c r="D212" i="8"/>
  <c r="K213" i="8" s="1"/>
  <c r="G204" i="8"/>
  <c r="N205" i="8" s="1"/>
  <c r="D374" i="8"/>
  <c r="K375" i="8" s="1"/>
  <c r="I366" i="8"/>
  <c r="P367" i="8" s="1"/>
  <c r="I363" i="8"/>
  <c r="P364" i="8" s="1"/>
  <c r="I347" i="8"/>
  <c r="P348" i="8" s="1"/>
  <c r="G342" i="8"/>
  <c r="N343" i="8" s="1"/>
  <c r="I332" i="8"/>
  <c r="P333" i="8" s="1"/>
  <c r="G323" i="8"/>
  <c r="N324" i="8" s="1"/>
  <c r="E318" i="8"/>
  <c r="L319" i="8" s="1"/>
  <c r="G302" i="8"/>
  <c r="N303" i="8" s="1"/>
  <c r="E286" i="8"/>
  <c r="L287" i="8" s="1"/>
  <c r="I276" i="8"/>
  <c r="P277" i="8" s="1"/>
  <c r="G166" i="8"/>
  <c r="N167" i="8" s="1"/>
  <c r="D308" i="8"/>
  <c r="K309" i="8" s="1"/>
  <c r="E268" i="8"/>
  <c r="L269" i="8" s="1"/>
  <c r="D188" i="8"/>
  <c r="K189" i="8" s="1"/>
  <c r="D331" i="8"/>
  <c r="K332" i="8" s="1"/>
  <c r="E211" i="8"/>
  <c r="L212" i="8" s="1"/>
  <c r="H366" i="8"/>
  <c r="O367" i="8" s="1"/>
  <c r="G347" i="8"/>
  <c r="N348" i="8" s="1"/>
  <c r="E342" i="8"/>
  <c r="L343" i="8" s="1"/>
  <c r="E332" i="8"/>
  <c r="L333" i="8" s="1"/>
  <c r="I326" i="8"/>
  <c r="P327" i="8" s="1"/>
  <c r="I307" i="8"/>
  <c r="P308" i="8" s="1"/>
  <c r="E302" i="8"/>
  <c r="L303" i="8" s="1"/>
  <c r="I294" i="8"/>
  <c r="P295" i="8" s="1"/>
  <c r="D284" i="8"/>
  <c r="K285" i="8" s="1"/>
  <c r="G275" i="8"/>
  <c r="N276" i="8" s="1"/>
  <c r="H262" i="8"/>
  <c r="O263" i="8" s="1"/>
  <c r="H246" i="8"/>
  <c r="O247" i="8" s="1"/>
  <c r="H230" i="8"/>
  <c r="O231" i="8" s="1"/>
  <c r="G212" i="8"/>
  <c r="N213" i="8" s="1"/>
  <c r="I155" i="8"/>
  <c r="P156" i="8" s="1"/>
  <c r="D287" i="8"/>
  <c r="K288" i="8" s="1"/>
  <c r="I287" i="8"/>
  <c r="P288" i="8" s="1"/>
  <c r="D239" i="8"/>
  <c r="K240" i="8" s="1"/>
  <c r="F239" i="8"/>
  <c r="M240" i="8" s="1"/>
  <c r="G239" i="8"/>
  <c r="N240" i="8" s="1"/>
  <c r="I239" i="8"/>
  <c r="P240" i="8" s="1"/>
  <c r="D191" i="8"/>
  <c r="K192" i="8" s="1"/>
  <c r="F191" i="8"/>
  <c r="M192" i="8" s="1"/>
  <c r="G191" i="8"/>
  <c r="N192" i="8" s="1"/>
  <c r="H191" i="8"/>
  <c r="O192" i="8" s="1"/>
  <c r="I191" i="8"/>
  <c r="P192" i="8" s="1"/>
  <c r="D151" i="8"/>
  <c r="K152" i="8" s="1"/>
  <c r="E151" i="8"/>
  <c r="L152" i="8" s="1"/>
  <c r="F151" i="8"/>
  <c r="M152" i="8" s="1"/>
  <c r="H151" i="8"/>
  <c r="O152" i="8" s="1"/>
  <c r="G151" i="8"/>
  <c r="N152" i="8" s="1"/>
  <c r="I151" i="8"/>
  <c r="P152" i="8" s="1"/>
  <c r="D103" i="8"/>
  <c r="K104" i="8" s="1"/>
  <c r="E103" i="8"/>
  <c r="L104" i="8" s="1"/>
  <c r="F103" i="8"/>
  <c r="M104" i="8" s="1"/>
  <c r="H103" i="8"/>
  <c r="O104" i="8" s="1"/>
  <c r="G103" i="8"/>
  <c r="N104" i="8" s="1"/>
  <c r="I103" i="8"/>
  <c r="P104" i="8" s="1"/>
  <c r="I359" i="8"/>
  <c r="P360" i="8" s="1"/>
  <c r="E321" i="8"/>
  <c r="L322" i="8" s="1"/>
  <c r="I319" i="8"/>
  <c r="P320" i="8" s="1"/>
  <c r="I311" i="8"/>
  <c r="P312" i="8" s="1"/>
  <c r="E305" i="8"/>
  <c r="L306" i="8" s="1"/>
  <c r="I303" i="8"/>
  <c r="P304" i="8" s="1"/>
  <c r="E301" i="8"/>
  <c r="L302" i="8" s="1"/>
  <c r="E297" i="8"/>
  <c r="L298" i="8" s="1"/>
  <c r="I295" i="8"/>
  <c r="P296" i="8" s="1"/>
  <c r="F289" i="8"/>
  <c r="M290" i="8" s="1"/>
  <c r="G287" i="8"/>
  <c r="N288" i="8" s="1"/>
  <c r="I285" i="8"/>
  <c r="P286" i="8" s="1"/>
  <c r="F273" i="8"/>
  <c r="M274" i="8" s="1"/>
  <c r="I261" i="8"/>
  <c r="P262" i="8" s="1"/>
  <c r="I253" i="8"/>
  <c r="P254" i="8" s="1"/>
  <c r="I245" i="8"/>
  <c r="P246" i="8" s="1"/>
  <c r="I237" i="8"/>
  <c r="P238" i="8" s="1"/>
  <c r="I229" i="8"/>
  <c r="P230" i="8" s="1"/>
  <c r="I221" i="8"/>
  <c r="P222" i="8" s="1"/>
  <c r="G205" i="8"/>
  <c r="N206" i="8" s="1"/>
  <c r="I201" i="8"/>
  <c r="P202" i="8" s="1"/>
  <c r="E191" i="8"/>
  <c r="L192" i="8" s="1"/>
  <c r="D270" i="8"/>
  <c r="K271" i="8" s="1"/>
  <c r="G270" i="8"/>
  <c r="N271" i="8" s="1"/>
  <c r="D262" i="8"/>
  <c r="K263" i="8" s="1"/>
  <c r="E262" i="8"/>
  <c r="L263" i="8" s="1"/>
  <c r="G262" i="8"/>
  <c r="N263" i="8" s="1"/>
  <c r="D254" i="8"/>
  <c r="K255" i="8" s="1"/>
  <c r="E254" i="8"/>
  <c r="L255" i="8" s="1"/>
  <c r="G254" i="8"/>
  <c r="N255" i="8" s="1"/>
  <c r="D246" i="8"/>
  <c r="K247" i="8" s="1"/>
  <c r="E246" i="8"/>
  <c r="L247" i="8" s="1"/>
  <c r="G246" i="8"/>
  <c r="N247" i="8" s="1"/>
  <c r="D238" i="8"/>
  <c r="K239" i="8" s="1"/>
  <c r="E238" i="8"/>
  <c r="L239" i="8" s="1"/>
  <c r="G238" i="8"/>
  <c r="N239" i="8" s="1"/>
  <c r="D230" i="8"/>
  <c r="K231" i="8" s="1"/>
  <c r="E230" i="8"/>
  <c r="L231" i="8" s="1"/>
  <c r="G230" i="8"/>
  <c r="N231" i="8" s="1"/>
  <c r="D222" i="8"/>
  <c r="K223" i="8" s="1"/>
  <c r="E222" i="8"/>
  <c r="L223" i="8" s="1"/>
  <c r="G222" i="8"/>
  <c r="N223" i="8" s="1"/>
  <c r="D214" i="8"/>
  <c r="K215" i="8" s="1"/>
  <c r="E214" i="8"/>
  <c r="L215" i="8" s="1"/>
  <c r="F214" i="8"/>
  <c r="M215" i="8" s="1"/>
  <c r="G214" i="8"/>
  <c r="N215" i="8" s="1"/>
  <c r="D206" i="8"/>
  <c r="K207" i="8" s="1"/>
  <c r="E206" i="8"/>
  <c r="L207" i="8" s="1"/>
  <c r="F206" i="8"/>
  <c r="M207" i="8" s="1"/>
  <c r="G206" i="8"/>
  <c r="N207" i="8" s="1"/>
  <c r="D198" i="8"/>
  <c r="K199" i="8" s="1"/>
  <c r="E198" i="8"/>
  <c r="L199" i="8" s="1"/>
  <c r="F198" i="8"/>
  <c r="M199" i="8" s="1"/>
  <c r="G198" i="8"/>
  <c r="N199" i="8" s="1"/>
  <c r="D190" i="8"/>
  <c r="K191" i="8" s="1"/>
  <c r="E190" i="8"/>
  <c r="L191" i="8" s="1"/>
  <c r="F190" i="8"/>
  <c r="M191" i="8" s="1"/>
  <c r="G190" i="8"/>
  <c r="N191" i="8" s="1"/>
  <c r="I182" i="8"/>
  <c r="P183" i="8" s="1"/>
  <c r="D182" i="8"/>
  <c r="K183" i="8" s="1"/>
  <c r="E182" i="8"/>
  <c r="L183" i="8" s="1"/>
  <c r="F182" i="8"/>
  <c r="M183" i="8" s="1"/>
  <c r="G182" i="8"/>
  <c r="N183" i="8" s="1"/>
  <c r="H174" i="8"/>
  <c r="O175" i="8" s="1"/>
  <c r="I174" i="8"/>
  <c r="P175" i="8" s="1"/>
  <c r="F174" i="8"/>
  <c r="M175" i="8" s="1"/>
  <c r="D174" i="8"/>
  <c r="K175" i="8" s="1"/>
  <c r="E174" i="8"/>
  <c r="L175" i="8" s="1"/>
  <c r="H166" i="8"/>
  <c r="O167" i="8" s="1"/>
  <c r="I166" i="8"/>
  <c r="P167" i="8" s="1"/>
  <c r="D166" i="8"/>
  <c r="K167" i="8" s="1"/>
  <c r="F166" i="8"/>
  <c r="M167" i="8" s="1"/>
  <c r="E166" i="8"/>
  <c r="L167" i="8" s="1"/>
  <c r="H158" i="8"/>
  <c r="O159" i="8" s="1"/>
  <c r="I158" i="8"/>
  <c r="P159" i="8" s="1"/>
  <c r="D158" i="8"/>
  <c r="K159" i="8" s="1"/>
  <c r="F158" i="8"/>
  <c r="M159" i="8" s="1"/>
  <c r="E158" i="8"/>
  <c r="L159" i="8" s="1"/>
  <c r="G158" i="8"/>
  <c r="N159" i="8" s="1"/>
  <c r="H150" i="8"/>
  <c r="O151" i="8" s="1"/>
  <c r="I150" i="8"/>
  <c r="P151" i="8" s="1"/>
  <c r="D150" i="8"/>
  <c r="K151" i="8" s="1"/>
  <c r="F150" i="8"/>
  <c r="M151" i="8" s="1"/>
  <c r="E150" i="8"/>
  <c r="L151" i="8" s="1"/>
  <c r="H142" i="8"/>
  <c r="O143" i="8" s="1"/>
  <c r="I142" i="8"/>
  <c r="P143" i="8" s="1"/>
  <c r="D142" i="8"/>
  <c r="K143" i="8" s="1"/>
  <c r="F142" i="8"/>
  <c r="M143" i="8" s="1"/>
  <c r="E142" i="8"/>
  <c r="L143" i="8" s="1"/>
  <c r="G142" i="8"/>
  <c r="N143" i="8" s="1"/>
  <c r="H134" i="8"/>
  <c r="O135" i="8" s="1"/>
  <c r="I134" i="8"/>
  <c r="P135" i="8" s="1"/>
  <c r="D134" i="8"/>
  <c r="K135" i="8" s="1"/>
  <c r="F134" i="8"/>
  <c r="M135" i="8" s="1"/>
  <c r="E134" i="8"/>
  <c r="L135" i="8" s="1"/>
  <c r="H126" i="8"/>
  <c r="O127" i="8" s="1"/>
  <c r="I126" i="8"/>
  <c r="P127" i="8" s="1"/>
  <c r="D126" i="8"/>
  <c r="K127" i="8" s="1"/>
  <c r="F126" i="8"/>
  <c r="M127" i="8" s="1"/>
  <c r="E126" i="8"/>
  <c r="L127" i="8" s="1"/>
  <c r="G126" i="8"/>
  <c r="N127" i="8" s="1"/>
  <c r="H118" i="8"/>
  <c r="O119" i="8" s="1"/>
  <c r="I118" i="8"/>
  <c r="P119" i="8" s="1"/>
  <c r="D118" i="8"/>
  <c r="K119" i="8" s="1"/>
  <c r="F118" i="8"/>
  <c r="M119" i="8" s="1"/>
  <c r="E118" i="8"/>
  <c r="L119" i="8" s="1"/>
  <c r="H110" i="8"/>
  <c r="O111" i="8" s="1"/>
  <c r="I110" i="8"/>
  <c r="P111" i="8" s="1"/>
  <c r="D110" i="8"/>
  <c r="K111" i="8" s="1"/>
  <c r="F110" i="8"/>
  <c r="M111" i="8" s="1"/>
  <c r="E110" i="8"/>
  <c r="L111" i="8" s="1"/>
  <c r="G110" i="8"/>
  <c r="N111" i="8" s="1"/>
  <c r="H102" i="8"/>
  <c r="O103" i="8" s="1"/>
  <c r="I102" i="8"/>
  <c r="P103" i="8" s="1"/>
  <c r="D102" i="8"/>
  <c r="K103" i="8" s="1"/>
  <c r="F102" i="8"/>
  <c r="M103" i="8" s="1"/>
  <c r="E102" i="8"/>
  <c r="L103" i="8" s="1"/>
  <c r="H94" i="8"/>
  <c r="O95" i="8" s="1"/>
  <c r="I94" i="8"/>
  <c r="P95" i="8" s="1"/>
  <c r="D94" i="8"/>
  <c r="K95" i="8" s="1"/>
  <c r="F94" i="8"/>
  <c r="M95" i="8" s="1"/>
  <c r="E94" i="8"/>
  <c r="L95" i="8" s="1"/>
  <c r="G94" i="8"/>
  <c r="N95" i="8" s="1"/>
  <c r="H86" i="8"/>
  <c r="O87" i="8" s="1"/>
  <c r="I86" i="8"/>
  <c r="P87" i="8" s="1"/>
  <c r="D86" i="8"/>
  <c r="K87" i="8" s="1"/>
  <c r="F86" i="8"/>
  <c r="M87" i="8" s="1"/>
  <c r="E86" i="8"/>
  <c r="L87" i="8" s="1"/>
  <c r="H78" i="8"/>
  <c r="O79" i="8" s="1"/>
  <c r="I78" i="8"/>
  <c r="P79" i="8" s="1"/>
  <c r="D78" i="8"/>
  <c r="K79" i="8" s="1"/>
  <c r="F78" i="8"/>
  <c r="M79" i="8" s="1"/>
  <c r="E78" i="8"/>
  <c r="L79" i="8" s="1"/>
  <c r="G78" i="8"/>
  <c r="N79" i="8" s="1"/>
  <c r="H70" i="8"/>
  <c r="O71" i="8" s="1"/>
  <c r="I70" i="8"/>
  <c r="P71" i="8" s="1"/>
  <c r="D70" i="8"/>
  <c r="K71" i="8" s="1"/>
  <c r="E70" i="8"/>
  <c r="L71" i="8" s="1"/>
  <c r="F70" i="8"/>
  <c r="M71" i="8" s="1"/>
  <c r="G70" i="8"/>
  <c r="N71" i="8" s="1"/>
  <c r="D378" i="8"/>
  <c r="H375" i="8"/>
  <c r="O376" i="8" s="1"/>
  <c r="D373" i="8"/>
  <c r="K374" i="8" s="1"/>
  <c r="H371" i="8"/>
  <c r="O372" i="8" s="1"/>
  <c r="D369" i="8"/>
  <c r="K370" i="8" s="1"/>
  <c r="H367" i="8"/>
  <c r="O368" i="8" s="1"/>
  <c r="D365" i="8"/>
  <c r="K366" i="8" s="1"/>
  <c r="H363" i="8"/>
  <c r="O364" i="8" s="1"/>
  <c r="D361" i="8"/>
  <c r="K362" i="8" s="1"/>
  <c r="H359" i="8"/>
  <c r="O360" i="8" s="1"/>
  <c r="D357" i="8"/>
  <c r="K358" i="8" s="1"/>
  <c r="H355" i="8"/>
  <c r="O356" i="8" s="1"/>
  <c r="F354" i="8"/>
  <c r="M355" i="8" s="1"/>
  <c r="D353" i="8"/>
  <c r="K354" i="8" s="1"/>
  <c r="H351" i="8"/>
  <c r="O352" i="8" s="1"/>
  <c r="F350" i="8"/>
  <c r="M351" i="8" s="1"/>
  <c r="D349" i="8"/>
  <c r="K350" i="8" s="1"/>
  <c r="H347" i="8"/>
  <c r="O348" i="8" s="1"/>
  <c r="F346" i="8"/>
  <c r="M347" i="8" s="1"/>
  <c r="D345" i="8"/>
  <c r="K346" i="8" s="1"/>
  <c r="H343" i="8"/>
  <c r="O344" i="8" s="1"/>
  <c r="F342" i="8"/>
  <c r="M343" i="8" s="1"/>
  <c r="D341" i="8"/>
  <c r="K342" i="8" s="1"/>
  <c r="H339" i="8"/>
  <c r="O340" i="8" s="1"/>
  <c r="F338" i="8"/>
  <c r="M339" i="8" s="1"/>
  <c r="D337" i="8"/>
  <c r="K338" i="8" s="1"/>
  <c r="H335" i="8"/>
  <c r="O336" i="8" s="1"/>
  <c r="F334" i="8"/>
  <c r="M335" i="8" s="1"/>
  <c r="D333" i="8"/>
  <c r="K334" i="8" s="1"/>
  <c r="H331" i="8"/>
  <c r="O332" i="8" s="1"/>
  <c r="F330" i="8"/>
  <c r="M331" i="8" s="1"/>
  <c r="D329" i="8"/>
  <c r="K330" i="8" s="1"/>
  <c r="H327" i="8"/>
  <c r="O328" i="8" s="1"/>
  <c r="F326" i="8"/>
  <c r="M327" i="8" s="1"/>
  <c r="D325" i="8"/>
  <c r="K326" i="8" s="1"/>
  <c r="H323" i="8"/>
  <c r="O324" i="8" s="1"/>
  <c r="F322" i="8"/>
  <c r="M323" i="8" s="1"/>
  <c r="D321" i="8"/>
  <c r="K322" i="8" s="1"/>
  <c r="H319" i="8"/>
  <c r="O320" i="8" s="1"/>
  <c r="F318" i="8"/>
  <c r="M319" i="8" s="1"/>
  <c r="D317" i="8"/>
  <c r="K318" i="8" s="1"/>
  <c r="H315" i="8"/>
  <c r="O316" i="8" s="1"/>
  <c r="F314" i="8"/>
  <c r="M315" i="8" s="1"/>
  <c r="D313" i="8"/>
  <c r="K314" i="8" s="1"/>
  <c r="H311" i="8"/>
  <c r="O312" i="8" s="1"/>
  <c r="F310" i="8"/>
  <c r="M311" i="8" s="1"/>
  <c r="D309" i="8"/>
  <c r="K310" i="8" s="1"/>
  <c r="H307" i="8"/>
  <c r="O308" i="8" s="1"/>
  <c r="F306" i="8"/>
  <c r="M307" i="8" s="1"/>
  <c r="D305" i="8"/>
  <c r="K306" i="8" s="1"/>
  <c r="H303" i="8"/>
  <c r="O304" i="8" s="1"/>
  <c r="F302" i="8"/>
  <c r="M303" i="8" s="1"/>
  <c r="D301" i="8"/>
  <c r="K302" i="8" s="1"/>
  <c r="H299" i="8"/>
  <c r="O300" i="8" s="1"/>
  <c r="F298" i="8"/>
  <c r="M299" i="8" s="1"/>
  <c r="D297" i="8"/>
  <c r="K298" i="8" s="1"/>
  <c r="H295" i="8"/>
  <c r="O296" i="8" s="1"/>
  <c r="F294" i="8"/>
  <c r="M295" i="8" s="1"/>
  <c r="H292" i="8"/>
  <c r="O293" i="8" s="1"/>
  <c r="I290" i="8"/>
  <c r="P291" i="8" s="1"/>
  <c r="F287" i="8"/>
  <c r="M288" i="8" s="1"/>
  <c r="G285" i="8"/>
  <c r="N286" i="8" s="1"/>
  <c r="H283" i="8"/>
  <c r="O284" i="8" s="1"/>
  <c r="D282" i="8"/>
  <c r="K283" i="8" s="1"/>
  <c r="E280" i="8"/>
  <c r="L281" i="8" s="1"/>
  <c r="F278" i="8"/>
  <c r="M279" i="8" s="1"/>
  <c r="H276" i="8"/>
  <c r="O277" i="8" s="1"/>
  <c r="I274" i="8"/>
  <c r="P275" i="8" s="1"/>
  <c r="I270" i="8"/>
  <c r="P271" i="8" s="1"/>
  <c r="I268" i="8"/>
  <c r="P269" i="8" s="1"/>
  <c r="H266" i="8"/>
  <c r="O267" i="8" s="1"/>
  <c r="E264" i="8"/>
  <c r="L265" i="8" s="1"/>
  <c r="G261" i="8"/>
  <c r="N262" i="8" s="1"/>
  <c r="I258" i="8"/>
  <c r="P259" i="8" s="1"/>
  <c r="E256" i="8"/>
  <c r="L257" i="8" s="1"/>
  <c r="I250" i="8"/>
  <c r="P251" i="8" s="1"/>
  <c r="E248" i="8"/>
  <c r="L249" i="8" s="1"/>
  <c r="G245" i="8"/>
  <c r="N246" i="8" s="1"/>
  <c r="I242" i="8"/>
  <c r="P243" i="8" s="1"/>
  <c r="E240" i="8"/>
  <c r="L241" i="8" s="1"/>
  <c r="G237" i="8"/>
  <c r="N238" i="8" s="1"/>
  <c r="I234" i="8"/>
  <c r="P235" i="8" s="1"/>
  <c r="E232" i="8"/>
  <c r="L233" i="8" s="1"/>
  <c r="I226" i="8"/>
  <c r="P227" i="8" s="1"/>
  <c r="E224" i="8"/>
  <c r="L225" i="8" s="1"/>
  <c r="G221" i="8"/>
  <c r="N222" i="8" s="1"/>
  <c r="I218" i="8"/>
  <c r="P219" i="8" s="1"/>
  <c r="E212" i="8"/>
  <c r="L213" i="8" s="1"/>
  <c r="G208" i="8"/>
  <c r="N209" i="8" s="1"/>
  <c r="G201" i="8"/>
  <c r="N202" i="8" s="1"/>
  <c r="I190" i="8"/>
  <c r="P191" i="8" s="1"/>
  <c r="H182" i="8"/>
  <c r="O183" i="8" s="1"/>
  <c r="G150" i="8"/>
  <c r="N151" i="8" s="1"/>
  <c r="D263" i="8"/>
  <c r="K264" i="8" s="1"/>
  <c r="F263" i="8"/>
  <c r="M264" i="8" s="1"/>
  <c r="G263" i="8"/>
  <c r="N264" i="8" s="1"/>
  <c r="I263" i="8"/>
  <c r="P264" i="8" s="1"/>
  <c r="D231" i="8"/>
  <c r="K232" i="8" s="1"/>
  <c r="F231" i="8"/>
  <c r="M232" i="8" s="1"/>
  <c r="G231" i="8"/>
  <c r="N232" i="8" s="1"/>
  <c r="I231" i="8"/>
  <c r="P232" i="8" s="1"/>
  <c r="D199" i="8"/>
  <c r="K200" i="8" s="1"/>
  <c r="F199" i="8"/>
  <c r="M200" i="8" s="1"/>
  <c r="G199" i="8"/>
  <c r="N200" i="8" s="1"/>
  <c r="H199" i="8"/>
  <c r="O200" i="8" s="1"/>
  <c r="I199" i="8"/>
  <c r="P200" i="8" s="1"/>
  <c r="D167" i="8"/>
  <c r="K168" i="8" s="1"/>
  <c r="E167" i="8"/>
  <c r="L168" i="8" s="1"/>
  <c r="F167" i="8"/>
  <c r="M168" i="8" s="1"/>
  <c r="H167" i="8"/>
  <c r="O168" i="8" s="1"/>
  <c r="G167" i="8"/>
  <c r="N168" i="8" s="1"/>
  <c r="I167" i="8"/>
  <c r="P168" i="8" s="1"/>
  <c r="D135" i="8"/>
  <c r="K136" i="8" s="1"/>
  <c r="E135" i="8"/>
  <c r="L136" i="8" s="1"/>
  <c r="F135" i="8"/>
  <c r="M136" i="8" s="1"/>
  <c r="H135" i="8"/>
  <c r="O136" i="8" s="1"/>
  <c r="G135" i="8"/>
  <c r="N136" i="8" s="1"/>
  <c r="I135" i="8"/>
  <c r="P136" i="8" s="1"/>
  <c r="D111" i="8"/>
  <c r="K112" i="8" s="1"/>
  <c r="E111" i="8"/>
  <c r="L112" i="8" s="1"/>
  <c r="F111" i="8"/>
  <c r="M112" i="8" s="1"/>
  <c r="H111" i="8"/>
  <c r="O112" i="8" s="1"/>
  <c r="G111" i="8"/>
  <c r="N112" i="8" s="1"/>
  <c r="I111" i="8"/>
  <c r="P112" i="8" s="1"/>
  <c r="D79" i="8"/>
  <c r="K80" i="8" s="1"/>
  <c r="E79" i="8"/>
  <c r="L80" i="8" s="1"/>
  <c r="F79" i="8"/>
  <c r="M80" i="8" s="1"/>
  <c r="H79" i="8"/>
  <c r="O80" i="8" s="1"/>
  <c r="G79" i="8"/>
  <c r="N80" i="8" s="1"/>
  <c r="I79" i="8"/>
  <c r="P80" i="8" s="1"/>
  <c r="E337" i="8"/>
  <c r="L338" i="8" s="1"/>
  <c r="I335" i="8"/>
  <c r="P336" i="8" s="1"/>
  <c r="E329" i="8"/>
  <c r="L330" i="8" s="1"/>
  <c r="E313" i="8"/>
  <c r="L314" i="8" s="1"/>
  <c r="H277" i="8"/>
  <c r="O278" i="8" s="1"/>
  <c r="E277" i="8"/>
  <c r="L278" i="8" s="1"/>
  <c r="H253" i="8"/>
  <c r="O254" i="8" s="1"/>
  <c r="E253" i="8"/>
  <c r="L254" i="8" s="1"/>
  <c r="H229" i="8"/>
  <c r="O230" i="8" s="1"/>
  <c r="E229" i="8"/>
  <c r="L230" i="8" s="1"/>
  <c r="H197" i="8"/>
  <c r="O198" i="8" s="1"/>
  <c r="D197" i="8"/>
  <c r="K198" i="8" s="1"/>
  <c r="E197" i="8"/>
  <c r="L198" i="8" s="1"/>
  <c r="F165" i="8"/>
  <c r="M166" i="8" s="1"/>
  <c r="G165" i="8"/>
  <c r="N166" i="8" s="1"/>
  <c r="H165" i="8"/>
  <c r="O166" i="8" s="1"/>
  <c r="I165" i="8"/>
  <c r="P166" i="8" s="1"/>
  <c r="D165" i="8"/>
  <c r="K166" i="8" s="1"/>
  <c r="E165" i="8"/>
  <c r="L166" i="8" s="1"/>
  <c r="F125" i="8"/>
  <c r="M126" i="8" s="1"/>
  <c r="G125" i="8"/>
  <c r="N126" i="8" s="1"/>
  <c r="H125" i="8"/>
  <c r="O126" i="8" s="1"/>
  <c r="I125" i="8"/>
  <c r="P126" i="8" s="1"/>
  <c r="D125" i="8"/>
  <c r="K126" i="8" s="1"/>
  <c r="E125" i="8"/>
  <c r="L126" i="8" s="1"/>
  <c r="F77" i="8"/>
  <c r="M78" i="8" s="1"/>
  <c r="G77" i="8"/>
  <c r="N78" i="8" s="1"/>
  <c r="H77" i="8"/>
  <c r="O78" i="8" s="1"/>
  <c r="I77" i="8"/>
  <c r="P78" i="8" s="1"/>
  <c r="D77" i="8"/>
  <c r="K78" i="8" s="1"/>
  <c r="E77" i="8"/>
  <c r="L78" i="8" s="1"/>
  <c r="G375" i="8"/>
  <c r="N376" i="8" s="1"/>
  <c r="G335" i="8"/>
  <c r="N336" i="8" s="1"/>
  <c r="I296" i="8"/>
  <c r="P297" i="8" s="1"/>
  <c r="G295" i="8"/>
  <c r="N296" i="8" s="1"/>
  <c r="G292" i="8"/>
  <c r="N293" i="8" s="1"/>
  <c r="I288" i="8"/>
  <c r="P289" i="8" s="1"/>
  <c r="E287" i="8"/>
  <c r="L288" i="8" s="1"/>
  <c r="I281" i="8"/>
  <c r="P282" i="8" s="1"/>
  <c r="D280" i="8"/>
  <c r="K281" i="8" s="1"/>
  <c r="G276" i="8"/>
  <c r="N277" i="8" s="1"/>
  <c r="I272" i="8"/>
  <c r="P273" i="8" s="1"/>
  <c r="G268" i="8"/>
  <c r="N269" i="8" s="1"/>
  <c r="F261" i="8"/>
  <c r="M262" i="8" s="1"/>
  <c r="F253" i="8"/>
  <c r="M254" i="8" s="1"/>
  <c r="F237" i="8"/>
  <c r="M238" i="8" s="1"/>
  <c r="F229" i="8"/>
  <c r="M230" i="8" s="1"/>
  <c r="F221" i="8"/>
  <c r="M222" i="8" s="1"/>
  <c r="E208" i="8"/>
  <c r="L209" i="8" s="1"/>
  <c r="G197" i="8"/>
  <c r="N198" i="8" s="1"/>
  <c r="I193" i="8"/>
  <c r="P194" i="8" s="1"/>
  <c r="D279" i="8"/>
  <c r="K280" i="8" s="1"/>
  <c r="I279" i="8"/>
  <c r="P280" i="8" s="1"/>
  <c r="D215" i="8"/>
  <c r="K216" i="8" s="1"/>
  <c r="F215" i="8"/>
  <c r="M216" i="8" s="1"/>
  <c r="G215" i="8"/>
  <c r="N216" i="8" s="1"/>
  <c r="H215" i="8"/>
  <c r="O216" i="8" s="1"/>
  <c r="I215" i="8"/>
  <c r="P216" i="8" s="1"/>
  <c r="D143" i="8"/>
  <c r="K144" i="8" s="1"/>
  <c r="E143" i="8"/>
  <c r="L144" i="8" s="1"/>
  <c r="F143" i="8"/>
  <c r="M144" i="8" s="1"/>
  <c r="H143" i="8"/>
  <c r="O144" i="8" s="1"/>
  <c r="G143" i="8"/>
  <c r="N144" i="8" s="1"/>
  <c r="I143" i="8"/>
  <c r="P144" i="8" s="1"/>
  <c r="D95" i="8"/>
  <c r="K96" i="8" s="1"/>
  <c r="E95" i="8"/>
  <c r="L96" i="8" s="1"/>
  <c r="F95" i="8"/>
  <c r="M96" i="8" s="1"/>
  <c r="H95" i="8"/>
  <c r="O96" i="8" s="1"/>
  <c r="G95" i="8"/>
  <c r="N96" i="8" s="1"/>
  <c r="I95" i="8"/>
  <c r="P96" i="8" s="1"/>
  <c r="I367" i="8"/>
  <c r="P368" i="8" s="1"/>
  <c r="I343" i="8"/>
  <c r="P344" i="8" s="1"/>
  <c r="H285" i="8"/>
  <c r="O286" i="8" s="1"/>
  <c r="E285" i="8"/>
  <c r="L286" i="8" s="1"/>
  <c r="H245" i="8"/>
  <c r="O246" i="8" s="1"/>
  <c r="E245" i="8"/>
  <c r="L246" i="8" s="1"/>
  <c r="H213" i="8"/>
  <c r="O214" i="8" s="1"/>
  <c r="D213" i="8"/>
  <c r="K214" i="8" s="1"/>
  <c r="E213" i="8"/>
  <c r="L214" i="8" s="1"/>
  <c r="D181" i="8"/>
  <c r="K182" i="8" s="1"/>
  <c r="G181" i="8"/>
  <c r="N182" i="8" s="1"/>
  <c r="H181" i="8"/>
  <c r="O182" i="8" s="1"/>
  <c r="I181" i="8"/>
  <c r="P182" i="8" s="1"/>
  <c r="E181" i="8"/>
  <c r="L182" i="8" s="1"/>
  <c r="F149" i="8"/>
  <c r="M150" i="8" s="1"/>
  <c r="G149" i="8"/>
  <c r="N150" i="8" s="1"/>
  <c r="H149" i="8"/>
  <c r="O150" i="8" s="1"/>
  <c r="I149" i="8"/>
  <c r="P150" i="8" s="1"/>
  <c r="D149" i="8"/>
  <c r="K150" i="8" s="1"/>
  <c r="E149" i="8"/>
  <c r="L150" i="8" s="1"/>
  <c r="F133" i="8"/>
  <c r="M134" i="8" s="1"/>
  <c r="G133" i="8"/>
  <c r="N134" i="8" s="1"/>
  <c r="H133" i="8"/>
  <c r="O134" i="8" s="1"/>
  <c r="I133" i="8"/>
  <c r="P134" i="8" s="1"/>
  <c r="D133" i="8"/>
  <c r="K134" i="8" s="1"/>
  <c r="E133" i="8"/>
  <c r="L134" i="8" s="1"/>
  <c r="F101" i="8"/>
  <c r="M102" i="8" s="1"/>
  <c r="G101" i="8"/>
  <c r="N102" i="8" s="1"/>
  <c r="H101" i="8"/>
  <c r="O102" i="8" s="1"/>
  <c r="I101" i="8"/>
  <c r="P102" i="8" s="1"/>
  <c r="D101" i="8"/>
  <c r="K102" i="8" s="1"/>
  <c r="E101" i="8"/>
  <c r="L102" i="8" s="1"/>
  <c r="F93" i="8"/>
  <c r="M94" i="8" s="1"/>
  <c r="G93" i="8"/>
  <c r="N94" i="8" s="1"/>
  <c r="H93" i="8"/>
  <c r="O94" i="8" s="1"/>
  <c r="I93" i="8"/>
  <c r="P94" i="8" s="1"/>
  <c r="D93" i="8"/>
  <c r="K94" i="8" s="1"/>
  <c r="E93" i="8"/>
  <c r="L94" i="8" s="1"/>
  <c r="F69" i="8"/>
  <c r="M70" i="8" s="1"/>
  <c r="G69" i="8"/>
  <c r="N70" i="8" s="1"/>
  <c r="H69" i="8"/>
  <c r="O70" i="8" s="1"/>
  <c r="I69" i="8"/>
  <c r="P70" i="8" s="1"/>
  <c r="D69" i="8"/>
  <c r="K70" i="8" s="1"/>
  <c r="E69" i="8"/>
  <c r="L70" i="8" s="1"/>
  <c r="G367" i="8"/>
  <c r="N368" i="8" s="1"/>
  <c r="G351" i="8"/>
  <c r="N352" i="8" s="1"/>
  <c r="G343" i="8"/>
  <c r="N344" i="8" s="1"/>
  <c r="F260" i="8"/>
  <c r="M261" i="8" s="1"/>
  <c r="H260" i="8"/>
  <c r="O261" i="8" s="1"/>
  <c r="I260" i="8"/>
  <c r="P261" i="8" s="1"/>
  <c r="F244" i="8"/>
  <c r="M245" i="8" s="1"/>
  <c r="H244" i="8"/>
  <c r="O245" i="8" s="1"/>
  <c r="I244" i="8"/>
  <c r="P245" i="8" s="1"/>
  <c r="F220" i="8"/>
  <c r="M221" i="8" s="1"/>
  <c r="H220" i="8"/>
  <c r="O221" i="8" s="1"/>
  <c r="I220" i="8"/>
  <c r="P221" i="8" s="1"/>
  <c r="F204" i="8"/>
  <c r="M205" i="8" s="1"/>
  <c r="H204" i="8"/>
  <c r="O205" i="8" s="1"/>
  <c r="I204" i="8"/>
  <c r="P205" i="8" s="1"/>
  <c r="F188" i="8"/>
  <c r="M189" i="8" s="1"/>
  <c r="H188" i="8"/>
  <c r="O189" i="8" s="1"/>
  <c r="I188" i="8"/>
  <c r="P189" i="8" s="1"/>
  <c r="D172" i="8"/>
  <c r="K173" i="8" s="1"/>
  <c r="E172" i="8"/>
  <c r="L173" i="8" s="1"/>
  <c r="F172" i="8"/>
  <c r="M173" i="8" s="1"/>
  <c r="G172" i="8"/>
  <c r="N173" i="8" s="1"/>
  <c r="H172" i="8"/>
  <c r="O173" i="8" s="1"/>
  <c r="I172" i="8"/>
  <c r="P173" i="8" s="1"/>
  <c r="D156" i="8"/>
  <c r="K157" i="8" s="1"/>
  <c r="E156" i="8"/>
  <c r="L157" i="8" s="1"/>
  <c r="F156" i="8"/>
  <c r="M157" i="8" s="1"/>
  <c r="G156" i="8"/>
  <c r="N157" i="8" s="1"/>
  <c r="H156" i="8"/>
  <c r="O157" i="8" s="1"/>
  <c r="I156" i="8"/>
  <c r="P157" i="8" s="1"/>
  <c r="D140" i="8"/>
  <c r="K141" i="8" s="1"/>
  <c r="E140" i="8"/>
  <c r="L141" i="8" s="1"/>
  <c r="F140" i="8"/>
  <c r="M141" i="8" s="1"/>
  <c r="G140" i="8"/>
  <c r="N141" i="8" s="1"/>
  <c r="H140" i="8"/>
  <c r="O141" i="8" s="1"/>
  <c r="I140" i="8"/>
  <c r="P141" i="8" s="1"/>
  <c r="D124" i="8"/>
  <c r="K125" i="8" s="1"/>
  <c r="E124" i="8"/>
  <c r="L125" i="8" s="1"/>
  <c r="F124" i="8"/>
  <c r="M125" i="8" s="1"/>
  <c r="G124" i="8"/>
  <c r="N125" i="8" s="1"/>
  <c r="H124" i="8"/>
  <c r="O125" i="8" s="1"/>
  <c r="I124" i="8"/>
  <c r="P125" i="8" s="1"/>
  <c r="D108" i="8"/>
  <c r="K109" i="8" s="1"/>
  <c r="E108" i="8"/>
  <c r="L109" i="8" s="1"/>
  <c r="F108" i="8"/>
  <c r="M109" i="8" s="1"/>
  <c r="G108" i="8"/>
  <c r="N109" i="8" s="1"/>
  <c r="H108" i="8"/>
  <c r="O109" i="8" s="1"/>
  <c r="I108" i="8"/>
  <c r="P109" i="8" s="1"/>
  <c r="D92" i="8"/>
  <c r="K93" i="8" s="1"/>
  <c r="E92" i="8"/>
  <c r="L93" i="8" s="1"/>
  <c r="F92" i="8"/>
  <c r="M93" i="8" s="1"/>
  <c r="G92" i="8"/>
  <c r="N93" i="8" s="1"/>
  <c r="H92" i="8"/>
  <c r="O93" i="8" s="1"/>
  <c r="I92" i="8"/>
  <c r="P93" i="8" s="1"/>
  <c r="D68" i="8"/>
  <c r="K69" i="8" s="1"/>
  <c r="E68" i="8"/>
  <c r="L69" i="8" s="1"/>
  <c r="F68" i="8"/>
  <c r="M69" i="8" s="1"/>
  <c r="G68" i="8"/>
  <c r="N69" i="8" s="1"/>
  <c r="H68" i="8"/>
  <c r="O69" i="8" s="1"/>
  <c r="I68" i="8"/>
  <c r="P69" i="8" s="1"/>
  <c r="H376" i="8"/>
  <c r="O377" i="8" s="1"/>
  <c r="H372" i="8"/>
  <c r="O373" i="8" s="1"/>
  <c r="H368" i="8"/>
  <c r="O369" i="8" s="1"/>
  <c r="F367" i="8"/>
  <c r="M368" i="8" s="1"/>
  <c r="H364" i="8"/>
  <c r="O365" i="8" s="1"/>
  <c r="H360" i="8"/>
  <c r="O361" i="8" s="1"/>
  <c r="F359" i="8"/>
  <c r="M360" i="8" s="1"/>
  <c r="H356" i="8"/>
  <c r="O357" i="8" s="1"/>
  <c r="F355" i="8"/>
  <c r="M356" i="8" s="1"/>
  <c r="D354" i="8"/>
  <c r="K355" i="8" s="1"/>
  <c r="H352" i="8"/>
  <c r="O353" i="8" s="1"/>
  <c r="F351" i="8"/>
  <c r="M352" i="8" s="1"/>
  <c r="D350" i="8"/>
  <c r="K351" i="8" s="1"/>
  <c r="H348" i="8"/>
  <c r="O349" i="8" s="1"/>
  <c r="F347" i="8"/>
  <c r="M348" i="8" s="1"/>
  <c r="D346" i="8"/>
  <c r="K347" i="8" s="1"/>
  <c r="H344" i="8"/>
  <c r="O345" i="8" s="1"/>
  <c r="F343" i="8"/>
  <c r="M344" i="8" s="1"/>
  <c r="D342" i="8"/>
  <c r="K343" i="8" s="1"/>
  <c r="H340" i="8"/>
  <c r="O341" i="8" s="1"/>
  <c r="F339" i="8"/>
  <c r="M340" i="8" s="1"/>
  <c r="D338" i="8"/>
  <c r="K339" i="8" s="1"/>
  <c r="H336" i="8"/>
  <c r="O337" i="8" s="1"/>
  <c r="F335" i="8"/>
  <c r="M336" i="8" s="1"/>
  <c r="D334" i="8"/>
  <c r="K335" i="8" s="1"/>
  <c r="H332" i="8"/>
  <c r="O333" i="8" s="1"/>
  <c r="F331" i="8"/>
  <c r="M332" i="8" s="1"/>
  <c r="D330" i="8"/>
  <c r="K331" i="8" s="1"/>
  <c r="H328" i="8"/>
  <c r="O329" i="8" s="1"/>
  <c r="F327" i="8"/>
  <c r="M328" i="8" s="1"/>
  <c r="D326" i="8"/>
  <c r="K327" i="8" s="1"/>
  <c r="H324" i="8"/>
  <c r="O325" i="8" s="1"/>
  <c r="F323" i="8"/>
  <c r="M324" i="8" s="1"/>
  <c r="D322" i="8"/>
  <c r="K323" i="8" s="1"/>
  <c r="H320" i="8"/>
  <c r="O321" i="8" s="1"/>
  <c r="F319" i="8"/>
  <c r="M320" i="8" s="1"/>
  <c r="D318" i="8"/>
  <c r="K319" i="8" s="1"/>
  <c r="H316" i="8"/>
  <c r="O317" i="8" s="1"/>
  <c r="F315" i="8"/>
  <c r="M316" i="8" s="1"/>
  <c r="D314" i="8"/>
  <c r="K315" i="8" s="1"/>
  <c r="H312" i="8"/>
  <c r="O313" i="8" s="1"/>
  <c r="F311" i="8"/>
  <c r="M312" i="8" s="1"/>
  <c r="D310" i="8"/>
  <c r="K311" i="8" s="1"/>
  <c r="H308" i="8"/>
  <c r="O309" i="8" s="1"/>
  <c r="F307" i="8"/>
  <c r="M308" i="8" s="1"/>
  <c r="D306" i="8"/>
  <c r="K307" i="8" s="1"/>
  <c r="H304" i="8"/>
  <c r="O305" i="8" s="1"/>
  <c r="F303" i="8"/>
  <c r="M304" i="8" s="1"/>
  <c r="D302" i="8"/>
  <c r="K303" i="8" s="1"/>
  <c r="H300" i="8"/>
  <c r="O301" i="8" s="1"/>
  <c r="F299" i="8"/>
  <c r="M300" i="8" s="1"/>
  <c r="D298" i="8"/>
  <c r="K299" i="8" s="1"/>
  <c r="H296" i="8"/>
  <c r="O297" i="8" s="1"/>
  <c r="F295" i="8"/>
  <c r="M296" i="8" s="1"/>
  <c r="D294" i="8"/>
  <c r="K295" i="8" s="1"/>
  <c r="E292" i="8"/>
  <c r="L293" i="8" s="1"/>
  <c r="F290" i="8"/>
  <c r="M291" i="8" s="1"/>
  <c r="H288" i="8"/>
  <c r="O289" i="8" s="1"/>
  <c r="I286" i="8"/>
  <c r="P287" i="8" s="1"/>
  <c r="D285" i="8"/>
  <c r="K286" i="8" s="1"/>
  <c r="G281" i="8"/>
  <c r="N282" i="8" s="1"/>
  <c r="H279" i="8"/>
  <c r="O280" i="8" s="1"/>
  <c r="D278" i="8"/>
  <c r="K279" i="8" s="1"/>
  <c r="E276" i="8"/>
  <c r="L277" i="8" s="1"/>
  <c r="F274" i="8"/>
  <c r="M275" i="8" s="1"/>
  <c r="G272" i="8"/>
  <c r="N273" i="8" s="1"/>
  <c r="F270" i="8"/>
  <c r="M271" i="8" s="1"/>
  <c r="H263" i="8"/>
  <c r="O264" i="8" s="1"/>
  <c r="H255" i="8"/>
  <c r="O256" i="8" s="1"/>
  <c r="D253" i="8"/>
  <c r="K254" i="8" s="1"/>
  <c r="H247" i="8"/>
  <c r="O248" i="8" s="1"/>
  <c r="D245" i="8"/>
  <c r="K246" i="8" s="1"/>
  <c r="H239" i="8"/>
  <c r="O240" i="8" s="1"/>
  <c r="H231" i="8"/>
  <c r="O232" i="8" s="1"/>
  <c r="D229" i="8"/>
  <c r="K230" i="8" s="1"/>
  <c r="H223" i="8"/>
  <c r="O224" i="8" s="1"/>
  <c r="I214" i="8"/>
  <c r="P215" i="8" s="1"/>
  <c r="E204" i="8"/>
  <c r="L205" i="8" s="1"/>
  <c r="G200" i="8"/>
  <c r="N201" i="8" s="1"/>
  <c r="F197" i="8"/>
  <c r="M198" i="8" s="1"/>
  <c r="G193" i="8"/>
  <c r="N194" i="8" s="1"/>
  <c r="I189" i="8"/>
  <c r="P190" i="8" s="1"/>
  <c r="D207" i="8"/>
  <c r="K208" i="8" s="1"/>
  <c r="F207" i="8"/>
  <c r="M208" i="8" s="1"/>
  <c r="G207" i="8"/>
  <c r="N208" i="8" s="1"/>
  <c r="H207" i="8"/>
  <c r="O208" i="8" s="1"/>
  <c r="I207" i="8"/>
  <c r="P208" i="8" s="1"/>
  <c r="D127" i="8"/>
  <c r="K128" i="8" s="1"/>
  <c r="E127" i="8"/>
  <c r="L128" i="8" s="1"/>
  <c r="F127" i="8"/>
  <c r="M128" i="8" s="1"/>
  <c r="H127" i="8"/>
  <c r="O128" i="8" s="1"/>
  <c r="G127" i="8"/>
  <c r="N128" i="8" s="1"/>
  <c r="I127" i="8"/>
  <c r="P128" i="8" s="1"/>
  <c r="I351" i="8"/>
  <c r="P352" i="8" s="1"/>
  <c r="E345" i="8"/>
  <c r="L346" i="8" s="1"/>
  <c r="H261" i="8"/>
  <c r="O262" i="8" s="1"/>
  <c r="E261" i="8"/>
  <c r="L262" i="8" s="1"/>
  <c r="H221" i="8"/>
  <c r="O222" i="8" s="1"/>
  <c r="E221" i="8"/>
  <c r="L222" i="8" s="1"/>
  <c r="F173" i="8"/>
  <c r="M174" i="8" s="1"/>
  <c r="G173" i="8"/>
  <c r="N174" i="8" s="1"/>
  <c r="H173" i="8"/>
  <c r="O174" i="8" s="1"/>
  <c r="I173" i="8"/>
  <c r="P174" i="8" s="1"/>
  <c r="D173" i="8"/>
  <c r="K174" i="8" s="1"/>
  <c r="E173" i="8"/>
  <c r="L174" i="8" s="1"/>
  <c r="F117" i="8"/>
  <c r="M118" i="8" s="1"/>
  <c r="G117" i="8"/>
  <c r="N118" i="8" s="1"/>
  <c r="H117" i="8"/>
  <c r="O118" i="8" s="1"/>
  <c r="I117" i="8"/>
  <c r="P118" i="8" s="1"/>
  <c r="D117" i="8"/>
  <c r="K118" i="8" s="1"/>
  <c r="E117" i="8"/>
  <c r="L118" i="8" s="1"/>
  <c r="G359" i="8"/>
  <c r="N360" i="8" s="1"/>
  <c r="G319" i="8"/>
  <c r="N320" i="8" s="1"/>
  <c r="F268" i="8"/>
  <c r="M269" i="8" s="1"/>
  <c r="H268" i="8"/>
  <c r="O269" i="8" s="1"/>
  <c r="F252" i="8"/>
  <c r="M253" i="8" s="1"/>
  <c r="H252" i="8"/>
  <c r="O253" i="8" s="1"/>
  <c r="I252" i="8"/>
  <c r="P253" i="8" s="1"/>
  <c r="F236" i="8"/>
  <c r="M237" i="8" s="1"/>
  <c r="H236" i="8"/>
  <c r="O237" i="8" s="1"/>
  <c r="I236" i="8"/>
  <c r="P237" i="8" s="1"/>
  <c r="F228" i="8"/>
  <c r="M229" i="8" s="1"/>
  <c r="H228" i="8"/>
  <c r="O229" i="8" s="1"/>
  <c r="I228" i="8"/>
  <c r="P229" i="8" s="1"/>
  <c r="F212" i="8"/>
  <c r="M213" i="8" s="1"/>
  <c r="H212" i="8"/>
  <c r="O213" i="8" s="1"/>
  <c r="I212" i="8"/>
  <c r="P213" i="8" s="1"/>
  <c r="F196" i="8"/>
  <c r="M197" i="8" s="1"/>
  <c r="H196" i="8"/>
  <c r="O197" i="8" s="1"/>
  <c r="I196" i="8"/>
  <c r="P197" i="8" s="1"/>
  <c r="D180" i="8"/>
  <c r="K181" i="8" s="1"/>
  <c r="E180" i="8"/>
  <c r="L181" i="8" s="1"/>
  <c r="F180" i="8"/>
  <c r="M181" i="8" s="1"/>
  <c r="G180" i="8"/>
  <c r="N181" i="8" s="1"/>
  <c r="H180" i="8"/>
  <c r="O181" i="8" s="1"/>
  <c r="I180" i="8"/>
  <c r="P181" i="8" s="1"/>
  <c r="D164" i="8"/>
  <c r="K165" i="8" s="1"/>
  <c r="E164" i="8"/>
  <c r="L165" i="8" s="1"/>
  <c r="F164" i="8"/>
  <c r="M165" i="8" s="1"/>
  <c r="G164" i="8"/>
  <c r="N165" i="8" s="1"/>
  <c r="H164" i="8"/>
  <c r="O165" i="8" s="1"/>
  <c r="I164" i="8"/>
  <c r="P165" i="8" s="1"/>
  <c r="D148" i="8"/>
  <c r="K149" i="8" s="1"/>
  <c r="E148" i="8"/>
  <c r="L149" i="8" s="1"/>
  <c r="F148" i="8"/>
  <c r="M149" i="8" s="1"/>
  <c r="G148" i="8"/>
  <c r="N149" i="8" s="1"/>
  <c r="H148" i="8"/>
  <c r="O149" i="8" s="1"/>
  <c r="I148" i="8"/>
  <c r="P149" i="8" s="1"/>
  <c r="D132" i="8"/>
  <c r="K133" i="8" s="1"/>
  <c r="E132" i="8"/>
  <c r="L133" i="8" s="1"/>
  <c r="F132" i="8"/>
  <c r="M133" i="8" s="1"/>
  <c r="G132" i="8"/>
  <c r="N133" i="8" s="1"/>
  <c r="H132" i="8"/>
  <c r="O133" i="8" s="1"/>
  <c r="I132" i="8"/>
  <c r="P133" i="8" s="1"/>
  <c r="D116" i="8"/>
  <c r="K117" i="8" s="1"/>
  <c r="E116" i="8"/>
  <c r="L117" i="8" s="1"/>
  <c r="F116" i="8"/>
  <c r="M117" i="8" s="1"/>
  <c r="G116" i="8"/>
  <c r="N117" i="8" s="1"/>
  <c r="H116" i="8"/>
  <c r="O117" i="8" s="1"/>
  <c r="I116" i="8"/>
  <c r="P117" i="8" s="1"/>
  <c r="D100" i="8"/>
  <c r="K101" i="8" s="1"/>
  <c r="E100" i="8"/>
  <c r="L101" i="8" s="1"/>
  <c r="F100" i="8"/>
  <c r="M101" i="8" s="1"/>
  <c r="G100" i="8"/>
  <c r="N101" i="8" s="1"/>
  <c r="H100" i="8"/>
  <c r="O101" i="8" s="1"/>
  <c r="I100" i="8"/>
  <c r="P101" i="8" s="1"/>
  <c r="D84" i="8"/>
  <c r="K85" i="8" s="1"/>
  <c r="E84" i="8"/>
  <c r="L85" i="8" s="1"/>
  <c r="F84" i="8"/>
  <c r="M85" i="8" s="1"/>
  <c r="G84" i="8"/>
  <c r="N85" i="8" s="1"/>
  <c r="H84" i="8"/>
  <c r="O85" i="8" s="1"/>
  <c r="I84" i="8"/>
  <c r="P85" i="8" s="1"/>
  <c r="D76" i="8"/>
  <c r="K77" i="8" s="1"/>
  <c r="E76" i="8"/>
  <c r="L77" i="8" s="1"/>
  <c r="F76" i="8"/>
  <c r="M77" i="8" s="1"/>
  <c r="G76" i="8"/>
  <c r="N77" i="8" s="1"/>
  <c r="H76" i="8"/>
  <c r="O77" i="8" s="1"/>
  <c r="I76" i="8"/>
  <c r="P77" i="8" s="1"/>
  <c r="F375" i="8"/>
  <c r="M376" i="8" s="1"/>
  <c r="D291" i="8"/>
  <c r="K292" i="8" s="1"/>
  <c r="I291" i="8"/>
  <c r="P292" i="8" s="1"/>
  <c r="D283" i="8"/>
  <c r="K284" i="8" s="1"/>
  <c r="I283" i="8"/>
  <c r="P284" i="8" s="1"/>
  <c r="D275" i="8"/>
  <c r="K276" i="8" s="1"/>
  <c r="I275" i="8"/>
  <c r="P276" i="8" s="1"/>
  <c r="D267" i="8"/>
  <c r="K268" i="8" s="1"/>
  <c r="F267" i="8"/>
  <c r="M268" i="8" s="1"/>
  <c r="I267" i="8"/>
  <c r="P268" i="8" s="1"/>
  <c r="D259" i="8"/>
  <c r="K260" i="8" s="1"/>
  <c r="F259" i="8"/>
  <c r="M260" i="8" s="1"/>
  <c r="G259" i="8"/>
  <c r="N260" i="8" s="1"/>
  <c r="I259" i="8"/>
  <c r="P260" i="8" s="1"/>
  <c r="D251" i="8"/>
  <c r="K252" i="8" s="1"/>
  <c r="F251" i="8"/>
  <c r="M252" i="8" s="1"/>
  <c r="G251" i="8"/>
  <c r="N252" i="8" s="1"/>
  <c r="I251" i="8"/>
  <c r="P252" i="8" s="1"/>
  <c r="D243" i="8"/>
  <c r="K244" i="8" s="1"/>
  <c r="F243" i="8"/>
  <c r="M244" i="8" s="1"/>
  <c r="G243" i="8"/>
  <c r="N244" i="8" s="1"/>
  <c r="I243" i="8"/>
  <c r="P244" i="8" s="1"/>
  <c r="D235" i="8"/>
  <c r="K236" i="8" s="1"/>
  <c r="F235" i="8"/>
  <c r="M236" i="8" s="1"/>
  <c r="G235" i="8"/>
  <c r="N236" i="8" s="1"/>
  <c r="I235" i="8"/>
  <c r="P236" i="8" s="1"/>
  <c r="D227" i="8"/>
  <c r="K228" i="8" s="1"/>
  <c r="F227" i="8"/>
  <c r="M228" i="8" s="1"/>
  <c r="G227" i="8"/>
  <c r="N228" i="8" s="1"/>
  <c r="I227" i="8"/>
  <c r="P228" i="8" s="1"/>
  <c r="D219" i="8"/>
  <c r="K220" i="8" s="1"/>
  <c r="F219" i="8"/>
  <c r="M220" i="8" s="1"/>
  <c r="G219" i="8"/>
  <c r="N220" i="8" s="1"/>
  <c r="I219" i="8"/>
  <c r="P220" i="8" s="1"/>
  <c r="D211" i="8"/>
  <c r="K212" i="8" s="1"/>
  <c r="F211" i="8"/>
  <c r="M212" i="8" s="1"/>
  <c r="G211" i="8"/>
  <c r="N212" i="8" s="1"/>
  <c r="H211" i="8"/>
  <c r="O212" i="8" s="1"/>
  <c r="I211" i="8"/>
  <c r="P212" i="8" s="1"/>
  <c r="D203" i="8"/>
  <c r="K204" i="8" s="1"/>
  <c r="F203" i="8"/>
  <c r="M204" i="8" s="1"/>
  <c r="G203" i="8"/>
  <c r="N204" i="8" s="1"/>
  <c r="H203" i="8"/>
  <c r="O204" i="8" s="1"/>
  <c r="I203" i="8"/>
  <c r="P204" i="8" s="1"/>
  <c r="D195" i="8"/>
  <c r="K196" i="8" s="1"/>
  <c r="F195" i="8"/>
  <c r="M196" i="8" s="1"/>
  <c r="G195" i="8"/>
  <c r="N196" i="8" s="1"/>
  <c r="H195" i="8"/>
  <c r="O196" i="8" s="1"/>
  <c r="I195" i="8"/>
  <c r="P196" i="8" s="1"/>
  <c r="D187" i="8"/>
  <c r="K188" i="8" s="1"/>
  <c r="F187" i="8"/>
  <c r="M188" i="8" s="1"/>
  <c r="G187" i="8"/>
  <c r="N188" i="8" s="1"/>
  <c r="H187" i="8"/>
  <c r="O188" i="8" s="1"/>
  <c r="I187" i="8"/>
  <c r="P188" i="8" s="1"/>
  <c r="D179" i="8"/>
  <c r="K180" i="8" s="1"/>
  <c r="E179" i="8"/>
  <c r="L180" i="8" s="1"/>
  <c r="H179" i="8"/>
  <c r="O180" i="8" s="1"/>
  <c r="F179" i="8"/>
  <c r="M180" i="8" s="1"/>
  <c r="G179" i="8"/>
  <c r="N180" i="8" s="1"/>
  <c r="I179" i="8"/>
  <c r="P180" i="8" s="1"/>
  <c r="D171" i="8"/>
  <c r="K172" i="8" s="1"/>
  <c r="E171" i="8"/>
  <c r="L172" i="8" s="1"/>
  <c r="H171" i="8"/>
  <c r="O172" i="8" s="1"/>
  <c r="G171" i="8"/>
  <c r="N172" i="8" s="1"/>
  <c r="I171" i="8"/>
  <c r="P172" i="8" s="1"/>
  <c r="D163" i="8"/>
  <c r="K164" i="8" s="1"/>
  <c r="E163" i="8"/>
  <c r="L164" i="8" s="1"/>
  <c r="F163" i="8"/>
  <c r="M164" i="8" s="1"/>
  <c r="H163" i="8"/>
  <c r="O164" i="8" s="1"/>
  <c r="G163" i="8"/>
  <c r="N164" i="8" s="1"/>
  <c r="I163" i="8"/>
  <c r="P164" i="8" s="1"/>
  <c r="D155" i="8"/>
  <c r="K156" i="8" s="1"/>
  <c r="E155" i="8"/>
  <c r="L156" i="8" s="1"/>
  <c r="F155" i="8"/>
  <c r="M156" i="8" s="1"/>
  <c r="H155" i="8"/>
  <c r="O156" i="8" s="1"/>
  <c r="G155" i="8"/>
  <c r="N156" i="8" s="1"/>
  <c r="D147" i="8"/>
  <c r="K148" i="8" s="1"/>
  <c r="E147" i="8"/>
  <c r="L148" i="8" s="1"/>
  <c r="F147" i="8"/>
  <c r="M148" i="8" s="1"/>
  <c r="H147" i="8"/>
  <c r="O148" i="8" s="1"/>
  <c r="G147" i="8"/>
  <c r="N148" i="8" s="1"/>
  <c r="I147" i="8"/>
  <c r="P148" i="8" s="1"/>
  <c r="D139" i="8"/>
  <c r="K140" i="8" s="1"/>
  <c r="E139" i="8"/>
  <c r="L140" i="8" s="1"/>
  <c r="F139" i="8"/>
  <c r="M140" i="8" s="1"/>
  <c r="H139" i="8"/>
  <c r="O140" i="8" s="1"/>
  <c r="G139" i="8"/>
  <c r="N140" i="8" s="1"/>
  <c r="D131" i="8"/>
  <c r="K132" i="8" s="1"/>
  <c r="E131" i="8"/>
  <c r="L132" i="8" s="1"/>
  <c r="F131" i="8"/>
  <c r="M132" i="8" s="1"/>
  <c r="H131" i="8"/>
  <c r="O132" i="8" s="1"/>
  <c r="G131" i="8"/>
  <c r="N132" i="8" s="1"/>
  <c r="I131" i="8"/>
  <c r="P132" i="8" s="1"/>
  <c r="D123" i="8"/>
  <c r="K124" i="8" s="1"/>
  <c r="E123" i="8"/>
  <c r="L124" i="8" s="1"/>
  <c r="F123" i="8"/>
  <c r="M124" i="8" s="1"/>
  <c r="H123" i="8"/>
  <c r="O124" i="8" s="1"/>
  <c r="G123" i="8"/>
  <c r="N124" i="8" s="1"/>
  <c r="D115" i="8"/>
  <c r="K116" i="8" s="1"/>
  <c r="E115" i="8"/>
  <c r="L116" i="8" s="1"/>
  <c r="F115" i="8"/>
  <c r="M116" i="8" s="1"/>
  <c r="H115" i="8"/>
  <c r="O116" i="8" s="1"/>
  <c r="G115" i="8"/>
  <c r="N116" i="8" s="1"/>
  <c r="I115" i="8"/>
  <c r="P116" i="8" s="1"/>
  <c r="D107" i="8"/>
  <c r="K108" i="8" s="1"/>
  <c r="E107" i="8"/>
  <c r="L108" i="8" s="1"/>
  <c r="F107" i="8"/>
  <c r="M108" i="8" s="1"/>
  <c r="H107" i="8"/>
  <c r="O108" i="8" s="1"/>
  <c r="G107" i="8"/>
  <c r="N108" i="8" s="1"/>
  <c r="D99" i="8"/>
  <c r="K100" i="8" s="1"/>
  <c r="E99" i="8"/>
  <c r="L100" i="8" s="1"/>
  <c r="F99" i="8"/>
  <c r="M100" i="8" s="1"/>
  <c r="H99" i="8"/>
  <c r="O100" i="8" s="1"/>
  <c r="G99" i="8"/>
  <c r="N100" i="8" s="1"/>
  <c r="I99" i="8"/>
  <c r="P100" i="8" s="1"/>
  <c r="D91" i="8"/>
  <c r="K92" i="8" s="1"/>
  <c r="E91" i="8"/>
  <c r="L92" i="8" s="1"/>
  <c r="F91" i="8"/>
  <c r="M92" i="8" s="1"/>
  <c r="H91" i="8"/>
  <c r="O92" i="8" s="1"/>
  <c r="G91" i="8"/>
  <c r="N92" i="8" s="1"/>
  <c r="D83" i="8"/>
  <c r="K84" i="8" s="1"/>
  <c r="E83" i="8"/>
  <c r="L84" i="8" s="1"/>
  <c r="F83" i="8"/>
  <c r="M84" i="8" s="1"/>
  <c r="H83" i="8"/>
  <c r="O84" i="8" s="1"/>
  <c r="G83" i="8"/>
  <c r="N84" i="8" s="1"/>
  <c r="I83" i="8"/>
  <c r="P84" i="8" s="1"/>
  <c r="D75" i="8"/>
  <c r="K76" i="8" s="1"/>
  <c r="E75" i="8"/>
  <c r="L76" i="8" s="1"/>
  <c r="F75" i="8"/>
  <c r="M76" i="8" s="1"/>
  <c r="H75" i="8"/>
  <c r="O76" i="8" s="1"/>
  <c r="G75" i="8"/>
  <c r="N76" i="8" s="1"/>
  <c r="I378" i="8"/>
  <c r="G376" i="8"/>
  <c r="N377" i="8" s="1"/>
  <c r="E375" i="8"/>
  <c r="L376" i="8" s="1"/>
  <c r="I373" i="8"/>
  <c r="P374" i="8" s="1"/>
  <c r="G372" i="8"/>
  <c r="N373" i="8" s="1"/>
  <c r="E371" i="8"/>
  <c r="L372" i="8" s="1"/>
  <c r="I369" i="8"/>
  <c r="P370" i="8" s="1"/>
  <c r="G368" i="8"/>
  <c r="N369" i="8" s="1"/>
  <c r="E367" i="8"/>
  <c r="L368" i="8" s="1"/>
  <c r="I365" i="8"/>
  <c r="P366" i="8" s="1"/>
  <c r="G364" i="8"/>
  <c r="N365" i="8" s="1"/>
  <c r="E363" i="8"/>
  <c r="L364" i="8" s="1"/>
  <c r="I361" i="8"/>
  <c r="P362" i="8" s="1"/>
  <c r="G360" i="8"/>
  <c r="N361" i="8" s="1"/>
  <c r="E359" i="8"/>
  <c r="L360" i="8" s="1"/>
  <c r="I357" i="8"/>
  <c r="P358" i="8" s="1"/>
  <c r="G356" i="8"/>
  <c r="N357" i="8" s="1"/>
  <c r="E355" i="8"/>
  <c r="L356" i="8" s="1"/>
  <c r="I353" i="8"/>
  <c r="P354" i="8" s="1"/>
  <c r="G352" i="8"/>
  <c r="N353" i="8" s="1"/>
  <c r="E351" i="8"/>
  <c r="L352" i="8" s="1"/>
  <c r="I349" i="8"/>
  <c r="P350" i="8" s="1"/>
  <c r="G348" i="8"/>
  <c r="N349" i="8" s="1"/>
  <c r="E347" i="8"/>
  <c r="L348" i="8" s="1"/>
  <c r="I345" i="8"/>
  <c r="P346" i="8" s="1"/>
  <c r="G344" i="8"/>
  <c r="N345" i="8" s="1"/>
  <c r="E343" i="8"/>
  <c r="L344" i="8" s="1"/>
  <c r="I341" i="8"/>
  <c r="P342" i="8" s="1"/>
  <c r="G340" i="8"/>
  <c r="N341" i="8" s="1"/>
  <c r="E339" i="8"/>
  <c r="L340" i="8" s="1"/>
  <c r="I337" i="8"/>
  <c r="P338" i="8" s="1"/>
  <c r="G336" i="8"/>
  <c r="N337" i="8" s="1"/>
  <c r="E335" i="8"/>
  <c r="L336" i="8" s="1"/>
  <c r="I333" i="8"/>
  <c r="P334" i="8" s="1"/>
  <c r="G332" i="8"/>
  <c r="N333" i="8" s="1"/>
  <c r="E331" i="8"/>
  <c r="L332" i="8" s="1"/>
  <c r="I329" i="8"/>
  <c r="P330" i="8" s="1"/>
  <c r="G328" i="8"/>
  <c r="N329" i="8" s="1"/>
  <c r="E327" i="8"/>
  <c r="L328" i="8" s="1"/>
  <c r="I325" i="8"/>
  <c r="P326" i="8" s="1"/>
  <c r="G324" i="8"/>
  <c r="N325" i="8" s="1"/>
  <c r="E323" i="8"/>
  <c r="L324" i="8" s="1"/>
  <c r="I321" i="8"/>
  <c r="P322" i="8" s="1"/>
  <c r="G320" i="8"/>
  <c r="N321" i="8" s="1"/>
  <c r="E319" i="8"/>
  <c r="L320" i="8" s="1"/>
  <c r="I317" i="8"/>
  <c r="P318" i="8" s="1"/>
  <c r="G316" i="8"/>
  <c r="N317" i="8" s="1"/>
  <c r="E315" i="8"/>
  <c r="L316" i="8" s="1"/>
  <c r="I313" i="8"/>
  <c r="P314" i="8" s="1"/>
  <c r="G312" i="8"/>
  <c r="N313" i="8" s="1"/>
  <c r="E311" i="8"/>
  <c r="L312" i="8" s="1"/>
  <c r="I309" i="8"/>
  <c r="P310" i="8" s="1"/>
  <c r="G308" i="8"/>
  <c r="N309" i="8" s="1"/>
  <c r="E307" i="8"/>
  <c r="L308" i="8" s="1"/>
  <c r="I305" i="8"/>
  <c r="P306" i="8" s="1"/>
  <c r="G304" i="8"/>
  <c r="N305" i="8" s="1"/>
  <c r="E303" i="8"/>
  <c r="L304" i="8" s="1"/>
  <c r="I301" i="8"/>
  <c r="P302" i="8" s="1"/>
  <c r="G300" i="8"/>
  <c r="N301" i="8" s="1"/>
  <c r="E299" i="8"/>
  <c r="L300" i="8" s="1"/>
  <c r="I297" i="8"/>
  <c r="P298" i="8" s="1"/>
  <c r="G296" i="8"/>
  <c r="N297" i="8" s="1"/>
  <c r="E295" i="8"/>
  <c r="L296" i="8" s="1"/>
  <c r="D292" i="8"/>
  <c r="K293" i="8" s="1"/>
  <c r="E290" i="8"/>
  <c r="L291" i="8" s="1"/>
  <c r="G288" i="8"/>
  <c r="N289" i="8" s="1"/>
  <c r="H286" i="8"/>
  <c r="O287" i="8" s="1"/>
  <c r="I284" i="8"/>
  <c r="P285" i="8" s="1"/>
  <c r="E283" i="8"/>
  <c r="L284" i="8" s="1"/>
  <c r="F281" i="8"/>
  <c r="M282" i="8" s="1"/>
  <c r="G279" i="8"/>
  <c r="N280" i="8" s="1"/>
  <c r="I277" i="8"/>
  <c r="P278" i="8" s="1"/>
  <c r="D276" i="8"/>
  <c r="K277" i="8" s="1"/>
  <c r="E274" i="8"/>
  <c r="L275" i="8" s="1"/>
  <c r="E272" i="8"/>
  <c r="L273" i="8" s="1"/>
  <c r="E270" i="8"/>
  <c r="L271" i="8" s="1"/>
  <c r="D268" i="8"/>
  <c r="K269" i="8" s="1"/>
  <c r="I265" i="8"/>
  <c r="P266" i="8" s="1"/>
  <c r="E263" i="8"/>
  <c r="L264" i="8" s="1"/>
  <c r="G260" i="8"/>
  <c r="N261" i="8" s="1"/>
  <c r="I257" i="8"/>
  <c r="P258" i="8" s="1"/>
  <c r="G252" i="8"/>
  <c r="N253" i="8" s="1"/>
  <c r="I249" i="8"/>
  <c r="P250" i="8" s="1"/>
  <c r="G244" i="8"/>
  <c r="N245" i="8" s="1"/>
  <c r="I241" i="8"/>
  <c r="P242" i="8" s="1"/>
  <c r="E239" i="8"/>
  <c r="L240" i="8" s="1"/>
  <c r="G236" i="8"/>
  <c r="N237" i="8" s="1"/>
  <c r="I233" i="8"/>
  <c r="P234" i="8" s="1"/>
  <c r="E231" i="8"/>
  <c r="L232" i="8" s="1"/>
  <c r="G228" i="8"/>
  <c r="N229" i="8" s="1"/>
  <c r="I225" i="8"/>
  <c r="P226" i="8" s="1"/>
  <c r="G220" i="8"/>
  <c r="N221" i="8" s="1"/>
  <c r="I217" i="8"/>
  <c r="P218" i="8" s="1"/>
  <c r="H214" i="8"/>
  <c r="O215" i="8" s="1"/>
  <c r="E207" i="8"/>
  <c r="L208" i="8" s="1"/>
  <c r="D204" i="8"/>
  <c r="K205" i="8" s="1"/>
  <c r="E200" i="8"/>
  <c r="L201" i="8" s="1"/>
  <c r="G196" i="8"/>
  <c r="N197" i="8" s="1"/>
  <c r="I185" i="8"/>
  <c r="P186" i="8" s="1"/>
  <c r="G174" i="8"/>
  <c r="N175" i="8" s="1"/>
  <c r="G134" i="8"/>
  <c r="N135" i="8" s="1"/>
  <c r="I91" i="8"/>
  <c r="P92" i="8" s="1"/>
  <c r="D271" i="8"/>
  <c r="K272" i="8" s="1"/>
  <c r="F271" i="8"/>
  <c r="M272" i="8" s="1"/>
  <c r="I271" i="8"/>
  <c r="P272" i="8" s="1"/>
  <c r="D223" i="8"/>
  <c r="K224" i="8" s="1"/>
  <c r="F223" i="8"/>
  <c r="M224" i="8" s="1"/>
  <c r="G223" i="8"/>
  <c r="N224" i="8" s="1"/>
  <c r="I223" i="8"/>
  <c r="P224" i="8" s="1"/>
  <c r="D183" i="8"/>
  <c r="K184" i="8" s="1"/>
  <c r="E183" i="8"/>
  <c r="L184" i="8" s="1"/>
  <c r="F183" i="8"/>
  <c r="M184" i="8" s="1"/>
  <c r="G183" i="8"/>
  <c r="N184" i="8" s="1"/>
  <c r="H183" i="8"/>
  <c r="O184" i="8" s="1"/>
  <c r="I183" i="8"/>
  <c r="P184" i="8" s="1"/>
  <c r="D159" i="8"/>
  <c r="K160" i="8" s="1"/>
  <c r="E159" i="8"/>
  <c r="L160" i="8" s="1"/>
  <c r="F159" i="8"/>
  <c r="M160" i="8" s="1"/>
  <c r="H159" i="8"/>
  <c r="O160" i="8" s="1"/>
  <c r="G159" i="8"/>
  <c r="N160" i="8" s="1"/>
  <c r="I159" i="8"/>
  <c r="P160" i="8" s="1"/>
  <c r="D119" i="8"/>
  <c r="K120" i="8" s="1"/>
  <c r="E119" i="8"/>
  <c r="L120" i="8" s="1"/>
  <c r="F119" i="8"/>
  <c r="M120" i="8" s="1"/>
  <c r="H119" i="8"/>
  <c r="O120" i="8" s="1"/>
  <c r="G119" i="8"/>
  <c r="N120" i="8" s="1"/>
  <c r="I119" i="8"/>
  <c r="P120" i="8" s="1"/>
  <c r="D87" i="8"/>
  <c r="K88" i="8" s="1"/>
  <c r="E87" i="8"/>
  <c r="L88" i="8" s="1"/>
  <c r="F87" i="8"/>
  <c r="M88" i="8" s="1"/>
  <c r="H87" i="8"/>
  <c r="O88" i="8" s="1"/>
  <c r="G87" i="8"/>
  <c r="N88" i="8" s="1"/>
  <c r="I87" i="8"/>
  <c r="P88" i="8" s="1"/>
  <c r="D71" i="8"/>
  <c r="K72" i="8" s="1"/>
  <c r="E71" i="8"/>
  <c r="L72" i="8" s="1"/>
  <c r="F71" i="8"/>
  <c r="M72" i="8" s="1"/>
  <c r="G71" i="8"/>
  <c r="N72" i="8" s="1"/>
  <c r="H71" i="8"/>
  <c r="O72" i="8" s="1"/>
  <c r="I71" i="8"/>
  <c r="P72" i="8" s="1"/>
  <c r="E353" i="8"/>
  <c r="L354" i="8" s="1"/>
  <c r="I327" i="8"/>
  <c r="P328" i="8" s="1"/>
  <c r="H293" i="8"/>
  <c r="O294" i="8" s="1"/>
  <c r="E293" i="8"/>
  <c r="L294" i="8" s="1"/>
  <c r="H269" i="8"/>
  <c r="O270" i="8" s="1"/>
  <c r="E269" i="8"/>
  <c r="L270" i="8" s="1"/>
  <c r="H237" i="8"/>
  <c r="O238" i="8" s="1"/>
  <c r="E237" i="8"/>
  <c r="L238" i="8" s="1"/>
  <c r="H205" i="8"/>
  <c r="O206" i="8" s="1"/>
  <c r="D205" i="8"/>
  <c r="K206" i="8" s="1"/>
  <c r="E205" i="8"/>
  <c r="L206" i="8" s="1"/>
  <c r="H189" i="8"/>
  <c r="O190" i="8" s="1"/>
  <c r="D189" i="8"/>
  <c r="K190" i="8" s="1"/>
  <c r="E189" i="8"/>
  <c r="L190" i="8" s="1"/>
  <c r="F157" i="8"/>
  <c r="M158" i="8" s="1"/>
  <c r="G157" i="8"/>
  <c r="N158" i="8" s="1"/>
  <c r="H157" i="8"/>
  <c r="O158" i="8" s="1"/>
  <c r="I157" i="8"/>
  <c r="P158" i="8" s="1"/>
  <c r="D157" i="8"/>
  <c r="K158" i="8" s="1"/>
  <c r="E157" i="8"/>
  <c r="L158" i="8" s="1"/>
  <c r="F141" i="8"/>
  <c r="M142" i="8" s="1"/>
  <c r="G141" i="8"/>
  <c r="N142" i="8" s="1"/>
  <c r="H141" i="8"/>
  <c r="O142" i="8" s="1"/>
  <c r="I141" i="8"/>
  <c r="P142" i="8" s="1"/>
  <c r="D141" i="8"/>
  <c r="K142" i="8" s="1"/>
  <c r="E141" i="8"/>
  <c r="L142" i="8" s="1"/>
  <c r="F109" i="8"/>
  <c r="M110" i="8" s="1"/>
  <c r="G109" i="8"/>
  <c r="N110" i="8" s="1"/>
  <c r="H109" i="8"/>
  <c r="O110" i="8" s="1"/>
  <c r="I109" i="8"/>
  <c r="P110" i="8" s="1"/>
  <c r="D109" i="8"/>
  <c r="K110" i="8" s="1"/>
  <c r="E109" i="8"/>
  <c r="L110" i="8" s="1"/>
  <c r="F85" i="8"/>
  <c r="M86" i="8" s="1"/>
  <c r="G85" i="8"/>
  <c r="N86" i="8" s="1"/>
  <c r="H85" i="8"/>
  <c r="O86" i="8" s="1"/>
  <c r="I85" i="8"/>
  <c r="P86" i="8" s="1"/>
  <c r="D85" i="8"/>
  <c r="K86" i="8" s="1"/>
  <c r="E85" i="8"/>
  <c r="L86" i="8" s="1"/>
  <c r="G327" i="8"/>
  <c r="N328" i="8" s="1"/>
  <c r="G311" i="8"/>
  <c r="N312" i="8" s="1"/>
  <c r="G303" i="8"/>
  <c r="N304" i="8" s="1"/>
  <c r="D266" i="8"/>
  <c r="K267" i="8" s="1"/>
  <c r="G266" i="8"/>
  <c r="N267" i="8" s="1"/>
  <c r="D258" i="8"/>
  <c r="K259" i="8" s="1"/>
  <c r="E258" i="8"/>
  <c r="L259" i="8" s="1"/>
  <c r="G258" i="8"/>
  <c r="N259" i="8" s="1"/>
  <c r="D250" i="8"/>
  <c r="K251" i="8" s="1"/>
  <c r="E250" i="8"/>
  <c r="L251" i="8" s="1"/>
  <c r="G250" i="8"/>
  <c r="N251" i="8" s="1"/>
  <c r="D242" i="8"/>
  <c r="K243" i="8" s="1"/>
  <c r="E242" i="8"/>
  <c r="L243" i="8" s="1"/>
  <c r="G242" i="8"/>
  <c r="N243" i="8" s="1"/>
  <c r="D234" i="8"/>
  <c r="K235" i="8" s="1"/>
  <c r="E234" i="8"/>
  <c r="L235" i="8" s="1"/>
  <c r="G234" i="8"/>
  <c r="N235" i="8" s="1"/>
  <c r="D226" i="8"/>
  <c r="K227" i="8" s="1"/>
  <c r="E226" i="8"/>
  <c r="L227" i="8" s="1"/>
  <c r="G226" i="8"/>
  <c r="N227" i="8" s="1"/>
  <c r="D218" i="8"/>
  <c r="K219" i="8" s="1"/>
  <c r="E218" i="8"/>
  <c r="L219" i="8" s="1"/>
  <c r="G218" i="8"/>
  <c r="N219" i="8" s="1"/>
  <c r="D210" i="8"/>
  <c r="K211" i="8" s="1"/>
  <c r="E210" i="8"/>
  <c r="L211" i="8" s="1"/>
  <c r="F210" i="8"/>
  <c r="M211" i="8" s="1"/>
  <c r="G210" i="8"/>
  <c r="N211" i="8" s="1"/>
  <c r="D202" i="8"/>
  <c r="K203" i="8" s="1"/>
  <c r="E202" i="8"/>
  <c r="L203" i="8" s="1"/>
  <c r="F202" i="8"/>
  <c r="M203" i="8" s="1"/>
  <c r="G202" i="8"/>
  <c r="N203" i="8" s="1"/>
  <c r="D194" i="8"/>
  <c r="K195" i="8" s="1"/>
  <c r="E194" i="8"/>
  <c r="L195" i="8" s="1"/>
  <c r="F194" i="8"/>
  <c r="M195" i="8" s="1"/>
  <c r="G194" i="8"/>
  <c r="N195" i="8" s="1"/>
  <c r="D186" i="8"/>
  <c r="K187" i="8" s="1"/>
  <c r="E186" i="8"/>
  <c r="L187" i="8" s="1"/>
  <c r="F186" i="8"/>
  <c r="M187" i="8" s="1"/>
  <c r="G186" i="8"/>
  <c r="N187" i="8" s="1"/>
  <c r="H178" i="8"/>
  <c r="O179" i="8" s="1"/>
  <c r="I178" i="8"/>
  <c r="P179" i="8" s="1"/>
  <c r="F178" i="8"/>
  <c r="M179" i="8" s="1"/>
  <c r="G178" i="8"/>
  <c r="N179" i="8" s="1"/>
  <c r="D178" i="8"/>
  <c r="K179" i="8" s="1"/>
  <c r="H170" i="8"/>
  <c r="O171" i="8" s="1"/>
  <c r="I170" i="8"/>
  <c r="P171" i="8" s="1"/>
  <c r="F170" i="8"/>
  <c r="M171" i="8" s="1"/>
  <c r="D170" i="8"/>
  <c r="K171" i="8" s="1"/>
  <c r="E170" i="8"/>
  <c r="L171" i="8" s="1"/>
  <c r="G170" i="8"/>
  <c r="N171" i="8" s="1"/>
  <c r="H162" i="8"/>
  <c r="O163" i="8" s="1"/>
  <c r="I162" i="8"/>
  <c r="P163" i="8" s="1"/>
  <c r="D162" i="8"/>
  <c r="K163" i="8" s="1"/>
  <c r="F162" i="8"/>
  <c r="M163" i="8" s="1"/>
  <c r="E162" i="8"/>
  <c r="L163" i="8" s="1"/>
  <c r="G162" i="8"/>
  <c r="N163" i="8" s="1"/>
  <c r="H154" i="8"/>
  <c r="O155" i="8" s="1"/>
  <c r="I154" i="8"/>
  <c r="P155" i="8" s="1"/>
  <c r="D154" i="8"/>
  <c r="K155" i="8" s="1"/>
  <c r="F154" i="8"/>
  <c r="M155" i="8" s="1"/>
  <c r="E154" i="8"/>
  <c r="L155" i="8" s="1"/>
  <c r="G154" i="8"/>
  <c r="N155" i="8" s="1"/>
  <c r="H146" i="8"/>
  <c r="O147" i="8" s="1"/>
  <c r="I146" i="8"/>
  <c r="P147" i="8" s="1"/>
  <c r="D146" i="8"/>
  <c r="K147" i="8" s="1"/>
  <c r="F146" i="8"/>
  <c r="M147" i="8" s="1"/>
  <c r="E146" i="8"/>
  <c r="L147" i="8" s="1"/>
  <c r="G146" i="8"/>
  <c r="N147" i="8" s="1"/>
  <c r="H138" i="8"/>
  <c r="O139" i="8" s="1"/>
  <c r="I138" i="8"/>
  <c r="P139" i="8" s="1"/>
  <c r="D138" i="8"/>
  <c r="K139" i="8" s="1"/>
  <c r="F138" i="8"/>
  <c r="M139" i="8" s="1"/>
  <c r="E138" i="8"/>
  <c r="L139" i="8" s="1"/>
  <c r="G138" i="8"/>
  <c r="N139" i="8" s="1"/>
  <c r="H130" i="8"/>
  <c r="O131" i="8" s="1"/>
  <c r="I130" i="8"/>
  <c r="P131" i="8" s="1"/>
  <c r="D130" i="8"/>
  <c r="K131" i="8" s="1"/>
  <c r="F130" i="8"/>
  <c r="M131" i="8" s="1"/>
  <c r="E130" i="8"/>
  <c r="L131" i="8" s="1"/>
  <c r="G130" i="8"/>
  <c r="N131" i="8" s="1"/>
  <c r="H122" i="8"/>
  <c r="O123" i="8" s="1"/>
  <c r="I122" i="8"/>
  <c r="P123" i="8" s="1"/>
  <c r="D122" i="8"/>
  <c r="K123" i="8" s="1"/>
  <c r="F122" i="8"/>
  <c r="M123" i="8" s="1"/>
  <c r="E122" i="8"/>
  <c r="L123" i="8" s="1"/>
  <c r="G122" i="8"/>
  <c r="N123" i="8" s="1"/>
  <c r="H114" i="8"/>
  <c r="O115" i="8" s="1"/>
  <c r="I114" i="8"/>
  <c r="P115" i="8" s="1"/>
  <c r="D114" i="8"/>
  <c r="K115" i="8" s="1"/>
  <c r="F114" i="8"/>
  <c r="M115" i="8" s="1"/>
  <c r="E114" i="8"/>
  <c r="L115" i="8" s="1"/>
  <c r="G114" i="8"/>
  <c r="N115" i="8" s="1"/>
  <c r="H106" i="8"/>
  <c r="O107" i="8" s="1"/>
  <c r="I106" i="8"/>
  <c r="P107" i="8" s="1"/>
  <c r="D106" i="8"/>
  <c r="K107" i="8" s="1"/>
  <c r="F106" i="8"/>
  <c r="M107" i="8" s="1"/>
  <c r="E106" i="8"/>
  <c r="L107" i="8" s="1"/>
  <c r="G106" i="8"/>
  <c r="N107" i="8" s="1"/>
  <c r="H98" i="8"/>
  <c r="O99" i="8" s="1"/>
  <c r="I98" i="8"/>
  <c r="P99" i="8" s="1"/>
  <c r="D98" i="8"/>
  <c r="K99" i="8" s="1"/>
  <c r="F98" i="8"/>
  <c r="M99" i="8" s="1"/>
  <c r="E98" i="8"/>
  <c r="L99" i="8" s="1"/>
  <c r="G98" i="8"/>
  <c r="N99" i="8" s="1"/>
  <c r="H90" i="8"/>
  <c r="O91" i="8" s="1"/>
  <c r="I90" i="8"/>
  <c r="P91" i="8" s="1"/>
  <c r="D90" i="8"/>
  <c r="K91" i="8" s="1"/>
  <c r="F90" i="8"/>
  <c r="M91" i="8" s="1"/>
  <c r="E90" i="8"/>
  <c r="L91" i="8" s="1"/>
  <c r="G90" i="8"/>
  <c r="N91" i="8" s="1"/>
  <c r="H82" i="8"/>
  <c r="O83" i="8" s="1"/>
  <c r="I82" i="8"/>
  <c r="P83" i="8" s="1"/>
  <c r="D82" i="8"/>
  <c r="K83" i="8" s="1"/>
  <c r="F82" i="8"/>
  <c r="M83" i="8" s="1"/>
  <c r="E82" i="8"/>
  <c r="L83" i="8" s="1"/>
  <c r="G82" i="8"/>
  <c r="N83" i="8" s="1"/>
  <c r="H74" i="8"/>
  <c r="O75" i="8" s="1"/>
  <c r="I74" i="8"/>
  <c r="P75" i="8" s="1"/>
  <c r="D74" i="8"/>
  <c r="K75" i="8" s="1"/>
  <c r="F74" i="8"/>
  <c r="M75" i="8" s="1"/>
  <c r="E74" i="8"/>
  <c r="L75" i="8" s="1"/>
  <c r="G74" i="8"/>
  <c r="N75" i="8" s="1"/>
  <c r="H378" i="8"/>
  <c r="F376" i="8"/>
  <c r="M377" i="8" s="1"/>
  <c r="D375" i="8"/>
  <c r="K376" i="8" s="1"/>
  <c r="H373" i="8"/>
  <c r="O374" i="8" s="1"/>
  <c r="F372" i="8"/>
  <c r="M373" i="8" s="1"/>
  <c r="H369" i="8"/>
  <c r="O370" i="8" s="1"/>
  <c r="F368" i="8"/>
  <c r="M369" i="8" s="1"/>
  <c r="H365" i="8"/>
  <c r="O366" i="8" s="1"/>
  <c r="F364" i="8"/>
  <c r="M365" i="8" s="1"/>
  <c r="H361" i="8"/>
  <c r="O362" i="8" s="1"/>
  <c r="F360" i="8"/>
  <c r="M361" i="8" s="1"/>
  <c r="H357" i="8"/>
  <c r="O358" i="8" s="1"/>
  <c r="F356" i="8"/>
  <c r="M357" i="8" s="1"/>
  <c r="H353" i="8"/>
  <c r="O354" i="8" s="1"/>
  <c r="F352" i="8"/>
  <c r="M353" i="8" s="1"/>
  <c r="H349" i="8"/>
  <c r="O350" i="8" s="1"/>
  <c r="F348" i="8"/>
  <c r="M349" i="8" s="1"/>
  <c r="H345" i="8"/>
  <c r="O346" i="8" s="1"/>
  <c r="F344" i="8"/>
  <c r="M345" i="8" s="1"/>
  <c r="H341" i="8"/>
  <c r="O342" i="8" s="1"/>
  <c r="F340" i="8"/>
  <c r="M341" i="8" s="1"/>
  <c r="H337" i="8"/>
  <c r="O338" i="8" s="1"/>
  <c r="F336" i="8"/>
  <c r="M337" i="8" s="1"/>
  <c r="H333" i="8"/>
  <c r="O334" i="8" s="1"/>
  <c r="F332" i="8"/>
  <c r="M333" i="8" s="1"/>
  <c r="H329" i="8"/>
  <c r="O330" i="8" s="1"/>
  <c r="F328" i="8"/>
  <c r="M329" i="8" s="1"/>
  <c r="H325" i="8"/>
  <c r="O326" i="8" s="1"/>
  <c r="F324" i="8"/>
  <c r="M325" i="8" s="1"/>
  <c r="H321" i="8"/>
  <c r="O322" i="8" s="1"/>
  <c r="F320" i="8"/>
  <c r="M321" i="8" s="1"/>
  <c r="H317" i="8"/>
  <c r="O318" i="8" s="1"/>
  <c r="F316" i="8"/>
  <c r="M317" i="8" s="1"/>
  <c r="H313" i="8"/>
  <c r="O314" i="8" s="1"/>
  <c r="F312" i="8"/>
  <c r="M313" i="8" s="1"/>
  <c r="H309" i="8"/>
  <c r="O310" i="8" s="1"/>
  <c r="F308" i="8"/>
  <c r="M309" i="8" s="1"/>
  <c r="H305" i="8"/>
  <c r="O306" i="8" s="1"/>
  <c r="F304" i="8"/>
  <c r="M305" i="8" s="1"/>
  <c r="H301" i="8"/>
  <c r="O302" i="8" s="1"/>
  <c r="F300" i="8"/>
  <c r="M301" i="8" s="1"/>
  <c r="H297" i="8"/>
  <c r="O298" i="8" s="1"/>
  <c r="F296" i="8"/>
  <c r="M297" i="8" s="1"/>
  <c r="G293" i="8"/>
  <c r="N294" i="8" s="1"/>
  <c r="H291" i="8"/>
  <c r="O292" i="8" s="1"/>
  <c r="D290" i="8"/>
  <c r="K291" i="8" s="1"/>
  <c r="E288" i="8"/>
  <c r="L289" i="8" s="1"/>
  <c r="F286" i="8"/>
  <c r="M287" i="8" s="1"/>
  <c r="H284" i="8"/>
  <c r="O285" i="8" s="1"/>
  <c r="I282" i="8"/>
  <c r="P283" i="8" s="1"/>
  <c r="F279" i="8"/>
  <c r="M280" i="8" s="1"/>
  <c r="G277" i="8"/>
  <c r="N278" i="8" s="1"/>
  <c r="H275" i="8"/>
  <c r="O276" i="8" s="1"/>
  <c r="D274" i="8"/>
  <c r="K275" i="8" s="1"/>
  <c r="I269" i="8"/>
  <c r="P270" i="8" s="1"/>
  <c r="H267" i="8"/>
  <c r="O268" i="8" s="1"/>
  <c r="G265" i="8"/>
  <c r="N266" i="8" s="1"/>
  <c r="I262" i="8"/>
  <c r="P263" i="8" s="1"/>
  <c r="E260" i="8"/>
  <c r="L261" i="8" s="1"/>
  <c r="I254" i="8"/>
  <c r="P255" i="8" s="1"/>
  <c r="E252" i="8"/>
  <c r="L253" i="8" s="1"/>
  <c r="G249" i="8"/>
  <c r="N250" i="8" s="1"/>
  <c r="I246" i="8"/>
  <c r="P247" i="8" s="1"/>
  <c r="E244" i="8"/>
  <c r="L245" i="8" s="1"/>
  <c r="I238" i="8"/>
  <c r="P239" i="8" s="1"/>
  <c r="E236" i="8"/>
  <c r="L237" i="8" s="1"/>
  <c r="G233" i="8"/>
  <c r="N234" i="8" s="1"/>
  <c r="I230" i="8"/>
  <c r="P231" i="8" s="1"/>
  <c r="E228" i="8"/>
  <c r="L229" i="8" s="1"/>
  <c r="I222" i="8"/>
  <c r="P223" i="8" s="1"/>
  <c r="E220" i="8"/>
  <c r="L221" i="8" s="1"/>
  <c r="G217" i="8"/>
  <c r="N218" i="8" s="1"/>
  <c r="I213" i="8"/>
  <c r="P214" i="8" s="1"/>
  <c r="H210" i="8"/>
  <c r="O211" i="8" s="1"/>
  <c r="I206" i="8"/>
  <c r="P207" i="8" s="1"/>
  <c r="E203" i="8"/>
  <c r="L204" i="8" s="1"/>
  <c r="E196" i="8"/>
  <c r="L197" i="8" s="1"/>
  <c r="G192" i="8"/>
  <c r="N193" i="8" s="1"/>
  <c r="F189" i="8"/>
  <c r="M190" i="8" s="1"/>
  <c r="G185" i="8"/>
  <c r="N186" i="8" s="1"/>
  <c r="F171" i="8"/>
  <c r="M172" i="8" s="1"/>
  <c r="G86" i="8"/>
  <c r="N87" i="8" s="1"/>
  <c r="D255" i="8"/>
  <c r="K256" i="8" s="1"/>
  <c r="F255" i="8"/>
  <c r="M256" i="8" s="1"/>
  <c r="G255" i="8"/>
  <c r="N256" i="8" s="1"/>
  <c r="I255" i="8"/>
  <c r="P256" i="8" s="1"/>
  <c r="D175" i="8"/>
  <c r="K176" i="8" s="1"/>
  <c r="E175" i="8"/>
  <c r="L176" i="8" s="1"/>
  <c r="H175" i="8"/>
  <c r="O176" i="8" s="1"/>
  <c r="F175" i="8"/>
  <c r="M176" i="8" s="1"/>
  <c r="G175" i="8"/>
  <c r="N176" i="8" s="1"/>
  <c r="I175" i="8"/>
  <c r="P176" i="8" s="1"/>
  <c r="H289" i="8"/>
  <c r="O290" i="8" s="1"/>
  <c r="E289" i="8"/>
  <c r="L290" i="8" s="1"/>
  <c r="H273" i="8"/>
  <c r="O274" i="8" s="1"/>
  <c r="E273" i="8"/>
  <c r="L274" i="8" s="1"/>
  <c r="H257" i="8"/>
  <c r="O258" i="8" s="1"/>
  <c r="E257" i="8"/>
  <c r="L258" i="8" s="1"/>
  <c r="H241" i="8"/>
  <c r="O242" i="8" s="1"/>
  <c r="E241" i="8"/>
  <c r="L242" i="8" s="1"/>
  <c r="H225" i="8"/>
  <c r="O226" i="8" s="1"/>
  <c r="E225" i="8"/>
  <c r="L226" i="8" s="1"/>
  <c r="H209" i="8"/>
  <c r="O210" i="8" s="1"/>
  <c r="D209" i="8"/>
  <c r="K210" i="8" s="1"/>
  <c r="E209" i="8"/>
  <c r="L210" i="8" s="1"/>
  <c r="H193" i="8"/>
  <c r="O194" i="8" s="1"/>
  <c r="D193" i="8"/>
  <c r="K194" i="8" s="1"/>
  <c r="E193" i="8"/>
  <c r="L194" i="8" s="1"/>
  <c r="F177" i="8"/>
  <c r="M178" i="8" s="1"/>
  <c r="G177" i="8"/>
  <c r="N178" i="8" s="1"/>
  <c r="H177" i="8"/>
  <c r="O178" i="8" s="1"/>
  <c r="I177" i="8"/>
  <c r="P178" i="8" s="1"/>
  <c r="D177" i="8"/>
  <c r="K178" i="8" s="1"/>
  <c r="E177" i="8"/>
  <c r="L178" i="8" s="1"/>
  <c r="F161" i="8"/>
  <c r="M162" i="8" s="1"/>
  <c r="G161" i="8"/>
  <c r="N162" i="8" s="1"/>
  <c r="H161" i="8"/>
  <c r="O162" i="8" s="1"/>
  <c r="I161" i="8"/>
  <c r="P162" i="8" s="1"/>
  <c r="D161" i="8"/>
  <c r="K162" i="8" s="1"/>
  <c r="F145" i="8"/>
  <c r="M146" i="8" s="1"/>
  <c r="G145" i="8"/>
  <c r="N146" i="8" s="1"/>
  <c r="H145" i="8"/>
  <c r="O146" i="8" s="1"/>
  <c r="I145" i="8"/>
  <c r="P146" i="8" s="1"/>
  <c r="D145" i="8"/>
  <c r="K146" i="8" s="1"/>
  <c r="F137" i="8"/>
  <c r="M138" i="8" s="1"/>
  <c r="G137" i="8"/>
  <c r="N138" i="8" s="1"/>
  <c r="H137" i="8"/>
  <c r="O138" i="8" s="1"/>
  <c r="I137" i="8"/>
  <c r="P138" i="8" s="1"/>
  <c r="D137" i="8"/>
  <c r="K138" i="8" s="1"/>
  <c r="E137" i="8"/>
  <c r="L138" i="8" s="1"/>
  <c r="F121" i="8"/>
  <c r="M122" i="8" s="1"/>
  <c r="G121" i="8"/>
  <c r="N122" i="8" s="1"/>
  <c r="H121" i="8"/>
  <c r="O122" i="8" s="1"/>
  <c r="I121" i="8"/>
  <c r="P122" i="8" s="1"/>
  <c r="D121" i="8"/>
  <c r="K122" i="8" s="1"/>
  <c r="E121" i="8"/>
  <c r="L122" i="8" s="1"/>
  <c r="F105" i="8"/>
  <c r="M106" i="8" s="1"/>
  <c r="G105" i="8"/>
  <c r="N106" i="8" s="1"/>
  <c r="H105" i="8"/>
  <c r="O106" i="8" s="1"/>
  <c r="I105" i="8"/>
  <c r="P106" i="8" s="1"/>
  <c r="D105" i="8"/>
  <c r="K106" i="8" s="1"/>
  <c r="E105" i="8"/>
  <c r="L106" i="8" s="1"/>
  <c r="F89" i="8"/>
  <c r="M90" i="8" s="1"/>
  <c r="G89" i="8"/>
  <c r="N90" i="8" s="1"/>
  <c r="H89" i="8"/>
  <c r="O90" i="8" s="1"/>
  <c r="I89" i="8"/>
  <c r="P90" i="8" s="1"/>
  <c r="D89" i="8"/>
  <c r="K90" i="8" s="1"/>
  <c r="E89" i="8"/>
  <c r="L90" i="8" s="1"/>
  <c r="F73" i="8"/>
  <c r="M74" i="8" s="1"/>
  <c r="G73" i="8"/>
  <c r="N74" i="8" s="1"/>
  <c r="H73" i="8"/>
  <c r="O74" i="8" s="1"/>
  <c r="I73" i="8"/>
  <c r="P74" i="8" s="1"/>
  <c r="D73" i="8"/>
  <c r="K74" i="8" s="1"/>
  <c r="E73" i="8"/>
  <c r="L74" i="8" s="1"/>
  <c r="G369" i="8"/>
  <c r="N370" i="8" s="1"/>
  <c r="G365" i="8"/>
  <c r="N366" i="8" s="1"/>
  <c r="G361" i="8"/>
  <c r="N362" i="8" s="1"/>
  <c r="G357" i="8"/>
  <c r="N358" i="8" s="1"/>
  <c r="G353" i="8"/>
  <c r="N354" i="8" s="1"/>
  <c r="G349" i="8"/>
  <c r="N350" i="8" s="1"/>
  <c r="G345" i="8"/>
  <c r="N346" i="8" s="1"/>
  <c r="G341" i="8"/>
  <c r="N342" i="8" s="1"/>
  <c r="G333" i="8"/>
  <c r="N334" i="8" s="1"/>
  <c r="G329" i="8"/>
  <c r="N330" i="8" s="1"/>
  <c r="G325" i="8"/>
  <c r="N326" i="8" s="1"/>
  <c r="G317" i="8"/>
  <c r="N318" i="8" s="1"/>
  <c r="G313" i="8"/>
  <c r="N314" i="8" s="1"/>
  <c r="G309" i="8"/>
  <c r="N310" i="8" s="1"/>
  <c r="G305" i="8"/>
  <c r="N306" i="8" s="1"/>
  <c r="E304" i="8"/>
  <c r="L305" i="8" s="1"/>
  <c r="G301" i="8"/>
  <c r="N302" i="8" s="1"/>
  <c r="G297" i="8"/>
  <c r="N298" i="8" s="1"/>
  <c r="E296" i="8"/>
  <c r="L297" i="8" s="1"/>
  <c r="F293" i="8"/>
  <c r="M294" i="8" s="1"/>
  <c r="I289" i="8"/>
  <c r="P290" i="8" s="1"/>
  <c r="D288" i="8"/>
  <c r="K289" i="8" s="1"/>
  <c r="G284" i="8"/>
  <c r="N285" i="8" s="1"/>
  <c r="I280" i="8"/>
  <c r="P281" i="8" s="1"/>
  <c r="E279" i="8"/>
  <c r="L280" i="8" s="1"/>
  <c r="F277" i="8"/>
  <c r="M278" i="8" s="1"/>
  <c r="I273" i="8"/>
  <c r="P274" i="8" s="1"/>
  <c r="H271" i="8"/>
  <c r="O272" i="8" s="1"/>
  <c r="G269" i="8"/>
  <c r="N270" i="8" s="1"/>
  <c r="D260" i="8"/>
  <c r="K261" i="8" s="1"/>
  <c r="F257" i="8"/>
  <c r="M258" i="8" s="1"/>
  <c r="D252" i="8"/>
  <c r="K253" i="8" s="1"/>
  <c r="D244" i="8"/>
  <c r="K245" i="8" s="1"/>
  <c r="F241" i="8"/>
  <c r="M242" i="8" s="1"/>
  <c r="D236" i="8"/>
  <c r="K237" i="8" s="1"/>
  <c r="D228" i="8"/>
  <c r="K229" i="8" s="1"/>
  <c r="F225" i="8"/>
  <c r="M226" i="8" s="1"/>
  <c r="D220" i="8"/>
  <c r="K221" i="8" s="1"/>
  <c r="G213" i="8"/>
  <c r="N214" i="8" s="1"/>
  <c r="I209" i="8"/>
  <c r="P210" i="8" s="1"/>
  <c r="E199" i="8"/>
  <c r="L200" i="8" s="1"/>
  <c r="D196" i="8"/>
  <c r="K197" i="8" s="1"/>
  <c r="G188" i="8"/>
  <c r="N189" i="8" s="1"/>
  <c r="D247" i="8"/>
  <c r="K248" i="8" s="1"/>
  <c r="F247" i="8"/>
  <c r="M248" i="8" s="1"/>
  <c r="G247" i="8"/>
  <c r="N248" i="8" s="1"/>
  <c r="I247" i="8"/>
  <c r="P248" i="8" s="1"/>
  <c r="H281" i="8"/>
  <c r="O282" i="8" s="1"/>
  <c r="E281" i="8"/>
  <c r="L282" i="8" s="1"/>
  <c r="H265" i="8"/>
  <c r="O266" i="8" s="1"/>
  <c r="E265" i="8"/>
  <c r="L266" i="8" s="1"/>
  <c r="H249" i="8"/>
  <c r="O250" i="8" s="1"/>
  <c r="E249" i="8"/>
  <c r="L250" i="8" s="1"/>
  <c r="H233" i="8"/>
  <c r="O234" i="8" s="1"/>
  <c r="E233" i="8"/>
  <c r="L234" i="8" s="1"/>
  <c r="H217" i="8"/>
  <c r="O218" i="8" s="1"/>
  <c r="D217" i="8"/>
  <c r="K218" i="8" s="1"/>
  <c r="E217" i="8"/>
  <c r="L218" i="8" s="1"/>
  <c r="H201" i="8"/>
  <c r="O202" i="8" s="1"/>
  <c r="D201" i="8"/>
  <c r="K202" i="8" s="1"/>
  <c r="E201" i="8"/>
  <c r="L202" i="8" s="1"/>
  <c r="H185" i="8"/>
  <c r="O186" i="8" s="1"/>
  <c r="D185" i="8"/>
  <c r="K186" i="8" s="1"/>
  <c r="E185" i="8"/>
  <c r="L186" i="8" s="1"/>
  <c r="F169" i="8"/>
  <c r="M170" i="8" s="1"/>
  <c r="G169" i="8"/>
  <c r="N170" i="8" s="1"/>
  <c r="H169" i="8"/>
  <c r="O170" i="8" s="1"/>
  <c r="I169" i="8"/>
  <c r="P170" i="8" s="1"/>
  <c r="D169" i="8"/>
  <c r="K170" i="8" s="1"/>
  <c r="E169" i="8"/>
  <c r="L170" i="8" s="1"/>
  <c r="F153" i="8"/>
  <c r="M154" i="8" s="1"/>
  <c r="G153" i="8"/>
  <c r="N154" i="8" s="1"/>
  <c r="H153" i="8"/>
  <c r="O154" i="8" s="1"/>
  <c r="I153" i="8"/>
  <c r="P154" i="8" s="1"/>
  <c r="D153" i="8"/>
  <c r="K154" i="8" s="1"/>
  <c r="E153" i="8"/>
  <c r="L154" i="8" s="1"/>
  <c r="F129" i="8"/>
  <c r="M130" i="8" s="1"/>
  <c r="G129" i="8"/>
  <c r="N130" i="8" s="1"/>
  <c r="H129" i="8"/>
  <c r="O130" i="8" s="1"/>
  <c r="I129" i="8"/>
  <c r="P130" i="8" s="1"/>
  <c r="D129" i="8"/>
  <c r="K130" i="8" s="1"/>
  <c r="F113" i="8"/>
  <c r="M114" i="8" s="1"/>
  <c r="G113" i="8"/>
  <c r="N114" i="8" s="1"/>
  <c r="H113" i="8"/>
  <c r="O114" i="8" s="1"/>
  <c r="I113" i="8"/>
  <c r="P114" i="8" s="1"/>
  <c r="D113" i="8"/>
  <c r="K114" i="8" s="1"/>
  <c r="F97" i="8"/>
  <c r="M98" i="8" s="1"/>
  <c r="G97" i="8"/>
  <c r="N98" i="8" s="1"/>
  <c r="H97" i="8"/>
  <c r="O98" i="8" s="1"/>
  <c r="I97" i="8"/>
  <c r="P98" i="8" s="1"/>
  <c r="D97" i="8"/>
  <c r="K98" i="8" s="1"/>
  <c r="F81" i="8"/>
  <c r="M82" i="8" s="1"/>
  <c r="G81" i="8"/>
  <c r="N82" i="8" s="1"/>
  <c r="H81" i="8"/>
  <c r="O82" i="8" s="1"/>
  <c r="I81" i="8"/>
  <c r="P82" i="8" s="1"/>
  <c r="D81" i="8"/>
  <c r="K82" i="8" s="1"/>
  <c r="G378" i="8"/>
  <c r="G337" i="8"/>
  <c r="N338" i="8" s="1"/>
  <c r="G321" i="8"/>
  <c r="N322" i="8" s="1"/>
  <c r="F272" i="8"/>
  <c r="M273" i="8" s="1"/>
  <c r="H272" i="8"/>
  <c r="O273" i="8" s="1"/>
  <c r="F264" i="8"/>
  <c r="M265" i="8" s="1"/>
  <c r="H264" i="8"/>
  <c r="O265" i="8" s="1"/>
  <c r="I264" i="8"/>
  <c r="P265" i="8" s="1"/>
  <c r="F256" i="8"/>
  <c r="M257" i="8" s="1"/>
  <c r="H256" i="8"/>
  <c r="O257" i="8" s="1"/>
  <c r="I256" i="8"/>
  <c r="P257" i="8" s="1"/>
  <c r="F248" i="8"/>
  <c r="M249" i="8" s="1"/>
  <c r="H248" i="8"/>
  <c r="O249" i="8" s="1"/>
  <c r="I248" i="8"/>
  <c r="P249" i="8" s="1"/>
  <c r="F240" i="8"/>
  <c r="M241" i="8" s="1"/>
  <c r="H240" i="8"/>
  <c r="O241" i="8" s="1"/>
  <c r="I240" i="8"/>
  <c r="P241" i="8" s="1"/>
  <c r="F232" i="8"/>
  <c r="M233" i="8" s="1"/>
  <c r="H232" i="8"/>
  <c r="O233" i="8" s="1"/>
  <c r="I232" i="8"/>
  <c r="P233" i="8" s="1"/>
  <c r="F224" i="8"/>
  <c r="M225" i="8" s="1"/>
  <c r="H224" i="8"/>
  <c r="O225" i="8" s="1"/>
  <c r="I224" i="8"/>
  <c r="P225" i="8" s="1"/>
  <c r="F216" i="8"/>
  <c r="M217" i="8" s="1"/>
  <c r="H216" i="8"/>
  <c r="O217" i="8" s="1"/>
  <c r="I216" i="8"/>
  <c r="P217" i="8" s="1"/>
  <c r="F208" i="8"/>
  <c r="M209" i="8" s="1"/>
  <c r="H208" i="8"/>
  <c r="O209" i="8" s="1"/>
  <c r="I208" i="8"/>
  <c r="P209" i="8" s="1"/>
  <c r="F200" i="8"/>
  <c r="M201" i="8" s="1"/>
  <c r="H200" i="8"/>
  <c r="O201" i="8" s="1"/>
  <c r="I200" i="8"/>
  <c r="P201" i="8" s="1"/>
  <c r="F192" i="8"/>
  <c r="M193" i="8" s="1"/>
  <c r="H192" i="8"/>
  <c r="O193" i="8" s="1"/>
  <c r="I192" i="8"/>
  <c r="P193" i="8" s="1"/>
  <c r="E184" i="8"/>
  <c r="L185" i="8" s="1"/>
  <c r="F184" i="8"/>
  <c r="M185" i="8" s="1"/>
  <c r="H184" i="8"/>
  <c r="O185" i="8" s="1"/>
  <c r="I184" i="8"/>
  <c r="P185" i="8" s="1"/>
  <c r="D176" i="8"/>
  <c r="K177" i="8" s="1"/>
  <c r="E176" i="8"/>
  <c r="L177" i="8" s="1"/>
  <c r="F176" i="8"/>
  <c r="M177" i="8" s="1"/>
  <c r="G176" i="8"/>
  <c r="N177" i="8" s="1"/>
  <c r="H176" i="8"/>
  <c r="O177" i="8" s="1"/>
  <c r="I176" i="8"/>
  <c r="P177" i="8" s="1"/>
  <c r="D168" i="8"/>
  <c r="K169" i="8" s="1"/>
  <c r="E168" i="8"/>
  <c r="L169" i="8" s="1"/>
  <c r="F168" i="8"/>
  <c r="M169" i="8" s="1"/>
  <c r="G168" i="8"/>
  <c r="N169" i="8" s="1"/>
  <c r="H168" i="8"/>
  <c r="O169" i="8" s="1"/>
  <c r="I168" i="8"/>
  <c r="P169" i="8" s="1"/>
  <c r="D160" i="8"/>
  <c r="K161" i="8" s="1"/>
  <c r="E160" i="8"/>
  <c r="L161" i="8" s="1"/>
  <c r="F160" i="8"/>
  <c r="M161" i="8" s="1"/>
  <c r="G160" i="8"/>
  <c r="N161" i="8" s="1"/>
  <c r="H160" i="8"/>
  <c r="O161" i="8" s="1"/>
  <c r="I160" i="8"/>
  <c r="P161" i="8" s="1"/>
  <c r="D152" i="8"/>
  <c r="K153" i="8" s="1"/>
  <c r="E152" i="8"/>
  <c r="L153" i="8" s="1"/>
  <c r="F152" i="8"/>
  <c r="M153" i="8" s="1"/>
  <c r="G152" i="8"/>
  <c r="N153" i="8" s="1"/>
  <c r="H152" i="8"/>
  <c r="O153" i="8" s="1"/>
  <c r="I152" i="8"/>
  <c r="P153" i="8" s="1"/>
  <c r="D144" i="8"/>
  <c r="K145" i="8" s="1"/>
  <c r="E144" i="8"/>
  <c r="L145" i="8" s="1"/>
  <c r="F144" i="8"/>
  <c r="M145" i="8" s="1"/>
  <c r="G144" i="8"/>
  <c r="N145" i="8" s="1"/>
  <c r="H144" i="8"/>
  <c r="O145" i="8" s="1"/>
  <c r="I144" i="8"/>
  <c r="P145" i="8" s="1"/>
  <c r="D136" i="8"/>
  <c r="K137" i="8" s="1"/>
  <c r="E136" i="8"/>
  <c r="L137" i="8" s="1"/>
  <c r="F136" i="8"/>
  <c r="M137" i="8" s="1"/>
  <c r="G136" i="8"/>
  <c r="N137" i="8" s="1"/>
  <c r="H136" i="8"/>
  <c r="O137" i="8" s="1"/>
  <c r="I136" i="8"/>
  <c r="P137" i="8" s="1"/>
  <c r="D128" i="8"/>
  <c r="K129" i="8" s="1"/>
  <c r="E128" i="8"/>
  <c r="L129" i="8" s="1"/>
  <c r="F128" i="8"/>
  <c r="M129" i="8" s="1"/>
  <c r="G128" i="8"/>
  <c r="N129" i="8" s="1"/>
  <c r="H128" i="8"/>
  <c r="O129" i="8" s="1"/>
  <c r="I128" i="8"/>
  <c r="P129" i="8" s="1"/>
  <c r="D120" i="8"/>
  <c r="K121" i="8" s="1"/>
  <c r="E120" i="8"/>
  <c r="L121" i="8" s="1"/>
  <c r="F120" i="8"/>
  <c r="M121" i="8" s="1"/>
  <c r="G120" i="8"/>
  <c r="N121" i="8" s="1"/>
  <c r="H120" i="8"/>
  <c r="O121" i="8" s="1"/>
  <c r="I120" i="8"/>
  <c r="P121" i="8" s="1"/>
  <c r="D112" i="8"/>
  <c r="K113" i="8" s="1"/>
  <c r="E112" i="8"/>
  <c r="L113" i="8" s="1"/>
  <c r="F112" i="8"/>
  <c r="M113" i="8" s="1"/>
  <c r="G112" i="8"/>
  <c r="N113" i="8" s="1"/>
  <c r="H112" i="8"/>
  <c r="O113" i="8" s="1"/>
  <c r="I112" i="8"/>
  <c r="P113" i="8" s="1"/>
  <c r="D104" i="8"/>
  <c r="K105" i="8" s="1"/>
  <c r="E104" i="8"/>
  <c r="L105" i="8" s="1"/>
  <c r="F104" i="8"/>
  <c r="M105" i="8" s="1"/>
  <c r="G104" i="8"/>
  <c r="N105" i="8" s="1"/>
  <c r="H104" i="8"/>
  <c r="O105" i="8" s="1"/>
  <c r="I104" i="8"/>
  <c r="P105" i="8" s="1"/>
  <c r="D96" i="8"/>
  <c r="K97" i="8" s="1"/>
  <c r="E96" i="8"/>
  <c r="L97" i="8" s="1"/>
  <c r="F96" i="8"/>
  <c r="M97" i="8" s="1"/>
  <c r="G96" i="8"/>
  <c r="N97" i="8" s="1"/>
  <c r="H96" i="8"/>
  <c r="O97" i="8" s="1"/>
  <c r="I96" i="8"/>
  <c r="P97" i="8" s="1"/>
  <c r="D88" i="8"/>
  <c r="K89" i="8" s="1"/>
  <c r="E88" i="8"/>
  <c r="L89" i="8" s="1"/>
  <c r="F88" i="8"/>
  <c r="M89" i="8" s="1"/>
  <c r="G88" i="8"/>
  <c r="N89" i="8" s="1"/>
  <c r="H88" i="8"/>
  <c r="O89" i="8" s="1"/>
  <c r="I88" i="8"/>
  <c r="P89" i="8" s="1"/>
  <c r="D80" i="8"/>
  <c r="K81" i="8" s="1"/>
  <c r="E80" i="8"/>
  <c r="L81" i="8" s="1"/>
  <c r="F80" i="8"/>
  <c r="M81" i="8" s="1"/>
  <c r="G80" i="8"/>
  <c r="N81" i="8" s="1"/>
  <c r="H80" i="8"/>
  <c r="O81" i="8" s="1"/>
  <c r="I80" i="8"/>
  <c r="P81" i="8" s="1"/>
  <c r="D72" i="8"/>
  <c r="K73" i="8" s="1"/>
  <c r="E72" i="8"/>
  <c r="L73" i="8" s="1"/>
  <c r="F72" i="8"/>
  <c r="M73" i="8" s="1"/>
  <c r="G72" i="8"/>
  <c r="N73" i="8" s="1"/>
  <c r="H72" i="8"/>
  <c r="O73" i="8" s="1"/>
  <c r="I72" i="8"/>
  <c r="P73" i="8" s="1"/>
  <c r="D293" i="8"/>
  <c r="K294" i="8" s="1"/>
  <c r="F291" i="8"/>
  <c r="M292" i="8" s="1"/>
  <c r="G289" i="8"/>
  <c r="N290" i="8" s="1"/>
  <c r="H287" i="8"/>
  <c r="O288" i="8" s="1"/>
  <c r="D286" i="8"/>
  <c r="K287" i="8" s="1"/>
  <c r="E284" i="8"/>
  <c r="L285" i="8" s="1"/>
  <c r="F282" i="8"/>
  <c r="M283" i="8" s="1"/>
  <c r="H280" i="8"/>
  <c r="O281" i="8" s="1"/>
  <c r="I278" i="8"/>
  <c r="P279" i="8" s="1"/>
  <c r="D277" i="8"/>
  <c r="K278" i="8" s="1"/>
  <c r="F275" i="8"/>
  <c r="M276" i="8" s="1"/>
  <c r="G273" i="8"/>
  <c r="N274" i="8" s="1"/>
  <c r="G271" i="8"/>
  <c r="N272" i="8" s="1"/>
  <c r="F269" i="8"/>
  <c r="M270" i="8" s="1"/>
  <c r="E267" i="8"/>
  <c r="L268" i="8" s="1"/>
  <c r="D265" i="8"/>
  <c r="K266" i="8" s="1"/>
  <c r="F262" i="8"/>
  <c r="M263" i="8" s="1"/>
  <c r="H259" i="8"/>
  <c r="O260" i="8" s="1"/>
  <c r="D257" i="8"/>
  <c r="K258" i="8" s="1"/>
  <c r="F254" i="8"/>
  <c r="M255" i="8" s="1"/>
  <c r="H251" i="8"/>
  <c r="O252" i="8" s="1"/>
  <c r="D249" i="8"/>
  <c r="K250" i="8" s="1"/>
  <c r="F246" i="8"/>
  <c r="M247" i="8" s="1"/>
  <c r="H243" i="8"/>
  <c r="O244" i="8" s="1"/>
  <c r="D241" i="8"/>
  <c r="K242" i="8" s="1"/>
  <c r="F238" i="8"/>
  <c r="M239" i="8" s="1"/>
  <c r="H235" i="8"/>
  <c r="O236" i="8" s="1"/>
  <c r="D233" i="8"/>
  <c r="K234" i="8" s="1"/>
  <c r="F230" i="8"/>
  <c r="M231" i="8" s="1"/>
  <c r="H227" i="8"/>
  <c r="O228" i="8" s="1"/>
  <c r="D225" i="8"/>
  <c r="K226" i="8" s="1"/>
  <c r="F222" i="8"/>
  <c r="M223" i="8" s="1"/>
  <c r="H219" i="8"/>
  <c r="O220" i="8" s="1"/>
  <c r="G216" i="8"/>
  <c r="N217" i="8" s="1"/>
  <c r="F213" i="8"/>
  <c r="M214" i="8" s="1"/>
  <c r="G209" i="8"/>
  <c r="N210" i="8" s="1"/>
  <c r="I205" i="8"/>
  <c r="P206" i="8" s="1"/>
  <c r="H202" i="8"/>
  <c r="O203" i="8" s="1"/>
  <c r="I198" i="8"/>
  <c r="P199" i="8" s="1"/>
  <c r="E195" i="8"/>
  <c r="L196" i="8" s="1"/>
  <c r="D192" i="8"/>
  <c r="K193" i="8" s="1"/>
  <c r="E188" i="8"/>
  <c r="L189" i="8" s="1"/>
  <c r="G184" i="8"/>
  <c r="N185" i="8" s="1"/>
  <c r="E161" i="8"/>
  <c r="L162" i="8" s="1"/>
  <c r="G118" i="8"/>
  <c r="N119" i="8" s="1"/>
  <c r="I75" i="8"/>
  <c r="P76" i="8" s="1"/>
  <c r="D61" i="8"/>
  <c r="K62" i="8" s="1"/>
  <c r="F18" i="8"/>
  <c r="M19" i="8" s="1"/>
  <c r="D18" i="8"/>
  <c r="K19" i="8" s="1"/>
  <c r="E18" i="8"/>
  <c r="L19" i="8" s="1"/>
  <c r="H45" i="8"/>
  <c r="O46" i="8" s="1"/>
  <c r="H23" i="8"/>
  <c r="O24" i="8" s="1"/>
  <c r="I43" i="8"/>
  <c r="P44" i="8" s="1"/>
  <c r="I22" i="8"/>
  <c r="P23" i="8" s="1"/>
  <c r="G39" i="8"/>
  <c r="N40" i="8" s="1"/>
  <c r="H42" i="8"/>
  <c r="O43" i="8" s="1"/>
  <c r="H21" i="8"/>
  <c r="O22" i="8" s="1"/>
  <c r="I40" i="8"/>
  <c r="P41" i="8" s="1"/>
  <c r="I19" i="8"/>
  <c r="P20" i="8" s="1"/>
  <c r="P19" i="8" s="1"/>
  <c r="G36" i="8"/>
  <c r="N37" i="8" s="1"/>
  <c r="H61" i="8"/>
  <c r="O62" i="8" s="1"/>
  <c r="H39" i="8"/>
  <c r="O40" i="8" s="1"/>
  <c r="I59" i="8"/>
  <c r="P60" i="8" s="1"/>
  <c r="I38" i="8"/>
  <c r="P39" i="8" s="1"/>
  <c r="G57" i="8"/>
  <c r="N58" i="8" s="1"/>
  <c r="G33" i="8"/>
  <c r="N34" i="8" s="1"/>
  <c r="H58" i="8"/>
  <c r="O59" i="8" s="1"/>
  <c r="H37" i="8"/>
  <c r="O38" i="8" s="1"/>
  <c r="I56" i="8"/>
  <c r="P57" i="8" s="1"/>
  <c r="I35" i="8"/>
  <c r="P36" i="8" s="1"/>
  <c r="G55" i="8"/>
  <c r="N56" i="8" s="1"/>
  <c r="G31" i="8"/>
  <c r="N32" i="8" s="1"/>
  <c r="H55" i="8"/>
  <c r="O56" i="8" s="1"/>
  <c r="H34" i="8"/>
  <c r="O35" i="8" s="1"/>
  <c r="I54" i="8"/>
  <c r="P55" i="8" s="1"/>
  <c r="I32" i="8"/>
  <c r="P33" i="8" s="1"/>
  <c r="G49" i="8"/>
  <c r="N50" i="8" s="1"/>
  <c r="G28" i="8"/>
  <c r="N29" i="8" s="1"/>
  <c r="H31" i="8"/>
  <c r="O32" i="8" s="1"/>
  <c r="I51" i="8"/>
  <c r="P52" i="8" s="1"/>
  <c r="I30" i="8"/>
  <c r="P31" i="8" s="1"/>
  <c r="G47" i="8"/>
  <c r="N48" i="8" s="1"/>
  <c r="G25" i="8"/>
  <c r="N26" i="8" s="1"/>
  <c r="H53" i="8"/>
  <c r="O54" i="8" s="1"/>
  <c r="F29" i="8"/>
  <c r="M30" i="8" s="1"/>
  <c r="H50" i="8"/>
  <c r="O51" i="8" s="1"/>
  <c r="H29" i="8"/>
  <c r="O30" i="8" s="1"/>
  <c r="I48" i="8"/>
  <c r="P49" i="8" s="1"/>
  <c r="I27" i="8"/>
  <c r="P28" i="8" s="1"/>
  <c r="G44" i="8"/>
  <c r="N45" i="8" s="1"/>
  <c r="G23" i="8"/>
  <c r="N24" i="8" s="1"/>
  <c r="H47" i="8"/>
  <c r="O48" i="8" s="1"/>
  <c r="H26" i="8"/>
  <c r="O27" i="8" s="1"/>
  <c r="I46" i="8"/>
  <c r="P47" i="8" s="1"/>
  <c r="I24" i="8"/>
  <c r="P25" i="8" s="1"/>
  <c r="G41" i="8"/>
  <c r="N42" i="8" s="1"/>
  <c r="G20" i="8"/>
  <c r="N21" i="8" s="1"/>
  <c r="G60" i="8"/>
  <c r="N61" i="8" s="1"/>
  <c r="G52" i="8"/>
  <c r="N53" i="8" s="1"/>
  <c r="F27" i="8"/>
  <c r="M28" i="8" s="1"/>
  <c r="H57" i="8"/>
  <c r="O58" i="8" s="1"/>
  <c r="H49" i="8"/>
  <c r="O50" i="8" s="1"/>
  <c r="H41" i="8"/>
  <c r="O42" i="8" s="1"/>
  <c r="H33" i="8"/>
  <c r="O34" i="8" s="1"/>
  <c r="H25" i="8"/>
  <c r="O26" i="8" s="1"/>
  <c r="I58" i="8"/>
  <c r="P59" i="8" s="1"/>
  <c r="I50" i="8"/>
  <c r="P51" i="8" s="1"/>
  <c r="I42" i="8"/>
  <c r="P43" i="8" s="1"/>
  <c r="I34" i="8"/>
  <c r="P35" i="8" s="1"/>
  <c r="I26" i="8"/>
  <c r="P27" i="8" s="1"/>
  <c r="G59" i="8"/>
  <c r="N60" i="8" s="1"/>
  <c r="G51" i="8"/>
  <c r="N52" i="8" s="1"/>
  <c r="G43" i="8"/>
  <c r="N44" i="8" s="1"/>
  <c r="G35" i="8"/>
  <c r="N36" i="8" s="1"/>
  <c r="G27" i="8"/>
  <c r="N28" i="8" s="1"/>
  <c r="G19" i="8"/>
  <c r="N20" i="8" s="1"/>
  <c r="N19" i="8" s="1"/>
  <c r="F21" i="8"/>
  <c r="M22" i="8" s="1"/>
  <c r="H56" i="8"/>
  <c r="O57" i="8" s="1"/>
  <c r="H48" i="8"/>
  <c r="O49" i="8" s="1"/>
  <c r="H40" i="8"/>
  <c r="O41" i="8" s="1"/>
  <c r="H32" i="8"/>
  <c r="O33" i="8" s="1"/>
  <c r="H24" i="8"/>
  <c r="O25" i="8" s="1"/>
  <c r="I57" i="8"/>
  <c r="P58" i="8" s="1"/>
  <c r="I49" i="8"/>
  <c r="P50" i="8" s="1"/>
  <c r="I41" i="8"/>
  <c r="P42" i="8" s="1"/>
  <c r="I33" i="8"/>
  <c r="P34" i="8" s="1"/>
  <c r="I25" i="8"/>
  <c r="P26" i="8" s="1"/>
  <c r="G58" i="8"/>
  <c r="N59" i="8" s="1"/>
  <c r="G50" i="8"/>
  <c r="N51" i="8" s="1"/>
  <c r="G42" i="8"/>
  <c r="N43" i="8" s="1"/>
  <c r="G34" i="8"/>
  <c r="N35" i="8" s="1"/>
  <c r="G26" i="8"/>
  <c r="N27" i="8" s="1"/>
  <c r="D21" i="8"/>
  <c r="K22" i="8" s="1"/>
  <c r="H54" i="8"/>
  <c r="O55" i="8" s="1"/>
  <c r="H46" i="8"/>
  <c r="O47" i="8" s="1"/>
  <c r="H38" i="8"/>
  <c r="O39" i="8" s="1"/>
  <c r="H30" i="8"/>
  <c r="O31" i="8" s="1"/>
  <c r="H22" i="8"/>
  <c r="O23" i="8" s="1"/>
  <c r="I55" i="8"/>
  <c r="P56" i="8" s="1"/>
  <c r="I47" i="8"/>
  <c r="P48" i="8" s="1"/>
  <c r="I39" i="8"/>
  <c r="P40" i="8" s="1"/>
  <c r="I31" i="8"/>
  <c r="P32" i="8" s="1"/>
  <c r="I23" i="8"/>
  <c r="P24" i="8" s="1"/>
  <c r="G56" i="8"/>
  <c r="N57" i="8" s="1"/>
  <c r="G48" i="8"/>
  <c r="N49" i="8" s="1"/>
  <c r="G40" i="8"/>
  <c r="N41" i="8" s="1"/>
  <c r="G32" i="8"/>
  <c r="N33" i="8" s="1"/>
  <c r="G24" i="8"/>
  <c r="N25" i="8" s="1"/>
  <c r="H60" i="8"/>
  <c r="O61" i="8" s="1"/>
  <c r="H52" i="8"/>
  <c r="O53" i="8" s="1"/>
  <c r="H44" i="8"/>
  <c r="O45" i="8" s="1"/>
  <c r="H36" i="8"/>
  <c r="O37" i="8" s="1"/>
  <c r="H28" i="8"/>
  <c r="O29" i="8" s="1"/>
  <c r="H20" i="8"/>
  <c r="O21" i="8" s="1"/>
  <c r="I61" i="8"/>
  <c r="P62" i="8" s="1"/>
  <c r="I53" i="8"/>
  <c r="P54" i="8" s="1"/>
  <c r="I45" i="8"/>
  <c r="P46" i="8" s="1"/>
  <c r="I37" i="8"/>
  <c r="P38" i="8" s="1"/>
  <c r="I29" i="8"/>
  <c r="P30" i="8" s="1"/>
  <c r="I21" i="8"/>
  <c r="P22" i="8" s="1"/>
  <c r="G54" i="8"/>
  <c r="N55" i="8" s="1"/>
  <c r="G46" i="8"/>
  <c r="N47" i="8" s="1"/>
  <c r="G38" i="8"/>
  <c r="N39" i="8" s="1"/>
  <c r="G30" i="8"/>
  <c r="N31" i="8" s="1"/>
  <c r="G22" i="8"/>
  <c r="N23" i="8" s="1"/>
  <c r="F37" i="8"/>
  <c r="M38" i="8" s="1"/>
  <c r="H59" i="8"/>
  <c r="O60" i="8" s="1"/>
  <c r="H51" i="8"/>
  <c r="O52" i="8" s="1"/>
  <c r="H43" i="8"/>
  <c r="O44" i="8" s="1"/>
  <c r="H35" i="8"/>
  <c r="O36" i="8" s="1"/>
  <c r="H27" i="8"/>
  <c r="O28" i="8" s="1"/>
  <c r="H19" i="8"/>
  <c r="O20" i="8" s="1"/>
  <c r="I60" i="8"/>
  <c r="P61" i="8" s="1"/>
  <c r="I52" i="8"/>
  <c r="P53" i="8" s="1"/>
  <c r="I44" i="8"/>
  <c r="P45" i="8" s="1"/>
  <c r="I36" i="8"/>
  <c r="P37" i="8" s="1"/>
  <c r="I28" i="8"/>
  <c r="P29" i="8" s="1"/>
  <c r="I20" i="8"/>
  <c r="P21" i="8" s="1"/>
  <c r="G61" i="8"/>
  <c r="N62" i="8" s="1"/>
  <c r="G53" i="8"/>
  <c r="N54" i="8" s="1"/>
  <c r="G45" i="8"/>
  <c r="N46" i="8" s="1"/>
  <c r="G37" i="8"/>
  <c r="N38" i="8" s="1"/>
  <c r="G29" i="8"/>
  <c r="N30" i="8" s="1"/>
  <c r="G21" i="8"/>
  <c r="N22" i="8" s="1"/>
  <c r="F19" i="8"/>
  <c r="M20" i="8" s="1"/>
  <c r="F61" i="8"/>
  <c r="M62" i="8" s="1"/>
  <c r="F48" i="8"/>
  <c r="M49" i="8" s="1"/>
  <c r="F40" i="8"/>
  <c r="M41" i="8" s="1"/>
  <c r="F32" i="8"/>
  <c r="M33" i="8" s="1"/>
  <c r="D50" i="8"/>
  <c r="K51" i="8" s="1"/>
  <c r="D26" i="8"/>
  <c r="K27" i="8" s="1"/>
  <c r="F55" i="8"/>
  <c r="M56" i="8" s="1"/>
  <c r="F47" i="8"/>
  <c r="M48" i="8" s="1"/>
  <c r="F39" i="8"/>
  <c r="M40" i="8" s="1"/>
  <c r="F31" i="8"/>
  <c r="M32" i="8" s="1"/>
  <c r="D57" i="8"/>
  <c r="K58" i="8" s="1"/>
  <c r="D49" i="8"/>
  <c r="K50" i="8" s="1"/>
  <c r="D41" i="8"/>
  <c r="K42" i="8" s="1"/>
  <c r="D33" i="8"/>
  <c r="K34" i="8" s="1"/>
  <c r="D25" i="8"/>
  <c r="K26" i="8" s="1"/>
  <c r="E59" i="8"/>
  <c r="L60" i="8" s="1"/>
  <c r="E51" i="8"/>
  <c r="L52" i="8" s="1"/>
  <c r="E43" i="8"/>
  <c r="L44" i="8" s="1"/>
  <c r="E35" i="8"/>
  <c r="L36" i="8" s="1"/>
  <c r="E27" i="8"/>
  <c r="L28" i="8" s="1"/>
  <c r="E19" i="8"/>
  <c r="L20" i="8" s="1"/>
  <c r="F54" i="8"/>
  <c r="M55" i="8" s="1"/>
  <c r="F46" i="8"/>
  <c r="M47" i="8" s="1"/>
  <c r="F38" i="8"/>
  <c r="M39" i="8" s="1"/>
  <c r="F30" i="8"/>
  <c r="M31" i="8" s="1"/>
  <c r="F22" i="8"/>
  <c r="M23" i="8" s="1"/>
  <c r="D56" i="8"/>
  <c r="K57" i="8" s="1"/>
  <c r="D48" i="8"/>
  <c r="K49" i="8" s="1"/>
  <c r="D40" i="8"/>
  <c r="K41" i="8" s="1"/>
  <c r="D32" i="8"/>
  <c r="K33" i="8" s="1"/>
  <c r="D24" i="8"/>
  <c r="K25" i="8" s="1"/>
  <c r="E58" i="8"/>
  <c r="L59" i="8" s="1"/>
  <c r="E50" i="8"/>
  <c r="L51" i="8" s="1"/>
  <c r="E42" i="8"/>
  <c r="L43" i="8" s="1"/>
  <c r="E34" i="8"/>
  <c r="L35" i="8" s="1"/>
  <c r="E26" i="8"/>
  <c r="L27" i="8" s="1"/>
  <c r="D55" i="8"/>
  <c r="K56" i="8" s="1"/>
  <c r="D47" i="8"/>
  <c r="K48" i="8" s="1"/>
  <c r="D39" i="8"/>
  <c r="K40" i="8" s="1"/>
  <c r="D31" i="8"/>
  <c r="K32" i="8" s="1"/>
  <c r="D23" i="8"/>
  <c r="K24" i="8" s="1"/>
  <c r="E57" i="8"/>
  <c r="L58" i="8" s="1"/>
  <c r="E49" i="8"/>
  <c r="L50" i="8" s="1"/>
  <c r="E41" i="8"/>
  <c r="L42" i="8" s="1"/>
  <c r="E33" i="8"/>
  <c r="L34" i="8" s="1"/>
  <c r="E25" i="8"/>
  <c r="L26" i="8" s="1"/>
  <c r="F60" i="8"/>
  <c r="M61" i="8" s="1"/>
  <c r="F52" i="8"/>
  <c r="M53" i="8" s="1"/>
  <c r="F44" i="8"/>
  <c r="M45" i="8" s="1"/>
  <c r="F36" i="8"/>
  <c r="M37" i="8" s="1"/>
  <c r="F28" i="8"/>
  <c r="M29" i="8" s="1"/>
  <c r="F20" i="8"/>
  <c r="M21" i="8" s="1"/>
  <c r="D54" i="8"/>
  <c r="K55" i="8" s="1"/>
  <c r="D46" i="8"/>
  <c r="K47" i="8" s="1"/>
  <c r="D38" i="8"/>
  <c r="K39" i="8" s="1"/>
  <c r="D30" i="8"/>
  <c r="K31" i="8" s="1"/>
  <c r="D22" i="8"/>
  <c r="K23" i="8" s="1"/>
  <c r="E56" i="8"/>
  <c r="L57" i="8" s="1"/>
  <c r="E48" i="8"/>
  <c r="L49" i="8" s="1"/>
  <c r="E40" i="8"/>
  <c r="L41" i="8" s="1"/>
  <c r="E32" i="8"/>
  <c r="L33" i="8" s="1"/>
  <c r="E24" i="8"/>
  <c r="L25" i="8" s="1"/>
  <c r="E23" i="8"/>
  <c r="L24" i="8" s="1"/>
  <c r="F58" i="8"/>
  <c r="M59" i="8" s="1"/>
  <c r="F50" i="8"/>
  <c r="M51" i="8" s="1"/>
  <c r="F42" i="8"/>
  <c r="M43" i="8" s="1"/>
  <c r="F34" i="8"/>
  <c r="M35" i="8" s="1"/>
  <c r="F26" i="8"/>
  <c r="M27" i="8" s="1"/>
  <c r="D36" i="8"/>
  <c r="K37" i="8" s="1"/>
  <c r="E22" i="8"/>
  <c r="L23" i="8" s="1"/>
  <c r="F45" i="8"/>
  <c r="M46" i="8" s="1"/>
  <c r="D53" i="8"/>
  <c r="K54" i="8" s="1"/>
  <c r="D45" i="8"/>
  <c r="K46" i="8" s="1"/>
  <c r="D37" i="8"/>
  <c r="K38" i="8" s="1"/>
  <c r="D29" i="8"/>
  <c r="K30" i="8" s="1"/>
  <c r="E55" i="8"/>
  <c r="L56" i="8" s="1"/>
  <c r="E47" i="8"/>
  <c r="L48" i="8" s="1"/>
  <c r="E39" i="8"/>
  <c r="L40" i="8" s="1"/>
  <c r="E31" i="8"/>
  <c r="L32" i="8" s="1"/>
  <c r="D60" i="8"/>
  <c r="K61" i="8" s="1"/>
  <c r="D52" i="8"/>
  <c r="K53" i="8" s="1"/>
  <c r="D44" i="8"/>
  <c r="K45" i="8" s="1"/>
  <c r="D28" i="8"/>
  <c r="K29" i="8" s="1"/>
  <c r="D20" i="8"/>
  <c r="K21" i="8" s="1"/>
  <c r="E54" i="8"/>
  <c r="L55" i="8" s="1"/>
  <c r="E46" i="8"/>
  <c r="L47" i="8" s="1"/>
  <c r="E38" i="8"/>
  <c r="L39" i="8" s="1"/>
  <c r="E30" i="8"/>
  <c r="L31" i="8" s="1"/>
  <c r="F57" i="8"/>
  <c r="M58" i="8" s="1"/>
  <c r="F49" i="8"/>
  <c r="M50" i="8" s="1"/>
  <c r="F41" i="8"/>
  <c r="M42" i="8" s="1"/>
  <c r="F33" i="8"/>
  <c r="M34" i="8" s="1"/>
  <c r="F25" i="8"/>
  <c r="M26" i="8" s="1"/>
  <c r="D59" i="8"/>
  <c r="K60" i="8" s="1"/>
  <c r="D51" i="8"/>
  <c r="K52" i="8" s="1"/>
  <c r="D43" i="8"/>
  <c r="K44" i="8" s="1"/>
  <c r="D35" i="8"/>
  <c r="K36" i="8" s="1"/>
  <c r="D27" i="8"/>
  <c r="K28" i="8" s="1"/>
  <c r="D19" i="8"/>
  <c r="K20" i="8" s="1"/>
  <c r="E61" i="8"/>
  <c r="L62" i="8" s="1"/>
  <c r="E53" i="8"/>
  <c r="L54" i="8" s="1"/>
  <c r="E45" i="8"/>
  <c r="L46" i="8" s="1"/>
  <c r="E37" i="8"/>
  <c r="L38" i="8" s="1"/>
  <c r="E29" i="8"/>
  <c r="L30" i="8" s="1"/>
  <c r="E21" i="8"/>
  <c r="L22" i="8" s="1"/>
  <c r="F53" i="8"/>
  <c r="M54" i="8" s="1"/>
  <c r="F56" i="8"/>
  <c r="M57" i="8" s="1"/>
  <c r="F24" i="8"/>
  <c r="M25" i="8" s="1"/>
  <c r="D58" i="8"/>
  <c r="K59" i="8" s="1"/>
  <c r="D42" i="8"/>
  <c r="K43" i="8" s="1"/>
  <c r="D34" i="8"/>
  <c r="K35" i="8" s="1"/>
  <c r="E60" i="8"/>
  <c r="L61" i="8" s="1"/>
  <c r="E52" i="8"/>
  <c r="L53" i="8" s="1"/>
  <c r="E44" i="8"/>
  <c r="L45" i="8" s="1"/>
  <c r="E36" i="8"/>
  <c r="L37" i="8" s="1"/>
  <c r="E28" i="8"/>
  <c r="L29" i="8" s="1"/>
  <c r="E20" i="8"/>
  <c r="L21" i="8" s="1"/>
  <c r="F59" i="8"/>
  <c r="M60" i="8" s="1"/>
  <c r="F51" i="8"/>
  <c r="M52" i="8" s="1"/>
  <c r="F43" i="8"/>
  <c r="M44" i="8" s="1"/>
  <c r="F35" i="8"/>
  <c r="M36" i="8" s="1"/>
  <c r="F23" i="8"/>
  <c r="M24" i="8" s="1"/>
  <c r="C15" i="1"/>
  <c r="D14" i="6"/>
  <c r="F14" i="6" s="1"/>
  <c r="A104" i="7" s="1"/>
  <c r="B104" i="7" s="1"/>
  <c r="C15" i="6"/>
  <c r="A104" i="4"/>
  <c r="B104" i="4" s="1"/>
  <c r="F14" i="1"/>
  <c r="D14" i="1"/>
  <c r="A2" i="4" s="1"/>
  <c r="B2" i="4" s="1"/>
  <c r="H14" i="1"/>
  <c r="H11" i="9" l="1"/>
  <c r="A308" i="10" s="1"/>
  <c r="B308" i="10" s="1"/>
  <c r="A104" i="10"/>
  <c r="B104" i="10" s="1"/>
  <c r="C16" i="1"/>
  <c r="B2" i="10"/>
  <c r="D12" i="9"/>
  <c r="F12" i="9"/>
  <c r="A2" i="7"/>
  <c r="B2" i="7" s="1"/>
  <c r="G62" i="8"/>
  <c r="N63" i="8" s="1"/>
  <c r="H62" i="8"/>
  <c r="O63" i="8" s="1"/>
  <c r="I62" i="8"/>
  <c r="P63" i="8" s="1"/>
  <c r="E62" i="8"/>
  <c r="L63" i="8" s="1"/>
  <c r="D62" i="8"/>
  <c r="K63" i="8" s="1"/>
  <c r="F62" i="8"/>
  <c r="M63" i="8" s="1"/>
  <c r="D15" i="6"/>
  <c r="F15" i="6" s="1"/>
  <c r="D15" i="1"/>
  <c r="G15" i="1" s="1"/>
  <c r="E15" i="6"/>
  <c r="C16" i="6"/>
  <c r="F15" i="1"/>
  <c r="A308" i="4"/>
  <c r="B308" i="4" s="1"/>
  <c r="G14" i="1"/>
  <c r="A206" i="4" s="1"/>
  <c r="B206" i="4" s="1"/>
  <c r="A3" i="7" l="1"/>
  <c r="B3" i="7" s="1"/>
  <c r="E12" i="9"/>
  <c r="A3" i="10"/>
  <c r="B3" i="10" s="1"/>
  <c r="B206" i="10"/>
  <c r="D16" i="1"/>
  <c r="A4" i="4" s="1"/>
  <c r="B4" i="4" s="1"/>
  <c r="C17" i="1"/>
  <c r="D17" i="1" s="1"/>
  <c r="A5" i="4" s="1"/>
  <c r="B5" i="4" s="1"/>
  <c r="D13" i="9"/>
  <c r="G12" i="9"/>
  <c r="A207" i="10" s="1"/>
  <c r="B207" i="10" s="1"/>
  <c r="F13" i="9"/>
  <c r="A105" i="7"/>
  <c r="H63" i="8"/>
  <c r="O64" i="8" s="1"/>
  <c r="G63" i="8"/>
  <c r="N64" i="8" s="1"/>
  <c r="I63" i="8"/>
  <c r="P64" i="8" s="1"/>
  <c r="E63" i="8"/>
  <c r="L64" i="8" s="1"/>
  <c r="D63" i="8"/>
  <c r="K64" i="8" s="1"/>
  <c r="F63" i="8"/>
  <c r="M64" i="8" s="1"/>
  <c r="E15" i="1"/>
  <c r="D16" i="6"/>
  <c r="F16" i="6" s="1"/>
  <c r="A3" i="4"/>
  <c r="B3" i="4" s="1"/>
  <c r="C17" i="6"/>
  <c r="E16" i="6"/>
  <c r="A207" i="4"/>
  <c r="B207" i="4" s="1"/>
  <c r="F16" i="1"/>
  <c r="C18" i="1" l="1"/>
  <c r="C19" i="1" s="1"/>
  <c r="G16" i="1"/>
  <c r="A208" i="4" s="1"/>
  <c r="B208" i="4" s="1"/>
  <c r="E13" i="9"/>
  <c r="A106" i="10" s="1"/>
  <c r="A4" i="10"/>
  <c r="B4" i="10" s="1"/>
  <c r="H12" i="9"/>
  <c r="A309" i="10" s="1"/>
  <c r="A105" i="10"/>
  <c r="B105" i="10" s="1"/>
  <c r="G13" i="9"/>
  <c r="A208" i="10" s="1"/>
  <c r="B208" i="10" s="1"/>
  <c r="D15" i="9"/>
  <c r="D14" i="9"/>
  <c r="F14" i="9"/>
  <c r="F15" i="9" s="1"/>
  <c r="B105" i="7"/>
  <c r="E16" i="1"/>
  <c r="H15" i="1"/>
  <c r="A106" i="7"/>
  <c r="B106" i="7" s="1"/>
  <c r="A4" i="7"/>
  <c r="B4" i="7" s="1"/>
  <c r="G64" i="8"/>
  <c r="N65" i="8" s="1"/>
  <c r="H64" i="8"/>
  <c r="O65" i="8" s="1"/>
  <c r="I64" i="8"/>
  <c r="P65" i="8" s="1"/>
  <c r="F64" i="8"/>
  <c r="M65" i="8" s="1"/>
  <c r="E64" i="8"/>
  <c r="L65" i="8" s="1"/>
  <c r="D64" i="8"/>
  <c r="K65" i="8" s="1"/>
  <c r="A105" i="4"/>
  <c r="B105" i="4" s="1"/>
  <c r="D17" i="6"/>
  <c r="F17" i="6" s="1"/>
  <c r="F17" i="1"/>
  <c r="C18" i="6"/>
  <c r="E17" i="6"/>
  <c r="D18" i="1"/>
  <c r="A6" i="4" s="1"/>
  <c r="B6" i="4" s="1"/>
  <c r="G17" i="1"/>
  <c r="H13" i="9" l="1"/>
  <c r="A310" i="10" s="1"/>
  <c r="E15" i="9"/>
  <c r="A6" i="10"/>
  <c r="B6" i="10" s="1"/>
  <c r="E14" i="9"/>
  <c r="A5" i="10"/>
  <c r="B5" i="10" s="1"/>
  <c r="A309" i="4"/>
  <c r="B309" i="4" s="1"/>
  <c r="B309" i="10"/>
  <c r="E17" i="1"/>
  <c r="B106" i="10"/>
  <c r="F18" i="1"/>
  <c r="G15" i="9"/>
  <c r="A210" i="10" s="1"/>
  <c r="G14" i="9"/>
  <c r="A209" i="10" s="1"/>
  <c r="B209" i="10" s="1"/>
  <c r="D16" i="9"/>
  <c r="F16" i="9"/>
  <c r="A106" i="4"/>
  <c r="B106" i="4" s="1"/>
  <c r="H16" i="1"/>
  <c r="A5" i="7"/>
  <c r="B5" i="7" s="1"/>
  <c r="A107" i="7"/>
  <c r="B107" i="7" s="1"/>
  <c r="G65" i="8"/>
  <c r="N66" i="8" s="1"/>
  <c r="I65" i="8"/>
  <c r="P66" i="8" s="1"/>
  <c r="H65" i="8"/>
  <c r="O66" i="8" s="1"/>
  <c r="F65" i="8"/>
  <c r="M66" i="8" s="1"/>
  <c r="E65" i="8"/>
  <c r="L66" i="8" s="1"/>
  <c r="D65" i="8"/>
  <c r="K66" i="8" s="1"/>
  <c r="D18" i="6"/>
  <c r="F18" i="6" s="1"/>
  <c r="A209" i="4"/>
  <c r="B209" i="4" s="1"/>
  <c r="C19" i="6"/>
  <c r="E18" i="6"/>
  <c r="F19" i="1"/>
  <c r="C20" i="1"/>
  <c r="D19" i="1"/>
  <c r="A7" i="4" s="1"/>
  <c r="B7" i="4" s="1"/>
  <c r="G18" i="1"/>
  <c r="A210" i="4" s="1"/>
  <c r="B210" i="4" s="1"/>
  <c r="H14" i="9" l="1"/>
  <c r="A311" i="10" s="1"/>
  <c r="A107" i="10"/>
  <c r="B107" i="10" s="1"/>
  <c r="E16" i="9"/>
  <c r="A7" i="10"/>
  <c r="B7" i="10" s="1"/>
  <c r="H15" i="9"/>
  <c r="A312" i="10" s="1"/>
  <c r="A108" i="10"/>
  <c r="E18" i="1"/>
  <c r="A310" i="4"/>
  <c r="B310" i="4" s="1"/>
  <c r="B310" i="10"/>
  <c r="A107" i="4"/>
  <c r="B107" i="4" s="1"/>
  <c r="H17" i="1"/>
  <c r="B210" i="10"/>
  <c r="G16" i="9"/>
  <c r="A211" i="10" s="1"/>
  <c r="D17" i="9"/>
  <c r="F17" i="9"/>
  <c r="A108" i="7"/>
  <c r="B108" i="7" s="1"/>
  <c r="A6" i="7"/>
  <c r="B6" i="7" s="1"/>
  <c r="G66" i="8"/>
  <c r="N67" i="8" s="1"/>
  <c r="I66" i="8"/>
  <c r="P67" i="8" s="1"/>
  <c r="H66" i="8"/>
  <c r="O67" i="8" s="1"/>
  <c r="F66" i="8"/>
  <c r="M67" i="8" s="1"/>
  <c r="E66" i="8"/>
  <c r="L67" i="8" s="1"/>
  <c r="D66" i="8"/>
  <c r="K67" i="8" s="1"/>
  <c r="D19" i="6"/>
  <c r="F19" i="6" s="1"/>
  <c r="C20" i="6"/>
  <c r="E19" i="6"/>
  <c r="F20" i="1"/>
  <c r="E19" i="1"/>
  <c r="C21" i="1"/>
  <c r="D20" i="1"/>
  <c r="A8" i="4" s="1"/>
  <c r="B8" i="4" s="1"/>
  <c r="G19" i="1"/>
  <c r="A211" i="4" s="1"/>
  <c r="B211" i="4" s="1"/>
  <c r="B108" i="10" l="1"/>
  <c r="E17" i="9"/>
  <c r="A8" i="10"/>
  <c r="B8" i="10" s="1"/>
  <c r="H16" i="9"/>
  <c r="A313" i="10" s="1"/>
  <c r="A109" i="10"/>
  <c r="B109" i="10" s="1"/>
  <c r="A108" i="4"/>
  <c r="B108" i="4" s="1"/>
  <c r="H18" i="1"/>
  <c r="B312" i="10" s="1"/>
  <c r="A311" i="4"/>
  <c r="B311" i="4" s="1"/>
  <c r="B311" i="10"/>
  <c r="B211" i="10"/>
  <c r="G17" i="9"/>
  <c r="A212" i="10" s="1"/>
  <c r="D18" i="9"/>
  <c r="F18" i="9"/>
  <c r="A109" i="7"/>
  <c r="B109" i="7" s="1"/>
  <c r="H67" i="8"/>
  <c r="O68" i="8" s="1"/>
  <c r="G67" i="8"/>
  <c r="N68" i="8" s="1"/>
  <c r="I67" i="8"/>
  <c r="P68" i="8" s="1"/>
  <c r="F67" i="8"/>
  <c r="M68" i="8" s="1"/>
  <c r="D67" i="8"/>
  <c r="K68" i="8" s="1"/>
  <c r="E67" i="8"/>
  <c r="L68" i="8" s="1"/>
  <c r="D20" i="6"/>
  <c r="F20" i="6" s="1"/>
  <c r="A7" i="7"/>
  <c r="B7" i="7" s="1"/>
  <c r="A312" i="4"/>
  <c r="B312" i="4" s="1"/>
  <c r="A109" i="4"/>
  <c r="B109" i="4" s="1"/>
  <c r="C21" i="6"/>
  <c r="E20" i="6"/>
  <c r="F21" i="1"/>
  <c r="E20" i="1"/>
  <c r="H19" i="1"/>
  <c r="C22" i="1"/>
  <c r="D21" i="1"/>
  <c r="A9" i="4" s="1"/>
  <c r="B9" i="4" s="1"/>
  <c r="G20" i="1"/>
  <c r="A212" i="4" s="1"/>
  <c r="B212" i="4" s="1"/>
  <c r="B313" i="10" l="1"/>
  <c r="H17" i="9"/>
  <c r="A314" i="10" s="1"/>
  <c r="A110" i="10"/>
  <c r="B110" i="10" s="1"/>
  <c r="E18" i="9"/>
  <c r="A111" i="10" s="1"/>
  <c r="A9" i="10"/>
  <c r="B9" i="10" s="1"/>
  <c r="B212" i="10"/>
  <c r="G18" i="9"/>
  <c r="A213" i="10" s="1"/>
  <c r="B213" i="10" s="1"/>
  <c r="D19" i="9"/>
  <c r="F19" i="9"/>
  <c r="A110" i="7"/>
  <c r="B110" i="7" s="1"/>
  <c r="D21" i="6"/>
  <c r="F21" i="6" s="1"/>
  <c r="A8" i="7"/>
  <c r="B8" i="7" s="1"/>
  <c r="A313" i="4"/>
  <c r="B313" i="4" s="1"/>
  <c r="A110" i="4"/>
  <c r="B110" i="4" s="1"/>
  <c r="C22" i="6"/>
  <c r="E21" i="6"/>
  <c r="E21" i="1"/>
  <c r="F22" i="1"/>
  <c r="H20" i="1"/>
  <c r="C23" i="1"/>
  <c r="D22" i="1"/>
  <c r="A10" i="4" s="1"/>
  <c r="B10" i="4" s="1"/>
  <c r="G21" i="1"/>
  <c r="A213" i="4" s="1"/>
  <c r="B213" i="4" s="1"/>
  <c r="A9" i="7" l="1"/>
  <c r="B9" i="7" s="1"/>
  <c r="B314" i="10"/>
  <c r="B111" i="10"/>
  <c r="E19" i="9"/>
  <c r="A112" i="10" s="1"/>
  <c r="A10" i="10"/>
  <c r="B10" i="10" s="1"/>
  <c r="G19" i="9"/>
  <c r="A214" i="10" s="1"/>
  <c r="D20" i="9"/>
  <c r="H18" i="9"/>
  <c r="A315" i="10" s="1"/>
  <c r="F20" i="9"/>
  <c r="A111" i="7"/>
  <c r="B111" i="7" s="1"/>
  <c r="D22" i="6"/>
  <c r="F22" i="6" s="1"/>
  <c r="A314" i="4"/>
  <c r="B314" i="4" s="1"/>
  <c r="C23" i="6"/>
  <c r="E22" i="6"/>
  <c r="H21" i="1"/>
  <c r="A111" i="4"/>
  <c r="B111" i="4" s="1"/>
  <c r="E22" i="1"/>
  <c r="F23" i="1"/>
  <c r="C24" i="1"/>
  <c r="D23" i="1"/>
  <c r="A11" i="4" s="1"/>
  <c r="B11" i="4" s="1"/>
  <c r="G22" i="1"/>
  <c r="A214" i="4" s="1"/>
  <c r="B214" i="4" s="1"/>
  <c r="B315" i="10" l="1"/>
  <c r="B112" i="10"/>
  <c r="G20" i="9"/>
  <c r="A215" i="10" s="1"/>
  <c r="B215" i="10" s="1"/>
  <c r="A11" i="10"/>
  <c r="B11" i="10" s="1"/>
  <c r="B214" i="10"/>
  <c r="E20" i="9"/>
  <c r="A113" i="10" s="1"/>
  <c r="D21" i="9"/>
  <c r="F21" i="9"/>
  <c r="H19" i="9"/>
  <c r="A316" i="10" s="1"/>
  <c r="A10" i="7"/>
  <c r="B10" i="7" s="1"/>
  <c r="A112" i="7"/>
  <c r="B112" i="7" s="1"/>
  <c r="D23" i="6"/>
  <c r="F23" i="6" s="1"/>
  <c r="A315" i="4"/>
  <c r="B315" i="4" s="1"/>
  <c r="C24" i="6"/>
  <c r="E23" i="6"/>
  <c r="H22" i="1"/>
  <c r="A112" i="4"/>
  <c r="B112" i="4" s="1"/>
  <c r="E23" i="1"/>
  <c r="F24" i="1"/>
  <c r="G23" i="1"/>
  <c r="A215" i="4" s="1"/>
  <c r="B215" i="4" s="1"/>
  <c r="C25" i="1"/>
  <c r="D24" i="1"/>
  <c r="A12" i="4" s="1"/>
  <c r="B12" i="4" s="1"/>
  <c r="A113" i="7" l="1"/>
  <c r="B113" i="7" s="1"/>
  <c r="E21" i="9"/>
  <c r="A114" i="10" s="1"/>
  <c r="A12" i="10"/>
  <c r="B12" i="10" s="1"/>
  <c r="B113" i="10"/>
  <c r="B316" i="10"/>
  <c r="G21" i="9"/>
  <c r="A216" i="10" s="1"/>
  <c r="D22" i="9"/>
  <c r="F22" i="9"/>
  <c r="H20" i="9"/>
  <c r="A317" i="10" s="1"/>
  <c r="D24" i="6"/>
  <c r="F24" i="6" s="1"/>
  <c r="A11" i="7"/>
  <c r="B11" i="7" s="1"/>
  <c r="A316" i="4"/>
  <c r="B316" i="4" s="1"/>
  <c r="A113" i="4"/>
  <c r="B113" i="4" s="1"/>
  <c r="C25" i="6"/>
  <c r="E24" i="6"/>
  <c r="H23" i="1"/>
  <c r="E24" i="1"/>
  <c r="F25" i="1"/>
  <c r="C26" i="1"/>
  <c r="D25" i="1"/>
  <c r="G24" i="1"/>
  <c r="A216" i="4" s="1"/>
  <c r="B216" i="4" s="1"/>
  <c r="B114" i="10" l="1"/>
  <c r="B317" i="10"/>
  <c r="G22" i="9"/>
  <c r="A217" i="10" s="1"/>
  <c r="A13" i="10"/>
  <c r="B13" i="10" s="1"/>
  <c r="B216" i="10"/>
  <c r="E22" i="9"/>
  <c r="A115" i="10" s="1"/>
  <c r="D23" i="9"/>
  <c r="H21" i="9"/>
  <c r="A318" i="10" s="1"/>
  <c r="F23" i="9"/>
  <c r="A114" i="7"/>
  <c r="B114" i="7" s="1"/>
  <c r="A12" i="7"/>
  <c r="B12" i="7" s="1"/>
  <c r="D25" i="6"/>
  <c r="F25" i="6" s="1"/>
  <c r="A317" i="4"/>
  <c r="B317" i="4" s="1"/>
  <c r="A114" i="4"/>
  <c r="B114" i="4" s="1"/>
  <c r="C26" i="6"/>
  <c r="E25" i="6"/>
  <c r="E25" i="1"/>
  <c r="A13" i="4"/>
  <c r="B13" i="4" s="1"/>
  <c r="H24" i="1"/>
  <c r="F26" i="1"/>
  <c r="C27" i="1"/>
  <c r="D26" i="1"/>
  <c r="A14" i="4" s="1"/>
  <c r="B14" i="4" s="1"/>
  <c r="G25" i="1"/>
  <c r="A217" i="4" s="1"/>
  <c r="B217" i="4" s="1"/>
  <c r="E23" i="9" l="1"/>
  <c r="A116" i="10" s="1"/>
  <c r="A14" i="10"/>
  <c r="B14" i="10" s="1"/>
  <c r="B318" i="10"/>
  <c r="B115" i="10"/>
  <c r="B217" i="10"/>
  <c r="G23" i="9"/>
  <c r="A218" i="10" s="1"/>
  <c r="D24" i="9"/>
  <c r="F24" i="9"/>
  <c r="H22" i="9"/>
  <c r="A319" i="10" s="1"/>
  <c r="A13" i="7"/>
  <c r="B13" i="7" s="1"/>
  <c r="D26" i="6"/>
  <c r="F26" i="6" s="1"/>
  <c r="A115" i="7"/>
  <c r="B115" i="7" s="1"/>
  <c r="A318" i="4"/>
  <c r="B318" i="4" s="1"/>
  <c r="A115" i="4"/>
  <c r="B115" i="4" s="1"/>
  <c r="C27" i="6"/>
  <c r="E26" i="6"/>
  <c r="E26" i="1"/>
  <c r="F27" i="1"/>
  <c r="H25" i="1"/>
  <c r="C28" i="1"/>
  <c r="D27" i="1"/>
  <c r="G26" i="1"/>
  <c r="A218" i="4" s="1"/>
  <c r="B218" i="4" s="1"/>
  <c r="B116" i="10" l="1"/>
  <c r="G24" i="9"/>
  <c r="A219" i="10" s="1"/>
  <c r="A15" i="10"/>
  <c r="B15" i="10" s="1"/>
  <c r="B319" i="10"/>
  <c r="B218" i="10"/>
  <c r="E24" i="9"/>
  <c r="A117" i="10" s="1"/>
  <c r="D25" i="9"/>
  <c r="F25" i="9"/>
  <c r="H23" i="9"/>
  <c r="A320" i="10" s="1"/>
  <c r="A14" i="7"/>
  <c r="B14" i="7" s="1"/>
  <c r="A116" i="7"/>
  <c r="B116" i="7" s="1"/>
  <c r="D27" i="6"/>
  <c r="F27" i="6" s="1"/>
  <c r="A319" i="4"/>
  <c r="B319" i="4" s="1"/>
  <c r="A116" i="4"/>
  <c r="B116" i="4" s="1"/>
  <c r="C28" i="6"/>
  <c r="E27" i="6"/>
  <c r="E27" i="1"/>
  <c r="A15" i="4"/>
  <c r="B15" i="4" s="1"/>
  <c r="F28" i="1"/>
  <c r="H26" i="1"/>
  <c r="G27" i="1"/>
  <c r="A219" i="4" s="1"/>
  <c r="B219" i="4" s="1"/>
  <c r="C29" i="1"/>
  <c r="D28" i="1"/>
  <c r="B117" i="10" l="1"/>
  <c r="G25" i="9"/>
  <c r="A220" i="10" s="1"/>
  <c r="A16" i="10"/>
  <c r="B16" i="10" s="1"/>
  <c r="B320" i="10"/>
  <c r="A15" i="7"/>
  <c r="B15" i="7" s="1"/>
  <c r="B219" i="10"/>
  <c r="E25" i="9"/>
  <c r="A118" i="10" s="1"/>
  <c r="D26" i="9"/>
  <c r="H24" i="9"/>
  <c r="A321" i="10" s="1"/>
  <c r="F26" i="9"/>
  <c r="A117" i="7"/>
  <c r="B117" i="7" s="1"/>
  <c r="E28" i="1"/>
  <c r="D28" i="6"/>
  <c r="F28" i="6" s="1"/>
  <c r="A320" i="4"/>
  <c r="B320" i="4" s="1"/>
  <c r="A117" i="4"/>
  <c r="B117" i="4" s="1"/>
  <c r="C29" i="6"/>
  <c r="E28" i="6"/>
  <c r="A16" i="4"/>
  <c r="B16" i="4" s="1"/>
  <c r="F29" i="1"/>
  <c r="H27" i="1"/>
  <c r="C30" i="1"/>
  <c r="D29" i="1"/>
  <c r="G28" i="1"/>
  <c r="A220" i="4" s="1"/>
  <c r="B220" i="4" s="1"/>
  <c r="E26" i="9" l="1"/>
  <c r="A119" i="10" s="1"/>
  <c r="A17" i="10"/>
  <c r="B17" i="10" s="1"/>
  <c r="B321" i="10"/>
  <c r="A118" i="4"/>
  <c r="B118" i="4" s="1"/>
  <c r="B118" i="10"/>
  <c r="B220" i="10"/>
  <c r="G26" i="9"/>
  <c r="A221" i="10" s="1"/>
  <c r="D27" i="9"/>
  <c r="F27" i="9"/>
  <c r="H25" i="9"/>
  <c r="A322" i="10" s="1"/>
  <c r="H28" i="1"/>
  <c r="E29" i="1"/>
  <c r="A118" i="7"/>
  <c r="B118" i="7" s="1"/>
  <c r="A16" i="7"/>
  <c r="B16" i="7" s="1"/>
  <c r="D29" i="6"/>
  <c r="F29" i="6" s="1"/>
  <c r="A321" i="4"/>
  <c r="B321" i="4" s="1"/>
  <c r="C30" i="6"/>
  <c r="E29" i="6"/>
  <c r="A17" i="4"/>
  <c r="B17" i="4" s="1"/>
  <c r="F30" i="1"/>
  <c r="C31" i="1"/>
  <c r="D30" i="1"/>
  <c r="G29" i="1"/>
  <c r="A221" i="4" s="1"/>
  <c r="B221" i="4" s="1"/>
  <c r="E27" i="9" l="1"/>
  <c r="A120" i="10" s="1"/>
  <c r="A18" i="10"/>
  <c r="B18" i="10" s="1"/>
  <c r="A322" i="4"/>
  <c r="B322" i="4" s="1"/>
  <c r="B322" i="10"/>
  <c r="A119" i="4"/>
  <c r="B119" i="4" s="1"/>
  <c r="B119" i="10"/>
  <c r="B221" i="10"/>
  <c r="G27" i="9"/>
  <c r="A222" i="10" s="1"/>
  <c r="B222" i="10" s="1"/>
  <c r="D28" i="9"/>
  <c r="H26" i="9"/>
  <c r="A323" i="10" s="1"/>
  <c r="F28" i="9"/>
  <c r="A17" i="7"/>
  <c r="B17" i="7" s="1"/>
  <c r="A119" i="7"/>
  <c r="B119" i="7" s="1"/>
  <c r="E30" i="1"/>
  <c r="D30" i="6"/>
  <c r="F30" i="6" s="1"/>
  <c r="C31" i="6"/>
  <c r="E30" i="6"/>
  <c r="A18" i="4"/>
  <c r="B18" i="4" s="1"/>
  <c r="F31" i="1"/>
  <c r="H29" i="1"/>
  <c r="C32" i="1"/>
  <c r="D31" i="1"/>
  <c r="G30" i="1"/>
  <c r="A222" i="4" s="1"/>
  <c r="B222" i="4" s="1"/>
  <c r="B323" i="10" l="1"/>
  <c r="E28" i="9"/>
  <c r="A121" i="10" s="1"/>
  <c r="A19" i="10"/>
  <c r="B19" i="10" s="1"/>
  <c r="A120" i="4"/>
  <c r="B120" i="4" s="1"/>
  <c r="B120" i="10"/>
  <c r="G28" i="9"/>
  <c r="A223" i="10" s="1"/>
  <c r="D29" i="9"/>
  <c r="F29" i="9"/>
  <c r="H27" i="9"/>
  <c r="A324" i="10" s="1"/>
  <c r="A120" i="7"/>
  <c r="B120" i="7" s="1"/>
  <c r="E31" i="1"/>
  <c r="A18" i="7"/>
  <c r="B18" i="7" s="1"/>
  <c r="D31" i="6"/>
  <c r="F31" i="6" s="1"/>
  <c r="A323" i="4"/>
  <c r="B323" i="4" s="1"/>
  <c r="C32" i="6"/>
  <c r="E31" i="6"/>
  <c r="A19" i="4"/>
  <c r="B19" i="4" s="1"/>
  <c r="F32" i="1"/>
  <c r="H30" i="1"/>
  <c r="G31" i="1"/>
  <c r="A223" i="4" s="1"/>
  <c r="B223" i="4" s="1"/>
  <c r="C33" i="1"/>
  <c r="D32" i="1"/>
  <c r="E29" i="9" l="1"/>
  <c r="A122" i="10" s="1"/>
  <c r="A20" i="10"/>
  <c r="B20" i="10" s="1"/>
  <c r="B324" i="10"/>
  <c r="A121" i="4"/>
  <c r="B121" i="4" s="1"/>
  <c r="B121" i="10"/>
  <c r="B223" i="10"/>
  <c r="A121" i="7"/>
  <c r="B121" i="7" s="1"/>
  <c r="G29" i="9"/>
  <c r="A224" i="10" s="1"/>
  <c r="D30" i="9"/>
  <c r="H28" i="9"/>
  <c r="A325" i="10" s="1"/>
  <c r="F30" i="9"/>
  <c r="E32" i="1"/>
  <c r="A19" i="7"/>
  <c r="B19" i="7" s="1"/>
  <c r="D32" i="6"/>
  <c r="F32" i="6" s="1"/>
  <c r="A324" i="4"/>
  <c r="B324" i="4" s="1"/>
  <c r="C33" i="6"/>
  <c r="E32" i="6"/>
  <c r="A20" i="4"/>
  <c r="B20" i="4" s="1"/>
  <c r="F33" i="1"/>
  <c r="H31" i="1"/>
  <c r="C34" i="1"/>
  <c r="D33" i="1"/>
  <c r="G32" i="1"/>
  <c r="A224" i="4" s="1"/>
  <c r="B224" i="4" s="1"/>
  <c r="E30" i="9" l="1"/>
  <c r="A123" i="10" s="1"/>
  <c r="A21" i="10"/>
  <c r="B21" i="10" s="1"/>
  <c r="B325" i="10"/>
  <c r="A122" i="4"/>
  <c r="B122" i="4" s="1"/>
  <c r="B122" i="10"/>
  <c r="B224" i="10"/>
  <c r="G30" i="9"/>
  <c r="A225" i="10" s="1"/>
  <c r="B225" i="10" s="1"/>
  <c r="D31" i="9"/>
  <c r="F31" i="9"/>
  <c r="H29" i="9"/>
  <c r="A326" i="10" s="1"/>
  <c r="E33" i="1"/>
  <c r="H32" i="1"/>
  <c r="A20" i="7"/>
  <c r="B20" i="7" s="1"/>
  <c r="A122" i="7"/>
  <c r="B122" i="7" s="1"/>
  <c r="D33" i="6"/>
  <c r="F33" i="6" s="1"/>
  <c r="A325" i="4"/>
  <c r="B325" i="4" s="1"/>
  <c r="A21" i="4"/>
  <c r="B21" i="4" s="1"/>
  <c r="C34" i="6"/>
  <c r="E33" i="6"/>
  <c r="F34" i="1"/>
  <c r="G33" i="1"/>
  <c r="A225" i="4" s="1"/>
  <c r="B225" i="4" s="1"/>
  <c r="C35" i="1"/>
  <c r="D34" i="1"/>
  <c r="E31" i="9" l="1"/>
  <c r="A124" i="10" s="1"/>
  <c r="A22" i="10"/>
  <c r="B22" i="10" s="1"/>
  <c r="A326" i="4"/>
  <c r="B326" i="4" s="1"/>
  <c r="B326" i="10"/>
  <c r="A123" i="4"/>
  <c r="B123" i="4" s="1"/>
  <c r="B123" i="10"/>
  <c r="G31" i="9"/>
  <c r="A226" i="10" s="1"/>
  <c r="B226" i="10" s="1"/>
  <c r="D32" i="9"/>
  <c r="E34" i="1"/>
  <c r="H30" i="9"/>
  <c r="A327" i="10" s="1"/>
  <c r="F32" i="9"/>
  <c r="H33" i="1"/>
  <c r="D34" i="6"/>
  <c r="F34" i="6" s="1"/>
  <c r="A123" i="7"/>
  <c r="B123" i="7" s="1"/>
  <c r="A21" i="7"/>
  <c r="B21" i="7" s="1"/>
  <c r="C35" i="6"/>
  <c r="E34" i="6"/>
  <c r="A22" i="4"/>
  <c r="B22" i="4" s="1"/>
  <c r="F35" i="1"/>
  <c r="C36" i="1"/>
  <c r="D35" i="1"/>
  <c r="G34" i="1"/>
  <c r="A226" i="4" s="1"/>
  <c r="B226" i="4" s="1"/>
  <c r="E32" i="9" l="1"/>
  <c r="A125" i="10" s="1"/>
  <c r="A23" i="10"/>
  <c r="B23" i="10" s="1"/>
  <c r="A327" i="4"/>
  <c r="B327" i="4" s="1"/>
  <c r="B327" i="10"/>
  <c r="A124" i="4"/>
  <c r="B124" i="4" s="1"/>
  <c r="B124" i="10"/>
  <c r="A124" i="7"/>
  <c r="B124" i="7" s="1"/>
  <c r="G32" i="9"/>
  <c r="A227" i="10" s="1"/>
  <c r="B227" i="10" s="1"/>
  <c r="D33" i="9"/>
  <c r="F33" i="9"/>
  <c r="H31" i="9"/>
  <c r="A328" i="10" s="1"/>
  <c r="E35" i="1"/>
  <c r="A22" i="7"/>
  <c r="B22" i="7" s="1"/>
  <c r="D35" i="6"/>
  <c r="F35" i="6" s="1"/>
  <c r="C36" i="6"/>
  <c r="E35" i="6"/>
  <c r="F36" i="1"/>
  <c r="A23" i="4"/>
  <c r="B23" i="4" s="1"/>
  <c r="H34" i="1"/>
  <c r="G35" i="1"/>
  <c r="A227" i="4" s="1"/>
  <c r="B227" i="4" s="1"/>
  <c r="C37" i="1"/>
  <c r="D36" i="1"/>
  <c r="G36" i="1" s="1"/>
  <c r="A23" i="7" l="1"/>
  <c r="B23" i="7" s="1"/>
  <c r="B328" i="10"/>
  <c r="E33" i="9"/>
  <c r="A126" i="10" s="1"/>
  <c r="A24" i="10"/>
  <c r="B24" i="10" s="1"/>
  <c r="A125" i="4"/>
  <c r="B125" i="4" s="1"/>
  <c r="B125" i="10"/>
  <c r="A125" i="7"/>
  <c r="B125" i="7" s="1"/>
  <c r="G33" i="9"/>
  <c r="A228" i="10" s="1"/>
  <c r="B228" i="10" s="1"/>
  <c r="D34" i="9"/>
  <c r="H35" i="1"/>
  <c r="H32" i="9"/>
  <c r="A329" i="10" s="1"/>
  <c r="F34" i="9"/>
  <c r="D36" i="6"/>
  <c r="F36" i="6" s="1"/>
  <c r="A328" i="4"/>
  <c r="B328" i="4" s="1"/>
  <c r="C37" i="6"/>
  <c r="E36" i="6"/>
  <c r="F37" i="1"/>
  <c r="A24" i="4"/>
  <c r="B24" i="4" s="1"/>
  <c r="A228" i="4"/>
  <c r="B228" i="4" s="1"/>
  <c r="E36" i="1"/>
  <c r="C38" i="1"/>
  <c r="D37" i="1"/>
  <c r="A25" i="4" s="1"/>
  <c r="B25" i="4" s="1"/>
  <c r="B126" i="10" l="1"/>
  <c r="E34" i="9"/>
  <c r="A127" i="10" s="1"/>
  <c r="A25" i="10"/>
  <c r="B25" i="10" s="1"/>
  <c r="A329" i="4"/>
  <c r="B329" i="4" s="1"/>
  <c r="B329" i="10"/>
  <c r="G34" i="9"/>
  <c r="A229" i="10" s="1"/>
  <c r="D35" i="9"/>
  <c r="F35" i="9"/>
  <c r="H33" i="9"/>
  <c r="A330" i="10" s="1"/>
  <c r="A126" i="7"/>
  <c r="B126" i="7" s="1"/>
  <c r="A24" i="7"/>
  <c r="B24" i="7" s="1"/>
  <c r="D37" i="6"/>
  <c r="F37" i="6" s="1"/>
  <c r="C38" i="6"/>
  <c r="E37" i="6"/>
  <c r="F38" i="1"/>
  <c r="H36" i="1"/>
  <c r="A126" i="4"/>
  <c r="B126" i="4" s="1"/>
  <c r="E37" i="1"/>
  <c r="C39" i="1"/>
  <c r="D38" i="1"/>
  <c r="A26" i="4" s="1"/>
  <c r="B26" i="4" s="1"/>
  <c r="G37" i="1"/>
  <c r="A229" i="4" s="1"/>
  <c r="B229" i="4" s="1"/>
  <c r="B127" i="10" l="1"/>
  <c r="B330" i="10"/>
  <c r="E35" i="9"/>
  <c r="A128" i="10" s="1"/>
  <c r="A26" i="10"/>
  <c r="B26" i="10" s="1"/>
  <c r="B229" i="10"/>
  <c r="G35" i="9"/>
  <c r="A230" i="10" s="1"/>
  <c r="B230" i="10" s="1"/>
  <c r="D36" i="9"/>
  <c r="F36" i="9"/>
  <c r="H34" i="9"/>
  <c r="A331" i="10" s="1"/>
  <c r="A25" i="7"/>
  <c r="B25" i="7" s="1"/>
  <c r="D38" i="6"/>
  <c r="F38" i="6" s="1"/>
  <c r="A127" i="7"/>
  <c r="B127" i="7" s="1"/>
  <c r="A127" i="4"/>
  <c r="B127" i="4" s="1"/>
  <c r="A330" i="4"/>
  <c r="B330" i="4" s="1"/>
  <c r="C39" i="6"/>
  <c r="E38" i="6"/>
  <c r="F39" i="1"/>
  <c r="E38" i="1"/>
  <c r="H37" i="1"/>
  <c r="G38" i="1"/>
  <c r="A230" i="4" s="1"/>
  <c r="B230" i="4" s="1"/>
  <c r="C40" i="1"/>
  <c r="D39" i="1"/>
  <c r="A27" i="4" s="1"/>
  <c r="B27" i="4" s="1"/>
  <c r="B331" i="10" l="1"/>
  <c r="E36" i="9"/>
  <c r="A129" i="10" s="1"/>
  <c r="A27" i="10"/>
  <c r="B27" i="10" s="1"/>
  <c r="B128" i="10"/>
  <c r="G36" i="9"/>
  <c r="A231" i="10" s="1"/>
  <c r="D37" i="9"/>
  <c r="F37" i="9"/>
  <c r="H35" i="9"/>
  <c r="A332" i="10" s="1"/>
  <c r="A128" i="7"/>
  <c r="B128" i="7" s="1"/>
  <c r="A26" i="7"/>
  <c r="B26" i="7" s="1"/>
  <c r="D39" i="6"/>
  <c r="F39" i="6" s="1"/>
  <c r="A331" i="4"/>
  <c r="B331" i="4" s="1"/>
  <c r="C40" i="6"/>
  <c r="E39" i="6"/>
  <c r="H38" i="1"/>
  <c r="A128" i="4"/>
  <c r="B128" i="4" s="1"/>
  <c r="F40" i="1"/>
  <c r="E39" i="1"/>
  <c r="C41" i="1"/>
  <c r="D40" i="1"/>
  <c r="A28" i="4" s="1"/>
  <c r="B28" i="4" s="1"/>
  <c r="G39" i="1"/>
  <c r="A231" i="4" s="1"/>
  <c r="B231" i="4" s="1"/>
  <c r="B129" i="10" l="1"/>
  <c r="B332" i="10"/>
  <c r="E37" i="9"/>
  <c r="A130" i="10" s="1"/>
  <c r="A28" i="10"/>
  <c r="B28" i="10" s="1"/>
  <c r="B231" i="10"/>
  <c r="G37" i="9"/>
  <c r="A232" i="10" s="1"/>
  <c r="D38" i="9"/>
  <c r="H36" i="9"/>
  <c r="A333" i="10" s="1"/>
  <c r="F38" i="9"/>
  <c r="A27" i="7"/>
  <c r="B27" i="7" s="1"/>
  <c r="A129" i="7"/>
  <c r="B129" i="7" s="1"/>
  <c r="D40" i="6"/>
  <c r="F40" i="6" s="1"/>
  <c r="A332" i="4"/>
  <c r="B332" i="4" s="1"/>
  <c r="C41" i="6"/>
  <c r="E40" i="6"/>
  <c r="F41" i="1"/>
  <c r="H39" i="1"/>
  <c r="A129" i="4"/>
  <c r="B129" i="4" s="1"/>
  <c r="E40" i="1"/>
  <c r="C42" i="1"/>
  <c r="D41" i="1"/>
  <c r="A29" i="4" s="1"/>
  <c r="B29" i="4" s="1"/>
  <c r="G40" i="1"/>
  <c r="A232" i="4" s="1"/>
  <c r="B232" i="4" s="1"/>
  <c r="A28" i="7" l="1"/>
  <c r="B28" i="7" s="1"/>
  <c r="B130" i="10"/>
  <c r="E38" i="9"/>
  <c r="A131" i="10" s="1"/>
  <c r="A29" i="10"/>
  <c r="B29" i="10" s="1"/>
  <c r="B333" i="10"/>
  <c r="B232" i="10"/>
  <c r="A130" i="7"/>
  <c r="B130" i="7" s="1"/>
  <c r="G38" i="9"/>
  <c r="A233" i="10" s="1"/>
  <c r="D39" i="9"/>
  <c r="F39" i="9"/>
  <c r="H37" i="9"/>
  <c r="A334" i="10" s="1"/>
  <c r="D41" i="6"/>
  <c r="F41" i="6" s="1"/>
  <c r="A333" i="4"/>
  <c r="B333" i="4" s="1"/>
  <c r="C42" i="6"/>
  <c r="E41" i="6"/>
  <c r="F42" i="1"/>
  <c r="H40" i="1"/>
  <c r="A130" i="4"/>
  <c r="B130" i="4" s="1"/>
  <c r="E41" i="1"/>
  <c r="C43" i="1"/>
  <c r="D42" i="1"/>
  <c r="A30" i="4" s="1"/>
  <c r="B30" i="4" s="1"/>
  <c r="G41" i="1"/>
  <c r="A233" i="4" s="1"/>
  <c r="B233" i="4" s="1"/>
  <c r="B131" i="10" l="1"/>
  <c r="B334" i="10"/>
  <c r="E39" i="9"/>
  <c r="A132" i="10" s="1"/>
  <c r="A30" i="10"/>
  <c r="B30" i="10" s="1"/>
  <c r="B233" i="10"/>
  <c r="G39" i="9"/>
  <c r="A234" i="10" s="1"/>
  <c r="D40" i="9"/>
  <c r="F40" i="9"/>
  <c r="H38" i="9"/>
  <c r="A335" i="10" s="1"/>
  <c r="A131" i="7"/>
  <c r="B131" i="7" s="1"/>
  <c r="A29" i="7"/>
  <c r="B29" i="7" s="1"/>
  <c r="D42" i="6"/>
  <c r="F42" i="6" s="1"/>
  <c r="A131" i="4"/>
  <c r="B131" i="4" s="1"/>
  <c r="A334" i="4"/>
  <c r="B334" i="4" s="1"/>
  <c r="C43" i="6"/>
  <c r="E42" i="6"/>
  <c r="F43" i="1"/>
  <c r="E42" i="1"/>
  <c r="H41" i="1"/>
  <c r="C44" i="1"/>
  <c r="D43" i="1"/>
  <c r="A31" i="4" s="1"/>
  <c r="B31" i="4" s="1"/>
  <c r="G42" i="1"/>
  <c r="A234" i="4" s="1"/>
  <c r="B234" i="4" s="1"/>
  <c r="B335" i="10" l="1"/>
  <c r="E40" i="9"/>
  <c r="A133" i="10" s="1"/>
  <c r="A31" i="10"/>
  <c r="B31" i="10" s="1"/>
  <c r="B132" i="10"/>
  <c r="B234" i="10"/>
  <c r="G40" i="9"/>
  <c r="A235" i="10" s="1"/>
  <c r="D41" i="9"/>
  <c r="H39" i="9"/>
  <c r="A336" i="10" s="1"/>
  <c r="F41" i="9"/>
  <c r="A30" i="7"/>
  <c r="B30" i="7" s="1"/>
  <c r="A132" i="7"/>
  <c r="B132" i="7" s="1"/>
  <c r="D43" i="6"/>
  <c r="F43" i="6" s="1"/>
  <c r="A335" i="4"/>
  <c r="B335" i="4" s="1"/>
  <c r="C44" i="6"/>
  <c r="E43" i="6"/>
  <c r="F44" i="1"/>
  <c r="H42" i="1"/>
  <c r="A132" i="4"/>
  <c r="B132" i="4" s="1"/>
  <c r="E43" i="1"/>
  <c r="C45" i="1"/>
  <c r="D44" i="1"/>
  <c r="A32" i="4" s="1"/>
  <c r="B32" i="4" s="1"/>
  <c r="G43" i="1"/>
  <c r="A235" i="4" s="1"/>
  <c r="B235" i="4" s="1"/>
  <c r="E41" i="9" l="1"/>
  <c r="A134" i="10" s="1"/>
  <c r="A32" i="10"/>
  <c r="B32" i="10" s="1"/>
  <c r="B133" i="10"/>
  <c r="B336" i="10"/>
  <c r="B235" i="10"/>
  <c r="G41" i="9"/>
  <c r="A236" i="10" s="1"/>
  <c r="D42" i="9"/>
  <c r="F42" i="9"/>
  <c r="H40" i="9"/>
  <c r="A337" i="10" s="1"/>
  <c r="A133" i="7"/>
  <c r="B133" i="7" s="1"/>
  <c r="D44" i="6"/>
  <c r="F44" i="6" s="1"/>
  <c r="A31" i="7"/>
  <c r="B31" i="7" s="1"/>
  <c r="A336" i="4"/>
  <c r="B336" i="4" s="1"/>
  <c r="C45" i="6"/>
  <c r="E44" i="6"/>
  <c r="F45" i="1"/>
  <c r="H43" i="1"/>
  <c r="A133" i="4"/>
  <c r="B133" i="4" s="1"/>
  <c r="E44" i="1"/>
  <c r="C46" i="1"/>
  <c r="D45" i="1"/>
  <c r="A33" i="4" s="1"/>
  <c r="B33" i="4" s="1"/>
  <c r="G44" i="1"/>
  <c r="A236" i="4" s="1"/>
  <c r="B236" i="4" s="1"/>
  <c r="B134" i="10" l="1"/>
  <c r="E42" i="9"/>
  <c r="A135" i="10" s="1"/>
  <c r="A33" i="10"/>
  <c r="B33" i="10" s="1"/>
  <c r="B337" i="10"/>
  <c r="B236" i="10"/>
  <c r="G42" i="9"/>
  <c r="A237" i="10" s="1"/>
  <c r="D43" i="9"/>
  <c r="H41" i="9"/>
  <c r="A338" i="10" s="1"/>
  <c r="F43" i="9"/>
  <c r="A32" i="7"/>
  <c r="B32" i="7" s="1"/>
  <c r="A134" i="7"/>
  <c r="B134" i="7" s="1"/>
  <c r="D45" i="6"/>
  <c r="F45" i="6" s="1"/>
  <c r="A337" i="4"/>
  <c r="B337" i="4" s="1"/>
  <c r="C46" i="6"/>
  <c r="E45" i="6"/>
  <c r="F46" i="1"/>
  <c r="H44" i="1"/>
  <c r="A134" i="4"/>
  <c r="B134" i="4" s="1"/>
  <c r="E45" i="1"/>
  <c r="C47" i="1"/>
  <c r="D46" i="1"/>
  <c r="A34" i="4" s="1"/>
  <c r="B34" i="4" s="1"/>
  <c r="G45" i="1"/>
  <c r="A237" i="4" s="1"/>
  <c r="B237" i="4" s="1"/>
  <c r="B135" i="10" l="1"/>
  <c r="E43" i="9"/>
  <c r="A136" i="10" s="1"/>
  <c r="A34" i="10"/>
  <c r="B34" i="10" s="1"/>
  <c r="B338" i="10"/>
  <c r="B237" i="10"/>
  <c r="G43" i="9"/>
  <c r="A238" i="10" s="1"/>
  <c r="D44" i="9"/>
  <c r="F44" i="9"/>
  <c r="H42" i="9"/>
  <c r="A339" i="10" s="1"/>
  <c r="A135" i="7"/>
  <c r="B135" i="7" s="1"/>
  <c r="A33" i="7"/>
  <c r="B33" i="7" s="1"/>
  <c r="D46" i="6"/>
  <c r="F46" i="6" s="1"/>
  <c r="A338" i="4"/>
  <c r="B338" i="4" s="1"/>
  <c r="C47" i="6"/>
  <c r="E46" i="6"/>
  <c r="F47" i="1"/>
  <c r="H45" i="1"/>
  <c r="A135" i="4"/>
  <c r="B135" i="4" s="1"/>
  <c r="E46" i="1"/>
  <c r="C48" i="1"/>
  <c r="D47" i="1"/>
  <c r="A35" i="4" s="1"/>
  <c r="B35" i="4" s="1"/>
  <c r="G46" i="1"/>
  <c r="A238" i="4" s="1"/>
  <c r="B238" i="4" s="1"/>
  <c r="B136" i="10" l="1"/>
  <c r="E44" i="9"/>
  <c r="A137" i="10" s="1"/>
  <c r="A35" i="10"/>
  <c r="B35" i="10" s="1"/>
  <c r="B339" i="10"/>
  <c r="B238" i="10"/>
  <c r="G44" i="9"/>
  <c r="A239" i="10" s="1"/>
  <c r="D45" i="9"/>
  <c r="H43" i="9"/>
  <c r="A340" i="10" s="1"/>
  <c r="F45" i="9"/>
  <c r="A34" i="7"/>
  <c r="B34" i="7" s="1"/>
  <c r="A136" i="7"/>
  <c r="B136" i="7" s="1"/>
  <c r="D47" i="6"/>
  <c r="F47" i="6" s="1"/>
  <c r="A339" i="4"/>
  <c r="B339" i="4" s="1"/>
  <c r="C48" i="6"/>
  <c r="E47" i="6"/>
  <c r="F48" i="1"/>
  <c r="H46" i="1"/>
  <c r="A136" i="4"/>
  <c r="B136" i="4" s="1"/>
  <c r="E47" i="1"/>
  <c r="C49" i="1"/>
  <c r="D48" i="1"/>
  <c r="A36" i="4" s="1"/>
  <c r="B36" i="4" s="1"/>
  <c r="G47" i="1"/>
  <c r="A239" i="4" s="1"/>
  <c r="B239" i="4" s="1"/>
  <c r="B137" i="10" l="1"/>
  <c r="E45" i="9"/>
  <c r="A138" i="10" s="1"/>
  <c r="A36" i="10"/>
  <c r="B36" i="10" s="1"/>
  <c r="B340" i="10"/>
  <c r="B239" i="10"/>
  <c r="G45" i="9"/>
  <c r="A240" i="10" s="1"/>
  <c r="D46" i="9"/>
  <c r="F46" i="9"/>
  <c r="H44" i="9"/>
  <c r="A341" i="10" s="1"/>
  <c r="A137" i="7"/>
  <c r="B137" i="7" s="1"/>
  <c r="D48" i="6"/>
  <c r="F48" i="6" s="1"/>
  <c r="A35" i="7"/>
  <c r="B35" i="7" s="1"/>
  <c r="A340" i="4"/>
  <c r="B340" i="4" s="1"/>
  <c r="C49" i="6"/>
  <c r="E48" i="6"/>
  <c r="H47" i="1"/>
  <c r="A137" i="4"/>
  <c r="B137" i="4" s="1"/>
  <c r="F49" i="1"/>
  <c r="E48" i="1"/>
  <c r="C50" i="1"/>
  <c r="D49" i="1"/>
  <c r="A37" i="4" s="1"/>
  <c r="B37" i="4" s="1"/>
  <c r="G48" i="1"/>
  <c r="A240" i="4" s="1"/>
  <c r="B240" i="4" s="1"/>
  <c r="B138" i="10" l="1"/>
  <c r="B341" i="10"/>
  <c r="E46" i="9"/>
  <c r="A139" i="10" s="1"/>
  <c r="A37" i="10"/>
  <c r="B37" i="10" s="1"/>
  <c r="B240" i="10"/>
  <c r="G46" i="9"/>
  <c r="A241" i="10" s="1"/>
  <c r="D47" i="9"/>
  <c r="H45" i="9"/>
  <c r="A342" i="10" s="1"/>
  <c r="F47" i="9"/>
  <c r="A138" i="7"/>
  <c r="B138" i="7" s="1"/>
  <c r="A36" i="7"/>
  <c r="B36" i="7" s="1"/>
  <c r="D49" i="6"/>
  <c r="F49" i="6" s="1"/>
  <c r="A341" i="4"/>
  <c r="B341" i="4" s="1"/>
  <c r="C50" i="6"/>
  <c r="E49" i="6"/>
  <c r="H48" i="1"/>
  <c r="A138" i="4"/>
  <c r="B138" i="4" s="1"/>
  <c r="F50" i="1"/>
  <c r="E49" i="1"/>
  <c r="C51" i="1"/>
  <c r="D50" i="1"/>
  <c r="A38" i="4" s="1"/>
  <c r="B38" i="4" s="1"/>
  <c r="G49" i="1"/>
  <c r="A241" i="4" s="1"/>
  <c r="B241" i="4" s="1"/>
  <c r="B139" i="10" l="1"/>
  <c r="B342" i="10"/>
  <c r="E47" i="9"/>
  <c r="A140" i="10" s="1"/>
  <c r="A38" i="10"/>
  <c r="B38" i="10" s="1"/>
  <c r="B241" i="10"/>
  <c r="G47" i="9"/>
  <c r="A242" i="10" s="1"/>
  <c r="D48" i="9"/>
  <c r="F48" i="9"/>
  <c r="H46" i="9"/>
  <c r="A343" i="10" s="1"/>
  <c r="A37" i="7"/>
  <c r="B37" i="7" s="1"/>
  <c r="D50" i="6"/>
  <c r="F50" i="6" s="1"/>
  <c r="A139" i="7"/>
  <c r="B139" i="7" s="1"/>
  <c r="A342" i="4"/>
  <c r="B342" i="4" s="1"/>
  <c r="C51" i="6"/>
  <c r="E50" i="6"/>
  <c r="H49" i="1"/>
  <c r="A139" i="4"/>
  <c r="B139" i="4" s="1"/>
  <c r="F51" i="1"/>
  <c r="E50" i="1"/>
  <c r="C52" i="1"/>
  <c r="D51" i="1"/>
  <c r="A39" i="4" s="1"/>
  <c r="B39" i="4" s="1"/>
  <c r="G50" i="1"/>
  <c r="A242" i="4" s="1"/>
  <c r="B242" i="4" s="1"/>
  <c r="B140" i="10" l="1"/>
  <c r="B343" i="10"/>
  <c r="E48" i="9"/>
  <c r="A141" i="10" s="1"/>
  <c r="A39" i="10"/>
  <c r="B39" i="10" s="1"/>
  <c r="B242" i="10"/>
  <c r="G48" i="9"/>
  <c r="A243" i="10" s="1"/>
  <c r="D49" i="9"/>
  <c r="H47" i="9"/>
  <c r="A344" i="10" s="1"/>
  <c r="F49" i="9"/>
  <c r="A140" i="7"/>
  <c r="B140" i="7" s="1"/>
  <c r="A38" i="7"/>
  <c r="B38" i="7" s="1"/>
  <c r="D51" i="6"/>
  <c r="F51" i="6" s="1"/>
  <c r="A343" i="4"/>
  <c r="B343" i="4" s="1"/>
  <c r="C52" i="6"/>
  <c r="E51" i="6"/>
  <c r="H50" i="1"/>
  <c r="A140" i="4"/>
  <c r="B140" i="4" s="1"/>
  <c r="F52" i="1"/>
  <c r="E51" i="1"/>
  <c r="C53" i="1"/>
  <c r="D52" i="1"/>
  <c r="A40" i="4" s="1"/>
  <c r="B40" i="4" s="1"/>
  <c r="G51" i="1"/>
  <c r="A243" i="4" s="1"/>
  <c r="B243" i="4" s="1"/>
  <c r="B141" i="10" l="1"/>
  <c r="E49" i="9"/>
  <c r="A142" i="10" s="1"/>
  <c r="A40" i="10"/>
  <c r="B40" i="10" s="1"/>
  <c r="B344" i="10"/>
  <c r="B243" i="10"/>
  <c r="G49" i="9"/>
  <c r="A244" i="10" s="1"/>
  <c r="D50" i="9"/>
  <c r="F50" i="9"/>
  <c r="H48" i="9"/>
  <c r="A345" i="10" s="1"/>
  <c r="A39" i="7"/>
  <c r="B39" i="7" s="1"/>
  <c r="A141" i="7"/>
  <c r="B141" i="7" s="1"/>
  <c r="D52" i="6"/>
  <c r="F52" i="6" s="1"/>
  <c r="A344" i="4"/>
  <c r="B344" i="4" s="1"/>
  <c r="C53" i="6"/>
  <c r="E52" i="6"/>
  <c r="H51" i="1"/>
  <c r="A141" i="4"/>
  <c r="B141" i="4" s="1"/>
  <c r="F53" i="1"/>
  <c r="E52" i="1"/>
  <c r="C54" i="1"/>
  <c r="D53" i="1"/>
  <c r="A41" i="4" s="1"/>
  <c r="B41" i="4" s="1"/>
  <c r="G52" i="1"/>
  <c r="A244" i="4" s="1"/>
  <c r="B244" i="4" s="1"/>
  <c r="B142" i="10" l="1"/>
  <c r="B345" i="10"/>
  <c r="E50" i="9"/>
  <c r="A143" i="10" s="1"/>
  <c r="A41" i="10"/>
  <c r="B41" i="10" s="1"/>
  <c r="B244" i="10"/>
  <c r="G50" i="9"/>
  <c r="A245" i="10" s="1"/>
  <c r="D51" i="9"/>
  <c r="H49" i="9"/>
  <c r="A346" i="10" s="1"/>
  <c r="F51" i="9"/>
  <c r="A40" i="7"/>
  <c r="B40" i="7" s="1"/>
  <c r="A142" i="7"/>
  <c r="B142" i="7" s="1"/>
  <c r="D53" i="6"/>
  <c r="F53" i="6" s="1"/>
  <c r="A345" i="4"/>
  <c r="B345" i="4" s="1"/>
  <c r="C54" i="6"/>
  <c r="E53" i="6"/>
  <c r="H52" i="1"/>
  <c r="A142" i="4"/>
  <c r="B142" i="4" s="1"/>
  <c r="F54" i="1"/>
  <c r="E53" i="1"/>
  <c r="C55" i="1"/>
  <c r="D54" i="1"/>
  <c r="G53" i="1"/>
  <c r="A245" i="4" s="1"/>
  <c r="B245" i="4" s="1"/>
  <c r="A41" i="7" l="1"/>
  <c r="B41" i="7" s="1"/>
  <c r="E51" i="9"/>
  <c r="A144" i="10" s="1"/>
  <c r="A42" i="10"/>
  <c r="B42" i="10" s="1"/>
  <c r="B143" i="10"/>
  <c r="B346" i="10"/>
  <c r="B245" i="10"/>
  <c r="G51" i="9"/>
  <c r="A246" i="10" s="1"/>
  <c r="D52" i="9"/>
  <c r="F52" i="9"/>
  <c r="H50" i="9"/>
  <c r="A347" i="10" s="1"/>
  <c r="A143" i="7"/>
  <c r="B143" i="7" s="1"/>
  <c r="D54" i="6"/>
  <c r="F54" i="6" s="1"/>
  <c r="A346" i="4"/>
  <c r="B346" i="4" s="1"/>
  <c r="C55" i="6"/>
  <c r="E54" i="6"/>
  <c r="E54" i="1"/>
  <c r="H53" i="1"/>
  <c r="A143" i="4"/>
  <c r="B143" i="4" s="1"/>
  <c r="A42" i="4"/>
  <c r="B42" i="4" s="1"/>
  <c r="F55" i="1"/>
  <c r="C56" i="1"/>
  <c r="D55" i="1"/>
  <c r="G54" i="1"/>
  <c r="A246" i="4" s="1"/>
  <c r="B246" i="4" s="1"/>
  <c r="B144" i="10" l="1"/>
  <c r="E52" i="9"/>
  <c r="A145" i="10" s="1"/>
  <c r="A43" i="10"/>
  <c r="B43" i="10" s="1"/>
  <c r="B347" i="10"/>
  <c r="B246" i="10"/>
  <c r="D53" i="9"/>
  <c r="G52" i="9"/>
  <c r="A247" i="10" s="1"/>
  <c r="H51" i="9"/>
  <c r="A348" i="10" s="1"/>
  <c r="F53" i="9"/>
  <c r="E55" i="1"/>
  <c r="D55" i="6"/>
  <c r="F55" i="6" s="1"/>
  <c r="A144" i="7"/>
  <c r="B144" i="7" s="1"/>
  <c r="A42" i="7"/>
  <c r="B42" i="7" s="1"/>
  <c r="A347" i="4"/>
  <c r="B347" i="4" s="1"/>
  <c r="A144" i="4"/>
  <c r="B144" i="4" s="1"/>
  <c r="C56" i="6"/>
  <c r="E55" i="6"/>
  <c r="H54" i="1"/>
  <c r="A43" i="4"/>
  <c r="B43" i="4" s="1"/>
  <c r="F56" i="1"/>
  <c r="C57" i="1"/>
  <c r="D56" i="1"/>
  <c r="G55" i="1"/>
  <c r="A247" i="4" s="1"/>
  <c r="B247" i="4" s="1"/>
  <c r="E53" i="9" l="1"/>
  <c r="A146" i="10" s="1"/>
  <c r="A44" i="10"/>
  <c r="B44" i="10" s="1"/>
  <c r="B348" i="10"/>
  <c r="A145" i="4"/>
  <c r="B145" i="4" s="1"/>
  <c r="B145" i="10"/>
  <c r="B247" i="10"/>
  <c r="G53" i="9"/>
  <c r="A248" i="10" s="1"/>
  <c r="D54" i="9"/>
  <c r="F54" i="9"/>
  <c r="H52" i="9"/>
  <c r="A349" i="10" s="1"/>
  <c r="H55" i="1"/>
  <c r="E56" i="1"/>
  <c r="A43" i="7"/>
  <c r="B43" i="7" s="1"/>
  <c r="A145" i="7"/>
  <c r="B145" i="7" s="1"/>
  <c r="A348" i="4"/>
  <c r="B348" i="4" s="1"/>
  <c r="C57" i="6"/>
  <c r="D56" i="6"/>
  <c r="F56" i="6" s="1"/>
  <c r="E56" i="6"/>
  <c r="F57" i="1"/>
  <c r="A44" i="4"/>
  <c r="B44" i="4" s="1"/>
  <c r="C58" i="1"/>
  <c r="D57" i="1"/>
  <c r="G56" i="1"/>
  <c r="A248" i="4" s="1"/>
  <c r="B248" i="4" s="1"/>
  <c r="E54" i="9" l="1"/>
  <c r="A147" i="10" s="1"/>
  <c r="A45" i="10"/>
  <c r="B45" i="10" s="1"/>
  <c r="A349" i="4"/>
  <c r="B349" i="4" s="1"/>
  <c r="B349" i="10"/>
  <c r="B248" i="10"/>
  <c r="A146" i="4"/>
  <c r="B146" i="4" s="1"/>
  <c r="B146" i="10"/>
  <c r="G54" i="9"/>
  <c r="A249" i="10" s="1"/>
  <c r="B249" i="10" s="1"/>
  <c r="D55" i="9"/>
  <c r="H56" i="1"/>
  <c r="H53" i="9"/>
  <c r="A350" i="10" s="1"/>
  <c r="E57" i="1"/>
  <c r="F55" i="9"/>
  <c r="A146" i="7"/>
  <c r="B146" i="7" s="1"/>
  <c r="A44" i="7"/>
  <c r="B44" i="7" s="1"/>
  <c r="C58" i="6"/>
  <c r="D57" i="6"/>
  <c r="F57" i="6" s="1"/>
  <c r="E57" i="6"/>
  <c r="A45" i="4"/>
  <c r="B45" i="4" s="1"/>
  <c r="F58" i="1"/>
  <c r="C59" i="1"/>
  <c r="D58" i="1"/>
  <c r="G57" i="1"/>
  <c r="A249" i="4" s="1"/>
  <c r="B249" i="4" s="1"/>
  <c r="E55" i="9" l="1"/>
  <c r="A148" i="10" s="1"/>
  <c r="A46" i="10"/>
  <c r="B46" i="10" s="1"/>
  <c r="A350" i="4"/>
  <c r="B350" i="4" s="1"/>
  <c r="B350" i="10"/>
  <c r="A147" i="4"/>
  <c r="B147" i="4" s="1"/>
  <c r="B147" i="10"/>
  <c r="E58" i="1"/>
  <c r="H58" i="1" s="1"/>
  <c r="A352" i="4" s="1"/>
  <c r="B352" i="4" s="1"/>
  <c r="G55" i="9"/>
  <c r="A250" i="10" s="1"/>
  <c r="B250" i="10" s="1"/>
  <c r="D56" i="9"/>
  <c r="F56" i="9"/>
  <c r="H54" i="9"/>
  <c r="A351" i="10" s="1"/>
  <c r="H57" i="1"/>
  <c r="A147" i="7"/>
  <c r="B147" i="7" s="1"/>
  <c r="A45" i="7"/>
  <c r="B45" i="7" s="1"/>
  <c r="D58" i="6"/>
  <c r="F58" i="6" s="1"/>
  <c r="C59" i="6"/>
  <c r="E58" i="6"/>
  <c r="F59" i="1"/>
  <c r="A46" i="4"/>
  <c r="B46" i="4" s="1"/>
  <c r="C60" i="1"/>
  <c r="D59" i="1"/>
  <c r="G58" i="1"/>
  <c r="A250" i="4" s="1"/>
  <c r="B250" i="4" s="1"/>
  <c r="E59" i="1" l="1"/>
  <c r="A149" i="4" s="1"/>
  <c r="B149" i="4" s="1"/>
  <c r="E56" i="9"/>
  <c r="A149" i="10" s="1"/>
  <c r="B149" i="10" s="1"/>
  <c r="A47" i="10"/>
  <c r="B47" i="10" s="1"/>
  <c r="A148" i="4"/>
  <c r="B148" i="4" s="1"/>
  <c r="B148" i="10"/>
  <c r="A351" i="4"/>
  <c r="B351" i="4" s="1"/>
  <c r="B351" i="10"/>
  <c r="G56" i="9"/>
  <c r="A251" i="10" s="1"/>
  <c r="D57" i="9"/>
  <c r="H55" i="9"/>
  <c r="A352" i="10" s="1"/>
  <c r="B352" i="10" s="1"/>
  <c r="F57" i="9"/>
  <c r="A46" i="7"/>
  <c r="B46" i="7" s="1"/>
  <c r="A148" i="7"/>
  <c r="B148" i="7" s="1"/>
  <c r="C60" i="6"/>
  <c r="D59" i="6"/>
  <c r="F59" i="6" s="1"/>
  <c r="E59" i="6"/>
  <c r="F60" i="1"/>
  <c r="A47" i="4"/>
  <c r="B47" i="4" s="1"/>
  <c r="C61" i="1"/>
  <c r="D60" i="1"/>
  <c r="E60" i="1" s="1"/>
  <c r="A150" i="4" s="1"/>
  <c r="B150" i="4" s="1"/>
  <c r="H59" i="1"/>
  <c r="A353" i="4" s="1"/>
  <c r="B353" i="4" s="1"/>
  <c r="G59" i="1"/>
  <c r="A251" i="4" s="1"/>
  <c r="B251" i="4" s="1"/>
  <c r="E57" i="9" l="1"/>
  <c r="A150" i="10" s="1"/>
  <c r="B150" i="10" s="1"/>
  <c r="A48" i="10"/>
  <c r="B48" i="10" s="1"/>
  <c r="B251" i="10"/>
  <c r="D58" i="9"/>
  <c r="G57" i="9"/>
  <c r="A252" i="10" s="1"/>
  <c r="F58" i="9"/>
  <c r="H56" i="9"/>
  <c r="A353" i="10" s="1"/>
  <c r="B353" i="10" s="1"/>
  <c r="A47" i="7"/>
  <c r="B47" i="7" s="1"/>
  <c r="A149" i="7"/>
  <c r="B149" i="7" s="1"/>
  <c r="D60" i="6"/>
  <c r="F60" i="6" s="1"/>
  <c r="C61" i="6"/>
  <c r="E60" i="6"/>
  <c r="A48" i="4"/>
  <c r="B48" i="4" s="1"/>
  <c r="F61" i="1"/>
  <c r="C62" i="1"/>
  <c r="D61" i="1"/>
  <c r="E61" i="1" s="1"/>
  <c r="A151" i="4" s="1"/>
  <c r="B151" i="4" s="1"/>
  <c r="G60" i="1"/>
  <c r="A252" i="4" s="1"/>
  <c r="B252" i="4" s="1"/>
  <c r="H60" i="1"/>
  <c r="A354" i="4" s="1"/>
  <c r="B354" i="4" s="1"/>
  <c r="E58" i="9" l="1"/>
  <c r="A151" i="10" s="1"/>
  <c r="B151" i="10" s="1"/>
  <c r="A49" i="10"/>
  <c r="B49" i="10" s="1"/>
  <c r="B252" i="10"/>
  <c r="G58" i="9"/>
  <c r="A253" i="10" s="1"/>
  <c r="D59" i="9"/>
  <c r="F59" i="9"/>
  <c r="H57" i="9"/>
  <c r="A354" i="10" s="1"/>
  <c r="B354" i="10" s="1"/>
  <c r="A48" i="7"/>
  <c r="B48" i="7" s="1"/>
  <c r="A150" i="7"/>
  <c r="B150" i="7" s="1"/>
  <c r="C62" i="6"/>
  <c r="D61" i="6"/>
  <c r="F61" i="6" s="1"/>
  <c r="E61" i="6"/>
  <c r="F62" i="1"/>
  <c r="A49" i="4"/>
  <c r="B49" i="4" s="1"/>
  <c r="C63" i="1"/>
  <c r="D62" i="1"/>
  <c r="E62" i="1" s="1"/>
  <c r="A152" i="4" s="1"/>
  <c r="B152" i="4" s="1"/>
  <c r="G61" i="1"/>
  <c r="A253" i="4" s="1"/>
  <c r="B253" i="4" s="1"/>
  <c r="H61" i="1"/>
  <c r="A355" i="4" s="1"/>
  <c r="B355" i="4" s="1"/>
  <c r="E59" i="9" l="1"/>
  <c r="A152" i="10" s="1"/>
  <c r="B152" i="10" s="1"/>
  <c r="A50" i="10"/>
  <c r="B50" i="10" s="1"/>
  <c r="B253" i="10"/>
  <c r="G59" i="9"/>
  <c r="A254" i="10" s="1"/>
  <c r="B254" i="10" s="1"/>
  <c r="D60" i="9"/>
  <c r="H58" i="9"/>
  <c r="A355" i="10" s="1"/>
  <c r="B355" i="10" s="1"/>
  <c r="F60" i="9"/>
  <c r="A151" i="7"/>
  <c r="B151" i="7" s="1"/>
  <c r="A49" i="7"/>
  <c r="B49" i="7" s="1"/>
  <c r="D62" i="6"/>
  <c r="F62" i="6" s="1"/>
  <c r="C63" i="6"/>
  <c r="E62" i="6"/>
  <c r="F63" i="1"/>
  <c r="A50" i="4"/>
  <c r="B50" i="4" s="1"/>
  <c r="C64" i="1"/>
  <c r="D63" i="1"/>
  <c r="E63" i="1" s="1"/>
  <c r="A153" i="4" s="1"/>
  <c r="B153" i="4" s="1"/>
  <c r="G62" i="1"/>
  <c r="A254" i="4" s="1"/>
  <c r="B254" i="4" s="1"/>
  <c r="H62" i="1"/>
  <c r="A356" i="4" s="1"/>
  <c r="B356" i="4" s="1"/>
  <c r="E60" i="9" l="1"/>
  <c r="A153" i="10" s="1"/>
  <c r="B153" i="10" s="1"/>
  <c r="A51" i="10"/>
  <c r="B51" i="10" s="1"/>
  <c r="G60" i="9"/>
  <c r="A255" i="10" s="1"/>
  <c r="D61" i="9"/>
  <c r="F61" i="9"/>
  <c r="H59" i="9"/>
  <c r="A356" i="10" s="1"/>
  <c r="B356" i="10" s="1"/>
  <c r="A152" i="7"/>
  <c r="B152" i="7" s="1"/>
  <c r="A50" i="7"/>
  <c r="B50" i="7" s="1"/>
  <c r="D63" i="6"/>
  <c r="F63" i="6" s="1"/>
  <c r="C64" i="6"/>
  <c r="E63" i="6"/>
  <c r="A51" i="4"/>
  <c r="B51" i="4" s="1"/>
  <c r="F64" i="1"/>
  <c r="C65" i="1"/>
  <c r="D64" i="1"/>
  <c r="E64" i="1" s="1"/>
  <c r="A154" i="4" s="1"/>
  <c r="B154" i="4" s="1"/>
  <c r="H63" i="1"/>
  <c r="A357" i="4" s="1"/>
  <c r="B357" i="4" s="1"/>
  <c r="G63" i="1"/>
  <c r="A255" i="4" s="1"/>
  <c r="B255" i="4" s="1"/>
  <c r="E61" i="9" l="1"/>
  <c r="A154" i="10" s="1"/>
  <c r="B154" i="10" s="1"/>
  <c r="A52" i="10"/>
  <c r="B52" i="10" s="1"/>
  <c r="B255" i="10"/>
  <c r="G61" i="9"/>
  <c r="A256" i="10" s="1"/>
  <c r="D62" i="9"/>
  <c r="F62" i="9"/>
  <c r="H60" i="9"/>
  <c r="A357" i="10" s="1"/>
  <c r="B357" i="10" s="1"/>
  <c r="A153" i="7"/>
  <c r="B153" i="7" s="1"/>
  <c r="A51" i="7"/>
  <c r="B51" i="7" s="1"/>
  <c r="D64" i="6"/>
  <c r="F64" i="6" s="1"/>
  <c r="C65" i="6"/>
  <c r="E64" i="6"/>
  <c r="A52" i="4"/>
  <c r="B52" i="4" s="1"/>
  <c r="F65" i="1"/>
  <c r="C66" i="1"/>
  <c r="D65" i="1"/>
  <c r="E65" i="1" s="1"/>
  <c r="A155" i="4" s="1"/>
  <c r="B155" i="4" s="1"/>
  <c r="G64" i="1"/>
  <c r="A256" i="4" s="1"/>
  <c r="B256" i="4" s="1"/>
  <c r="H64" i="1"/>
  <c r="A358" i="4" s="1"/>
  <c r="B358" i="4" s="1"/>
  <c r="E62" i="9" l="1"/>
  <c r="A155" i="10" s="1"/>
  <c r="B155" i="10" s="1"/>
  <c r="A53" i="10"/>
  <c r="B53" i="10" s="1"/>
  <c r="B256" i="10"/>
  <c r="G62" i="9"/>
  <c r="A257" i="10" s="1"/>
  <c r="B257" i="10" s="1"/>
  <c r="D63" i="9"/>
  <c r="H61" i="9"/>
  <c r="A358" i="10" s="1"/>
  <c r="B358" i="10" s="1"/>
  <c r="F63" i="9"/>
  <c r="A52" i="7"/>
  <c r="B52" i="7" s="1"/>
  <c r="A154" i="7"/>
  <c r="B154" i="7" s="1"/>
  <c r="C66" i="6"/>
  <c r="D65" i="6"/>
  <c r="F65" i="6" s="1"/>
  <c r="E65" i="6"/>
  <c r="F66" i="1"/>
  <c r="A53" i="4"/>
  <c r="B53" i="4" s="1"/>
  <c r="C67" i="1"/>
  <c r="D66" i="1"/>
  <c r="E66" i="1" s="1"/>
  <c r="A156" i="4" s="1"/>
  <c r="B156" i="4" s="1"/>
  <c r="H65" i="1"/>
  <c r="A359" i="4" s="1"/>
  <c r="B359" i="4" s="1"/>
  <c r="G65" i="1"/>
  <c r="A257" i="4" s="1"/>
  <c r="B257" i="4" s="1"/>
  <c r="E63" i="9" l="1"/>
  <c r="A156" i="10" s="1"/>
  <c r="B156" i="10" s="1"/>
  <c r="A54" i="10"/>
  <c r="B54" i="10" s="1"/>
  <c r="G63" i="9"/>
  <c r="A258" i="10" s="1"/>
  <c r="D64" i="9"/>
  <c r="F64" i="9"/>
  <c r="H62" i="9"/>
  <c r="A359" i="10" s="1"/>
  <c r="B359" i="10" s="1"/>
  <c r="A155" i="7"/>
  <c r="B155" i="7" s="1"/>
  <c r="A53" i="7"/>
  <c r="B53" i="7" s="1"/>
  <c r="C67" i="6"/>
  <c r="D66" i="6"/>
  <c r="F66" i="6" s="1"/>
  <c r="E66" i="6"/>
  <c r="F67" i="1"/>
  <c r="A54" i="4"/>
  <c r="B54" i="4" s="1"/>
  <c r="C68" i="1"/>
  <c r="D67" i="1"/>
  <c r="E67" i="1" s="1"/>
  <c r="A157" i="4" s="1"/>
  <c r="B157" i="4" s="1"/>
  <c r="H66" i="1"/>
  <c r="A360" i="4" s="1"/>
  <c r="B360" i="4" s="1"/>
  <c r="G66" i="1"/>
  <c r="A258" i="4" s="1"/>
  <c r="B258" i="4" s="1"/>
  <c r="E64" i="9" l="1"/>
  <c r="A157" i="10" s="1"/>
  <c r="B157" i="10" s="1"/>
  <c r="A55" i="10"/>
  <c r="B55" i="10" s="1"/>
  <c r="B258" i="10"/>
  <c r="G64" i="9"/>
  <c r="A259" i="10" s="1"/>
  <c r="D65" i="9"/>
  <c r="H63" i="9"/>
  <c r="A360" i="10" s="1"/>
  <c r="B360" i="10" s="1"/>
  <c r="F65" i="9"/>
  <c r="A54" i="7"/>
  <c r="B54" i="7" s="1"/>
  <c r="A156" i="7"/>
  <c r="B156" i="7" s="1"/>
  <c r="C68" i="6"/>
  <c r="D67" i="6"/>
  <c r="F67" i="6" s="1"/>
  <c r="E67" i="6"/>
  <c r="A55" i="4"/>
  <c r="B55" i="4" s="1"/>
  <c r="F68" i="1"/>
  <c r="C69" i="1"/>
  <c r="D68" i="1"/>
  <c r="E68" i="1" s="1"/>
  <c r="A158" i="4" s="1"/>
  <c r="B158" i="4" s="1"/>
  <c r="H67" i="1"/>
  <c r="A361" i="4" s="1"/>
  <c r="B361" i="4" s="1"/>
  <c r="G67" i="1"/>
  <c r="A259" i="4" s="1"/>
  <c r="B259" i="4" s="1"/>
  <c r="E65" i="9" l="1"/>
  <c r="A158" i="10" s="1"/>
  <c r="B158" i="10" s="1"/>
  <c r="A56" i="10"/>
  <c r="B56" i="10" s="1"/>
  <c r="B259" i="10"/>
  <c r="G65" i="9"/>
  <c r="A260" i="10" s="1"/>
  <c r="B260" i="10" s="1"/>
  <c r="D66" i="9"/>
  <c r="H64" i="9"/>
  <c r="A361" i="10" s="1"/>
  <c r="B361" i="10" s="1"/>
  <c r="F66" i="9"/>
  <c r="A55" i="7"/>
  <c r="B55" i="7" s="1"/>
  <c r="A157" i="7"/>
  <c r="B157" i="7" s="1"/>
  <c r="C69" i="6"/>
  <c r="D68" i="6"/>
  <c r="F68" i="6" s="1"/>
  <c r="E68" i="6"/>
  <c r="A56" i="4"/>
  <c r="B56" i="4" s="1"/>
  <c r="F69" i="1"/>
  <c r="C70" i="1"/>
  <c r="D69" i="1"/>
  <c r="E69" i="1" s="1"/>
  <c r="A159" i="4" s="1"/>
  <c r="B159" i="4" s="1"/>
  <c r="H68" i="1"/>
  <c r="A362" i="4" s="1"/>
  <c r="B362" i="4" s="1"/>
  <c r="G68" i="1"/>
  <c r="A260" i="4" s="1"/>
  <c r="B260" i="4" s="1"/>
  <c r="E66" i="9" l="1"/>
  <c r="A159" i="10" s="1"/>
  <c r="B159" i="10" s="1"/>
  <c r="A57" i="10"/>
  <c r="B57" i="10" s="1"/>
  <c r="G66" i="9"/>
  <c r="A261" i="10" s="1"/>
  <c r="D67" i="9"/>
  <c r="F67" i="9"/>
  <c r="H65" i="9"/>
  <c r="A362" i="10" s="1"/>
  <c r="B362" i="10" s="1"/>
  <c r="A56" i="7"/>
  <c r="B56" i="7" s="1"/>
  <c r="A158" i="7"/>
  <c r="B158" i="7" s="1"/>
  <c r="D69" i="6"/>
  <c r="F69" i="6" s="1"/>
  <c r="C70" i="6"/>
  <c r="E69" i="6"/>
  <c r="A57" i="4"/>
  <c r="B57" i="4" s="1"/>
  <c r="F70" i="1"/>
  <c r="C71" i="1"/>
  <c r="D70" i="1"/>
  <c r="E70" i="1" s="1"/>
  <c r="A160" i="4" s="1"/>
  <c r="B160" i="4" s="1"/>
  <c r="H69" i="1"/>
  <c r="A363" i="4" s="1"/>
  <c r="B363" i="4" s="1"/>
  <c r="G69" i="1"/>
  <c r="A261" i="4" s="1"/>
  <c r="B261" i="4" s="1"/>
  <c r="E67" i="9" l="1"/>
  <c r="A160" i="10" s="1"/>
  <c r="B160" i="10" s="1"/>
  <c r="A58" i="10"/>
  <c r="B58" i="10" s="1"/>
  <c r="B261" i="10"/>
  <c r="G67" i="9"/>
  <c r="A262" i="10" s="1"/>
  <c r="B262" i="10" s="1"/>
  <c r="D68" i="9"/>
  <c r="H66" i="9"/>
  <c r="A363" i="10" s="1"/>
  <c r="B363" i="10" s="1"/>
  <c r="F68" i="9"/>
  <c r="A159" i="7"/>
  <c r="B159" i="7" s="1"/>
  <c r="A57" i="7"/>
  <c r="B57" i="7" s="1"/>
  <c r="C71" i="6"/>
  <c r="D70" i="6"/>
  <c r="F70" i="6" s="1"/>
  <c r="E70" i="6"/>
  <c r="A58" i="4"/>
  <c r="B58" i="4" s="1"/>
  <c r="F71" i="1"/>
  <c r="C72" i="1"/>
  <c r="D71" i="1"/>
  <c r="E71" i="1" s="1"/>
  <c r="A161" i="4" s="1"/>
  <c r="B161" i="4" s="1"/>
  <c r="G70" i="1"/>
  <c r="A262" i="4" s="1"/>
  <c r="B262" i="4" s="1"/>
  <c r="H70" i="1"/>
  <c r="A364" i="4" s="1"/>
  <c r="B364" i="4" s="1"/>
  <c r="E68" i="9" l="1"/>
  <c r="A161" i="10" s="1"/>
  <c r="B161" i="10" s="1"/>
  <c r="A59" i="10"/>
  <c r="B59" i="10" s="1"/>
  <c r="G68" i="9"/>
  <c r="A263" i="10" s="1"/>
  <c r="D69" i="9"/>
  <c r="F69" i="9"/>
  <c r="H67" i="9"/>
  <c r="A364" i="10" s="1"/>
  <c r="B364" i="10" s="1"/>
  <c r="A160" i="7"/>
  <c r="B160" i="7" s="1"/>
  <c r="A58" i="7"/>
  <c r="B58" i="7" s="1"/>
  <c r="C72" i="6"/>
  <c r="D71" i="6"/>
  <c r="F71" i="6" s="1"/>
  <c r="E71" i="6"/>
  <c r="F72" i="1"/>
  <c r="A59" i="4"/>
  <c r="B59" i="4" s="1"/>
  <c r="C73" i="1"/>
  <c r="D72" i="1"/>
  <c r="E72" i="1" s="1"/>
  <c r="A162" i="4" s="1"/>
  <c r="B162" i="4" s="1"/>
  <c r="G71" i="1"/>
  <c r="A263" i="4" s="1"/>
  <c r="B263" i="4" s="1"/>
  <c r="H71" i="1"/>
  <c r="A365" i="4" s="1"/>
  <c r="B365" i="4" s="1"/>
  <c r="E69" i="9" l="1"/>
  <c r="A162" i="10" s="1"/>
  <c r="B162" i="10" s="1"/>
  <c r="A60" i="10"/>
  <c r="B60" i="10" s="1"/>
  <c r="B263" i="10"/>
  <c r="G69" i="9"/>
  <c r="A264" i="10" s="1"/>
  <c r="B264" i="10" s="1"/>
  <c r="D70" i="9"/>
  <c r="H68" i="9"/>
  <c r="A365" i="10" s="1"/>
  <c r="B365" i="10" s="1"/>
  <c r="F70" i="9"/>
  <c r="A161" i="7"/>
  <c r="B161" i="7" s="1"/>
  <c r="C73" i="6"/>
  <c r="D73" i="6" s="1"/>
  <c r="F73" i="6" s="1"/>
  <c r="A59" i="7"/>
  <c r="B59" i="7" s="1"/>
  <c r="D72" i="6"/>
  <c r="F72" i="6" s="1"/>
  <c r="E72" i="6"/>
  <c r="F73" i="1"/>
  <c r="A60" i="4"/>
  <c r="B60" i="4" s="1"/>
  <c r="C74" i="1"/>
  <c r="D73" i="1"/>
  <c r="E73" i="1" s="1"/>
  <c r="A163" i="4" s="1"/>
  <c r="B163" i="4" s="1"/>
  <c r="G72" i="1"/>
  <c r="A264" i="4" s="1"/>
  <c r="B264" i="4" s="1"/>
  <c r="H72" i="1"/>
  <c r="A366" i="4" s="1"/>
  <c r="B366" i="4" s="1"/>
  <c r="E70" i="9" l="1"/>
  <c r="A163" i="10" s="1"/>
  <c r="B163" i="10" s="1"/>
  <c r="A61" i="10"/>
  <c r="B61" i="10" s="1"/>
  <c r="G70" i="9"/>
  <c r="A265" i="10" s="1"/>
  <c r="B265" i="10" s="1"/>
  <c r="D71" i="9"/>
  <c r="F71" i="9"/>
  <c r="H69" i="9"/>
  <c r="A366" i="10" s="1"/>
  <c r="B366" i="10" s="1"/>
  <c r="A162" i="7"/>
  <c r="B162" i="7" s="1"/>
  <c r="A60" i="7"/>
  <c r="B60" i="7" s="1"/>
  <c r="C74" i="6"/>
  <c r="D74" i="6" s="1"/>
  <c r="F74" i="6" s="1"/>
  <c r="A61" i="7"/>
  <c r="B61" i="7" s="1"/>
  <c r="E73" i="6"/>
  <c r="A163" i="7" s="1"/>
  <c r="B163" i="7" s="1"/>
  <c r="A61" i="4"/>
  <c r="B61" i="4" s="1"/>
  <c r="F74" i="1"/>
  <c r="C75" i="1"/>
  <c r="D74" i="1"/>
  <c r="E74" i="1" s="1"/>
  <c r="A164" i="4" s="1"/>
  <c r="B164" i="4" s="1"/>
  <c r="G73" i="1"/>
  <c r="A265" i="4" s="1"/>
  <c r="B265" i="4" s="1"/>
  <c r="H73" i="1"/>
  <c r="A367" i="4" s="1"/>
  <c r="B367" i="4" s="1"/>
  <c r="E71" i="9" l="1"/>
  <c r="A164" i="10" s="1"/>
  <c r="B164" i="10" s="1"/>
  <c r="A62" i="10"/>
  <c r="B62" i="10" s="1"/>
  <c r="G71" i="9"/>
  <c r="A266" i="10" s="1"/>
  <c r="B266" i="10" s="1"/>
  <c r="D72" i="9"/>
  <c r="F72" i="9"/>
  <c r="H70" i="9"/>
  <c r="A367" i="10" s="1"/>
  <c r="B367" i="10" s="1"/>
  <c r="C75" i="6"/>
  <c r="A62" i="7"/>
  <c r="B62" i="7" s="1"/>
  <c r="E74" i="6"/>
  <c r="A164" i="7" s="1"/>
  <c r="B164" i="7" s="1"/>
  <c r="F75" i="1"/>
  <c r="A62" i="4"/>
  <c r="B62" i="4" s="1"/>
  <c r="C76" i="1"/>
  <c r="D75" i="1"/>
  <c r="E75" i="1" s="1"/>
  <c r="A165" i="4" s="1"/>
  <c r="B165" i="4" s="1"/>
  <c r="H74" i="1"/>
  <c r="A368" i="4" s="1"/>
  <c r="B368" i="4" s="1"/>
  <c r="G74" i="1"/>
  <c r="A266" i="4" s="1"/>
  <c r="B266" i="4" s="1"/>
  <c r="E72" i="9" l="1"/>
  <c r="A165" i="10" s="1"/>
  <c r="B165" i="10" s="1"/>
  <c r="A63" i="10"/>
  <c r="B63" i="10" s="1"/>
  <c r="G72" i="9"/>
  <c r="A267" i="10" s="1"/>
  <c r="B267" i="10" s="1"/>
  <c r="D73" i="9"/>
  <c r="H71" i="9"/>
  <c r="A368" i="10" s="1"/>
  <c r="B368" i="10" s="1"/>
  <c r="F73" i="9"/>
  <c r="C76" i="6"/>
  <c r="D75" i="6"/>
  <c r="F75" i="6" s="1"/>
  <c r="E75" i="6"/>
  <c r="A63" i="4"/>
  <c r="B63" i="4" s="1"/>
  <c r="F76" i="1"/>
  <c r="C77" i="1"/>
  <c r="D76" i="1"/>
  <c r="E76" i="1" s="1"/>
  <c r="A166" i="4" s="1"/>
  <c r="B166" i="4" s="1"/>
  <c r="H75" i="1"/>
  <c r="A369" i="4" s="1"/>
  <c r="B369" i="4" s="1"/>
  <c r="G75" i="1"/>
  <c r="A267" i="4" s="1"/>
  <c r="B267" i="4" s="1"/>
  <c r="E73" i="9" l="1"/>
  <c r="A166" i="10" s="1"/>
  <c r="B166" i="10" s="1"/>
  <c r="A64" i="10"/>
  <c r="B64" i="10" s="1"/>
  <c r="G73" i="9"/>
  <c r="A268" i="10" s="1"/>
  <c r="D74" i="9"/>
  <c r="F74" i="9"/>
  <c r="H72" i="9"/>
  <c r="A369" i="10" s="1"/>
  <c r="B369" i="10" s="1"/>
  <c r="A63" i="7"/>
  <c r="B63" i="7" s="1"/>
  <c r="A165" i="7"/>
  <c r="B165" i="7" s="1"/>
  <c r="C77" i="6"/>
  <c r="D77" i="6" s="1"/>
  <c r="F77" i="6" s="1"/>
  <c r="D76" i="6"/>
  <c r="F76" i="6" s="1"/>
  <c r="E76" i="6"/>
  <c r="F77" i="1"/>
  <c r="A64" i="4"/>
  <c r="B64" i="4" s="1"/>
  <c r="C78" i="1"/>
  <c r="D77" i="1"/>
  <c r="E77" i="1" s="1"/>
  <c r="A167" i="4" s="1"/>
  <c r="B167" i="4" s="1"/>
  <c r="G76" i="1"/>
  <c r="A268" i="4" s="1"/>
  <c r="B268" i="4" s="1"/>
  <c r="H76" i="1"/>
  <c r="A370" i="4" s="1"/>
  <c r="B370" i="4" s="1"/>
  <c r="E74" i="9" l="1"/>
  <c r="A167" i="10" s="1"/>
  <c r="B167" i="10" s="1"/>
  <c r="A65" i="10"/>
  <c r="B65" i="10" s="1"/>
  <c r="B268" i="10"/>
  <c r="G74" i="9"/>
  <c r="A269" i="10" s="1"/>
  <c r="D75" i="9"/>
  <c r="F75" i="9"/>
  <c r="H73" i="9"/>
  <c r="A370" i="10" s="1"/>
  <c r="B370" i="10" s="1"/>
  <c r="A166" i="7"/>
  <c r="B166" i="7" s="1"/>
  <c r="C78" i="6"/>
  <c r="A65" i="7"/>
  <c r="B65" i="7" s="1"/>
  <c r="A64" i="7"/>
  <c r="B64" i="7" s="1"/>
  <c r="E77" i="6"/>
  <c r="A167" i="7" s="1"/>
  <c r="B167" i="7" s="1"/>
  <c r="A65" i="4"/>
  <c r="B65" i="4" s="1"/>
  <c r="F78" i="1"/>
  <c r="C79" i="1"/>
  <c r="D78" i="1"/>
  <c r="E78" i="1" s="1"/>
  <c r="A168" i="4" s="1"/>
  <c r="B168" i="4" s="1"/>
  <c r="G77" i="1"/>
  <c r="A269" i="4" s="1"/>
  <c r="B269" i="4" s="1"/>
  <c r="H77" i="1"/>
  <c r="A371" i="4" s="1"/>
  <c r="B371" i="4" s="1"/>
  <c r="E75" i="9" l="1"/>
  <c r="A168" i="10" s="1"/>
  <c r="B168" i="10" s="1"/>
  <c r="A66" i="10"/>
  <c r="B66" i="10" s="1"/>
  <c r="B269" i="10"/>
  <c r="G75" i="9"/>
  <c r="A270" i="10" s="1"/>
  <c r="B270" i="10" s="1"/>
  <c r="D76" i="9"/>
  <c r="H74" i="9"/>
  <c r="A371" i="10" s="1"/>
  <c r="B371" i="10" s="1"/>
  <c r="F76" i="9"/>
  <c r="D78" i="6"/>
  <c r="F78" i="6" s="1"/>
  <c r="C79" i="6"/>
  <c r="E78" i="6"/>
  <c r="F79" i="1"/>
  <c r="A66" i="4"/>
  <c r="B66" i="4" s="1"/>
  <c r="C80" i="1"/>
  <c r="D79" i="1"/>
  <c r="E79" i="1" s="1"/>
  <c r="A169" i="4" s="1"/>
  <c r="B169" i="4" s="1"/>
  <c r="H78" i="1"/>
  <c r="A372" i="4" s="1"/>
  <c r="B372" i="4" s="1"/>
  <c r="G78" i="1"/>
  <c r="A270" i="4" s="1"/>
  <c r="B270" i="4" s="1"/>
  <c r="E76" i="9" l="1"/>
  <c r="A169" i="10" s="1"/>
  <c r="B169" i="10" s="1"/>
  <c r="A67" i="10"/>
  <c r="B67" i="10" s="1"/>
  <c r="G76" i="9"/>
  <c r="A271" i="10" s="1"/>
  <c r="D77" i="9"/>
  <c r="H75" i="9"/>
  <c r="A372" i="10" s="1"/>
  <c r="B372" i="10" s="1"/>
  <c r="F77" i="9"/>
  <c r="A66" i="7"/>
  <c r="B66" i="7" s="1"/>
  <c r="A168" i="7"/>
  <c r="B168" i="7" s="1"/>
  <c r="D79" i="6"/>
  <c r="F79" i="6" s="1"/>
  <c r="C80" i="6"/>
  <c r="E79" i="6"/>
  <c r="F80" i="1"/>
  <c r="A67" i="4"/>
  <c r="B67" i="4" s="1"/>
  <c r="C81" i="1"/>
  <c r="D80" i="1"/>
  <c r="E80" i="1" s="1"/>
  <c r="A170" i="4" s="1"/>
  <c r="B170" i="4" s="1"/>
  <c r="H79" i="1"/>
  <c r="A373" i="4" s="1"/>
  <c r="B373" i="4" s="1"/>
  <c r="G79" i="1"/>
  <c r="A271" i="4" s="1"/>
  <c r="B271" i="4" s="1"/>
  <c r="E77" i="9" l="1"/>
  <c r="A170" i="10" s="1"/>
  <c r="B170" i="10" s="1"/>
  <c r="A68" i="10"/>
  <c r="B68" i="10" s="1"/>
  <c r="B271" i="10"/>
  <c r="G77" i="9"/>
  <c r="A272" i="10" s="1"/>
  <c r="D78" i="9"/>
  <c r="F78" i="9"/>
  <c r="H76" i="9"/>
  <c r="A373" i="10" s="1"/>
  <c r="B373" i="10" s="1"/>
  <c r="A169" i="7"/>
  <c r="B169" i="7" s="1"/>
  <c r="A67" i="7"/>
  <c r="B67" i="7" s="1"/>
  <c r="D80" i="6"/>
  <c r="F80" i="6" s="1"/>
  <c r="C81" i="6"/>
  <c r="E80" i="6"/>
  <c r="F81" i="1"/>
  <c r="A68" i="4"/>
  <c r="B68" i="4" s="1"/>
  <c r="C82" i="1"/>
  <c r="D81" i="1"/>
  <c r="E81" i="1" s="1"/>
  <c r="A171" i="4" s="1"/>
  <c r="B171" i="4" s="1"/>
  <c r="G80" i="1"/>
  <c r="A272" i="4" s="1"/>
  <c r="B272" i="4" s="1"/>
  <c r="H80" i="1"/>
  <c r="A374" i="4" s="1"/>
  <c r="B374" i="4" s="1"/>
  <c r="E78" i="9" l="1"/>
  <c r="A171" i="10" s="1"/>
  <c r="B171" i="10" s="1"/>
  <c r="A69" i="10"/>
  <c r="B69" i="10" s="1"/>
  <c r="B272" i="10"/>
  <c r="G78" i="9"/>
  <c r="A273" i="10" s="1"/>
  <c r="D79" i="9"/>
  <c r="F79" i="9"/>
  <c r="H77" i="9"/>
  <c r="A374" i="10" s="1"/>
  <c r="B374" i="10" s="1"/>
  <c r="A170" i="7"/>
  <c r="B170" i="7" s="1"/>
  <c r="D81" i="6"/>
  <c r="F81" i="6" s="1"/>
  <c r="A68" i="7"/>
  <c r="B68" i="7" s="1"/>
  <c r="C82" i="6"/>
  <c r="E81" i="6"/>
  <c r="F82" i="1"/>
  <c r="A69" i="4"/>
  <c r="B69" i="4" s="1"/>
  <c r="C83" i="1"/>
  <c r="D82" i="1"/>
  <c r="E82" i="1" s="1"/>
  <c r="A172" i="4" s="1"/>
  <c r="B172" i="4" s="1"/>
  <c r="G81" i="1"/>
  <c r="A273" i="4" s="1"/>
  <c r="B273" i="4" s="1"/>
  <c r="H81" i="1"/>
  <c r="A375" i="4" s="1"/>
  <c r="B375" i="4" s="1"/>
  <c r="E79" i="9" l="1"/>
  <c r="A172" i="10" s="1"/>
  <c r="B172" i="10" s="1"/>
  <c r="A70" i="10"/>
  <c r="B70" i="10" s="1"/>
  <c r="B273" i="10"/>
  <c r="G79" i="9"/>
  <c r="A274" i="10" s="1"/>
  <c r="D80" i="9"/>
  <c r="F80" i="9"/>
  <c r="H78" i="9"/>
  <c r="A375" i="10" s="1"/>
  <c r="B375" i="10" s="1"/>
  <c r="A171" i="7"/>
  <c r="B171" i="7" s="1"/>
  <c r="D82" i="6"/>
  <c r="F82" i="6" s="1"/>
  <c r="A69" i="7"/>
  <c r="B69" i="7" s="1"/>
  <c r="C83" i="6"/>
  <c r="E82" i="6"/>
  <c r="F83" i="1"/>
  <c r="A70" i="4"/>
  <c r="B70" i="4" s="1"/>
  <c r="C84" i="1"/>
  <c r="D83" i="1"/>
  <c r="E83" i="1" s="1"/>
  <c r="A173" i="4" s="1"/>
  <c r="B173" i="4" s="1"/>
  <c r="H82" i="1"/>
  <c r="A376" i="4" s="1"/>
  <c r="B376" i="4" s="1"/>
  <c r="G82" i="1"/>
  <c r="A274" i="4" s="1"/>
  <c r="B274" i="4" s="1"/>
  <c r="E80" i="9" l="1"/>
  <c r="A173" i="10" s="1"/>
  <c r="B173" i="10" s="1"/>
  <c r="A71" i="10"/>
  <c r="B71" i="10" s="1"/>
  <c r="B274" i="10"/>
  <c r="G80" i="9"/>
  <c r="A275" i="10" s="1"/>
  <c r="D81" i="9"/>
  <c r="H79" i="9"/>
  <c r="A376" i="10" s="1"/>
  <c r="B376" i="10" s="1"/>
  <c r="F81" i="9"/>
  <c r="A172" i="7"/>
  <c r="B172" i="7" s="1"/>
  <c r="A70" i="7"/>
  <c r="B70" i="7" s="1"/>
  <c r="D83" i="6"/>
  <c r="F83" i="6" s="1"/>
  <c r="C84" i="6"/>
  <c r="E83" i="6"/>
  <c r="A71" i="4"/>
  <c r="B71" i="4" s="1"/>
  <c r="F84" i="1"/>
  <c r="C85" i="1"/>
  <c r="D84" i="1"/>
  <c r="E84" i="1" s="1"/>
  <c r="A174" i="4" s="1"/>
  <c r="B174" i="4" s="1"/>
  <c r="G83" i="1"/>
  <c r="A275" i="4" s="1"/>
  <c r="B275" i="4" s="1"/>
  <c r="H83" i="1"/>
  <c r="A377" i="4" s="1"/>
  <c r="B377" i="4" s="1"/>
  <c r="E81" i="9" l="1"/>
  <c r="A174" i="10" s="1"/>
  <c r="B174" i="10" s="1"/>
  <c r="A72" i="10"/>
  <c r="B72" i="10" s="1"/>
  <c r="B275" i="10"/>
  <c r="G81" i="9"/>
  <c r="A276" i="10" s="1"/>
  <c r="D82" i="9"/>
  <c r="F82" i="9"/>
  <c r="H80" i="9"/>
  <c r="A377" i="10" s="1"/>
  <c r="B377" i="10" s="1"/>
  <c r="A173" i="7"/>
  <c r="B173" i="7" s="1"/>
  <c r="D84" i="6"/>
  <c r="F84" i="6" s="1"/>
  <c r="A71" i="7"/>
  <c r="B71" i="7" s="1"/>
  <c r="C85" i="6"/>
  <c r="E84" i="6"/>
  <c r="F85" i="1"/>
  <c r="A72" i="4"/>
  <c r="B72" i="4" s="1"/>
  <c r="C86" i="1"/>
  <c r="D85" i="1"/>
  <c r="E85" i="1" s="1"/>
  <c r="A175" i="4" s="1"/>
  <c r="B175" i="4" s="1"/>
  <c r="H84" i="1"/>
  <c r="A378" i="4" s="1"/>
  <c r="B378" i="4" s="1"/>
  <c r="G84" i="1"/>
  <c r="A276" i="4" s="1"/>
  <c r="B276" i="4" s="1"/>
  <c r="E82" i="9" l="1"/>
  <c r="A175" i="10" s="1"/>
  <c r="B175" i="10" s="1"/>
  <c r="A73" i="10"/>
  <c r="B73" i="10" s="1"/>
  <c r="B276" i="10"/>
  <c r="A174" i="7"/>
  <c r="B174" i="7" s="1"/>
  <c r="G82" i="9"/>
  <c r="A277" i="10" s="1"/>
  <c r="B277" i="10" s="1"/>
  <c r="D83" i="9"/>
  <c r="H81" i="9"/>
  <c r="A378" i="10" s="1"/>
  <c r="B378" i="10" s="1"/>
  <c r="F83" i="9"/>
  <c r="A72" i="7"/>
  <c r="B72" i="7" s="1"/>
  <c r="D85" i="6"/>
  <c r="F85" i="6" s="1"/>
  <c r="C86" i="6"/>
  <c r="E85" i="6"/>
  <c r="A73" i="4"/>
  <c r="B73" i="4" s="1"/>
  <c r="F86" i="1"/>
  <c r="C87" i="1"/>
  <c r="D86" i="1"/>
  <c r="E86" i="1" s="1"/>
  <c r="A176" i="4" s="1"/>
  <c r="B176" i="4" s="1"/>
  <c r="G85" i="1"/>
  <c r="A277" i="4" s="1"/>
  <c r="B277" i="4" s="1"/>
  <c r="H85" i="1"/>
  <c r="A379" i="4" s="1"/>
  <c r="B379" i="4" s="1"/>
  <c r="A175" i="7" l="1"/>
  <c r="B175" i="7" s="1"/>
  <c r="E83" i="9"/>
  <c r="A176" i="10" s="1"/>
  <c r="B176" i="10" s="1"/>
  <c r="A74" i="10"/>
  <c r="B74" i="10" s="1"/>
  <c r="G83" i="9"/>
  <c r="A278" i="10" s="1"/>
  <c r="B278" i="10" s="1"/>
  <c r="D84" i="9"/>
  <c r="H82" i="9"/>
  <c r="A379" i="10" s="1"/>
  <c r="B379" i="10" s="1"/>
  <c r="F84" i="9"/>
  <c r="D86" i="6"/>
  <c r="F86" i="6" s="1"/>
  <c r="A73" i="7"/>
  <c r="B73" i="7" s="1"/>
  <c r="C87" i="6"/>
  <c r="E86" i="6"/>
  <c r="A74" i="4"/>
  <c r="B74" i="4" s="1"/>
  <c r="F87" i="1"/>
  <c r="C88" i="1"/>
  <c r="D87" i="1"/>
  <c r="E87" i="1" s="1"/>
  <c r="A177" i="4" s="1"/>
  <c r="B177" i="4" s="1"/>
  <c r="G86" i="1"/>
  <c r="A278" i="4" s="1"/>
  <c r="B278" i="4" s="1"/>
  <c r="H86" i="1"/>
  <c r="A380" i="4" s="1"/>
  <c r="B380" i="4" s="1"/>
  <c r="A74" i="7" l="1"/>
  <c r="B74" i="7" s="1"/>
  <c r="A176" i="7"/>
  <c r="B176" i="7" s="1"/>
  <c r="E84" i="9"/>
  <c r="A177" i="10" s="1"/>
  <c r="B177" i="10" s="1"/>
  <c r="A75" i="10"/>
  <c r="B75" i="10" s="1"/>
  <c r="G84" i="9"/>
  <c r="A279" i="10" s="1"/>
  <c r="B279" i="10" s="1"/>
  <c r="D85" i="9"/>
  <c r="F85" i="9"/>
  <c r="H83" i="9"/>
  <c r="A380" i="10" s="1"/>
  <c r="B380" i="10" s="1"/>
  <c r="D87" i="6"/>
  <c r="F87" i="6" s="1"/>
  <c r="C88" i="6"/>
  <c r="E87" i="6"/>
  <c r="A75" i="4"/>
  <c r="B75" i="4" s="1"/>
  <c r="F88" i="1"/>
  <c r="C89" i="1"/>
  <c r="D88" i="1"/>
  <c r="E88" i="1" s="1"/>
  <c r="A178" i="4" s="1"/>
  <c r="B178" i="4" s="1"/>
  <c r="H87" i="1"/>
  <c r="A381" i="4" s="1"/>
  <c r="B381" i="4" s="1"/>
  <c r="G87" i="1"/>
  <c r="A279" i="4" s="1"/>
  <c r="B279" i="4" s="1"/>
  <c r="E85" i="9" l="1"/>
  <c r="A178" i="10" s="1"/>
  <c r="B178" i="10" s="1"/>
  <c r="A76" i="10"/>
  <c r="B76" i="10" s="1"/>
  <c r="A177" i="7"/>
  <c r="B177" i="7" s="1"/>
  <c r="G85" i="9"/>
  <c r="A280" i="10" s="1"/>
  <c r="D86" i="9"/>
  <c r="H84" i="9"/>
  <c r="A381" i="10" s="1"/>
  <c r="B381" i="10" s="1"/>
  <c r="F86" i="9"/>
  <c r="A75" i="7"/>
  <c r="B75" i="7" s="1"/>
  <c r="D88" i="6"/>
  <c r="F88" i="6" s="1"/>
  <c r="C89" i="6"/>
  <c r="E88" i="6"/>
  <c r="F89" i="1"/>
  <c r="A76" i="4"/>
  <c r="B76" i="4" s="1"/>
  <c r="C90" i="1"/>
  <c r="D89" i="1"/>
  <c r="E89" i="1" s="1"/>
  <c r="G88" i="1"/>
  <c r="A280" i="4" s="1"/>
  <c r="B280" i="4" s="1"/>
  <c r="H88" i="1"/>
  <c r="A382" i="4" s="1"/>
  <c r="B382" i="4" s="1"/>
  <c r="A178" i="7" l="1"/>
  <c r="B178" i="7" s="1"/>
  <c r="E86" i="9"/>
  <c r="A179" i="10" s="1"/>
  <c r="B179" i="10" s="1"/>
  <c r="A77" i="10"/>
  <c r="B77" i="10" s="1"/>
  <c r="B280" i="10"/>
  <c r="G86" i="9"/>
  <c r="A281" i="10" s="1"/>
  <c r="D87" i="9"/>
  <c r="H85" i="9"/>
  <c r="A382" i="10" s="1"/>
  <c r="B382" i="10" s="1"/>
  <c r="F87" i="9"/>
  <c r="D89" i="6"/>
  <c r="F89" i="6" s="1"/>
  <c r="A76" i="7"/>
  <c r="B76" i="7" s="1"/>
  <c r="A179" i="4"/>
  <c r="B179" i="4" s="1"/>
  <c r="C90" i="6"/>
  <c r="E89" i="6"/>
  <c r="A77" i="4"/>
  <c r="B77" i="4" s="1"/>
  <c r="F90" i="1"/>
  <c r="C91" i="1"/>
  <c r="D90" i="1"/>
  <c r="E90" i="1" s="1"/>
  <c r="A180" i="4" s="1"/>
  <c r="B180" i="4" s="1"/>
  <c r="G89" i="1"/>
  <c r="A281" i="4" s="1"/>
  <c r="B281" i="4" s="1"/>
  <c r="H89" i="1"/>
  <c r="E87" i="9" l="1"/>
  <c r="A180" i="10" s="1"/>
  <c r="B180" i="10" s="1"/>
  <c r="A78" i="10"/>
  <c r="B78" i="10" s="1"/>
  <c r="B281" i="10"/>
  <c r="G87" i="9"/>
  <c r="A282" i="10" s="1"/>
  <c r="D88" i="9"/>
  <c r="F88" i="9"/>
  <c r="H86" i="9"/>
  <c r="A383" i="10" s="1"/>
  <c r="B383" i="10" s="1"/>
  <c r="A179" i="7"/>
  <c r="B179" i="7" s="1"/>
  <c r="D90" i="6"/>
  <c r="F90" i="6" s="1"/>
  <c r="A77" i="7"/>
  <c r="B77" i="7" s="1"/>
  <c r="A383" i="4"/>
  <c r="B383" i="4" s="1"/>
  <c r="C91" i="6"/>
  <c r="E90" i="6"/>
  <c r="F91" i="1"/>
  <c r="A78" i="4"/>
  <c r="B78" i="4" s="1"/>
  <c r="C92" i="1"/>
  <c r="D91" i="1"/>
  <c r="E91" i="1" s="1"/>
  <c r="A181" i="4" s="1"/>
  <c r="B181" i="4" s="1"/>
  <c r="H90" i="1"/>
  <c r="A384" i="4" s="1"/>
  <c r="B384" i="4" s="1"/>
  <c r="G90" i="1"/>
  <c r="A282" i="4" s="1"/>
  <c r="B282" i="4" s="1"/>
  <c r="E88" i="9" l="1"/>
  <c r="A181" i="10" s="1"/>
  <c r="B181" i="10" s="1"/>
  <c r="A79" i="10"/>
  <c r="B79" i="10" s="1"/>
  <c r="B282" i="10"/>
  <c r="G88" i="9"/>
  <c r="A283" i="10" s="1"/>
  <c r="B283" i="10" s="1"/>
  <c r="D89" i="9"/>
  <c r="H87" i="9"/>
  <c r="A384" i="10" s="1"/>
  <c r="B384" i="10" s="1"/>
  <c r="F89" i="9"/>
  <c r="A180" i="7"/>
  <c r="B180" i="7" s="1"/>
  <c r="D91" i="6"/>
  <c r="F91" i="6" s="1"/>
  <c r="A78" i="7"/>
  <c r="B78" i="7" s="1"/>
  <c r="C92" i="6"/>
  <c r="E91" i="6"/>
  <c r="A79" i="4"/>
  <c r="B79" i="4" s="1"/>
  <c r="F92" i="1"/>
  <c r="C93" i="1"/>
  <c r="D92" i="1"/>
  <c r="E92" i="1" s="1"/>
  <c r="A182" i="4" s="1"/>
  <c r="B182" i="4" s="1"/>
  <c r="H91" i="1"/>
  <c r="A385" i="4" s="1"/>
  <c r="B385" i="4" s="1"/>
  <c r="G91" i="1"/>
  <c r="A283" i="4" s="1"/>
  <c r="B283" i="4" s="1"/>
  <c r="E89" i="9" l="1"/>
  <c r="A182" i="10" s="1"/>
  <c r="B182" i="10" s="1"/>
  <c r="A80" i="10"/>
  <c r="B80" i="10" s="1"/>
  <c r="G89" i="9"/>
  <c r="A284" i="10" s="1"/>
  <c r="D90" i="9"/>
  <c r="F90" i="9"/>
  <c r="H88" i="9"/>
  <c r="A385" i="10" s="1"/>
  <c r="B385" i="10" s="1"/>
  <c r="A181" i="7"/>
  <c r="B181" i="7" s="1"/>
  <c r="A79" i="7"/>
  <c r="B79" i="7" s="1"/>
  <c r="D92" i="6"/>
  <c r="F92" i="6" s="1"/>
  <c r="C93" i="6"/>
  <c r="E92" i="6"/>
  <c r="F93" i="1"/>
  <c r="A80" i="4"/>
  <c r="B80" i="4" s="1"/>
  <c r="C94" i="1"/>
  <c r="D93" i="1"/>
  <c r="E93" i="1" s="1"/>
  <c r="A183" i="4" s="1"/>
  <c r="B183" i="4" s="1"/>
  <c r="H92" i="1"/>
  <c r="A386" i="4" s="1"/>
  <c r="B386" i="4" s="1"/>
  <c r="G92" i="1"/>
  <c r="A284" i="4" s="1"/>
  <c r="B284" i="4" s="1"/>
  <c r="A182" i="7" l="1"/>
  <c r="B182" i="7" s="1"/>
  <c r="E90" i="9"/>
  <c r="A183" i="10" s="1"/>
  <c r="B183" i="10" s="1"/>
  <c r="A81" i="10"/>
  <c r="B81" i="10" s="1"/>
  <c r="B284" i="10"/>
  <c r="A80" i="7"/>
  <c r="B80" i="7" s="1"/>
  <c r="G90" i="9"/>
  <c r="A285" i="10" s="1"/>
  <c r="D91" i="9"/>
  <c r="F91" i="9"/>
  <c r="H89" i="9"/>
  <c r="A386" i="10" s="1"/>
  <c r="B386" i="10" s="1"/>
  <c r="D93" i="6"/>
  <c r="F93" i="6" s="1"/>
  <c r="C94" i="6"/>
  <c r="E93" i="6"/>
  <c r="F94" i="1"/>
  <c r="A81" i="4"/>
  <c r="B81" i="4" s="1"/>
  <c r="C95" i="1"/>
  <c r="D94" i="1"/>
  <c r="E94" i="1" s="1"/>
  <c r="A184" i="4" s="1"/>
  <c r="B184" i="4" s="1"/>
  <c r="H93" i="1"/>
  <c r="A387" i="4" s="1"/>
  <c r="B387" i="4" s="1"/>
  <c r="G93" i="1"/>
  <c r="A285" i="4" s="1"/>
  <c r="B285" i="4" s="1"/>
  <c r="A183" i="7" l="1"/>
  <c r="B183" i="7" s="1"/>
  <c r="E91" i="9"/>
  <c r="A184" i="10" s="1"/>
  <c r="B184" i="10" s="1"/>
  <c r="A82" i="10"/>
  <c r="B82" i="10" s="1"/>
  <c r="B285" i="10"/>
  <c r="G91" i="9"/>
  <c r="A286" i="10" s="1"/>
  <c r="D92" i="9"/>
  <c r="H90" i="9"/>
  <c r="A387" i="10" s="1"/>
  <c r="B387" i="10" s="1"/>
  <c r="F92" i="9"/>
  <c r="A81" i="7"/>
  <c r="B81" i="7" s="1"/>
  <c r="D94" i="6"/>
  <c r="F94" i="6" s="1"/>
  <c r="C95" i="6"/>
  <c r="E94" i="6"/>
  <c r="F95" i="1"/>
  <c r="A82" i="4"/>
  <c r="B82" i="4" s="1"/>
  <c r="C96" i="1"/>
  <c r="D95" i="1"/>
  <c r="E95" i="1" s="1"/>
  <c r="A185" i="4" s="1"/>
  <c r="B185" i="4" s="1"/>
  <c r="G94" i="1"/>
  <c r="A286" i="4" s="1"/>
  <c r="B286" i="4" s="1"/>
  <c r="H94" i="1"/>
  <c r="A388" i="4" s="1"/>
  <c r="B388" i="4" s="1"/>
  <c r="A184" i="7" l="1"/>
  <c r="B184" i="7" s="1"/>
  <c r="E92" i="9"/>
  <c r="A185" i="10" s="1"/>
  <c r="B185" i="10" s="1"/>
  <c r="A83" i="10"/>
  <c r="B83" i="10" s="1"/>
  <c r="B286" i="10"/>
  <c r="G92" i="9"/>
  <c r="A287" i="10" s="1"/>
  <c r="D93" i="9"/>
  <c r="F93" i="9"/>
  <c r="H91" i="9"/>
  <c r="A388" i="10" s="1"/>
  <c r="B388" i="10" s="1"/>
  <c r="D95" i="6"/>
  <c r="F95" i="6" s="1"/>
  <c r="A82" i="7"/>
  <c r="B82" i="7" s="1"/>
  <c r="C96" i="6"/>
  <c r="E95" i="6"/>
  <c r="F96" i="1"/>
  <c r="A83" i="4"/>
  <c r="B83" i="4" s="1"/>
  <c r="C97" i="1"/>
  <c r="D96" i="1"/>
  <c r="E96" i="1" s="1"/>
  <c r="A186" i="4" s="1"/>
  <c r="B186" i="4" s="1"/>
  <c r="H95" i="1"/>
  <c r="A389" i="4" s="1"/>
  <c r="B389" i="4" s="1"/>
  <c r="G95" i="1"/>
  <c r="A287" i="4" s="1"/>
  <c r="B287" i="4" s="1"/>
  <c r="A185" i="7" l="1"/>
  <c r="B185" i="7" s="1"/>
  <c r="A83" i="7"/>
  <c r="B83" i="7" s="1"/>
  <c r="E93" i="9"/>
  <c r="A186" i="10" s="1"/>
  <c r="B186" i="10" s="1"/>
  <c r="A84" i="10"/>
  <c r="B84" i="10" s="1"/>
  <c r="B287" i="10"/>
  <c r="G93" i="9"/>
  <c r="A288" i="10" s="1"/>
  <c r="D94" i="9"/>
  <c r="F94" i="9"/>
  <c r="H92" i="9"/>
  <c r="A389" i="10" s="1"/>
  <c r="B389" i="10" s="1"/>
  <c r="D96" i="6"/>
  <c r="F96" i="6" s="1"/>
  <c r="C97" i="6"/>
  <c r="E96" i="6"/>
  <c r="A84" i="4"/>
  <c r="B84" i="4" s="1"/>
  <c r="F97" i="1"/>
  <c r="C98" i="1"/>
  <c r="D97" i="1"/>
  <c r="E97" i="1" s="1"/>
  <c r="A187" i="4" s="1"/>
  <c r="B187" i="4" s="1"/>
  <c r="H96" i="1"/>
  <c r="A390" i="4" s="1"/>
  <c r="B390" i="4" s="1"/>
  <c r="G96" i="1"/>
  <c r="A288" i="4" s="1"/>
  <c r="B288" i="4" s="1"/>
  <c r="A186" i="7" l="1"/>
  <c r="B186" i="7" s="1"/>
  <c r="E94" i="9"/>
  <c r="A187" i="10" s="1"/>
  <c r="B187" i="10" s="1"/>
  <c r="A85" i="10"/>
  <c r="B85" i="10" s="1"/>
  <c r="B288" i="10"/>
  <c r="G94" i="9"/>
  <c r="A289" i="10" s="1"/>
  <c r="D95" i="9"/>
  <c r="H93" i="9"/>
  <c r="A390" i="10" s="1"/>
  <c r="B390" i="10" s="1"/>
  <c r="F95" i="9"/>
  <c r="A84" i="7"/>
  <c r="B84" i="7" s="1"/>
  <c r="D97" i="6"/>
  <c r="F97" i="6" s="1"/>
  <c r="C98" i="6"/>
  <c r="E97" i="6"/>
  <c r="A85" i="4"/>
  <c r="B85" i="4" s="1"/>
  <c r="F98" i="1"/>
  <c r="C99" i="1"/>
  <c r="D98" i="1"/>
  <c r="E98" i="1" s="1"/>
  <c r="A188" i="4" s="1"/>
  <c r="B188" i="4" s="1"/>
  <c r="G97" i="1"/>
  <c r="A289" i="4" s="1"/>
  <c r="B289" i="4" s="1"/>
  <c r="H97" i="1"/>
  <c r="A391" i="4" s="1"/>
  <c r="B391" i="4" s="1"/>
  <c r="E95" i="9" l="1"/>
  <c r="A188" i="10" s="1"/>
  <c r="B188" i="10" s="1"/>
  <c r="A86" i="10"/>
  <c r="B86" i="10" s="1"/>
  <c r="B289" i="10"/>
  <c r="G95" i="9"/>
  <c r="A290" i="10" s="1"/>
  <c r="D96" i="9"/>
  <c r="F96" i="9"/>
  <c r="H94" i="9"/>
  <c r="A391" i="10" s="1"/>
  <c r="B391" i="10" s="1"/>
  <c r="A85" i="7"/>
  <c r="B85" i="7" s="1"/>
  <c r="A187" i="7"/>
  <c r="B187" i="7" s="1"/>
  <c r="D98" i="6"/>
  <c r="F98" i="6" s="1"/>
  <c r="C99" i="6"/>
  <c r="E98" i="6"/>
  <c r="A86" i="4"/>
  <c r="B86" i="4" s="1"/>
  <c r="F99" i="1"/>
  <c r="C100" i="1"/>
  <c r="D99" i="1"/>
  <c r="E99" i="1" s="1"/>
  <c r="A189" i="4" s="1"/>
  <c r="B189" i="4" s="1"/>
  <c r="H98" i="1"/>
  <c r="A392" i="4" s="1"/>
  <c r="B392" i="4" s="1"/>
  <c r="G98" i="1"/>
  <c r="A290" i="4" s="1"/>
  <c r="B290" i="4" s="1"/>
  <c r="E96" i="9" l="1"/>
  <c r="A189" i="10" s="1"/>
  <c r="B189" i="10" s="1"/>
  <c r="A87" i="10"/>
  <c r="B87" i="10" s="1"/>
  <c r="B290" i="10"/>
  <c r="G96" i="9"/>
  <c r="A291" i="10" s="1"/>
  <c r="D97" i="9"/>
  <c r="F97" i="9"/>
  <c r="H95" i="9"/>
  <c r="A392" i="10" s="1"/>
  <c r="B392" i="10" s="1"/>
  <c r="A188" i="7"/>
  <c r="B188" i="7" s="1"/>
  <c r="D99" i="6"/>
  <c r="F99" i="6" s="1"/>
  <c r="A86" i="7"/>
  <c r="B86" i="7" s="1"/>
  <c r="C100" i="6"/>
  <c r="E99" i="6"/>
  <c r="F100" i="1"/>
  <c r="A87" i="4"/>
  <c r="B87" i="4" s="1"/>
  <c r="C101" i="1"/>
  <c r="D100" i="1"/>
  <c r="E100" i="1" s="1"/>
  <c r="A190" i="4" s="1"/>
  <c r="B190" i="4" s="1"/>
  <c r="G99" i="1"/>
  <c r="A291" i="4" s="1"/>
  <c r="B291" i="4" s="1"/>
  <c r="H99" i="1"/>
  <c r="A393" i="4" s="1"/>
  <c r="B393" i="4" s="1"/>
  <c r="A87" i="7" l="1"/>
  <c r="B87" i="7" s="1"/>
  <c r="E97" i="9"/>
  <c r="A190" i="10" s="1"/>
  <c r="B190" i="10" s="1"/>
  <c r="A88" i="10"/>
  <c r="B88" i="10" s="1"/>
  <c r="B291" i="10"/>
  <c r="A189" i="7"/>
  <c r="B189" i="7" s="1"/>
  <c r="D98" i="9"/>
  <c r="G97" i="9"/>
  <c r="A292" i="10" s="1"/>
  <c r="B292" i="10" s="1"/>
  <c r="H96" i="9"/>
  <c r="A393" i="10" s="1"/>
  <c r="B393" i="10" s="1"/>
  <c r="F98" i="9"/>
  <c r="D100" i="6"/>
  <c r="F100" i="6" s="1"/>
  <c r="C101" i="6"/>
  <c r="E100" i="6"/>
  <c r="F101" i="1"/>
  <c r="A88" i="4"/>
  <c r="B88" i="4" s="1"/>
  <c r="C102" i="1"/>
  <c r="D101" i="1"/>
  <c r="E101" i="1" s="1"/>
  <c r="A191" i="4" s="1"/>
  <c r="B191" i="4" s="1"/>
  <c r="H100" i="1"/>
  <c r="A394" i="4" s="1"/>
  <c r="B394" i="4" s="1"/>
  <c r="G100" i="1"/>
  <c r="A292" i="4" s="1"/>
  <c r="B292" i="4" s="1"/>
  <c r="A190" i="7" l="1"/>
  <c r="B190" i="7" s="1"/>
  <c r="E98" i="9"/>
  <c r="A191" i="10" s="1"/>
  <c r="B191" i="10" s="1"/>
  <c r="A89" i="10"/>
  <c r="B89" i="10" s="1"/>
  <c r="G98" i="9"/>
  <c r="A293" i="10" s="1"/>
  <c r="D99" i="9"/>
  <c r="F99" i="9"/>
  <c r="H97" i="9"/>
  <c r="A394" i="10" s="1"/>
  <c r="B394" i="10" s="1"/>
  <c r="A88" i="7"/>
  <c r="B88" i="7" s="1"/>
  <c r="D101" i="6"/>
  <c r="F101" i="6" s="1"/>
  <c r="C102" i="6"/>
  <c r="E101" i="6"/>
  <c r="F102" i="1"/>
  <c r="A89" i="4"/>
  <c r="B89" i="4" s="1"/>
  <c r="C103" i="1"/>
  <c r="D102" i="1"/>
  <c r="E102" i="1" s="1"/>
  <c r="A192" i="4" s="1"/>
  <c r="B192" i="4" s="1"/>
  <c r="H101" i="1"/>
  <c r="A395" i="4" s="1"/>
  <c r="B395" i="4" s="1"/>
  <c r="G101" i="1"/>
  <c r="A293" i="4" s="1"/>
  <c r="B293" i="4" s="1"/>
  <c r="E99" i="9" l="1"/>
  <c r="A192" i="10" s="1"/>
  <c r="B192" i="10" s="1"/>
  <c r="A90" i="10"/>
  <c r="B90" i="10" s="1"/>
  <c r="A191" i="7"/>
  <c r="B191" i="7" s="1"/>
  <c r="A89" i="7"/>
  <c r="B89" i="7" s="1"/>
  <c r="B293" i="10"/>
  <c r="G99" i="9"/>
  <c r="A294" i="10" s="1"/>
  <c r="D100" i="9"/>
  <c r="F100" i="9"/>
  <c r="H98" i="9"/>
  <c r="A395" i="10" s="1"/>
  <c r="B395" i="10" s="1"/>
  <c r="D102" i="6"/>
  <c r="F102" i="6" s="1"/>
  <c r="C103" i="6"/>
  <c r="E102" i="6"/>
  <c r="F103" i="1"/>
  <c r="A90" i="4"/>
  <c r="B90" i="4" s="1"/>
  <c r="C104" i="1"/>
  <c r="D103" i="1"/>
  <c r="E103" i="1" s="1"/>
  <c r="A193" i="4" s="1"/>
  <c r="B193" i="4" s="1"/>
  <c r="G102" i="1"/>
  <c r="A294" i="4" s="1"/>
  <c r="B294" i="4" s="1"/>
  <c r="H102" i="1"/>
  <c r="A396" i="4" s="1"/>
  <c r="B396" i="4" s="1"/>
  <c r="E100" i="9" l="1"/>
  <c r="A193" i="10" s="1"/>
  <c r="B193" i="10" s="1"/>
  <c r="A91" i="10"/>
  <c r="B91" i="10" s="1"/>
  <c r="B294" i="10"/>
  <c r="A192" i="7"/>
  <c r="B192" i="7" s="1"/>
  <c r="D101" i="9"/>
  <c r="G100" i="9"/>
  <c r="A295" i="10" s="1"/>
  <c r="H99" i="9"/>
  <c r="A396" i="10" s="1"/>
  <c r="B396" i="10" s="1"/>
  <c r="F101" i="9"/>
  <c r="A90" i="7"/>
  <c r="B90" i="7" s="1"/>
  <c r="D103" i="6"/>
  <c r="F103" i="6" s="1"/>
  <c r="C104" i="6"/>
  <c r="E103" i="6"/>
  <c r="A91" i="4"/>
  <c r="B91" i="4" s="1"/>
  <c r="F104" i="1"/>
  <c r="C105" i="1"/>
  <c r="D104" i="1"/>
  <c r="E104" i="1" s="1"/>
  <c r="A194" i="4" s="1"/>
  <c r="B194" i="4" s="1"/>
  <c r="H103" i="1"/>
  <c r="A397" i="4" s="1"/>
  <c r="B397" i="4" s="1"/>
  <c r="G103" i="1"/>
  <c r="A295" i="4" s="1"/>
  <c r="B295" i="4" s="1"/>
  <c r="A193" i="7" l="1"/>
  <c r="B193" i="7" s="1"/>
  <c r="E101" i="9"/>
  <c r="A194" i="10" s="1"/>
  <c r="B194" i="10" s="1"/>
  <c r="A92" i="10"/>
  <c r="B92" i="10" s="1"/>
  <c r="B295" i="10"/>
  <c r="G101" i="9"/>
  <c r="A296" i="10" s="1"/>
  <c r="B296" i="10" s="1"/>
  <c r="D102" i="9"/>
  <c r="F102" i="9"/>
  <c r="H100" i="9"/>
  <c r="A397" i="10" s="1"/>
  <c r="B397" i="10" s="1"/>
  <c r="A91" i="7"/>
  <c r="B91" i="7" s="1"/>
  <c r="D104" i="6"/>
  <c r="F104" i="6" s="1"/>
  <c r="C105" i="6"/>
  <c r="E104" i="6"/>
  <c r="A92" i="4"/>
  <c r="B92" i="4" s="1"/>
  <c r="F105" i="1"/>
  <c r="C106" i="1"/>
  <c r="D105" i="1"/>
  <c r="E105" i="1" s="1"/>
  <c r="A195" i="4" s="1"/>
  <c r="B195" i="4" s="1"/>
  <c r="H104" i="1"/>
  <c r="A398" i="4" s="1"/>
  <c r="B398" i="4" s="1"/>
  <c r="G104" i="1"/>
  <c r="A296" i="4" s="1"/>
  <c r="B296" i="4" s="1"/>
  <c r="E102" i="9" l="1"/>
  <c r="A195" i="10" s="1"/>
  <c r="B195" i="10" s="1"/>
  <c r="A93" i="10"/>
  <c r="B93" i="10" s="1"/>
  <c r="G102" i="9"/>
  <c r="A297" i="10" s="1"/>
  <c r="D103" i="9"/>
  <c r="H101" i="9"/>
  <c r="A398" i="10" s="1"/>
  <c r="B398" i="10" s="1"/>
  <c r="F103" i="9"/>
  <c r="A194" i="7"/>
  <c r="B194" i="7" s="1"/>
  <c r="D105" i="6"/>
  <c r="F105" i="6" s="1"/>
  <c r="A92" i="7"/>
  <c r="B92" i="7" s="1"/>
  <c r="C106" i="6"/>
  <c r="E105" i="6"/>
  <c r="F106" i="1"/>
  <c r="A93" i="4"/>
  <c r="B93" i="4" s="1"/>
  <c r="C107" i="1"/>
  <c r="D106" i="1"/>
  <c r="E106" i="1" s="1"/>
  <c r="A196" i="4" s="1"/>
  <c r="B196" i="4" s="1"/>
  <c r="G105" i="1"/>
  <c r="A297" i="4" s="1"/>
  <c r="B297" i="4" s="1"/>
  <c r="H105" i="1"/>
  <c r="A399" i="4" s="1"/>
  <c r="B399" i="4" s="1"/>
  <c r="E103" i="9" l="1"/>
  <c r="A196" i="10" s="1"/>
  <c r="B196" i="10" s="1"/>
  <c r="A94" i="10"/>
  <c r="B94" i="10" s="1"/>
  <c r="B297" i="10"/>
  <c r="G103" i="9"/>
  <c r="A298" i="10" s="1"/>
  <c r="D104" i="9"/>
  <c r="F104" i="9"/>
  <c r="H102" i="9"/>
  <c r="A399" i="10" s="1"/>
  <c r="B399" i="10" s="1"/>
  <c r="A195" i="7"/>
  <c r="B195" i="7" s="1"/>
  <c r="A93" i="7"/>
  <c r="B93" i="7" s="1"/>
  <c r="D106" i="6"/>
  <c r="F106" i="6" s="1"/>
  <c r="C107" i="6"/>
  <c r="E106" i="6"/>
  <c r="F107" i="1"/>
  <c r="A94" i="4"/>
  <c r="B94" i="4" s="1"/>
  <c r="C108" i="1"/>
  <c r="D107" i="1"/>
  <c r="E107" i="1" s="1"/>
  <c r="A197" i="4" s="1"/>
  <c r="B197" i="4" s="1"/>
  <c r="G106" i="1"/>
  <c r="A298" i="4" s="1"/>
  <c r="B298" i="4" s="1"/>
  <c r="H106" i="1"/>
  <c r="A400" i="4" s="1"/>
  <c r="B400" i="4" s="1"/>
  <c r="E104" i="9" l="1"/>
  <c r="A197" i="10" s="1"/>
  <c r="B197" i="10" s="1"/>
  <c r="A95" i="10"/>
  <c r="B95" i="10" s="1"/>
  <c r="B298" i="10"/>
  <c r="G104" i="9"/>
  <c r="A299" i="10" s="1"/>
  <c r="B299" i="10" s="1"/>
  <c r="D105" i="9"/>
  <c r="H103" i="9"/>
  <c r="A400" i="10" s="1"/>
  <c r="B400" i="10" s="1"/>
  <c r="F105" i="9"/>
  <c r="A196" i="7"/>
  <c r="B196" i="7" s="1"/>
  <c r="A94" i="7"/>
  <c r="B94" i="7" s="1"/>
  <c r="D107" i="6"/>
  <c r="F107" i="6" s="1"/>
  <c r="C108" i="6"/>
  <c r="E107" i="6"/>
  <c r="A95" i="4"/>
  <c r="B95" i="4" s="1"/>
  <c r="F108" i="1"/>
  <c r="C109" i="1"/>
  <c r="D108" i="1"/>
  <c r="E108" i="1" s="1"/>
  <c r="A198" i="4" s="1"/>
  <c r="B198" i="4" s="1"/>
  <c r="H107" i="1"/>
  <c r="A401" i="4" s="1"/>
  <c r="B401" i="4" s="1"/>
  <c r="G107" i="1"/>
  <c r="A299" i="4" s="1"/>
  <c r="B299" i="4" s="1"/>
  <c r="E105" i="9" l="1"/>
  <c r="A198" i="10" s="1"/>
  <c r="B198" i="10" s="1"/>
  <c r="A96" i="10"/>
  <c r="B96" i="10" s="1"/>
  <c r="G105" i="9"/>
  <c r="A300" i="10" s="1"/>
  <c r="D106" i="9"/>
  <c r="F106" i="9"/>
  <c r="H104" i="9"/>
  <c r="A401" i="10" s="1"/>
  <c r="B401" i="10" s="1"/>
  <c r="A197" i="7"/>
  <c r="B197" i="7" s="1"/>
  <c r="A95" i="7"/>
  <c r="B95" i="7" s="1"/>
  <c r="D108" i="6"/>
  <c r="F108" i="6" s="1"/>
  <c r="C109" i="6"/>
  <c r="E108" i="6"/>
  <c r="F109" i="1"/>
  <c r="A96" i="4"/>
  <c r="B96" i="4" s="1"/>
  <c r="C110" i="1"/>
  <c r="D109" i="1"/>
  <c r="E109" i="1" s="1"/>
  <c r="A199" i="4" s="1"/>
  <c r="B199" i="4" s="1"/>
  <c r="H108" i="1"/>
  <c r="A402" i="4" s="1"/>
  <c r="B402" i="4" s="1"/>
  <c r="G108" i="1"/>
  <c r="A300" i="4" s="1"/>
  <c r="B300" i="4" s="1"/>
  <c r="E106" i="9" l="1"/>
  <c r="A199" i="10" s="1"/>
  <c r="B199" i="10" s="1"/>
  <c r="A97" i="10"/>
  <c r="B97" i="10" s="1"/>
  <c r="B300" i="10"/>
  <c r="G106" i="9"/>
  <c r="A301" i="10" s="1"/>
  <c r="D107" i="9"/>
  <c r="F107" i="9"/>
  <c r="H105" i="9"/>
  <c r="A402" i="10" s="1"/>
  <c r="B402" i="10" s="1"/>
  <c r="A198" i="7"/>
  <c r="B198" i="7" s="1"/>
  <c r="D109" i="6"/>
  <c r="F109" i="6" s="1"/>
  <c r="A96" i="7"/>
  <c r="B96" i="7" s="1"/>
  <c r="C110" i="6"/>
  <c r="E109" i="6"/>
  <c r="F110" i="1"/>
  <c r="A97" i="4"/>
  <c r="B97" i="4" s="1"/>
  <c r="C111" i="1"/>
  <c r="D110" i="1"/>
  <c r="E110" i="1" s="1"/>
  <c r="A200" i="4" s="1"/>
  <c r="B200" i="4" s="1"/>
  <c r="H109" i="1"/>
  <c r="A403" i="4" s="1"/>
  <c r="B403" i="4" s="1"/>
  <c r="G109" i="1"/>
  <c r="A301" i="4" s="1"/>
  <c r="B301" i="4" s="1"/>
  <c r="E107" i="9" l="1"/>
  <c r="A200" i="10" s="1"/>
  <c r="B200" i="10" s="1"/>
  <c r="A98" i="10"/>
  <c r="B98" i="10" s="1"/>
  <c r="B301" i="10"/>
  <c r="G107" i="9"/>
  <c r="A302" i="10" s="1"/>
  <c r="D108" i="9"/>
  <c r="H106" i="9"/>
  <c r="A403" i="10" s="1"/>
  <c r="B403" i="10" s="1"/>
  <c r="F108" i="9"/>
  <c r="A199" i="7"/>
  <c r="B199" i="7" s="1"/>
  <c r="D110" i="6"/>
  <c r="F110" i="6" s="1"/>
  <c r="A97" i="7"/>
  <c r="B97" i="7" s="1"/>
  <c r="C111" i="6"/>
  <c r="E110" i="6"/>
  <c r="F111" i="1"/>
  <c r="A98" i="4"/>
  <c r="B98" i="4" s="1"/>
  <c r="C112" i="1"/>
  <c r="D111" i="1"/>
  <c r="E111" i="1" s="1"/>
  <c r="A201" i="4" s="1"/>
  <c r="B201" i="4" s="1"/>
  <c r="G110" i="1"/>
  <c r="A302" i="4" s="1"/>
  <c r="B302" i="4" s="1"/>
  <c r="H110" i="1"/>
  <c r="A404" i="4" s="1"/>
  <c r="B404" i="4" s="1"/>
  <c r="A200" i="7" l="1"/>
  <c r="B200" i="7" s="1"/>
  <c r="E108" i="9"/>
  <c r="A201" i="10" s="1"/>
  <c r="B201" i="10" s="1"/>
  <c r="A99" i="10"/>
  <c r="B99" i="10" s="1"/>
  <c r="B302" i="10"/>
  <c r="G108" i="9"/>
  <c r="A303" i="10" s="1"/>
  <c r="B303" i="10" s="1"/>
  <c r="D109" i="9"/>
  <c r="F109" i="9"/>
  <c r="H107" i="9"/>
  <c r="A404" i="10" s="1"/>
  <c r="B404" i="10" s="1"/>
  <c r="D111" i="6"/>
  <c r="F111" i="6" s="1"/>
  <c r="A98" i="7"/>
  <c r="B98" i="7" s="1"/>
  <c r="C112" i="6"/>
  <c r="E111" i="6"/>
  <c r="A99" i="4"/>
  <c r="B99" i="4" s="1"/>
  <c r="F112" i="1"/>
  <c r="C113" i="1"/>
  <c r="D112" i="1"/>
  <c r="E112" i="1" s="1"/>
  <c r="A202" i="4" s="1"/>
  <c r="B202" i="4" s="1"/>
  <c r="G111" i="1"/>
  <c r="A303" i="4" s="1"/>
  <c r="B303" i="4" s="1"/>
  <c r="H111" i="1"/>
  <c r="A405" i="4" s="1"/>
  <c r="B405" i="4" s="1"/>
  <c r="A201" i="7" l="1"/>
  <c r="B201" i="7" s="1"/>
  <c r="E109" i="9"/>
  <c r="A202" i="10" s="1"/>
  <c r="B202" i="10" s="1"/>
  <c r="A100" i="10"/>
  <c r="B100" i="10" s="1"/>
  <c r="G109" i="9"/>
  <c r="A304" i="10" s="1"/>
  <c r="B304" i="10" s="1"/>
  <c r="D110" i="9"/>
  <c r="F110" i="9"/>
  <c r="H108" i="9"/>
  <c r="A405" i="10" s="1"/>
  <c r="B405" i="10" s="1"/>
  <c r="D112" i="6"/>
  <c r="F112" i="6" s="1"/>
  <c r="A99" i="7"/>
  <c r="B99" i="7" s="1"/>
  <c r="C113" i="6"/>
  <c r="E112" i="6"/>
  <c r="D113" i="1"/>
  <c r="A101" i="4" s="1"/>
  <c r="B101" i="4" s="1"/>
  <c r="A100" i="4"/>
  <c r="B100" i="4" s="1"/>
  <c r="F113" i="1"/>
  <c r="G112" i="1"/>
  <c r="A304" i="4" s="1"/>
  <c r="B304" i="4" s="1"/>
  <c r="H112" i="1"/>
  <c r="A406" i="4" s="1"/>
  <c r="B406" i="4" s="1"/>
  <c r="E110" i="9" l="1"/>
  <c r="A203" i="10" s="1"/>
  <c r="A101" i="10"/>
  <c r="B101" i="10" s="1"/>
  <c r="G110" i="9"/>
  <c r="A305" i="10" s="1"/>
  <c r="H109" i="9"/>
  <c r="A406" i="10" s="1"/>
  <c r="B406" i="10" s="1"/>
  <c r="A100" i="7"/>
  <c r="B100" i="7" s="1"/>
  <c r="A202" i="7"/>
  <c r="B202" i="7" s="1"/>
  <c r="D113" i="6"/>
  <c r="F113" i="6" s="1"/>
  <c r="E113" i="6"/>
  <c r="E113" i="1"/>
  <c r="G113" i="1"/>
  <c r="A305" i="4" s="1"/>
  <c r="B305" i="4" s="1"/>
  <c r="B203" i="10" l="1"/>
  <c r="H110" i="9"/>
  <c r="A407" i="10" s="1"/>
  <c r="B305" i="10"/>
  <c r="A203" i="7"/>
  <c r="B203" i="7" s="1"/>
  <c r="A101" i="7"/>
  <c r="B101" i="7" s="1"/>
  <c r="A203" i="4"/>
  <c r="B203" i="4" s="1"/>
  <c r="H113" i="1"/>
  <c r="B407" i="10" s="1"/>
  <c r="A407" i="4" l="1"/>
  <c r="B40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B10" authorId="0" shapeId="0" xr:uid="{ABCE5FB0-9B2F-4968-BC47-87C9D3F8EB9F}">
      <text>
        <r>
          <rPr>
            <sz val="9"/>
            <color indexed="81"/>
            <rFont val="Segoe UI Light"/>
            <family val="2"/>
          </rPr>
          <t>Hasta 100 puntos por cuadrante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B9" authorId="0" shapeId="0" xr:uid="{9C4AC05A-6019-4DE1-86E6-48DB971DBBBF}">
      <text>
        <r>
          <rPr>
            <sz val="9"/>
            <color indexed="81"/>
            <rFont val="Segoe UI Light"/>
            <family val="2"/>
          </rPr>
          <t>Hasta 100 puntos por cuadrante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B10" authorId="0" shapeId="0" xr:uid="{713AEAD5-7567-4E4C-B30F-4FDFF3604BF5}">
      <text>
        <r>
          <rPr>
            <sz val="9"/>
            <color indexed="81"/>
            <rFont val="Segoe UI Light"/>
            <family val="2"/>
          </rPr>
          <t>Hasta 100 puntos por cuadrante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G18" authorId="0" shapeId="0" xr:uid="{7BD886BA-FFFB-4D5E-B8DC-003FDB74BC11}">
      <text>
        <r>
          <rPr>
            <sz val="9"/>
            <color indexed="81"/>
            <rFont val="Segoe UI Light"/>
            <family val="2"/>
          </rPr>
          <t>Tiende a infinito</t>
        </r>
      </text>
    </comment>
    <comment ref="I18" authorId="0" shapeId="0" xr:uid="{E261A471-231A-4ED8-8FAC-A7EF9950E133}">
      <text>
        <r>
          <rPr>
            <sz val="9"/>
            <color indexed="81"/>
            <rFont val="Segoe UI Light"/>
            <family val="2"/>
          </rPr>
          <t>Tiende a infinito</t>
        </r>
      </text>
    </comment>
  </commentList>
</comments>
</file>

<file path=xl/sharedStrings.xml><?xml version="1.0" encoding="utf-8"?>
<sst xmlns="http://schemas.openxmlformats.org/spreadsheetml/2006/main" count="94" uniqueCount="51">
  <si>
    <t>Semieje menor, b</t>
  </si>
  <si>
    <t>Semieje mayor, a</t>
  </si>
  <si>
    <t>Centroide en x, h</t>
  </si>
  <si>
    <t>Centroide en y, k</t>
  </si>
  <si>
    <t>Excentricidad, e</t>
  </si>
  <si>
    <t>Foco, c ±</t>
  </si>
  <si>
    <t>X</t>
  </si>
  <si>
    <t xml:space="preserve"> -X</t>
  </si>
  <si>
    <t>YC1</t>
  </si>
  <si>
    <t>YC2</t>
  </si>
  <si>
    <t>YC3</t>
  </si>
  <si>
    <t>YC4</t>
  </si>
  <si>
    <t>Puntos por cuadrante</t>
  </si>
  <si>
    <t>Parámetro</t>
  </si>
  <si>
    <t>Valor</t>
  </si>
  <si>
    <t>Nodo</t>
  </si>
  <si>
    <t>PLINE</t>
  </si>
  <si>
    <t>Metadata</t>
  </si>
  <si>
    <t>Creado por r.cfdtools</t>
  </si>
  <si>
    <t>Pass: 1234</t>
  </si>
  <si>
    <t>a</t>
  </si>
  <si>
    <t>b</t>
  </si>
  <si>
    <t>Inicio en x</t>
  </si>
  <si>
    <t>Fin en x</t>
  </si>
  <si>
    <t>Ysup</t>
  </si>
  <si>
    <t>Yinf</t>
  </si>
  <si>
    <t>Funciones trigonométricas con orígen en (0,0)</t>
  </si>
  <si>
    <t>AutoCAD Command</t>
  </si>
  <si>
    <t>SIN(x)</t>
  </si>
  <si>
    <t>COS(x)</t>
  </si>
  <si>
    <t>TAN(x)</t>
  </si>
  <si>
    <t>COT(x)</t>
  </si>
  <si>
    <t>SEC(x)</t>
  </si>
  <si>
    <t>CSC(x)</t>
  </si>
  <si>
    <t>SPLINE</t>
  </si>
  <si>
    <t>Límite y ±:</t>
  </si>
  <si>
    <t>Dibujo de la parábola con centro en origen (0,0)</t>
  </si>
  <si>
    <t>x (radianes)</t>
  </si>
  <si>
    <t>x (grados)</t>
  </si>
  <si>
    <t>v.20250701</t>
  </si>
  <si>
    <t>Dibujo de Elipse con centro en (h,k)</t>
  </si>
  <si>
    <t>Dibujo de Superelipse con centro en el orígen</t>
  </si>
  <si>
    <t>Factor de forma n</t>
  </si>
  <si>
    <t>v.20260206</t>
  </si>
  <si>
    <t>L curva 1 (m)</t>
  </si>
  <si>
    <t>L recta 1 (m)</t>
  </si>
  <si>
    <t>Largo rectángulo (m)</t>
  </si>
  <si>
    <t>Alto rectángulo (m)</t>
  </si>
  <si>
    <t>L total carril 1 (m)</t>
  </si>
  <si>
    <t>Pista atlética tipo disco rectángulo</t>
  </si>
  <si>
    <t>Radio disco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</si>
</sst>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b/>
      <sz val="11"/>
      <color theme="1"/>
      <name val="Segoe UI Light"/>
      <family val="2"/>
    </font>
    <font>
      <sz val="9"/>
      <color indexed="81"/>
      <name val="Segoe UI Light"/>
      <family val="2"/>
    </font>
    <font>
      <sz val="8"/>
      <color theme="1"/>
      <name val="Segoe UI Light"/>
      <family val="2"/>
    </font>
    <font>
      <sz val="1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2" borderId="10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22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2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0" fontId="1" fillId="2" borderId="23" xfId="0" applyFont="1" applyFill="1" applyBorder="1" applyAlignment="1">
      <alignment horizontal="center"/>
    </xf>
    <xf numFmtId="0" fontId="2" fillId="0" borderId="17" xfId="0" applyFont="1" applyBorder="1" applyAlignment="1" applyProtection="1">
      <alignment horizontal="center"/>
      <protection locked="0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1" xfId="0" applyFont="1" applyBorder="1"/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0" borderId="0" xfId="0" applyFont="1" applyAlignment="1">
      <alignment horizontal="right" vertical="top"/>
    </xf>
    <xf numFmtId="0" fontId="1" fillId="0" borderId="4" xfId="0" applyFont="1" applyBorder="1"/>
    <xf numFmtId="0" fontId="2" fillId="0" borderId="5" xfId="0" applyFont="1" applyBorder="1" applyProtection="1">
      <protection locked="0"/>
    </xf>
    <xf numFmtId="0" fontId="6" fillId="0" borderId="5" xfId="0" applyFont="1" applyBorder="1"/>
    <xf numFmtId="164" fontId="6" fillId="0" borderId="5" xfId="0" applyNumberFormat="1" applyFont="1" applyBorder="1"/>
    <xf numFmtId="0" fontId="1" fillId="0" borderId="6" xfId="0" applyFont="1" applyBorder="1"/>
    <xf numFmtId="164" fontId="6" fillId="0" borderId="7" xfId="0" applyNumberFormat="1" applyFont="1" applyBorder="1"/>
    <xf numFmtId="0" fontId="1" fillId="2" borderId="3" xfId="0" applyFont="1" applyFill="1" applyBorder="1"/>
    <xf numFmtId="0" fontId="1" fillId="0" borderId="2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32196537418781"/>
          <c:y val="5.7846468565658331E-2"/>
          <c:w val="0.76679839304860276"/>
          <c:h val="0.651495620256257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ElipseTabla!$D$13</c:f>
              <c:strCache>
                <c:ptCount val="1"/>
                <c:pt idx="0">
                  <c:v>YC1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ElipseTabla!$C$14:$C$113</c:f>
              <c:numCache>
                <c:formatCode>General</c:formatCode>
                <c:ptCount val="100"/>
                <c:pt idx="0">
                  <c:v>100</c:v>
                </c:pt>
                <c:pt idx="1">
                  <c:v>100.60606060606061</c:v>
                </c:pt>
                <c:pt idx="2">
                  <c:v>101.21212121212122</c:v>
                </c:pt>
                <c:pt idx="3">
                  <c:v>101.81818181818183</c:v>
                </c:pt>
                <c:pt idx="4">
                  <c:v>102.42424242424244</c:v>
                </c:pt>
                <c:pt idx="5">
                  <c:v>103.03030303030305</c:v>
                </c:pt>
                <c:pt idx="6">
                  <c:v>103.63636363636365</c:v>
                </c:pt>
                <c:pt idx="7">
                  <c:v>104.24242424242426</c:v>
                </c:pt>
                <c:pt idx="8">
                  <c:v>104.84848484848487</c:v>
                </c:pt>
                <c:pt idx="9">
                  <c:v>105.45454545454548</c:v>
                </c:pt>
                <c:pt idx="10">
                  <c:v>106.06060606060609</c:v>
                </c:pt>
                <c:pt idx="11">
                  <c:v>106.6666666666667</c:v>
                </c:pt>
                <c:pt idx="12">
                  <c:v>107.27272727272731</c:v>
                </c:pt>
                <c:pt idx="13">
                  <c:v>107.87878787878792</c:v>
                </c:pt>
                <c:pt idx="14">
                  <c:v>108.48484848484853</c:v>
                </c:pt>
                <c:pt idx="15">
                  <c:v>109.09090909090914</c:v>
                </c:pt>
                <c:pt idx="16">
                  <c:v>109.69696969696975</c:v>
                </c:pt>
                <c:pt idx="17">
                  <c:v>110.30303030303035</c:v>
                </c:pt>
                <c:pt idx="18">
                  <c:v>110.90909090909096</c:v>
                </c:pt>
                <c:pt idx="19">
                  <c:v>111.51515151515157</c:v>
                </c:pt>
                <c:pt idx="20">
                  <c:v>112.12121212121218</c:v>
                </c:pt>
                <c:pt idx="21">
                  <c:v>112.72727272727279</c:v>
                </c:pt>
                <c:pt idx="22">
                  <c:v>113.3333333333334</c:v>
                </c:pt>
                <c:pt idx="23">
                  <c:v>113.93939393939401</c:v>
                </c:pt>
                <c:pt idx="24">
                  <c:v>114.54545454545462</c:v>
                </c:pt>
                <c:pt idx="25">
                  <c:v>115.15151515151523</c:v>
                </c:pt>
                <c:pt idx="26">
                  <c:v>115.75757575757584</c:v>
                </c:pt>
                <c:pt idx="27">
                  <c:v>116.36363636363645</c:v>
                </c:pt>
                <c:pt idx="28">
                  <c:v>116.96969696969705</c:v>
                </c:pt>
                <c:pt idx="29">
                  <c:v>117.57575757575766</c:v>
                </c:pt>
                <c:pt idx="30">
                  <c:v>118.18181818181827</c:v>
                </c:pt>
                <c:pt idx="31">
                  <c:v>118.78787878787888</c:v>
                </c:pt>
                <c:pt idx="32">
                  <c:v>119.39393939393949</c:v>
                </c:pt>
                <c:pt idx="33">
                  <c:v>120.0000000000001</c:v>
                </c:pt>
                <c:pt idx="34">
                  <c:v>120.60606060606071</c:v>
                </c:pt>
                <c:pt idx="35">
                  <c:v>121.21212121212132</c:v>
                </c:pt>
                <c:pt idx="36">
                  <c:v>121.81818181818193</c:v>
                </c:pt>
                <c:pt idx="37">
                  <c:v>122.42424242424254</c:v>
                </c:pt>
                <c:pt idx="38">
                  <c:v>123.03030303030314</c:v>
                </c:pt>
                <c:pt idx="39">
                  <c:v>123.63636363636375</c:v>
                </c:pt>
                <c:pt idx="40">
                  <c:v>124.24242424242436</c:v>
                </c:pt>
                <c:pt idx="41">
                  <c:v>124.84848484848497</c:v>
                </c:pt>
                <c:pt idx="42">
                  <c:v>125.45454545454558</c:v>
                </c:pt>
                <c:pt idx="43">
                  <c:v>126.06060606060619</c:v>
                </c:pt>
                <c:pt idx="44">
                  <c:v>126.6666666666668</c:v>
                </c:pt>
                <c:pt idx="45">
                  <c:v>127.27272727272741</c:v>
                </c:pt>
                <c:pt idx="46">
                  <c:v>127.87878787878802</c:v>
                </c:pt>
                <c:pt idx="47">
                  <c:v>128.48484848484861</c:v>
                </c:pt>
                <c:pt idx="48">
                  <c:v>129.09090909090921</c:v>
                </c:pt>
                <c:pt idx="49">
                  <c:v>129.6969696969698</c:v>
                </c:pt>
                <c:pt idx="50">
                  <c:v>130.3030303030304</c:v>
                </c:pt>
                <c:pt idx="51">
                  <c:v>130.90909090909099</c:v>
                </c:pt>
                <c:pt idx="52">
                  <c:v>131.51515151515159</c:v>
                </c:pt>
                <c:pt idx="53">
                  <c:v>132.12121212121218</c:v>
                </c:pt>
                <c:pt idx="54">
                  <c:v>132.72727272727278</c:v>
                </c:pt>
                <c:pt idx="55">
                  <c:v>133.33333333333337</c:v>
                </c:pt>
                <c:pt idx="56">
                  <c:v>133.93939393939397</c:v>
                </c:pt>
                <c:pt idx="57">
                  <c:v>134.54545454545456</c:v>
                </c:pt>
                <c:pt idx="58">
                  <c:v>135.15151515151516</c:v>
                </c:pt>
                <c:pt idx="59">
                  <c:v>135.75757575757575</c:v>
                </c:pt>
                <c:pt idx="60">
                  <c:v>136.36363636363635</c:v>
                </c:pt>
                <c:pt idx="61">
                  <c:v>136.96969696969694</c:v>
                </c:pt>
                <c:pt idx="62">
                  <c:v>137.57575757575754</c:v>
                </c:pt>
                <c:pt idx="63">
                  <c:v>138.18181818181813</c:v>
                </c:pt>
                <c:pt idx="64">
                  <c:v>138.78787878787873</c:v>
                </c:pt>
                <c:pt idx="65">
                  <c:v>139.39393939393932</c:v>
                </c:pt>
                <c:pt idx="66">
                  <c:v>139.99999999999991</c:v>
                </c:pt>
                <c:pt idx="67">
                  <c:v>140.60606060606051</c:v>
                </c:pt>
                <c:pt idx="68">
                  <c:v>141.2121212121211</c:v>
                </c:pt>
                <c:pt idx="69">
                  <c:v>141.8181818181817</c:v>
                </c:pt>
                <c:pt idx="70">
                  <c:v>142.42424242424229</c:v>
                </c:pt>
                <c:pt idx="71">
                  <c:v>143.03030303030289</c:v>
                </c:pt>
                <c:pt idx="72">
                  <c:v>143.63636363636348</c:v>
                </c:pt>
                <c:pt idx="73">
                  <c:v>144.24242424242408</c:v>
                </c:pt>
                <c:pt idx="74">
                  <c:v>144.84848484848467</c:v>
                </c:pt>
                <c:pt idx="75">
                  <c:v>145.45454545454527</c:v>
                </c:pt>
                <c:pt idx="76">
                  <c:v>146.06060606060586</c:v>
                </c:pt>
                <c:pt idx="77">
                  <c:v>146.66666666666646</c:v>
                </c:pt>
                <c:pt idx="78">
                  <c:v>147.27272727272705</c:v>
                </c:pt>
                <c:pt idx="79">
                  <c:v>147.87878787878765</c:v>
                </c:pt>
                <c:pt idx="80">
                  <c:v>148.48484848484824</c:v>
                </c:pt>
                <c:pt idx="81">
                  <c:v>149.09090909090884</c:v>
                </c:pt>
                <c:pt idx="82">
                  <c:v>149.69696969696943</c:v>
                </c:pt>
                <c:pt idx="83">
                  <c:v>150.30303030303003</c:v>
                </c:pt>
                <c:pt idx="84">
                  <c:v>150.90909090909062</c:v>
                </c:pt>
                <c:pt idx="85">
                  <c:v>151.51515151515122</c:v>
                </c:pt>
                <c:pt idx="86">
                  <c:v>152.12121212121181</c:v>
                </c:pt>
                <c:pt idx="87">
                  <c:v>152.72727272727241</c:v>
                </c:pt>
                <c:pt idx="88">
                  <c:v>153.333333333333</c:v>
                </c:pt>
                <c:pt idx="89">
                  <c:v>153.9393939393936</c:v>
                </c:pt>
                <c:pt idx="90">
                  <c:v>154.54545454545419</c:v>
                </c:pt>
                <c:pt idx="91">
                  <c:v>155.15151515151479</c:v>
                </c:pt>
                <c:pt idx="92">
                  <c:v>155.75757575757538</c:v>
                </c:pt>
                <c:pt idx="93">
                  <c:v>156.36363636363598</c:v>
                </c:pt>
                <c:pt idx="94">
                  <c:v>156.96969696969657</c:v>
                </c:pt>
                <c:pt idx="95">
                  <c:v>157.57575757575717</c:v>
                </c:pt>
                <c:pt idx="96">
                  <c:v>158.18181818181776</c:v>
                </c:pt>
                <c:pt idx="97">
                  <c:v>158.78787878787836</c:v>
                </c:pt>
                <c:pt idx="98">
                  <c:v>159.39393939393895</c:v>
                </c:pt>
                <c:pt idx="99">
                  <c:v>160</c:v>
                </c:pt>
              </c:numCache>
            </c:numRef>
          </c:xVal>
          <c:yVal>
            <c:numRef>
              <c:f>ElipseTabla!$D$14:$D$113</c:f>
              <c:numCache>
                <c:formatCode>General</c:formatCode>
                <c:ptCount val="100"/>
                <c:pt idx="0">
                  <c:v>70</c:v>
                </c:pt>
                <c:pt idx="1">
                  <c:v>69.998979669922562</c:v>
                </c:pt>
                <c:pt idx="2">
                  <c:v>69.995918367304427</c:v>
                </c:pt>
                <c:pt idx="3">
                  <c:v>69.990815154509875</c:v>
                </c:pt>
                <c:pt idx="4">
                  <c:v>69.983668467216205</c:v>
                </c:pt>
                <c:pt idx="5">
                  <c:v>69.974476112013377</c:v>
                </c:pt>
                <c:pt idx="6">
                  <c:v>69.963235263031038</c:v>
                </c:pt>
                <c:pt idx="7">
                  <c:v>69.949942457581429</c:v>
                </c:pt>
                <c:pt idx="8">
                  <c:v>69.934593590802038</c:v>
                </c:pt>
                <c:pt idx="9">
                  <c:v>69.917183909278762</c:v>
                </c:pt>
                <c:pt idx="10">
                  <c:v>69.897708003626235</c:v>
                </c:pt>
                <c:pt idx="11">
                  <c:v>69.876159799998135</c:v>
                </c:pt>
                <c:pt idx="12">
                  <c:v>69.852532550495994</c:v>
                </c:pt>
                <c:pt idx="13">
                  <c:v>69.826818822440885</c:v>
                </c:pt>
                <c:pt idx="14">
                  <c:v>69.799010486467253</c:v>
                </c:pt>
                <c:pt idx="15">
                  <c:v>69.76909870339405</c:v>
                </c:pt>
                <c:pt idx="16">
                  <c:v>69.737073909822186</c:v>
                </c:pt>
                <c:pt idx="17">
                  <c:v>69.702925802402603</c:v>
                </c:pt>
                <c:pt idx="18">
                  <c:v>69.666643320712666</c:v>
                </c:pt>
                <c:pt idx="19">
                  <c:v>69.628214628672509</c:v>
                </c:pt>
                <c:pt idx="20">
                  <c:v>69.587627094425869</c:v>
                </c:pt>
                <c:pt idx="21">
                  <c:v>69.544867268602545</c:v>
                </c:pt>
                <c:pt idx="22">
                  <c:v>69.499920860871384</c:v>
                </c:pt>
                <c:pt idx="23">
                  <c:v>69.452772714683988</c:v>
                </c:pt>
                <c:pt idx="24">
                  <c:v>69.40340678009953</c:v>
                </c:pt>
                <c:pt idx="25">
                  <c:v>69.351806084570569</c:v>
                </c:pt>
                <c:pt idx="26">
                  <c:v>69.297952701558373</c:v>
                </c:pt>
                <c:pt idx="27">
                  <c:v>69.24182771683337</c:v>
                </c:pt>
                <c:pt idx="28">
                  <c:v>69.183411192302628</c:v>
                </c:pt>
                <c:pt idx="29">
                  <c:v>69.122682127190672</c:v>
                </c:pt>
                <c:pt idx="30">
                  <c:v>69.059618416383486</c:v>
                </c:pt>
                <c:pt idx="31">
                  <c:v>68.994196805726304</c:v>
                </c:pt>
                <c:pt idx="32">
                  <c:v>68.926392844045409</c:v>
                </c:pt>
                <c:pt idx="33">
                  <c:v>68.856180831641254</c:v>
                </c:pt>
                <c:pt idx="34">
                  <c:v>68.783533764974266</c:v>
                </c:pt>
                <c:pt idx="35">
                  <c:v>68.708423277236719</c:v>
                </c:pt>
                <c:pt idx="36">
                  <c:v>68.630819574471985</c:v>
                </c:pt>
                <c:pt idx="37">
                  <c:v>68.550691366867056</c:v>
                </c:pt>
                <c:pt idx="38">
                  <c:v>68.468005794804554</c:v>
                </c:pt>
                <c:pt idx="39">
                  <c:v>68.382728349215867</c:v>
                </c:pt>
                <c:pt idx="40">
                  <c:v>68.294822785726737</c:v>
                </c:pt>
                <c:pt idx="41">
                  <c:v>68.204251032030385</c:v>
                </c:pt>
                <c:pt idx="42">
                  <c:v>68.110973087859293</c:v>
                </c:pt>
                <c:pt idx="43">
                  <c:v>68.014946916854896</c:v>
                </c:pt>
                <c:pt idx="44">
                  <c:v>67.916128329552308</c:v>
                </c:pt>
                <c:pt idx="45">
                  <c:v>67.814470856604913</c:v>
                </c:pt>
                <c:pt idx="46">
                  <c:v>67.709925611267138</c:v>
                </c:pt>
                <c:pt idx="47">
                  <c:v>67.602441140033889</c:v>
                </c:pt>
                <c:pt idx="48">
                  <c:v>67.491963260196115</c:v>
                </c:pt>
                <c:pt idx="49">
                  <c:v>67.378434882914377</c:v>
                </c:pt>
                <c:pt idx="50">
                  <c:v>67.261795820229452</c:v>
                </c:pt>
                <c:pt idx="51">
                  <c:v>67.141982574219327</c:v>
                </c:pt>
                <c:pt idx="52">
                  <c:v>67.018928106268547</c:v>
                </c:pt>
                <c:pt idx="53">
                  <c:v>66.892561584134825</c:v>
                </c:pt>
                <c:pt idx="54">
                  <c:v>66.762808104168869</c:v>
                </c:pt>
                <c:pt idx="55">
                  <c:v>66.629588385661947</c:v>
                </c:pt>
                <c:pt idx="56">
                  <c:v>66.492818433847134</c:v>
                </c:pt>
                <c:pt idx="57">
                  <c:v>66.352409167553986</c:v>
                </c:pt>
                <c:pt idx="58">
                  <c:v>66.208266006896338</c:v>
                </c:pt>
                <c:pt idx="59">
                  <c:v>66.060288415637814</c:v>
                </c:pt>
                <c:pt idx="60">
                  <c:v>65.908369392008112</c:v>
                </c:pt>
                <c:pt idx="61">
                  <c:v>65.752394900701361</c:v>
                </c:pt>
                <c:pt idx="62">
                  <c:v>65.592243237541396</c:v>
                </c:pt>
                <c:pt idx="63">
                  <c:v>65.427784316797414</c:v>
                </c:pt>
                <c:pt idx="64">
                  <c:v>65.258878869318551</c:v>
                </c:pt>
                <c:pt idx="65">
                  <c:v>65.0853775374501</c:v>
                </c:pt>
                <c:pt idx="66">
                  <c:v>64.907119849998622</c:v>
                </c:pt>
                <c:pt idx="67">
                  <c:v>64.723933057202942</c:v>
                </c:pt>
                <c:pt idx="68">
                  <c:v>64.535630801575664</c:v>
                </c:pt>
                <c:pt idx="69">
                  <c:v>64.342011595393046</c:v>
                </c:pt>
                <c:pt idx="70">
                  <c:v>64.142857069242183</c:v>
                </c:pt>
                <c:pt idx="71">
                  <c:v>63.937929948008403</c:v>
                </c:pt>
                <c:pt idx="72">
                  <c:v>63.726971700492328</c:v>
                </c:pt>
                <c:pt idx="73">
                  <c:v>63.509699795798433</c:v>
                </c:pt>
                <c:pt idx="74">
                  <c:v>63.285804482793907</c:v>
                </c:pt>
                <c:pt idx="75">
                  <c:v>63.054944986992808</c:v>
                </c:pt>
                <c:pt idx="76">
                  <c:v>62.816744990353129</c:v>
                </c:pt>
                <c:pt idx="77">
                  <c:v>62.570787221094264</c:v>
                </c:pt>
                <c:pt idx="78">
                  <c:v>62.316606929031352</c:v>
                </c:pt>
                <c:pt idx="79">
                  <c:v>62.053683951657717</c:v>
                </c:pt>
                <c:pt idx="80">
                  <c:v>61.781432979251292</c:v>
                </c:pt>
                <c:pt idx="81">
                  <c:v>61.499191491521501</c:v>
                </c:pt>
                <c:pt idx="82">
                  <c:v>61.206204645138442</c:v>
                </c:pt>
                <c:pt idx="83">
                  <c:v>60.901606111702804</c:v>
                </c:pt>
                <c:pt idx="84">
                  <c:v>60.584393452468625</c:v>
                </c:pt>
                <c:pt idx="85">
                  <c:v>60.253395992282606</c:v>
                </c:pt>
                <c:pt idx="86">
                  <c:v>59.907232190092486</c:v>
                </c:pt>
                <c:pt idx="87">
                  <c:v>59.54425196849936</c:v>
                </c:pt>
                <c:pt idx="88">
                  <c:v>59.16245694581724</c:v>
                </c:pt>
                <c:pt idx="89">
                  <c:v>58.759387227749244</c:v>
                </c:pt>
                <c:pt idx="90">
                  <c:v>58.331955809010879</c:v>
                </c:pt>
                <c:pt idx="91">
                  <c:v>57.876197450350958</c:v>
                </c:pt>
                <c:pt idx="92">
                  <c:v>57.386870827791114</c:v>
                </c:pt>
                <c:pt idx="93">
                  <c:v>56.856793029688092</c:v>
                </c:pt>
                <c:pt idx="94">
                  <c:v>56.275646289701037</c:v>
                </c:pt>
                <c:pt idx="95">
                  <c:v>55.627631627145568</c:v>
                </c:pt>
                <c:pt idx="96">
                  <c:v>54.886216817151194</c:v>
                </c:pt>
                <c:pt idx="97">
                  <c:v>53.999795933985219</c:v>
                </c:pt>
                <c:pt idx="98">
                  <c:v>52.835488656085516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04-4664-BD73-9C519E714293}"/>
            </c:ext>
          </c:extLst>
        </c:ser>
        <c:ser>
          <c:idx val="1"/>
          <c:order val="1"/>
          <c:tx>
            <c:strRef>
              <c:f>ElipseTabla!$E$13</c:f>
              <c:strCache>
                <c:ptCount val="1"/>
                <c:pt idx="0">
                  <c:v>YC2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ElipseTabla!$C$14:$C$113</c:f>
              <c:numCache>
                <c:formatCode>General</c:formatCode>
                <c:ptCount val="100"/>
                <c:pt idx="0">
                  <c:v>100</c:v>
                </c:pt>
                <c:pt idx="1">
                  <c:v>100.60606060606061</c:v>
                </c:pt>
                <c:pt idx="2">
                  <c:v>101.21212121212122</c:v>
                </c:pt>
                <c:pt idx="3">
                  <c:v>101.81818181818183</c:v>
                </c:pt>
                <c:pt idx="4">
                  <c:v>102.42424242424244</c:v>
                </c:pt>
                <c:pt idx="5">
                  <c:v>103.03030303030305</c:v>
                </c:pt>
                <c:pt idx="6">
                  <c:v>103.63636363636365</c:v>
                </c:pt>
                <c:pt idx="7">
                  <c:v>104.24242424242426</c:v>
                </c:pt>
                <c:pt idx="8">
                  <c:v>104.84848484848487</c:v>
                </c:pt>
                <c:pt idx="9">
                  <c:v>105.45454545454548</c:v>
                </c:pt>
                <c:pt idx="10">
                  <c:v>106.06060606060609</c:v>
                </c:pt>
                <c:pt idx="11">
                  <c:v>106.6666666666667</c:v>
                </c:pt>
                <c:pt idx="12">
                  <c:v>107.27272727272731</c:v>
                </c:pt>
                <c:pt idx="13">
                  <c:v>107.87878787878792</c:v>
                </c:pt>
                <c:pt idx="14">
                  <c:v>108.48484848484853</c:v>
                </c:pt>
                <c:pt idx="15">
                  <c:v>109.09090909090914</c:v>
                </c:pt>
                <c:pt idx="16">
                  <c:v>109.69696969696975</c:v>
                </c:pt>
                <c:pt idx="17">
                  <c:v>110.30303030303035</c:v>
                </c:pt>
                <c:pt idx="18">
                  <c:v>110.90909090909096</c:v>
                </c:pt>
                <c:pt idx="19">
                  <c:v>111.51515151515157</c:v>
                </c:pt>
                <c:pt idx="20">
                  <c:v>112.12121212121218</c:v>
                </c:pt>
                <c:pt idx="21">
                  <c:v>112.72727272727279</c:v>
                </c:pt>
                <c:pt idx="22">
                  <c:v>113.3333333333334</c:v>
                </c:pt>
                <c:pt idx="23">
                  <c:v>113.93939393939401</c:v>
                </c:pt>
                <c:pt idx="24">
                  <c:v>114.54545454545462</c:v>
                </c:pt>
                <c:pt idx="25">
                  <c:v>115.15151515151523</c:v>
                </c:pt>
                <c:pt idx="26">
                  <c:v>115.75757575757584</c:v>
                </c:pt>
                <c:pt idx="27">
                  <c:v>116.36363636363645</c:v>
                </c:pt>
                <c:pt idx="28">
                  <c:v>116.96969696969705</c:v>
                </c:pt>
                <c:pt idx="29">
                  <c:v>117.57575757575766</c:v>
                </c:pt>
                <c:pt idx="30">
                  <c:v>118.18181818181827</c:v>
                </c:pt>
                <c:pt idx="31">
                  <c:v>118.78787878787888</c:v>
                </c:pt>
                <c:pt idx="32">
                  <c:v>119.39393939393949</c:v>
                </c:pt>
                <c:pt idx="33">
                  <c:v>120.0000000000001</c:v>
                </c:pt>
                <c:pt idx="34">
                  <c:v>120.60606060606071</c:v>
                </c:pt>
                <c:pt idx="35">
                  <c:v>121.21212121212132</c:v>
                </c:pt>
                <c:pt idx="36">
                  <c:v>121.81818181818193</c:v>
                </c:pt>
                <c:pt idx="37">
                  <c:v>122.42424242424254</c:v>
                </c:pt>
                <c:pt idx="38">
                  <c:v>123.03030303030314</c:v>
                </c:pt>
                <c:pt idx="39">
                  <c:v>123.63636363636375</c:v>
                </c:pt>
                <c:pt idx="40">
                  <c:v>124.24242424242436</c:v>
                </c:pt>
                <c:pt idx="41">
                  <c:v>124.84848484848497</c:v>
                </c:pt>
                <c:pt idx="42">
                  <c:v>125.45454545454558</c:v>
                </c:pt>
                <c:pt idx="43">
                  <c:v>126.06060606060619</c:v>
                </c:pt>
                <c:pt idx="44">
                  <c:v>126.6666666666668</c:v>
                </c:pt>
                <c:pt idx="45">
                  <c:v>127.27272727272741</c:v>
                </c:pt>
                <c:pt idx="46">
                  <c:v>127.87878787878802</c:v>
                </c:pt>
                <c:pt idx="47">
                  <c:v>128.48484848484861</c:v>
                </c:pt>
                <c:pt idx="48">
                  <c:v>129.09090909090921</c:v>
                </c:pt>
                <c:pt idx="49">
                  <c:v>129.6969696969698</c:v>
                </c:pt>
                <c:pt idx="50">
                  <c:v>130.3030303030304</c:v>
                </c:pt>
                <c:pt idx="51">
                  <c:v>130.90909090909099</c:v>
                </c:pt>
                <c:pt idx="52">
                  <c:v>131.51515151515159</c:v>
                </c:pt>
                <c:pt idx="53">
                  <c:v>132.12121212121218</c:v>
                </c:pt>
                <c:pt idx="54">
                  <c:v>132.72727272727278</c:v>
                </c:pt>
                <c:pt idx="55">
                  <c:v>133.33333333333337</c:v>
                </c:pt>
                <c:pt idx="56">
                  <c:v>133.93939393939397</c:v>
                </c:pt>
                <c:pt idx="57">
                  <c:v>134.54545454545456</c:v>
                </c:pt>
                <c:pt idx="58">
                  <c:v>135.15151515151516</c:v>
                </c:pt>
                <c:pt idx="59">
                  <c:v>135.75757575757575</c:v>
                </c:pt>
                <c:pt idx="60">
                  <c:v>136.36363636363635</c:v>
                </c:pt>
                <c:pt idx="61">
                  <c:v>136.96969696969694</c:v>
                </c:pt>
                <c:pt idx="62">
                  <c:v>137.57575757575754</c:v>
                </c:pt>
                <c:pt idx="63">
                  <c:v>138.18181818181813</c:v>
                </c:pt>
                <c:pt idx="64">
                  <c:v>138.78787878787873</c:v>
                </c:pt>
                <c:pt idx="65">
                  <c:v>139.39393939393932</c:v>
                </c:pt>
                <c:pt idx="66">
                  <c:v>139.99999999999991</c:v>
                </c:pt>
                <c:pt idx="67">
                  <c:v>140.60606060606051</c:v>
                </c:pt>
                <c:pt idx="68">
                  <c:v>141.2121212121211</c:v>
                </c:pt>
                <c:pt idx="69">
                  <c:v>141.8181818181817</c:v>
                </c:pt>
                <c:pt idx="70">
                  <c:v>142.42424242424229</c:v>
                </c:pt>
                <c:pt idx="71">
                  <c:v>143.03030303030289</c:v>
                </c:pt>
                <c:pt idx="72">
                  <c:v>143.63636363636348</c:v>
                </c:pt>
                <c:pt idx="73">
                  <c:v>144.24242424242408</c:v>
                </c:pt>
                <c:pt idx="74">
                  <c:v>144.84848484848467</c:v>
                </c:pt>
                <c:pt idx="75">
                  <c:v>145.45454545454527</c:v>
                </c:pt>
                <c:pt idx="76">
                  <c:v>146.06060606060586</c:v>
                </c:pt>
                <c:pt idx="77">
                  <c:v>146.66666666666646</c:v>
                </c:pt>
                <c:pt idx="78">
                  <c:v>147.27272727272705</c:v>
                </c:pt>
                <c:pt idx="79">
                  <c:v>147.87878787878765</c:v>
                </c:pt>
                <c:pt idx="80">
                  <c:v>148.48484848484824</c:v>
                </c:pt>
                <c:pt idx="81">
                  <c:v>149.09090909090884</c:v>
                </c:pt>
                <c:pt idx="82">
                  <c:v>149.69696969696943</c:v>
                </c:pt>
                <c:pt idx="83">
                  <c:v>150.30303030303003</c:v>
                </c:pt>
                <c:pt idx="84">
                  <c:v>150.90909090909062</c:v>
                </c:pt>
                <c:pt idx="85">
                  <c:v>151.51515151515122</c:v>
                </c:pt>
                <c:pt idx="86">
                  <c:v>152.12121212121181</c:v>
                </c:pt>
                <c:pt idx="87">
                  <c:v>152.72727272727241</c:v>
                </c:pt>
                <c:pt idx="88">
                  <c:v>153.333333333333</c:v>
                </c:pt>
                <c:pt idx="89">
                  <c:v>153.9393939393936</c:v>
                </c:pt>
                <c:pt idx="90">
                  <c:v>154.54545454545419</c:v>
                </c:pt>
                <c:pt idx="91">
                  <c:v>155.15151515151479</c:v>
                </c:pt>
                <c:pt idx="92">
                  <c:v>155.75757575757538</c:v>
                </c:pt>
                <c:pt idx="93">
                  <c:v>156.36363636363598</c:v>
                </c:pt>
                <c:pt idx="94">
                  <c:v>156.96969696969657</c:v>
                </c:pt>
                <c:pt idx="95">
                  <c:v>157.57575757575717</c:v>
                </c:pt>
                <c:pt idx="96">
                  <c:v>158.18181818181776</c:v>
                </c:pt>
                <c:pt idx="97">
                  <c:v>158.78787878787836</c:v>
                </c:pt>
                <c:pt idx="98">
                  <c:v>159.39393939393895</c:v>
                </c:pt>
                <c:pt idx="99">
                  <c:v>160</c:v>
                </c:pt>
              </c:numCache>
            </c:numRef>
          </c:xVal>
          <c:yVal>
            <c:numRef>
              <c:f>ElipseTabla!$E$14:$E$113</c:f>
              <c:numCache>
                <c:formatCode>General</c:formatCode>
                <c:ptCount val="100"/>
                <c:pt idx="0">
                  <c:v>30</c:v>
                </c:pt>
                <c:pt idx="1">
                  <c:v>30.001020330077438</c:v>
                </c:pt>
                <c:pt idx="2">
                  <c:v>30.004081632695573</c:v>
                </c:pt>
                <c:pt idx="3">
                  <c:v>30.009184845490125</c:v>
                </c:pt>
                <c:pt idx="4">
                  <c:v>30.016331532783795</c:v>
                </c:pt>
                <c:pt idx="5">
                  <c:v>30.025523887986623</c:v>
                </c:pt>
                <c:pt idx="6">
                  <c:v>30.036764736968962</c:v>
                </c:pt>
                <c:pt idx="7">
                  <c:v>30.050057542418571</c:v>
                </c:pt>
                <c:pt idx="8">
                  <c:v>30.065406409197962</c:v>
                </c:pt>
                <c:pt idx="9">
                  <c:v>30.082816090721238</c:v>
                </c:pt>
                <c:pt idx="10">
                  <c:v>30.102291996373765</c:v>
                </c:pt>
                <c:pt idx="11">
                  <c:v>30.123840200001865</c:v>
                </c:pt>
                <c:pt idx="12">
                  <c:v>30.147467449504006</c:v>
                </c:pt>
                <c:pt idx="13">
                  <c:v>30.173181177559115</c:v>
                </c:pt>
                <c:pt idx="14">
                  <c:v>30.200989513532747</c:v>
                </c:pt>
                <c:pt idx="15">
                  <c:v>30.23090129660595</c:v>
                </c:pt>
                <c:pt idx="16">
                  <c:v>30.262926090177814</c:v>
                </c:pt>
                <c:pt idx="17">
                  <c:v>30.297074197597397</c:v>
                </c:pt>
                <c:pt idx="18">
                  <c:v>30.333356679287334</c:v>
                </c:pt>
                <c:pt idx="19">
                  <c:v>30.371785371327491</c:v>
                </c:pt>
                <c:pt idx="20">
                  <c:v>30.412372905574131</c:v>
                </c:pt>
                <c:pt idx="21">
                  <c:v>30.455132731397455</c:v>
                </c:pt>
                <c:pt idx="22">
                  <c:v>30.500079139128616</c:v>
                </c:pt>
                <c:pt idx="23">
                  <c:v>30.547227285316012</c:v>
                </c:pt>
                <c:pt idx="24">
                  <c:v>30.59659321990047</c:v>
                </c:pt>
                <c:pt idx="25">
                  <c:v>30.648193915429431</c:v>
                </c:pt>
                <c:pt idx="26">
                  <c:v>30.702047298441627</c:v>
                </c:pt>
                <c:pt idx="27">
                  <c:v>30.75817228316663</c:v>
                </c:pt>
                <c:pt idx="28">
                  <c:v>30.816588807697372</c:v>
                </c:pt>
                <c:pt idx="29">
                  <c:v>30.877317872809328</c:v>
                </c:pt>
                <c:pt idx="30">
                  <c:v>30.940381583616514</c:v>
                </c:pt>
                <c:pt idx="31">
                  <c:v>31.005803194273696</c:v>
                </c:pt>
                <c:pt idx="32">
                  <c:v>31.073607155954591</c:v>
                </c:pt>
                <c:pt idx="33">
                  <c:v>31.143819168358746</c:v>
                </c:pt>
                <c:pt idx="34">
                  <c:v>31.216466235025734</c:v>
                </c:pt>
                <c:pt idx="35">
                  <c:v>31.291576722763281</c:v>
                </c:pt>
                <c:pt idx="36">
                  <c:v>31.369180425528015</c:v>
                </c:pt>
                <c:pt idx="37">
                  <c:v>31.449308633132944</c:v>
                </c:pt>
                <c:pt idx="38">
                  <c:v>31.531994205195446</c:v>
                </c:pt>
                <c:pt idx="39">
                  <c:v>31.617271650784133</c:v>
                </c:pt>
                <c:pt idx="40">
                  <c:v>31.705177214273263</c:v>
                </c:pt>
                <c:pt idx="41">
                  <c:v>31.795748967969615</c:v>
                </c:pt>
                <c:pt idx="42">
                  <c:v>31.889026912140707</c:v>
                </c:pt>
                <c:pt idx="43">
                  <c:v>31.985053083145104</c:v>
                </c:pt>
                <c:pt idx="44">
                  <c:v>32.083871670447692</c:v>
                </c:pt>
                <c:pt idx="45">
                  <c:v>32.185529143395087</c:v>
                </c:pt>
                <c:pt idx="46">
                  <c:v>32.290074388732862</c:v>
                </c:pt>
                <c:pt idx="47">
                  <c:v>32.397558859966111</c:v>
                </c:pt>
                <c:pt idx="48">
                  <c:v>32.508036739803885</c:v>
                </c:pt>
                <c:pt idx="49">
                  <c:v>32.621565117085623</c:v>
                </c:pt>
                <c:pt idx="50">
                  <c:v>32.738204179770548</c:v>
                </c:pt>
                <c:pt idx="51">
                  <c:v>32.858017425780673</c:v>
                </c:pt>
                <c:pt idx="52">
                  <c:v>32.981071893731453</c:v>
                </c:pt>
                <c:pt idx="53">
                  <c:v>33.107438415865175</c:v>
                </c:pt>
                <c:pt idx="54">
                  <c:v>33.237191895831131</c:v>
                </c:pt>
                <c:pt idx="55">
                  <c:v>33.370411614338053</c:v>
                </c:pt>
                <c:pt idx="56">
                  <c:v>33.507181566152866</c:v>
                </c:pt>
                <c:pt idx="57">
                  <c:v>33.647590832446014</c:v>
                </c:pt>
                <c:pt idx="58">
                  <c:v>33.791733993103662</c:v>
                </c:pt>
                <c:pt idx="59">
                  <c:v>33.939711584362186</c:v>
                </c:pt>
                <c:pt idx="60">
                  <c:v>34.091630607991888</c:v>
                </c:pt>
                <c:pt idx="61">
                  <c:v>34.247605099298639</c:v>
                </c:pt>
                <c:pt idx="62">
                  <c:v>34.407756762458604</c:v>
                </c:pt>
                <c:pt idx="63">
                  <c:v>34.572215683202586</c:v>
                </c:pt>
                <c:pt idx="64">
                  <c:v>34.741121130681449</c:v>
                </c:pt>
                <c:pt idx="65">
                  <c:v>34.9146224625499</c:v>
                </c:pt>
                <c:pt idx="66">
                  <c:v>35.092880150001378</c:v>
                </c:pt>
                <c:pt idx="67">
                  <c:v>35.276066942797058</c:v>
                </c:pt>
                <c:pt idx="68">
                  <c:v>35.464369198424336</c:v>
                </c:pt>
                <c:pt idx="69">
                  <c:v>35.657988404606954</c:v>
                </c:pt>
                <c:pt idx="70">
                  <c:v>35.857142930757817</c:v>
                </c:pt>
                <c:pt idx="71">
                  <c:v>36.062070051991597</c:v>
                </c:pt>
                <c:pt idx="72">
                  <c:v>36.273028299507672</c:v>
                </c:pt>
                <c:pt idx="73">
                  <c:v>36.490300204201567</c:v>
                </c:pt>
                <c:pt idx="74">
                  <c:v>36.714195517206093</c:v>
                </c:pt>
                <c:pt idx="75">
                  <c:v>36.945055013007192</c:v>
                </c:pt>
                <c:pt idx="76">
                  <c:v>37.183255009646871</c:v>
                </c:pt>
                <c:pt idx="77">
                  <c:v>37.429212778905736</c:v>
                </c:pt>
                <c:pt idx="78">
                  <c:v>37.683393070968648</c:v>
                </c:pt>
                <c:pt idx="79">
                  <c:v>37.946316048342283</c:v>
                </c:pt>
                <c:pt idx="80">
                  <c:v>38.218567020748708</c:v>
                </c:pt>
                <c:pt idx="81">
                  <c:v>38.500808508478499</c:v>
                </c:pt>
                <c:pt idx="82">
                  <c:v>38.793795354861558</c:v>
                </c:pt>
                <c:pt idx="83">
                  <c:v>39.098393888297196</c:v>
                </c:pt>
                <c:pt idx="84">
                  <c:v>39.415606547531375</c:v>
                </c:pt>
                <c:pt idx="85">
                  <c:v>39.746604007717394</c:v>
                </c:pt>
                <c:pt idx="86">
                  <c:v>40.092767809907514</c:v>
                </c:pt>
                <c:pt idx="87">
                  <c:v>40.45574803150064</c:v>
                </c:pt>
                <c:pt idx="88">
                  <c:v>40.83754305418276</c:v>
                </c:pt>
                <c:pt idx="89">
                  <c:v>41.240612772250756</c:v>
                </c:pt>
                <c:pt idx="90">
                  <c:v>41.668044190989121</c:v>
                </c:pt>
                <c:pt idx="91">
                  <c:v>42.123802549649042</c:v>
                </c:pt>
                <c:pt idx="92">
                  <c:v>42.613129172208886</c:v>
                </c:pt>
                <c:pt idx="93">
                  <c:v>43.143206970311908</c:v>
                </c:pt>
                <c:pt idx="94">
                  <c:v>43.724353710298963</c:v>
                </c:pt>
                <c:pt idx="95">
                  <c:v>44.372368372854432</c:v>
                </c:pt>
                <c:pt idx="96">
                  <c:v>45.113783182848806</c:v>
                </c:pt>
                <c:pt idx="97">
                  <c:v>46.000204066014781</c:v>
                </c:pt>
                <c:pt idx="98">
                  <c:v>47.164511343914484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A004-4664-BD73-9C519E714293}"/>
            </c:ext>
          </c:extLst>
        </c:ser>
        <c:ser>
          <c:idx val="2"/>
          <c:order val="2"/>
          <c:tx>
            <c:strRef>
              <c:f>ElipseTabla!$G$13</c:f>
              <c:strCache>
                <c:ptCount val="1"/>
                <c:pt idx="0">
                  <c:v>YC3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ElipseTabla!$F$14:$F$113</c:f>
              <c:numCache>
                <c:formatCode>General</c:formatCode>
                <c:ptCount val="100"/>
                <c:pt idx="0">
                  <c:v>100</c:v>
                </c:pt>
                <c:pt idx="1">
                  <c:v>99.393939393939391</c:v>
                </c:pt>
                <c:pt idx="2">
                  <c:v>98.787878787878782</c:v>
                </c:pt>
                <c:pt idx="3">
                  <c:v>98.181818181818173</c:v>
                </c:pt>
                <c:pt idx="4">
                  <c:v>97.575757575757564</c:v>
                </c:pt>
                <c:pt idx="5">
                  <c:v>96.969696969696955</c:v>
                </c:pt>
                <c:pt idx="6">
                  <c:v>96.363636363636346</c:v>
                </c:pt>
                <c:pt idx="7">
                  <c:v>95.757575757575736</c:v>
                </c:pt>
                <c:pt idx="8">
                  <c:v>95.151515151515127</c:v>
                </c:pt>
                <c:pt idx="9">
                  <c:v>94.545454545454518</c:v>
                </c:pt>
                <c:pt idx="10">
                  <c:v>93.939393939393909</c:v>
                </c:pt>
                <c:pt idx="11">
                  <c:v>93.3333333333333</c:v>
                </c:pt>
                <c:pt idx="12">
                  <c:v>92.727272727272691</c:v>
                </c:pt>
                <c:pt idx="13">
                  <c:v>92.121212121212082</c:v>
                </c:pt>
                <c:pt idx="14">
                  <c:v>91.515151515151473</c:v>
                </c:pt>
                <c:pt idx="15">
                  <c:v>90.909090909090864</c:v>
                </c:pt>
                <c:pt idx="16">
                  <c:v>90.303030303030255</c:v>
                </c:pt>
                <c:pt idx="17">
                  <c:v>89.696969696969646</c:v>
                </c:pt>
                <c:pt idx="18">
                  <c:v>89.090909090909037</c:v>
                </c:pt>
                <c:pt idx="19">
                  <c:v>88.484848484848428</c:v>
                </c:pt>
                <c:pt idx="20">
                  <c:v>87.878787878787818</c:v>
                </c:pt>
                <c:pt idx="21">
                  <c:v>87.272727272727209</c:v>
                </c:pt>
                <c:pt idx="22">
                  <c:v>86.6666666666666</c:v>
                </c:pt>
                <c:pt idx="23">
                  <c:v>86.060606060605991</c:v>
                </c:pt>
                <c:pt idx="24">
                  <c:v>85.454545454545382</c:v>
                </c:pt>
                <c:pt idx="25">
                  <c:v>84.848484848484773</c:v>
                </c:pt>
                <c:pt idx="26">
                  <c:v>84.242424242424164</c:v>
                </c:pt>
                <c:pt idx="27">
                  <c:v>83.636363636363555</c:v>
                </c:pt>
                <c:pt idx="28">
                  <c:v>83.030303030302946</c:v>
                </c:pt>
                <c:pt idx="29">
                  <c:v>82.424242424242337</c:v>
                </c:pt>
                <c:pt idx="30">
                  <c:v>81.818181818181728</c:v>
                </c:pt>
                <c:pt idx="31">
                  <c:v>81.212121212121119</c:v>
                </c:pt>
                <c:pt idx="32">
                  <c:v>80.60606060606051</c:v>
                </c:pt>
                <c:pt idx="33">
                  <c:v>79.999999999999901</c:v>
                </c:pt>
                <c:pt idx="34">
                  <c:v>79.393939393939291</c:v>
                </c:pt>
                <c:pt idx="35">
                  <c:v>78.787878787878682</c:v>
                </c:pt>
                <c:pt idx="36">
                  <c:v>78.181818181818073</c:v>
                </c:pt>
                <c:pt idx="37">
                  <c:v>77.575757575757464</c:v>
                </c:pt>
                <c:pt idx="38">
                  <c:v>76.969696969696855</c:v>
                </c:pt>
                <c:pt idx="39">
                  <c:v>76.363636363636246</c:v>
                </c:pt>
                <c:pt idx="40">
                  <c:v>75.757575757575637</c:v>
                </c:pt>
                <c:pt idx="41">
                  <c:v>75.151515151515028</c:v>
                </c:pt>
                <c:pt idx="42">
                  <c:v>74.545454545454419</c:v>
                </c:pt>
                <c:pt idx="43">
                  <c:v>73.93939393939381</c:v>
                </c:pt>
                <c:pt idx="44">
                  <c:v>73.333333333333201</c:v>
                </c:pt>
                <c:pt idx="45">
                  <c:v>72.727272727272592</c:v>
                </c:pt>
                <c:pt idx="46">
                  <c:v>72.121212121211983</c:v>
                </c:pt>
                <c:pt idx="47">
                  <c:v>71.515151515151388</c:v>
                </c:pt>
                <c:pt idx="48">
                  <c:v>70.909090909090793</c:v>
                </c:pt>
                <c:pt idx="49">
                  <c:v>70.303030303030198</c:v>
                </c:pt>
                <c:pt idx="50">
                  <c:v>69.696969696969603</c:v>
                </c:pt>
                <c:pt idx="51">
                  <c:v>69.090909090909008</c:v>
                </c:pt>
                <c:pt idx="52">
                  <c:v>68.484848484848413</c:v>
                </c:pt>
                <c:pt idx="53">
                  <c:v>67.878787878787818</c:v>
                </c:pt>
                <c:pt idx="54">
                  <c:v>67.272727272727224</c:v>
                </c:pt>
                <c:pt idx="55">
                  <c:v>66.666666666666629</c:v>
                </c:pt>
                <c:pt idx="56">
                  <c:v>66.060606060606034</c:v>
                </c:pt>
                <c:pt idx="57">
                  <c:v>65.454545454545439</c:v>
                </c:pt>
                <c:pt idx="58">
                  <c:v>64.848484848484844</c:v>
                </c:pt>
                <c:pt idx="59">
                  <c:v>64.242424242424249</c:v>
                </c:pt>
                <c:pt idx="60">
                  <c:v>63.636363636363654</c:v>
                </c:pt>
                <c:pt idx="61">
                  <c:v>63.03030303030306</c:v>
                </c:pt>
                <c:pt idx="62">
                  <c:v>62.424242424242465</c:v>
                </c:pt>
                <c:pt idx="63">
                  <c:v>61.81818181818187</c:v>
                </c:pt>
                <c:pt idx="64">
                  <c:v>61.212121212121275</c:v>
                </c:pt>
                <c:pt idx="65">
                  <c:v>60.60606060606068</c:v>
                </c:pt>
                <c:pt idx="66">
                  <c:v>60.000000000000085</c:v>
                </c:pt>
                <c:pt idx="67">
                  <c:v>59.39393939393949</c:v>
                </c:pt>
                <c:pt idx="68">
                  <c:v>58.787878787878896</c:v>
                </c:pt>
                <c:pt idx="69">
                  <c:v>58.181818181818301</c:v>
                </c:pt>
                <c:pt idx="70">
                  <c:v>57.575757575757706</c:v>
                </c:pt>
                <c:pt idx="71">
                  <c:v>56.969696969697111</c:v>
                </c:pt>
                <c:pt idx="72">
                  <c:v>56.363636363636516</c:v>
                </c:pt>
                <c:pt idx="73">
                  <c:v>55.757575757575921</c:v>
                </c:pt>
                <c:pt idx="74">
                  <c:v>55.151515151515326</c:v>
                </c:pt>
                <c:pt idx="75">
                  <c:v>54.545454545454731</c:v>
                </c:pt>
                <c:pt idx="76">
                  <c:v>53.939393939394137</c:v>
                </c:pt>
                <c:pt idx="77">
                  <c:v>53.333333333333542</c:v>
                </c:pt>
                <c:pt idx="78">
                  <c:v>52.727272727272947</c:v>
                </c:pt>
                <c:pt idx="79">
                  <c:v>52.121212121212352</c:v>
                </c:pt>
                <c:pt idx="80">
                  <c:v>51.515151515151757</c:v>
                </c:pt>
                <c:pt idx="81">
                  <c:v>50.909090909091162</c:v>
                </c:pt>
                <c:pt idx="82">
                  <c:v>50.303030303030567</c:v>
                </c:pt>
                <c:pt idx="83">
                  <c:v>49.696969696969973</c:v>
                </c:pt>
                <c:pt idx="84">
                  <c:v>49.090909090909378</c:v>
                </c:pt>
                <c:pt idx="85">
                  <c:v>48.484848484848783</c:v>
                </c:pt>
                <c:pt idx="86">
                  <c:v>47.878787878788188</c:v>
                </c:pt>
                <c:pt idx="87">
                  <c:v>47.272727272727593</c:v>
                </c:pt>
                <c:pt idx="88">
                  <c:v>46.666666666666998</c:v>
                </c:pt>
                <c:pt idx="89">
                  <c:v>46.060606060606403</c:v>
                </c:pt>
                <c:pt idx="90">
                  <c:v>45.454545454545809</c:v>
                </c:pt>
                <c:pt idx="91">
                  <c:v>44.848484848485214</c:v>
                </c:pt>
                <c:pt idx="92">
                  <c:v>44.242424242424619</c:v>
                </c:pt>
                <c:pt idx="93">
                  <c:v>43.636363636364024</c:v>
                </c:pt>
                <c:pt idx="94">
                  <c:v>43.030303030303429</c:v>
                </c:pt>
                <c:pt idx="95">
                  <c:v>42.424242424242834</c:v>
                </c:pt>
                <c:pt idx="96">
                  <c:v>41.818181818182239</c:v>
                </c:pt>
                <c:pt idx="97">
                  <c:v>41.212121212121644</c:v>
                </c:pt>
                <c:pt idx="98">
                  <c:v>40.60606060606105</c:v>
                </c:pt>
                <c:pt idx="99">
                  <c:v>40</c:v>
                </c:pt>
              </c:numCache>
            </c:numRef>
          </c:xVal>
          <c:yVal>
            <c:numRef>
              <c:f>ElipseTabla!$G$14:$G$113</c:f>
              <c:numCache>
                <c:formatCode>General</c:formatCode>
                <c:ptCount val="100"/>
                <c:pt idx="0">
                  <c:v>70</c:v>
                </c:pt>
                <c:pt idx="1">
                  <c:v>69.998979669922562</c:v>
                </c:pt>
                <c:pt idx="2">
                  <c:v>69.995918367304427</c:v>
                </c:pt>
                <c:pt idx="3">
                  <c:v>69.990815154509875</c:v>
                </c:pt>
                <c:pt idx="4">
                  <c:v>69.983668467216205</c:v>
                </c:pt>
                <c:pt idx="5">
                  <c:v>69.974476112013377</c:v>
                </c:pt>
                <c:pt idx="6">
                  <c:v>69.963235263031038</c:v>
                </c:pt>
                <c:pt idx="7">
                  <c:v>69.949942457581429</c:v>
                </c:pt>
                <c:pt idx="8">
                  <c:v>69.934593590802038</c:v>
                </c:pt>
                <c:pt idx="9">
                  <c:v>69.917183909278762</c:v>
                </c:pt>
                <c:pt idx="10">
                  <c:v>69.897708003626235</c:v>
                </c:pt>
                <c:pt idx="11">
                  <c:v>69.876159799998135</c:v>
                </c:pt>
                <c:pt idx="12">
                  <c:v>69.852532550495994</c:v>
                </c:pt>
                <c:pt idx="13">
                  <c:v>69.826818822440885</c:v>
                </c:pt>
                <c:pt idx="14">
                  <c:v>69.799010486467253</c:v>
                </c:pt>
                <c:pt idx="15">
                  <c:v>69.76909870339405</c:v>
                </c:pt>
                <c:pt idx="16">
                  <c:v>69.737073909822186</c:v>
                </c:pt>
                <c:pt idx="17">
                  <c:v>69.702925802402603</c:v>
                </c:pt>
                <c:pt idx="18">
                  <c:v>69.666643320712666</c:v>
                </c:pt>
                <c:pt idx="19">
                  <c:v>69.628214628672509</c:v>
                </c:pt>
                <c:pt idx="20">
                  <c:v>69.587627094425869</c:v>
                </c:pt>
                <c:pt idx="21">
                  <c:v>69.544867268602545</c:v>
                </c:pt>
                <c:pt idx="22">
                  <c:v>69.499920860871384</c:v>
                </c:pt>
                <c:pt idx="23">
                  <c:v>69.452772714683988</c:v>
                </c:pt>
                <c:pt idx="24">
                  <c:v>69.40340678009953</c:v>
                </c:pt>
                <c:pt idx="25">
                  <c:v>69.351806084570569</c:v>
                </c:pt>
                <c:pt idx="26">
                  <c:v>69.297952701558373</c:v>
                </c:pt>
                <c:pt idx="27">
                  <c:v>69.24182771683337</c:v>
                </c:pt>
                <c:pt idx="28">
                  <c:v>69.183411192302628</c:v>
                </c:pt>
                <c:pt idx="29">
                  <c:v>69.122682127190672</c:v>
                </c:pt>
                <c:pt idx="30">
                  <c:v>69.059618416383486</c:v>
                </c:pt>
                <c:pt idx="31">
                  <c:v>68.994196805726304</c:v>
                </c:pt>
                <c:pt idx="32">
                  <c:v>68.926392844045409</c:v>
                </c:pt>
                <c:pt idx="33">
                  <c:v>68.856180831641254</c:v>
                </c:pt>
                <c:pt idx="34">
                  <c:v>68.783533764974266</c:v>
                </c:pt>
                <c:pt idx="35">
                  <c:v>68.708423277236719</c:v>
                </c:pt>
                <c:pt idx="36">
                  <c:v>68.630819574471985</c:v>
                </c:pt>
                <c:pt idx="37">
                  <c:v>68.550691366867056</c:v>
                </c:pt>
                <c:pt idx="38">
                  <c:v>68.468005794804554</c:v>
                </c:pt>
                <c:pt idx="39">
                  <c:v>68.382728349215867</c:v>
                </c:pt>
                <c:pt idx="40">
                  <c:v>68.294822785726737</c:v>
                </c:pt>
                <c:pt idx="41">
                  <c:v>68.204251032030385</c:v>
                </c:pt>
                <c:pt idx="42">
                  <c:v>68.110973087859293</c:v>
                </c:pt>
                <c:pt idx="43">
                  <c:v>68.014946916854896</c:v>
                </c:pt>
                <c:pt idx="44">
                  <c:v>67.916128329552308</c:v>
                </c:pt>
                <c:pt idx="45">
                  <c:v>67.814470856604913</c:v>
                </c:pt>
                <c:pt idx="46">
                  <c:v>67.709925611267138</c:v>
                </c:pt>
                <c:pt idx="47">
                  <c:v>67.602441140033889</c:v>
                </c:pt>
                <c:pt idx="48">
                  <c:v>67.491963260196115</c:v>
                </c:pt>
                <c:pt idx="49">
                  <c:v>67.378434882914377</c:v>
                </c:pt>
                <c:pt idx="50">
                  <c:v>67.261795820229452</c:v>
                </c:pt>
                <c:pt idx="51">
                  <c:v>67.141982574219327</c:v>
                </c:pt>
                <c:pt idx="52">
                  <c:v>67.018928106268547</c:v>
                </c:pt>
                <c:pt idx="53">
                  <c:v>66.892561584134825</c:v>
                </c:pt>
                <c:pt idx="54">
                  <c:v>66.762808104168869</c:v>
                </c:pt>
                <c:pt idx="55">
                  <c:v>66.629588385661947</c:v>
                </c:pt>
                <c:pt idx="56">
                  <c:v>66.492818433847134</c:v>
                </c:pt>
                <c:pt idx="57">
                  <c:v>66.352409167553986</c:v>
                </c:pt>
                <c:pt idx="58">
                  <c:v>66.208266006896338</c:v>
                </c:pt>
                <c:pt idx="59">
                  <c:v>66.060288415637814</c:v>
                </c:pt>
                <c:pt idx="60">
                  <c:v>65.908369392008112</c:v>
                </c:pt>
                <c:pt idx="61">
                  <c:v>65.752394900701361</c:v>
                </c:pt>
                <c:pt idx="62">
                  <c:v>65.592243237541396</c:v>
                </c:pt>
                <c:pt idx="63">
                  <c:v>65.427784316797414</c:v>
                </c:pt>
                <c:pt idx="64">
                  <c:v>65.258878869318551</c:v>
                </c:pt>
                <c:pt idx="65">
                  <c:v>65.0853775374501</c:v>
                </c:pt>
                <c:pt idx="66">
                  <c:v>64.907119849998622</c:v>
                </c:pt>
                <c:pt idx="67">
                  <c:v>64.723933057202942</c:v>
                </c:pt>
                <c:pt idx="68">
                  <c:v>64.535630801575664</c:v>
                </c:pt>
                <c:pt idx="69">
                  <c:v>64.342011595393046</c:v>
                </c:pt>
                <c:pt idx="70">
                  <c:v>64.142857069242183</c:v>
                </c:pt>
                <c:pt idx="71">
                  <c:v>63.937929948008403</c:v>
                </c:pt>
                <c:pt idx="72">
                  <c:v>63.726971700492328</c:v>
                </c:pt>
                <c:pt idx="73">
                  <c:v>63.509699795798433</c:v>
                </c:pt>
                <c:pt idx="74">
                  <c:v>63.285804482793907</c:v>
                </c:pt>
                <c:pt idx="75">
                  <c:v>63.054944986992808</c:v>
                </c:pt>
                <c:pt idx="76">
                  <c:v>62.816744990353129</c:v>
                </c:pt>
                <c:pt idx="77">
                  <c:v>62.570787221094264</c:v>
                </c:pt>
                <c:pt idx="78">
                  <c:v>62.316606929031352</c:v>
                </c:pt>
                <c:pt idx="79">
                  <c:v>62.053683951657717</c:v>
                </c:pt>
                <c:pt idx="80">
                  <c:v>61.781432979251292</c:v>
                </c:pt>
                <c:pt idx="81">
                  <c:v>61.499191491521501</c:v>
                </c:pt>
                <c:pt idx="82">
                  <c:v>61.206204645138442</c:v>
                </c:pt>
                <c:pt idx="83">
                  <c:v>60.901606111702804</c:v>
                </c:pt>
                <c:pt idx="84">
                  <c:v>60.584393452468625</c:v>
                </c:pt>
                <c:pt idx="85">
                  <c:v>60.253395992282606</c:v>
                </c:pt>
                <c:pt idx="86">
                  <c:v>59.907232190092486</c:v>
                </c:pt>
                <c:pt idx="87">
                  <c:v>59.54425196849936</c:v>
                </c:pt>
                <c:pt idx="88">
                  <c:v>59.16245694581724</c:v>
                </c:pt>
                <c:pt idx="89">
                  <c:v>58.759387227749244</c:v>
                </c:pt>
                <c:pt idx="90">
                  <c:v>58.331955809010879</c:v>
                </c:pt>
                <c:pt idx="91">
                  <c:v>57.876197450350958</c:v>
                </c:pt>
                <c:pt idx="92">
                  <c:v>57.386870827791114</c:v>
                </c:pt>
                <c:pt idx="93">
                  <c:v>56.856793029688092</c:v>
                </c:pt>
                <c:pt idx="94">
                  <c:v>56.275646289701037</c:v>
                </c:pt>
                <c:pt idx="95">
                  <c:v>55.627631627145568</c:v>
                </c:pt>
                <c:pt idx="96">
                  <c:v>54.886216817151194</c:v>
                </c:pt>
                <c:pt idx="97">
                  <c:v>53.999795933985219</c:v>
                </c:pt>
                <c:pt idx="98">
                  <c:v>52.835488656085516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A004-4664-BD73-9C519E714293}"/>
            </c:ext>
          </c:extLst>
        </c:ser>
        <c:ser>
          <c:idx val="3"/>
          <c:order val="3"/>
          <c:tx>
            <c:strRef>
              <c:f>ElipseTabla!$H$13</c:f>
              <c:strCache>
                <c:ptCount val="1"/>
                <c:pt idx="0">
                  <c:v>YC4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ElipseTabla!$F$14:$F$113</c:f>
              <c:numCache>
                <c:formatCode>General</c:formatCode>
                <c:ptCount val="100"/>
                <c:pt idx="0">
                  <c:v>100</c:v>
                </c:pt>
                <c:pt idx="1">
                  <c:v>99.393939393939391</c:v>
                </c:pt>
                <c:pt idx="2">
                  <c:v>98.787878787878782</c:v>
                </c:pt>
                <c:pt idx="3">
                  <c:v>98.181818181818173</c:v>
                </c:pt>
                <c:pt idx="4">
                  <c:v>97.575757575757564</c:v>
                </c:pt>
                <c:pt idx="5">
                  <c:v>96.969696969696955</c:v>
                </c:pt>
                <c:pt idx="6">
                  <c:v>96.363636363636346</c:v>
                </c:pt>
                <c:pt idx="7">
                  <c:v>95.757575757575736</c:v>
                </c:pt>
                <c:pt idx="8">
                  <c:v>95.151515151515127</c:v>
                </c:pt>
                <c:pt idx="9">
                  <c:v>94.545454545454518</c:v>
                </c:pt>
                <c:pt idx="10">
                  <c:v>93.939393939393909</c:v>
                </c:pt>
                <c:pt idx="11">
                  <c:v>93.3333333333333</c:v>
                </c:pt>
                <c:pt idx="12">
                  <c:v>92.727272727272691</c:v>
                </c:pt>
                <c:pt idx="13">
                  <c:v>92.121212121212082</c:v>
                </c:pt>
                <c:pt idx="14">
                  <c:v>91.515151515151473</c:v>
                </c:pt>
                <c:pt idx="15">
                  <c:v>90.909090909090864</c:v>
                </c:pt>
                <c:pt idx="16">
                  <c:v>90.303030303030255</c:v>
                </c:pt>
                <c:pt idx="17">
                  <c:v>89.696969696969646</c:v>
                </c:pt>
                <c:pt idx="18">
                  <c:v>89.090909090909037</c:v>
                </c:pt>
                <c:pt idx="19">
                  <c:v>88.484848484848428</c:v>
                </c:pt>
                <c:pt idx="20">
                  <c:v>87.878787878787818</c:v>
                </c:pt>
                <c:pt idx="21">
                  <c:v>87.272727272727209</c:v>
                </c:pt>
                <c:pt idx="22">
                  <c:v>86.6666666666666</c:v>
                </c:pt>
                <c:pt idx="23">
                  <c:v>86.060606060605991</c:v>
                </c:pt>
                <c:pt idx="24">
                  <c:v>85.454545454545382</c:v>
                </c:pt>
                <c:pt idx="25">
                  <c:v>84.848484848484773</c:v>
                </c:pt>
                <c:pt idx="26">
                  <c:v>84.242424242424164</c:v>
                </c:pt>
                <c:pt idx="27">
                  <c:v>83.636363636363555</c:v>
                </c:pt>
                <c:pt idx="28">
                  <c:v>83.030303030302946</c:v>
                </c:pt>
                <c:pt idx="29">
                  <c:v>82.424242424242337</c:v>
                </c:pt>
                <c:pt idx="30">
                  <c:v>81.818181818181728</c:v>
                </c:pt>
                <c:pt idx="31">
                  <c:v>81.212121212121119</c:v>
                </c:pt>
                <c:pt idx="32">
                  <c:v>80.60606060606051</c:v>
                </c:pt>
                <c:pt idx="33">
                  <c:v>79.999999999999901</c:v>
                </c:pt>
                <c:pt idx="34">
                  <c:v>79.393939393939291</c:v>
                </c:pt>
                <c:pt idx="35">
                  <c:v>78.787878787878682</c:v>
                </c:pt>
                <c:pt idx="36">
                  <c:v>78.181818181818073</c:v>
                </c:pt>
                <c:pt idx="37">
                  <c:v>77.575757575757464</c:v>
                </c:pt>
                <c:pt idx="38">
                  <c:v>76.969696969696855</c:v>
                </c:pt>
                <c:pt idx="39">
                  <c:v>76.363636363636246</c:v>
                </c:pt>
                <c:pt idx="40">
                  <c:v>75.757575757575637</c:v>
                </c:pt>
                <c:pt idx="41">
                  <c:v>75.151515151515028</c:v>
                </c:pt>
                <c:pt idx="42">
                  <c:v>74.545454545454419</c:v>
                </c:pt>
                <c:pt idx="43">
                  <c:v>73.93939393939381</c:v>
                </c:pt>
                <c:pt idx="44">
                  <c:v>73.333333333333201</c:v>
                </c:pt>
                <c:pt idx="45">
                  <c:v>72.727272727272592</c:v>
                </c:pt>
                <c:pt idx="46">
                  <c:v>72.121212121211983</c:v>
                </c:pt>
                <c:pt idx="47">
                  <c:v>71.515151515151388</c:v>
                </c:pt>
                <c:pt idx="48">
                  <c:v>70.909090909090793</c:v>
                </c:pt>
                <c:pt idx="49">
                  <c:v>70.303030303030198</c:v>
                </c:pt>
                <c:pt idx="50">
                  <c:v>69.696969696969603</c:v>
                </c:pt>
                <c:pt idx="51">
                  <c:v>69.090909090909008</c:v>
                </c:pt>
                <c:pt idx="52">
                  <c:v>68.484848484848413</c:v>
                </c:pt>
                <c:pt idx="53">
                  <c:v>67.878787878787818</c:v>
                </c:pt>
                <c:pt idx="54">
                  <c:v>67.272727272727224</c:v>
                </c:pt>
                <c:pt idx="55">
                  <c:v>66.666666666666629</c:v>
                </c:pt>
                <c:pt idx="56">
                  <c:v>66.060606060606034</c:v>
                </c:pt>
                <c:pt idx="57">
                  <c:v>65.454545454545439</c:v>
                </c:pt>
                <c:pt idx="58">
                  <c:v>64.848484848484844</c:v>
                </c:pt>
                <c:pt idx="59">
                  <c:v>64.242424242424249</c:v>
                </c:pt>
                <c:pt idx="60">
                  <c:v>63.636363636363654</c:v>
                </c:pt>
                <c:pt idx="61">
                  <c:v>63.03030303030306</c:v>
                </c:pt>
                <c:pt idx="62">
                  <c:v>62.424242424242465</c:v>
                </c:pt>
                <c:pt idx="63">
                  <c:v>61.81818181818187</c:v>
                </c:pt>
                <c:pt idx="64">
                  <c:v>61.212121212121275</c:v>
                </c:pt>
                <c:pt idx="65">
                  <c:v>60.60606060606068</c:v>
                </c:pt>
                <c:pt idx="66">
                  <c:v>60.000000000000085</c:v>
                </c:pt>
                <c:pt idx="67">
                  <c:v>59.39393939393949</c:v>
                </c:pt>
                <c:pt idx="68">
                  <c:v>58.787878787878896</c:v>
                </c:pt>
                <c:pt idx="69">
                  <c:v>58.181818181818301</c:v>
                </c:pt>
                <c:pt idx="70">
                  <c:v>57.575757575757706</c:v>
                </c:pt>
                <c:pt idx="71">
                  <c:v>56.969696969697111</c:v>
                </c:pt>
                <c:pt idx="72">
                  <c:v>56.363636363636516</c:v>
                </c:pt>
                <c:pt idx="73">
                  <c:v>55.757575757575921</c:v>
                </c:pt>
                <c:pt idx="74">
                  <c:v>55.151515151515326</c:v>
                </c:pt>
                <c:pt idx="75">
                  <c:v>54.545454545454731</c:v>
                </c:pt>
                <c:pt idx="76">
                  <c:v>53.939393939394137</c:v>
                </c:pt>
                <c:pt idx="77">
                  <c:v>53.333333333333542</c:v>
                </c:pt>
                <c:pt idx="78">
                  <c:v>52.727272727272947</c:v>
                </c:pt>
                <c:pt idx="79">
                  <c:v>52.121212121212352</c:v>
                </c:pt>
                <c:pt idx="80">
                  <c:v>51.515151515151757</c:v>
                </c:pt>
                <c:pt idx="81">
                  <c:v>50.909090909091162</c:v>
                </c:pt>
                <c:pt idx="82">
                  <c:v>50.303030303030567</c:v>
                </c:pt>
                <c:pt idx="83">
                  <c:v>49.696969696969973</c:v>
                </c:pt>
                <c:pt idx="84">
                  <c:v>49.090909090909378</c:v>
                </c:pt>
                <c:pt idx="85">
                  <c:v>48.484848484848783</c:v>
                </c:pt>
                <c:pt idx="86">
                  <c:v>47.878787878788188</c:v>
                </c:pt>
                <c:pt idx="87">
                  <c:v>47.272727272727593</c:v>
                </c:pt>
                <c:pt idx="88">
                  <c:v>46.666666666666998</c:v>
                </c:pt>
                <c:pt idx="89">
                  <c:v>46.060606060606403</c:v>
                </c:pt>
                <c:pt idx="90">
                  <c:v>45.454545454545809</c:v>
                </c:pt>
                <c:pt idx="91">
                  <c:v>44.848484848485214</c:v>
                </c:pt>
                <c:pt idx="92">
                  <c:v>44.242424242424619</c:v>
                </c:pt>
                <c:pt idx="93">
                  <c:v>43.636363636364024</c:v>
                </c:pt>
                <c:pt idx="94">
                  <c:v>43.030303030303429</c:v>
                </c:pt>
                <c:pt idx="95">
                  <c:v>42.424242424242834</c:v>
                </c:pt>
                <c:pt idx="96">
                  <c:v>41.818181818182239</c:v>
                </c:pt>
                <c:pt idx="97">
                  <c:v>41.212121212121644</c:v>
                </c:pt>
                <c:pt idx="98">
                  <c:v>40.60606060606105</c:v>
                </c:pt>
                <c:pt idx="99">
                  <c:v>40</c:v>
                </c:pt>
              </c:numCache>
            </c:numRef>
          </c:xVal>
          <c:yVal>
            <c:numRef>
              <c:f>ElipseTabla!$H$14:$H$113</c:f>
              <c:numCache>
                <c:formatCode>General</c:formatCode>
                <c:ptCount val="100"/>
                <c:pt idx="0">
                  <c:v>30</c:v>
                </c:pt>
                <c:pt idx="1">
                  <c:v>30.001020330077438</c:v>
                </c:pt>
                <c:pt idx="2">
                  <c:v>30.004081632695573</c:v>
                </c:pt>
                <c:pt idx="3">
                  <c:v>30.009184845490125</c:v>
                </c:pt>
                <c:pt idx="4">
                  <c:v>30.016331532783795</c:v>
                </c:pt>
                <c:pt idx="5">
                  <c:v>30.025523887986623</c:v>
                </c:pt>
                <c:pt idx="6">
                  <c:v>30.036764736968962</c:v>
                </c:pt>
                <c:pt idx="7">
                  <c:v>30.050057542418571</c:v>
                </c:pt>
                <c:pt idx="8">
                  <c:v>30.065406409197962</c:v>
                </c:pt>
                <c:pt idx="9">
                  <c:v>30.082816090721238</c:v>
                </c:pt>
                <c:pt idx="10">
                  <c:v>30.102291996373765</c:v>
                </c:pt>
                <c:pt idx="11">
                  <c:v>30.123840200001865</c:v>
                </c:pt>
                <c:pt idx="12">
                  <c:v>30.147467449504006</c:v>
                </c:pt>
                <c:pt idx="13">
                  <c:v>30.173181177559115</c:v>
                </c:pt>
                <c:pt idx="14">
                  <c:v>30.200989513532747</c:v>
                </c:pt>
                <c:pt idx="15">
                  <c:v>30.23090129660595</c:v>
                </c:pt>
                <c:pt idx="16">
                  <c:v>30.262926090177814</c:v>
                </c:pt>
                <c:pt idx="17">
                  <c:v>30.297074197597397</c:v>
                </c:pt>
                <c:pt idx="18">
                  <c:v>30.333356679287334</c:v>
                </c:pt>
                <c:pt idx="19">
                  <c:v>30.371785371327491</c:v>
                </c:pt>
                <c:pt idx="20">
                  <c:v>30.412372905574131</c:v>
                </c:pt>
                <c:pt idx="21">
                  <c:v>30.455132731397455</c:v>
                </c:pt>
                <c:pt idx="22">
                  <c:v>30.500079139128616</c:v>
                </c:pt>
                <c:pt idx="23">
                  <c:v>30.547227285316012</c:v>
                </c:pt>
                <c:pt idx="24">
                  <c:v>30.59659321990047</c:v>
                </c:pt>
                <c:pt idx="25">
                  <c:v>30.648193915429431</c:v>
                </c:pt>
                <c:pt idx="26">
                  <c:v>30.702047298441627</c:v>
                </c:pt>
                <c:pt idx="27">
                  <c:v>30.75817228316663</c:v>
                </c:pt>
                <c:pt idx="28">
                  <c:v>30.816588807697372</c:v>
                </c:pt>
                <c:pt idx="29">
                  <c:v>30.877317872809328</c:v>
                </c:pt>
                <c:pt idx="30">
                  <c:v>30.940381583616514</c:v>
                </c:pt>
                <c:pt idx="31">
                  <c:v>31.005803194273696</c:v>
                </c:pt>
                <c:pt idx="32">
                  <c:v>31.073607155954591</c:v>
                </c:pt>
                <c:pt idx="33">
                  <c:v>31.143819168358746</c:v>
                </c:pt>
                <c:pt idx="34">
                  <c:v>31.216466235025734</c:v>
                </c:pt>
                <c:pt idx="35">
                  <c:v>31.291576722763281</c:v>
                </c:pt>
                <c:pt idx="36">
                  <c:v>31.369180425528015</c:v>
                </c:pt>
                <c:pt idx="37">
                  <c:v>31.449308633132944</c:v>
                </c:pt>
                <c:pt idx="38">
                  <c:v>31.531994205195446</c:v>
                </c:pt>
                <c:pt idx="39">
                  <c:v>31.617271650784133</c:v>
                </c:pt>
                <c:pt idx="40">
                  <c:v>31.705177214273263</c:v>
                </c:pt>
                <c:pt idx="41">
                  <c:v>31.795748967969615</c:v>
                </c:pt>
                <c:pt idx="42">
                  <c:v>31.889026912140707</c:v>
                </c:pt>
                <c:pt idx="43">
                  <c:v>31.985053083145104</c:v>
                </c:pt>
                <c:pt idx="44">
                  <c:v>32.083871670447692</c:v>
                </c:pt>
                <c:pt idx="45">
                  <c:v>32.185529143395087</c:v>
                </c:pt>
                <c:pt idx="46">
                  <c:v>32.290074388732862</c:v>
                </c:pt>
                <c:pt idx="47">
                  <c:v>32.397558859966111</c:v>
                </c:pt>
                <c:pt idx="48">
                  <c:v>32.508036739803885</c:v>
                </c:pt>
                <c:pt idx="49">
                  <c:v>32.621565117085623</c:v>
                </c:pt>
                <c:pt idx="50">
                  <c:v>32.738204179770548</c:v>
                </c:pt>
                <c:pt idx="51">
                  <c:v>32.858017425780673</c:v>
                </c:pt>
                <c:pt idx="52">
                  <c:v>32.981071893731453</c:v>
                </c:pt>
                <c:pt idx="53">
                  <c:v>33.107438415865175</c:v>
                </c:pt>
                <c:pt idx="54">
                  <c:v>33.237191895831131</c:v>
                </c:pt>
                <c:pt idx="55">
                  <c:v>33.370411614338053</c:v>
                </c:pt>
                <c:pt idx="56">
                  <c:v>33.507181566152866</c:v>
                </c:pt>
                <c:pt idx="57">
                  <c:v>33.647590832446014</c:v>
                </c:pt>
                <c:pt idx="58">
                  <c:v>33.791733993103662</c:v>
                </c:pt>
                <c:pt idx="59">
                  <c:v>33.939711584362186</c:v>
                </c:pt>
                <c:pt idx="60">
                  <c:v>34.091630607991888</c:v>
                </c:pt>
                <c:pt idx="61">
                  <c:v>34.247605099298639</c:v>
                </c:pt>
                <c:pt idx="62">
                  <c:v>34.407756762458604</c:v>
                </c:pt>
                <c:pt idx="63">
                  <c:v>34.572215683202586</c:v>
                </c:pt>
                <c:pt idx="64">
                  <c:v>34.741121130681449</c:v>
                </c:pt>
                <c:pt idx="65">
                  <c:v>34.9146224625499</c:v>
                </c:pt>
                <c:pt idx="66">
                  <c:v>35.092880150001378</c:v>
                </c:pt>
                <c:pt idx="67">
                  <c:v>35.276066942797058</c:v>
                </c:pt>
                <c:pt idx="68">
                  <c:v>35.464369198424336</c:v>
                </c:pt>
                <c:pt idx="69">
                  <c:v>35.657988404606954</c:v>
                </c:pt>
                <c:pt idx="70">
                  <c:v>35.857142930757817</c:v>
                </c:pt>
                <c:pt idx="71">
                  <c:v>36.062070051991597</c:v>
                </c:pt>
                <c:pt idx="72">
                  <c:v>36.273028299507672</c:v>
                </c:pt>
                <c:pt idx="73">
                  <c:v>36.490300204201567</c:v>
                </c:pt>
                <c:pt idx="74">
                  <c:v>36.714195517206093</c:v>
                </c:pt>
                <c:pt idx="75">
                  <c:v>36.945055013007192</c:v>
                </c:pt>
                <c:pt idx="76">
                  <c:v>37.183255009646871</c:v>
                </c:pt>
                <c:pt idx="77">
                  <c:v>37.429212778905736</c:v>
                </c:pt>
                <c:pt idx="78">
                  <c:v>37.683393070968648</c:v>
                </c:pt>
                <c:pt idx="79">
                  <c:v>37.946316048342283</c:v>
                </c:pt>
                <c:pt idx="80">
                  <c:v>38.218567020748708</c:v>
                </c:pt>
                <c:pt idx="81">
                  <c:v>38.500808508478499</c:v>
                </c:pt>
                <c:pt idx="82">
                  <c:v>38.793795354861558</c:v>
                </c:pt>
                <c:pt idx="83">
                  <c:v>39.098393888297196</c:v>
                </c:pt>
                <c:pt idx="84">
                  <c:v>39.415606547531375</c:v>
                </c:pt>
                <c:pt idx="85">
                  <c:v>39.746604007717394</c:v>
                </c:pt>
                <c:pt idx="86">
                  <c:v>40.092767809907514</c:v>
                </c:pt>
                <c:pt idx="87">
                  <c:v>40.45574803150064</c:v>
                </c:pt>
                <c:pt idx="88">
                  <c:v>40.83754305418276</c:v>
                </c:pt>
                <c:pt idx="89">
                  <c:v>41.240612772250756</c:v>
                </c:pt>
                <c:pt idx="90">
                  <c:v>41.668044190989121</c:v>
                </c:pt>
                <c:pt idx="91">
                  <c:v>42.123802549649042</c:v>
                </c:pt>
                <c:pt idx="92">
                  <c:v>42.613129172208886</c:v>
                </c:pt>
                <c:pt idx="93">
                  <c:v>43.143206970311908</c:v>
                </c:pt>
                <c:pt idx="94">
                  <c:v>43.724353710298963</c:v>
                </c:pt>
                <c:pt idx="95">
                  <c:v>44.372368372854432</c:v>
                </c:pt>
                <c:pt idx="96">
                  <c:v>45.113783182848806</c:v>
                </c:pt>
                <c:pt idx="97">
                  <c:v>46.000204066014781</c:v>
                </c:pt>
                <c:pt idx="98">
                  <c:v>47.164511343914484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A004-4664-BD73-9C519E714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37231"/>
        <c:axId val="539541551"/>
      </c:scatterChart>
      <c:valAx>
        <c:axId val="5395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41551"/>
        <c:crosses val="autoZero"/>
        <c:crossBetween val="midCat"/>
      </c:valAx>
      <c:valAx>
        <c:axId val="5395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3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strRef>
          <c:f>ElipseTabla!$B$3</c:f>
          <c:strCache>
            <c:ptCount val="1"/>
            <c:pt idx="0">
              <c:v>Dibujo de Elipse con centro en (h,k)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864535636116826"/>
          <c:y val="0.11796346021983684"/>
          <c:w val="0.86584268680914822"/>
          <c:h val="0.637686106201278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ElipseTabla!$D$13</c:f>
              <c:strCache>
                <c:ptCount val="1"/>
                <c:pt idx="0">
                  <c:v>YC1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ElipseTabla!$C$14:$C$113</c:f>
              <c:numCache>
                <c:formatCode>General</c:formatCode>
                <c:ptCount val="100"/>
                <c:pt idx="0">
                  <c:v>100</c:v>
                </c:pt>
                <c:pt idx="1">
                  <c:v>100.60606060606061</c:v>
                </c:pt>
                <c:pt idx="2">
                  <c:v>101.21212121212122</c:v>
                </c:pt>
                <c:pt idx="3">
                  <c:v>101.81818181818183</c:v>
                </c:pt>
                <c:pt idx="4">
                  <c:v>102.42424242424244</c:v>
                </c:pt>
                <c:pt idx="5">
                  <c:v>103.03030303030305</c:v>
                </c:pt>
                <c:pt idx="6">
                  <c:v>103.63636363636365</c:v>
                </c:pt>
                <c:pt idx="7">
                  <c:v>104.24242424242426</c:v>
                </c:pt>
                <c:pt idx="8">
                  <c:v>104.84848484848487</c:v>
                </c:pt>
                <c:pt idx="9">
                  <c:v>105.45454545454548</c:v>
                </c:pt>
                <c:pt idx="10">
                  <c:v>106.06060606060609</c:v>
                </c:pt>
                <c:pt idx="11">
                  <c:v>106.6666666666667</c:v>
                </c:pt>
                <c:pt idx="12">
                  <c:v>107.27272727272731</c:v>
                </c:pt>
                <c:pt idx="13">
                  <c:v>107.87878787878792</c:v>
                </c:pt>
                <c:pt idx="14">
                  <c:v>108.48484848484853</c:v>
                </c:pt>
                <c:pt idx="15">
                  <c:v>109.09090909090914</c:v>
                </c:pt>
                <c:pt idx="16">
                  <c:v>109.69696969696975</c:v>
                </c:pt>
                <c:pt idx="17">
                  <c:v>110.30303030303035</c:v>
                </c:pt>
                <c:pt idx="18">
                  <c:v>110.90909090909096</c:v>
                </c:pt>
                <c:pt idx="19">
                  <c:v>111.51515151515157</c:v>
                </c:pt>
                <c:pt idx="20">
                  <c:v>112.12121212121218</c:v>
                </c:pt>
                <c:pt idx="21">
                  <c:v>112.72727272727279</c:v>
                </c:pt>
                <c:pt idx="22">
                  <c:v>113.3333333333334</c:v>
                </c:pt>
                <c:pt idx="23">
                  <c:v>113.93939393939401</c:v>
                </c:pt>
                <c:pt idx="24">
                  <c:v>114.54545454545462</c:v>
                </c:pt>
                <c:pt idx="25">
                  <c:v>115.15151515151523</c:v>
                </c:pt>
                <c:pt idx="26">
                  <c:v>115.75757575757584</c:v>
                </c:pt>
                <c:pt idx="27">
                  <c:v>116.36363636363645</c:v>
                </c:pt>
                <c:pt idx="28">
                  <c:v>116.96969696969705</c:v>
                </c:pt>
                <c:pt idx="29">
                  <c:v>117.57575757575766</c:v>
                </c:pt>
                <c:pt idx="30">
                  <c:v>118.18181818181827</c:v>
                </c:pt>
                <c:pt idx="31">
                  <c:v>118.78787878787888</c:v>
                </c:pt>
                <c:pt idx="32">
                  <c:v>119.39393939393949</c:v>
                </c:pt>
                <c:pt idx="33">
                  <c:v>120.0000000000001</c:v>
                </c:pt>
                <c:pt idx="34">
                  <c:v>120.60606060606071</c:v>
                </c:pt>
                <c:pt idx="35">
                  <c:v>121.21212121212132</c:v>
                </c:pt>
                <c:pt idx="36">
                  <c:v>121.81818181818193</c:v>
                </c:pt>
                <c:pt idx="37">
                  <c:v>122.42424242424254</c:v>
                </c:pt>
                <c:pt idx="38">
                  <c:v>123.03030303030314</c:v>
                </c:pt>
                <c:pt idx="39">
                  <c:v>123.63636363636375</c:v>
                </c:pt>
                <c:pt idx="40">
                  <c:v>124.24242424242436</c:v>
                </c:pt>
                <c:pt idx="41">
                  <c:v>124.84848484848497</c:v>
                </c:pt>
                <c:pt idx="42">
                  <c:v>125.45454545454558</c:v>
                </c:pt>
                <c:pt idx="43">
                  <c:v>126.06060606060619</c:v>
                </c:pt>
                <c:pt idx="44">
                  <c:v>126.6666666666668</c:v>
                </c:pt>
                <c:pt idx="45">
                  <c:v>127.27272727272741</c:v>
                </c:pt>
                <c:pt idx="46">
                  <c:v>127.87878787878802</c:v>
                </c:pt>
                <c:pt idx="47">
                  <c:v>128.48484848484861</c:v>
                </c:pt>
                <c:pt idx="48">
                  <c:v>129.09090909090921</c:v>
                </c:pt>
                <c:pt idx="49">
                  <c:v>129.6969696969698</c:v>
                </c:pt>
                <c:pt idx="50">
                  <c:v>130.3030303030304</c:v>
                </c:pt>
                <c:pt idx="51">
                  <c:v>130.90909090909099</c:v>
                </c:pt>
                <c:pt idx="52">
                  <c:v>131.51515151515159</c:v>
                </c:pt>
                <c:pt idx="53">
                  <c:v>132.12121212121218</c:v>
                </c:pt>
                <c:pt idx="54">
                  <c:v>132.72727272727278</c:v>
                </c:pt>
                <c:pt idx="55">
                  <c:v>133.33333333333337</c:v>
                </c:pt>
                <c:pt idx="56">
                  <c:v>133.93939393939397</c:v>
                </c:pt>
                <c:pt idx="57">
                  <c:v>134.54545454545456</c:v>
                </c:pt>
                <c:pt idx="58">
                  <c:v>135.15151515151516</c:v>
                </c:pt>
                <c:pt idx="59">
                  <c:v>135.75757575757575</c:v>
                </c:pt>
                <c:pt idx="60">
                  <c:v>136.36363636363635</c:v>
                </c:pt>
                <c:pt idx="61">
                  <c:v>136.96969696969694</c:v>
                </c:pt>
                <c:pt idx="62">
                  <c:v>137.57575757575754</c:v>
                </c:pt>
                <c:pt idx="63">
                  <c:v>138.18181818181813</c:v>
                </c:pt>
                <c:pt idx="64">
                  <c:v>138.78787878787873</c:v>
                </c:pt>
                <c:pt idx="65">
                  <c:v>139.39393939393932</c:v>
                </c:pt>
                <c:pt idx="66">
                  <c:v>139.99999999999991</c:v>
                </c:pt>
                <c:pt idx="67">
                  <c:v>140.60606060606051</c:v>
                </c:pt>
                <c:pt idx="68">
                  <c:v>141.2121212121211</c:v>
                </c:pt>
                <c:pt idx="69">
                  <c:v>141.8181818181817</c:v>
                </c:pt>
                <c:pt idx="70">
                  <c:v>142.42424242424229</c:v>
                </c:pt>
                <c:pt idx="71">
                  <c:v>143.03030303030289</c:v>
                </c:pt>
                <c:pt idx="72">
                  <c:v>143.63636363636348</c:v>
                </c:pt>
                <c:pt idx="73">
                  <c:v>144.24242424242408</c:v>
                </c:pt>
                <c:pt idx="74">
                  <c:v>144.84848484848467</c:v>
                </c:pt>
                <c:pt idx="75">
                  <c:v>145.45454545454527</c:v>
                </c:pt>
                <c:pt idx="76">
                  <c:v>146.06060606060586</c:v>
                </c:pt>
                <c:pt idx="77">
                  <c:v>146.66666666666646</c:v>
                </c:pt>
                <c:pt idx="78">
                  <c:v>147.27272727272705</c:v>
                </c:pt>
                <c:pt idx="79">
                  <c:v>147.87878787878765</c:v>
                </c:pt>
                <c:pt idx="80">
                  <c:v>148.48484848484824</c:v>
                </c:pt>
                <c:pt idx="81">
                  <c:v>149.09090909090884</c:v>
                </c:pt>
                <c:pt idx="82">
                  <c:v>149.69696969696943</c:v>
                </c:pt>
                <c:pt idx="83">
                  <c:v>150.30303030303003</c:v>
                </c:pt>
                <c:pt idx="84">
                  <c:v>150.90909090909062</c:v>
                </c:pt>
                <c:pt idx="85">
                  <c:v>151.51515151515122</c:v>
                </c:pt>
                <c:pt idx="86">
                  <c:v>152.12121212121181</c:v>
                </c:pt>
                <c:pt idx="87">
                  <c:v>152.72727272727241</c:v>
                </c:pt>
                <c:pt idx="88">
                  <c:v>153.333333333333</c:v>
                </c:pt>
                <c:pt idx="89">
                  <c:v>153.9393939393936</c:v>
                </c:pt>
                <c:pt idx="90">
                  <c:v>154.54545454545419</c:v>
                </c:pt>
                <c:pt idx="91">
                  <c:v>155.15151515151479</c:v>
                </c:pt>
                <c:pt idx="92">
                  <c:v>155.75757575757538</c:v>
                </c:pt>
                <c:pt idx="93">
                  <c:v>156.36363636363598</c:v>
                </c:pt>
                <c:pt idx="94">
                  <c:v>156.96969696969657</c:v>
                </c:pt>
                <c:pt idx="95">
                  <c:v>157.57575757575717</c:v>
                </c:pt>
                <c:pt idx="96">
                  <c:v>158.18181818181776</c:v>
                </c:pt>
                <c:pt idx="97">
                  <c:v>158.78787878787836</c:v>
                </c:pt>
                <c:pt idx="98">
                  <c:v>159.39393939393895</c:v>
                </c:pt>
                <c:pt idx="99">
                  <c:v>160</c:v>
                </c:pt>
              </c:numCache>
            </c:numRef>
          </c:xVal>
          <c:yVal>
            <c:numRef>
              <c:f>ElipseTabla!$D$14:$D$113</c:f>
              <c:numCache>
                <c:formatCode>General</c:formatCode>
                <c:ptCount val="100"/>
                <c:pt idx="0">
                  <c:v>70</c:v>
                </c:pt>
                <c:pt idx="1">
                  <c:v>69.998979669922562</c:v>
                </c:pt>
                <c:pt idx="2">
                  <c:v>69.995918367304427</c:v>
                </c:pt>
                <c:pt idx="3">
                  <c:v>69.990815154509875</c:v>
                </c:pt>
                <c:pt idx="4">
                  <c:v>69.983668467216205</c:v>
                </c:pt>
                <c:pt idx="5">
                  <c:v>69.974476112013377</c:v>
                </c:pt>
                <c:pt idx="6">
                  <c:v>69.963235263031038</c:v>
                </c:pt>
                <c:pt idx="7">
                  <c:v>69.949942457581429</c:v>
                </c:pt>
                <c:pt idx="8">
                  <c:v>69.934593590802038</c:v>
                </c:pt>
                <c:pt idx="9">
                  <c:v>69.917183909278762</c:v>
                </c:pt>
                <c:pt idx="10">
                  <c:v>69.897708003626235</c:v>
                </c:pt>
                <c:pt idx="11">
                  <c:v>69.876159799998135</c:v>
                </c:pt>
                <c:pt idx="12">
                  <c:v>69.852532550495994</c:v>
                </c:pt>
                <c:pt idx="13">
                  <c:v>69.826818822440885</c:v>
                </c:pt>
                <c:pt idx="14">
                  <c:v>69.799010486467253</c:v>
                </c:pt>
                <c:pt idx="15">
                  <c:v>69.76909870339405</c:v>
                </c:pt>
                <c:pt idx="16">
                  <c:v>69.737073909822186</c:v>
                </c:pt>
                <c:pt idx="17">
                  <c:v>69.702925802402603</c:v>
                </c:pt>
                <c:pt idx="18">
                  <c:v>69.666643320712666</c:v>
                </c:pt>
                <c:pt idx="19">
                  <c:v>69.628214628672509</c:v>
                </c:pt>
                <c:pt idx="20">
                  <c:v>69.587627094425869</c:v>
                </c:pt>
                <c:pt idx="21">
                  <c:v>69.544867268602545</c:v>
                </c:pt>
                <c:pt idx="22">
                  <c:v>69.499920860871384</c:v>
                </c:pt>
                <c:pt idx="23">
                  <c:v>69.452772714683988</c:v>
                </c:pt>
                <c:pt idx="24">
                  <c:v>69.40340678009953</c:v>
                </c:pt>
                <c:pt idx="25">
                  <c:v>69.351806084570569</c:v>
                </c:pt>
                <c:pt idx="26">
                  <c:v>69.297952701558373</c:v>
                </c:pt>
                <c:pt idx="27">
                  <c:v>69.24182771683337</c:v>
                </c:pt>
                <c:pt idx="28">
                  <c:v>69.183411192302628</c:v>
                </c:pt>
                <c:pt idx="29">
                  <c:v>69.122682127190672</c:v>
                </c:pt>
                <c:pt idx="30">
                  <c:v>69.059618416383486</c:v>
                </c:pt>
                <c:pt idx="31">
                  <c:v>68.994196805726304</c:v>
                </c:pt>
                <c:pt idx="32">
                  <c:v>68.926392844045409</c:v>
                </c:pt>
                <c:pt idx="33">
                  <c:v>68.856180831641254</c:v>
                </c:pt>
                <c:pt idx="34">
                  <c:v>68.783533764974266</c:v>
                </c:pt>
                <c:pt idx="35">
                  <c:v>68.708423277236719</c:v>
                </c:pt>
                <c:pt idx="36">
                  <c:v>68.630819574471985</c:v>
                </c:pt>
                <c:pt idx="37">
                  <c:v>68.550691366867056</c:v>
                </c:pt>
                <c:pt idx="38">
                  <c:v>68.468005794804554</c:v>
                </c:pt>
                <c:pt idx="39">
                  <c:v>68.382728349215867</c:v>
                </c:pt>
                <c:pt idx="40">
                  <c:v>68.294822785726737</c:v>
                </c:pt>
                <c:pt idx="41">
                  <c:v>68.204251032030385</c:v>
                </c:pt>
                <c:pt idx="42">
                  <c:v>68.110973087859293</c:v>
                </c:pt>
                <c:pt idx="43">
                  <c:v>68.014946916854896</c:v>
                </c:pt>
                <c:pt idx="44">
                  <c:v>67.916128329552308</c:v>
                </c:pt>
                <c:pt idx="45">
                  <c:v>67.814470856604913</c:v>
                </c:pt>
                <c:pt idx="46">
                  <c:v>67.709925611267138</c:v>
                </c:pt>
                <c:pt idx="47">
                  <c:v>67.602441140033889</c:v>
                </c:pt>
                <c:pt idx="48">
                  <c:v>67.491963260196115</c:v>
                </c:pt>
                <c:pt idx="49">
                  <c:v>67.378434882914377</c:v>
                </c:pt>
                <c:pt idx="50">
                  <c:v>67.261795820229452</c:v>
                </c:pt>
                <c:pt idx="51">
                  <c:v>67.141982574219327</c:v>
                </c:pt>
                <c:pt idx="52">
                  <c:v>67.018928106268547</c:v>
                </c:pt>
                <c:pt idx="53">
                  <c:v>66.892561584134825</c:v>
                </c:pt>
                <c:pt idx="54">
                  <c:v>66.762808104168869</c:v>
                </c:pt>
                <c:pt idx="55">
                  <c:v>66.629588385661947</c:v>
                </c:pt>
                <c:pt idx="56">
                  <c:v>66.492818433847134</c:v>
                </c:pt>
                <c:pt idx="57">
                  <c:v>66.352409167553986</c:v>
                </c:pt>
                <c:pt idx="58">
                  <c:v>66.208266006896338</c:v>
                </c:pt>
                <c:pt idx="59">
                  <c:v>66.060288415637814</c:v>
                </c:pt>
                <c:pt idx="60">
                  <c:v>65.908369392008112</c:v>
                </c:pt>
                <c:pt idx="61">
                  <c:v>65.752394900701361</c:v>
                </c:pt>
                <c:pt idx="62">
                  <c:v>65.592243237541396</c:v>
                </c:pt>
                <c:pt idx="63">
                  <c:v>65.427784316797414</c:v>
                </c:pt>
                <c:pt idx="64">
                  <c:v>65.258878869318551</c:v>
                </c:pt>
                <c:pt idx="65">
                  <c:v>65.0853775374501</c:v>
                </c:pt>
                <c:pt idx="66">
                  <c:v>64.907119849998622</c:v>
                </c:pt>
                <c:pt idx="67">
                  <c:v>64.723933057202942</c:v>
                </c:pt>
                <c:pt idx="68">
                  <c:v>64.535630801575664</c:v>
                </c:pt>
                <c:pt idx="69">
                  <c:v>64.342011595393046</c:v>
                </c:pt>
                <c:pt idx="70">
                  <c:v>64.142857069242183</c:v>
                </c:pt>
                <c:pt idx="71">
                  <c:v>63.937929948008403</c:v>
                </c:pt>
                <c:pt idx="72">
                  <c:v>63.726971700492328</c:v>
                </c:pt>
                <c:pt idx="73">
                  <c:v>63.509699795798433</c:v>
                </c:pt>
                <c:pt idx="74">
                  <c:v>63.285804482793907</c:v>
                </c:pt>
                <c:pt idx="75">
                  <c:v>63.054944986992808</c:v>
                </c:pt>
                <c:pt idx="76">
                  <c:v>62.816744990353129</c:v>
                </c:pt>
                <c:pt idx="77">
                  <c:v>62.570787221094264</c:v>
                </c:pt>
                <c:pt idx="78">
                  <c:v>62.316606929031352</c:v>
                </c:pt>
                <c:pt idx="79">
                  <c:v>62.053683951657717</c:v>
                </c:pt>
                <c:pt idx="80">
                  <c:v>61.781432979251292</c:v>
                </c:pt>
                <c:pt idx="81">
                  <c:v>61.499191491521501</c:v>
                </c:pt>
                <c:pt idx="82">
                  <c:v>61.206204645138442</c:v>
                </c:pt>
                <c:pt idx="83">
                  <c:v>60.901606111702804</c:v>
                </c:pt>
                <c:pt idx="84">
                  <c:v>60.584393452468625</c:v>
                </c:pt>
                <c:pt idx="85">
                  <c:v>60.253395992282606</c:v>
                </c:pt>
                <c:pt idx="86">
                  <c:v>59.907232190092486</c:v>
                </c:pt>
                <c:pt idx="87">
                  <c:v>59.54425196849936</c:v>
                </c:pt>
                <c:pt idx="88">
                  <c:v>59.16245694581724</c:v>
                </c:pt>
                <c:pt idx="89">
                  <c:v>58.759387227749244</c:v>
                </c:pt>
                <c:pt idx="90">
                  <c:v>58.331955809010879</c:v>
                </c:pt>
                <c:pt idx="91">
                  <c:v>57.876197450350958</c:v>
                </c:pt>
                <c:pt idx="92">
                  <c:v>57.386870827791114</c:v>
                </c:pt>
                <c:pt idx="93">
                  <c:v>56.856793029688092</c:v>
                </c:pt>
                <c:pt idx="94">
                  <c:v>56.275646289701037</c:v>
                </c:pt>
                <c:pt idx="95">
                  <c:v>55.627631627145568</c:v>
                </c:pt>
                <c:pt idx="96">
                  <c:v>54.886216817151194</c:v>
                </c:pt>
                <c:pt idx="97">
                  <c:v>53.999795933985219</c:v>
                </c:pt>
                <c:pt idx="98">
                  <c:v>52.835488656085516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A6-4D7E-882E-E6467E297C20}"/>
            </c:ext>
          </c:extLst>
        </c:ser>
        <c:ser>
          <c:idx val="1"/>
          <c:order val="1"/>
          <c:tx>
            <c:strRef>
              <c:f>ElipseTabla!$E$13</c:f>
              <c:strCache>
                <c:ptCount val="1"/>
                <c:pt idx="0">
                  <c:v>YC2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ElipseTabla!$C$14:$C$113</c:f>
              <c:numCache>
                <c:formatCode>General</c:formatCode>
                <c:ptCount val="100"/>
                <c:pt idx="0">
                  <c:v>100</c:v>
                </c:pt>
                <c:pt idx="1">
                  <c:v>100.60606060606061</c:v>
                </c:pt>
                <c:pt idx="2">
                  <c:v>101.21212121212122</c:v>
                </c:pt>
                <c:pt idx="3">
                  <c:v>101.81818181818183</c:v>
                </c:pt>
                <c:pt idx="4">
                  <c:v>102.42424242424244</c:v>
                </c:pt>
                <c:pt idx="5">
                  <c:v>103.03030303030305</c:v>
                </c:pt>
                <c:pt idx="6">
                  <c:v>103.63636363636365</c:v>
                </c:pt>
                <c:pt idx="7">
                  <c:v>104.24242424242426</c:v>
                </c:pt>
                <c:pt idx="8">
                  <c:v>104.84848484848487</c:v>
                </c:pt>
                <c:pt idx="9">
                  <c:v>105.45454545454548</c:v>
                </c:pt>
                <c:pt idx="10">
                  <c:v>106.06060606060609</c:v>
                </c:pt>
                <c:pt idx="11">
                  <c:v>106.6666666666667</c:v>
                </c:pt>
                <c:pt idx="12">
                  <c:v>107.27272727272731</c:v>
                </c:pt>
                <c:pt idx="13">
                  <c:v>107.87878787878792</c:v>
                </c:pt>
                <c:pt idx="14">
                  <c:v>108.48484848484853</c:v>
                </c:pt>
                <c:pt idx="15">
                  <c:v>109.09090909090914</c:v>
                </c:pt>
                <c:pt idx="16">
                  <c:v>109.69696969696975</c:v>
                </c:pt>
                <c:pt idx="17">
                  <c:v>110.30303030303035</c:v>
                </c:pt>
                <c:pt idx="18">
                  <c:v>110.90909090909096</c:v>
                </c:pt>
                <c:pt idx="19">
                  <c:v>111.51515151515157</c:v>
                </c:pt>
                <c:pt idx="20">
                  <c:v>112.12121212121218</c:v>
                </c:pt>
                <c:pt idx="21">
                  <c:v>112.72727272727279</c:v>
                </c:pt>
                <c:pt idx="22">
                  <c:v>113.3333333333334</c:v>
                </c:pt>
                <c:pt idx="23">
                  <c:v>113.93939393939401</c:v>
                </c:pt>
                <c:pt idx="24">
                  <c:v>114.54545454545462</c:v>
                </c:pt>
                <c:pt idx="25">
                  <c:v>115.15151515151523</c:v>
                </c:pt>
                <c:pt idx="26">
                  <c:v>115.75757575757584</c:v>
                </c:pt>
                <c:pt idx="27">
                  <c:v>116.36363636363645</c:v>
                </c:pt>
                <c:pt idx="28">
                  <c:v>116.96969696969705</c:v>
                </c:pt>
                <c:pt idx="29">
                  <c:v>117.57575757575766</c:v>
                </c:pt>
                <c:pt idx="30">
                  <c:v>118.18181818181827</c:v>
                </c:pt>
                <c:pt idx="31">
                  <c:v>118.78787878787888</c:v>
                </c:pt>
                <c:pt idx="32">
                  <c:v>119.39393939393949</c:v>
                </c:pt>
                <c:pt idx="33">
                  <c:v>120.0000000000001</c:v>
                </c:pt>
                <c:pt idx="34">
                  <c:v>120.60606060606071</c:v>
                </c:pt>
                <c:pt idx="35">
                  <c:v>121.21212121212132</c:v>
                </c:pt>
                <c:pt idx="36">
                  <c:v>121.81818181818193</c:v>
                </c:pt>
                <c:pt idx="37">
                  <c:v>122.42424242424254</c:v>
                </c:pt>
                <c:pt idx="38">
                  <c:v>123.03030303030314</c:v>
                </c:pt>
                <c:pt idx="39">
                  <c:v>123.63636363636375</c:v>
                </c:pt>
                <c:pt idx="40">
                  <c:v>124.24242424242436</c:v>
                </c:pt>
                <c:pt idx="41">
                  <c:v>124.84848484848497</c:v>
                </c:pt>
                <c:pt idx="42">
                  <c:v>125.45454545454558</c:v>
                </c:pt>
                <c:pt idx="43">
                  <c:v>126.06060606060619</c:v>
                </c:pt>
                <c:pt idx="44">
                  <c:v>126.6666666666668</c:v>
                </c:pt>
                <c:pt idx="45">
                  <c:v>127.27272727272741</c:v>
                </c:pt>
                <c:pt idx="46">
                  <c:v>127.87878787878802</c:v>
                </c:pt>
                <c:pt idx="47">
                  <c:v>128.48484848484861</c:v>
                </c:pt>
                <c:pt idx="48">
                  <c:v>129.09090909090921</c:v>
                </c:pt>
                <c:pt idx="49">
                  <c:v>129.6969696969698</c:v>
                </c:pt>
                <c:pt idx="50">
                  <c:v>130.3030303030304</c:v>
                </c:pt>
                <c:pt idx="51">
                  <c:v>130.90909090909099</c:v>
                </c:pt>
                <c:pt idx="52">
                  <c:v>131.51515151515159</c:v>
                </c:pt>
                <c:pt idx="53">
                  <c:v>132.12121212121218</c:v>
                </c:pt>
                <c:pt idx="54">
                  <c:v>132.72727272727278</c:v>
                </c:pt>
                <c:pt idx="55">
                  <c:v>133.33333333333337</c:v>
                </c:pt>
                <c:pt idx="56">
                  <c:v>133.93939393939397</c:v>
                </c:pt>
                <c:pt idx="57">
                  <c:v>134.54545454545456</c:v>
                </c:pt>
                <c:pt idx="58">
                  <c:v>135.15151515151516</c:v>
                </c:pt>
                <c:pt idx="59">
                  <c:v>135.75757575757575</c:v>
                </c:pt>
                <c:pt idx="60">
                  <c:v>136.36363636363635</c:v>
                </c:pt>
                <c:pt idx="61">
                  <c:v>136.96969696969694</c:v>
                </c:pt>
                <c:pt idx="62">
                  <c:v>137.57575757575754</c:v>
                </c:pt>
                <c:pt idx="63">
                  <c:v>138.18181818181813</c:v>
                </c:pt>
                <c:pt idx="64">
                  <c:v>138.78787878787873</c:v>
                </c:pt>
                <c:pt idx="65">
                  <c:v>139.39393939393932</c:v>
                </c:pt>
                <c:pt idx="66">
                  <c:v>139.99999999999991</c:v>
                </c:pt>
                <c:pt idx="67">
                  <c:v>140.60606060606051</c:v>
                </c:pt>
                <c:pt idx="68">
                  <c:v>141.2121212121211</c:v>
                </c:pt>
                <c:pt idx="69">
                  <c:v>141.8181818181817</c:v>
                </c:pt>
                <c:pt idx="70">
                  <c:v>142.42424242424229</c:v>
                </c:pt>
                <c:pt idx="71">
                  <c:v>143.03030303030289</c:v>
                </c:pt>
                <c:pt idx="72">
                  <c:v>143.63636363636348</c:v>
                </c:pt>
                <c:pt idx="73">
                  <c:v>144.24242424242408</c:v>
                </c:pt>
                <c:pt idx="74">
                  <c:v>144.84848484848467</c:v>
                </c:pt>
                <c:pt idx="75">
                  <c:v>145.45454545454527</c:v>
                </c:pt>
                <c:pt idx="76">
                  <c:v>146.06060606060586</c:v>
                </c:pt>
                <c:pt idx="77">
                  <c:v>146.66666666666646</c:v>
                </c:pt>
                <c:pt idx="78">
                  <c:v>147.27272727272705</c:v>
                </c:pt>
                <c:pt idx="79">
                  <c:v>147.87878787878765</c:v>
                </c:pt>
                <c:pt idx="80">
                  <c:v>148.48484848484824</c:v>
                </c:pt>
                <c:pt idx="81">
                  <c:v>149.09090909090884</c:v>
                </c:pt>
                <c:pt idx="82">
                  <c:v>149.69696969696943</c:v>
                </c:pt>
                <c:pt idx="83">
                  <c:v>150.30303030303003</c:v>
                </c:pt>
                <c:pt idx="84">
                  <c:v>150.90909090909062</c:v>
                </c:pt>
                <c:pt idx="85">
                  <c:v>151.51515151515122</c:v>
                </c:pt>
                <c:pt idx="86">
                  <c:v>152.12121212121181</c:v>
                </c:pt>
                <c:pt idx="87">
                  <c:v>152.72727272727241</c:v>
                </c:pt>
                <c:pt idx="88">
                  <c:v>153.333333333333</c:v>
                </c:pt>
                <c:pt idx="89">
                  <c:v>153.9393939393936</c:v>
                </c:pt>
                <c:pt idx="90">
                  <c:v>154.54545454545419</c:v>
                </c:pt>
                <c:pt idx="91">
                  <c:v>155.15151515151479</c:v>
                </c:pt>
                <c:pt idx="92">
                  <c:v>155.75757575757538</c:v>
                </c:pt>
                <c:pt idx="93">
                  <c:v>156.36363636363598</c:v>
                </c:pt>
                <c:pt idx="94">
                  <c:v>156.96969696969657</c:v>
                </c:pt>
                <c:pt idx="95">
                  <c:v>157.57575757575717</c:v>
                </c:pt>
                <c:pt idx="96">
                  <c:v>158.18181818181776</c:v>
                </c:pt>
                <c:pt idx="97">
                  <c:v>158.78787878787836</c:v>
                </c:pt>
                <c:pt idx="98">
                  <c:v>159.39393939393895</c:v>
                </c:pt>
                <c:pt idx="99">
                  <c:v>160</c:v>
                </c:pt>
              </c:numCache>
            </c:numRef>
          </c:xVal>
          <c:yVal>
            <c:numRef>
              <c:f>ElipseTabla!$E$14:$E$113</c:f>
              <c:numCache>
                <c:formatCode>General</c:formatCode>
                <c:ptCount val="100"/>
                <c:pt idx="0">
                  <c:v>30</c:v>
                </c:pt>
                <c:pt idx="1">
                  <c:v>30.001020330077438</c:v>
                </c:pt>
                <c:pt idx="2">
                  <c:v>30.004081632695573</c:v>
                </c:pt>
                <c:pt idx="3">
                  <c:v>30.009184845490125</c:v>
                </c:pt>
                <c:pt idx="4">
                  <c:v>30.016331532783795</c:v>
                </c:pt>
                <c:pt idx="5">
                  <c:v>30.025523887986623</c:v>
                </c:pt>
                <c:pt idx="6">
                  <c:v>30.036764736968962</c:v>
                </c:pt>
                <c:pt idx="7">
                  <c:v>30.050057542418571</c:v>
                </c:pt>
                <c:pt idx="8">
                  <c:v>30.065406409197962</c:v>
                </c:pt>
                <c:pt idx="9">
                  <c:v>30.082816090721238</c:v>
                </c:pt>
                <c:pt idx="10">
                  <c:v>30.102291996373765</c:v>
                </c:pt>
                <c:pt idx="11">
                  <c:v>30.123840200001865</c:v>
                </c:pt>
                <c:pt idx="12">
                  <c:v>30.147467449504006</c:v>
                </c:pt>
                <c:pt idx="13">
                  <c:v>30.173181177559115</c:v>
                </c:pt>
                <c:pt idx="14">
                  <c:v>30.200989513532747</c:v>
                </c:pt>
                <c:pt idx="15">
                  <c:v>30.23090129660595</c:v>
                </c:pt>
                <c:pt idx="16">
                  <c:v>30.262926090177814</c:v>
                </c:pt>
                <c:pt idx="17">
                  <c:v>30.297074197597397</c:v>
                </c:pt>
                <c:pt idx="18">
                  <c:v>30.333356679287334</c:v>
                </c:pt>
                <c:pt idx="19">
                  <c:v>30.371785371327491</c:v>
                </c:pt>
                <c:pt idx="20">
                  <c:v>30.412372905574131</c:v>
                </c:pt>
                <c:pt idx="21">
                  <c:v>30.455132731397455</c:v>
                </c:pt>
                <c:pt idx="22">
                  <c:v>30.500079139128616</c:v>
                </c:pt>
                <c:pt idx="23">
                  <c:v>30.547227285316012</c:v>
                </c:pt>
                <c:pt idx="24">
                  <c:v>30.59659321990047</c:v>
                </c:pt>
                <c:pt idx="25">
                  <c:v>30.648193915429431</c:v>
                </c:pt>
                <c:pt idx="26">
                  <c:v>30.702047298441627</c:v>
                </c:pt>
                <c:pt idx="27">
                  <c:v>30.75817228316663</c:v>
                </c:pt>
                <c:pt idx="28">
                  <c:v>30.816588807697372</c:v>
                </c:pt>
                <c:pt idx="29">
                  <c:v>30.877317872809328</c:v>
                </c:pt>
                <c:pt idx="30">
                  <c:v>30.940381583616514</c:v>
                </c:pt>
                <c:pt idx="31">
                  <c:v>31.005803194273696</c:v>
                </c:pt>
                <c:pt idx="32">
                  <c:v>31.073607155954591</c:v>
                </c:pt>
                <c:pt idx="33">
                  <c:v>31.143819168358746</c:v>
                </c:pt>
                <c:pt idx="34">
                  <c:v>31.216466235025734</c:v>
                </c:pt>
                <c:pt idx="35">
                  <c:v>31.291576722763281</c:v>
                </c:pt>
                <c:pt idx="36">
                  <c:v>31.369180425528015</c:v>
                </c:pt>
                <c:pt idx="37">
                  <c:v>31.449308633132944</c:v>
                </c:pt>
                <c:pt idx="38">
                  <c:v>31.531994205195446</c:v>
                </c:pt>
                <c:pt idx="39">
                  <c:v>31.617271650784133</c:v>
                </c:pt>
                <c:pt idx="40">
                  <c:v>31.705177214273263</c:v>
                </c:pt>
                <c:pt idx="41">
                  <c:v>31.795748967969615</c:v>
                </c:pt>
                <c:pt idx="42">
                  <c:v>31.889026912140707</c:v>
                </c:pt>
                <c:pt idx="43">
                  <c:v>31.985053083145104</c:v>
                </c:pt>
                <c:pt idx="44">
                  <c:v>32.083871670447692</c:v>
                </c:pt>
                <c:pt idx="45">
                  <c:v>32.185529143395087</c:v>
                </c:pt>
                <c:pt idx="46">
                  <c:v>32.290074388732862</c:v>
                </c:pt>
                <c:pt idx="47">
                  <c:v>32.397558859966111</c:v>
                </c:pt>
                <c:pt idx="48">
                  <c:v>32.508036739803885</c:v>
                </c:pt>
                <c:pt idx="49">
                  <c:v>32.621565117085623</c:v>
                </c:pt>
                <c:pt idx="50">
                  <c:v>32.738204179770548</c:v>
                </c:pt>
                <c:pt idx="51">
                  <c:v>32.858017425780673</c:v>
                </c:pt>
                <c:pt idx="52">
                  <c:v>32.981071893731453</c:v>
                </c:pt>
                <c:pt idx="53">
                  <c:v>33.107438415865175</c:v>
                </c:pt>
                <c:pt idx="54">
                  <c:v>33.237191895831131</c:v>
                </c:pt>
                <c:pt idx="55">
                  <c:v>33.370411614338053</c:v>
                </c:pt>
                <c:pt idx="56">
                  <c:v>33.507181566152866</c:v>
                </c:pt>
                <c:pt idx="57">
                  <c:v>33.647590832446014</c:v>
                </c:pt>
                <c:pt idx="58">
                  <c:v>33.791733993103662</c:v>
                </c:pt>
                <c:pt idx="59">
                  <c:v>33.939711584362186</c:v>
                </c:pt>
                <c:pt idx="60">
                  <c:v>34.091630607991888</c:v>
                </c:pt>
                <c:pt idx="61">
                  <c:v>34.247605099298639</c:v>
                </c:pt>
                <c:pt idx="62">
                  <c:v>34.407756762458604</c:v>
                </c:pt>
                <c:pt idx="63">
                  <c:v>34.572215683202586</c:v>
                </c:pt>
                <c:pt idx="64">
                  <c:v>34.741121130681449</c:v>
                </c:pt>
                <c:pt idx="65">
                  <c:v>34.9146224625499</c:v>
                </c:pt>
                <c:pt idx="66">
                  <c:v>35.092880150001378</c:v>
                </c:pt>
                <c:pt idx="67">
                  <c:v>35.276066942797058</c:v>
                </c:pt>
                <c:pt idx="68">
                  <c:v>35.464369198424336</c:v>
                </c:pt>
                <c:pt idx="69">
                  <c:v>35.657988404606954</c:v>
                </c:pt>
                <c:pt idx="70">
                  <c:v>35.857142930757817</c:v>
                </c:pt>
                <c:pt idx="71">
                  <c:v>36.062070051991597</c:v>
                </c:pt>
                <c:pt idx="72">
                  <c:v>36.273028299507672</c:v>
                </c:pt>
                <c:pt idx="73">
                  <c:v>36.490300204201567</c:v>
                </c:pt>
                <c:pt idx="74">
                  <c:v>36.714195517206093</c:v>
                </c:pt>
                <c:pt idx="75">
                  <c:v>36.945055013007192</c:v>
                </c:pt>
                <c:pt idx="76">
                  <c:v>37.183255009646871</c:v>
                </c:pt>
                <c:pt idx="77">
                  <c:v>37.429212778905736</c:v>
                </c:pt>
                <c:pt idx="78">
                  <c:v>37.683393070968648</c:v>
                </c:pt>
                <c:pt idx="79">
                  <c:v>37.946316048342283</c:v>
                </c:pt>
                <c:pt idx="80">
                  <c:v>38.218567020748708</c:v>
                </c:pt>
                <c:pt idx="81">
                  <c:v>38.500808508478499</c:v>
                </c:pt>
                <c:pt idx="82">
                  <c:v>38.793795354861558</c:v>
                </c:pt>
                <c:pt idx="83">
                  <c:v>39.098393888297196</c:v>
                </c:pt>
                <c:pt idx="84">
                  <c:v>39.415606547531375</c:v>
                </c:pt>
                <c:pt idx="85">
                  <c:v>39.746604007717394</c:v>
                </c:pt>
                <c:pt idx="86">
                  <c:v>40.092767809907514</c:v>
                </c:pt>
                <c:pt idx="87">
                  <c:v>40.45574803150064</c:v>
                </c:pt>
                <c:pt idx="88">
                  <c:v>40.83754305418276</c:v>
                </c:pt>
                <c:pt idx="89">
                  <c:v>41.240612772250756</c:v>
                </c:pt>
                <c:pt idx="90">
                  <c:v>41.668044190989121</c:v>
                </c:pt>
                <c:pt idx="91">
                  <c:v>42.123802549649042</c:v>
                </c:pt>
                <c:pt idx="92">
                  <c:v>42.613129172208886</c:v>
                </c:pt>
                <c:pt idx="93">
                  <c:v>43.143206970311908</c:v>
                </c:pt>
                <c:pt idx="94">
                  <c:v>43.724353710298963</c:v>
                </c:pt>
                <c:pt idx="95">
                  <c:v>44.372368372854432</c:v>
                </c:pt>
                <c:pt idx="96">
                  <c:v>45.113783182848806</c:v>
                </c:pt>
                <c:pt idx="97">
                  <c:v>46.000204066014781</c:v>
                </c:pt>
                <c:pt idx="98">
                  <c:v>47.164511343914484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6-4D7E-882E-E6467E297C20}"/>
            </c:ext>
          </c:extLst>
        </c:ser>
        <c:ser>
          <c:idx val="2"/>
          <c:order val="2"/>
          <c:tx>
            <c:strRef>
              <c:f>ElipseTabla!$G$13</c:f>
              <c:strCache>
                <c:ptCount val="1"/>
                <c:pt idx="0">
                  <c:v>YC3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ElipseTabla!$F$14:$F$113</c:f>
              <c:numCache>
                <c:formatCode>General</c:formatCode>
                <c:ptCount val="100"/>
                <c:pt idx="0">
                  <c:v>100</c:v>
                </c:pt>
                <c:pt idx="1">
                  <c:v>99.393939393939391</c:v>
                </c:pt>
                <c:pt idx="2">
                  <c:v>98.787878787878782</c:v>
                </c:pt>
                <c:pt idx="3">
                  <c:v>98.181818181818173</c:v>
                </c:pt>
                <c:pt idx="4">
                  <c:v>97.575757575757564</c:v>
                </c:pt>
                <c:pt idx="5">
                  <c:v>96.969696969696955</c:v>
                </c:pt>
                <c:pt idx="6">
                  <c:v>96.363636363636346</c:v>
                </c:pt>
                <c:pt idx="7">
                  <c:v>95.757575757575736</c:v>
                </c:pt>
                <c:pt idx="8">
                  <c:v>95.151515151515127</c:v>
                </c:pt>
                <c:pt idx="9">
                  <c:v>94.545454545454518</c:v>
                </c:pt>
                <c:pt idx="10">
                  <c:v>93.939393939393909</c:v>
                </c:pt>
                <c:pt idx="11">
                  <c:v>93.3333333333333</c:v>
                </c:pt>
                <c:pt idx="12">
                  <c:v>92.727272727272691</c:v>
                </c:pt>
                <c:pt idx="13">
                  <c:v>92.121212121212082</c:v>
                </c:pt>
                <c:pt idx="14">
                  <c:v>91.515151515151473</c:v>
                </c:pt>
                <c:pt idx="15">
                  <c:v>90.909090909090864</c:v>
                </c:pt>
                <c:pt idx="16">
                  <c:v>90.303030303030255</c:v>
                </c:pt>
                <c:pt idx="17">
                  <c:v>89.696969696969646</c:v>
                </c:pt>
                <c:pt idx="18">
                  <c:v>89.090909090909037</c:v>
                </c:pt>
                <c:pt idx="19">
                  <c:v>88.484848484848428</c:v>
                </c:pt>
                <c:pt idx="20">
                  <c:v>87.878787878787818</c:v>
                </c:pt>
                <c:pt idx="21">
                  <c:v>87.272727272727209</c:v>
                </c:pt>
                <c:pt idx="22">
                  <c:v>86.6666666666666</c:v>
                </c:pt>
                <c:pt idx="23">
                  <c:v>86.060606060605991</c:v>
                </c:pt>
                <c:pt idx="24">
                  <c:v>85.454545454545382</c:v>
                </c:pt>
                <c:pt idx="25">
                  <c:v>84.848484848484773</c:v>
                </c:pt>
                <c:pt idx="26">
                  <c:v>84.242424242424164</c:v>
                </c:pt>
                <c:pt idx="27">
                  <c:v>83.636363636363555</c:v>
                </c:pt>
                <c:pt idx="28">
                  <c:v>83.030303030302946</c:v>
                </c:pt>
                <c:pt idx="29">
                  <c:v>82.424242424242337</c:v>
                </c:pt>
                <c:pt idx="30">
                  <c:v>81.818181818181728</c:v>
                </c:pt>
                <c:pt idx="31">
                  <c:v>81.212121212121119</c:v>
                </c:pt>
                <c:pt idx="32">
                  <c:v>80.60606060606051</c:v>
                </c:pt>
                <c:pt idx="33">
                  <c:v>79.999999999999901</c:v>
                </c:pt>
                <c:pt idx="34">
                  <c:v>79.393939393939291</c:v>
                </c:pt>
                <c:pt idx="35">
                  <c:v>78.787878787878682</c:v>
                </c:pt>
                <c:pt idx="36">
                  <c:v>78.181818181818073</c:v>
                </c:pt>
                <c:pt idx="37">
                  <c:v>77.575757575757464</c:v>
                </c:pt>
                <c:pt idx="38">
                  <c:v>76.969696969696855</c:v>
                </c:pt>
                <c:pt idx="39">
                  <c:v>76.363636363636246</c:v>
                </c:pt>
                <c:pt idx="40">
                  <c:v>75.757575757575637</c:v>
                </c:pt>
                <c:pt idx="41">
                  <c:v>75.151515151515028</c:v>
                </c:pt>
                <c:pt idx="42">
                  <c:v>74.545454545454419</c:v>
                </c:pt>
                <c:pt idx="43">
                  <c:v>73.93939393939381</c:v>
                </c:pt>
                <c:pt idx="44">
                  <c:v>73.333333333333201</c:v>
                </c:pt>
                <c:pt idx="45">
                  <c:v>72.727272727272592</c:v>
                </c:pt>
                <c:pt idx="46">
                  <c:v>72.121212121211983</c:v>
                </c:pt>
                <c:pt idx="47">
                  <c:v>71.515151515151388</c:v>
                </c:pt>
                <c:pt idx="48">
                  <c:v>70.909090909090793</c:v>
                </c:pt>
                <c:pt idx="49">
                  <c:v>70.303030303030198</c:v>
                </c:pt>
                <c:pt idx="50">
                  <c:v>69.696969696969603</c:v>
                </c:pt>
                <c:pt idx="51">
                  <c:v>69.090909090909008</c:v>
                </c:pt>
                <c:pt idx="52">
                  <c:v>68.484848484848413</c:v>
                </c:pt>
                <c:pt idx="53">
                  <c:v>67.878787878787818</c:v>
                </c:pt>
                <c:pt idx="54">
                  <c:v>67.272727272727224</c:v>
                </c:pt>
                <c:pt idx="55">
                  <c:v>66.666666666666629</c:v>
                </c:pt>
                <c:pt idx="56">
                  <c:v>66.060606060606034</c:v>
                </c:pt>
                <c:pt idx="57">
                  <c:v>65.454545454545439</c:v>
                </c:pt>
                <c:pt idx="58">
                  <c:v>64.848484848484844</c:v>
                </c:pt>
                <c:pt idx="59">
                  <c:v>64.242424242424249</c:v>
                </c:pt>
                <c:pt idx="60">
                  <c:v>63.636363636363654</c:v>
                </c:pt>
                <c:pt idx="61">
                  <c:v>63.03030303030306</c:v>
                </c:pt>
                <c:pt idx="62">
                  <c:v>62.424242424242465</c:v>
                </c:pt>
                <c:pt idx="63">
                  <c:v>61.81818181818187</c:v>
                </c:pt>
                <c:pt idx="64">
                  <c:v>61.212121212121275</c:v>
                </c:pt>
                <c:pt idx="65">
                  <c:v>60.60606060606068</c:v>
                </c:pt>
                <c:pt idx="66">
                  <c:v>60.000000000000085</c:v>
                </c:pt>
                <c:pt idx="67">
                  <c:v>59.39393939393949</c:v>
                </c:pt>
                <c:pt idx="68">
                  <c:v>58.787878787878896</c:v>
                </c:pt>
                <c:pt idx="69">
                  <c:v>58.181818181818301</c:v>
                </c:pt>
                <c:pt idx="70">
                  <c:v>57.575757575757706</c:v>
                </c:pt>
                <c:pt idx="71">
                  <c:v>56.969696969697111</c:v>
                </c:pt>
                <c:pt idx="72">
                  <c:v>56.363636363636516</c:v>
                </c:pt>
                <c:pt idx="73">
                  <c:v>55.757575757575921</c:v>
                </c:pt>
                <c:pt idx="74">
                  <c:v>55.151515151515326</c:v>
                </c:pt>
                <c:pt idx="75">
                  <c:v>54.545454545454731</c:v>
                </c:pt>
                <c:pt idx="76">
                  <c:v>53.939393939394137</c:v>
                </c:pt>
                <c:pt idx="77">
                  <c:v>53.333333333333542</c:v>
                </c:pt>
                <c:pt idx="78">
                  <c:v>52.727272727272947</c:v>
                </c:pt>
                <c:pt idx="79">
                  <c:v>52.121212121212352</c:v>
                </c:pt>
                <c:pt idx="80">
                  <c:v>51.515151515151757</c:v>
                </c:pt>
                <c:pt idx="81">
                  <c:v>50.909090909091162</c:v>
                </c:pt>
                <c:pt idx="82">
                  <c:v>50.303030303030567</c:v>
                </c:pt>
                <c:pt idx="83">
                  <c:v>49.696969696969973</c:v>
                </c:pt>
                <c:pt idx="84">
                  <c:v>49.090909090909378</c:v>
                </c:pt>
                <c:pt idx="85">
                  <c:v>48.484848484848783</c:v>
                </c:pt>
                <c:pt idx="86">
                  <c:v>47.878787878788188</c:v>
                </c:pt>
                <c:pt idx="87">
                  <c:v>47.272727272727593</c:v>
                </c:pt>
                <c:pt idx="88">
                  <c:v>46.666666666666998</c:v>
                </c:pt>
                <c:pt idx="89">
                  <c:v>46.060606060606403</c:v>
                </c:pt>
                <c:pt idx="90">
                  <c:v>45.454545454545809</c:v>
                </c:pt>
                <c:pt idx="91">
                  <c:v>44.848484848485214</c:v>
                </c:pt>
                <c:pt idx="92">
                  <c:v>44.242424242424619</c:v>
                </c:pt>
                <c:pt idx="93">
                  <c:v>43.636363636364024</c:v>
                </c:pt>
                <c:pt idx="94">
                  <c:v>43.030303030303429</c:v>
                </c:pt>
                <c:pt idx="95">
                  <c:v>42.424242424242834</c:v>
                </c:pt>
                <c:pt idx="96">
                  <c:v>41.818181818182239</c:v>
                </c:pt>
                <c:pt idx="97">
                  <c:v>41.212121212121644</c:v>
                </c:pt>
                <c:pt idx="98">
                  <c:v>40.60606060606105</c:v>
                </c:pt>
                <c:pt idx="99">
                  <c:v>40</c:v>
                </c:pt>
              </c:numCache>
            </c:numRef>
          </c:xVal>
          <c:yVal>
            <c:numRef>
              <c:f>ElipseTabla!$G$14:$G$113</c:f>
              <c:numCache>
                <c:formatCode>General</c:formatCode>
                <c:ptCount val="100"/>
                <c:pt idx="0">
                  <c:v>70</c:v>
                </c:pt>
                <c:pt idx="1">
                  <c:v>69.998979669922562</c:v>
                </c:pt>
                <c:pt idx="2">
                  <c:v>69.995918367304427</c:v>
                </c:pt>
                <c:pt idx="3">
                  <c:v>69.990815154509875</c:v>
                </c:pt>
                <c:pt idx="4">
                  <c:v>69.983668467216205</c:v>
                </c:pt>
                <c:pt idx="5">
                  <c:v>69.974476112013377</c:v>
                </c:pt>
                <c:pt idx="6">
                  <c:v>69.963235263031038</c:v>
                </c:pt>
                <c:pt idx="7">
                  <c:v>69.949942457581429</c:v>
                </c:pt>
                <c:pt idx="8">
                  <c:v>69.934593590802038</c:v>
                </c:pt>
                <c:pt idx="9">
                  <c:v>69.917183909278762</c:v>
                </c:pt>
                <c:pt idx="10">
                  <c:v>69.897708003626235</c:v>
                </c:pt>
                <c:pt idx="11">
                  <c:v>69.876159799998135</c:v>
                </c:pt>
                <c:pt idx="12">
                  <c:v>69.852532550495994</c:v>
                </c:pt>
                <c:pt idx="13">
                  <c:v>69.826818822440885</c:v>
                </c:pt>
                <c:pt idx="14">
                  <c:v>69.799010486467253</c:v>
                </c:pt>
                <c:pt idx="15">
                  <c:v>69.76909870339405</c:v>
                </c:pt>
                <c:pt idx="16">
                  <c:v>69.737073909822186</c:v>
                </c:pt>
                <c:pt idx="17">
                  <c:v>69.702925802402603</c:v>
                </c:pt>
                <c:pt idx="18">
                  <c:v>69.666643320712666</c:v>
                </c:pt>
                <c:pt idx="19">
                  <c:v>69.628214628672509</c:v>
                </c:pt>
                <c:pt idx="20">
                  <c:v>69.587627094425869</c:v>
                </c:pt>
                <c:pt idx="21">
                  <c:v>69.544867268602545</c:v>
                </c:pt>
                <c:pt idx="22">
                  <c:v>69.499920860871384</c:v>
                </c:pt>
                <c:pt idx="23">
                  <c:v>69.452772714683988</c:v>
                </c:pt>
                <c:pt idx="24">
                  <c:v>69.40340678009953</c:v>
                </c:pt>
                <c:pt idx="25">
                  <c:v>69.351806084570569</c:v>
                </c:pt>
                <c:pt idx="26">
                  <c:v>69.297952701558373</c:v>
                </c:pt>
                <c:pt idx="27">
                  <c:v>69.24182771683337</c:v>
                </c:pt>
                <c:pt idx="28">
                  <c:v>69.183411192302628</c:v>
                </c:pt>
                <c:pt idx="29">
                  <c:v>69.122682127190672</c:v>
                </c:pt>
                <c:pt idx="30">
                  <c:v>69.059618416383486</c:v>
                </c:pt>
                <c:pt idx="31">
                  <c:v>68.994196805726304</c:v>
                </c:pt>
                <c:pt idx="32">
                  <c:v>68.926392844045409</c:v>
                </c:pt>
                <c:pt idx="33">
                  <c:v>68.856180831641254</c:v>
                </c:pt>
                <c:pt idx="34">
                  <c:v>68.783533764974266</c:v>
                </c:pt>
                <c:pt idx="35">
                  <c:v>68.708423277236719</c:v>
                </c:pt>
                <c:pt idx="36">
                  <c:v>68.630819574471985</c:v>
                </c:pt>
                <c:pt idx="37">
                  <c:v>68.550691366867056</c:v>
                </c:pt>
                <c:pt idx="38">
                  <c:v>68.468005794804554</c:v>
                </c:pt>
                <c:pt idx="39">
                  <c:v>68.382728349215867</c:v>
                </c:pt>
                <c:pt idx="40">
                  <c:v>68.294822785726737</c:v>
                </c:pt>
                <c:pt idx="41">
                  <c:v>68.204251032030385</c:v>
                </c:pt>
                <c:pt idx="42">
                  <c:v>68.110973087859293</c:v>
                </c:pt>
                <c:pt idx="43">
                  <c:v>68.014946916854896</c:v>
                </c:pt>
                <c:pt idx="44">
                  <c:v>67.916128329552308</c:v>
                </c:pt>
                <c:pt idx="45">
                  <c:v>67.814470856604913</c:v>
                </c:pt>
                <c:pt idx="46">
                  <c:v>67.709925611267138</c:v>
                </c:pt>
                <c:pt idx="47">
                  <c:v>67.602441140033889</c:v>
                </c:pt>
                <c:pt idx="48">
                  <c:v>67.491963260196115</c:v>
                </c:pt>
                <c:pt idx="49">
                  <c:v>67.378434882914377</c:v>
                </c:pt>
                <c:pt idx="50">
                  <c:v>67.261795820229452</c:v>
                </c:pt>
                <c:pt idx="51">
                  <c:v>67.141982574219327</c:v>
                </c:pt>
                <c:pt idx="52">
                  <c:v>67.018928106268547</c:v>
                </c:pt>
                <c:pt idx="53">
                  <c:v>66.892561584134825</c:v>
                </c:pt>
                <c:pt idx="54">
                  <c:v>66.762808104168869</c:v>
                </c:pt>
                <c:pt idx="55">
                  <c:v>66.629588385661947</c:v>
                </c:pt>
                <c:pt idx="56">
                  <c:v>66.492818433847134</c:v>
                </c:pt>
                <c:pt idx="57">
                  <c:v>66.352409167553986</c:v>
                </c:pt>
                <c:pt idx="58">
                  <c:v>66.208266006896338</c:v>
                </c:pt>
                <c:pt idx="59">
                  <c:v>66.060288415637814</c:v>
                </c:pt>
                <c:pt idx="60">
                  <c:v>65.908369392008112</c:v>
                </c:pt>
                <c:pt idx="61">
                  <c:v>65.752394900701361</c:v>
                </c:pt>
                <c:pt idx="62">
                  <c:v>65.592243237541396</c:v>
                </c:pt>
                <c:pt idx="63">
                  <c:v>65.427784316797414</c:v>
                </c:pt>
                <c:pt idx="64">
                  <c:v>65.258878869318551</c:v>
                </c:pt>
                <c:pt idx="65">
                  <c:v>65.0853775374501</c:v>
                </c:pt>
                <c:pt idx="66">
                  <c:v>64.907119849998622</c:v>
                </c:pt>
                <c:pt idx="67">
                  <c:v>64.723933057202942</c:v>
                </c:pt>
                <c:pt idx="68">
                  <c:v>64.535630801575664</c:v>
                </c:pt>
                <c:pt idx="69">
                  <c:v>64.342011595393046</c:v>
                </c:pt>
                <c:pt idx="70">
                  <c:v>64.142857069242183</c:v>
                </c:pt>
                <c:pt idx="71">
                  <c:v>63.937929948008403</c:v>
                </c:pt>
                <c:pt idx="72">
                  <c:v>63.726971700492328</c:v>
                </c:pt>
                <c:pt idx="73">
                  <c:v>63.509699795798433</c:v>
                </c:pt>
                <c:pt idx="74">
                  <c:v>63.285804482793907</c:v>
                </c:pt>
                <c:pt idx="75">
                  <c:v>63.054944986992808</c:v>
                </c:pt>
                <c:pt idx="76">
                  <c:v>62.816744990353129</c:v>
                </c:pt>
                <c:pt idx="77">
                  <c:v>62.570787221094264</c:v>
                </c:pt>
                <c:pt idx="78">
                  <c:v>62.316606929031352</c:v>
                </c:pt>
                <c:pt idx="79">
                  <c:v>62.053683951657717</c:v>
                </c:pt>
                <c:pt idx="80">
                  <c:v>61.781432979251292</c:v>
                </c:pt>
                <c:pt idx="81">
                  <c:v>61.499191491521501</c:v>
                </c:pt>
                <c:pt idx="82">
                  <c:v>61.206204645138442</c:v>
                </c:pt>
                <c:pt idx="83">
                  <c:v>60.901606111702804</c:v>
                </c:pt>
                <c:pt idx="84">
                  <c:v>60.584393452468625</c:v>
                </c:pt>
                <c:pt idx="85">
                  <c:v>60.253395992282606</c:v>
                </c:pt>
                <c:pt idx="86">
                  <c:v>59.907232190092486</c:v>
                </c:pt>
                <c:pt idx="87">
                  <c:v>59.54425196849936</c:v>
                </c:pt>
                <c:pt idx="88">
                  <c:v>59.16245694581724</c:v>
                </c:pt>
                <c:pt idx="89">
                  <c:v>58.759387227749244</c:v>
                </c:pt>
                <c:pt idx="90">
                  <c:v>58.331955809010879</c:v>
                </c:pt>
                <c:pt idx="91">
                  <c:v>57.876197450350958</c:v>
                </c:pt>
                <c:pt idx="92">
                  <c:v>57.386870827791114</c:v>
                </c:pt>
                <c:pt idx="93">
                  <c:v>56.856793029688092</c:v>
                </c:pt>
                <c:pt idx="94">
                  <c:v>56.275646289701037</c:v>
                </c:pt>
                <c:pt idx="95">
                  <c:v>55.627631627145568</c:v>
                </c:pt>
                <c:pt idx="96">
                  <c:v>54.886216817151194</c:v>
                </c:pt>
                <c:pt idx="97">
                  <c:v>53.999795933985219</c:v>
                </c:pt>
                <c:pt idx="98">
                  <c:v>52.835488656085516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A6-4D7E-882E-E6467E297C20}"/>
            </c:ext>
          </c:extLst>
        </c:ser>
        <c:ser>
          <c:idx val="3"/>
          <c:order val="3"/>
          <c:tx>
            <c:strRef>
              <c:f>ElipseTabla!$H$13</c:f>
              <c:strCache>
                <c:ptCount val="1"/>
                <c:pt idx="0">
                  <c:v>YC4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ElipseTabla!$F$14:$F$113</c:f>
              <c:numCache>
                <c:formatCode>General</c:formatCode>
                <c:ptCount val="100"/>
                <c:pt idx="0">
                  <c:v>100</c:v>
                </c:pt>
                <c:pt idx="1">
                  <c:v>99.393939393939391</c:v>
                </c:pt>
                <c:pt idx="2">
                  <c:v>98.787878787878782</c:v>
                </c:pt>
                <c:pt idx="3">
                  <c:v>98.181818181818173</c:v>
                </c:pt>
                <c:pt idx="4">
                  <c:v>97.575757575757564</c:v>
                </c:pt>
                <c:pt idx="5">
                  <c:v>96.969696969696955</c:v>
                </c:pt>
                <c:pt idx="6">
                  <c:v>96.363636363636346</c:v>
                </c:pt>
                <c:pt idx="7">
                  <c:v>95.757575757575736</c:v>
                </c:pt>
                <c:pt idx="8">
                  <c:v>95.151515151515127</c:v>
                </c:pt>
                <c:pt idx="9">
                  <c:v>94.545454545454518</c:v>
                </c:pt>
                <c:pt idx="10">
                  <c:v>93.939393939393909</c:v>
                </c:pt>
                <c:pt idx="11">
                  <c:v>93.3333333333333</c:v>
                </c:pt>
                <c:pt idx="12">
                  <c:v>92.727272727272691</c:v>
                </c:pt>
                <c:pt idx="13">
                  <c:v>92.121212121212082</c:v>
                </c:pt>
                <c:pt idx="14">
                  <c:v>91.515151515151473</c:v>
                </c:pt>
                <c:pt idx="15">
                  <c:v>90.909090909090864</c:v>
                </c:pt>
                <c:pt idx="16">
                  <c:v>90.303030303030255</c:v>
                </c:pt>
                <c:pt idx="17">
                  <c:v>89.696969696969646</c:v>
                </c:pt>
                <c:pt idx="18">
                  <c:v>89.090909090909037</c:v>
                </c:pt>
                <c:pt idx="19">
                  <c:v>88.484848484848428</c:v>
                </c:pt>
                <c:pt idx="20">
                  <c:v>87.878787878787818</c:v>
                </c:pt>
                <c:pt idx="21">
                  <c:v>87.272727272727209</c:v>
                </c:pt>
                <c:pt idx="22">
                  <c:v>86.6666666666666</c:v>
                </c:pt>
                <c:pt idx="23">
                  <c:v>86.060606060605991</c:v>
                </c:pt>
                <c:pt idx="24">
                  <c:v>85.454545454545382</c:v>
                </c:pt>
                <c:pt idx="25">
                  <c:v>84.848484848484773</c:v>
                </c:pt>
                <c:pt idx="26">
                  <c:v>84.242424242424164</c:v>
                </c:pt>
                <c:pt idx="27">
                  <c:v>83.636363636363555</c:v>
                </c:pt>
                <c:pt idx="28">
                  <c:v>83.030303030302946</c:v>
                </c:pt>
                <c:pt idx="29">
                  <c:v>82.424242424242337</c:v>
                </c:pt>
                <c:pt idx="30">
                  <c:v>81.818181818181728</c:v>
                </c:pt>
                <c:pt idx="31">
                  <c:v>81.212121212121119</c:v>
                </c:pt>
                <c:pt idx="32">
                  <c:v>80.60606060606051</c:v>
                </c:pt>
                <c:pt idx="33">
                  <c:v>79.999999999999901</c:v>
                </c:pt>
                <c:pt idx="34">
                  <c:v>79.393939393939291</c:v>
                </c:pt>
                <c:pt idx="35">
                  <c:v>78.787878787878682</c:v>
                </c:pt>
                <c:pt idx="36">
                  <c:v>78.181818181818073</c:v>
                </c:pt>
                <c:pt idx="37">
                  <c:v>77.575757575757464</c:v>
                </c:pt>
                <c:pt idx="38">
                  <c:v>76.969696969696855</c:v>
                </c:pt>
                <c:pt idx="39">
                  <c:v>76.363636363636246</c:v>
                </c:pt>
                <c:pt idx="40">
                  <c:v>75.757575757575637</c:v>
                </c:pt>
                <c:pt idx="41">
                  <c:v>75.151515151515028</c:v>
                </c:pt>
                <c:pt idx="42">
                  <c:v>74.545454545454419</c:v>
                </c:pt>
                <c:pt idx="43">
                  <c:v>73.93939393939381</c:v>
                </c:pt>
                <c:pt idx="44">
                  <c:v>73.333333333333201</c:v>
                </c:pt>
                <c:pt idx="45">
                  <c:v>72.727272727272592</c:v>
                </c:pt>
                <c:pt idx="46">
                  <c:v>72.121212121211983</c:v>
                </c:pt>
                <c:pt idx="47">
                  <c:v>71.515151515151388</c:v>
                </c:pt>
                <c:pt idx="48">
                  <c:v>70.909090909090793</c:v>
                </c:pt>
                <c:pt idx="49">
                  <c:v>70.303030303030198</c:v>
                </c:pt>
                <c:pt idx="50">
                  <c:v>69.696969696969603</c:v>
                </c:pt>
                <c:pt idx="51">
                  <c:v>69.090909090909008</c:v>
                </c:pt>
                <c:pt idx="52">
                  <c:v>68.484848484848413</c:v>
                </c:pt>
                <c:pt idx="53">
                  <c:v>67.878787878787818</c:v>
                </c:pt>
                <c:pt idx="54">
                  <c:v>67.272727272727224</c:v>
                </c:pt>
                <c:pt idx="55">
                  <c:v>66.666666666666629</c:v>
                </c:pt>
                <c:pt idx="56">
                  <c:v>66.060606060606034</c:v>
                </c:pt>
                <c:pt idx="57">
                  <c:v>65.454545454545439</c:v>
                </c:pt>
                <c:pt idx="58">
                  <c:v>64.848484848484844</c:v>
                </c:pt>
                <c:pt idx="59">
                  <c:v>64.242424242424249</c:v>
                </c:pt>
                <c:pt idx="60">
                  <c:v>63.636363636363654</c:v>
                </c:pt>
                <c:pt idx="61">
                  <c:v>63.03030303030306</c:v>
                </c:pt>
                <c:pt idx="62">
                  <c:v>62.424242424242465</c:v>
                </c:pt>
                <c:pt idx="63">
                  <c:v>61.81818181818187</c:v>
                </c:pt>
                <c:pt idx="64">
                  <c:v>61.212121212121275</c:v>
                </c:pt>
                <c:pt idx="65">
                  <c:v>60.60606060606068</c:v>
                </c:pt>
                <c:pt idx="66">
                  <c:v>60.000000000000085</c:v>
                </c:pt>
                <c:pt idx="67">
                  <c:v>59.39393939393949</c:v>
                </c:pt>
                <c:pt idx="68">
                  <c:v>58.787878787878896</c:v>
                </c:pt>
                <c:pt idx="69">
                  <c:v>58.181818181818301</c:v>
                </c:pt>
                <c:pt idx="70">
                  <c:v>57.575757575757706</c:v>
                </c:pt>
                <c:pt idx="71">
                  <c:v>56.969696969697111</c:v>
                </c:pt>
                <c:pt idx="72">
                  <c:v>56.363636363636516</c:v>
                </c:pt>
                <c:pt idx="73">
                  <c:v>55.757575757575921</c:v>
                </c:pt>
                <c:pt idx="74">
                  <c:v>55.151515151515326</c:v>
                </c:pt>
                <c:pt idx="75">
                  <c:v>54.545454545454731</c:v>
                </c:pt>
                <c:pt idx="76">
                  <c:v>53.939393939394137</c:v>
                </c:pt>
                <c:pt idx="77">
                  <c:v>53.333333333333542</c:v>
                </c:pt>
                <c:pt idx="78">
                  <c:v>52.727272727272947</c:v>
                </c:pt>
                <c:pt idx="79">
                  <c:v>52.121212121212352</c:v>
                </c:pt>
                <c:pt idx="80">
                  <c:v>51.515151515151757</c:v>
                </c:pt>
                <c:pt idx="81">
                  <c:v>50.909090909091162</c:v>
                </c:pt>
                <c:pt idx="82">
                  <c:v>50.303030303030567</c:v>
                </c:pt>
                <c:pt idx="83">
                  <c:v>49.696969696969973</c:v>
                </c:pt>
                <c:pt idx="84">
                  <c:v>49.090909090909378</c:v>
                </c:pt>
                <c:pt idx="85">
                  <c:v>48.484848484848783</c:v>
                </c:pt>
                <c:pt idx="86">
                  <c:v>47.878787878788188</c:v>
                </c:pt>
                <c:pt idx="87">
                  <c:v>47.272727272727593</c:v>
                </c:pt>
                <c:pt idx="88">
                  <c:v>46.666666666666998</c:v>
                </c:pt>
                <c:pt idx="89">
                  <c:v>46.060606060606403</c:v>
                </c:pt>
                <c:pt idx="90">
                  <c:v>45.454545454545809</c:v>
                </c:pt>
                <c:pt idx="91">
                  <c:v>44.848484848485214</c:v>
                </c:pt>
                <c:pt idx="92">
                  <c:v>44.242424242424619</c:v>
                </c:pt>
                <c:pt idx="93">
                  <c:v>43.636363636364024</c:v>
                </c:pt>
                <c:pt idx="94">
                  <c:v>43.030303030303429</c:v>
                </c:pt>
                <c:pt idx="95">
                  <c:v>42.424242424242834</c:v>
                </c:pt>
                <c:pt idx="96">
                  <c:v>41.818181818182239</c:v>
                </c:pt>
                <c:pt idx="97">
                  <c:v>41.212121212121644</c:v>
                </c:pt>
                <c:pt idx="98">
                  <c:v>40.60606060606105</c:v>
                </c:pt>
                <c:pt idx="99">
                  <c:v>40</c:v>
                </c:pt>
              </c:numCache>
            </c:numRef>
          </c:xVal>
          <c:yVal>
            <c:numRef>
              <c:f>ElipseTabla!$H$14:$H$113</c:f>
              <c:numCache>
                <c:formatCode>General</c:formatCode>
                <c:ptCount val="100"/>
                <c:pt idx="0">
                  <c:v>30</c:v>
                </c:pt>
                <c:pt idx="1">
                  <c:v>30.001020330077438</c:v>
                </c:pt>
                <c:pt idx="2">
                  <c:v>30.004081632695573</c:v>
                </c:pt>
                <c:pt idx="3">
                  <c:v>30.009184845490125</c:v>
                </c:pt>
                <c:pt idx="4">
                  <c:v>30.016331532783795</c:v>
                </c:pt>
                <c:pt idx="5">
                  <c:v>30.025523887986623</c:v>
                </c:pt>
                <c:pt idx="6">
                  <c:v>30.036764736968962</c:v>
                </c:pt>
                <c:pt idx="7">
                  <c:v>30.050057542418571</c:v>
                </c:pt>
                <c:pt idx="8">
                  <c:v>30.065406409197962</c:v>
                </c:pt>
                <c:pt idx="9">
                  <c:v>30.082816090721238</c:v>
                </c:pt>
                <c:pt idx="10">
                  <c:v>30.102291996373765</c:v>
                </c:pt>
                <c:pt idx="11">
                  <c:v>30.123840200001865</c:v>
                </c:pt>
                <c:pt idx="12">
                  <c:v>30.147467449504006</c:v>
                </c:pt>
                <c:pt idx="13">
                  <c:v>30.173181177559115</c:v>
                </c:pt>
                <c:pt idx="14">
                  <c:v>30.200989513532747</c:v>
                </c:pt>
                <c:pt idx="15">
                  <c:v>30.23090129660595</c:v>
                </c:pt>
                <c:pt idx="16">
                  <c:v>30.262926090177814</c:v>
                </c:pt>
                <c:pt idx="17">
                  <c:v>30.297074197597397</c:v>
                </c:pt>
                <c:pt idx="18">
                  <c:v>30.333356679287334</c:v>
                </c:pt>
                <c:pt idx="19">
                  <c:v>30.371785371327491</c:v>
                </c:pt>
                <c:pt idx="20">
                  <c:v>30.412372905574131</c:v>
                </c:pt>
                <c:pt idx="21">
                  <c:v>30.455132731397455</c:v>
                </c:pt>
                <c:pt idx="22">
                  <c:v>30.500079139128616</c:v>
                </c:pt>
                <c:pt idx="23">
                  <c:v>30.547227285316012</c:v>
                </c:pt>
                <c:pt idx="24">
                  <c:v>30.59659321990047</c:v>
                </c:pt>
                <c:pt idx="25">
                  <c:v>30.648193915429431</c:v>
                </c:pt>
                <c:pt idx="26">
                  <c:v>30.702047298441627</c:v>
                </c:pt>
                <c:pt idx="27">
                  <c:v>30.75817228316663</c:v>
                </c:pt>
                <c:pt idx="28">
                  <c:v>30.816588807697372</c:v>
                </c:pt>
                <c:pt idx="29">
                  <c:v>30.877317872809328</c:v>
                </c:pt>
                <c:pt idx="30">
                  <c:v>30.940381583616514</c:v>
                </c:pt>
                <c:pt idx="31">
                  <c:v>31.005803194273696</c:v>
                </c:pt>
                <c:pt idx="32">
                  <c:v>31.073607155954591</c:v>
                </c:pt>
                <c:pt idx="33">
                  <c:v>31.143819168358746</c:v>
                </c:pt>
                <c:pt idx="34">
                  <c:v>31.216466235025734</c:v>
                </c:pt>
                <c:pt idx="35">
                  <c:v>31.291576722763281</c:v>
                </c:pt>
                <c:pt idx="36">
                  <c:v>31.369180425528015</c:v>
                </c:pt>
                <c:pt idx="37">
                  <c:v>31.449308633132944</c:v>
                </c:pt>
                <c:pt idx="38">
                  <c:v>31.531994205195446</c:v>
                </c:pt>
                <c:pt idx="39">
                  <c:v>31.617271650784133</c:v>
                </c:pt>
                <c:pt idx="40">
                  <c:v>31.705177214273263</c:v>
                </c:pt>
                <c:pt idx="41">
                  <c:v>31.795748967969615</c:v>
                </c:pt>
                <c:pt idx="42">
                  <c:v>31.889026912140707</c:v>
                </c:pt>
                <c:pt idx="43">
                  <c:v>31.985053083145104</c:v>
                </c:pt>
                <c:pt idx="44">
                  <c:v>32.083871670447692</c:v>
                </c:pt>
                <c:pt idx="45">
                  <c:v>32.185529143395087</c:v>
                </c:pt>
                <c:pt idx="46">
                  <c:v>32.290074388732862</c:v>
                </c:pt>
                <c:pt idx="47">
                  <c:v>32.397558859966111</c:v>
                </c:pt>
                <c:pt idx="48">
                  <c:v>32.508036739803885</c:v>
                </c:pt>
                <c:pt idx="49">
                  <c:v>32.621565117085623</c:v>
                </c:pt>
                <c:pt idx="50">
                  <c:v>32.738204179770548</c:v>
                </c:pt>
                <c:pt idx="51">
                  <c:v>32.858017425780673</c:v>
                </c:pt>
                <c:pt idx="52">
                  <c:v>32.981071893731453</c:v>
                </c:pt>
                <c:pt idx="53">
                  <c:v>33.107438415865175</c:v>
                </c:pt>
                <c:pt idx="54">
                  <c:v>33.237191895831131</c:v>
                </c:pt>
                <c:pt idx="55">
                  <c:v>33.370411614338053</c:v>
                </c:pt>
                <c:pt idx="56">
                  <c:v>33.507181566152866</c:v>
                </c:pt>
                <c:pt idx="57">
                  <c:v>33.647590832446014</c:v>
                </c:pt>
                <c:pt idx="58">
                  <c:v>33.791733993103662</c:v>
                </c:pt>
                <c:pt idx="59">
                  <c:v>33.939711584362186</c:v>
                </c:pt>
                <c:pt idx="60">
                  <c:v>34.091630607991888</c:v>
                </c:pt>
                <c:pt idx="61">
                  <c:v>34.247605099298639</c:v>
                </c:pt>
                <c:pt idx="62">
                  <c:v>34.407756762458604</c:v>
                </c:pt>
                <c:pt idx="63">
                  <c:v>34.572215683202586</c:v>
                </c:pt>
                <c:pt idx="64">
                  <c:v>34.741121130681449</c:v>
                </c:pt>
                <c:pt idx="65">
                  <c:v>34.9146224625499</c:v>
                </c:pt>
                <c:pt idx="66">
                  <c:v>35.092880150001378</c:v>
                </c:pt>
                <c:pt idx="67">
                  <c:v>35.276066942797058</c:v>
                </c:pt>
                <c:pt idx="68">
                  <c:v>35.464369198424336</c:v>
                </c:pt>
                <c:pt idx="69">
                  <c:v>35.657988404606954</c:v>
                </c:pt>
                <c:pt idx="70">
                  <c:v>35.857142930757817</c:v>
                </c:pt>
                <c:pt idx="71">
                  <c:v>36.062070051991597</c:v>
                </c:pt>
                <c:pt idx="72">
                  <c:v>36.273028299507672</c:v>
                </c:pt>
                <c:pt idx="73">
                  <c:v>36.490300204201567</c:v>
                </c:pt>
                <c:pt idx="74">
                  <c:v>36.714195517206093</c:v>
                </c:pt>
                <c:pt idx="75">
                  <c:v>36.945055013007192</c:v>
                </c:pt>
                <c:pt idx="76">
                  <c:v>37.183255009646871</c:v>
                </c:pt>
                <c:pt idx="77">
                  <c:v>37.429212778905736</c:v>
                </c:pt>
                <c:pt idx="78">
                  <c:v>37.683393070968648</c:v>
                </c:pt>
                <c:pt idx="79">
                  <c:v>37.946316048342283</c:v>
                </c:pt>
                <c:pt idx="80">
                  <c:v>38.218567020748708</c:v>
                </c:pt>
                <c:pt idx="81">
                  <c:v>38.500808508478499</c:v>
                </c:pt>
                <c:pt idx="82">
                  <c:v>38.793795354861558</c:v>
                </c:pt>
                <c:pt idx="83">
                  <c:v>39.098393888297196</c:v>
                </c:pt>
                <c:pt idx="84">
                  <c:v>39.415606547531375</c:v>
                </c:pt>
                <c:pt idx="85">
                  <c:v>39.746604007717394</c:v>
                </c:pt>
                <c:pt idx="86">
                  <c:v>40.092767809907514</c:v>
                </c:pt>
                <c:pt idx="87">
                  <c:v>40.45574803150064</c:v>
                </c:pt>
                <c:pt idx="88">
                  <c:v>40.83754305418276</c:v>
                </c:pt>
                <c:pt idx="89">
                  <c:v>41.240612772250756</c:v>
                </c:pt>
                <c:pt idx="90">
                  <c:v>41.668044190989121</c:v>
                </c:pt>
                <c:pt idx="91">
                  <c:v>42.123802549649042</c:v>
                </c:pt>
                <c:pt idx="92">
                  <c:v>42.613129172208886</c:v>
                </c:pt>
                <c:pt idx="93">
                  <c:v>43.143206970311908</c:v>
                </c:pt>
                <c:pt idx="94">
                  <c:v>43.724353710298963</c:v>
                </c:pt>
                <c:pt idx="95">
                  <c:v>44.372368372854432</c:v>
                </c:pt>
                <c:pt idx="96">
                  <c:v>45.113783182848806</c:v>
                </c:pt>
                <c:pt idx="97">
                  <c:v>46.000204066014781</c:v>
                </c:pt>
                <c:pt idx="98">
                  <c:v>47.164511343914484</c:v>
                </c:pt>
                <c:pt idx="9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A6-4D7E-882E-E6467E297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37231"/>
        <c:axId val="539541551"/>
      </c:scatterChart>
      <c:valAx>
        <c:axId val="5395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41551"/>
        <c:crosses val="autoZero"/>
        <c:crossBetween val="midCat"/>
      </c:valAx>
      <c:valAx>
        <c:axId val="5395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3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4550208901665E-2"/>
          <c:y val="5.7846468565658331E-2"/>
          <c:w val="0.85341244722679255"/>
          <c:h val="0.839067292033761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SuperElipseTabla!$D$10</c:f>
              <c:strCache>
                <c:ptCount val="1"/>
                <c:pt idx="0">
                  <c:v>YC1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SuperElipseTabla!$C$11:$C$110</c:f>
              <c:numCache>
                <c:formatCode>General</c:formatCode>
                <c:ptCount val="100"/>
                <c:pt idx="0">
                  <c:v>0</c:v>
                </c:pt>
                <c:pt idx="1">
                  <c:v>1.0606060606060606</c:v>
                </c:pt>
                <c:pt idx="2">
                  <c:v>2.1212121212121211</c:v>
                </c:pt>
                <c:pt idx="3">
                  <c:v>3.1818181818181817</c:v>
                </c:pt>
                <c:pt idx="4">
                  <c:v>4.2424242424242422</c:v>
                </c:pt>
                <c:pt idx="5">
                  <c:v>5.3030303030303028</c:v>
                </c:pt>
                <c:pt idx="6">
                  <c:v>6.3636363636363633</c:v>
                </c:pt>
                <c:pt idx="7">
                  <c:v>7.4242424242424239</c:v>
                </c:pt>
                <c:pt idx="8">
                  <c:v>8.4848484848484844</c:v>
                </c:pt>
                <c:pt idx="9">
                  <c:v>9.545454545454545</c:v>
                </c:pt>
                <c:pt idx="10">
                  <c:v>10.606060606060606</c:v>
                </c:pt>
                <c:pt idx="11">
                  <c:v>11.666666666666666</c:v>
                </c:pt>
                <c:pt idx="12">
                  <c:v>12.727272727272727</c:v>
                </c:pt>
                <c:pt idx="13">
                  <c:v>13.787878787878787</c:v>
                </c:pt>
                <c:pt idx="14">
                  <c:v>14.848484848484848</c:v>
                </c:pt>
                <c:pt idx="15">
                  <c:v>15.909090909090908</c:v>
                </c:pt>
                <c:pt idx="16">
                  <c:v>16.969696969696969</c:v>
                </c:pt>
                <c:pt idx="17">
                  <c:v>18.030303030303031</c:v>
                </c:pt>
                <c:pt idx="18">
                  <c:v>19.090909090909093</c:v>
                </c:pt>
                <c:pt idx="19">
                  <c:v>20.151515151515156</c:v>
                </c:pt>
                <c:pt idx="20">
                  <c:v>21.212121212121218</c:v>
                </c:pt>
                <c:pt idx="21">
                  <c:v>22.27272727272728</c:v>
                </c:pt>
                <c:pt idx="22">
                  <c:v>23.333333333333343</c:v>
                </c:pt>
                <c:pt idx="23">
                  <c:v>24.393939393939405</c:v>
                </c:pt>
                <c:pt idx="24">
                  <c:v>25.454545454545467</c:v>
                </c:pt>
                <c:pt idx="25">
                  <c:v>26.51515151515153</c:v>
                </c:pt>
                <c:pt idx="26">
                  <c:v>27.575757575757592</c:v>
                </c:pt>
                <c:pt idx="27">
                  <c:v>28.636363636363654</c:v>
                </c:pt>
                <c:pt idx="28">
                  <c:v>29.696969696969717</c:v>
                </c:pt>
                <c:pt idx="29">
                  <c:v>30.757575757575779</c:v>
                </c:pt>
                <c:pt idx="30">
                  <c:v>31.818181818181841</c:v>
                </c:pt>
                <c:pt idx="31">
                  <c:v>32.878787878787904</c:v>
                </c:pt>
                <c:pt idx="32">
                  <c:v>33.939393939393966</c:v>
                </c:pt>
                <c:pt idx="33">
                  <c:v>35.000000000000028</c:v>
                </c:pt>
                <c:pt idx="34">
                  <c:v>36.060606060606091</c:v>
                </c:pt>
                <c:pt idx="35">
                  <c:v>37.121212121212153</c:v>
                </c:pt>
                <c:pt idx="36">
                  <c:v>38.181818181818215</c:v>
                </c:pt>
                <c:pt idx="37">
                  <c:v>39.242424242424278</c:v>
                </c:pt>
                <c:pt idx="38">
                  <c:v>40.30303030303034</c:v>
                </c:pt>
                <c:pt idx="39">
                  <c:v>41.363636363636402</c:v>
                </c:pt>
                <c:pt idx="40">
                  <c:v>42.424242424242465</c:v>
                </c:pt>
                <c:pt idx="41">
                  <c:v>43.484848484848527</c:v>
                </c:pt>
                <c:pt idx="42">
                  <c:v>44.545454545454589</c:v>
                </c:pt>
                <c:pt idx="43">
                  <c:v>45.606060606060652</c:v>
                </c:pt>
                <c:pt idx="44">
                  <c:v>46.666666666666714</c:v>
                </c:pt>
                <c:pt idx="45">
                  <c:v>47.727272727272776</c:v>
                </c:pt>
                <c:pt idx="46">
                  <c:v>48.787878787878839</c:v>
                </c:pt>
                <c:pt idx="47">
                  <c:v>49.848484848484901</c:v>
                </c:pt>
                <c:pt idx="48">
                  <c:v>50.909090909090963</c:v>
                </c:pt>
                <c:pt idx="49">
                  <c:v>51.969696969697026</c:v>
                </c:pt>
                <c:pt idx="50">
                  <c:v>53.030303030303088</c:v>
                </c:pt>
                <c:pt idx="51">
                  <c:v>54.09090909090915</c:v>
                </c:pt>
                <c:pt idx="52">
                  <c:v>55.151515151515213</c:v>
                </c:pt>
                <c:pt idx="53">
                  <c:v>56.212121212121275</c:v>
                </c:pt>
                <c:pt idx="54">
                  <c:v>57.272727272727337</c:v>
                </c:pt>
                <c:pt idx="55">
                  <c:v>58.3333333333334</c:v>
                </c:pt>
                <c:pt idx="56">
                  <c:v>59.393939393939462</c:v>
                </c:pt>
                <c:pt idx="57">
                  <c:v>60.454545454545524</c:v>
                </c:pt>
                <c:pt idx="58">
                  <c:v>61.515151515151587</c:v>
                </c:pt>
                <c:pt idx="59">
                  <c:v>62.575757575757649</c:v>
                </c:pt>
                <c:pt idx="60">
                  <c:v>63.636363636363711</c:v>
                </c:pt>
                <c:pt idx="61">
                  <c:v>64.696969696969774</c:v>
                </c:pt>
                <c:pt idx="62">
                  <c:v>65.757575757575836</c:v>
                </c:pt>
                <c:pt idx="63">
                  <c:v>66.818181818181898</c:v>
                </c:pt>
                <c:pt idx="64">
                  <c:v>67.878787878787961</c:v>
                </c:pt>
                <c:pt idx="65">
                  <c:v>68.939393939394023</c:v>
                </c:pt>
                <c:pt idx="66">
                  <c:v>70.000000000000085</c:v>
                </c:pt>
                <c:pt idx="67">
                  <c:v>71.060606060606148</c:v>
                </c:pt>
                <c:pt idx="68">
                  <c:v>72.12121212121221</c:v>
                </c:pt>
                <c:pt idx="69">
                  <c:v>73.181818181818272</c:v>
                </c:pt>
                <c:pt idx="70">
                  <c:v>74.242424242424335</c:v>
                </c:pt>
                <c:pt idx="71">
                  <c:v>75.303030303030397</c:v>
                </c:pt>
                <c:pt idx="72">
                  <c:v>76.363636363636459</c:v>
                </c:pt>
                <c:pt idx="73">
                  <c:v>77.424242424242522</c:v>
                </c:pt>
                <c:pt idx="74">
                  <c:v>78.484848484848584</c:v>
                </c:pt>
                <c:pt idx="75">
                  <c:v>79.545454545454646</c:v>
                </c:pt>
                <c:pt idx="76">
                  <c:v>80.606060606060709</c:v>
                </c:pt>
                <c:pt idx="77">
                  <c:v>81.666666666666771</c:v>
                </c:pt>
                <c:pt idx="78">
                  <c:v>82.727272727272833</c:v>
                </c:pt>
                <c:pt idx="79">
                  <c:v>83.787878787878896</c:v>
                </c:pt>
                <c:pt idx="80">
                  <c:v>84.848484848484958</c:v>
                </c:pt>
                <c:pt idx="81">
                  <c:v>85.90909090909102</c:v>
                </c:pt>
                <c:pt idx="82">
                  <c:v>86.969696969697083</c:v>
                </c:pt>
                <c:pt idx="83">
                  <c:v>88.030303030303145</c:v>
                </c:pt>
                <c:pt idx="84">
                  <c:v>89.090909090909207</c:v>
                </c:pt>
                <c:pt idx="85">
                  <c:v>90.15151515151527</c:v>
                </c:pt>
                <c:pt idx="86">
                  <c:v>91.212121212121332</c:v>
                </c:pt>
                <c:pt idx="87">
                  <c:v>92.272727272727394</c:v>
                </c:pt>
                <c:pt idx="88">
                  <c:v>93.333333333333456</c:v>
                </c:pt>
                <c:pt idx="89">
                  <c:v>94.393939393939519</c:v>
                </c:pt>
                <c:pt idx="90">
                  <c:v>95.454545454545581</c:v>
                </c:pt>
                <c:pt idx="91">
                  <c:v>96.515151515151643</c:v>
                </c:pt>
                <c:pt idx="92">
                  <c:v>97.575757575757706</c:v>
                </c:pt>
                <c:pt idx="93">
                  <c:v>98.636363636363768</c:v>
                </c:pt>
                <c:pt idx="94">
                  <c:v>99.69696969696983</c:v>
                </c:pt>
                <c:pt idx="95">
                  <c:v>100.75757575757589</c:v>
                </c:pt>
                <c:pt idx="96">
                  <c:v>101.81818181818196</c:v>
                </c:pt>
                <c:pt idx="97">
                  <c:v>102.87878787878802</c:v>
                </c:pt>
                <c:pt idx="98">
                  <c:v>103.93939393939408</c:v>
                </c:pt>
                <c:pt idx="99">
                  <c:v>105</c:v>
                </c:pt>
              </c:numCache>
            </c:numRef>
          </c:xVal>
          <c:yVal>
            <c:numRef>
              <c:f>SuperElipseTabla!$D$11:$D$110</c:f>
              <c:numCache>
                <c:formatCode>General</c:formatCode>
                <c:ptCount val="100"/>
                <c:pt idx="0">
                  <c:v>68</c:v>
                </c:pt>
                <c:pt idx="1">
                  <c:v>67.999999823026542</c:v>
                </c:pt>
                <c:pt idx="2">
                  <c:v>67.999997168424457</c:v>
                </c:pt>
                <c:pt idx="3">
                  <c:v>67.999985665145175</c:v>
                </c:pt>
                <c:pt idx="4">
                  <c:v>67.999954694748851</c:v>
                </c:pt>
                <c:pt idx="5">
                  <c:v>67.999889391317339</c:v>
                </c:pt>
                <c:pt idx="6">
                  <c:v>67.999770641234818</c:v>
                </c:pt>
                <c:pt idx="7">
                  <c:v>67.999575082738616</c:v>
                </c:pt>
                <c:pt idx="8">
                  <c:v>67.999275105114705</c:v>
                </c:pt>
                <c:pt idx="9">
                  <c:v>67.998838847384846</c:v>
                </c:pt>
                <c:pt idx="10">
                  <c:v>67.998230196303766</c:v>
                </c:pt>
                <c:pt idx="11">
                  <c:v>67.997408783457246</c:v>
                </c:pt>
                <c:pt idx="12">
                  <c:v>67.996329981223326</c:v>
                </c:pt>
                <c:pt idx="13">
                  <c:v>67.994944897330981</c:v>
                </c:pt>
                <c:pt idx="14">
                  <c:v>67.993200367721016</c:v>
                </c:pt>
                <c:pt idx="15">
                  <c:v>67.991038947385732</c:v>
                </c:pt>
                <c:pt idx="16">
                  <c:v>67.988398898833651</c:v>
                </c:pt>
                <c:pt idx="17">
                  <c:v>67.985214177795527</c:v>
                </c:pt>
                <c:pt idx="18">
                  <c:v>67.981414415756589</c:v>
                </c:pt>
                <c:pt idx="19">
                  <c:v>67.976924898867836</c:v>
                </c:pt>
                <c:pt idx="20">
                  <c:v>67.971666542755671</c:v>
                </c:pt>
                <c:pt idx="21">
                  <c:v>67.965555862714169</c:v>
                </c:pt>
                <c:pt idx="22">
                  <c:v>67.958504938726989</c:v>
                </c:pt>
                <c:pt idx="23">
                  <c:v>67.950421374727512</c:v>
                </c:pt>
                <c:pt idx="24">
                  <c:v>67.941208251462925</c:v>
                </c:pt>
                <c:pt idx="25">
                  <c:v>67.930764072284205</c:v>
                </c:pt>
                <c:pt idx="26">
                  <c:v>67.918982701134496</c:v>
                </c:pt>
                <c:pt idx="27">
                  <c:v>67.905753291956003</c:v>
                </c:pt>
                <c:pt idx="28">
                  <c:v>67.890960208678052</c:v>
                </c:pt>
                <c:pt idx="29">
                  <c:v>67.874482934885208</c:v>
                </c:pt>
                <c:pt idx="30">
                  <c:v>67.856195972194982</c:v>
                </c:pt>
                <c:pt idx="31">
                  <c:v>67.835968726296969</c:v>
                </c:pt>
                <c:pt idx="32">
                  <c:v>67.813665379519691</c:v>
                </c:pt>
                <c:pt idx="33">
                  <c:v>67.789144748695321</c:v>
                </c:pt>
                <c:pt idx="34">
                  <c:v>67.762260126985623</c:v>
                </c:pt>
                <c:pt idx="35">
                  <c:v>67.732859108212011</c:v>
                </c:pt>
                <c:pt idx="36">
                  <c:v>67.700783392098188</c:v>
                </c:pt>
                <c:pt idx="37">
                  <c:v>67.665868568681347</c:v>
                </c:pt>
                <c:pt idx="38">
                  <c:v>67.627943879976385</c:v>
                </c:pt>
                <c:pt idx="39">
                  <c:v>67.586831956783982</c:v>
                </c:pt>
                <c:pt idx="40">
                  <c:v>67.542348528312985</c:v>
                </c:pt>
                <c:pt idx="41">
                  <c:v>67.494302102038219</c:v>
                </c:pt>
                <c:pt idx="42">
                  <c:v>67.44249361093074</c:v>
                </c:pt>
                <c:pt idx="43">
                  <c:v>67.386716024874346</c:v>
                </c:pt>
                <c:pt idx="44">
                  <c:v>67.326753922712115</c:v>
                </c:pt>
                <c:pt idx="45">
                  <c:v>67.262383020944654</c:v>
                </c:pt>
                <c:pt idx="46">
                  <c:v>67.193369654616845</c:v>
                </c:pt>
                <c:pt idx="47">
                  <c:v>67.119470205373176</c:v>
                </c:pt>
                <c:pt idx="48">
                  <c:v>67.040430471020628</c:v>
                </c:pt>
                <c:pt idx="49">
                  <c:v>66.955984970198074</c:v>
                </c:pt>
                <c:pt idx="50">
                  <c:v>66.865856174895228</c:v>
                </c:pt>
                <c:pt idx="51">
                  <c:v>66.769753662570395</c:v>
                </c:pt>
                <c:pt idx="52">
                  <c:v>66.667373178461347</c:v>
                </c:pt>
                <c:pt idx="53">
                  <c:v>66.558395597336016</c:v>
                </c:pt>
                <c:pt idx="54">
                  <c:v>66.4424857723522</c:v>
                </c:pt>
                <c:pt idx="55">
                  <c:v>66.319291256846</c:v>
                </c:pt>
                <c:pt idx="56">
                  <c:v>66.188440882688127</c:v>
                </c:pt>
                <c:pt idx="57">
                  <c:v>66.049543176273801</c:v>
                </c:pt>
                <c:pt idx="58">
                  <c:v>65.902184590157546</c:v>
                </c:pt>
                <c:pt idx="59">
                  <c:v>65.745927524709984</c:v>
                </c:pt>
                <c:pt idx="60">
                  <c:v>65.580308109830113</c:v>
                </c:pt>
                <c:pt idx="61">
                  <c:v>65.404833711533058</c:v>
                </c:pt>
                <c:pt idx="62">
                  <c:v>65.218980121949471</c:v>
                </c:pt>
                <c:pt idx="63">
                  <c:v>65.022188383662979</c:v>
                </c:pt>
                <c:pt idx="64">
                  <c:v>64.813861190050872</c:v>
                </c:pt>
                <c:pt idx="65">
                  <c:v>64.593358791965613</c:v>
                </c:pt>
                <c:pt idx="66">
                  <c:v>64.359994327163335</c:v>
                </c:pt>
                <c:pt idx="67">
                  <c:v>64.113028471653465</c:v>
                </c:pt>
                <c:pt idx="68">
                  <c:v>63.851663290700273</c:v>
                </c:pt>
                <c:pt idx="69">
                  <c:v>63.575035140350359</c:v>
                </c:pt>
                <c:pt idx="70">
                  <c:v>63.282206436495343</c:v>
                </c:pt>
                <c:pt idx="71">
                  <c:v>62.972156065465462</c:v>
                </c:pt>
                <c:pt idx="72">
                  <c:v>62.643768155095721</c:v>
                </c:pt>
                <c:pt idx="73">
                  <c:v>62.295818854158291</c:v>
                </c:pt>
                <c:pt idx="74">
                  <c:v>61.926960675558128</c:v>
                </c:pt>
                <c:pt idx="75">
                  <c:v>61.535703837129049</c:v>
                </c:pt>
                <c:pt idx="76">
                  <c:v>61.120393872488648</c:v>
                </c:pt>
                <c:pt idx="77">
                  <c:v>60.679184567819867</c:v>
                </c:pt>
                <c:pt idx="78">
                  <c:v>60.21000498631404</c:v>
                </c:pt>
                <c:pt idx="79">
                  <c:v>59.710518937437598</c:v>
                </c:pt>
                <c:pt idx="80">
                  <c:v>59.178074683926326</c:v>
                </c:pt>
                <c:pt idx="81">
                  <c:v>58.609641880407274</c:v>
                </c:pt>
                <c:pt idx="82">
                  <c:v>58.001731587171264</c:v>
                </c:pt>
                <c:pt idx="83">
                  <c:v>57.3502935157141</c:v>
                </c:pt>
                <c:pt idx="84">
                  <c:v>56.65058213830519</c:v>
                </c:pt>
                <c:pt idx="85">
                  <c:v>55.896979429943116</c:v>
                </c:pt>
                <c:pt idx="86">
                  <c:v>55.082755945084145</c:v>
                </c:pt>
                <c:pt idx="87">
                  <c:v>54.199742132189563</c:v>
                </c:pt>
                <c:pt idx="88">
                  <c:v>53.237865434620829</c:v>
                </c:pt>
                <c:pt idx="89">
                  <c:v>52.184480390139321</c:v>
                </c:pt>
                <c:pt idx="90">
                  <c:v>51.023367659421019</c:v>
                </c:pt>
                <c:pt idx="91">
                  <c:v>49.733180215794427</c:v>
                </c:pt>
                <c:pt idx="92">
                  <c:v>48.284916983934664</c:v>
                </c:pt>
                <c:pt idx="93">
                  <c:v>46.637571783346246</c:v>
                </c:pt>
                <c:pt idx="94">
                  <c:v>44.730066902785609</c:v>
                </c:pt>
                <c:pt idx="95">
                  <c:v>42.464758836944561</c:v>
                </c:pt>
                <c:pt idx="96">
                  <c:v>39.66871991185544</c:v>
                </c:pt>
                <c:pt idx="97">
                  <c:v>35.98131870582295</c:v>
                </c:pt>
                <c:pt idx="98">
                  <c:v>30.371670976613725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91-459D-B6E5-B9BA51A002DC}"/>
            </c:ext>
          </c:extLst>
        </c:ser>
        <c:ser>
          <c:idx val="1"/>
          <c:order val="1"/>
          <c:tx>
            <c:strRef>
              <c:f>SuperElipseTabla!$E$10</c:f>
              <c:strCache>
                <c:ptCount val="1"/>
                <c:pt idx="0">
                  <c:v>YC2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SuperElipseTabla!$C$11:$C$110</c:f>
              <c:numCache>
                <c:formatCode>General</c:formatCode>
                <c:ptCount val="100"/>
                <c:pt idx="0">
                  <c:v>0</c:v>
                </c:pt>
                <c:pt idx="1">
                  <c:v>1.0606060606060606</c:v>
                </c:pt>
                <c:pt idx="2">
                  <c:v>2.1212121212121211</c:v>
                </c:pt>
                <c:pt idx="3">
                  <c:v>3.1818181818181817</c:v>
                </c:pt>
                <c:pt idx="4">
                  <c:v>4.2424242424242422</c:v>
                </c:pt>
                <c:pt idx="5">
                  <c:v>5.3030303030303028</c:v>
                </c:pt>
                <c:pt idx="6">
                  <c:v>6.3636363636363633</c:v>
                </c:pt>
                <c:pt idx="7">
                  <c:v>7.4242424242424239</c:v>
                </c:pt>
                <c:pt idx="8">
                  <c:v>8.4848484848484844</c:v>
                </c:pt>
                <c:pt idx="9">
                  <c:v>9.545454545454545</c:v>
                </c:pt>
                <c:pt idx="10">
                  <c:v>10.606060606060606</c:v>
                </c:pt>
                <c:pt idx="11">
                  <c:v>11.666666666666666</c:v>
                </c:pt>
                <c:pt idx="12">
                  <c:v>12.727272727272727</c:v>
                </c:pt>
                <c:pt idx="13">
                  <c:v>13.787878787878787</c:v>
                </c:pt>
                <c:pt idx="14">
                  <c:v>14.848484848484848</c:v>
                </c:pt>
                <c:pt idx="15">
                  <c:v>15.909090909090908</c:v>
                </c:pt>
                <c:pt idx="16">
                  <c:v>16.969696969696969</c:v>
                </c:pt>
                <c:pt idx="17">
                  <c:v>18.030303030303031</c:v>
                </c:pt>
                <c:pt idx="18">
                  <c:v>19.090909090909093</c:v>
                </c:pt>
                <c:pt idx="19">
                  <c:v>20.151515151515156</c:v>
                </c:pt>
                <c:pt idx="20">
                  <c:v>21.212121212121218</c:v>
                </c:pt>
                <c:pt idx="21">
                  <c:v>22.27272727272728</c:v>
                </c:pt>
                <c:pt idx="22">
                  <c:v>23.333333333333343</c:v>
                </c:pt>
                <c:pt idx="23">
                  <c:v>24.393939393939405</c:v>
                </c:pt>
                <c:pt idx="24">
                  <c:v>25.454545454545467</c:v>
                </c:pt>
                <c:pt idx="25">
                  <c:v>26.51515151515153</c:v>
                </c:pt>
                <c:pt idx="26">
                  <c:v>27.575757575757592</c:v>
                </c:pt>
                <c:pt idx="27">
                  <c:v>28.636363636363654</c:v>
                </c:pt>
                <c:pt idx="28">
                  <c:v>29.696969696969717</c:v>
                </c:pt>
                <c:pt idx="29">
                  <c:v>30.757575757575779</c:v>
                </c:pt>
                <c:pt idx="30">
                  <c:v>31.818181818181841</c:v>
                </c:pt>
                <c:pt idx="31">
                  <c:v>32.878787878787904</c:v>
                </c:pt>
                <c:pt idx="32">
                  <c:v>33.939393939393966</c:v>
                </c:pt>
                <c:pt idx="33">
                  <c:v>35.000000000000028</c:v>
                </c:pt>
                <c:pt idx="34">
                  <c:v>36.060606060606091</c:v>
                </c:pt>
                <c:pt idx="35">
                  <c:v>37.121212121212153</c:v>
                </c:pt>
                <c:pt idx="36">
                  <c:v>38.181818181818215</c:v>
                </c:pt>
                <c:pt idx="37">
                  <c:v>39.242424242424278</c:v>
                </c:pt>
                <c:pt idx="38">
                  <c:v>40.30303030303034</c:v>
                </c:pt>
                <c:pt idx="39">
                  <c:v>41.363636363636402</c:v>
                </c:pt>
                <c:pt idx="40">
                  <c:v>42.424242424242465</c:v>
                </c:pt>
                <c:pt idx="41">
                  <c:v>43.484848484848527</c:v>
                </c:pt>
                <c:pt idx="42">
                  <c:v>44.545454545454589</c:v>
                </c:pt>
                <c:pt idx="43">
                  <c:v>45.606060606060652</c:v>
                </c:pt>
                <c:pt idx="44">
                  <c:v>46.666666666666714</c:v>
                </c:pt>
                <c:pt idx="45">
                  <c:v>47.727272727272776</c:v>
                </c:pt>
                <c:pt idx="46">
                  <c:v>48.787878787878839</c:v>
                </c:pt>
                <c:pt idx="47">
                  <c:v>49.848484848484901</c:v>
                </c:pt>
                <c:pt idx="48">
                  <c:v>50.909090909090963</c:v>
                </c:pt>
                <c:pt idx="49">
                  <c:v>51.969696969697026</c:v>
                </c:pt>
                <c:pt idx="50">
                  <c:v>53.030303030303088</c:v>
                </c:pt>
                <c:pt idx="51">
                  <c:v>54.09090909090915</c:v>
                </c:pt>
                <c:pt idx="52">
                  <c:v>55.151515151515213</c:v>
                </c:pt>
                <c:pt idx="53">
                  <c:v>56.212121212121275</c:v>
                </c:pt>
                <c:pt idx="54">
                  <c:v>57.272727272727337</c:v>
                </c:pt>
                <c:pt idx="55">
                  <c:v>58.3333333333334</c:v>
                </c:pt>
                <c:pt idx="56">
                  <c:v>59.393939393939462</c:v>
                </c:pt>
                <c:pt idx="57">
                  <c:v>60.454545454545524</c:v>
                </c:pt>
                <c:pt idx="58">
                  <c:v>61.515151515151587</c:v>
                </c:pt>
                <c:pt idx="59">
                  <c:v>62.575757575757649</c:v>
                </c:pt>
                <c:pt idx="60">
                  <c:v>63.636363636363711</c:v>
                </c:pt>
                <c:pt idx="61">
                  <c:v>64.696969696969774</c:v>
                </c:pt>
                <c:pt idx="62">
                  <c:v>65.757575757575836</c:v>
                </c:pt>
                <c:pt idx="63">
                  <c:v>66.818181818181898</c:v>
                </c:pt>
                <c:pt idx="64">
                  <c:v>67.878787878787961</c:v>
                </c:pt>
                <c:pt idx="65">
                  <c:v>68.939393939394023</c:v>
                </c:pt>
                <c:pt idx="66">
                  <c:v>70.000000000000085</c:v>
                </c:pt>
                <c:pt idx="67">
                  <c:v>71.060606060606148</c:v>
                </c:pt>
                <c:pt idx="68">
                  <c:v>72.12121212121221</c:v>
                </c:pt>
                <c:pt idx="69">
                  <c:v>73.181818181818272</c:v>
                </c:pt>
                <c:pt idx="70">
                  <c:v>74.242424242424335</c:v>
                </c:pt>
                <c:pt idx="71">
                  <c:v>75.303030303030397</c:v>
                </c:pt>
                <c:pt idx="72">
                  <c:v>76.363636363636459</c:v>
                </c:pt>
                <c:pt idx="73">
                  <c:v>77.424242424242522</c:v>
                </c:pt>
                <c:pt idx="74">
                  <c:v>78.484848484848584</c:v>
                </c:pt>
                <c:pt idx="75">
                  <c:v>79.545454545454646</c:v>
                </c:pt>
                <c:pt idx="76">
                  <c:v>80.606060606060709</c:v>
                </c:pt>
                <c:pt idx="77">
                  <c:v>81.666666666666771</c:v>
                </c:pt>
                <c:pt idx="78">
                  <c:v>82.727272727272833</c:v>
                </c:pt>
                <c:pt idx="79">
                  <c:v>83.787878787878896</c:v>
                </c:pt>
                <c:pt idx="80">
                  <c:v>84.848484848484958</c:v>
                </c:pt>
                <c:pt idx="81">
                  <c:v>85.90909090909102</c:v>
                </c:pt>
                <c:pt idx="82">
                  <c:v>86.969696969697083</c:v>
                </c:pt>
                <c:pt idx="83">
                  <c:v>88.030303030303145</c:v>
                </c:pt>
                <c:pt idx="84">
                  <c:v>89.090909090909207</c:v>
                </c:pt>
                <c:pt idx="85">
                  <c:v>90.15151515151527</c:v>
                </c:pt>
                <c:pt idx="86">
                  <c:v>91.212121212121332</c:v>
                </c:pt>
                <c:pt idx="87">
                  <c:v>92.272727272727394</c:v>
                </c:pt>
                <c:pt idx="88">
                  <c:v>93.333333333333456</c:v>
                </c:pt>
                <c:pt idx="89">
                  <c:v>94.393939393939519</c:v>
                </c:pt>
                <c:pt idx="90">
                  <c:v>95.454545454545581</c:v>
                </c:pt>
                <c:pt idx="91">
                  <c:v>96.515151515151643</c:v>
                </c:pt>
                <c:pt idx="92">
                  <c:v>97.575757575757706</c:v>
                </c:pt>
                <c:pt idx="93">
                  <c:v>98.636363636363768</c:v>
                </c:pt>
                <c:pt idx="94">
                  <c:v>99.69696969696983</c:v>
                </c:pt>
                <c:pt idx="95">
                  <c:v>100.75757575757589</c:v>
                </c:pt>
                <c:pt idx="96">
                  <c:v>101.81818181818196</c:v>
                </c:pt>
                <c:pt idx="97">
                  <c:v>102.87878787878802</c:v>
                </c:pt>
                <c:pt idx="98">
                  <c:v>103.93939393939408</c:v>
                </c:pt>
                <c:pt idx="99">
                  <c:v>105</c:v>
                </c:pt>
              </c:numCache>
            </c:numRef>
          </c:xVal>
          <c:yVal>
            <c:numRef>
              <c:f>SuperElipseTabla!$E$11:$E$110</c:f>
              <c:numCache>
                <c:formatCode>General</c:formatCode>
                <c:ptCount val="100"/>
                <c:pt idx="0">
                  <c:v>-68</c:v>
                </c:pt>
                <c:pt idx="1">
                  <c:v>-67.999999823026542</c:v>
                </c:pt>
                <c:pt idx="2">
                  <c:v>-67.999997168424457</c:v>
                </c:pt>
                <c:pt idx="3">
                  <c:v>-67.999985665145175</c:v>
                </c:pt>
                <c:pt idx="4">
                  <c:v>-67.999954694748851</c:v>
                </c:pt>
                <c:pt idx="5">
                  <c:v>-67.999889391317339</c:v>
                </c:pt>
                <c:pt idx="6">
                  <c:v>-67.999770641234818</c:v>
                </c:pt>
                <c:pt idx="7">
                  <c:v>-67.999575082738616</c:v>
                </c:pt>
                <c:pt idx="8">
                  <c:v>-67.999275105114705</c:v>
                </c:pt>
                <c:pt idx="9">
                  <c:v>-67.998838847384846</c:v>
                </c:pt>
                <c:pt idx="10">
                  <c:v>-67.998230196303766</c:v>
                </c:pt>
                <c:pt idx="11">
                  <c:v>-67.997408783457246</c:v>
                </c:pt>
                <c:pt idx="12">
                  <c:v>-67.996329981223326</c:v>
                </c:pt>
                <c:pt idx="13">
                  <c:v>-67.994944897330981</c:v>
                </c:pt>
                <c:pt idx="14">
                  <c:v>-67.993200367721016</c:v>
                </c:pt>
                <c:pt idx="15">
                  <c:v>-67.991038947385732</c:v>
                </c:pt>
                <c:pt idx="16">
                  <c:v>-67.988398898833651</c:v>
                </c:pt>
                <c:pt idx="17">
                  <c:v>-67.985214177795527</c:v>
                </c:pt>
                <c:pt idx="18">
                  <c:v>-67.981414415756589</c:v>
                </c:pt>
                <c:pt idx="19">
                  <c:v>-67.976924898867836</c:v>
                </c:pt>
                <c:pt idx="20">
                  <c:v>-67.971666542755671</c:v>
                </c:pt>
                <c:pt idx="21">
                  <c:v>-67.965555862714169</c:v>
                </c:pt>
                <c:pt idx="22">
                  <c:v>-67.958504938726989</c:v>
                </c:pt>
                <c:pt idx="23">
                  <c:v>-67.950421374727512</c:v>
                </c:pt>
                <c:pt idx="24">
                  <c:v>-67.941208251462925</c:v>
                </c:pt>
                <c:pt idx="25">
                  <c:v>-67.930764072284205</c:v>
                </c:pt>
                <c:pt idx="26">
                  <c:v>-67.918982701134496</c:v>
                </c:pt>
                <c:pt idx="27">
                  <c:v>-67.905753291956003</c:v>
                </c:pt>
                <c:pt idx="28">
                  <c:v>-67.890960208678052</c:v>
                </c:pt>
                <c:pt idx="29">
                  <c:v>-67.874482934885208</c:v>
                </c:pt>
                <c:pt idx="30">
                  <c:v>-67.856195972194982</c:v>
                </c:pt>
                <c:pt idx="31">
                  <c:v>-67.835968726296969</c:v>
                </c:pt>
                <c:pt idx="32">
                  <c:v>-67.813665379519691</c:v>
                </c:pt>
                <c:pt idx="33">
                  <c:v>-67.789144748695321</c:v>
                </c:pt>
                <c:pt idx="34">
                  <c:v>-67.762260126985623</c:v>
                </c:pt>
                <c:pt idx="35">
                  <c:v>-67.732859108212011</c:v>
                </c:pt>
                <c:pt idx="36">
                  <c:v>-67.700783392098188</c:v>
                </c:pt>
                <c:pt idx="37">
                  <c:v>-67.665868568681347</c:v>
                </c:pt>
                <c:pt idx="38">
                  <c:v>-67.627943879976385</c:v>
                </c:pt>
                <c:pt idx="39">
                  <c:v>-67.586831956783982</c:v>
                </c:pt>
                <c:pt idx="40">
                  <c:v>-67.542348528312985</c:v>
                </c:pt>
                <c:pt idx="41">
                  <c:v>-67.494302102038219</c:v>
                </c:pt>
                <c:pt idx="42">
                  <c:v>-67.44249361093074</c:v>
                </c:pt>
                <c:pt idx="43">
                  <c:v>-67.386716024874346</c:v>
                </c:pt>
                <c:pt idx="44">
                  <c:v>-67.326753922712115</c:v>
                </c:pt>
                <c:pt idx="45">
                  <c:v>-67.262383020944654</c:v>
                </c:pt>
                <c:pt idx="46">
                  <c:v>-67.193369654616845</c:v>
                </c:pt>
                <c:pt idx="47">
                  <c:v>-67.119470205373176</c:v>
                </c:pt>
                <c:pt idx="48">
                  <c:v>-67.040430471020628</c:v>
                </c:pt>
                <c:pt idx="49">
                  <c:v>-66.955984970198074</c:v>
                </c:pt>
                <c:pt idx="50">
                  <c:v>-66.865856174895228</c:v>
                </c:pt>
                <c:pt idx="51">
                  <c:v>-66.769753662570395</c:v>
                </c:pt>
                <c:pt idx="52">
                  <c:v>-66.667373178461347</c:v>
                </c:pt>
                <c:pt idx="53">
                  <c:v>-66.558395597336016</c:v>
                </c:pt>
                <c:pt idx="54">
                  <c:v>-66.4424857723522</c:v>
                </c:pt>
                <c:pt idx="55">
                  <c:v>-66.319291256846</c:v>
                </c:pt>
                <c:pt idx="56">
                  <c:v>-66.188440882688127</c:v>
                </c:pt>
                <c:pt idx="57">
                  <c:v>-66.049543176273801</c:v>
                </c:pt>
                <c:pt idx="58">
                  <c:v>-65.902184590157546</c:v>
                </c:pt>
                <c:pt idx="59">
                  <c:v>-65.745927524709984</c:v>
                </c:pt>
                <c:pt idx="60">
                  <c:v>-65.580308109830113</c:v>
                </c:pt>
                <c:pt idx="61">
                  <c:v>-65.404833711533058</c:v>
                </c:pt>
                <c:pt idx="62">
                  <c:v>-65.218980121949471</c:v>
                </c:pt>
                <c:pt idx="63">
                  <c:v>-65.022188383662979</c:v>
                </c:pt>
                <c:pt idx="64">
                  <c:v>-64.813861190050872</c:v>
                </c:pt>
                <c:pt idx="65">
                  <c:v>-64.593358791965613</c:v>
                </c:pt>
                <c:pt idx="66">
                  <c:v>-64.359994327163335</c:v>
                </c:pt>
                <c:pt idx="67">
                  <c:v>-64.113028471653465</c:v>
                </c:pt>
                <c:pt idx="68">
                  <c:v>-63.851663290700273</c:v>
                </c:pt>
                <c:pt idx="69">
                  <c:v>-63.575035140350359</c:v>
                </c:pt>
                <c:pt idx="70">
                  <c:v>-63.282206436495343</c:v>
                </c:pt>
                <c:pt idx="71">
                  <c:v>-62.972156065465462</c:v>
                </c:pt>
                <c:pt idx="72">
                  <c:v>-62.643768155095721</c:v>
                </c:pt>
                <c:pt idx="73">
                  <c:v>-62.295818854158291</c:v>
                </c:pt>
                <c:pt idx="74">
                  <c:v>-61.926960675558128</c:v>
                </c:pt>
                <c:pt idx="75">
                  <c:v>-61.535703837129049</c:v>
                </c:pt>
                <c:pt idx="76">
                  <c:v>-61.120393872488648</c:v>
                </c:pt>
                <c:pt idx="77">
                  <c:v>-60.679184567819867</c:v>
                </c:pt>
                <c:pt idx="78">
                  <c:v>-60.21000498631404</c:v>
                </c:pt>
                <c:pt idx="79">
                  <c:v>-59.710518937437598</c:v>
                </c:pt>
                <c:pt idx="80">
                  <c:v>-59.178074683926326</c:v>
                </c:pt>
                <c:pt idx="81">
                  <c:v>-58.609641880407274</c:v>
                </c:pt>
                <c:pt idx="82">
                  <c:v>-58.001731587171264</c:v>
                </c:pt>
                <c:pt idx="83">
                  <c:v>-57.3502935157141</c:v>
                </c:pt>
                <c:pt idx="84">
                  <c:v>-56.65058213830519</c:v>
                </c:pt>
                <c:pt idx="85">
                  <c:v>-55.896979429943116</c:v>
                </c:pt>
                <c:pt idx="86">
                  <c:v>-55.082755945084145</c:v>
                </c:pt>
                <c:pt idx="87">
                  <c:v>-54.199742132189563</c:v>
                </c:pt>
                <c:pt idx="88">
                  <c:v>-53.237865434620829</c:v>
                </c:pt>
                <c:pt idx="89">
                  <c:v>-52.184480390139321</c:v>
                </c:pt>
                <c:pt idx="90">
                  <c:v>-51.023367659421019</c:v>
                </c:pt>
                <c:pt idx="91">
                  <c:v>-49.733180215794427</c:v>
                </c:pt>
                <c:pt idx="92">
                  <c:v>-48.284916983934664</c:v>
                </c:pt>
                <c:pt idx="93">
                  <c:v>-46.637571783346246</c:v>
                </c:pt>
                <c:pt idx="94">
                  <c:v>-44.730066902785609</c:v>
                </c:pt>
                <c:pt idx="95">
                  <c:v>-42.464758836944561</c:v>
                </c:pt>
                <c:pt idx="96">
                  <c:v>-39.66871991185544</c:v>
                </c:pt>
                <c:pt idx="97">
                  <c:v>-35.98131870582295</c:v>
                </c:pt>
                <c:pt idx="98">
                  <c:v>-30.371670976613725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91-459D-B6E5-B9BA51A002DC}"/>
            </c:ext>
          </c:extLst>
        </c:ser>
        <c:ser>
          <c:idx val="2"/>
          <c:order val="2"/>
          <c:tx>
            <c:strRef>
              <c:f>SuperElipseTabla!$G$10</c:f>
              <c:strCache>
                <c:ptCount val="1"/>
                <c:pt idx="0">
                  <c:v>YC3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SuperElipseTabla!$F$11:$F$110</c:f>
              <c:numCache>
                <c:formatCode>General</c:formatCode>
                <c:ptCount val="100"/>
                <c:pt idx="0">
                  <c:v>0</c:v>
                </c:pt>
                <c:pt idx="1">
                  <c:v>-1.0606060606060606</c:v>
                </c:pt>
                <c:pt idx="2">
                  <c:v>-2.1212121212121211</c:v>
                </c:pt>
                <c:pt idx="3">
                  <c:v>-3.1818181818181817</c:v>
                </c:pt>
                <c:pt idx="4">
                  <c:v>-4.2424242424242422</c:v>
                </c:pt>
                <c:pt idx="5">
                  <c:v>-5.3030303030303028</c:v>
                </c:pt>
                <c:pt idx="6">
                  <c:v>-6.3636363636363633</c:v>
                </c:pt>
                <c:pt idx="7">
                  <c:v>-7.4242424242424239</c:v>
                </c:pt>
                <c:pt idx="8">
                  <c:v>-8.4848484848484844</c:v>
                </c:pt>
                <c:pt idx="9">
                  <c:v>-9.545454545454545</c:v>
                </c:pt>
                <c:pt idx="10">
                  <c:v>-10.606060606060606</c:v>
                </c:pt>
                <c:pt idx="11">
                  <c:v>-11.666666666666666</c:v>
                </c:pt>
                <c:pt idx="12">
                  <c:v>-12.727272727272727</c:v>
                </c:pt>
                <c:pt idx="13">
                  <c:v>-13.787878787878787</c:v>
                </c:pt>
                <c:pt idx="14">
                  <c:v>-14.848484848484848</c:v>
                </c:pt>
                <c:pt idx="15">
                  <c:v>-15.909090909090908</c:v>
                </c:pt>
                <c:pt idx="16">
                  <c:v>-16.969696969696969</c:v>
                </c:pt>
                <c:pt idx="17">
                  <c:v>-18.030303030303031</c:v>
                </c:pt>
                <c:pt idx="18">
                  <c:v>-19.090909090909093</c:v>
                </c:pt>
                <c:pt idx="19">
                  <c:v>-20.151515151515156</c:v>
                </c:pt>
                <c:pt idx="20">
                  <c:v>-21.212121212121218</c:v>
                </c:pt>
                <c:pt idx="21">
                  <c:v>-22.27272727272728</c:v>
                </c:pt>
                <c:pt idx="22">
                  <c:v>-23.333333333333343</c:v>
                </c:pt>
                <c:pt idx="23">
                  <c:v>-24.393939393939405</c:v>
                </c:pt>
                <c:pt idx="24">
                  <c:v>-25.454545454545467</c:v>
                </c:pt>
                <c:pt idx="25">
                  <c:v>-26.51515151515153</c:v>
                </c:pt>
                <c:pt idx="26">
                  <c:v>-27.575757575757592</c:v>
                </c:pt>
                <c:pt idx="27">
                  <c:v>-28.636363636363654</c:v>
                </c:pt>
                <c:pt idx="28">
                  <c:v>-29.696969696969717</c:v>
                </c:pt>
                <c:pt idx="29">
                  <c:v>-30.757575757575779</c:v>
                </c:pt>
                <c:pt idx="30">
                  <c:v>-31.818181818181841</c:v>
                </c:pt>
                <c:pt idx="31">
                  <c:v>-32.878787878787904</c:v>
                </c:pt>
                <c:pt idx="32">
                  <c:v>-33.939393939393966</c:v>
                </c:pt>
                <c:pt idx="33">
                  <c:v>-35.000000000000028</c:v>
                </c:pt>
                <c:pt idx="34">
                  <c:v>-36.060606060606091</c:v>
                </c:pt>
                <c:pt idx="35">
                  <c:v>-37.121212121212153</c:v>
                </c:pt>
                <c:pt idx="36">
                  <c:v>-38.181818181818215</c:v>
                </c:pt>
                <c:pt idx="37">
                  <c:v>-39.242424242424278</c:v>
                </c:pt>
                <c:pt idx="38">
                  <c:v>-40.30303030303034</c:v>
                </c:pt>
                <c:pt idx="39">
                  <c:v>-41.363636363636402</c:v>
                </c:pt>
                <c:pt idx="40">
                  <c:v>-42.424242424242465</c:v>
                </c:pt>
                <c:pt idx="41">
                  <c:v>-43.484848484848527</c:v>
                </c:pt>
                <c:pt idx="42">
                  <c:v>-44.545454545454589</c:v>
                </c:pt>
                <c:pt idx="43">
                  <c:v>-45.606060606060652</c:v>
                </c:pt>
                <c:pt idx="44">
                  <c:v>-46.666666666666714</c:v>
                </c:pt>
                <c:pt idx="45">
                  <c:v>-47.727272727272776</c:v>
                </c:pt>
                <c:pt idx="46">
                  <c:v>-48.787878787878839</c:v>
                </c:pt>
                <c:pt idx="47">
                  <c:v>-49.848484848484901</c:v>
                </c:pt>
                <c:pt idx="48">
                  <c:v>-50.909090909090963</c:v>
                </c:pt>
                <c:pt idx="49">
                  <c:v>-51.969696969697026</c:v>
                </c:pt>
                <c:pt idx="50">
                  <c:v>-53.030303030303088</c:v>
                </c:pt>
                <c:pt idx="51">
                  <c:v>-54.09090909090915</c:v>
                </c:pt>
                <c:pt idx="52">
                  <c:v>-55.151515151515213</c:v>
                </c:pt>
                <c:pt idx="53">
                  <c:v>-56.212121212121275</c:v>
                </c:pt>
                <c:pt idx="54">
                  <c:v>-57.272727272727337</c:v>
                </c:pt>
                <c:pt idx="55">
                  <c:v>-58.3333333333334</c:v>
                </c:pt>
                <c:pt idx="56">
                  <c:v>-59.393939393939462</c:v>
                </c:pt>
                <c:pt idx="57">
                  <c:v>-60.454545454545524</c:v>
                </c:pt>
                <c:pt idx="58">
                  <c:v>-61.515151515151587</c:v>
                </c:pt>
                <c:pt idx="59">
                  <c:v>-62.575757575757649</c:v>
                </c:pt>
                <c:pt idx="60">
                  <c:v>-63.636363636363711</c:v>
                </c:pt>
                <c:pt idx="61">
                  <c:v>-64.696969696969774</c:v>
                </c:pt>
                <c:pt idx="62">
                  <c:v>-65.757575757575836</c:v>
                </c:pt>
                <c:pt idx="63">
                  <c:v>-66.818181818181898</c:v>
                </c:pt>
                <c:pt idx="64">
                  <c:v>-67.878787878787961</c:v>
                </c:pt>
                <c:pt idx="65">
                  <c:v>-68.939393939394023</c:v>
                </c:pt>
                <c:pt idx="66">
                  <c:v>-70.000000000000085</c:v>
                </c:pt>
                <c:pt idx="67">
                  <c:v>-71.060606060606148</c:v>
                </c:pt>
                <c:pt idx="68">
                  <c:v>-72.12121212121221</c:v>
                </c:pt>
                <c:pt idx="69">
                  <c:v>-73.181818181818272</c:v>
                </c:pt>
                <c:pt idx="70">
                  <c:v>-74.242424242424335</c:v>
                </c:pt>
                <c:pt idx="71">
                  <c:v>-75.303030303030397</c:v>
                </c:pt>
                <c:pt idx="72">
                  <c:v>-76.363636363636459</c:v>
                </c:pt>
                <c:pt idx="73">
                  <c:v>-77.424242424242522</c:v>
                </c:pt>
                <c:pt idx="74">
                  <c:v>-78.484848484848584</c:v>
                </c:pt>
                <c:pt idx="75">
                  <c:v>-79.545454545454646</c:v>
                </c:pt>
                <c:pt idx="76">
                  <c:v>-80.606060606060709</c:v>
                </c:pt>
                <c:pt idx="77">
                  <c:v>-81.666666666666771</c:v>
                </c:pt>
                <c:pt idx="78">
                  <c:v>-82.727272727272833</c:v>
                </c:pt>
                <c:pt idx="79">
                  <c:v>-83.787878787878896</c:v>
                </c:pt>
                <c:pt idx="80">
                  <c:v>-84.848484848484958</c:v>
                </c:pt>
                <c:pt idx="81">
                  <c:v>-85.90909090909102</c:v>
                </c:pt>
                <c:pt idx="82">
                  <c:v>-86.969696969697083</c:v>
                </c:pt>
                <c:pt idx="83">
                  <c:v>-88.030303030303145</c:v>
                </c:pt>
                <c:pt idx="84">
                  <c:v>-89.090909090909207</c:v>
                </c:pt>
                <c:pt idx="85">
                  <c:v>-90.15151515151527</c:v>
                </c:pt>
                <c:pt idx="86">
                  <c:v>-91.212121212121332</c:v>
                </c:pt>
                <c:pt idx="87">
                  <c:v>-92.272727272727394</c:v>
                </c:pt>
                <c:pt idx="88">
                  <c:v>-93.333333333333456</c:v>
                </c:pt>
                <c:pt idx="89">
                  <c:v>-94.393939393939519</c:v>
                </c:pt>
                <c:pt idx="90">
                  <c:v>-95.454545454545581</c:v>
                </c:pt>
                <c:pt idx="91">
                  <c:v>-96.515151515151643</c:v>
                </c:pt>
                <c:pt idx="92">
                  <c:v>-97.575757575757706</c:v>
                </c:pt>
                <c:pt idx="93">
                  <c:v>-98.636363636363768</c:v>
                </c:pt>
                <c:pt idx="94">
                  <c:v>-99.69696969696983</c:v>
                </c:pt>
                <c:pt idx="95">
                  <c:v>-100.75757575757589</c:v>
                </c:pt>
                <c:pt idx="96">
                  <c:v>-101.81818181818196</c:v>
                </c:pt>
                <c:pt idx="97">
                  <c:v>-102.87878787878802</c:v>
                </c:pt>
                <c:pt idx="98">
                  <c:v>-103.93939393939408</c:v>
                </c:pt>
                <c:pt idx="99">
                  <c:v>-105</c:v>
                </c:pt>
              </c:numCache>
            </c:numRef>
          </c:xVal>
          <c:yVal>
            <c:numRef>
              <c:f>SuperElipseTabla!$G$11:$G$110</c:f>
              <c:numCache>
                <c:formatCode>General</c:formatCode>
                <c:ptCount val="100"/>
                <c:pt idx="0">
                  <c:v>68</c:v>
                </c:pt>
                <c:pt idx="1">
                  <c:v>67.999999823026542</c:v>
                </c:pt>
                <c:pt idx="2">
                  <c:v>67.999997168424457</c:v>
                </c:pt>
                <c:pt idx="3">
                  <c:v>67.999985665145175</c:v>
                </c:pt>
                <c:pt idx="4">
                  <c:v>67.999954694748851</c:v>
                </c:pt>
                <c:pt idx="5">
                  <c:v>67.999889391317339</c:v>
                </c:pt>
                <c:pt idx="6">
                  <c:v>67.999770641234818</c:v>
                </c:pt>
                <c:pt idx="7">
                  <c:v>67.999575082738616</c:v>
                </c:pt>
                <c:pt idx="8">
                  <c:v>67.999275105114705</c:v>
                </c:pt>
                <c:pt idx="9">
                  <c:v>67.998838847384846</c:v>
                </c:pt>
                <c:pt idx="10">
                  <c:v>67.998230196303766</c:v>
                </c:pt>
                <c:pt idx="11">
                  <c:v>67.997408783457246</c:v>
                </c:pt>
                <c:pt idx="12">
                  <c:v>67.996329981223326</c:v>
                </c:pt>
                <c:pt idx="13">
                  <c:v>67.994944897330981</c:v>
                </c:pt>
                <c:pt idx="14">
                  <c:v>67.993200367721016</c:v>
                </c:pt>
                <c:pt idx="15">
                  <c:v>67.991038947385732</c:v>
                </c:pt>
                <c:pt idx="16">
                  <c:v>67.988398898833651</c:v>
                </c:pt>
                <c:pt idx="17">
                  <c:v>67.985214177795527</c:v>
                </c:pt>
                <c:pt idx="18">
                  <c:v>67.981414415756589</c:v>
                </c:pt>
                <c:pt idx="19">
                  <c:v>67.976924898867836</c:v>
                </c:pt>
                <c:pt idx="20">
                  <c:v>67.971666542755671</c:v>
                </c:pt>
                <c:pt idx="21">
                  <c:v>67.965555862714169</c:v>
                </c:pt>
                <c:pt idx="22">
                  <c:v>67.958504938726989</c:v>
                </c:pt>
                <c:pt idx="23">
                  <c:v>67.950421374727512</c:v>
                </c:pt>
                <c:pt idx="24">
                  <c:v>67.941208251462925</c:v>
                </c:pt>
                <c:pt idx="25">
                  <c:v>67.930764072284205</c:v>
                </c:pt>
                <c:pt idx="26">
                  <c:v>67.918982701134496</c:v>
                </c:pt>
                <c:pt idx="27">
                  <c:v>67.905753291956003</c:v>
                </c:pt>
                <c:pt idx="28">
                  <c:v>67.890960208678052</c:v>
                </c:pt>
                <c:pt idx="29">
                  <c:v>67.874482934885208</c:v>
                </c:pt>
                <c:pt idx="30">
                  <c:v>67.856195972194982</c:v>
                </c:pt>
                <c:pt idx="31">
                  <c:v>67.835968726296969</c:v>
                </c:pt>
                <c:pt idx="32">
                  <c:v>67.813665379519691</c:v>
                </c:pt>
                <c:pt idx="33">
                  <c:v>67.789144748695321</c:v>
                </c:pt>
                <c:pt idx="34">
                  <c:v>67.762260126985623</c:v>
                </c:pt>
                <c:pt idx="35">
                  <c:v>67.732859108212011</c:v>
                </c:pt>
                <c:pt idx="36">
                  <c:v>67.700783392098188</c:v>
                </c:pt>
                <c:pt idx="37">
                  <c:v>67.665868568681347</c:v>
                </c:pt>
                <c:pt idx="38">
                  <c:v>67.627943879976385</c:v>
                </c:pt>
                <c:pt idx="39">
                  <c:v>67.586831956783982</c:v>
                </c:pt>
                <c:pt idx="40">
                  <c:v>67.542348528312985</c:v>
                </c:pt>
                <c:pt idx="41">
                  <c:v>67.494302102038219</c:v>
                </c:pt>
                <c:pt idx="42">
                  <c:v>67.44249361093074</c:v>
                </c:pt>
                <c:pt idx="43">
                  <c:v>67.386716024874346</c:v>
                </c:pt>
                <c:pt idx="44">
                  <c:v>67.326753922712115</c:v>
                </c:pt>
                <c:pt idx="45">
                  <c:v>67.262383020944654</c:v>
                </c:pt>
                <c:pt idx="46">
                  <c:v>67.193369654616845</c:v>
                </c:pt>
                <c:pt idx="47">
                  <c:v>67.119470205373176</c:v>
                </c:pt>
                <c:pt idx="48">
                  <c:v>67.040430471020628</c:v>
                </c:pt>
                <c:pt idx="49">
                  <c:v>66.955984970198074</c:v>
                </c:pt>
                <c:pt idx="50">
                  <c:v>66.865856174895228</c:v>
                </c:pt>
                <c:pt idx="51">
                  <c:v>66.769753662570395</c:v>
                </c:pt>
                <c:pt idx="52">
                  <c:v>66.667373178461347</c:v>
                </c:pt>
                <c:pt idx="53">
                  <c:v>66.558395597336016</c:v>
                </c:pt>
                <c:pt idx="54">
                  <c:v>66.4424857723522</c:v>
                </c:pt>
                <c:pt idx="55">
                  <c:v>66.319291256846</c:v>
                </c:pt>
                <c:pt idx="56">
                  <c:v>66.188440882688127</c:v>
                </c:pt>
                <c:pt idx="57">
                  <c:v>66.049543176273801</c:v>
                </c:pt>
                <c:pt idx="58">
                  <c:v>65.902184590157546</c:v>
                </c:pt>
                <c:pt idx="59">
                  <c:v>65.745927524709984</c:v>
                </c:pt>
                <c:pt idx="60">
                  <c:v>65.580308109830113</c:v>
                </c:pt>
                <c:pt idx="61">
                  <c:v>65.404833711533058</c:v>
                </c:pt>
                <c:pt idx="62">
                  <c:v>65.218980121949471</c:v>
                </c:pt>
                <c:pt idx="63">
                  <c:v>65.022188383662979</c:v>
                </c:pt>
                <c:pt idx="64">
                  <c:v>64.813861190050872</c:v>
                </c:pt>
                <c:pt idx="65">
                  <c:v>64.593358791965613</c:v>
                </c:pt>
                <c:pt idx="66">
                  <c:v>64.359994327163335</c:v>
                </c:pt>
                <c:pt idx="67">
                  <c:v>64.113028471653465</c:v>
                </c:pt>
                <c:pt idx="68">
                  <c:v>63.851663290700273</c:v>
                </c:pt>
                <c:pt idx="69">
                  <c:v>63.575035140350359</c:v>
                </c:pt>
                <c:pt idx="70">
                  <c:v>63.282206436495343</c:v>
                </c:pt>
                <c:pt idx="71">
                  <c:v>62.972156065465462</c:v>
                </c:pt>
                <c:pt idx="72">
                  <c:v>62.643768155095721</c:v>
                </c:pt>
                <c:pt idx="73">
                  <c:v>62.295818854158291</c:v>
                </c:pt>
                <c:pt idx="74">
                  <c:v>61.926960675558128</c:v>
                </c:pt>
                <c:pt idx="75">
                  <c:v>61.535703837129049</c:v>
                </c:pt>
                <c:pt idx="76">
                  <c:v>61.120393872488648</c:v>
                </c:pt>
                <c:pt idx="77">
                  <c:v>60.679184567819867</c:v>
                </c:pt>
                <c:pt idx="78">
                  <c:v>60.21000498631404</c:v>
                </c:pt>
                <c:pt idx="79">
                  <c:v>59.710518937437598</c:v>
                </c:pt>
                <c:pt idx="80">
                  <c:v>59.178074683926326</c:v>
                </c:pt>
                <c:pt idx="81">
                  <c:v>58.609641880407274</c:v>
                </c:pt>
                <c:pt idx="82">
                  <c:v>58.001731587171264</c:v>
                </c:pt>
                <c:pt idx="83">
                  <c:v>57.3502935157141</c:v>
                </c:pt>
                <c:pt idx="84">
                  <c:v>56.65058213830519</c:v>
                </c:pt>
                <c:pt idx="85">
                  <c:v>55.896979429943116</c:v>
                </c:pt>
                <c:pt idx="86">
                  <c:v>55.082755945084145</c:v>
                </c:pt>
                <c:pt idx="87">
                  <c:v>54.199742132189563</c:v>
                </c:pt>
                <c:pt idx="88">
                  <c:v>53.237865434620829</c:v>
                </c:pt>
                <c:pt idx="89">
                  <c:v>52.184480390139321</c:v>
                </c:pt>
                <c:pt idx="90">
                  <c:v>51.023367659421019</c:v>
                </c:pt>
                <c:pt idx="91">
                  <c:v>49.733180215794427</c:v>
                </c:pt>
                <c:pt idx="92">
                  <c:v>48.284916983934664</c:v>
                </c:pt>
                <c:pt idx="93">
                  <c:v>46.637571783346246</c:v>
                </c:pt>
                <c:pt idx="94">
                  <c:v>44.730066902785609</c:v>
                </c:pt>
                <c:pt idx="95">
                  <c:v>42.464758836944561</c:v>
                </c:pt>
                <c:pt idx="96">
                  <c:v>39.66871991185544</c:v>
                </c:pt>
                <c:pt idx="97">
                  <c:v>35.98131870582295</c:v>
                </c:pt>
                <c:pt idx="98">
                  <c:v>30.371670976613725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91-459D-B6E5-B9BA51A002DC}"/>
            </c:ext>
          </c:extLst>
        </c:ser>
        <c:ser>
          <c:idx val="3"/>
          <c:order val="3"/>
          <c:tx>
            <c:strRef>
              <c:f>SuperElipseTabla!$H$10</c:f>
              <c:strCache>
                <c:ptCount val="1"/>
                <c:pt idx="0">
                  <c:v>YC4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SuperElipseTabla!$F$11:$F$110</c:f>
              <c:numCache>
                <c:formatCode>General</c:formatCode>
                <c:ptCount val="100"/>
                <c:pt idx="0">
                  <c:v>0</c:v>
                </c:pt>
                <c:pt idx="1">
                  <c:v>-1.0606060606060606</c:v>
                </c:pt>
                <c:pt idx="2">
                  <c:v>-2.1212121212121211</c:v>
                </c:pt>
                <c:pt idx="3">
                  <c:v>-3.1818181818181817</c:v>
                </c:pt>
                <c:pt idx="4">
                  <c:v>-4.2424242424242422</c:v>
                </c:pt>
                <c:pt idx="5">
                  <c:v>-5.3030303030303028</c:v>
                </c:pt>
                <c:pt idx="6">
                  <c:v>-6.3636363636363633</c:v>
                </c:pt>
                <c:pt idx="7">
                  <c:v>-7.4242424242424239</c:v>
                </c:pt>
                <c:pt idx="8">
                  <c:v>-8.4848484848484844</c:v>
                </c:pt>
                <c:pt idx="9">
                  <c:v>-9.545454545454545</c:v>
                </c:pt>
                <c:pt idx="10">
                  <c:v>-10.606060606060606</c:v>
                </c:pt>
                <c:pt idx="11">
                  <c:v>-11.666666666666666</c:v>
                </c:pt>
                <c:pt idx="12">
                  <c:v>-12.727272727272727</c:v>
                </c:pt>
                <c:pt idx="13">
                  <c:v>-13.787878787878787</c:v>
                </c:pt>
                <c:pt idx="14">
                  <c:v>-14.848484848484848</c:v>
                </c:pt>
                <c:pt idx="15">
                  <c:v>-15.909090909090908</c:v>
                </c:pt>
                <c:pt idx="16">
                  <c:v>-16.969696969696969</c:v>
                </c:pt>
                <c:pt idx="17">
                  <c:v>-18.030303030303031</c:v>
                </c:pt>
                <c:pt idx="18">
                  <c:v>-19.090909090909093</c:v>
                </c:pt>
                <c:pt idx="19">
                  <c:v>-20.151515151515156</c:v>
                </c:pt>
                <c:pt idx="20">
                  <c:v>-21.212121212121218</c:v>
                </c:pt>
                <c:pt idx="21">
                  <c:v>-22.27272727272728</c:v>
                </c:pt>
                <c:pt idx="22">
                  <c:v>-23.333333333333343</c:v>
                </c:pt>
                <c:pt idx="23">
                  <c:v>-24.393939393939405</c:v>
                </c:pt>
                <c:pt idx="24">
                  <c:v>-25.454545454545467</c:v>
                </c:pt>
                <c:pt idx="25">
                  <c:v>-26.51515151515153</c:v>
                </c:pt>
                <c:pt idx="26">
                  <c:v>-27.575757575757592</c:v>
                </c:pt>
                <c:pt idx="27">
                  <c:v>-28.636363636363654</c:v>
                </c:pt>
                <c:pt idx="28">
                  <c:v>-29.696969696969717</c:v>
                </c:pt>
                <c:pt idx="29">
                  <c:v>-30.757575757575779</c:v>
                </c:pt>
                <c:pt idx="30">
                  <c:v>-31.818181818181841</c:v>
                </c:pt>
                <c:pt idx="31">
                  <c:v>-32.878787878787904</c:v>
                </c:pt>
                <c:pt idx="32">
                  <c:v>-33.939393939393966</c:v>
                </c:pt>
                <c:pt idx="33">
                  <c:v>-35.000000000000028</c:v>
                </c:pt>
                <c:pt idx="34">
                  <c:v>-36.060606060606091</c:v>
                </c:pt>
                <c:pt idx="35">
                  <c:v>-37.121212121212153</c:v>
                </c:pt>
                <c:pt idx="36">
                  <c:v>-38.181818181818215</c:v>
                </c:pt>
                <c:pt idx="37">
                  <c:v>-39.242424242424278</c:v>
                </c:pt>
                <c:pt idx="38">
                  <c:v>-40.30303030303034</c:v>
                </c:pt>
                <c:pt idx="39">
                  <c:v>-41.363636363636402</c:v>
                </c:pt>
                <c:pt idx="40">
                  <c:v>-42.424242424242465</c:v>
                </c:pt>
                <c:pt idx="41">
                  <c:v>-43.484848484848527</c:v>
                </c:pt>
                <c:pt idx="42">
                  <c:v>-44.545454545454589</c:v>
                </c:pt>
                <c:pt idx="43">
                  <c:v>-45.606060606060652</c:v>
                </c:pt>
                <c:pt idx="44">
                  <c:v>-46.666666666666714</c:v>
                </c:pt>
                <c:pt idx="45">
                  <c:v>-47.727272727272776</c:v>
                </c:pt>
                <c:pt idx="46">
                  <c:v>-48.787878787878839</c:v>
                </c:pt>
                <c:pt idx="47">
                  <c:v>-49.848484848484901</c:v>
                </c:pt>
                <c:pt idx="48">
                  <c:v>-50.909090909090963</c:v>
                </c:pt>
                <c:pt idx="49">
                  <c:v>-51.969696969697026</c:v>
                </c:pt>
                <c:pt idx="50">
                  <c:v>-53.030303030303088</c:v>
                </c:pt>
                <c:pt idx="51">
                  <c:v>-54.09090909090915</c:v>
                </c:pt>
                <c:pt idx="52">
                  <c:v>-55.151515151515213</c:v>
                </c:pt>
                <c:pt idx="53">
                  <c:v>-56.212121212121275</c:v>
                </c:pt>
                <c:pt idx="54">
                  <c:v>-57.272727272727337</c:v>
                </c:pt>
                <c:pt idx="55">
                  <c:v>-58.3333333333334</c:v>
                </c:pt>
                <c:pt idx="56">
                  <c:v>-59.393939393939462</c:v>
                </c:pt>
                <c:pt idx="57">
                  <c:v>-60.454545454545524</c:v>
                </c:pt>
                <c:pt idx="58">
                  <c:v>-61.515151515151587</c:v>
                </c:pt>
                <c:pt idx="59">
                  <c:v>-62.575757575757649</c:v>
                </c:pt>
                <c:pt idx="60">
                  <c:v>-63.636363636363711</c:v>
                </c:pt>
                <c:pt idx="61">
                  <c:v>-64.696969696969774</c:v>
                </c:pt>
                <c:pt idx="62">
                  <c:v>-65.757575757575836</c:v>
                </c:pt>
                <c:pt idx="63">
                  <c:v>-66.818181818181898</c:v>
                </c:pt>
                <c:pt idx="64">
                  <c:v>-67.878787878787961</c:v>
                </c:pt>
                <c:pt idx="65">
                  <c:v>-68.939393939394023</c:v>
                </c:pt>
                <c:pt idx="66">
                  <c:v>-70.000000000000085</c:v>
                </c:pt>
                <c:pt idx="67">
                  <c:v>-71.060606060606148</c:v>
                </c:pt>
                <c:pt idx="68">
                  <c:v>-72.12121212121221</c:v>
                </c:pt>
                <c:pt idx="69">
                  <c:v>-73.181818181818272</c:v>
                </c:pt>
                <c:pt idx="70">
                  <c:v>-74.242424242424335</c:v>
                </c:pt>
                <c:pt idx="71">
                  <c:v>-75.303030303030397</c:v>
                </c:pt>
                <c:pt idx="72">
                  <c:v>-76.363636363636459</c:v>
                </c:pt>
                <c:pt idx="73">
                  <c:v>-77.424242424242522</c:v>
                </c:pt>
                <c:pt idx="74">
                  <c:v>-78.484848484848584</c:v>
                </c:pt>
                <c:pt idx="75">
                  <c:v>-79.545454545454646</c:v>
                </c:pt>
                <c:pt idx="76">
                  <c:v>-80.606060606060709</c:v>
                </c:pt>
                <c:pt idx="77">
                  <c:v>-81.666666666666771</c:v>
                </c:pt>
                <c:pt idx="78">
                  <c:v>-82.727272727272833</c:v>
                </c:pt>
                <c:pt idx="79">
                  <c:v>-83.787878787878896</c:v>
                </c:pt>
                <c:pt idx="80">
                  <c:v>-84.848484848484958</c:v>
                </c:pt>
                <c:pt idx="81">
                  <c:v>-85.90909090909102</c:v>
                </c:pt>
                <c:pt idx="82">
                  <c:v>-86.969696969697083</c:v>
                </c:pt>
                <c:pt idx="83">
                  <c:v>-88.030303030303145</c:v>
                </c:pt>
                <c:pt idx="84">
                  <c:v>-89.090909090909207</c:v>
                </c:pt>
                <c:pt idx="85">
                  <c:v>-90.15151515151527</c:v>
                </c:pt>
                <c:pt idx="86">
                  <c:v>-91.212121212121332</c:v>
                </c:pt>
                <c:pt idx="87">
                  <c:v>-92.272727272727394</c:v>
                </c:pt>
                <c:pt idx="88">
                  <c:v>-93.333333333333456</c:v>
                </c:pt>
                <c:pt idx="89">
                  <c:v>-94.393939393939519</c:v>
                </c:pt>
                <c:pt idx="90">
                  <c:v>-95.454545454545581</c:v>
                </c:pt>
                <c:pt idx="91">
                  <c:v>-96.515151515151643</c:v>
                </c:pt>
                <c:pt idx="92">
                  <c:v>-97.575757575757706</c:v>
                </c:pt>
                <c:pt idx="93">
                  <c:v>-98.636363636363768</c:v>
                </c:pt>
                <c:pt idx="94">
                  <c:v>-99.69696969696983</c:v>
                </c:pt>
                <c:pt idx="95">
                  <c:v>-100.75757575757589</c:v>
                </c:pt>
                <c:pt idx="96">
                  <c:v>-101.81818181818196</c:v>
                </c:pt>
                <c:pt idx="97">
                  <c:v>-102.87878787878802</c:v>
                </c:pt>
                <c:pt idx="98">
                  <c:v>-103.93939393939408</c:v>
                </c:pt>
                <c:pt idx="99">
                  <c:v>-105</c:v>
                </c:pt>
              </c:numCache>
            </c:numRef>
          </c:xVal>
          <c:yVal>
            <c:numRef>
              <c:f>SuperElipseTabla!$H$11:$H$110</c:f>
              <c:numCache>
                <c:formatCode>General</c:formatCode>
                <c:ptCount val="100"/>
                <c:pt idx="0">
                  <c:v>-68</c:v>
                </c:pt>
                <c:pt idx="1">
                  <c:v>-67.999999823026542</c:v>
                </c:pt>
                <c:pt idx="2">
                  <c:v>-67.999997168424457</c:v>
                </c:pt>
                <c:pt idx="3">
                  <c:v>-67.999985665145175</c:v>
                </c:pt>
                <c:pt idx="4">
                  <c:v>-67.999954694748851</c:v>
                </c:pt>
                <c:pt idx="5">
                  <c:v>-67.999889391317339</c:v>
                </c:pt>
                <c:pt idx="6">
                  <c:v>-67.999770641234818</c:v>
                </c:pt>
                <c:pt idx="7">
                  <c:v>-67.999575082738616</c:v>
                </c:pt>
                <c:pt idx="8">
                  <c:v>-67.999275105114705</c:v>
                </c:pt>
                <c:pt idx="9">
                  <c:v>-67.998838847384846</c:v>
                </c:pt>
                <c:pt idx="10">
                  <c:v>-67.998230196303766</c:v>
                </c:pt>
                <c:pt idx="11">
                  <c:v>-67.997408783457246</c:v>
                </c:pt>
                <c:pt idx="12">
                  <c:v>-67.996329981223326</c:v>
                </c:pt>
                <c:pt idx="13">
                  <c:v>-67.994944897330981</c:v>
                </c:pt>
                <c:pt idx="14">
                  <c:v>-67.993200367721016</c:v>
                </c:pt>
                <c:pt idx="15">
                  <c:v>-67.991038947385732</c:v>
                </c:pt>
                <c:pt idx="16">
                  <c:v>-67.988398898833651</c:v>
                </c:pt>
                <c:pt idx="17">
                  <c:v>-67.985214177795527</c:v>
                </c:pt>
                <c:pt idx="18">
                  <c:v>-67.981414415756589</c:v>
                </c:pt>
                <c:pt idx="19">
                  <c:v>-67.976924898867836</c:v>
                </c:pt>
                <c:pt idx="20">
                  <c:v>-67.971666542755671</c:v>
                </c:pt>
                <c:pt idx="21">
                  <c:v>-67.965555862714169</c:v>
                </c:pt>
                <c:pt idx="22">
                  <c:v>-67.958504938726989</c:v>
                </c:pt>
                <c:pt idx="23">
                  <c:v>-67.950421374727512</c:v>
                </c:pt>
                <c:pt idx="24">
                  <c:v>-67.941208251462925</c:v>
                </c:pt>
                <c:pt idx="25">
                  <c:v>-67.930764072284205</c:v>
                </c:pt>
                <c:pt idx="26">
                  <c:v>-67.918982701134496</c:v>
                </c:pt>
                <c:pt idx="27">
                  <c:v>-67.905753291956003</c:v>
                </c:pt>
                <c:pt idx="28">
                  <c:v>-67.890960208678052</c:v>
                </c:pt>
                <c:pt idx="29">
                  <c:v>-67.874482934885208</c:v>
                </c:pt>
                <c:pt idx="30">
                  <c:v>-67.856195972194982</c:v>
                </c:pt>
                <c:pt idx="31">
                  <c:v>-67.835968726296969</c:v>
                </c:pt>
                <c:pt idx="32">
                  <c:v>-67.813665379519691</c:v>
                </c:pt>
                <c:pt idx="33">
                  <c:v>-67.789144748695321</c:v>
                </c:pt>
                <c:pt idx="34">
                  <c:v>-67.762260126985623</c:v>
                </c:pt>
                <c:pt idx="35">
                  <c:v>-67.732859108212011</c:v>
                </c:pt>
                <c:pt idx="36">
                  <c:v>-67.700783392098188</c:v>
                </c:pt>
                <c:pt idx="37">
                  <c:v>-67.665868568681347</c:v>
                </c:pt>
                <c:pt idx="38">
                  <c:v>-67.627943879976385</c:v>
                </c:pt>
                <c:pt idx="39">
                  <c:v>-67.586831956783982</c:v>
                </c:pt>
                <c:pt idx="40">
                  <c:v>-67.542348528312985</c:v>
                </c:pt>
                <c:pt idx="41">
                  <c:v>-67.494302102038219</c:v>
                </c:pt>
                <c:pt idx="42">
                  <c:v>-67.44249361093074</c:v>
                </c:pt>
                <c:pt idx="43">
                  <c:v>-67.386716024874346</c:v>
                </c:pt>
                <c:pt idx="44">
                  <c:v>-67.326753922712115</c:v>
                </c:pt>
                <c:pt idx="45">
                  <c:v>-67.262383020944654</c:v>
                </c:pt>
                <c:pt idx="46">
                  <c:v>-67.193369654616845</c:v>
                </c:pt>
                <c:pt idx="47">
                  <c:v>-67.119470205373176</c:v>
                </c:pt>
                <c:pt idx="48">
                  <c:v>-67.040430471020628</c:v>
                </c:pt>
                <c:pt idx="49">
                  <c:v>-66.955984970198074</c:v>
                </c:pt>
                <c:pt idx="50">
                  <c:v>-66.865856174895228</c:v>
                </c:pt>
                <c:pt idx="51">
                  <c:v>-66.769753662570395</c:v>
                </c:pt>
                <c:pt idx="52">
                  <c:v>-66.667373178461347</c:v>
                </c:pt>
                <c:pt idx="53">
                  <c:v>-66.558395597336016</c:v>
                </c:pt>
                <c:pt idx="54">
                  <c:v>-66.4424857723522</c:v>
                </c:pt>
                <c:pt idx="55">
                  <c:v>-66.319291256846</c:v>
                </c:pt>
                <c:pt idx="56">
                  <c:v>-66.188440882688127</c:v>
                </c:pt>
                <c:pt idx="57">
                  <c:v>-66.049543176273801</c:v>
                </c:pt>
                <c:pt idx="58">
                  <c:v>-65.902184590157546</c:v>
                </c:pt>
                <c:pt idx="59">
                  <c:v>-65.745927524709984</c:v>
                </c:pt>
                <c:pt idx="60">
                  <c:v>-65.580308109830113</c:v>
                </c:pt>
                <c:pt idx="61">
                  <c:v>-65.404833711533058</c:v>
                </c:pt>
                <c:pt idx="62">
                  <c:v>-65.218980121949471</c:v>
                </c:pt>
                <c:pt idx="63">
                  <c:v>-65.022188383662979</c:v>
                </c:pt>
                <c:pt idx="64">
                  <c:v>-64.813861190050872</c:v>
                </c:pt>
                <c:pt idx="65">
                  <c:v>-64.593358791965613</c:v>
                </c:pt>
                <c:pt idx="66">
                  <c:v>-64.359994327163335</c:v>
                </c:pt>
                <c:pt idx="67">
                  <c:v>-64.113028471653465</c:v>
                </c:pt>
                <c:pt idx="68">
                  <c:v>-63.851663290700273</c:v>
                </c:pt>
                <c:pt idx="69">
                  <c:v>-63.575035140350359</c:v>
                </c:pt>
                <c:pt idx="70">
                  <c:v>-63.282206436495343</c:v>
                </c:pt>
                <c:pt idx="71">
                  <c:v>-62.972156065465462</c:v>
                </c:pt>
                <c:pt idx="72">
                  <c:v>-62.643768155095721</c:v>
                </c:pt>
                <c:pt idx="73">
                  <c:v>-62.295818854158291</c:v>
                </c:pt>
                <c:pt idx="74">
                  <c:v>-61.926960675558128</c:v>
                </c:pt>
                <c:pt idx="75">
                  <c:v>-61.535703837129049</c:v>
                </c:pt>
                <c:pt idx="76">
                  <c:v>-61.120393872488648</c:v>
                </c:pt>
                <c:pt idx="77">
                  <c:v>-60.679184567819867</c:v>
                </c:pt>
                <c:pt idx="78">
                  <c:v>-60.21000498631404</c:v>
                </c:pt>
                <c:pt idx="79">
                  <c:v>-59.710518937437598</c:v>
                </c:pt>
                <c:pt idx="80">
                  <c:v>-59.178074683926326</c:v>
                </c:pt>
                <c:pt idx="81">
                  <c:v>-58.609641880407274</c:v>
                </c:pt>
                <c:pt idx="82">
                  <c:v>-58.001731587171264</c:v>
                </c:pt>
                <c:pt idx="83">
                  <c:v>-57.3502935157141</c:v>
                </c:pt>
                <c:pt idx="84">
                  <c:v>-56.65058213830519</c:v>
                </c:pt>
                <c:pt idx="85">
                  <c:v>-55.896979429943116</c:v>
                </c:pt>
                <c:pt idx="86">
                  <c:v>-55.082755945084145</c:v>
                </c:pt>
                <c:pt idx="87">
                  <c:v>-54.199742132189563</c:v>
                </c:pt>
                <c:pt idx="88">
                  <c:v>-53.237865434620829</c:v>
                </c:pt>
                <c:pt idx="89">
                  <c:v>-52.184480390139321</c:v>
                </c:pt>
                <c:pt idx="90">
                  <c:v>-51.023367659421019</c:v>
                </c:pt>
                <c:pt idx="91">
                  <c:v>-49.733180215794427</c:v>
                </c:pt>
                <c:pt idx="92">
                  <c:v>-48.284916983934664</c:v>
                </c:pt>
                <c:pt idx="93">
                  <c:v>-46.637571783346246</c:v>
                </c:pt>
                <c:pt idx="94">
                  <c:v>-44.730066902785609</c:v>
                </c:pt>
                <c:pt idx="95">
                  <c:v>-42.464758836944561</c:v>
                </c:pt>
                <c:pt idx="96">
                  <c:v>-39.66871991185544</c:v>
                </c:pt>
                <c:pt idx="97">
                  <c:v>-35.98131870582295</c:v>
                </c:pt>
                <c:pt idx="98">
                  <c:v>-30.371670976613725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91-459D-B6E5-B9BA51A00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37231"/>
        <c:axId val="539541551"/>
      </c:scatterChart>
      <c:valAx>
        <c:axId val="5395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41551"/>
        <c:crosses val="autoZero"/>
        <c:crossBetween val="midCat"/>
      </c:valAx>
      <c:valAx>
        <c:axId val="5395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3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165605695385"/>
          <c:y val="5.7846715328467156E-2"/>
          <c:w val="0.80573866247096437"/>
          <c:h val="0.814701346766731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HiperbolaTabla!$D$13</c:f>
              <c:strCache>
                <c:ptCount val="1"/>
                <c:pt idx="0">
                  <c:v>Ysup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HiperbolaTabla!$C$14:$C$113</c:f>
              <c:numCache>
                <c:formatCode>General</c:formatCode>
                <c:ptCount val="100"/>
                <c:pt idx="0">
                  <c:v>-30</c:v>
                </c:pt>
                <c:pt idx="1">
                  <c:v>-29.4</c:v>
                </c:pt>
                <c:pt idx="2">
                  <c:v>-28.799999999999997</c:v>
                </c:pt>
                <c:pt idx="3">
                  <c:v>-28.199999999999996</c:v>
                </c:pt>
                <c:pt idx="4">
                  <c:v>-27.599999999999994</c:v>
                </c:pt>
                <c:pt idx="5">
                  <c:v>-26.999999999999993</c:v>
                </c:pt>
                <c:pt idx="6">
                  <c:v>-26.399999999999991</c:v>
                </c:pt>
                <c:pt idx="7">
                  <c:v>-25.79999999999999</c:v>
                </c:pt>
                <c:pt idx="8">
                  <c:v>-25.199999999999989</c:v>
                </c:pt>
                <c:pt idx="9">
                  <c:v>-24.599999999999987</c:v>
                </c:pt>
                <c:pt idx="10">
                  <c:v>-23.999999999999986</c:v>
                </c:pt>
                <c:pt idx="11">
                  <c:v>-23.399999999999984</c:v>
                </c:pt>
                <c:pt idx="12">
                  <c:v>-22.799999999999983</c:v>
                </c:pt>
                <c:pt idx="13">
                  <c:v>-22.199999999999982</c:v>
                </c:pt>
                <c:pt idx="14">
                  <c:v>-21.59999999999998</c:v>
                </c:pt>
                <c:pt idx="15">
                  <c:v>-20.999999999999979</c:v>
                </c:pt>
                <c:pt idx="16">
                  <c:v>-20.399999999999977</c:v>
                </c:pt>
                <c:pt idx="17">
                  <c:v>-19.799999999999976</c:v>
                </c:pt>
                <c:pt idx="18">
                  <c:v>-19.199999999999974</c:v>
                </c:pt>
                <c:pt idx="19">
                  <c:v>-18.599999999999973</c:v>
                </c:pt>
                <c:pt idx="20">
                  <c:v>-17.999999999999972</c:v>
                </c:pt>
                <c:pt idx="21">
                  <c:v>-17.39999999999997</c:v>
                </c:pt>
                <c:pt idx="22">
                  <c:v>-16.799999999999969</c:v>
                </c:pt>
                <c:pt idx="23">
                  <c:v>-16.199999999999967</c:v>
                </c:pt>
                <c:pt idx="24">
                  <c:v>-15.599999999999968</c:v>
                </c:pt>
                <c:pt idx="25">
                  <c:v>-14.999999999999968</c:v>
                </c:pt>
                <c:pt idx="26">
                  <c:v>-14.399999999999968</c:v>
                </c:pt>
                <c:pt idx="27">
                  <c:v>-13.799999999999969</c:v>
                </c:pt>
                <c:pt idx="28">
                  <c:v>-13.199999999999969</c:v>
                </c:pt>
                <c:pt idx="29">
                  <c:v>-12.599999999999969</c:v>
                </c:pt>
                <c:pt idx="30">
                  <c:v>-11.99999999999997</c:v>
                </c:pt>
                <c:pt idx="31">
                  <c:v>-11.39999999999997</c:v>
                </c:pt>
                <c:pt idx="32">
                  <c:v>-10.799999999999971</c:v>
                </c:pt>
                <c:pt idx="33">
                  <c:v>-10.199999999999971</c:v>
                </c:pt>
                <c:pt idx="34">
                  <c:v>-9.5999999999999712</c:v>
                </c:pt>
                <c:pt idx="35">
                  <c:v>-8.9999999999999716</c:v>
                </c:pt>
                <c:pt idx="36">
                  <c:v>-8.3999999999999719</c:v>
                </c:pt>
                <c:pt idx="37">
                  <c:v>-7.7999999999999723</c:v>
                </c:pt>
                <c:pt idx="38">
                  <c:v>-7.1999999999999726</c:v>
                </c:pt>
                <c:pt idx="39">
                  <c:v>-6.599999999999973</c:v>
                </c:pt>
                <c:pt idx="40">
                  <c:v>-5.9999999999999734</c:v>
                </c:pt>
                <c:pt idx="41">
                  <c:v>-5.3999999999999737</c:v>
                </c:pt>
                <c:pt idx="42">
                  <c:v>-4.7999999999999741</c:v>
                </c:pt>
                <c:pt idx="43">
                  <c:v>-4.1999999999999744</c:v>
                </c:pt>
                <c:pt idx="44">
                  <c:v>-3.5999999999999743</c:v>
                </c:pt>
                <c:pt idx="45">
                  <c:v>-2.9999999999999742</c:v>
                </c:pt>
                <c:pt idx="46">
                  <c:v>-2.3999999999999742</c:v>
                </c:pt>
                <c:pt idx="47">
                  <c:v>-1.7999999999999741</c:v>
                </c:pt>
                <c:pt idx="48">
                  <c:v>-1.199999999999974</c:v>
                </c:pt>
                <c:pt idx="49">
                  <c:v>-0.599999999999974</c:v>
                </c:pt>
                <c:pt idx="50">
                  <c:v>2.5979218776228663E-14</c:v>
                </c:pt>
                <c:pt idx="51">
                  <c:v>0.60000000000002596</c:v>
                </c:pt>
                <c:pt idx="52">
                  <c:v>1.2000000000000259</c:v>
                </c:pt>
                <c:pt idx="53">
                  <c:v>1.800000000000026</c:v>
                </c:pt>
                <c:pt idx="54">
                  <c:v>2.4000000000000261</c:v>
                </c:pt>
                <c:pt idx="55">
                  <c:v>3.0000000000000262</c:v>
                </c:pt>
                <c:pt idx="56">
                  <c:v>3.6000000000000263</c:v>
                </c:pt>
                <c:pt idx="57">
                  <c:v>4.2000000000000259</c:v>
                </c:pt>
                <c:pt idx="58">
                  <c:v>4.8000000000000256</c:v>
                </c:pt>
                <c:pt idx="59">
                  <c:v>5.4000000000000252</c:v>
                </c:pt>
                <c:pt idx="60">
                  <c:v>6.0000000000000249</c:v>
                </c:pt>
                <c:pt idx="61">
                  <c:v>6.6000000000000245</c:v>
                </c:pt>
                <c:pt idx="62">
                  <c:v>7.2000000000000242</c:v>
                </c:pt>
                <c:pt idx="63">
                  <c:v>7.8000000000000238</c:v>
                </c:pt>
                <c:pt idx="64">
                  <c:v>8.4000000000000234</c:v>
                </c:pt>
                <c:pt idx="65">
                  <c:v>9.0000000000000231</c:v>
                </c:pt>
                <c:pt idx="66">
                  <c:v>9.6000000000000227</c:v>
                </c:pt>
                <c:pt idx="67">
                  <c:v>10.200000000000022</c:v>
                </c:pt>
                <c:pt idx="68">
                  <c:v>10.800000000000022</c:v>
                </c:pt>
                <c:pt idx="69">
                  <c:v>11.400000000000022</c:v>
                </c:pt>
                <c:pt idx="70">
                  <c:v>12.000000000000021</c:v>
                </c:pt>
                <c:pt idx="71">
                  <c:v>12.600000000000021</c:v>
                </c:pt>
                <c:pt idx="72">
                  <c:v>13.200000000000021</c:v>
                </c:pt>
                <c:pt idx="73">
                  <c:v>13.80000000000002</c:v>
                </c:pt>
                <c:pt idx="74">
                  <c:v>14.40000000000002</c:v>
                </c:pt>
                <c:pt idx="75">
                  <c:v>15.00000000000002</c:v>
                </c:pt>
                <c:pt idx="76">
                  <c:v>15.600000000000019</c:v>
                </c:pt>
                <c:pt idx="77">
                  <c:v>16.200000000000021</c:v>
                </c:pt>
                <c:pt idx="78">
                  <c:v>16.800000000000022</c:v>
                </c:pt>
                <c:pt idx="79">
                  <c:v>17.400000000000023</c:v>
                </c:pt>
                <c:pt idx="80">
                  <c:v>18.000000000000025</c:v>
                </c:pt>
                <c:pt idx="81">
                  <c:v>18.600000000000026</c:v>
                </c:pt>
                <c:pt idx="82">
                  <c:v>19.200000000000028</c:v>
                </c:pt>
                <c:pt idx="83">
                  <c:v>19.800000000000029</c:v>
                </c:pt>
                <c:pt idx="84">
                  <c:v>20.400000000000031</c:v>
                </c:pt>
                <c:pt idx="85">
                  <c:v>21.000000000000032</c:v>
                </c:pt>
                <c:pt idx="86">
                  <c:v>21.600000000000033</c:v>
                </c:pt>
                <c:pt idx="87">
                  <c:v>22.200000000000035</c:v>
                </c:pt>
                <c:pt idx="88">
                  <c:v>22.800000000000036</c:v>
                </c:pt>
                <c:pt idx="89">
                  <c:v>23.400000000000038</c:v>
                </c:pt>
                <c:pt idx="90">
                  <c:v>24.000000000000039</c:v>
                </c:pt>
                <c:pt idx="91">
                  <c:v>24.600000000000041</c:v>
                </c:pt>
                <c:pt idx="92">
                  <c:v>25.200000000000042</c:v>
                </c:pt>
                <c:pt idx="93">
                  <c:v>25.800000000000043</c:v>
                </c:pt>
                <c:pt idx="94">
                  <c:v>26.400000000000045</c:v>
                </c:pt>
                <c:pt idx="95">
                  <c:v>27.000000000000046</c:v>
                </c:pt>
                <c:pt idx="96">
                  <c:v>27.600000000000048</c:v>
                </c:pt>
                <c:pt idx="97">
                  <c:v>28.200000000000049</c:v>
                </c:pt>
                <c:pt idx="98">
                  <c:v>28.80000000000005</c:v>
                </c:pt>
                <c:pt idx="99">
                  <c:v>29.400000000000052</c:v>
                </c:pt>
              </c:numCache>
            </c:numRef>
          </c:xVal>
          <c:yVal>
            <c:numRef>
              <c:f>HiperbolaTabla!$D$14:$D$113</c:f>
              <c:numCache>
                <c:formatCode>General</c:formatCode>
                <c:ptCount val="100"/>
                <c:pt idx="0">
                  <c:v>20.621590627301281</c:v>
                </c:pt>
                <c:pt idx="1">
                  <c:v>20.129642321710538</c:v>
                </c:pt>
                <c:pt idx="2">
                  <c:v>19.635681806344284</c:v>
                </c:pt>
                <c:pt idx="3">
                  <c:v>19.139553286323061</c:v>
                </c:pt>
                <c:pt idx="4">
                  <c:v>18.641083659487176</c:v>
                </c:pt>
                <c:pt idx="5">
                  <c:v>18.140079933671732</c:v>
                </c:pt>
                <c:pt idx="6">
                  <c:v>17.636326148038876</c:v>
                </c:pt>
                <c:pt idx="7">
                  <c:v>17.129579679606845</c:v>
                </c:pt>
                <c:pt idx="8">
                  <c:v>16.619566781357438</c:v>
                </c:pt>
                <c:pt idx="9">
                  <c:v>16.105977151355944</c:v>
                </c:pt>
                <c:pt idx="10">
                  <c:v>15.588457268119884</c:v>
                </c:pt>
                <c:pt idx="11">
                  <c:v>15.066602138504873</c:v>
                </c:pt>
                <c:pt idx="12">
                  <c:v>14.539944979263145</c:v>
                </c:pt>
                <c:pt idx="13">
                  <c:v>14.007944174646026</c:v>
                </c:pt>
                <c:pt idx="14">
                  <c:v>13.469966592386172</c:v>
                </c:pt>
                <c:pt idx="15">
                  <c:v>12.925265954710545</c:v>
                </c:pt>
                <c:pt idx="16">
                  <c:v>12.372954376380747</c:v>
                </c:pt>
                <c:pt idx="17">
                  <c:v>11.811964273565996</c:v>
                </c:pt>
                <c:pt idx="18">
                  <c:v>11.240996397117092</c:v>
                </c:pt>
                <c:pt idx="19">
                  <c:v>10.658447354094285</c:v>
                </c:pt>
                <c:pt idx="20">
                  <c:v>10.062305898749026</c:v>
                </c:pt>
                <c:pt idx="21">
                  <c:v>9.4499999999999691</c:v>
                </c:pt>
                <c:pt idx="22">
                  <c:v>8.8181630740194077</c:v>
                </c:pt>
                <c:pt idx="23">
                  <c:v>8.162260716247637</c:v>
                </c:pt>
                <c:pt idx="24">
                  <c:v>7.4759614766262299</c:v>
                </c:pt>
                <c:pt idx="25">
                  <c:v>6.74999999999996</c:v>
                </c:pt>
                <c:pt idx="26">
                  <c:v>5.9699246226396756</c:v>
                </c:pt>
                <c:pt idx="27">
                  <c:v>5.111017511220199</c:v>
                </c:pt>
                <c:pt idx="28">
                  <c:v>4.124318125460201</c:v>
                </c:pt>
                <c:pt idx="29">
                  <c:v>2.8814059068447078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5.3644180297851563E-7</c:v>
                </c:pt>
                <c:pt idx="71">
                  <c:v>2.8814059068448321</c:v>
                </c:pt>
                <c:pt idx="72">
                  <c:v>4.1243181254602925</c:v>
                </c:pt>
                <c:pt idx="73">
                  <c:v>5.111017511220278</c:v>
                </c:pt>
                <c:pt idx="74">
                  <c:v>5.9699246226397467</c:v>
                </c:pt>
                <c:pt idx="75">
                  <c:v>6.7500000000000249</c:v>
                </c:pt>
                <c:pt idx="76">
                  <c:v>7.4759614766262894</c:v>
                </c:pt>
                <c:pt idx="77">
                  <c:v>8.1622607162476974</c:v>
                </c:pt>
                <c:pt idx="78">
                  <c:v>8.8181630740194663</c:v>
                </c:pt>
                <c:pt idx="79">
                  <c:v>9.4500000000000242</c:v>
                </c:pt>
                <c:pt idx="80">
                  <c:v>10.062305898749079</c:v>
                </c:pt>
                <c:pt idx="81">
                  <c:v>10.658447354094337</c:v>
                </c:pt>
                <c:pt idx="82">
                  <c:v>11.240996397117144</c:v>
                </c:pt>
                <c:pt idx="83">
                  <c:v>11.811964273566046</c:v>
                </c:pt>
                <c:pt idx="84">
                  <c:v>12.372954376380795</c:v>
                </c:pt>
                <c:pt idx="85">
                  <c:v>12.925265954710595</c:v>
                </c:pt>
                <c:pt idx="86">
                  <c:v>13.46996659238622</c:v>
                </c:pt>
                <c:pt idx="87">
                  <c:v>14.007944174646074</c:v>
                </c:pt>
                <c:pt idx="88">
                  <c:v>14.539944979263193</c:v>
                </c:pt>
                <c:pt idx="89">
                  <c:v>15.066602138504919</c:v>
                </c:pt>
                <c:pt idx="90">
                  <c:v>15.588457268119928</c:v>
                </c:pt>
                <c:pt idx="91">
                  <c:v>16.105977151355987</c:v>
                </c:pt>
                <c:pt idx="92">
                  <c:v>16.619566781357484</c:v>
                </c:pt>
                <c:pt idx="93">
                  <c:v>17.129579679606888</c:v>
                </c:pt>
                <c:pt idx="94">
                  <c:v>17.636326148038918</c:v>
                </c:pt>
                <c:pt idx="95">
                  <c:v>18.140079933671775</c:v>
                </c:pt>
                <c:pt idx="96">
                  <c:v>18.641083659487219</c:v>
                </c:pt>
                <c:pt idx="97">
                  <c:v>19.139553286323103</c:v>
                </c:pt>
                <c:pt idx="98">
                  <c:v>19.635681806344326</c:v>
                </c:pt>
                <c:pt idx="99">
                  <c:v>20.12964232171058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62-44F9-BA1B-9C9C5C0161E7}"/>
            </c:ext>
          </c:extLst>
        </c:ser>
        <c:ser>
          <c:idx val="1"/>
          <c:order val="1"/>
          <c:tx>
            <c:strRef>
              <c:f>HiperbolaTabla!$F$13</c:f>
              <c:strCache>
                <c:ptCount val="1"/>
                <c:pt idx="0">
                  <c:v>Yinf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HiperbolaTabla!$C$14:$C$113</c:f>
              <c:numCache>
                <c:formatCode>General</c:formatCode>
                <c:ptCount val="100"/>
                <c:pt idx="0">
                  <c:v>-30</c:v>
                </c:pt>
                <c:pt idx="1">
                  <c:v>-29.4</c:v>
                </c:pt>
                <c:pt idx="2">
                  <c:v>-28.799999999999997</c:v>
                </c:pt>
                <c:pt idx="3">
                  <c:v>-28.199999999999996</c:v>
                </c:pt>
                <c:pt idx="4">
                  <c:v>-27.599999999999994</c:v>
                </c:pt>
                <c:pt idx="5">
                  <c:v>-26.999999999999993</c:v>
                </c:pt>
                <c:pt idx="6">
                  <c:v>-26.399999999999991</c:v>
                </c:pt>
                <c:pt idx="7">
                  <c:v>-25.79999999999999</c:v>
                </c:pt>
                <c:pt idx="8">
                  <c:v>-25.199999999999989</c:v>
                </c:pt>
                <c:pt idx="9">
                  <c:v>-24.599999999999987</c:v>
                </c:pt>
                <c:pt idx="10">
                  <c:v>-23.999999999999986</c:v>
                </c:pt>
                <c:pt idx="11">
                  <c:v>-23.399999999999984</c:v>
                </c:pt>
                <c:pt idx="12">
                  <c:v>-22.799999999999983</c:v>
                </c:pt>
                <c:pt idx="13">
                  <c:v>-22.199999999999982</c:v>
                </c:pt>
                <c:pt idx="14">
                  <c:v>-21.59999999999998</c:v>
                </c:pt>
                <c:pt idx="15">
                  <c:v>-20.999999999999979</c:v>
                </c:pt>
                <c:pt idx="16">
                  <c:v>-20.399999999999977</c:v>
                </c:pt>
                <c:pt idx="17">
                  <c:v>-19.799999999999976</c:v>
                </c:pt>
                <c:pt idx="18">
                  <c:v>-19.199999999999974</c:v>
                </c:pt>
                <c:pt idx="19">
                  <c:v>-18.599999999999973</c:v>
                </c:pt>
                <c:pt idx="20">
                  <c:v>-17.999999999999972</c:v>
                </c:pt>
                <c:pt idx="21">
                  <c:v>-17.39999999999997</c:v>
                </c:pt>
                <c:pt idx="22">
                  <c:v>-16.799999999999969</c:v>
                </c:pt>
                <c:pt idx="23">
                  <c:v>-16.199999999999967</c:v>
                </c:pt>
                <c:pt idx="24">
                  <c:v>-15.599999999999968</c:v>
                </c:pt>
                <c:pt idx="25">
                  <c:v>-14.999999999999968</c:v>
                </c:pt>
                <c:pt idx="26">
                  <c:v>-14.399999999999968</c:v>
                </c:pt>
                <c:pt idx="27">
                  <c:v>-13.799999999999969</c:v>
                </c:pt>
                <c:pt idx="28">
                  <c:v>-13.199999999999969</c:v>
                </c:pt>
                <c:pt idx="29">
                  <c:v>-12.599999999999969</c:v>
                </c:pt>
                <c:pt idx="30">
                  <c:v>-11.99999999999997</c:v>
                </c:pt>
                <c:pt idx="31">
                  <c:v>-11.39999999999997</c:v>
                </c:pt>
                <c:pt idx="32">
                  <c:v>-10.799999999999971</c:v>
                </c:pt>
                <c:pt idx="33">
                  <c:v>-10.199999999999971</c:v>
                </c:pt>
                <c:pt idx="34">
                  <c:v>-9.5999999999999712</c:v>
                </c:pt>
                <c:pt idx="35">
                  <c:v>-8.9999999999999716</c:v>
                </c:pt>
                <c:pt idx="36">
                  <c:v>-8.3999999999999719</c:v>
                </c:pt>
                <c:pt idx="37">
                  <c:v>-7.7999999999999723</c:v>
                </c:pt>
                <c:pt idx="38">
                  <c:v>-7.1999999999999726</c:v>
                </c:pt>
                <c:pt idx="39">
                  <c:v>-6.599999999999973</c:v>
                </c:pt>
                <c:pt idx="40">
                  <c:v>-5.9999999999999734</c:v>
                </c:pt>
                <c:pt idx="41">
                  <c:v>-5.3999999999999737</c:v>
                </c:pt>
                <c:pt idx="42">
                  <c:v>-4.7999999999999741</c:v>
                </c:pt>
                <c:pt idx="43">
                  <c:v>-4.1999999999999744</c:v>
                </c:pt>
                <c:pt idx="44">
                  <c:v>-3.5999999999999743</c:v>
                </c:pt>
                <c:pt idx="45">
                  <c:v>-2.9999999999999742</c:v>
                </c:pt>
                <c:pt idx="46">
                  <c:v>-2.3999999999999742</c:v>
                </c:pt>
                <c:pt idx="47">
                  <c:v>-1.7999999999999741</c:v>
                </c:pt>
                <c:pt idx="48">
                  <c:v>-1.199999999999974</c:v>
                </c:pt>
                <c:pt idx="49">
                  <c:v>-0.599999999999974</c:v>
                </c:pt>
                <c:pt idx="50">
                  <c:v>2.5979218776228663E-14</c:v>
                </c:pt>
                <c:pt idx="51">
                  <c:v>0.60000000000002596</c:v>
                </c:pt>
                <c:pt idx="52">
                  <c:v>1.2000000000000259</c:v>
                </c:pt>
                <c:pt idx="53">
                  <c:v>1.800000000000026</c:v>
                </c:pt>
                <c:pt idx="54">
                  <c:v>2.4000000000000261</c:v>
                </c:pt>
                <c:pt idx="55">
                  <c:v>3.0000000000000262</c:v>
                </c:pt>
                <c:pt idx="56">
                  <c:v>3.6000000000000263</c:v>
                </c:pt>
                <c:pt idx="57">
                  <c:v>4.2000000000000259</c:v>
                </c:pt>
                <c:pt idx="58">
                  <c:v>4.8000000000000256</c:v>
                </c:pt>
                <c:pt idx="59">
                  <c:v>5.4000000000000252</c:v>
                </c:pt>
                <c:pt idx="60">
                  <c:v>6.0000000000000249</c:v>
                </c:pt>
                <c:pt idx="61">
                  <c:v>6.6000000000000245</c:v>
                </c:pt>
                <c:pt idx="62">
                  <c:v>7.2000000000000242</c:v>
                </c:pt>
                <c:pt idx="63">
                  <c:v>7.8000000000000238</c:v>
                </c:pt>
                <c:pt idx="64">
                  <c:v>8.4000000000000234</c:v>
                </c:pt>
                <c:pt idx="65">
                  <c:v>9.0000000000000231</c:v>
                </c:pt>
                <c:pt idx="66">
                  <c:v>9.6000000000000227</c:v>
                </c:pt>
                <c:pt idx="67">
                  <c:v>10.200000000000022</c:v>
                </c:pt>
                <c:pt idx="68">
                  <c:v>10.800000000000022</c:v>
                </c:pt>
                <c:pt idx="69">
                  <c:v>11.400000000000022</c:v>
                </c:pt>
                <c:pt idx="70">
                  <c:v>12.000000000000021</c:v>
                </c:pt>
                <c:pt idx="71">
                  <c:v>12.600000000000021</c:v>
                </c:pt>
                <c:pt idx="72">
                  <c:v>13.200000000000021</c:v>
                </c:pt>
                <c:pt idx="73">
                  <c:v>13.80000000000002</c:v>
                </c:pt>
                <c:pt idx="74">
                  <c:v>14.40000000000002</c:v>
                </c:pt>
                <c:pt idx="75">
                  <c:v>15.00000000000002</c:v>
                </c:pt>
                <c:pt idx="76">
                  <c:v>15.600000000000019</c:v>
                </c:pt>
                <c:pt idx="77">
                  <c:v>16.200000000000021</c:v>
                </c:pt>
                <c:pt idx="78">
                  <c:v>16.800000000000022</c:v>
                </c:pt>
                <c:pt idx="79">
                  <c:v>17.400000000000023</c:v>
                </c:pt>
                <c:pt idx="80">
                  <c:v>18.000000000000025</c:v>
                </c:pt>
                <c:pt idx="81">
                  <c:v>18.600000000000026</c:v>
                </c:pt>
                <c:pt idx="82">
                  <c:v>19.200000000000028</c:v>
                </c:pt>
                <c:pt idx="83">
                  <c:v>19.800000000000029</c:v>
                </c:pt>
                <c:pt idx="84">
                  <c:v>20.400000000000031</c:v>
                </c:pt>
                <c:pt idx="85">
                  <c:v>21.000000000000032</c:v>
                </c:pt>
                <c:pt idx="86">
                  <c:v>21.600000000000033</c:v>
                </c:pt>
                <c:pt idx="87">
                  <c:v>22.200000000000035</c:v>
                </c:pt>
                <c:pt idx="88">
                  <c:v>22.800000000000036</c:v>
                </c:pt>
                <c:pt idx="89">
                  <c:v>23.400000000000038</c:v>
                </c:pt>
                <c:pt idx="90">
                  <c:v>24.000000000000039</c:v>
                </c:pt>
                <c:pt idx="91">
                  <c:v>24.600000000000041</c:v>
                </c:pt>
                <c:pt idx="92">
                  <c:v>25.200000000000042</c:v>
                </c:pt>
                <c:pt idx="93">
                  <c:v>25.800000000000043</c:v>
                </c:pt>
                <c:pt idx="94">
                  <c:v>26.400000000000045</c:v>
                </c:pt>
                <c:pt idx="95">
                  <c:v>27.000000000000046</c:v>
                </c:pt>
                <c:pt idx="96">
                  <c:v>27.600000000000048</c:v>
                </c:pt>
                <c:pt idx="97">
                  <c:v>28.200000000000049</c:v>
                </c:pt>
                <c:pt idx="98">
                  <c:v>28.80000000000005</c:v>
                </c:pt>
                <c:pt idx="99">
                  <c:v>29.400000000000052</c:v>
                </c:pt>
              </c:numCache>
            </c:numRef>
          </c:xVal>
          <c:yVal>
            <c:numRef>
              <c:f>HiperbolaTabla!$F$14:$F$113</c:f>
              <c:numCache>
                <c:formatCode>General</c:formatCode>
                <c:ptCount val="100"/>
                <c:pt idx="0">
                  <c:v>-20.621590627301281</c:v>
                </c:pt>
                <c:pt idx="1">
                  <c:v>-20.129642321710538</c:v>
                </c:pt>
                <c:pt idx="2">
                  <c:v>-19.635681806344284</c:v>
                </c:pt>
                <c:pt idx="3">
                  <c:v>-19.139553286323061</c:v>
                </c:pt>
                <c:pt idx="4">
                  <c:v>-18.641083659487176</c:v>
                </c:pt>
                <c:pt idx="5">
                  <c:v>-18.140079933671732</c:v>
                </c:pt>
                <c:pt idx="6">
                  <c:v>-17.636326148038876</c:v>
                </c:pt>
                <c:pt idx="7">
                  <c:v>-17.129579679606845</c:v>
                </c:pt>
                <c:pt idx="8">
                  <c:v>-16.619566781357438</c:v>
                </c:pt>
                <c:pt idx="9">
                  <c:v>-16.105977151355944</c:v>
                </c:pt>
                <c:pt idx="10">
                  <c:v>-15.588457268119884</c:v>
                </c:pt>
                <c:pt idx="11">
                  <c:v>-15.066602138504873</c:v>
                </c:pt>
                <c:pt idx="12">
                  <c:v>-14.539944979263145</c:v>
                </c:pt>
                <c:pt idx="13">
                  <c:v>-14.007944174646026</c:v>
                </c:pt>
                <c:pt idx="14">
                  <c:v>-13.469966592386172</c:v>
                </c:pt>
                <c:pt idx="15">
                  <c:v>-12.925265954710545</c:v>
                </c:pt>
                <c:pt idx="16">
                  <c:v>-12.372954376380747</c:v>
                </c:pt>
                <c:pt idx="17">
                  <c:v>-11.811964273565996</c:v>
                </c:pt>
                <c:pt idx="18">
                  <c:v>-11.240996397117092</c:v>
                </c:pt>
                <c:pt idx="19">
                  <c:v>-10.658447354094285</c:v>
                </c:pt>
                <c:pt idx="20">
                  <c:v>-10.062305898749026</c:v>
                </c:pt>
                <c:pt idx="21">
                  <c:v>-9.4499999999999691</c:v>
                </c:pt>
                <c:pt idx="22">
                  <c:v>-8.8181630740194077</c:v>
                </c:pt>
                <c:pt idx="23">
                  <c:v>-8.162260716247637</c:v>
                </c:pt>
                <c:pt idx="24">
                  <c:v>-7.4759614766262299</c:v>
                </c:pt>
                <c:pt idx="25">
                  <c:v>-6.74999999999996</c:v>
                </c:pt>
                <c:pt idx="26">
                  <c:v>-5.9699246226396756</c:v>
                </c:pt>
                <c:pt idx="27">
                  <c:v>-5.111017511220199</c:v>
                </c:pt>
                <c:pt idx="28">
                  <c:v>-4.124318125460201</c:v>
                </c:pt>
                <c:pt idx="29">
                  <c:v>-2.8814059068447078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-5.3644180297851563E-7</c:v>
                </c:pt>
                <c:pt idx="71">
                  <c:v>-2.8814059068448321</c:v>
                </c:pt>
                <c:pt idx="72">
                  <c:v>-4.1243181254602925</c:v>
                </c:pt>
                <c:pt idx="73">
                  <c:v>-5.111017511220278</c:v>
                </c:pt>
                <c:pt idx="74">
                  <c:v>-5.9699246226397467</c:v>
                </c:pt>
                <c:pt idx="75">
                  <c:v>-6.7500000000000249</c:v>
                </c:pt>
                <c:pt idx="76">
                  <c:v>-7.4759614766262894</c:v>
                </c:pt>
                <c:pt idx="77">
                  <c:v>-8.1622607162476974</c:v>
                </c:pt>
                <c:pt idx="78">
                  <c:v>-8.8181630740194663</c:v>
                </c:pt>
                <c:pt idx="79">
                  <c:v>-9.4500000000000242</c:v>
                </c:pt>
                <c:pt idx="80">
                  <c:v>-10.062305898749079</c:v>
                </c:pt>
                <c:pt idx="81">
                  <c:v>-10.658447354094337</c:v>
                </c:pt>
                <c:pt idx="82">
                  <c:v>-11.240996397117144</c:v>
                </c:pt>
                <c:pt idx="83">
                  <c:v>-11.811964273566046</c:v>
                </c:pt>
                <c:pt idx="84">
                  <c:v>-12.372954376380795</c:v>
                </c:pt>
                <c:pt idx="85">
                  <c:v>-12.925265954710595</c:v>
                </c:pt>
                <c:pt idx="86">
                  <c:v>-13.46996659238622</c:v>
                </c:pt>
                <c:pt idx="87">
                  <c:v>-14.007944174646074</c:v>
                </c:pt>
                <c:pt idx="88">
                  <c:v>-14.539944979263193</c:v>
                </c:pt>
                <c:pt idx="89">
                  <c:v>-15.066602138504919</c:v>
                </c:pt>
                <c:pt idx="90">
                  <c:v>-15.588457268119928</c:v>
                </c:pt>
                <c:pt idx="91">
                  <c:v>-16.105977151355987</c:v>
                </c:pt>
                <c:pt idx="92">
                  <c:v>-16.619566781357484</c:v>
                </c:pt>
                <c:pt idx="93">
                  <c:v>-17.129579679606888</c:v>
                </c:pt>
                <c:pt idx="94">
                  <c:v>-17.636326148038918</c:v>
                </c:pt>
                <c:pt idx="95">
                  <c:v>-18.140079933671775</c:v>
                </c:pt>
                <c:pt idx="96">
                  <c:v>-18.641083659487219</c:v>
                </c:pt>
                <c:pt idx="97">
                  <c:v>-19.139553286323103</c:v>
                </c:pt>
                <c:pt idx="98">
                  <c:v>-19.635681806344326</c:v>
                </c:pt>
                <c:pt idx="99">
                  <c:v>-20.12964232171058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62-44F9-BA1B-9C9C5C01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537231"/>
        <c:axId val="539541551"/>
      </c:scatterChart>
      <c:valAx>
        <c:axId val="5395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41551"/>
        <c:crosses val="autoZero"/>
        <c:crossBetween val="midCat"/>
      </c:valAx>
      <c:valAx>
        <c:axId val="5395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53953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14155939591476"/>
          <c:y val="5.8428191976210311E-2"/>
          <c:w val="0.71840563200894891"/>
          <c:h val="0.80573709555101447"/>
        </c:manualLayout>
      </c:layout>
      <c:scatterChart>
        <c:scatterStyle val="smoothMarker"/>
        <c:varyColors val="0"/>
        <c:ser>
          <c:idx val="2"/>
          <c:order val="0"/>
          <c:tx>
            <c:strRef>
              <c:f>Trigonometrica!$D$17</c:f>
              <c:strCache>
                <c:ptCount val="1"/>
                <c:pt idx="0">
                  <c:v>SIN(x)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Trigonometrica!$D$18:$D$378</c:f>
              <c:numCache>
                <c:formatCode>General</c:formatCode>
                <c:ptCount val="361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0.224951054343865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</c:v>
                </c:pt>
                <c:pt idx="19">
                  <c:v>0.32556815445715664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0.54463903501502708</c:v>
                </c:pt>
                <c:pt idx="34">
                  <c:v>0.5591929034707469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0.61566147532565818</c:v>
                </c:pt>
                <c:pt idx="39">
                  <c:v>0.62932039104983739</c:v>
                </c:pt>
                <c:pt idx="40">
                  <c:v>0.64278760968653925</c:v>
                </c:pt>
                <c:pt idx="41">
                  <c:v>0.65605902899050716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0.75470958022277201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0.78801075360672201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0.92050485345244026</c:v>
                </c:pt>
                <c:pt idx="68">
                  <c:v>0.92718385456678742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0.97814760073380558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0.99026806874157025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0.75470958022277179</c:v>
                </c:pt>
                <c:pt idx="132">
                  <c:v>0.74314482547739424</c:v>
                </c:pt>
                <c:pt idx="133">
                  <c:v>0.73135370161917057</c:v>
                </c:pt>
                <c:pt idx="134">
                  <c:v>0.71933980033865141</c:v>
                </c:pt>
                <c:pt idx="135">
                  <c:v>0.70710678118654757</c:v>
                </c:pt>
                <c:pt idx="136">
                  <c:v>0.69465837045899714</c:v>
                </c:pt>
                <c:pt idx="137">
                  <c:v>0.68199836006249859</c:v>
                </c:pt>
                <c:pt idx="138">
                  <c:v>0.66913060635885835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0.62932039104983772</c:v>
                </c:pt>
                <c:pt idx="142">
                  <c:v>0.6156614753256584</c:v>
                </c:pt>
                <c:pt idx="143">
                  <c:v>0.60181502315204816</c:v>
                </c:pt>
                <c:pt idx="144">
                  <c:v>0.58778525229247325</c:v>
                </c:pt>
                <c:pt idx="145">
                  <c:v>0.57357643635104638</c:v>
                </c:pt>
                <c:pt idx="146">
                  <c:v>0.5591929034707469</c:v>
                </c:pt>
                <c:pt idx="147">
                  <c:v>0.54463903501502697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0.46947156278589108</c:v>
                </c:pt>
                <c:pt idx="153">
                  <c:v>0.45399049973954686</c:v>
                </c:pt>
                <c:pt idx="154">
                  <c:v>0.43837114678907729</c:v>
                </c:pt>
                <c:pt idx="155">
                  <c:v>0.4226182617406995</c:v>
                </c:pt>
                <c:pt idx="156">
                  <c:v>0.40673664307580043</c:v>
                </c:pt>
                <c:pt idx="157">
                  <c:v>0.39073112848927416</c:v>
                </c:pt>
                <c:pt idx="158">
                  <c:v>0.37460659341591224</c:v>
                </c:pt>
                <c:pt idx="159">
                  <c:v>0.35836794954530021</c:v>
                </c:pt>
                <c:pt idx="160">
                  <c:v>0.34202014332566888</c:v>
                </c:pt>
                <c:pt idx="161">
                  <c:v>0.32556815445715703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0.27563735581699966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0.22495105434386478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0.17364817766693028</c:v>
                </c:pt>
                <c:pt idx="171">
                  <c:v>0.15643446504023098</c:v>
                </c:pt>
                <c:pt idx="172">
                  <c:v>0.13917310096006574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8.7155742747658638E-2</c:v>
                </c:pt>
                <c:pt idx="176">
                  <c:v>6.9756473744125524E-2</c:v>
                </c:pt>
                <c:pt idx="177">
                  <c:v>5.2335956242943807E-2</c:v>
                </c:pt>
                <c:pt idx="178">
                  <c:v>3.4899496702500699E-2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-0.10452846326765305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-0.275637355816999</c:v>
                </c:pt>
                <c:pt idx="197">
                  <c:v>-0.29237170472273638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-0.46947156278589086</c:v>
                </c:pt>
                <c:pt idx="209">
                  <c:v>-0.48480962024633695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-0.62932039104983761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-0.73135370161917013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-0.87461970713939596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-0.90630778703664971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-0.98162718344766386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-0.99026806874157036</c:v>
                </c:pt>
                <c:pt idx="263">
                  <c:v>-0.99254615164132209</c:v>
                </c:pt>
                <c:pt idx="264">
                  <c:v>-0.9945218953682734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-0.99862953475457383</c:v>
                </c:pt>
                <c:pt idx="268">
                  <c:v>-0.99939082701909565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-0.99862953475457383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-0.9945218953682734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-0.9659258262890682</c:v>
                </c:pt>
                <c:pt idx="286">
                  <c:v>-0.96126169593831878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-0.93969262078590854</c:v>
                </c:pt>
                <c:pt idx="291">
                  <c:v>-0.93358042649720208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-0.91354545764260076</c:v>
                </c:pt>
                <c:pt idx="295">
                  <c:v>-0.90630778703664994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-0.87461970713939607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-0.82903757255504207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-0.78801075360672179</c:v>
                </c:pt>
                <c:pt idx="309">
                  <c:v>-0.77714596145697079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-0.74314482547739458</c:v>
                </c:pt>
                <c:pt idx="313">
                  <c:v>-0.73135370161917101</c:v>
                </c:pt>
                <c:pt idx="314">
                  <c:v>-0.71933980033865175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-0.68199836006249825</c:v>
                </c:pt>
                <c:pt idx="318">
                  <c:v>-0.66913060635885813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-0.62932039104983784</c:v>
                </c:pt>
                <c:pt idx="322">
                  <c:v>-0.61566147532565885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-0.52991926423320579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-0.48480962024633689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-0.43837114678907702</c:v>
                </c:pt>
                <c:pt idx="335">
                  <c:v>-0.4226182617407</c:v>
                </c:pt>
                <c:pt idx="336">
                  <c:v>-0.40673664307580015</c:v>
                </c:pt>
                <c:pt idx="337">
                  <c:v>-0.39073112848927471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-0.3420201433256686</c:v>
                </c:pt>
                <c:pt idx="341">
                  <c:v>-0.32556815445715753</c:v>
                </c:pt>
                <c:pt idx="342">
                  <c:v>-0.30901699437494762</c:v>
                </c:pt>
                <c:pt idx="343">
                  <c:v>-0.29237170472273627</c:v>
                </c:pt>
                <c:pt idx="344">
                  <c:v>-0.27563735581699977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-0.17364817766693127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-0.10452846326765342</c:v>
                </c:pt>
                <c:pt idx="355">
                  <c:v>-8.7155742747658319E-2</c:v>
                </c:pt>
                <c:pt idx="356">
                  <c:v>-6.9756473744124761E-2</c:v>
                </c:pt>
                <c:pt idx="357">
                  <c:v>-5.2335956242944369E-2</c:v>
                </c:pt>
                <c:pt idx="358">
                  <c:v>-3.4899496702500823E-2</c:v>
                </c:pt>
                <c:pt idx="359">
                  <c:v>-1.7452406437284448E-2</c:v>
                </c:pt>
                <c:pt idx="360">
                  <c:v>-2.45029690981724E-16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0-4DEA-BF6A-202520369238}"/>
            </c:ext>
          </c:extLst>
        </c:ser>
        <c:ser>
          <c:idx val="3"/>
          <c:order val="1"/>
          <c:tx>
            <c:strRef>
              <c:f>Trigonometrica!$E$17</c:f>
              <c:strCache>
                <c:ptCount val="1"/>
                <c:pt idx="0">
                  <c:v>COS(x)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Trigonometrica!$E$18:$E$378</c:f>
              <c:numCache>
                <c:formatCode>General</c:formatCode>
                <c:ptCount val="361"/>
                <c:pt idx="0">
                  <c:v>1</c:v>
                </c:pt>
                <c:pt idx="1">
                  <c:v>0.99984769515639127</c:v>
                </c:pt>
                <c:pt idx="2">
                  <c:v>0.99939082701909576</c:v>
                </c:pt>
                <c:pt idx="3">
                  <c:v>0.99862953475457383</c:v>
                </c:pt>
                <c:pt idx="4">
                  <c:v>0.9975640502598242</c:v>
                </c:pt>
                <c:pt idx="5">
                  <c:v>0.99619469809174555</c:v>
                </c:pt>
                <c:pt idx="6">
                  <c:v>0.99452189536827329</c:v>
                </c:pt>
                <c:pt idx="7">
                  <c:v>0.99254615164132198</c:v>
                </c:pt>
                <c:pt idx="8">
                  <c:v>0.99026806874157036</c:v>
                </c:pt>
                <c:pt idx="9">
                  <c:v>0.98768834059513777</c:v>
                </c:pt>
                <c:pt idx="10">
                  <c:v>0.98480775301220802</c:v>
                </c:pt>
                <c:pt idx="11">
                  <c:v>0.98162718344766398</c:v>
                </c:pt>
                <c:pt idx="12">
                  <c:v>0.97814760073380569</c:v>
                </c:pt>
                <c:pt idx="13">
                  <c:v>0.97437006478523525</c:v>
                </c:pt>
                <c:pt idx="14">
                  <c:v>0.97029572627599647</c:v>
                </c:pt>
                <c:pt idx="15">
                  <c:v>0.96592582628906831</c:v>
                </c:pt>
                <c:pt idx="16">
                  <c:v>0.96126169593831889</c:v>
                </c:pt>
                <c:pt idx="17">
                  <c:v>0.95630475596303544</c:v>
                </c:pt>
                <c:pt idx="18">
                  <c:v>0.95105651629515353</c:v>
                </c:pt>
                <c:pt idx="19">
                  <c:v>0.94551857559931685</c:v>
                </c:pt>
                <c:pt idx="20">
                  <c:v>0.93969262078590843</c:v>
                </c:pt>
                <c:pt idx="21">
                  <c:v>0.93358042649720174</c:v>
                </c:pt>
                <c:pt idx="22">
                  <c:v>0.92718385456678742</c:v>
                </c:pt>
                <c:pt idx="23">
                  <c:v>0.92050485345244037</c:v>
                </c:pt>
                <c:pt idx="24">
                  <c:v>0.91354545764260087</c:v>
                </c:pt>
                <c:pt idx="25">
                  <c:v>0.90630778703664994</c:v>
                </c:pt>
                <c:pt idx="26">
                  <c:v>0.89879404629916704</c:v>
                </c:pt>
                <c:pt idx="27">
                  <c:v>0.8910065241883679</c:v>
                </c:pt>
                <c:pt idx="28">
                  <c:v>0.88294759285892699</c:v>
                </c:pt>
                <c:pt idx="29">
                  <c:v>0.87461970713939574</c:v>
                </c:pt>
                <c:pt idx="30">
                  <c:v>0.86602540378443871</c:v>
                </c:pt>
                <c:pt idx="31">
                  <c:v>0.85716730070211233</c:v>
                </c:pt>
                <c:pt idx="32">
                  <c:v>0.84804809615642596</c:v>
                </c:pt>
                <c:pt idx="33">
                  <c:v>0.83867056794542405</c:v>
                </c:pt>
                <c:pt idx="34">
                  <c:v>0.82903757255504162</c:v>
                </c:pt>
                <c:pt idx="35">
                  <c:v>0.8191520442889918</c:v>
                </c:pt>
                <c:pt idx="36">
                  <c:v>0.80901699437494745</c:v>
                </c:pt>
                <c:pt idx="37">
                  <c:v>0.79863551004729283</c:v>
                </c:pt>
                <c:pt idx="38">
                  <c:v>0.78801075360672201</c:v>
                </c:pt>
                <c:pt idx="39">
                  <c:v>0.7771459614569709</c:v>
                </c:pt>
                <c:pt idx="40">
                  <c:v>0.76604444311897801</c:v>
                </c:pt>
                <c:pt idx="41">
                  <c:v>0.75470958022277213</c:v>
                </c:pt>
                <c:pt idx="42">
                  <c:v>0.74314482547739424</c:v>
                </c:pt>
                <c:pt idx="43">
                  <c:v>0.73135370161917057</c:v>
                </c:pt>
                <c:pt idx="44">
                  <c:v>0.71933980033865119</c:v>
                </c:pt>
                <c:pt idx="45">
                  <c:v>0.70710678118654757</c:v>
                </c:pt>
                <c:pt idx="46">
                  <c:v>0.69465837045899737</c:v>
                </c:pt>
                <c:pt idx="47">
                  <c:v>0.68199836006249848</c:v>
                </c:pt>
                <c:pt idx="48">
                  <c:v>0.66913060635885824</c:v>
                </c:pt>
                <c:pt idx="49">
                  <c:v>0.65605902899050728</c:v>
                </c:pt>
                <c:pt idx="50">
                  <c:v>0.64278760968653936</c:v>
                </c:pt>
                <c:pt idx="51">
                  <c:v>0.6293203910498375</c:v>
                </c:pt>
                <c:pt idx="52">
                  <c:v>0.61566147532565829</c:v>
                </c:pt>
                <c:pt idx="53">
                  <c:v>0.60181502315204838</c:v>
                </c:pt>
                <c:pt idx="54">
                  <c:v>0.58778525229247314</c:v>
                </c:pt>
                <c:pt idx="55">
                  <c:v>0.57357643635104616</c:v>
                </c:pt>
                <c:pt idx="56">
                  <c:v>0.55919290347074679</c:v>
                </c:pt>
                <c:pt idx="57">
                  <c:v>0.5446390350150272</c:v>
                </c:pt>
                <c:pt idx="58">
                  <c:v>0.5299192642332049</c:v>
                </c:pt>
                <c:pt idx="59">
                  <c:v>0.51503807491005438</c:v>
                </c:pt>
                <c:pt idx="60">
                  <c:v>0.50000000000000011</c:v>
                </c:pt>
                <c:pt idx="61">
                  <c:v>0.48480962024633711</c:v>
                </c:pt>
                <c:pt idx="62">
                  <c:v>0.46947156278589086</c:v>
                </c:pt>
                <c:pt idx="63">
                  <c:v>0.4539904997395468</c:v>
                </c:pt>
                <c:pt idx="64">
                  <c:v>0.43837114678907746</c:v>
                </c:pt>
                <c:pt idx="65">
                  <c:v>0.42261826174069944</c:v>
                </c:pt>
                <c:pt idx="66">
                  <c:v>0.40673664307580021</c:v>
                </c:pt>
                <c:pt idx="67">
                  <c:v>0.39073112848927394</c:v>
                </c:pt>
                <c:pt idx="68">
                  <c:v>0.37460659341591196</c:v>
                </c:pt>
                <c:pt idx="69">
                  <c:v>0.35836794954530038</c:v>
                </c:pt>
                <c:pt idx="70">
                  <c:v>0.34202014332566882</c:v>
                </c:pt>
                <c:pt idx="71">
                  <c:v>0.32556815445715676</c:v>
                </c:pt>
                <c:pt idx="72">
                  <c:v>0.30901699437494745</c:v>
                </c:pt>
                <c:pt idx="73">
                  <c:v>0.29237170472273677</c:v>
                </c:pt>
                <c:pt idx="74">
                  <c:v>0.27563735581699916</c:v>
                </c:pt>
                <c:pt idx="75">
                  <c:v>0.25881904510252074</c:v>
                </c:pt>
                <c:pt idx="76">
                  <c:v>0.2419218955996679</c:v>
                </c:pt>
                <c:pt idx="77">
                  <c:v>0.22495105434386492</c:v>
                </c:pt>
                <c:pt idx="78">
                  <c:v>0.20791169081775945</c:v>
                </c:pt>
                <c:pt idx="79">
                  <c:v>0.19080899537654492</c:v>
                </c:pt>
                <c:pt idx="80">
                  <c:v>0.17364817766693041</c:v>
                </c:pt>
                <c:pt idx="81">
                  <c:v>0.15643446504023092</c:v>
                </c:pt>
                <c:pt idx="82">
                  <c:v>0.13917310096006569</c:v>
                </c:pt>
                <c:pt idx="83">
                  <c:v>0.12186934340514749</c:v>
                </c:pt>
                <c:pt idx="84">
                  <c:v>0.10452846326765346</c:v>
                </c:pt>
                <c:pt idx="85">
                  <c:v>8.7155742747658138E-2</c:v>
                </c:pt>
                <c:pt idx="86">
                  <c:v>6.9756473744125455E-2</c:v>
                </c:pt>
                <c:pt idx="87">
                  <c:v>5.2335956242943966E-2</c:v>
                </c:pt>
                <c:pt idx="88">
                  <c:v>3.489949670250108E-2</c:v>
                </c:pt>
                <c:pt idx="89">
                  <c:v>1.7452406437283376E-2</c:v>
                </c:pt>
                <c:pt idx="90">
                  <c:v>6.1257422745431001E-17</c:v>
                </c:pt>
                <c:pt idx="91">
                  <c:v>-1.7452406437283477E-2</c:v>
                </c:pt>
                <c:pt idx="92">
                  <c:v>-3.4899496702500733E-2</c:v>
                </c:pt>
                <c:pt idx="93">
                  <c:v>-5.233595624294362E-2</c:v>
                </c:pt>
                <c:pt idx="94">
                  <c:v>-6.975647374412533E-2</c:v>
                </c:pt>
                <c:pt idx="95">
                  <c:v>-8.7155742747658235E-2</c:v>
                </c:pt>
                <c:pt idx="96">
                  <c:v>-0.10452846326765333</c:v>
                </c:pt>
                <c:pt idx="97">
                  <c:v>-0.12186934340514737</c:v>
                </c:pt>
                <c:pt idx="98">
                  <c:v>-0.13917310096006535</c:v>
                </c:pt>
                <c:pt idx="99">
                  <c:v>-0.15643446504023104</c:v>
                </c:pt>
                <c:pt idx="100">
                  <c:v>-0.1736481776669303</c:v>
                </c:pt>
                <c:pt idx="101">
                  <c:v>-0.1908089953765448</c:v>
                </c:pt>
                <c:pt idx="102">
                  <c:v>-0.20791169081775912</c:v>
                </c:pt>
                <c:pt idx="103">
                  <c:v>-0.22495105434386481</c:v>
                </c:pt>
                <c:pt idx="104">
                  <c:v>-0.24192189559966779</c:v>
                </c:pt>
                <c:pt idx="105">
                  <c:v>-0.25881904510252085</c:v>
                </c:pt>
                <c:pt idx="106">
                  <c:v>-0.27563735581699905</c:v>
                </c:pt>
                <c:pt idx="107">
                  <c:v>-0.29237170472273666</c:v>
                </c:pt>
                <c:pt idx="108">
                  <c:v>-0.30901699437494734</c:v>
                </c:pt>
                <c:pt idx="109">
                  <c:v>-0.32556815445715642</c:v>
                </c:pt>
                <c:pt idx="110">
                  <c:v>-0.34202014332566871</c:v>
                </c:pt>
                <c:pt idx="111">
                  <c:v>-0.35836794954530027</c:v>
                </c:pt>
                <c:pt idx="112">
                  <c:v>-0.37460659341591207</c:v>
                </c:pt>
                <c:pt idx="113">
                  <c:v>-0.3907311284892736</c:v>
                </c:pt>
                <c:pt idx="114">
                  <c:v>-0.40673664307580004</c:v>
                </c:pt>
                <c:pt idx="115">
                  <c:v>-0.42261826174069933</c:v>
                </c:pt>
                <c:pt idx="116">
                  <c:v>-0.43837114678907751</c:v>
                </c:pt>
                <c:pt idx="117">
                  <c:v>-0.45399049973954669</c:v>
                </c:pt>
                <c:pt idx="118">
                  <c:v>-0.46947156278589053</c:v>
                </c:pt>
                <c:pt idx="119">
                  <c:v>-0.484809620246337</c:v>
                </c:pt>
                <c:pt idx="120">
                  <c:v>-0.49999999999999978</c:v>
                </c:pt>
                <c:pt idx="121">
                  <c:v>-0.51503807491005427</c:v>
                </c:pt>
                <c:pt idx="122">
                  <c:v>-0.52991926423320479</c:v>
                </c:pt>
                <c:pt idx="123">
                  <c:v>-0.54463903501502708</c:v>
                </c:pt>
                <c:pt idx="124">
                  <c:v>-0.55919290347074668</c:v>
                </c:pt>
                <c:pt idx="125">
                  <c:v>-0.57357643635104583</c:v>
                </c:pt>
                <c:pt idx="126">
                  <c:v>-0.58778525229247303</c:v>
                </c:pt>
                <c:pt idx="127">
                  <c:v>-0.60181502315204838</c:v>
                </c:pt>
                <c:pt idx="128">
                  <c:v>-0.61566147532565829</c:v>
                </c:pt>
                <c:pt idx="129">
                  <c:v>-0.62932039104983728</c:v>
                </c:pt>
                <c:pt idx="130">
                  <c:v>-0.64278760968653936</c:v>
                </c:pt>
                <c:pt idx="131">
                  <c:v>-0.6560590289905075</c:v>
                </c:pt>
                <c:pt idx="132">
                  <c:v>-0.66913060635885824</c:v>
                </c:pt>
                <c:pt idx="133">
                  <c:v>-0.68199836006249837</c:v>
                </c:pt>
                <c:pt idx="134">
                  <c:v>-0.69465837045899703</c:v>
                </c:pt>
                <c:pt idx="135">
                  <c:v>-0.70710678118654746</c:v>
                </c:pt>
                <c:pt idx="136">
                  <c:v>-0.71933980033865119</c:v>
                </c:pt>
                <c:pt idx="137">
                  <c:v>-0.73135370161917046</c:v>
                </c:pt>
                <c:pt idx="138">
                  <c:v>-0.74314482547739402</c:v>
                </c:pt>
                <c:pt idx="139">
                  <c:v>-0.75470958022277201</c:v>
                </c:pt>
                <c:pt idx="140">
                  <c:v>-0.7660444431189779</c:v>
                </c:pt>
                <c:pt idx="141">
                  <c:v>-0.77714596145697068</c:v>
                </c:pt>
                <c:pt idx="142">
                  <c:v>-0.7880107536067219</c:v>
                </c:pt>
                <c:pt idx="143">
                  <c:v>-0.79863551004729294</c:v>
                </c:pt>
                <c:pt idx="144">
                  <c:v>-0.80901699437494734</c:v>
                </c:pt>
                <c:pt idx="145">
                  <c:v>-0.81915204428899158</c:v>
                </c:pt>
                <c:pt idx="146">
                  <c:v>-0.82903757255504162</c:v>
                </c:pt>
                <c:pt idx="147">
                  <c:v>-0.83867056794542416</c:v>
                </c:pt>
                <c:pt idx="148">
                  <c:v>-0.84804809615642596</c:v>
                </c:pt>
                <c:pt idx="149">
                  <c:v>-0.85716730070211222</c:v>
                </c:pt>
                <c:pt idx="150">
                  <c:v>-0.86602540378443871</c:v>
                </c:pt>
                <c:pt idx="151">
                  <c:v>-0.87461970713939574</c:v>
                </c:pt>
                <c:pt idx="152">
                  <c:v>-0.88294759285892677</c:v>
                </c:pt>
                <c:pt idx="153">
                  <c:v>-0.89100652418836779</c:v>
                </c:pt>
                <c:pt idx="154">
                  <c:v>-0.89879404629916704</c:v>
                </c:pt>
                <c:pt idx="155">
                  <c:v>-0.90630778703664994</c:v>
                </c:pt>
                <c:pt idx="156">
                  <c:v>-0.91354545764260076</c:v>
                </c:pt>
                <c:pt idx="157">
                  <c:v>-0.92050485345244015</c:v>
                </c:pt>
                <c:pt idx="158">
                  <c:v>-0.92718385456678731</c:v>
                </c:pt>
                <c:pt idx="159">
                  <c:v>-0.93358042649720174</c:v>
                </c:pt>
                <c:pt idx="160">
                  <c:v>-0.93969262078590832</c:v>
                </c:pt>
                <c:pt idx="161">
                  <c:v>-0.94551857559931674</c:v>
                </c:pt>
                <c:pt idx="162">
                  <c:v>-0.95105651629515353</c:v>
                </c:pt>
                <c:pt idx="163">
                  <c:v>-0.95630475596303544</c:v>
                </c:pt>
                <c:pt idx="164">
                  <c:v>-0.96126169593831867</c:v>
                </c:pt>
                <c:pt idx="165">
                  <c:v>-0.9659258262890682</c:v>
                </c:pt>
                <c:pt idx="166">
                  <c:v>-0.97029572627599647</c:v>
                </c:pt>
                <c:pt idx="167">
                  <c:v>-0.97437006478523525</c:v>
                </c:pt>
                <c:pt idx="168">
                  <c:v>-0.97814760073380569</c:v>
                </c:pt>
                <c:pt idx="169">
                  <c:v>-0.98162718344766398</c:v>
                </c:pt>
                <c:pt idx="170">
                  <c:v>-0.98480775301220802</c:v>
                </c:pt>
                <c:pt idx="171">
                  <c:v>-0.98768834059513766</c:v>
                </c:pt>
                <c:pt idx="172">
                  <c:v>-0.99026806874157025</c:v>
                </c:pt>
                <c:pt idx="173">
                  <c:v>-0.99254615164132198</c:v>
                </c:pt>
                <c:pt idx="174">
                  <c:v>-0.99452189536827329</c:v>
                </c:pt>
                <c:pt idx="175">
                  <c:v>-0.99619469809174555</c:v>
                </c:pt>
                <c:pt idx="176">
                  <c:v>-0.9975640502598242</c:v>
                </c:pt>
                <c:pt idx="177">
                  <c:v>-0.99862953475457383</c:v>
                </c:pt>
                <c:pt idx="178">
                  <c:v>-0.99939082701909576</c:v>
                </c:pt>
                <c:pt idx="179">
                  <c:v>-0.99984769515639127</c:v>
                </c:pt>
                <c:pt idx="180">
                  <c:v>-1</c:v>
                </c:pt>
                <c:pt idx="181">
                  <c:v>-0.99984769515639127</c:v>
                </c:pt>
                <c:pt idx="182">
                  <c:v>-0.99939082701909576</c:v>
                </c:pt>
                <c:pt idx="183">
                  <c:v>-0.99862953475457383</c:v>
                </c:pt>
                <c:pt idx="184">
                  <c:v>-0.99756405025982431</c:v>
                </c:pt>
                <c:pt idx="185">
                  <c:v>-0.99619469809174555</c:v>
                </c:pt>
                <c:pt idx="186">
                  <c:v>-0.9945218953682734</c:v>
                </c:pt>
                <c:pt idx="187">
                  <c:v>-0.99254615164132198</c:v>
                </c:pt>
                <c:pt idx="188">
                  <c:v>-0.99026806874157025</c:v>
                </c:pt>
                <c:pt idx="189">
                  <c:v>-0.98768834059513777</c:v>
                </c:pt>
                <c:pt idx="190">
                  <c:v>-0.98480775301220802</c:v>
                </c:pt>
                <c:pt idx="191">
                  <c:v>-0.98162718344766398</c:v>
                </c:pt>
                <c:pt idx="192">
                  <c:v>-0.97814760073380569</c:v>
                </c:pt>
                <c:pt idx="193">
                  <c:v>-0.97437006478523525</c:v>
                </c:pt>
                <c:pt idx="194">
                  <c:v>-0.97029572627599647</c:v>
                </c:pt>
                <c:pt idx="195">
                  <c:v>-0.96592582628906842</c:v>
                </c:pt>
                <c:pt idx="196">
                  <c:v>-0.96126169593831889</c:v>
                </c:pt>
                <c:pt idx="197">
                  <c:v>-0.95630475596303555</c:v>
                </c:pt>
                <c:pt idx="198">
                  <c:v>-0.95105651629515353</c:v>
                </c:pt>
                <c:pt idx="199">
                  <c:v>-0.94551857559931674</c:v>
                </c:pt>
                <c:pt idx="200">
                  <c:v>-0.93969262078590843</c:v>
                </c:pt>
                <c:pt idx="201">
                  <c:v>-0.93358042649720174</c:v>
                </c:pt>
                <c:pt idx="202">
                  <c:v>-0.92718385456678742</c:v>
                </c:pt>
                <c:pt idx="203">
                  <c:v>-0.92050485345244037</c:v>
                </c:pt>
                <c:pt idx="204">
                  <c:v>-0.91354545764260109</c:v>
                </c:pt>
                <c:pt idx="205">
                  <c:v>-0.90630778703665005</c:v>
                </c:pt>
                <c:pt idx="206">
                  <c:v>-0.89879404629916715</c:v>
                </c:pt>
                <c:pt idx="207">
                  <c:v>-0.89100652418836812</c:v>
                </c:pt>
                <c:pt idx="208">
                  <c:v>-0.88294759285892688</c:v>
                </c:pt>
                <c:pt idx="209">
                  <c:v>-0.87461970713939585</c:v>
                </c:pt>
                <c:pt idx="210">
                  <c:v>-0.8660254037844386</c:v>
                </c:pt>
                <c:pt idx="211">
                  <c:v>-0.85716730070211233</c:v>
                </c:pt>
                <c:pt idx="212">
                  <c:v>-0.84804809615642607</c:v>
                </c:pt>
                <c:pt idx="213">
                  <c:v>-0.83867056794542405</c:v>
                </c:pt>
                <c:pt idx="214">
                  <c:v>-0.82903757255504185</c:v>
                </c:pt>
                <c:pt idx="215">
                  <c:v>-0.81915204428899202</c:v>
                </c:pt>
                <c:pt idx="216">
                  <c:v>-0.80901699437494756</c:v>
                </c:pt>
                <c:pt idx="217">
                  <c:v>-0.79863551004729305</c:v>
                </c:pt>
                <c:pt idx="218">
                  <c:v>-0.78801075360672224</c:v>
                </c:pt>
                <c:pt idx="219">
                  <c:v>-0.77714596145697079</c:v>
                </c:pt>
                <c:pt idx="220">
                  <c:v>-0.76604444311897801</c:v>
                </c:pt>
                <c:pt idx="221">
                  <c:v>-0.7547095802227719</c:v>
                </c:pt>
                <c:pt idx="222">
                  <c:v>-0.74314482547739424</c:v>
                </c:pt>
                <c:pt idx="223">
                  <c:v>-0.73135370161917057</c:v>
                </c:pt>
                <c:pt idx="224">
                  <c:v>-0.71933980033865108</c:v>
                </c:pt>
                <c:pt idx="225">
                  <c:v>-0.70710678118654768</c:v>
                </c:pt>
                <c:pt idx="226">
                  <c:v>-0.69465837045899759</c:v>
                </c:pt>
                <c:pt idx="227">
                  <c:v>-0.68199836006249892</c:v>
                </c:pt>
                <c:pt idx="228">
                  <c:v>-0.66913060635885846</c:v>
                </c:pt>
                <c:pt idx="229">
                  <c:v>-0.65605902899050761</c:v>
                </c:pt>
                <c:pt idx="230">
                  <c:v>-0.64278760968653947</c:v>
                </c:pt>
                <c:pt idx="231">
                  <c:v>-0.62932039104983717</c:v>
                </c:pt>
                <c:pt idx="232">
                  <c:v>-0.61566147532565807</c:v>
                </c:pt>
                <c:pt idx="233">
                  <c:v>-0.60181502315204827</c:v>
                </c:pt>
                <c:pt idx="234">
                  <c:v>-0.58778525229247325</c:v>
                </c:pt>
                <c:pt idx="235">
                  <c:v>-0.57357643635104638</c:v>
                </c:pt>
                <c:pt idx="236">
                  <c:v>-0.55919290347074724</c:v>
                </c:pt>
                <c:pt idx="237">
                  <c:v>-0.54463903501502697</c:v>
                </c:pt>
                <c:pt idx="238">
                  <c:v>-0.52991926423320501</c:v>
                </c:pt>
                <c:pt idx="239">
                  <c:v>-0.51503807491005449</c:v>
                </c:pt>
                <c:pt idx="240">
                  <c:v>-0.50000000000000044</c:v>
                </c:pt>
                <c:pt idx="241">
                  <c:v>-0.48480962024633684</c:v>
                </c:pt>
                <c:pt idx="242">
                  <c:v>-0.46947156278589075</c:v>
                </c:pt>
                <c:pt idx="243">
                  <c:v>-0.45399049973954692</c:v>
                </c:pt>
                <c:pt idx="244">
                  <c:v>-0.43837114678907774</c:v>
                </c:pt>
                <c:pt idx="245">
                  <c:v>-0.42261826174069994</c:v>
                </c:pt>
                <c:pt idx="246">
                  <c:v>-0.4067366430758001</c:v>
                </c:pt>
                <c:pt idx="247">
                  <c:v>-0.39073112848927383</c:v>
                </c:pt>
                <c:pt idx="248">
                  <c:v>-0.37460659341591229</c:v>
                </c:pt>
                <c:pt idx="249">
                  <c:v>-0.35836794954530071</c:v>
                </c:pt>
                <c:pt idx="250">
                  <c:v>-0.34202014332566938</c:v>
                </c:pt>
                <c:pt idx="251">
                  <c:v>-0.32556815445715664</c:v>
                </c:pt>
                <c:pt idx="252">
                  <c:v>-0.30901699437494756</c:v>
                </c:pt>
                <c:pt idx="253">
                  <c:v>-0.2923717047227371</c:v>
                </c:pt>
                <c:pt idx="254">
                  <c:v>-0.27563735581699889</c:v>
                </c:pt>
                <c:pt idx="255">
                  <c:v>-0.25881904510252063</c:v>
                </c:pt>
                <c:pt idx="256">
                  <c:v>-0.24192189559966779</c:v>
                </c:pt>
                <c:pt idx="257">
                  <c:v>-0.22495105434386525</c:v>
                </c:pt>
                <c:pt idx="258">
                  <c:v>-0.20791169081775979</c:v>
                </c:pt>
                <c:pt idx="259">
                  <c:v>-0.19080899537654547</c:v>
                </c:pt>
                <c:pt idx="260">
                  <c:v>-0.17364817766693033</c:v>
                </c:pt>
                <c:pt idx="261">
                  <c:v>-0.15643446504023104</c:v>
                </c:pt>
                <c:pt idx="262">
                  <c:v>-0.13917310096006494</c:v>
                </c:pt>
                <c:pt idx="263">
                  <c:v>-0.12186934340514717</c:v>
                </c:pt>
                <c:pt idx="264">
                  <c:v>-0.10452846326765336</c:v>
                </c:pt>
                <c:pt idx="265">
                  <c:v>-8.7155742747658249E-2</c:v>
                </c:pt>
                <c:pt idx="266">
                  <c:v>-6.975647374412558E-2</c:v>
                </c:pt>
                <c:pt idx="267">
                  <c:v>-5.2335956242944306E-2</c:v>
                </c:pt>
                <c:pt idx="268">
                  <c:v>-3.4899496702501649E-2</c:v>
                </c:pt>
                <c:pt idx="269">
                  <c:v>-1.7452406437283498E-2</c:v>
                </c:pt>
                <c:pt idx="270">
                  <c:v>-1.83772268236293E-16</c:v>
                </c:pt>
                <c:pt idx="271">
                  <c:v>1.745240643728313E-2</c:v>
                </c:pt>
                <c:pt idx="272">
                  <c:v>3.4899496702501281E-2</c:v>
                </c:pt>
                <c:pt idx="273">
                  <c:v>5.2335956242943946E-2</c:v>
                </c:pt>
                <c:pt idx="274">
                  <c:v>6.9756473744125219E-2</c:v>
                </c:pt>
                <c:pt idx="275">
                  <c:v>8.7155742747657888E-2</c:v>
                </c:pt>
                <c:pt idx="276">
                  <c:v>0.10452846326765299</c:v>
                </c:pt>
                <c:pt idx="277">
                  <c:v>0.12186934340514768</c:v>
                </c:pt>
                <c:pt idx="278">
                  <c:v>0.13917310096006547</c:v>
                </c:pt>
                <c:pt idx="279">
                  <c:v>0.15643446504023067</c:v>
                </c:pt>
                <c:pt idx="280">
                  <c:v>0.17364817766692997</c:v>
                </c:pt>
                <c:pt idx="281">
                  <c:v>0.19080899537654425</c:v>
                </c:pt>
                <c:pt idx="282">
                  <c:v>0.20791169081775857</c:v>
                </c:pt>
                <c:pt idx="283">
                  <c:v>0.22495105434386492</c:v>
                </c:pt>
                <c:pt idx="284">
                  <c:v>0.24192189559966745</c:v>
                </c:pt>
                <c:pt idx="285">
                  <c:v>0.25881904510252113</c:v>
                </c:pt>
                <c:pt idx="286">
                  <c:v>0.27563735581699939</c:v>
                </c:pt>
                <c:pt idx="287">
                  <c:v>0.29237170472273671</c:v>
                </c:pt>
                <c:pt idx="288">
                  <c:v>0.30901699437494723</c:v>
                </c:pt>
                <c:pt idx="289">
                  <c:v>0.32556815445715631</c:v>
                </c:pt>
                <c:pt idx="290">
                  <c:v>0.34202014332566816</c:v>
                </c:pt>
                <c:pt idx="291">
                  <c:v>0.35836794954529955</c:v>
                </c:pt>
                <c:pt idx="292">
                  <c:v>0.37460659341591196</c:v>
                </c:pt>
                <c:pt idx="293">
                  <c:v>0.39073112848927349</c:v>
                </c:pt>
                <c:pt idx="294">
                  <c:v>0.40673664307580054</c:v>
                </c:pt>
                <c:pt idx="295">
                  <c:v>0.42261826174069961</c:v>
                </c:pt>
                <c:pt idx="296">
                  <c:v>0.4383711467890774</c:v>
                </c:pt>
                <c:pt idx="297">
                  <c:v>0.45399049973954664</c:v>
                </c:pt>
                <c:pt idx="298">
                  <c:v>0.46947156278589042</c:v>
                </c:pt>
                <c:pt idx="299">
                  <c:v>0.4848096202463365</c:v>
                </c:pt>
                <c:pt idx="300">
                  <c:v>0.50000000000000011</c:v>
                </c:pt>
                <c:pt idx="301">
                  <c:v>0.51503807491005416</c:v>
                </c:pt>
                <c:pt idx="302">
                  <c:v>0.52991926423320468</c:v>
                </c:pt>
                <c:pt idx="303">
                  <c:v>0.54463903501502664</c:v>
                </c:pt>
                <c:pt idx="304">
                  <c:v>0.55919290347074624</c:v>
                </c:pt>
                <c:pt idx="305">
                  <c:v>0.57357643635104605</c:v>
                </c:pt>
                <c:pt idx="306">
                  <c:v>0.58778525229247292</c:v>
                </c:pt>
                <c:pt idx="307">
                  <c:v>0.60181502315204793</c:v>
                </c:pt>
                <c:pt idx="308">
                  <c:v>0.61566147532565851</c:v>
                </c:pt>
                <c:pt idx="309">
                  <c:v>0.6293203910498375</c:v>
                </c:pt>
                <c:pt idx="310">
                  <c:v>0.64278760968653925</c:v>
                </c:pt>
                <c:pt idx="311">
                  <c:v>0.65605902899050705</c:v>
                </c:pt>
                <c:pt idx="312">
                  <c:v>0.66913060635885779</c:v>
                </c:pt>
                <c:pt idx="313">
                  <c:v>0.68199836006249803</c:v>
                </c:pt>
                <c:pt idx="314">
                  <c:v>0.69465837045899659</c:v>
                </c:pt>
                <c:pt idx="315">
                  <c:v>0.70710678118654735</c:v>
                </c:pt>
                <c:pt idx="316">
                  <c:v>0.71933980033865086</c:v>
                </c:pt>
                <c:pt idx="317">
                  <c:v>0.73135370161917068</c:v>
                </c:pt>
                <c:pt idx="318">
                  <c:v>0.74314482547739424</c:v>
                </c:pt>
                <c:pt idx="319">
                  <c:v>0.7547095802227719</c:v>
                </c:pt>
                <c:pt idx="320">
                  <c:v>0.76604444311897779</c:v>
                </c:pt>
                <c:pt idx="321">
                  <c:v>0.77714596145697057</c:v>
                </c:pt>
                <c:pt idx="322">
                  <c:v>0.78801075360672157</c:v>
                </c:pt>
                <c:pt idx="323">
                  <c:v>0.79863551004729283</c:v>
                </c:pt>
                <c:pt idx="324">
                  <c:v>0.80901699437494734</c:v>
                </c:pt>
                <c:pt idx="325">
                  <c:v>0.81915204428899158</c:v>
                </c:pt>
                <c:pt idx="326">
                  <c:v>0.8290375725550414</c:v>
                </c:pt>
                <c:pt idx="327">
                  <c:v>0.83867056794542405</c:v>
                </c:pt>
                <c:pt idx="328">
                  <c:v>0.8480480961564254</c:v>
                </c:pt>
                <c:pt idx="329">
                  <c:v>0.85716730070211211</c:v>
                </c:pt>
                <c:pt idx="330">
                  <c:v>0.86602540378443837</c:v>
                </c:pt>
                <c:pt idx="331">
                  <c:v>0.87461970713939585</c:v>
                </c:pt>
                <c:pt idx="332">
                  <c:v>0.88294759285892688</c:v>
                </c:pt>
                <c:pt idx="333">
                  <c:v>0.89100652418836779</c:v>
                </c:pt>
                <c:pt idx="334">
                  <c:v>0.89879404629916715</c:v>
                </c:pt>
                <c:pt idx="335">
                  <c:v>0.90630778703664971</c:v>
                </c:pt>
                <c:pt idx="336">
                  <c:v>0.91354545764260098</c:v>
                </c:pt>
                <c:pt idx="337">
                  <c:v>0.92050485345243993</c:v>
                </c:pt>
                <c:pt idx="338">
                  <c:v>0.92718385456678731</c:v>
                </c:pt>
                <c:pt idx="339">
                  <c:v>0.93358042649720152</c:v>
                </c:pt>
                <c:pt idx="340">
                  <c:v>0.93969262078590843</c:v>
                </c:pt>
                <c:pt idx="341">
                  <c:v>0.94551857559931651</c:v>
                </c:pt>
                <c:pt idx="342">
                  <c:v>0.95105651629515353</c:v>
                </c:pt>
                <c:pt idx="343">
                  <c:v>0.95630475596303566</c:v>
                </c:pt>
                <c:pt idx="344">
                  <c:v>0.96126169593831867</c:v>
                </c:pt>
                <c:pt idx="345">
                  <c:v>0.96592582628906831</c:v>
                </c:pt>
                <c:pt idx="346">
                  <c:v>0.97029572627599647</c:v>
                </c:pt>
                <c:pt idx="347">
                  <c:v>0.97437006478523513</c:v>
                </c:pt>
                <c:pt idx="348">
                  <c:v>0.97814760073380558</c:v>
                </c:pt>
                <c:pt idx="349">
                  <c:v>0.98162718344766398</c:v>
                </c:pt>
                <c:pt idx="350">
                  <c:v>0.98480775301220791</c:v>
                </c:pt>
                <c:pt idx="351">
                  <c:v>0.98768834059513766</c:v>
                </c:pt>
                <c:pt idx="352">
                  <c:v>0.99026806874157025</c:v>
                </c:pt>
                <c:pt idx="353">
                  <c:v>0.99254615164132198</c:v>
                </c:pt>
                <c:pt idx="354">
                  <c:v>0.99452189536827329</c:v>
                </c:pt>
                <c:pt idx="355">
                  <c:v>0.99619469809174555</c:v>
                </c:pt>
                <c:pt idx="356">
                  <c:v>0.99756405025982431</c:v>
                </c:pt>
                <c:pt idx="357">
                  <c:v>0.99862953475457383</c:v>
                </c:pt>
                <c:pt idx="358">
                  <c:v>0.99939082701909576</c:v>
                </c:pt>
                <c:pt idx="359">
                  <c:v>0.99984769515639127</c:v>
                </c:pt>
                <c:pt idx="3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F0-4DEA-BF6A-202520369238}"/>
            </c:ext>
          </c:extLst>
        </c:ser>
        <c:ser>
          <c:idx val="0"/>
          <c:order val="2"/>
          <c:tx>
            <c:strRef>
              <c:f>Trigonometrica!$F$17</c:f>
              <c:strCache>
                <c:ptCount val="1"/>
                <c:pt idx="0">
                  <c:v>TAN(x)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Trigonometrica!$F$18:$F$378</c:f>
              <c:numCache>
                <c:formatCode>General</c:formatCode>
                <c:ptCount val="361"/>
                <c:pt idx="0">
                  <c:v>0</c:v>
                </c:pt>
                <c:pt idx="1">
                  <c:v>1.7455064928217585E-2</c:v>
                </c:pt>
                <c:pt idx="2">
                  <c:v>3.492076949174773E-2</c:v>
                </c:pt>
                <c:pt idx="3">
                  <c:v>5.2407779283041196E-2</c:v>
                </c:pt>
                <c:pt idx="4">
                  <c:v>6.9926811943510414E-2</c:v>
                </c:pt>
                <c:pt idx="5">
                  <c:v>8.7488663525924007E-2</c:v>
                </c:pt>
                <c:pt idx="6">
                  <c:v>0.10510423526567646</c:v>
                </c:pt>
                <c:pt idx="7">
                  <c:v>0.1227845609029046</c:v>
                </c:pt>
                <c:pt idx="8">
                  <c:v>0.14054083470239145</c:v>
                </c:pt>
                <c:pt idx="9">
                  <c:v>0.15838444032453627</c:v>
                </c:pt>
                <c:pt idx="10">
                  <c:v>0.17632698070846498</c:v>
                </c:pt>
                <c:pt idx="11">
                  <c:v>0.19438030913771848</c:v>
                </c:pt>
                <c:pt idx="12">
                  <c:v>0.2125565616700221</c:v>
                </c:pt>
                <c:pt idx="13">
                  <c:v>0.23086819112556312</c:v>
                </c:pt>
                <c:pt idx="14">
                  <c:v>0.24932800284318068</c:v>
                </c:pt>
                <c:pt idx="15">
                  <c:v>0.2679491924311227</c:v>
                </c:pt>
                <c:pt idx="16">
                  <c:v>0.28674538575880792</c:v>
                </c:pt>
                <c:pt idx="17">
                  <c:v>0.30573068145866039</c:v>
                </c:pt>
                <c:pt idx="18">
                  <c:v>0.32491969623290629</c:v>
                </c:pt>
                <c:pt idx="19">
                  <c:v>0.34432761328966521</c:v>
                </c:pt>
                <c:pt idx="20">
                  <c:v>0.36397023426620234</c:v>
                </c:pt>
                <c:pt idx="21">
                  <c:v>0.38386403503541577</c:v>
                </c:pt>
                <c:pt idx="22">
                  <c:v>0.40402622583515679</c:v>
                </c:pt>
                <c:pt idx="23">
                  <c:v>0.4244748162096047</c:v>
                </c:pt>
                <c:pt idx="24">
                  <c:v>0.4452286853085361</c:v>
                </c:pt>
                <c:pt idx="25">
                  <c:v>0.46630765815499858</c:v>
                </c:pt>
                <c:pt idx="26">
                  <c:v>0.48773258856586144</c:v>
                </c:pt>
                <c:pt idx="27">
                  <c:v>0.50952544949442879</c:v>
                </c:pt>
                <c:pt idx="28">
                  <c:v>0.53170943166147877</c:v>
                </c:pt>
                <c:pt idx="29">
                  <c:v>0.55430905145276899</c:v>
                </c:pt>
                <c:pt idx="30">
                  <c:v>0.57735026918962573</c:v>
                </c:pt>
                <c:pt idx="31">
                  <c:v>0.60086061902756038</c:v>
                </c:pt>
                <c:pt idx="32">
                  <c:v>0.62486935190932746</c:v>
                </c:pt>
                <c:pt idx="33">
                  <c:v>0.64940759319751062</c:v>
                </c:pt>
                <c:pt idx="34">
                  <c:v>0.67450851684242674</c:v>
                </c:pt>
                <c:pt idx="35">
                  <c:v>0.70020753820970971</c:v>
                </c:pt>
                <c:pt idx="36">
                  <c:v>0.7265425280053609</c:v>
                </c:pt>
                <c:pt idx="37">
                  <c:v>0.75355405010279419</c:v>
                </c:pt>
                <c:pt idx="38">
                  <c:v>0.78128562650671729</c:v>
                </c:pt>
                <c:pt idx="39">
                  <c:v>0.80978403319500702</c:v>
                </c:pt>
                <c:pt idx="40">
                  <c:v>0.83909963117727993</c:v>
                </c:pt>
                <c:pt idx="41">
                  <c:v>0.86928673781622645</c:v>
                </c:pt>
                <c:pt idx="42">
                  <c:v>0.90040404429783993</c:v>
                </c:pt>
                <c:pt idx="43">
                  <c:v>0.93251508613766154</c:v>
                </c:pt>
                <c:pt idx="44">
                  <c:v>0.96568877480707394</c:v>
                </c:pt>
                <c:pt idx="45">
                  <c:v>0.99999999999999989</c:v>
                </c:pt>
                <c:pt idx="46">
                  <c:v>1.0355303137905694</c:v>
                </c:pt>
                <c:pt idx="47">
                  <c:v>1.0723687100246826</c:v>
                </c:pt>
                <c:pt idx="48">
                  <c:v>1.1106125148291928</c:v>
                </c:pt>
                <c:pt idx="49">
                  <c:v>1.1503684072210094</c:v>
                </c:pt>
                <c:pt idx="50">
                  <c:v>1.19175359259421</c:v>
                </c:pt>
                <c:pt idx="51">
                  <c:v>1.2348971565350511</c:v>
                </c:pt>
                <c:pt idx="52">
                  <c:v>1.2799416321930788</c:v>
                </c:pt>
                <c:pt idx="53">
                  <c:v>1.3270448216204098</c:v>
                </c:pt>
                <c:pt idx="54">
                  <c:v>1.3763819204711734</c:v>
                </c:pt>
                <c:pt idx="55">
                  <c:v>1.4281480067421144</c:v>
                </c:pt>
                <c:pt idx="56">
                  <c:v>1.4825609685127403</c:v>
                </c:pt>
                <c:pt idx="57">
                  <c:v>1.5398649638145827</c:v>
                </c:pt>
                <c:pt idx="58">
                  <c:v>1.6003345290410507</c:v>
                </c:pt>
                <c:pt idx="59">
                  <c:v>1.6642794823505174</c:v>
                </c:pt>
                <c:pt idx="60">
                  <c:v>1.7320508075688767</c:v>
                </c:pt>
                <c:pt idx="61">
                  <c:v>1.8040477552714236</c:v>
                </c:pt>
                <c:pt idx="62">
                  <c:v>1.8807264653463318</c:v>
                </c:pt>
                <c:pt idx="63">
                  <c:v>1.9626105055051504</c:v>
                </c:pt>
                <c:pt idx="64">
                  <c:v>2.050303841579296</c:v>
                </c:pt>
                <c:pt idx="65">
                  <c:v>2.1445069205095586</c:v>
                </c:pt>
                <c:pt idx="66">
                  <c:v>2.2460367739042164</c:v>
                </c:pt>
                <c:pt idx="67">
                  <c:v>2.3558523658237518</c:v>
                </c:pt>
                <c:pt idx="68">
                  <c:v>2.4750868534162964</c:v>
                </c:pt>
                <c:pt idx="69">
                  <c:v>2.6050890646938005</c:v>
                </c:pt>
                <c:pt idx="70">
                  <c:v>2.7474774194546216</c:v>
                </c:pt>
                <c:pt idx="71">
                  <c:v>2.9042108776758222</c:v>
                </c:pt>
                <c:pt idx="72">
                  <c:v>3.0776835371752527</c:v>
                </c:pt>
                <c:pt idx="73">
                  <c:v>3.2708526184841404</c:v>
                </c:pt>
                <c:pt idx="74">
                  <c:v>3.4874144438409087</c:v>
                </c:pt>
                <c:pt idx="75">
                  <c:v>3.7320508075688776</c:v>
                </c:pt>
                <c:pt idx="76">
                  <c:v>4.010780933535842</c:v>
                </c:pt>
                <c:pt idx="77">
                  <c:v>4.3314758742841573</c:v>
                </c:pt>
                <c:pt idx="78">
                  <c:v>4.7046301094784511</c:v>
                </c:pt>
                <c:pt idx="79">
                  <c:v>5.1445540159703071</c:v>
                </c:pt>
                <c:pt idx="80">
                  <c:v>5.6712818196177066</c:v>
                </c:pt>
                <c:pt idx="81">
                  <c:v>6.3137515146750411</c:v>
                </c:pt>
                <c:pt idx="82">
                  <c:v>7.1153697223841954</c:v>
                </c:pt>
                <c:pt idx="83">
                  <c:v>8.1443464279745932</c:v>
                </c:pt>
                <c:pt idx="84">
                  <c:v>9.5143644542225871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-11</c:v>
                </c:pt>
                <c:pt idx="92">
                  <c:v>-11</c:v>
                </c:pt>
                <c:pt idx="93">
                  <c:v>-11</c:v>
                </c:pt>
                <c:pt idx="94">
                  <c:v>-11</c:v>
                </c:pt>
                <c:pt idx="95">
                  <c:v>-11</c:v>
                </c:pt>
                <c:pt idx="96">
                  <c:v>-9.5143644542225978</c:v>
                </c:pt>
                <c:pt idx="97">
                  <c:v>-8.1443464279746021</c:v>
                </c:pt>
                <c:pt idx="98">
                  <c:v>-7.1153697223842132</c:v>
                </c:pt>
                <c:pt idx="99">
                  <c:v>-6.3137515146750367</c:v>
                </c:pt>
                <c:pt idx="100">
                  <c:v>-5.6712818196177111</c:v>
                </c:pt>
                <c:pt idx="101">
                  <c:v>-5.1445540159703107</c:v>
                </c:pt>
                <c:pt idx="102">
                  <c:v>-4.7046301094784591</c:v>
                </c:pt>
                <c:pt idx="103">
                  <c:v>-4.331475874284159</c:v>
                </c:pt>
                <c:pt idx="104">
                  <c:v>-4.0107809335358438</c:v>
                </c:pt>
                <c:pt idx="105">
                  <c:v>-3.7320508075688763</c:v>
                </c:pt>
                <c:pt idx="106">
                  <c:v>-3.48741444384091</c:v>
                </c:pt>
                <c:pt idx="107">
                  <c:v>-3.2708526184841422</c:v>
                </c:pt>
                <c:pt idx="108">
                  <c:v>-3.077683537175254</c:v>
                </c:pt>
                <c:pt idx="109">
                  <c:v>-2.9042108776758253</c:v>
                </c:pt>
                <c:pt idx="110">
                  <c:v>-2.7474774194546225</c:v>
                </c:pt>
                <c:pt idx="111">
                  <c:v>-2.6050890646938014</c:v>
                </c:pt>
                <c:pt idx="112">
                  <c:v>-2.4750868534162955</c:v>
                </c:pt>
                <c:pt idx="113">
                  <c:v>-2.355852365823754</c:v>
                </c:pt>
                <c:pt idx="114">
                  <c:v>-2.2460367739042169</c:v>
                </c:pt>
                <c:pt idx="115">
                  <c:v>-2.1445069205095595</c:v>
                </c:pt>
                <c:pt idx="116">
                  <c:v>-2.0503038415792956</c:v>
                </c:pt>
                <c:pt idx="117">
                  <c:v>-1.962610505505151</c:v>
                </c:pt>
                <c:pt idx="118">
                  <c:v>-1.8807264653463334</c:v>
                </c:pt>
                <c:pt idx="119">
                  <c:v>-1.804047755271424</c:v>
                </c:pt>
                <c:pt idx="120">
                  <c:v>-1.7320508075688783</c:v>
                </c:pt>
                <c:pt idx="121">
                  <c:v>-1.6642794823505178</c:v>
                </c:pt>
                <c:pt idx="122">
                  <c:v>-1.6003345290410511</c:v>
                </c:pt>
                <c:pt idx="123">
                  <c:v>-1.5398649638145827</c:v>
                </c:pt>
                <c:pt idx="124">
                  <c:v>-1.4825609685127408</c:v>
                </c:pt>
                <c:pt idx="125">
                  <c:v>-1.4281480067421155</c:v>
                </c:pt>
                <c:pt idx="126">
                  <c:v>-1.3763819204711738</c:v>
                </c:pt>
                <c:pt idx="127">
                  <c:v>-1.3270448216204096</c:v>
                </c:pt>
                <c:pt idx="128">
                  <c:v>-1.2799416321930788</c:v>
                </c:pt>
                <c:pt idx="129">
                  <c:v>-1.2348971565350519</c:v>
                </c:pt>
                <c:pt idx="130">
                  <c:v>-1.19175359259421</c:v>
                </c:pt>
                <c:pt idx="131">
                  <c:v>-1.150368407221009</c:v>
                </c:pt>
                <c:pt idx="132">
                  <c:v>-1.1106125148291928</c:v>
                </c:pt>
                <c:pt idx="133">
                  <c:v>-1.0723687100246828</c:v>
                </c:pt>
                <c:pt idx="134">
                  <c:v>-1.0355303137905703</c:v>
                </c:pt>
                <c:pt idx="135">
                  <c:v>-1.0000000000000002</c:v>
                </c:pt>
                <c:pt idx="136">
                  <c:v>-0.96568877480707371</c:v>
                </c:pt>
                <c:pt idx="137">
                  <c:v>-0.93251508613766176</c:v>
                </c:pt>
                <c:pt idx="138">
                  <c:v>-0.90040404429784038</c:v>
                </c:pt>
                <c:pt idx="139">
                  <c:v>-0.86928673781622667</c:v>
                </c:pt>
                <c:pt idx="140">
                  <c:v>-0.83909963117728037</c:v>
                </c:pt>
                <c:pt idx="141">
                  <c:v>-0.8097840331950078</c:v>
                </c:pt>
                <c:pt idx="142">
                  <c:v>-0.78128562650671762</c:v>
                </c:pt>
                <c:pt idx="143">
                  <c:v>-0.75355405010279397</c:v>
                </c:pt>
                <c:pt idx="144">
                  <c:v>-0.72654252800536101</c:v>
                </c:pt>
                <c:pt idx="145">
                  <c:v>-0.70020753820971027</c:v>
                </c:pt>
                <c:pt idx="146">
                  <c:v>-0.67450851684242674</c:v>
                </c:pt>
                <c:pt idx="147">
                  <c:v>-0.64940759319751029</c:v>
                </c:pt>
                <c:pt idx="148">
                  <c:v>-0.62486935190932746</c:v>
                </c:pt>
                <c:pt idx="149">
                  <c:v>-0.60086061902756072</c:v>
                </c:pt>
                <c:pt idx="150">
                  <c:v>-0.57735026918962573</c:v>
                </c:pt>
                <c:pt idx="151">
                  <c:v>-0.5543090514527691</c:v>
                </c:pt>
                <c:pt idx="152">
                  <c:v>-0.53170943166147921</c:v>
                </c:pt>
                <c:pt idx="153">
                  <c:v>-0.50952544949442891</c:v>
                </c:pt>
                <c:pt idx="154">
                  <c:v>-0.48773258856586127</c:v>
                </c:pt>
                <c:pt idx="155">
                  <c:v>-0.46630765815499864</c:v>
                </c:pt>
                <c:pt idx="156">
                  <c:v>-0.44522868530853649</c:v>
                </c:pt>
                <c:pt idx="157">
                  <c:v>-0.42447481620960525</c:v>
                </c:pt>
                <c:pt idx="158">
                  <c:v>-0.40402622583515707</c:v>
                </c:pt>
                <c:pt idx="159">
                  <c:v>-0.38386403503541577</c:v>
                </c:pt>
                <c:pt idx="160">
                  <c:v>-0.36397023426620256</c:v>
                </c:pt>
                <c:pt idx="161">
                  <c:v>-0.34432761328966566</c:v>
                </c:pt>
                <c:pt idx="162">
                  <c:v>-0.32491969623290645</c:v>
                </c:pt>
                <c:pt idx="163">
                  <c:v>-0.30573068145866067</c:v>
                </c:pt>
                <c:pt idx="164">
                  <c:v>-0.28674538575880848</c:v>
                </c:pt>
                <c:pt idx="165">
                  <c:v>-0.26794919243112297</c:v>
                </c:pt>
                <c:pt idx="166">
                  <c:v>-0.24932800284318071</c:v>
                </c:pt>
                <c:pt idx="167">
                  <c:v>-0.23086819112556287</c:v>
                </c:pt>
                <c:pt idx="168">
                  <c:v>-0.2125565616700221</c:v>
                </c:pt>
                <c:pt idx="169">
                  <c:v>-0.19438030913771864</c:v>
                </c:pt>
                <c:pt idx="170">
                  <c:v>-0.17632698070846489</c:v>
                </c:pt>
                <c:pt idx="171">
                  <c:v>-0.15838444032453641</c:v>
                </c:pt>
                <c:pt idx="172">
                  <c:v>-0.14054083470239176</c:v>
                </c:pt>
                <c:pt idx="173">
                  <c:v>-0.12278456090290465</c:v>
                </c:pt>
                <c:pt idx="174">
                  <c:v>-0.10510423526567673</c:v>
                </c:pt>
                <c:pt idx="175">
                  <c:v>-8.7488663525924479E-2</c:v>
                </c:pt>
                <c:pt idx="176">
                  <c:v>-6.9926811943510636E-2</c:v>
                </c:pt>
                <c:pt idx="177">
                  <c:v>-5.2407779283041175E-2</c:v>
                </c:pt>
                <c:pt idx="178">
                  <c:v>-3.492076949174746E-2</c:v>
                </c:pt>
                <c:pt idx="179">
                  <c:v>-1.7455064928217509E-2</c:v>
                </c:pt>
                <c:pt idx="180">
                  <c:v>-1.22514845490862E-16</c:v>
                </c:pt>
                <c:pt idx="181">
                  <c:v>1.7455064928217266E-2</c:v>
                </c:pt>
                <c:pt idx="182">
                  <c:v>3.4920769491747654E-2</c:v>
                </c:pt>
                <c:pt idx="183">
                  <c:v>5.2407779283040933E-2</c:v>
                </c:pt>
                <c:pt idx="184">
                  <c:v>6.9926811943509942E-2</c:v>
                </c:pt>
                <c:pt idx="185">
                  <c:v>8.7488663525923785E-2</c:v>
                </c:pt>
                <c:pt idx="186">
                  <c:v>0.10510423526567604</c:v>
                </c:pt>
                <c:pt idx="187">
                  <c:v>0.12278456090290486</c:v>
                </c:pt>
                <c:pt idx="188">
                  <c:v>0.14054083470239151</c:v>
                </c:pt>
                <c:pt idx="189">
                  <c:v>0.15838444032453616</c:v>
                </c:pt>
                <c:pt idx="190">
                  <c:v>0.17632698070846509</c:v>
                </c:pt>
                <c:pt idx="191">
                  <c:v>0.19438030913771839</c:v>
                </c:pt>
                <c:pt idx="192">
                  <c:v>0.21255656167002182</c:v>
                </c:pt>
                <c:pt idx="193">
                  <c:v>0.23086819112556309</c:v>
                </c:pt>
                <c:pt idx="194">
                  <c:v>0.24932800284318044</c:v>
                </c:pt>
                <c:pt idx="195">
                  <c:v>0.26794919243112225</c:v>
                </c:pt>
                <c:pt idx="196">
                  <c:v>0.28674538575880776</c:v>
                </c:pt>
                <c:pt idx="197">
                  <c:v>0.30573068145865995</c:v>
                </c:pt>
                <c:pt idx="198">
                  <c:v>0.32491969623290667</c:v>
                </c:pt>
                <c:pt idx="199">
                  <c:v>0.34432761328966538</c:v>
                </c:pt>
                <c:pt idx="200">
                  <c:v>0.36397023426620229</c:v>
                </c:pt>
                <c:pt idx="201">
                  <c:v>0.383864035035416</c:v>
                </c:pt>
                <c:pt idx="202">
                  <c:v>0.40402622583515679</c:v>
                </c:pt>
                <c:pt idx="203">
                  <c:v>0.42447481620960448</c:v>
                </c:pt>
                <c:pt idx="204">
                  <c:v>0.44522868530853565</c:v>
                </c:pt>
                <c:pt idx="205">
                  <c:v>0.46630765815499836</c:v>
                </c:pt>
                <c:pt idx="206">
                  <c:v>0.48773258856586094</c:v>
                </c:pt>
                <c:pt idx="207">
                  <c:v>0.50952544949442813</c:v>
                </c:pt>
                <c:pt idx="208">
                  <c:v>0.53170943166147888</c:v>
                </c:pt>
                <c:pt idx="209">
                  <c:v>0.55430905145276876</c:v>
                </c:pt>
                <c:pt idx="210">
                  <c:v>0.57735026918962595</c:v>
                </c:pt>
                <c:pt idx="211">
                  <c:v>0.60086061902756038</c:v>
                </c:pt>
                <c:pt idx="212">
                  <c:v>0.62486935190932713</c:v>
                </c:pt>
                <c:pt idx="213">
                  <c:v>0.64940759319751062</c:v>
                </c:pt>
                <c:pt idx="214">
                  <c:v>0.6745085168424263</c:v>
                </c:pt>
                <c:pt idx="215">
                  <c:v>0.70020753820970916</c:v>
                </c:pt>
                <c:pt idx="216">
                  <c:v>0.72654252800536068</c:v>
                </c:pt>
                <c:pt idx="217">
                  <c:v>0.75355405010279364</c:v>
                </c:pt>
                <c:pt idx="218">
                  <c:v>0.78128562650671651</c:v>
                </c:pt>
                <c:pt idx="219">
                  <c:v>0.80978403319500736</c:v>
                </c:pt>
                <c:pt idx="220">
                  <c:v>0.83909963117727993</c:v>
                </c:pt>
                <c:pt idx="221">
                  <c:v>0.86928673781622701</c:v>
                </c:pt>
                <c:pt idx="222">
                  <c:v>0.90040404429783993</c:v>
                </c:pt>
                <c:pt idx="223">
                  <c:v>0.93251508613766132</c:v>
                </c:pt>
                <c:pt idx="224">
                  <c:v>0.96568877480707416</c:v>
                </c:pt>
                <c:pt idx="225">
                  <c:v>0.99999999999999967</c:v>
                </c:pt>
                <c:pt idx="226">
                  <c:v>1.0355303137905687</c:v>
                </c:pt>
                <c:pt idx="227">
                  <c:v>1.0723687100246813</c:v>
                </c:pt>
                <c:pt idx="228">
                  <c:v>1.1106125148291921</c:v>
                </c:pt>
                <c:pt idx="229">
                  <c:v>1.1503684072210083</c:v>
                </c:pt>
                <c:pt idx="230">
                  <c:v>1.1917535925942093</c:v>
                </c:pt>
                <c:pt idx="231">
                  <c:v>1.2348971565350524</c:v>
                </c:pt>
                <c:pt idx="232">
                  <c:v>1.2799416321930794</c:v>
                </c:pt>
                <c:pt idx="233">
                  <c:v>1.32704482162041</c:v>
                </c:pt>
                <c:pt idx="234">
                  <c:v>1.3763819204711731</c:v>
                </c:pt>
                <c:pt idx="235">
                  <c:v>1.4281480067421135</c:v>
                </c:pt>
                <c:pt idx="236">
                  <c:v>1.4825609685127386</c:v>
                </c:pt>
                <c:pt idx="237">
                  <c:v>1.5398649638145834</c:v>
                </c:pt>
                <c:pt idx="238">
                  <c:v>1.6003345290410502</c:v>
                </c:pt>
                <c:pt idx="239">
                  <c:v>1.6642794823505169</c:v>
                </c:pt>
                <c:pt idx="240">
                  <c:v>1.7320508075688754</c:v>
                </c:pt>
                <c:pt idx="241">
                  <c:v>1.8040477552714249</c:v>
                </c:pt>
                <c:pt idx="242">
                  <c:v>1.8807264653463323</c:v>
                </c:pt>
                <c:pt idx="243">
                  <c:v>1.9626105055051497</c:v>
                </c:pt>
                <c:pt idx="244">
                  <c:v>2.0503038415792942</c:v>
                </c:pt>
                <c:pt idx="245">
                  <c:v>2.1445069205095555</c:v>
                </c:pt>
                <c:pt idx="246">
                  <c:v>2.2460367739042169</c:v>
                </c:pt>
                <c:pt idx="247">
                  <c:v>2.3558523658237522</c:v>
                </c:pt>
                <c:pt idx="248">
                  <c:v>2.4750868534162938</c:v>
                </c:pt>
                <c:pt idx="249">
                  <c:v>2.6050890646937979</c:v>
                </c:pt>
                <c:pt idx="250">
                  <c:v>2.7474774194546168</c:v>
                </c:pt>
                <c:pt idx="251">
                  <c:v>2.9042108776758231</c:v>
                </c:pt>
                <c:pt idx="252">
                  <c:v>3.0776835371752518</c:v>
                </c:pt>
                <c:pt idx="253">
                  <c:v>3.2708526184841364</c:v>
                </c:pt>
                <c:pt idx="254">
                  <c:v>3.4874144438409127</c:v>
                </c:pt>
                <c:pt idx="255">
                  <c:v>3.732050807568879</c:v>
                </c:pt>
                <c:pt idx="256">
                  <c:v>4.0107809335358438</c:v>
                </c:pt>
                <c:pt idx="257">
                  <c:v>4.3314758742841502</c:v>
                </c:pt>
                <c:pt idx="258">
                  <c:v>4.7046301094784431</c:v>
                </c:pt>
                <c:pt idx="259">
                  <c:v>5.144554015970292</c:v>
                </c:pt>
                <c:pt idx="260">
                  <c:v>5.6712818196177102</c:v>
                </c:pt>
                <c:pt idx="261">
                  <c:v>6.3137515146750358</c:v>
                </c:pt>
                <c:pt idx="262">
                  <c:v>7.1153697223842354</c:v>
                </c:pt>
                <c:pt idx="263">
                  <c:v>8.1443464279746145</c:v>
                </c:pt>
                <c:pt idx="264">
                  <c:v>9.514364454222596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-11</c:v>
                </c:pt>
                <c:pt idx="272">
                  <c:v>-11</c:v>
                </c:pt>
                <c:pt idx="273">
                  <c:v>-11</c:v>
                </c:pt>
                <c:pt idx="274">
                  <c:v>-11</c:v>
                </c:pt>
                <c:pt idx="275">
                  <c:v>-11</c:v>
                </c:pt>
                <c:pt idx="276">
                  <c:v>-9.5143644542226298</c:v>
                </c:pt>
                <c:pt idx="277">
                  <c:v>-8.1443464279745807</c:v>
                </c:pt>
                <c:pt idx="278">
                  <c:v>-7.1153697223842087</c:v>
                </c:pt>
                <c:pt idx="279">
                  <c:v>-6.3137515146750509</c:v>
                </c:pt>
                <c:pt idx="280">
                  <c:v>-5.6712818196177226</c:v>
                </c:pt>
                <c:pt idx="281">
                  <c:v>-5.1445540159703258</c:v>
                </c:pt>
                <c:pt idx="282">
                  <c:v>-4.7046301094784724</c:v>
                </c:pt>
                <c:pt idx="283">
                  <c:v>-4.3314758742841573</c:v>
                </c:pt>
                <c:pt idx="284">
                  <c:v>-4.01078093353585</c:v>
                </c:pt>
                <c:pt idx="285">
                  <c:v>-3.7320508075688714</c:v>
                </c:pt>
                <c:pt idx="286">
                  <c:v>-3.487414443840906</c:v>
                </c:pt>
                <c:pt idx="287">
                  <c:v>-3.2708526184841409</c:v>
                </c:pt>
                <c:pt idx="288">
                  <c:v>-3.0776835371752553</c:v>
                </c:pt>
                <c:pt idx="289">
                  <c:v>-2.9042108776758266</c:v>
                </c:pt>
                <c:pt idx="290">
                  <c:v>-2.7474774194546274</c:v>
                </c:pt>
                <c:pt idx="291">
                  <c:v>-2.6050890646938076</c:v>
                </c:pt>
                <c:pt idx="292">
                  <c:v>-2.4750868534162964</c:v>
                </c:pt>
                <c:pt idx="293">
                  <c:v>-2.3558523658237549</c:v>
                </c:pt>
                <c:pt idx="294">
                  <c:v>-2.2460367739042137</c:v>
                </c:pt>
                <c:pt idx="295">
                  <c:v>-2.1445069205095577</c:v>
                </c:pt>
                <c:pt idx="296">
                  <c:v>-2.0503038415792965</c:v>
                </c:pt>
                <c:pt idx="297">
                  <c:v>-1.9626105055051515</c:v>
                </c:pt>
                <c:pt idx="298">
                  <c:v>-1.8807264653463338</c:v>
                </c:pt>
                <c:pt idx="299">
                  <c:v>-1.8040477552714265</c:v>
                </c:pt>
                <c:pt idx="300">
                  <c:v>-1.732050807568877</c:v>
                </c:pt>
                <c:pt idx="301">
                  <c:v>-1.6642794823505183</c:v>
                </c:pt>
                <c:pt idx="302">
                  <c:v>-1.6003345290410513</c:v>
                </c:pt>
                <c:pt idx="303">
                  <c:v>-1.5398649638145847</c:v>
                </c:pt>
                <c:pt idx="304">
                  <c:v>-1.4825609685127425</c:v>
                </c:pt>
                <c:pt idx="305">
                  <c:v>-1.4281480067421146</c:v>
                </c:pt>
                <c:pt idx="306">
                  <c:v>-1.3763819204711742</c:v>
                </c:pt>
                <c:pt idx="307">
                  <c:v>-1.3270448216204112</c:v>
                </c:pt>
                <c:pt idx="308">
                  <c:v>-1.2799416321930781</c:v>
                </c:pt>
                <c:pt idx="309">
                  <c:v>-1.2348971565350513</c:v>
                </c:pt>
                <c:pt idx="310">
                  <c:v>-1.1917535925942102</c:v>
                </c:pt>
                <c:pt idx="311">
                  <c:v>-1.1503684072210103</c:v>
                </c:pt>
                <c:pt idx="312">
                  <c:v>-1.1106125148291941</c:v>
                </c:pt>
                <c:pt idx="313">
                  <c:v>-1.0723687100246841</c:v>
                </c:pt>
                <c:pt idx="314">
                  <c:v>-1.0355303137905714</c:v>
                </c:pt>
                <c:pt idx="315">
                  <c:v>-1.0000000000000004</c:v>
                </c:pt>
                <c:pt idx="316">
                  <c:v>-0.96568877480707482</c:v>
                </c:pt>
                <c:pt idx="317">
                  <c:v>-0.93251508613766121</c:v>
                </c:pt>
                <c:pt idx="318">
                  <c:v>-0.90040404429783982</c:v>
                </c:pt>
                <c:pt idx="319">
                  <c:v>-0.8692867378162269</c:v>
                </c:pt>
                <c:pt idx="320">
                  <c:v>-0.83909963117728059</c:v>
                </c:pt>
                <c:pt idx="321">
                  <c:v>-0.80978403319500802</c:v>
                </c:pt>
                <c:pt idx="322">
                  <c:v>-0.78128562650671851</c:v>
                </c:pt>
                <c:pt idx="323">
                  <c:v>-0.75355405010279419</c:v>
                </c:pt>
                <c:pt idx="324">
                  <c:v>-0.72654252800536123</c:v>
                </c:pt>
                <c:pt idx="325">
                  <c:v>-0.70020753820971038</c:v>
                </c:pt>
                <c:pt idx="326">
                  <c:v>-0.67450851684242752</c:v>
                </c:pt>
                <c:pt idx="327">
                  <c:v>-0.64940759319751051</c:v>
                </c:pt>
                <c:pt idx="328">
                  <c:v>-0.62486935190932891</c:v>
                </c:pt>
                <c:pt idx="329">
                  <c:v>-0.60086061902756083</c:v>
                </c:pt>
                <c:pt idx="330">
                  <c:v>-0.57735026918962651</c:v>
                </c:pt>
                <c:pt idx="331">
                  <c:v>-0.55430905145276865</c:v>
                </c:pt>
                <c:pt idx="332">
                  <c:v>-0.53170943166147877</c:v>
                </c:pt>
                <c:pt idx="333">
                  <c:v>-0.50952544949442913</c:v>
                </c:pt>
                <c:pt idx="334">
                  <c:v>-0.48773258856586083</c:v>
                </c:pt>
                <c:pt idx="335">
                  <c:v>-0.46630765815499936</c:v>
                </c:pt>
                <c:pt idx="336">
                  <c:v>-0.4452286853085361</c:v>
                </c:pt>
                <c:pt idx="337">
                  <c:v>-0.42447481620960592</c:v>
                </c:pt>
                <c:pt idx="338">
                  <c:v>-0.40402622583515718</c:v>
                </c:pt>
                <c:pt idx="339">
                  <c:v>-0.38386403503541638</c:v>
                </c:pt>
                <c:pt idx="340">
                  <c:v>-0.36397023426620218</c:v>
                </c:pt>
                <c:pt idx="341">
                  <c:v>-0.34432761328966627</c:v>
                </c:pt>
                <c:pt idx="342">
                  <c:v>-0.32491969623290656</c:v>
                </c:pt>
                <c:pt idx="343">
                  <c:v>-0.30573068145865984</c:v>
                </c:pt>
                <c:pt idx="344">
                  <c:v>-0.28674538575880865</c:v>
                </c:pt>
                <c:pt idx="345">
                  <c:v>-0.26794919243112264</c:v>
                </c:pt>
                <c:pt idx="346">
                  <c:v>-0.24932800284318082</c:v>
                </c:pt>
                <c:pt idx="347">
                  <c:v>-0.23086819112556348</c:v>
                </c:pt>
                <c:pt idx="348">
                  <c:v>-0.21255656167002268</c:v>
                </c:pt>
                <c:pt idx="349">
                  <c:v>-0.19438030913771831</c:v>
                </c:pt>
                <c:pt idx="350">
                  <c:v>-0.17632698070846592</c:v>
                </c:pt>
                <c:pt idx="351">
                  <c:v>-0.15838444032453655</c:v>
                </c:pt>
                <c:pt idx="352">
                  <c:v>-0.1405408347023919</c:v>
                </c:pt>
                <c:pt idx="353">
                  <c:v>-0.12278456090290524</c:v>
                </c:pt>
                <c:pt idx="354">
                  <c:v>-0.1051042352656764</c:v>
                </c:pt>
                <c:pt idx="355">
                  <c:v>-8.7488663525924146E-2</c:v>
                </c:pt>
                <c:pt idx="356">
                  <c:v>-6.9926811943509859E-2</c:v>
                </c:pt>
                <c:pt idx="357">
                  <c:v>-5.2407779283041744E-2</c:v>
                </c:pt>
                <c:pt idx="358">
                  <c:v>-3.4920769491747577E-2</c:v>
                </c:pt>
                <c:pt idx="359">
                  <c:v>-1.7455064928218522E-2</c:v>
                </c:pt>
                <c:pt idx="360">
                  <c:v>-2.45029690981724E-16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F0-4DEA-BF6A-202520369238}"/>
            </c:ext>
          </c:extLst>
        </c:ser>
        <c:ser>
          <c:idx val="1"/>
          <c:order val="3"/>
          <c:tx>
            <c:strRef>
              <c:f>Trigonometrica!$G$17</c:f>
              <c:strCache>
                <c:ptCount val="1"/>
                <c:pt idx="0">
                  <c:v>COT(x)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Trigonometrica!$G$18:$G$378</c:f>
              <c:numCache>
                <c:formatCode>General</c:formatCode>
                <c:ptCount val="361"/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9.5143644542225854</c:v>
                </c:pt>
                <c:pt idx="7">
                  <c:v>8.1443464279745932</c:v>
                </c:pt>
                <c:pt idx="8">
                  <c:v>7.1153697223842087</c:v>
                </c:pt>
                <c:pt idx="9">
                  <c:v>6.3137515146750438</c:v>
                </c:pt>
                <c:pt idx="10">
                  <c:v>5.6712818196177093</c:v>
                </c:pt>
                <c:pt idx="11">
                  <c:v>5.1445540159703107</c:v>
                </c:pt>
                <c:pt idx="12">
                  <c:v>4.7046301094784546</c:v>
                </c:pt>
                <c:pt idx="13">
                  <c:v>4.3314758742841555</c:v>
                </c:pt>
                <c:pt idx="14">
                  <c:v>4.0107809335358446</c:v>
                </c:pt>
                <c:pt idx="15">
                  <c:v>3.7320508075688776</c:v>
                </c:pt>
                <c:pt idx="16">
                  <c:v>3.4874144438409087</c:v>
                </c:pt>
                <c:pt idx="17">
                  <c:v>3.2708526184841404</c:v>
                </c:pt>
                <c:pt idx="18">
                  <c:v>3.077683537175254</c:v>
                </c:pt>
                <c:pt idx="19">
                  <c:v>2.9042108776758231</c:v>
                </c:pt>
                <c:pt idx="20">
                  <c:v>2.7474774194546225</c:v>
                </c:pt>
                <c:pt idx="21">
                  <c:v>2.6050890646938019</c:v>
                </c:pt>
                <c:pt idx="22">
                  <c:v>2.475086853416296</c:v>
                </c:pt>
                <c:pt idx="23">
                  <c:v>2.3558523658237531</c:v>
                </c:pt>
                <c:pt idx="24">
                  <c:v>2.2460367739042164</c:v>
                </c:pt>
                <c:pt idx="25">
                  <c:v>2.1445069205095586</c:v>
                </c:pt>
                <c:pt idx="26">
                  <c:v>2.050303841579296</c:v>
                </c:pt>
                <c:pt idx="27">
                  <c:v>1.9626105055051506</c:v>
                </c:pt>
                <c:pt idx="28">
                  <c:v>1.880726465346332</c:v>
                </c:pt>
                <c:pt idx="29">
                  <c:v>1.8040477552714238</c:v>
                </c:pt>
                <c:pt idx="30">
                  <c:v>1.7320508075688774</c:v>
                </c:pt>
                <c:pt idx="31">
                  <c:v>1.664279482350518</c:v>
                </c:pt>
                <c:pt idx="32">
                  <c:v>1.6003345290410504</c:v>
                </c:pt>
                <c:pt idx="33">
                  <c:v>1.5398649638145827</c:v>
                </c:pt>
                <c:pt idx="34">
                  <c:v>1.4825609685127401</c:v>
                </c:pt>
                <c:pt idx="35">
                  <c:v>1.4281480067421146</c:v>
                </c:pt>
                <c:pt idx="36">
                  <c:v>1.3763819204711736</c:v>
                </c:pt>
                <c:pt idx="37">
                  <c:v>1.32704482162041</c:v>
                </c:pt>
                <c:pt idx="38">
                  <c:v>1.279941632193079</c:v>
                </c:pt>
                <c:pt idx="39">
                  <c:v>1.2348971565350515</c:v>
                </c:pt>
                <c:pt idx="40">
                  <c:v>1.19175359259421</c:v>
                </c:pt>
                <c:pt idx="41">
                  <c:v>1.1503684072210099</c:v>
                </c:pt>
                <c:pt idx="42">
                  <c:v>1.110612514829193</c:v>
                </c:pt>
                <c:pt idx="43">
                  <c:v>1.0723687100246828</c:v>
                </c:pt>
                <c:pt idx="44">
                  <c:v>1.0355303137905696</c:v>
                </c:pt>
                <c:pt idx="45">
                  <c:v>1</c:v>
                </c:pt>
                <c:pt idx="46">
                  <c:v>0.96568877480707416</c:v>
                </c:pt>
                <c:pt idx="47">
                  <c:v>0.93251508613766165</c:v>
                </c:pt>
                <c:pt idx="48">
                  <c:v>0.90040404429784004</c:v>
                </c:pt>
                <c:pt idx="49">
                  <c:v>0.86928673781622678</c:v>
                </c:pt>
                <c:pt idx="50">
                  <c:v>0.83909963117728004</c:v>
                </c:pt>
                <c:pt idx="51">
                  <c:v>0.80978403319500736</c:v>
                </c:pt>
                <c:pt idx="52">
                  <c:v>0.7812856265067174</c:v>
                </c:pt>
                <c:pt idx="53">
                  <c:v>0.7535540501027943</c:v>
                </c:pt>
                <c:pt idx="54">
                  <c:v>0.72654252800536101</c:v>
                </c:pt>
                <c:pt idx="55">
                  <c:v>0.70020753820970982</c:v>
                </c:pt>
                <c:pt idx="56">
                  <c:v>0.67450851684242663</c:v>
                </c:pt>
                <c:pt idx="57">
                  <c:v>0.64940759319751062</c:v>
                </c:pt>
                <c:pt idx="58">
                  <c:v>0.62486935190932735</c:v>
                </c:pt>
                <c:pt idx="59">
                  <c:v>0.60086061902756061</c:v>
                </c:pt>
                <c:pt idx="60">
                  <c:v>0.57735026918962595</c:v>
                </c:pt>
                <c:pt idx="61">
                  <c:v>0.55430905145276899</c:v>
                </c:pt>
                <c:pt idx="62">
                  <c:v>0.53170943166147877</c:v>
                </c:pt>
                <c:pt idx="63">
                  <c:v>0.50952544949442891</c:v>
                </c:pt>
                <c:pt idx="64">
                  <c:v>0.48773258856586149</c:v>
                </c:pt>
                <c:pt idx="65">
                  <c:v>0.46630765815499858</c:v>
                </c:pt>
                <c:pt idx="66">
                  <c:v>0.4452286853085361</c:v>
                </c:pt>
                <c:pt idx="67">
                  <c:v>0.42447481620960492</c:v>
                </c:pt>
                <c:pt idx="68">
                  <c:v>0.40402622583515674</c:v>
                </c:pt>
                <c:pt idx="69">
                  <c:v>0.38386403503541594</c:v>
                </c:pt>
                <c:pt idx="70">
                  <c:v>0.36397023426620245</c:v>
                </c:pt>
                <c:pt idx="71">
                  <c:v>0.34432761328966532</c:v>
                </c:pt>
                <c:pt idx="72">
                  <c:v>0.3249196962329064</c:v>
                </c:pt>
                <c:pt idx="73">
                  <c:v>0.30573068145866039</c:v>
                </c:pt>
                <c:pt idx="74">
                  <c:v>0.28674538575880792</c:v>
                </c:pt>
                <c:pt idx="75">
                  <c:v>0.2679491924311227</c:v>
                </c:pt>
                <c:pt idx="76">
                  <c:v>0.24932800284318085</c:v>
                </c:pt>
                <c:pt idx="77">
                  <c:v>0.23086819112556303</c:v>
                </c:pt>
                <c:pt idx="78">
                  <c:v>0.21255656167002226</c:v>
                </c:pt>
                <c:pt idx="79">
                  <c:v>0.19438030913771859</c:v>
                </c:pt>
                <c:pt idx="80">
                  <c:v>0.17632698070846506</c:v>
                </c:pt>
                <c:pt idx="81">
                  <c:v>0.15838444032453633</c:v>
                </c:pt>
                <c:pt idx="82">
                  <c:v>0.1405408347023917</c:v>
                </c:pt>
                <c:pt idx="83">
                  <c:v>0.1227845609029046</c:v>
                </c:pt>
                <c:pt idx="84">
                  <c:v>0.10510423526567644</c:v>
                </c:pt>
                <c:pt idx="85">
                  <c:v>8.7488663525923965E-2</c:v>
                </c:pt>
                <c:pt idx="86">
                  <c:v>6.9926811943510567E-2</c:v>
                </c:pt>
                <c:pt idx="87">
                  <c:v>5.2407779283041342E-2</c:v>
                </c:pt>
                <c:pt idx="88">
                  <c:v>3.4920769491747841E-2</c:v>
                </c:pt>
                <c:pt idx="89">
                  <c:v>1.7455064928217447E-2</c:v>
                </c:pt>
                <c:pt idx="90">
                  <c:v>6.1257422745431001E-17</c:v>
                </c:pt>
                <c:pt idx="91">
                  <c:v>-1.7455064928217547E-2</c:v>
                </c:pt>
                <c:pt idx="92">
                  <c:v>-3.4920769491747494E-2</c:v>
                </c:pt>
                <c:pt idx="93">
                  <c:v>-5.2407779283040988E-2</c:v>
                </c:pt>
                <c:pt idx="94">
                  <c:v>-6.9926811943510456E-2</c:v>
                </c:pt>
                <c:pt idx="95">
                  <c:v>-8.7488663525924062E-2</c:v>
                </c:pt>
                <c:pt idx="96">
                  <c:v>-0.10510423526567632</c:v>
                </c:pt>
                <c:pt idx="97">
                  <c:v>-0.12278456090290447</c:v>
                </c:pt>
                <c:pt idx="98">
                  <c:v>-0.14054083470239137</c:v>
                </c:pt>
                <c:pt idx="99">
                  <c:v>-0.15838444032453644</c:v>
                </c:pt>
                <c:pt idx="100">
                  <c:v>-0.17632698070846492</c:v>
                </c:pt>
                <c:pt idx="101">
                  <c:v>-0.19438030913771848</c:v>
                </c:pt>
                <c:pt idx="102">
                  <c:v>-0.2125565616700219</c:v>
                </c:pt>
                <c:pt idx="103">
                  <c:v>-0.23086819112556292</c:v>
                </c:pt>
                <c:pt idx="104">
                  <c:v>-0.24932800284318074</c:v>
                </c:pt>
                <c:pt idx="105">
                  <c:v>-0.26794919243112275</c:v>
                </c:pt>
                <c:pt idx="106">
                  <c:v>-0.28674538575880781</c:v>
                </c:pt>
                <c:pt idx="107">
                  <c:v>-0.30573068145866023</c:v>
                </c:pt>
                <c:pt idx="108">
                  <c:v>-0.32491969623290629</c:v>
                </c:pt>
                <c:pt idx="109">
                  <c:v>-0.34432761328966494</c:v>
                </c:pt>
                <c:pt idx="110">
                  <c:v>-0.36397023426620234</c:v>
                </c:pt>
                <c:pt idx="111">
                  <c:v>-0.38386403503541583</c:v>
                </c:pt>
                <c:pt idx="112">
                  <c:v>-0.40402622583515685</c:v>
                </c:pt>
                <c:pt idx="113">
                  <c:v>-0.42447481620960453</c:v>
                </c:pt>
                <c:pt idx="114">
                  <c:v>-0.44522868530853599</c:v>
                </c:pt>
                <c:pt idx="115">
                  <c:v>-0.46630765815499842</c:v>
                </c:pt>
                <c:pt idx="116">
                  <c:v>-0.4877325885658616</c:v>
                </c:pt>
                <c:pt idx="117">
                  <c:v>-0.50952544949442868</c:v>
                </c:pt>
                <c:pt idx="118">
                  <c:v>-0.53170943166147833</c:v>
                </c:pt>
                <c:pt idx="119">
                  <c:v>-0.55430905145276888</c:v>
                </c:pt>
                <c:pt idx="120">
                  <c:v>-0.5773502691896254</c:v>
                </c:pt>
                <c:pt idx="121">
                  <c:v>-0.60086061902756049</c:v>
                </c:pt>
                <c:pt idx="122">
                  <c:v>-0.62486935190932724</c:v>
                </c:pt>
                <c:pt idx="123">
                  <c:v>-0.64940759319751062</c:v>
                </c:pt>
                <c:pt idx="124">
                  <c:v>-0.67450851684242641</c:v>
                </c:pt>
                <c:pt idx="125">
                  <c:v>-0.70020753820970927</c:v>
                </c:pt>
                <c:pt idx="126">
                  <c:v>-0.72654252800536079</c:v>
                </c:pt>
                <c:pt idx="127">
                  <c:v>-0.75355405010279441</c:v>
                </c:pt>
                <c:pt idx="128">
                  <c:v>-0.7812856265067174</c:v>
                </c:pt>
                <c:pt idx="129">
                  <c:v>-0.8097840331950068</c:v>
                </c:pt>
                <c:pt idx="130">
                  <c:v>-0.83909963117728004</c:v>
                </c:pt>
                <c:pt idx="131">
                  <c:v>-0.86928673781622712</c:v>
                </c:pt>
                <c:pt idx="132">
                  <c:v>-0.90040404429784004</c:v>
                </c:pt>
                <c:pt idx="133">
                  <c:v>-0.93251508613766143</c:v>
                </c:pt>
                <c:pt idx="134">
                  <c:v>-0.96568877480707338</c:v>
                </c:pt>
                <c:pt idx="135">
                  <c:v>-0.99999999999999978</c:v>
                </c:pt>
                <c:pt idx="136">
                  <c:v>-1.0355303137905698</c:v>
                </c:pt>
                <c:pt idx="137">
                  <c:v>-1.0723687100246824</c:v>
                </c:pt>
                <c:pt idx="138">
                  <c:v>-1.1106125148291923</c:v>
                </c:pt>
                <c:pt idx="139">
                  <c:v>-1.1503684072210096</c:v>
                </c:pt>
                <c:pt idx="140">
                  <c:v>-1.1917535925942095</c:v>
                </c:pt>
                <c:pt idx="141">
                  <c:v>-1.2348971565350504</c:v>
                </c:pt>
                <c:pt idx="142">
                  <c:v>-1.2799416321930783</c:v>
                </c:pt>
                <c:pt idx="143">
                  <c:v>-1.3270448216204103</c:v>
                </c:pt>
                <c:pt idx="144">
                  <c:v>-1.3763819204711734</c:v>
                </c:pt>
                <c:pt idx="145">
                  <c:v>-1.4281480067421135</c:v>
                </c:pt>
                <c:pt idx="146">
                  <c:v>-1.4825609685127401</c:v>
                </c:pt>
                <c:pt idx="147">
                  <c:v>-1.5398649638145836</c:v>
                </c:pt>
                <c:pt idx="148">
                  <c:v>-1.6003345290410504</c:v>
                </c:pt>
                <c:pt idx="149">
                  <c:v>-1.6642794823505171</c:v>
                </c:pt>
                <c:pt idx="150">
                  <c:v>-1.7320508075688774</c:v>
                </c:pt>
                <c:pt idx="151">
                  <c:v>-1.8040477552714234</c:v>
                </c:pt>
                <c:pt idx="152">
                  <c:v>-1.8807264653463303</c:v>
                </c:pt>
                <c:pt idx="153">
                  <c:v>-1.9626105055051501</c:v>
                </c:pt>
                <c:pt idx="154">
                  <c:v>-2.0503038415792969</c:v>
                </c:pt>
                <c:pt idx="155">
                  <c:v>-2.1445069205095586</c:v>
                </c:pt>
                <c:pt idx="156">
                  <c:v>-2.2460367739042146</c:v>
                </c:pt>
                <c:pt idx="157">
                  <c:v>-2.35585236582375</c:v>
                </c:pt>
                <c:pt idx="158">
                  <c:v>-2.4750868534162942</c:v>
                </c:pt>
                <c:pt idx="159">
                  <c:v>-2.6050890646938019</c:v>
                </c:pt>
                <c:pt idx="160">
                  <c:v>-2.7474774194546208</c:v>
                </c:pt>
                <c:pt idx="161">
                  <c:v>-2.9042108776758191</c:v>
                </c:pt>
                <c:pt idx="162">
                  <c:v>-3.0776835371752522</c:v>
                </c:pt>
                <c:pt idx="163">
                  <c:v>-3.2708526184841373</c:v>
                </c:pt>
                <c:pt idx="164">
                  <c:v>-3.487414443840902</c:v>
                </c:pt>
                <c:pt idx="165">
                  <c:v>-3.7320508075688736</c:v>
                </c:pt>
                <c:pt idx="166">
                  <c:v>-4.0107809335358446</c:v>
                </c:pt>
                <c:pt idx="167">
                  <c:v>-4.3314758742841599</c:v>
                </c:pt>
                <c:pt idx="168">
                  <c:v>-4.7046301094784546</c:v>
                </c:pt>
                <c:pt idx="169">
                  <c:v>-5.1445540159703063</c:v>
                </c:pt>
                <c:pt idx="170">
                  <c:v>-5.6712818196177119</c:v>
                </c:pt>
                <c:pt idx="171">
                  <c:v>-6.3137515146750385</c:v>
                </c:pt>
                <c:pt idx="172">
                  <c:v>-7.1153697223841927</c:v>
                </c:pt>
                <c:pt idx="173">
                  <c:v>-8.1443464279745896</c:v>
                </c:pt>
                <c:pt idx="174">
                  <c:v>-9.5143644542225605</c:v>
                </c:pt>
                <c:pt idx="175">
                  <c:v>-11</c:v>
                </c:pt>
                <c:pt idx="176">
                  <c:v>-11</c:v>
                </c:pt>
                <c:pt idx="177">
                  <c:v>-11</c:v>
                </c:pt>
                <c:pt idx="178">
                  <c:v>-11</c:v>
                </c:pt>
                <c:pt idx="179">
                  <c:v>-11</c:v>
                </c:pt>
                <c:pt idx="180">
                  <c:v>-11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9.5143644542226227</c:v>
                </c:pt>
                <c:pt idx="187">
                  <c:v>8.1443464279745754</c:v>
                </c:pt>
                <c:pt idx="188">
                  <c:v>7.1153697223842052</c:v>
                </c:pt>
                <c:pt idx="189">
                  <c:v>6.3137515146750482</c:v>
                </c:pt>
                <c:pt idx="190">
                  <c:v>5.6712818196177057</c:v>
                </c:pt>
                <c:pt idx="191">
                  <c:v>5.1445540159703125</c:v>
                </c:pt>
                <c:pt idx="192">
                  <c:v>4.7046301094784608</c:v>
                </c:pt>
                <c:pt idx="193">
                  <c:v>4.3314758742841564</c:v>
                </c:pt>
                <c:pt idx="194">
                  <c:v>4.0107809335358491</c:v>
                </c:pt>
                <c:pt idx="195">
                  <c:v>3.7320508075688834</c:v>
                </c:pt>
                <c:pt idx="196">
                  <c:v>3.4874144438409109</c:v>
                </c:pt>
                <c:pt idx="197">
                  <c:v>3.2708526184841453</c:v>
                </c:pt>
                <c:pt idx="198">
                  <c:v>3.07768353717525</c:v>
                </c:pt>
                <c:pt idx="199">
                  <c:v>2.9042108776758218</c:v>
                </c:pt>
                <c:pt idx="200">
                  <c:v>2.747477419454623</c:v>
                </c:pt>
                <c:pt idx="201">
                  <c:v>2.6050890646938001</c:v>
                </c:pt>
                <c:pt idx="202">
                  <c:v>2.475086853416296</c:v>
                </c:pt>
                <c:pt idx="203">
                  <c:v>2.3558523658237545</c:v>
                </c:pt>
                <c:pt idx="204">
                  <c:v>2.2460367739042186</c:v>
                </c:pt>
                <c:pt idx="205">
                  <c:v>2.1445069205095595</c:v>
                </c:pt>
                <c:pt idx="206">
                  <c:v>2.0503038415792982</c:v>
                </c:pt>
                <c:pt idx="207">
                  <c:v>1.9626105055051533</c:v>
                </c:pt>
                <c:pt idx="208">
                  <c:v>1.8807264653463316</c:v>
                </c:pt>
                <c:pt idx="209">
                  <c:v>1.8040477552714245</c:v>
                </c:pt>
                <c:pt idx="210">
                  <c:v>1.7320508075688767</c:v>
                </c:pt>
                <c:pt idx="211">
                  <c:v>1.664279482350518</c:v>
                </c:pt>
                <c:pt idx="212">
                  <c:v>1.6003345290410513</c:v>
                </c:pt>
                <c:pt idx="213">
                  <c:v>1.5398649638145827</c:v>
                </c:pt>
                <c:pt idx="214">
                  <c:v>1.482560968512741</c:v>
                </c:pt>
                <c:pt idx="215">
                  <c:v>1.4281480067421157</c:v>
                </c:pt>
                <c:pt idx="216">
                  <c:v>1.376381920471174</c:v>
                </c:pt>
                <c:pt idx="217">
                  <c:v>1.3270448216204109</c:v>
                </c:pt>
                <c:pt idx="218">
                  <c:v>1.2799416321930803</c:v>
                </c:pt>
                <c:pt idx="219">
                  <c:v>1.2348971565350511</c:v>
                </c:pt>
                <c:pt idx="220">
                  <c:v>1.19175359259421</c:v>
                </c:pt>
                <c:pt idx="221">
                  <c:v>1.1503684072210092</c:v>
                </c:pt>
                <c:pt idx="222">
                  <c:v>1.110612514829193</c:v>
                </c:pt>
                <c:pt idx="223">
                  <c:v>1.072368710024683</c:v>
                </c:pt>
                <c:pt idx="224">
                  <c:v>1.0355303137905694</c:v>
                </c:pt>
                <c:pt idx="225">
                  <c:v>1.0000000000000004</c:v>
                </c:pt>
                <c:pt idx="226">
                  <c:v>0.96568877480707482</c:v>
                </c:pt>
                <c:pt idx="227">
                  <c:v>0.93251508613766276</c:v>
                </c:pt>
                <c:pt idx="228">
                  <c:v>0.9004040442978406</c:v>
                </c:pt>
                <c:pt idx="229">
                  <c:v>0.86928673781622756</c:v>
                </c:pt>
                <c:pt idx="230">
                  <c:v>0.83909963117728048</c:v>
                </c:pt>
                <c:pt idx="231">
                  <c:v>0.80978403319500647</c:v>
                </c:pt>
                <c:pt idx="232">
                  <c:v>0.78128562650671696</c:v>
                </c:pt>
                <c:pt idx="233">
                  <c:v>0.75355405010279419</c:v>
                </c:pt>
                <c:pt idx="234">
                  <c:v>0.72654252800536112</c:v>
                </c:pt>
                <c:pt idx="235">
                  <c:v>0.70020753820971027</c:v>
                </c:pt>
                <c:pt idx="236">
                  <c:v>0.67450851684242741</c:v>
                </c:pt>
                <c:pt idx="237">
                  <c:v>0.6494075931975104</c:v>
                </c:pt>
                <c:pt idx="238">
                  <c:v>0.62486935190932758</c:v>
                </c:pt>
                <c:pt idx="239">
                  <c:v>0.60086061902756072</c:v>
                </c:pt>
                <c:pt idx="240">
                  <c:v>0.5773502691896264</c:v>
                </c:pt>
                <c:pt idx="241">
                  <c:v>0.55430905145276865</c:v>
                </c:pt>
                <c:pt idx="242">
                  <c:v>0.53170943166147866</c:v>
                </c:pt>
                <c:pt idx="243">
                  <c:v>0.50952544949442902</c:v>
                </c:pt>
                <c:pt idx="244">
                  <c:v>0.48773258856586188</c:v>
                </c:pt>
                <c:pt idx="245">
                  <c:v>0.46630765815499925</c:v>
                </c:pt>
                <c:pt idx="246">
                  <c:v>0.44522868530853599</c:v>
                </c:pt>
                <c:pt idx="247">
                  <c:v>0.42447481620960487</c:v>
                </c:pt>
                <c:pt idx="248">
                  <c:v>0.40402622583515713</c:v>
                </c:pt>
                <c:pt idx="249">
                  <c:v>0.38386403503541633</c:v>
                </c:pt>
                <c:pt idx="250">
                  <c:v>0.36397023426620312</c:v>
                </c:pt>
                <c:pt idx="251">
                  <c:v>0.34432761328966521</c:v>
                </c:pt>
                <c:pt idx="252">
                  <c:v>0.32491969623290651</c:v>
                </c:pt>
                <c:pt idx="253">
                  <c:v>0.30573068145866078</c:v>
                </c:pt>
                <c:pt idx="254">
                  <c:v>0.28674538575880759</c:v>
                </c:pt>
                <c:pt idx="255">
                  <c:v>0.26794919243112258</c:v>
                </c:pt>
                <c:pt idx="256">
                  <c:v>0.24932800284318074</c:v>
                </c:pt>
                <c:pt idx="257">
                  <c:v>0.23086819112556339</c:v>
                </c:pt>
                <c:pt idx="258">
                  <c:v>0.21255656167002263</c:v>
                </c:pt>
                <c:pt idx="259">
                  <c:v>0.19438030913771917</c:v>
                </c:pt>
                <c:pt idx="260">
                  <c:v>0.17632698070846495</c:v>
                </c:pt>
                <c:pt idx="261">
                  <c:v>0.15838444032453647</c:v>
                </c:pt>
                <c:pt idx="262">
                  <c:v>0.14054083470239093</c:v>
                </c:pt>
                <c:pt idx="263">
                  <c:v>0.12278456090290428</c:v>
                </c:pt>
                <c:pt idx="264">
                  <c:v>0.10510423526567635</c:v>
                </c:pt>
                <c:pt idx="265">
                  <c:v>8.748866352592409E-2</c:v>
                </c:pt>
                <c:pt idx="266">
                  <c:v>6.9926811943510692E-2</c:v>
                </c:pt>
                <c:pt idx="267">
                  <c:v>5.2407779283041682E-2</c:v>
                </c:pt>
                <c:pt idx="268">
                  <c:v>3.4920769491748403E-2</c:v>
                </c:pt>
                <c:pt idx="269">
                  <c:v>1.7455064928217572E-2</c:v>
                </c:pt>
                <c:pt idx="270">
                  <c:v>1.83772268236293E-16</c:v>
                </c:pt>
                <c:pt idx="271">
                  <c:v>-1.7455064928217204E-2</c:v>
                </c:pt>
                <c:pt idx="272">
                  <c:v>-3.4920769491748035E-2</c:v>
                </c:pt>
                <c:pt idx="273">
                  <c:v>-5.2407779283041314E-2</c:v>
                </c:pt>
                <c:pt idx="274">
                  <c:v>-6.9926811943510331E-2</c:v>
                </c:pt>
                <c:pt idx="275">
                  <c:v>-8.7488663525923716E-2</c:v>
                </c:pt>
                <c:pt idx="276">
                  <c:v>-0.10510423526567597</c:v>
                </c:pt>
                <c:pt idx="277">
                  <c:v>-0.12278456090290479</c:v>
                </c:pt>
                <c:pt idx="278">
                  <c:v>-0.14054083470239145</c:v>
                </c:pt>
                <c:pt idx="279">
                  <c:v>-0.15838444032453611</c:v>
                </c:pt>
                <c:pt idx="280">
                  <c:v>-0.17632698070846456</c:v>
                </c:pt>
                <c:pt idx="281">
                  <c:v>-0.19438030913771789</c:v>
                </c:pt>
                <c:pt idx="282">
                  <c:v>-0.21255656167002129</c:v>
                </c:pt>
                <c:pt idx="283">
                  <c:v>-0.23086819112556303</c:v>
                </c:pt>
                <c:pt idx="284">
                  <c:v>-0.24932800284318035</c:v>
                </c:pt>
                <c:pt idx="285">
                  <c:v>-0.26794919243112314</c:v>
                </c:pt>
                <c:pt idx="286">
                  <c:v>-0.28674538575880815</c:v>
                </c:pt>
                <c:pt idx="287">
                  <c:v>-0.30573068145866034</c:v>
                </c:pt>
                <c:pt idx="288">
                  <c:v>-0.32491969623290612</c:v>
                </c:pt>
                <c:pt idx="289">
                  <c:v>-0.34432761328966477</c:v>
                </c:pt>
                <c:pt idx="290">
                  <c:v>-0.36397023426620168</c:v>
                </c:pt>
                <c:pt idx="291">
                  <c:v>-0.38386403503541489</c:v>
                </c:pt>
                <c:pt idx="292">
                  <c:v>-0.40402622583515674</c:v>
                </c:pt>
                <c:pt idx="293">
                  <c:v>-0.42447481620960437</c:v>
                </c:pt>
                <c:pt idx="294">
                  <c:v>-0.4452286853085366</c:v>
                </c:pt>
                <c:pt idx="295">
                  <c:v>-0.46630765815499881</c:v>
                </c:pt>
                <c:pt idx="296">
                  <c:v>-0.48773258856586138</c:v>
                </c:pt>
                <c:pt idx="297">
                  <c:v>-0.50952544949442857</c:v>
                </c:pt>
                <c:pt idx="298">
                  <c:v>-0.53170943166147822</c:v>
                </c:pt>
                <c:pt idx="299">
                  <c:v>-0.5543090514527681</c:v>
                </c:pt>
                <c:pt idx="300">
                  <c:v>-0.57735026918962584</c:v>
                </c:pt>
                <c:pt idx="301">
                  <c:v>-0.60086061902756027</c:v>
                </c:pt>
                <c:pt idx="302">
                  <c:v>-0.62486935190932713</c:v>
                </c:pt>
                <c:pt idx="303">
                  <c:v>-0.64940759319750985</c:v>
                </c:pt>
                <c:pt idx="304">
                  <c:v>-0.67450851684242563</c:v>
                </c:pt>
                <c:pt idx="305">
                  <c:v>-0.70020753820970971</c:v>
                </c:pt>
                <c:pt idx="306">
                  <c:v>-0.72654252800536057</c:v>
                </c:pt>
                <c:pt idx="307">
                  <c:v>-0.75355405010279353</c:v>
                </c:pt>
                <c:pt idx="308">
                  <c:v>-0.78128562650671785</c:v>
                </c:pt>
                <c:pt idx="309">
                  <c:v>-0.80978403319500725</c:v>
                </c:pt>
                <c:pt idx="310">
                  <c:v>-0.83909963117727981</c:v>
                </c:pt>
                <c:pt idx="311">
                  <c:v>-0.86928673781622612</c:v>
                </c:pt>
                <c:pt idx="312">
                  <c:v>-0.90040404429783893</c:v>
                </c:pt>
                <c:pt idx="313">
                  <c:v>-0.93251508613766032</c:v>
                </c:pt>
                <c:pt idx="314">
                  <c:v>-0.96568877480707227</c:v>
                </c:pt>
                <c:pt idx="315">
                  <c:v>-0.99999999999999956</c:v>
                </c:pt>
                <c:pt idx="316">
                  <c:v>-1.0355303137905687</c:v>
                </c:pt>
                <c:pt idx="317">
                  <c:v>-1.072368710024683</c:v>
                </c:pt>
                <c:pt idx="318">
                  <c:v>-1.110612514829193</c:v>
                </c:pt>
                <c:pt idx="319">
                  <c:v>-1.1503684072210092</c:v>
                </c:pt>
                <c:pt idx="320">
                  <c:v>-1.1917535925942091</c:v>
                </c:pt>
                <c:pt idx="321">
                  <c:v>-1.2348971565350502</c:v>
                </c:pt>
                <c:pt idx="322">
                  <c:v>-1.279941632193077</c:v>
                </c:pt>
                <c:pt idx="323">
                  <c:v>-1.32704482162041</c:v>
                </c:pt>
                <c:pt idx="324">
                  <c:v>-1.3763819204711729</c:v>
                </c:pt>
                <c:pt idx="325">
                  <c:v>-1.4281480067421133</c:v>
                </c:pt>
                <c:pt idx="326">
                  <c:v>-1.4825609685127383</c:v>
                </c:pt>
                <c:pt idx="327">
                  <c:v>-1.5398649638145832</c:v>
                </c:pt>
                <c:pt idx="328">
                  <c:v>-1.6003345290410467</c:v>
                </c:pt>
                <c:pt idx="329">
                  <c:v>-1.6642794823505167</c:v>
                </c:pt>
                <c:pt idx="330">
                  <c:v>-1.732050807568875</c:v>
                </c:pt>
                <c:pt idx="331">
                  <c:v>-1.8040477552714247</c:v>
                </c:pt>
                <c:pt idx="332">
                  <c:v>-1.880726465346332</c:v>
                </c:pt>
                <c:pt idx="333">
                  <c:v>-1.9626105055051493</c:v>
                </c:pt>
                <c:pt idx="334">
                  <c:v>-2.0503038415792987</c:v>
                </c:pt>
                <c:pt idx="335">
                  <c:v>-2.144506920509555</c:v>
                </c:pt>
                <c:pt idx="336">
                  <c:v>-2.2460367739042164</c:v>
                </c:pt>
                <c:pt idx="337">
                  <c:v>-2.3558523658237465</c:v>
                </c:pt>
                <c:pt idx="338">
                  <c:v>-2.4750868534162938</c:v>
                </c:pt>
                <c:pt idx="339">
                  <c:v>-2.6050890646937974</c:v>
                </c:pt>
                <c:pt idx="340">
                  <c:v>-2.7474774194546239</c:v>
                </c:pt>
                <c:pt idx="341">
                  <c:v>-2.9042108776758142</c:v>
                </c:pt>
                <c:pt idx="342">
                  <c:v>-3.0776835371752513</c:v>
                </c:pt>
                <c:pt idx="343">
                  <c:v>-3.2708526184841462</c:v>
                </c:pt>
                <c:pt idx="344">
                  <c:v>-3.4874144438409003</c:v>
                </c:pt>
                <c:pt idx="345">
                  <c:v>-3.7320508075688781</c:v>
                </c:pt>
                <c:pt idx="346">
                  <c:v>-4.0107809335358429</c:v>
                </c:pt>
                <c:pt idx="347">
                  <c:v>-4.3314758742841484</c:v>
                </c:pt>
                <c:pt idx="348">
                  <c:v>-4.7046301094784422</c:v>
                </c:pt>
                <c:pt idx="349">
                  <c:v>-5.1445540159703151</c:v>
                </c:pt>
                <c:pt idx="350">
                  <c:v>-5.6712818196176791</c:v>
                </c:pt>
                <c:pt idx="351">
                  <c:v>-6.3137515146750331</c:v>
                </c:pt>
                <c:pt idx="352">
                  <c:v>-7.1153697223841856</c:v>
                </c:pt>
                <c:pt idx="353">
                  <c:v>-8.1443464279745506</c:v>
                </c:pt>
                <c:pt idx="354">
                  <c:v>-9.5143644542225907</c:v>
                </c:pt>
                <c:pt idx="355">
                  <c:v>-11</c:v>
                </c:pt>
                <c:pt idx="356">
                  <c:v>-11</c:v>
                </c:pt>
                <c:pt idx="357">
                  <c:v>-11</c:v>
                </c:pt>
                <c:pt idx="358">
                  <c:v>-11</c:v>
                </c:pt>
                <c:pt idx="359">
                  <c:v>-11</c:v>
                </c:pt>
                <c:pt idx="360">
                  <c:v>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F0-4DEA-BF6A-202520369238}"/>
            </c:ext>
          </c:extLst>
        </c:ser>
        <c:ser>
          <c:idx val="4"/>
          <c:order val="4"/>
          <c:tx>
            <c:strRef>
              <c:f>Trigonometrica!$H$17</c:f>
              <c:strCache>
                <c:ptCount val="1"/>
                <c:pt idx="0">
                  <c:v>SEC(x)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Trigonometrica!$H$18:$H$378</c:f>
              <c:numCache>
                <c:formatCode>General</c:formatCode>
                <c:ptCount val="361"/>
                <c:pt idx="0">
                  <c:v>1</c:v>
                </c:pt>
                <c:pt idx="1">
                  <c:v>1.0001523280439077</c:v>
                </c:pt>
                <c:pt idx="2">
                  <c:v>1.0006095442988217</c:v>
                </c:pt>
                <c:pt idx="3">
                  <c:v>1.0013723459979209</c:v>
                </c:pt>
                <c:pt idx="4">
                  <c:v>1.0024418980811722</c:v>
                </c:pt>
                <c:pt idx="5">
                  <c:v>1.0038198375433474</c:v>
                </c:pt>
                <c:pt idx="6">
                  <c:v>1.0055082795635164</c:v>
                </c:pt>
                <c:pt idx="7">
                  <c:v>1.0075098254588484</c:v>
                </c:pt>
                <c:pt idx="8">
                  <c:v>1.0098275725186181</c:v>
                </c:pt>
                <c:pt idx="9">
                  <c:v>1.0124651257880029</c:v>
                </c:pt>
                <c:pt idx="10">
                  <c:v>1.0154266118857451</c:v>
                </c:pt>
                <c:pt idx="11">
                  <c:v>1.0187166949552142</c:v>
                </c:pt>
                <c:pt idx="12">
                  <c:v>1.0223405948650293</c:v>
                </c:pt>
                <c:pt idx="13">
                  <c:v>1.0263041077933917</c:v>
                </c:pt>
                <c:pt idx="14">
                  <c:v>1.0306136293498982</c:v>
                </c:pt>
                <c:pt idx="15">
                  <c:v>1.035276180410083</c:v>
                </c:pt>
                <c:pt idx="16">
                  <c:v>1.040299435861602</c:v>
                </c:pt>
                <c:pt idx="17">
                  <c:v>1.045691756487148</c:v>
                </c:pt>
                <c:pt idx="18">
                  <c:v>1.0514622242382672</c:v>
                </c:pt>
                <c:pt idx="19">
                  <c:v>1.0576206811866706</c:v>
                </c:pt>
                <c:pt idx="20">
                  <c:v>1.0641777724759121</c:v>
                </c:pt>
                <c:pt idx="21">
                  <c:v>1.071144993637029</c:v>
                </c:pt>
                <c:pt idx="22">
                  <c:v>1.0785347426775833</c:v>
                </c:pt>
                <c:pt idx="23">
                  <c:v>1.0863603774052961</c:v>
                </c:pt>
                <c:pt idx="24">
                  <c:v>1.0946362785060468</c:v>
                </c:pt>
                <c:pt idx="25">
                  <c:v>1.1033779189624917</c:v>
                </c:pt>
                <c:pt idx="26">
                  <c:v>1.1126019404751888</c:v>
                </c:pt>
                <c:pt idx="27">
                  <c:v>1.1223262376343608</c:v>
                </c:pt>
                <c:pt idx="28">
                  <c:v>1.132570050689039</c:v>
                </c:pt>
                <c:pt idx="29">
                  <c:v>1.1433540678733201</c:v>
                </c:pt>
                <c:pt idx="30">
                  <c:v>1.1547005383792515</c:v>
                </c:pt>
                <c:pt idx="31">
                  <c:v>1.1666333972153304</c:v>
                </c:pt>
                <c:pt idx="32">
                  <c:v>1.1791784033620965</c:v>
                </c:pt>
                <c:pt idx="33">
                  <c:v>1.1923632928359473</c:v>
                </c:pt>
                <c:pt idx="34">
                  <c:v>1.2062179485039055</c:v>
                </c:pt>
                <c:pt idx="35">
                  <c:v>1.2207745887614561</c:v>
                </c:pt>
                <c:pt idx="36">
                  <c:v>1.2360679774997896</c:v>
                </c:pt>
                <c:pt idx="37">
                  <c:v>1.2521356581562257</c:v>
                </c:pt>
                <c:pt idx="38">
                  <c:v>1.2690182150725788</c:v>
                </c:pt>
                <c:pt idx="39">
                  <c:v>1.2867595658931672</c:v>
                </c:pt>
                <c:pt idx="40">
                  <c:v>1.3054072893322786</c:v>
                </c:pt>
                <c:pt idx="41">
                  <c:v>1.3250129933488111</c:v>
                </c:pt>
                <c:pt idx="42">
                  <c:v>1.3456327296063761</c:v>
                </c:pt>
                <c:pt idx="43">
                  <c:v>1.367327461098595</c:v>
                </c:pt>
                <c:pt idx="44">
                  <c:v>1.3901635910166787</c:v>
                </c:pt>
                <c:pt idx="45">
                  <c:v>1.4142135623730949</c:v>
                </c:pt>
                <c:pt idx="46">
                  <c:v>1.4395565396257262</c:v>
                </c:pt>
                <c:pt idx="47">
                  <c:v>1.4662791856396249</c:v>
                </c:pt>
                <c:pt idx="48">
                  <c:v>1.4944765498646086</c:v>
                </c:pt>
                <c:pt idx="49">
                  <c:v>1.5242530867058142</c:v>
                </c:pt>
                <c:pt idx="50">
                  <c:v>1.5557238268604123</c:v>
                </c:pt>
                <c:pt idx="51">
                  <c:v>1.5890157290657494</c:v>
                </c:pt>
                <c:pt idx="52">
                  <c:v>1.6242692454827441</c:v>
                </c:pt>
                <c:pt idx="53">
                  <c:v>1.661640141122483</c:v>
                </c:pt>
                <c:pt idx="54">
                  <c:v>1.7013016167040798</c:v>
                </c:pt>
                <c:pt idx="55">
                  <c:v>1.7434467956210977</c:v>
                </c:pt>
                <c:pt idx="56">
                  <c:v>1.7882916499714008</c:v>
                </c:pt>
                <c:pt idx="57">
                  <c:v>1.8360784587766628</c:v>
                </c:pt>
                <c:pt idx="58">
                  <c:v>1.8870799147998585</c:v>
                </c:pt>
                <c:pt idx="59">
                  <c:v>1.9416040264103558</c:v>
                </c:pt>
                <c:pt idx="60">
                  <c:v>1.9999999999999996</c:v>
                </c:pt>
                <c:pt idx="61">
                  <c:v>2.0626653396273138</c:v>
                </c:pt>
                <c:pt idx="62">
                  <c:v>2.1300544681895124</c:v>
                </c:pt>
                <c:pt idx="63">
                  <c:v>2.2026892645852665</c:v>
                </c:pt>
                <c:pt idx="64">
                  <c:v>2.281172032704859</c:v>
                </c:pt>
                <c:pt idx="65">
                  <c:v>2.3662015831524985</c:v>
                </c:pt>
                <c:pt idx="66">
                  <c:v>2.4585933355742382</c:v>
                </c:pt>
                <c:pt idx="67">
                  <c:v>2.5593046652474509</c:v>
                </c:pt>
                <c:pt idx="68">
                  <c:v>2.6694671625540147</c:v>
                </c:pt>
                <c:pt idx="69">
                  <c:v>2.7904281096253349</c:v>
                </c:pt>
                <c:pt idx="70">
                  <c:v>2.9238044001630863</c:v>
                </c:pt>
                <c:pt idx="71">
                  <c:v>3.0715534867572414</c:v>
                </c:pt>
                <c:pt idx="72">
                  <c:v>3.2360679774997894</c:v>
                </c:pt>
                <c:pt idx="73">
                  <c:v>3.4203036198332684</c:v>
                </c:pt>
                <c:pt idx="74">
                  <c:v>3.6279552785433005</c:v>
                </c:pt>
                <c:pt idx="75">
                  <c:v>3.8637033051562737</c:v>
                </c:pt>
                <c:pt idx="76">
                  <c:v>4.1335654944387468</c:v>
                </c:pt>
                <c:pt idx="77">
                  <c:v>4.4454114825858024</c:v>
                </c:pt>
                <c:pt idx="78">
                  <c:v>4.8097343447441281</c:v>
                </c:pt>
                <c:pt idx="79">
                  <c:v>5.2408430641678461</c:v>
                </c:pt>
                <c:pt idx="80">
                  <c:v>5.758770483143631</c:v>
                </c:pt>
                <c:pt idx="81">
                  <c:v>6.3924532214996592</c:v>
                </c:pt>
                <c:pt idx="82">
                  <c:v>7.1852965343277067</c:v>
                </c:pt>
                <c:pt idx="83">
                  <c:v>8.2055090481250783</c:v>
                </c:pt>
                <c:pt idx="84">
                  <c:v>9.5667722335056276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-11</c:v>
                </c:pt>
                <c:pt idx="92">
                  <c:v>-11</c:v>
                </c:pt>
                <c:pt idx="93">
                  <c:v>-11</c:v>
                </c:pt>
                <c:pt idx="94">
                  <c:v>-11</c:v>
                </c:pt>
                <c:pt idx="95">
                  <c:v>-11</c:v>
                </c:pt>
                <c:pt idx="96">
                  <c:v>-9.5667722335056382</c:v>
                </c:pt>
                <c:pt idx="97">
                  <c:v>-8.2055090481250854</c:v>
                </c:pt>
                <c:pt idx="98">
                  <c:v>-7.1852965343277235</c:v>
                </c:pt>
                <c:pt idx="99">
                  <c:v>-6.3924532214996548</c:v>
                </c:pt>
                <c:pt idx="100">
                  <c:v>-5.7587704831436346</c:v>
                </c:pt>
                <c:pt idx="101">
                  <c:v>-5.2408430641678487</c:v>
                </c:pt>
                <c:pt idx="102">
                  <c:v>-4.8097343447441361</c:v>
                </c:pt>
                <c:pt idx="103">
                  <c:v>-4.4454114825858051</c:v>
                </c:pt>
                <c:pt idx="104">
                  <c:v>-4.1335654944387485</c:v>
                </c:pt>
                <c:pt idx="105">
                  <c:v>-3.8637033051562719</c:v>
                </c:pt>
                <c:pt idx="106">
                  <c:v>-3.6279552785433018</c:v>
                </c:pt>
                <c:pt idx="107">
                  <c:v>-3.4203036198332697</c:v>
                </c:pt>
                <c:pt idx="108">
                  <c:v>-3.2360679774997907</c:v>
                </c:pt>
                <c:pt idx="109">
                  <c:v>-3.0715534867572445</c:v>
                </c:pt>
                <c:pt idx="110">
                  <c:v>-2.9238044001630876</c:v>
                </c:pt>
                <c:pt idx="111">
                  <c:v>-2.7904281096253358</c:v>
                </c:pt>
                <c:pt idx="112">
                  <c:v>-2.6694671625540138</c:v>
                </c:pt>
                <c:pt idx="113">
                  <c:v>-2.5593046652474531</c:v>
                </c:pt>
                <c:pt idx="114">
                  <c:v>-2.4585933355742391</c:v>
                </c:pt>
                <c:pt idx="115">
                  <c:v>-2.366201583152499</c:v>
                </c:pt>
                <c:pt idx="116">
                  <c:v>-2.281172032704859</c:v>
                </c:pt>
                <c:pt idx="117">
                  <c:v>-2.2026892645852669</c:v>
                </c:pt>
                <c:pt idx="118">
                  <c:v>-2.1300544681895137</c:v>
                </c:pt>
                <c:pt idx="119">
                  <c:v>-2.0626653396273142</c:v>
                </c:pt>
                <c:pt idx="120">
                  <c:v>-2.0000000000000009</c:v>
                </c:pt>
                <c:pt idx="121">
                  <c:v>-1.9416040264103562</c:v>
                </c:pt>
                <c:pt idx="122">
                  <c:v>-1.8870799147998589</c:v>
                </c:pt>
                <c:pt idx="123">
                  <c:v>-1.8360784587766632</c:v>
                </c:pt>
                <c:pt idx="124">
                  <c:v>-1.788291649971401</c:v>
                </c:pt>
                <c:pt idx="125">
                  <c:v>-1.7434467956210988</c:v>
                </c:pt>
                <c:pt idx="126">
                  <c:v>-1.7013016167040802</c:v>
                </c:pt>
                <c:pt idx="127">
                  <c:v>-1.661640141122483</c:v>
                </c:pt>
                <c:pt idx="128">
                  <c:v>-1.6242692454827441</c:v>
                </c:pt>
                <c:pt idx="129">
                  <c:v>-1.5890157290657498</c:v>
                </c:pt>
                <c:pt idx="130">
                  <c:v>-1.5557238268604123</c:v>
                </c:pt>
                <c:pt idx="131">
                  <c:v>-1.5242530867058137</c:v>
                </c:pt>
                <c:pt idx="132">
                  <c:v>-1.4944765498646086</c:v>
                </c:pt>
                <c:pt idx="133">
                  <c:v>-1.4662791856396251</c:v>
                </c:pt>
                <c:pt idx="134">
                  <c:v>-1.4395565396257268</c:v>
                </c:pt>
                <c:pt idx="135">
                  <c:v>-1.4142135623730951</c:v>
                </c:pt>
                <c:pt idx="136">
                  <c:v>-1.3901635910166787</c:v>
                </c:pt>
                <c:pt idx="137">
                  <c:v>-1.3673274610985953</c:v>
                </c:pt>
                <c:pt idx="138">
                  <c:v>-1.3456327296063766</c:v>
                </c:pt>
                <c:pt idx="139">
                  <c:v>-1.3250129933488113</c:v>
                </c:pt>
                <c:pt idx="140">
                  <c:v>-1.3054072893322788</c:v>
                </c:pt>
                <c:pt idx="141">
                  <c:v>-1.2867595658931676</c:v>
                </c:pt>
                <c:pt idx="142">
                  <c:v>-1.2690182150725788</c:v>
                </c:pt>
                <c:pt idx="143">
                  <c:v>-1.2521356581562255</c:v>
                </c:pt>
                <c:pt idx="144">
                  <c:v>-1.2360679774997898</c:v>
                </c:pt>
                <c:pt idx="145">
                  <c:v>-1.2207745887614563</c:v>
                </c:pt>
                <c:pt idx="146">
                  <c:v>-1.2062179485039055</c:v>
                </c:pt>
                <c:pt idx="147">
                  <c:v>-1.1923632928359473</c:v>
                </c:pt>
                <c:pt idx="148">
                  <c:v>-1.1791784033620965</c:v>
                </c:pt>
                <c:pt idx="149">
                  <c:v>-1.1666333972153307</c:v>
                </c:pt>
                <c:pt idx="150">
                  <c:v>-1.1547005383792515</c:v>
                </c:pt>
                <c:pt idx="151">
                  <c:v>-1.1433540678733201</c:v>
                </c:pt>
                <c:pt idx="152">
                  <c:v>-1.1325700506890395</c:v>
                </c:pt>
                <c:pt idx="153">
                  <c:v>-1.1223262376343608</c:v>
                </c:pt>
                <c:pt idx="154">
                  <c:v>-1.1126019404751888</c:v>
                </c:pt>
                <c:pt idx="155">
                  <c:v>-1.1033779189624917</c:v>
                </c:pt>
                <c:pt idx="156">
                  <c:v>-1.0946362785060468</c:v>
                </c:pt>
                <c:pt idx="157">
                  <c:v>-1.0863603774052966</c:v>
                </c:pt>
                <c:pt idx="158">
                  <c:v>-1.0785347426775835</c:v>
                </c:pt>
                <c:pt idx="159">
                  <c:v>-1.071144993637029</c:v>
                </c:pt>
                <c:pt idx="160">
                  <c:v>-1.0641777724759123</c:v>
                </c:pt>
                <c:pt idx="161">
                  <c:v>-1.0576206811866706</c:v>
                </c:pt>
                <c:pt idx="162">
                  <c:v>-1.0514622242382672</c:v>
                </c:pt>
                <c:pt idx="163">
                  <c:v>-1.045691756487148</c:v>
                </c:pt>
                <c:pt idx="164">
                  <c:v>-1.0402994358616022</c:v>
                </c:pt>
                <c:pt idx="165">
                  <c:v>-1.0352761804100832</c:v>
                </c:pt>
                <c:pt idx="166">
                  <c:v>-1.0306136293498982</c:v>
                </c:pt>
                <c:pt idx="167">
                  <c:v>-1.0263041077933917</c:v>
                </c:pt>
                <c:pt idx="168">
                  <c:v>-1.0223405948650293</c:v>
                </c:pt>
                <c:pt idx="169">
                  <c:v>-1.0187166949552142</c:v>
                </c:pt>
                <c:pt idx="170">
                  <c:v>-1.0154266118857451</c:v>
                </c:pt>
                <c:pt idx="171">
                  <c:v>-1.0124651257880031</c:v>
                </c:pt>
                <c:pt idx="172">
                  <c:v>-1.0098275725186181</c:v>
                </c:pt>
                <c:pt idx="173">
                  <c:v>-1.0075098254588484</c:v>
                </c:pt>
                <c:pt idx="174">
                  <c:v>-1.0055082795635164</c:v>
                </c:pt>
                <c:pt idx="175">
                  <c:v>-1.0038198375433474</c:v>
                </c:pt>
                <c:pt idx="176">
                  <c:v>-1.0024418980811722</c:v>
                </c:pt>
                <c:pt idx="177">
                  <c:v>-1.0013723459979209</c:v>
                </c:pt>
                <c:pt idx="178">
                  <c:v>-1.0006095442988217</c:v>
                </c:pt>
                <c:pt idx="179">
                  <c:v>-1.0001523280439077</c:v>
                </c:pt>
                <c:pt idx="180">
                  <c:v>-1</c:v>
                </c:pt>
                <c:pt idx="181">
                  <c:v>-1.0001523280439077</c:v>
                </c:pt>
                <c:pt idx="182">
                  <c:v>-1.0006095442988217</c:v>
                </c:pt>
                <c:pt idx="183">
                  <c:v>-1.0013723459979209</c:v>
                </c:pt>
                <c:pt idx="184">
                  <c:v>-1.002441898081172</c:v>
                </c:pt>
                <c:pt idx="185">
                  <c:v>-1.0038198375433474</c:v>
                </c:pt>
                <c:pt idx="186">
                  <c:v>-1.0055082795635164</c:v>
                </c:pt>
                <c:pt idx="187">
                  <c:v>-1.0075098254588484</c:v>
                </c:pt>
                <c:pt idx="188">
                  <c:v>-1.0098275725186181</c:v>
                </c:pt>
                <c:pt idx="189">
                  <c:v>-1.0124651257880029</c:v>
                </c:pt>
                <c:pt idx="190">
                  <c:v>-1.0154266118857451</c:v>
                </c:pt>
                <c:pt idx="191">
                  <c:v>-1.0187166949552142</c:v>
                </c:pt>
                <c:pt idx="192">
                  <c:v>-1.0223405948650293</c:v>
                </c:pt>
                <c:pt idx="193">
                  <c:v>-1.0263041077933917</c:v>
                </c:pt>
                <c:pt idx="194">
                  <c:v>-1.0306136293498982</c:v>
                </c:pt>
                <c:pt idx="195">
                  <c:v>-1.035276180410083</c:v>
                </c:pt>
                <c:pt idx="196">
                  <c:v>-1.040299435861602</c:v>
                </c:pt>
                <c:pt idx="197">
                  <c:v>-1.045691756487148</c:v>
                </c:pt>
                <c:pt idx="198">
                  <c:v>-1.0514622242382672</c:v>
                </c:pt>
                <c:pt idx="199">
                  <c:v>-1.0576206811866706</c:v>
                </c:pt>
                <c:pt idx="200">
                  <c:v>-1.0641777724759121</c:v>
                </c:pt>
                <c:pt idx="201">
                  <c:v>-1.071144993637029</c:v>
                </c:pt>
                <c:pt idx="202">
                  <c:v>-1.0785347426775833</c:v>
                </c:pt>
                <c:pt idx="203">
                  <c:v>-1.0863603774052961</c:v>
                </c:pt>
                <c:pt idx="204">
                  <c:v>-1.0946362785060466</c:v>
                </c:pt>
                <c:pt idx="205">
                  <c:v>-1.1033779189624917</c:v>
                </c:pt>
                <c:pt idx="206">
                  <c:v>-1.1126019404751888</c:v>
                </c:pt>
                <c:pt idx="207">
                  <c:v>-1.1223262376343606</c:v>
                </c:pt>
                <c:pt idx="208">
                  <c:v>-1.1325700506890393</c:v>
                </c:pt>
                <c:pt idx="209">
                  <c:v>-1.1433540678733198</c:v>
                </c:pt>
                <c:pt idx="210">
                  <c:v>-1.1547005383792517</c:v>
                </c:pt>
                <c:pt idx="211">
                  <c:v>-1.1666333972153304</c:v>
                </c:pt>
                <c:pt idx="212">
                  <c:v>-1.1791784033620962</c:v>
                </c:pt>
                <c:pt idx="213">
                  <c:v>-1.1923632928359473</c:v>
                </c:pt>
                <c:pt idx="214">
                  <c:v>-1.2062179485039051</c:v>
                </c:pt>
                <c:pt idx="215">
                  <c:v>-1.2207745887614556</c:v>
                </c:pt>
                <c:pt idx="216">
                  <c:v>-1.2360679774997896</c:v>
                </c:pt>
                <c:pt idx="217">
                  <c:v>-1.2521356581562253</c:v>
                </c:pt>
                <c:pt idx="218">
                  <c:v>-1.2690182150725784</c:v>
                </c:pt>
                <c:pt idx="219">
                  <c:v>-1.2867595658931674</c:v>
                </c:pt>
                <c:pt idx="220">
                  <c:v>-1.3054072893322786</c:v>
                </c:pt>
                <c:pt idx="221">
                  <c:v>-1.3250129933488115</c:v>
                </c:pt>
                <c:pt idx="222">
                  <c:v>-1.3456327296063761</c:v>
                </c:pt>
                <c:pt idx="223">
                  <c:v>-1.367327461098595</c:v>
                </c:pt>
                <c:pt idx="224">
                  <c:v>-1.390163591016679</c:v>
                </c:pt>
                <c:pt idx="225">
                  <c:v>-1.4142135623730947</c:v>
                </c:pt>
                <c:pt idx="226">
                  <c:v>-1.4395565396257257</c:v>
                </c:pt>
                <c:pt idx="227">
                  <c:v>-1.466279185639624</c:v>
                </c:pt>
                <c:pt idx="228">
                  <c:v>-1.4944765498646082</c:v>
                </c:pt>
                <c:pt idx="229">
                  <c:v>-1.5242530867058135</c:v>
                </c:pt>
                <c:pt idx="230">
                  <c:v>-1.5557238268604119</c:v>
                </c:pt>
                <c:pt idx="231">
                  <c:v>-1.5890157290657501</c:v>
                </c:pt>
                <c:pt idx="232">
                  <c:v>-1.6242692454827445</c:v>
                </c:pt>
                <c:pt idx="233">
                  <c:v>-1.6616401411224833</c:v>
                </c:pt>
                <c:pt idx="234">
                  <c:v>-1.7013016167040795</c:v>
                </c:pt>
                <c:pt idx="235">
                  <c:v>-1.7434467956210971</c:v>
                </c:pt>
                <c:pt idx="236">
                  <c:v>-1.7882916499713992</c:v>
                </c:pt>
                <c:pt idx="237">
                  <c:v>-1.8360784587766634</c:v>
                </c:pt>
                <c:pt idx="238">
                  <c:v>-1.887079914799858</c:v>
                </c:pt>
                <c:pt idx="239">
                  <c:v>-1.9416040264103553</c:v>
                </c:pt>
                <c:pt idx="240">
                  <c:v>-1.9999999999999982</c:v>
                </c:pt>
                <c:pt idx="241">
                  <c:v>-2.0626653396273151</c:v>
                </c:pt>
                <c:pt idx="242">
                  <c:v>-2.1300544681895128</c:v>
                </c:pt>
                <c:pt idx="243">
                  <c:v>-2.202689264585266</c:v>
                </c:pt>
                <c:pt idx="244">
                  <c:v>-2.2811720327048577</c:v>
                </c:pt>
                <c:pt idx="245">
                  <c:v>-2.3662015831524958</c:v>
                </c:pt>
                <c:pt idx="246">
                  <c:v>-2.4585933355742386</c:v>
                </c:pt>
                <c:pt idx="247">
                  <c:v>-2.5593046652474518</c:v>
                </c:pt>
                <c:pt idx="248">
                  <c:v>-2.6694671625540125</c:v>
                </c:pt>
                <c:pt idx="249">
                  <c:v>-2.7904281096253323</c:v>
                </c:pt>
                <c:pt idx="250">
                  <c:v>-2.9238044001630819</c:v>
                </c:pt>
                <c:pt idx="251">
                  <c:v>-3.0715534867572427</c:v>
                </c:pt>
                <c:pt idx="252">
                  <c:v>-3.236067977499788</c:v>
                </c:pt>
                <c:pt idx="253">
                  <c:v>-3.4203036198332644</c:v>
                </c:pt>
                <c:pt idx="254">
                  <c:v>-3.627955278543304</c:v>
                </c:pt>
                <c:pt idx="255">
                  <c:v>-3.863703305156275</c:v>
                </c:pt>
                <c:pt idx="256">
                  <c:v>-4.1335654944387485</c:v>
                </c:pt>
                <c:pt idx="257">
                  <c:v>-4.4454114825857962</c:v>
                </c:pt>
                <c:pt idx="258">
                  <c:v>-4.8097343447441201</c:v>
                </c:pt>
                <c:pt idx="259">
                  <c:v>-5.240843064167831</c:v>
                </c:pt>
                <c:pt idx="260">
                  <c:v>-5.7587704831436337</c:v>
                </c:pt>
                <c:pt idx="261">
                  <c:v>-6.3924532214996548</c:v>
                </c:pt>
                <c:pt idx="262">
                  <c:v>-7.1852965343277448</c:v>
                </c:pt>
                <c:pt idx="263">
                  <c:v>-8.2055090481250996</c:v>
                </c:pt>
                <c:pt idx="264">
                  <c:v>-9.5667722335056364</c:v>
                </c:pt>
                <c:pt idx="265">
                  <c:v>-11</c:v>
                </c:pt>
                <c:pt idx="266">
                  <c:v>-11</c:v>
                </c:pt>
                <c:pt idx="267">
                  <c:v>-11</c:v>
                </c:pt>
                <c:pt idx="268">
                  <c:v>-11</c:v>
                </c:pt>
                <c:pt idx="269">
                  <c:v>-11</c:v>
                </c:pt>
                <c:pt idx="270">
                  <c:v>-11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9.5667722335056702</c:v>
                </c:pt>
                <c:pt idx="277">
                  <c:v>8.2055090481250641</c:v>
                </c:pt>
                <c:pt idx="278">
                  <c:v>7.1852965343277182</c:v>
                </c:pt>
                <c:pt idx="279">
                  <c:v>6.3924532214996699</c:v>
                </c:pt>
                <c:pt idx="280">
                  <c:v>5.7587704831436461</c:v>
                </c:pt>
                <c:pt idx="281">
                  <c:v>5.2408430641678638</c:v>
                </c:pt>
                <c:pt idx="282">
                  <c:v>4.8097343447441485</c:v>
                </c:pt>
                <c:pt idx="283">
                  <c:v>4.4454114825858024</c:v>
                </c:pt>
                <c:pt idx="284">
                  <c:v>4.1335654944387539</c:v>
                </c:pt>
                <c:pt idx="285">
                  <c:v>3.8637033051562675</c:v>
                </c:pt>
                <c:pt idx="286">
                  <c:v>3.6279552785432974</c:v>
                </c:pt>
                <c:pt idx="287">
                  <c:v>3.4203036198332688</c:v>
                </c:pt>
                <c:pt idx="288">
                  <c:v>3.2360679774997916</c:v>
                </c:pt>
                <c:pt idx="289">
                  <c:v>3.0715534867572458</c:v>
                </c:pt>
                <c:pt idx="290">
                  <c:v>2.9238044001630921</c:v>
                </c:pt>
                <c:pt idx="291">
                  <c:v>2.7904281096253416</c:v>
                </c:pt>
                <c:pt idx="292">
                  <c:v>2.6694671625540147</c:v>
                </c:pt>
                <c:pt idx="293">
                  <c:v>2.559304665247454</c:v>
                </c:pt>
                <c:pt idx="294">
                  <c:v>2.458593335574236</c:v>
                </c:pt>
                <c:pt idx="295">
                  <c:v>2.3662015831524976</c:v>
                </c:pt>
                <c:pt idx="296">
                  <c:v>2.2811720327048595</c:v>
                </c:pt>
                <c:pt idx="297">
                  <c:v>2.2026892645852674</c:v>
                </c:pt>
                <c:pt idx="298">
                  <c:v>2.1300544681895142</c:v>
                </c:pt>
                <c:pt idx="299">
                  <c:v>2.0626653396273165</c:v>
                </c:pt>
                <c:pt idx="300">
                  <c:v>1.9999999999999996</c:v>
                </c:pt>
                <c:pt idx="301">
                  <c:v>1.9416040264103567</c:v>
                </c:pt>
                <c:pt idx="302">
                  <c:v>1.8870799147998594</c:v>
                </c:pt>
                <c:pt idx="303">
                  <c:v>1.8360784587766645</c:v>
                </c:pt>
                <c:pt idx="304">
                  <c:v>1.7882916499714026</c:v>
                </c:pt>
                <c:pt idx="305">
                  <c:v>1.7434467956210982</c:v>
                </c:pt>
                <c:pt idx="306">
                  <c:v>1.7013016167040804</c:v>
                </c:pt>
                <c:pt idx="307">
                  <c:v>1.6616401411224841</c:v>
                </c:pt>
                <c:pt idx="308">
                  <c:v>1.6242692454827434</c:v>
                </c:pt>
                <c:pt idx="309">
                  <c:v>1.5890157290657494</c:v>
                </c:pt>
                <c:pt idx="310">
                  <c:v>1.5557238268604126</c:v>
                </c:pt>
                <c:pt idx="311">
                  <c:v>1.5242530867058148</c:v>
                </c:pt>
                <c:pt idx="312">
                  <c:v>1.4944765498646095</c:v>
                </c:pt>
                <c:pt idx="313">
                  <c:v>1.466279185639626</c:v>
                </c:pt>
                <c:pt idx="314">
                  <c:v>1.4395565396257277</c:v>
                </c:pt>
                <c:pt idx="315">
                  <c:v>1.4142135623730954</c:v>
                </c:pt>
                <c:pt idx="316">
                  <c:v>1.3901635910166794</c:v>
                </c:pt>
                <c:pt idx="317">
                  <c:v>1.3673274610985948</c:v>
                </c:pt>
                <c:pt idx="318">
                  <c:v>1.3456327296063761</c:v>
                </c:pt>
                <c:pt idx="319">
                  <c:v>1.3250129933488115</c:v>
                </c:pt>
                <c:pt idx="320">
                  <c:v>1.305407289332279</c:v>
                </c:pt>
                <c:pt idx="321">
                  <c:v>1.2867595658931679</c:v>
                </c:pt>
                <c:pt idx="322">
                  <c:v>1.2690182150725795</c:v>
                </c:pt>
                <c:pt idx="323">
                  <c:v>1.2521356581562257</c:v>
                </c:pt>
                <c:pt idx="324">
                  <c:v>1.2360679774997898</c:v>
                </c:pt>
                <c:pt idx="325">
                  <c:v>1.2207745887614563</c:v>
                </c:pt>
                <c:pt idx="326">
                  <c:v>1.2062179485039057</c:v>
                </c:pt>
                <c:pt idx="327">
                  <c:v>1.1923632928359473</c:v>
                </c:pt>
                <c:pt idx="328">
                  <c:v>1.1791784033620971</c:v>
                </c:pt>
                <c:pt idx="329">
                  <c:v>1.1666333972153307</c:v>
                </c:pt>
                <c:pt idx="330">
                  <c:v>1.1547005383792519</c:v>
                </c:pt>
                <c:pt idx="331">
                  <c:v>1.1433540678733198</c:v>
                </c:pt>
                <c:pt idx="332">
                  <c:v>1.1325700506890393</c:v>
                </c:pt>
                <c:pt idx="333">
                  <c:v>1.1223262376343608</c:v>
                </c:pt>
                <c:pt idx="334">
                  <c:v>1.1126019404751888</c:v>
                </c:pt>
                <c:pt idx="335">
                  <c:v>1.1033779189624922</c:v>
                </c:pt>
                <c:pt idx="336">
                  <c:v>1.0946362785060466</c:v>
                </c:pt>
                <c:pt idx="337">
                  <c:v>1.0863603774052968</c:v>
                </c:pt>
                <c:pt idx="338">
                  <c:v>1.0785347426775835</c:v>
                </c:pt>
                <c:pt idx="339">
                  <c:v>1.0711449936370292</c:v>
                </c:pt>
                <c:pt idx="340">
                  <c:v>1.0641777724759121</c:v>
                </c:pt>
                <c:pt idx="341">
                  <c:v>1.0576206811866711</c:v>
                </c:pt>
                <c:pt idx="342">
                  <c:v>1.0514622242382672</c:v>
                </c:pt>
                <c:pt idx="343">
                  <c:v>1.0456917564871477</c:v>
                </c:pt>
                <c:pt idx="344">
                  <c:v>1.0402994358616022</c:v>
                </c:pt>
                <c:pt idx="345">
                  <c:v>1.035276180410083</c:v>
                </c:pt>
                <c:pt idx="346">
                  <c:v>1.0306136293498982</c:v>
                </c:pt>
                <c:pt idx="347">
                  <c:v>1.0263041077933917</c:v>
                </c:pt>
                <c:pt idx="348">
                  <c:v>1.0223405948650293</c:v>
                </c:pt>
                <c:pt idx="349">
                  <c:v>1.0187166949552142</c:v>
                </c:pt>
                <c:pt idx="350">
                  <c:v>1.0154266118857451</c:v>
                </c:pt>
                <c:pt idx="351">
                  <c:v>1.0124651257880031</c:v>
                </c:pt>
                <c:pt idx="352">
                  <c:v>1.0098275725186181</c:v>
                </c:pt>
                <c:pt idx="353">
                  <c:v>1.0075098254588484</c:v>
                </c:pt>
                <c:pt idx="354">
                  <c:v>1.0055082795635164</c:v>
                </c:pt>
                <c:pt idx="355">
                  <c:v>1.0038198375433474</c:v>
                </c:pt>
                <c:pt idx="356">
                  <c:v>1.002441898081172</c:v>
                </c:pt>
                <c:pt idx="357">
                  <c:v>1.0013723459979209</c:v>
                </c:pt>
                <c:pt idx="358">
                  <c:v>1.0006095442988217</c:v>
                </c:pt>
                <c:pt idx="359">
                  <c:v>1.0001523280439077</c:v>
                </c:pt>
                <c:pt idx="3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F0-4DEA-BF6A-202520369238}"/>
            </c:ext>
          </c:extLst>
        </c:ser>
        <c:ser>
          <c:idx val="5"/>
          <c:order val="5"/>
          <c:tx>
            <c:strRef>
              <c:f>Trigonometrica!$I$17</c:f>
              <c:strCache>
                <c:ptCount val="1"/>
                <c:pt idx="0">
                  <c:v>CSC(x)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Trigonometrica!$I$18:$I$378</c:f>
              <c:numCache>
                <c:formatCode>General</c:formatCode>
                <c:ptCount val="361"/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9.5667722335056276</c:v>
                </c:pt>
                <c:pt idx="7">
                  <c:v>8.2055090481250783</c:v>
                </c:pt>
                <c:pt idx="8">
                  <c:v>7.1852965343277191</c:v>
                </c:pt>
                <c:pt idx="9">
                  <c:v>6.3924532214996619</c:v>
                </c:pt>
                <c:pt idx="10">
                  <c:v>5.7587704831436337</c:v>
                </c:pt>
                <c:pt idx="11">
                  <c:v>5.2408430641678487</c:v>
                </c:pt>
                <c:pt idx="12">
                  <c:v>4.8097343447441316</c:v>
                </c:pt>
                <c:pt idx="13">
                  <c:v>4.4454114825858007</c:v>
                </c:pt>
                <c:pt idx="14">
                  <c:v>4.1335654944387494</c:v>
                </c:pt>
                <c:pt idx="15">
                  <c:v>3.8637033051562737</c:v>
                </c:pt>
                <c:pt idx="16">
                  <c:v>3.6279552785433005</c:v>
                </c:pt>
                <c:pt idx="17">
                  <c:v>3.4203036198332684</c:v>
                </c:pt>
                <c:pt idx="18">
                  <c:v>3.2360679774997898</c:v>
                </c:pt>
                <c:pt idx="19">
                  <c:v>3.0715534867572427</c:v>
                </c:pt>
                <c:pt idx="20">
                  <c:v>2.9238044001630876</c:v>
                </c:pt>
                <c:pt idx="21">
                  <c:v>2.7904281096253358</c:v>
                </c:pt>
                <c:pt idx="22">
                  <c:v>2.6694671625540143</c:v>
                </c:pt>
                <c:pt idx="23">
                  <c:v>2.5593046652474523</c:v>
                </c:pt>
                <c:pt idx="24">
                  <c:v>2.4585933355742386</c:v>
                </c:pt>
                <c:pt idx="25">
                  <c:v>2.3662015831524985</c:v>
                </c:pt>
                <c:pt idx="26">
                  <c:v>2.2811720327048595</c:v>
                </c:pt>
                <c:pt idx="27">
                  <c:v>2.2026892645852669</c:v>
                </c:pt>
                <c:pt idx="28">
                  <c:v>2.1300544681895124</c:v>
                </c:pt>
                <c:pt idx="29">
                  <c:v>2.0626653396273142</c:v>
                </c:pt>
                <c:pt idx="30">
                  <c:v>2</c:v>
                </c:pt>
                <c:pt idx="31">
                  <c:v>1.9416040264103567</c:v>
                </c:pt>
                <c:pt idx="32">
                  <c:v>1.8870799147998585</c:v>
                </c:pt>
                <c:pt idx="33">
                  <c:v>1.8360784587766632</c:v>
                </c:pt>
                <c:pt idx="34">
                  <c:v>1.7882916499714003</c:v>
                </c:pt>
                <c:pt idx="35">
                  <c:v>1.7434467956210982</c:v>
                </c:pt>
                <c:pt idx="36">
                  <c:v>1.7013016167040798</c:v>
                </c:pt>
                <c:pt idx="37">
                  <c:v>1.6616401411224833</c:v>
                </c:pt>
                <c:pt idx="38">
                  <c:v>1.6242692454827443</c:v>
                </c:pt>
                <c:pt idx="39">
                  <c:v>1.5890157290657496</c:v>
                </c:pt>
                <c:pt idx="40">
                  <c:v>1.5557238268604126</c:v>
                </c:pt>
                <c:pt idx="41">
                  <c:v>1.5242530867058146</c:v>
                </c:pt>
                <c:pt idx="42">
                  <c:v>1.4944765498646086</c:v>
                </c:pt>
                <c:pt idx="43">
                  <c:v>1.4662791856396249</c:v>
                </c:pt>
                <c:pt idx="44">
                  <c:v>1.4395565396257264</c:v>
                </c:pt>
                <c:pt idx="45">
                  <c:v>1.4142135623730951</c:v>
                </c:pt>
                <c:pt idx="46">
                  <c:v>1.390163591016679</c:v>
                </c:pt>
                <c:pt idx="47">
                  <c:v>1.3673274610985953</c:v>
                </c:pt>
                <c:pt idx="48">
                  <c:v>1.3456327296063764</c:v>
                </c:pt>
                <c:pt idx="49">
                  <c:v>1.3250129933488113</c:v>
                </c:pt>
                <c:pt idx="50">
                  <c:v>1.3054072893322786</c:v>
                </c:pt>
                <c:pt idx="51">
                  <c:v>1.2867595658931674</c:v>
                </c:pt>
                <c:pt idx="52">
                  <c:v>1.2690182150725788</c:v>
                </c:pt>
                <c:pt idx="53">
                  <c:v>1.2521356581562257</c:v>
                </c:pt>
                <c:pt idx="54">
                  <c:v>1.2360679774997896</c:v>
                </c:pt>
                <c:pt idx="55">
                  <c:v>1.2207745887614561</c:v>
                </c:pt>
                <c:pt idx="56">
                  <c:v>1.2062179485039053</c:v>
                </c:pt>
                <c:pt idx="57">
                  <c:v>1.1923632928359476</c:v>
                </c:pt>
                <c:pt idx="58">
                  <c:v>1.1791784033620965</c:v>
                </c:pt>
                <c:pt idx="59">
                  <c:v>1.1666333972153307</c:v>
                </c:pt>
                <c:pt idx="60">
                  <c:v>1.1547005383792517</c:v>
                </c:pt>
                <c:pt idx="61">
                  <c:v>1.1433540678733201</c:v>
                </c:pt>
                <c:pt idx="62">
                  <c:v>1.1325700506890393</c:v>
                </c:pt>
                <c:pt idx="63">
                  <c:v>1.1223262376343608</c:v>
                </c:pt>
                <c:pt idx="64">
                  <c:v>1.1126019404751888</c:v>
                </c:pt>
                <c:pt idx="65">
                  <c:v>1.1033779189624917</c:v>
                </c:pt>
                <c:pt idx="66">
                  <c:v>1.0946362785060468</c:v>
                </c:pt>
                <c:pt idx="67">
                  <c:v>1.0863603774052963</c:v>
                </c:pt>
                <c:pt idx="68">
                  <c:v>1.0785347426775833</c:v>
                </c:pt>
                <c:pt idx="69">
                  <c:v>1.071144993637029</c:v>
                </c:pt>
                <c:pt idx="70">
                  <c:v>1.0641777724759123</c:v>
                </c:pt>
                <c:pt idx="71">
                  <c:v>1.0576206811866706</c:v>
                </c:pt>
                <c:pt idx="72">
                  <c:v>1.0514622242382672</c:v>
                </c:pt>
                <c:pt idx="73">
                  <c:v>1.045691756487148</c:v>
                </c:pt>
                <c:pt idx="74">
                  <c:v>1.040299435861602</c:v>
                </c:pt>
                <c:pt idx="75">
                  <c:v>1.035276180410083</c:v>
                </c:pt>
                <c:pt idx="76">
                  <c:v>1.0306136293498982</c:v>
                </c:pt>
                <c:pt idx="77">
                  <c:v>1.0263041077933917</c:v>
                </c:pt>
                <c:pt idx="78">
                  <c:v>1.0223405948650293</c:v>
                </c:pt>
                <c:pt idx="79">
                  <c:v>1.0187166949552142</c:v>
                </c:pt>
                <c:pt idx="80">
                  <c:v>1.0154266118857451</c:v>
                </c:pt>
                <c:pt idx="81">
                  <c:v>1.0124651257880029</c:v>
                </c:pt>
                <c:pt idx="82">
                  <c:v>1.0098275725186181</c:v>
                </c:pt>
                <c:pt idx="83">
                  <c:v>1.0075098254588484</c:v>
                </c:pt>
                <c:pt idx="84">
                  <c:v>1.0055082795635164</c:v>
                </c:pt>
                <c:pt idx="85">
                  <c:v>1.0038198375433474</c:v>
                </c:pt>
                <c:pt idx="86">
                  <c:v>1.0024418980811722</c:v>
                </c:pt>
                <c:pt idx="87">
                  <c:v>1.0013723459979209</c:v>
                </c:pt>
                <c:pt idx="88">
                  <c:v>1.0006095442988217</c:v>
                </c:pt>
                <c:pt idx="89">
                  <c:v>1.0001523280439077</c:v>
                </c:pt>
                <c:pt idx="90">
                  <c:v>1</c:v>
                </c:pt>
                <c:pt idx="91">
                  <c:v>1.0001523280439077</c:v>
                </c:pt>
                <c:pt idx="92">
                  <c:v>1.0006095442988217</c:v>
                </c:pt>
                <c:pt idx="93">
                  <c:v>1.0013723459979209</c:v>
                </c:pt>
                <c:pt idx="94">
                  <c:v>1.0024418980811722</c:v>
                </c:pt>
                <c:pt idx="95">
                  <c:v>1.0038198375433474</c:v>
                </c:pt>
                <c:pt idx="96">
                  <c:v>1.0055082795635164</c:v>
                </c:pt>
                <c:pt idx="97">
                  <c:v>1.0075098254588484</c:v>
                </c:pt>
                <c:pt idx="98">
                  <c:v>1.0098275725186181</c:v>
                </c:pt>
                <c:pt idx="99">
                  <c:v>1.0124651257880031</c:v>
                </c:pt>
                <c:pt idx="100">
                  <c:v>1.0154266118857451</c:v>
                </c:pt>
                <c:pt idx="101">
                  <c:v>1.0187166949552142</c:v>
                </c:pt>
                <c:pt idx="102">
                  <c:v>1.0223405948650293</c:v>
                </c:pt>
                <c:pt idx="103">
                  <c:v>1.0263041077933917</c:v>
                </c:pt>
                <c:pt idx="104">
                  <c:v>1.0306136293498982</c:v>
                </c:pt>
                <c:pt idx="105">
                  <c:v>1.035276180410083</c:v>
                </c:pt>
                <c:pt idx="106">
                  <c:v>1.040299435861602</c:v>
                </c:pt>
                <c:pt idx="107">
                  <c:v>1.045691756487148</c:v>
                </c:pt>
                <c:pt idx="108">
                  <c:v>1.0514622242382672</c:v>
                </c:pt>
                <c:pt idx="109">
                  <c:v>1.0576206811866706</c:v>
                </c:pt>
                <c:pt idx="110">
                  <c:v>1.0641777724759121</c:v>
                </c:pt>
                <c:pt idx="111">
                  <c:v>1.071144993637029</c:v>
                </c:pt>
                <c:pt idx="112">
                  <c:v>1.0785347426775833</c:v>
                </c:pt>
                <c:pt idx="113">
                  <c:v>1.0863603774052961</c:v>
                </c:pt>
                <c:pt idx="114">
                  <c:v>1.0946362785060466</c:v>
                </c:pt>
                <c:pt idx="115">
                  <c:v>1.1033779189624917</c:v>
                </c:pt>
                <c:pt idx="116">
                  <c:v>1.112601940475189</c:v>
                </c:pt>
                <c:pt idx="117">
                  <c:v>1.1223262376343608</c:v>
                </c:pt>
                <c:pt idx="118">
                  <c:v>1.132570050689039</c:v>
                </c:pt>
                <c:pt idx="119">
                  <c:v>1.1433540678733198</c:v>
                </c:pt>
                <c:pt idx="120">
                  <c:v>1.1547005383792515</c:v>
                </c:pt>
                <c:pt idx="121">
                  <c:v>1.1666333972153304</c:v>
                </c:pt>
                <c:pt idx="122">
                  <c:v>1.1791784033620962</c:v>
                </c:pt>
                <c:pt idx="123">
                  <c:v>1.1923632928359476</c:v>
                </c:pt>
                <c:pt idx="124">
                  <c:v>1.2062179485039053</c:v>
                </c:pt>
                <c:pt idx="125">
                  <c:v>1.2207745887614556</c:v>
                </c:pt>
                <c:pt idx="126">
                  <c:v>1.2360679774997896</c:v>
                </c:pt>
                <c:pt idx="127">
                  <c:v>1.252135658156226</c:v>
                </c:pt>
                <c:pt idx="128">
                  <c:v>1.2690182150725788</c:v>
                </c:pt>
                <c:pt idx="129">
                  <c:v>1.2867595658931672</c:v>
                </c:pt>
                <c:pt idx="130">
                  <c:v>1.3054072893322786</c:v>
                </c:pt>
                <c:pt idx="131">
                  <c:v>1.3250129933488117</c:v>
                </c:pt>
                <c:pt idx="132">
                  <c:v>1.3456327296063761</c:v>
                </c:pt>
                <c:pt idx="133">
                  <c:v>1.367327461098595</c:v>
                </c:pt>
                <c:pt idx="134">
                  <c:v>1.3901635910166783</c:v>
                </c:pt>
                <c:pt idx="135">
                  <c:v>1.4142135623730949</c:v>
                </c:pt>
                <c:pt idx="136">
                  <c:v>1.4395565396257266</c:v>
                </c:pt>
                <c:pt idx="137">
                  <c:v>1.4662791856396247</c:v>
                </c:pt>
                <c:pt idx="138">
                  <c:v>1.4944765498646084</c:v>
                </c:pt>
                <c:pt idx="139">
                  <c:v>1.5242530867058142</c:v>
                </c:pt>
                <c:pt idx="140">
                  <c:v>1.5557238268604119</c:v>
                </c:pt>
                <c:pt idx="141">
                  <c:v>1.5890157290657487</c:v>
                </c:pt>
                <c:pt idx="142">
                  <c:v>1.6242692454827437</c:v>
                </c:pt>
                <c:pt idx="143">
                  <c:v>1.6616401411224835</c:v>
                </c:pt>
                <c:pt idx="144">
                  <c:v>1.7013016167040795</c:v>
                </c:pt>
                <c:pt idx="145">
                  <c:v>1.7434467956210971</c:v>
                </c:pt>
                <c:pt idx="146">
                  <c:v>1.7882916499714003</c:v>
                </c:pt>
                <c:pt idx="147">
                  <c:v>1.8360784587766634</c:v>
                </c:pt>
                <c:pt idx="148">
                  <c:v>1.8870799147998585</c:v>
                </c:pt>
                <c:pt idx="149">
                  <c:v>1.9416040264103558</c:v>
                </c:pt>
                <c:pt idx="150">
                  <c:v>2</c:v>
                </c:pt>
                <c:pt idx="151">
                  <c:v>2.0626653396273138</c:v>
                </c:pt>
                <c:pt idx="152">
                  <c:v>2.1300544681895115</c:v>
                </c:pt>
                <c:pt idx="153">
                  <c:v>2.2026892645852665</c:v>
                </c:pt>
                <c:pt idx="154">
                  <c:v>2.2811720327048599</c:v>
                </c:pt>
                <c:pt idx="155">
                  <c:v>2.3662015831524981</c:v>
                </c:pt>
                <c:pt idx="156">
                  <c:v>2.4585933355742369</c:v>
                </c:pt>
                <c:pt idx="157">
                  <c:v>2.5593046652474496</c:v>
                </c:pt>
                <c:pt idx="158">
                  <c:v>2.669467162554013</c:v>
                </c:pt>
                <c:pt idx="159">
                  <c:v>2.7904281096253363</c:v>
                </c:pt>
                <c:pt idx="160">
                  <c:v>2.9238044001630858</c:v>
                </c:pt>
                <c:pt idx="161">
                  <c:v>3.0715534867572387</c:v>
                </c:pt>
                <c:pt idx="162">
                  <c:v>3.2360679774997889</c:v>
                </c:pt>
                <c:pt idx="163">
                  <c:v>3.4203036198332648</c:v>
                </c:pt>
                <c:pt idx="164">
                  <c:v>3.6279552785432938</c:v>
                </c:pt>
                <c:pt idx="165">
                  <c:v>3.8637033051562693</c:v>
                </c:pt>
                <c:pt idx="166">
                  <c:v>4.1335654944387494</c:v>
                </c:pt>
                <c:pt idx="167">
                  <c:v>4.4454114825858051</c:v>
                </c:pt>
                <c:pt idx="168">
                  <c:v>4.8097343447441316</c:v>
                </c:pt>
                <c:pt idx="169">
                  <c:v>5.2408430641678443</c:v>
                </c:pt>
                <c:pt idx="170">
                  <c:v>5.7587704831436364</c:v>
                </c:pt>
                <c:pt idx="171">
                  <c:v>6.3924532214996574</c:v>
                </c:pt>
                <c:pt idx="172">
                  <c:v>7.185296534327704</c:v>
                </c:pt>
                <c:pt idx="173">
                  <c:v>8.2055090481250748</c:v>
                </c:pt>
                <c:pt idx="174">
                  <c:v>9.5667722335056027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-11</c:v>
                </c:pt>
                <c:pt idx="182">
                  <c:v>-11</c:v>
                </c:pt>
                <c:pt idx="183">
                  <c:v>-11</c:v>
                </c:pt>
                <c:pt idx="184">
                  <c:v>-11</c:v>
                </c:pt>
                <c:pt idx="185">
                  <c:v>-11</c:v>
                </c:pt>
                <c:pt idx="186">
                  <c:v>-9.5667722335056649</c:v>
                </c:pt>
                <c:pt idx="187">
                  <c:v>-8.2055090481250605</c:v>
                </c:pt>
                <c:pt idx="188">
                  <c:v>-7.1852965343277155</c:v>
                </c:pt>
                <c:pt idx="189">
                  <c:v>-6.3924532214996672</c:v>
                </c:pt>
                <c:pt idx="190">
                  <c:v>-5.7587704831436293</c:v>
                </c:pt>
                <c:pt idx="191">
                  <c:v>-5.2408430641678514</c:v>
                </c:pt>
                <c:pt idx="192">
                  <c:v>-4.809734344744137</c:v>
                </c:pt>
                <c:pt idx="193">
                  <c:v>-4.4454114825858015</c:v>
                </c:pt>
                <c:pt idx="194">
                  <c:v>-4.133565494438753</c:v>
                </c:pt>
                <c:pt idx="195">
                  <c:v>-3.8637033051562795</c:v>
                </c:pt>
                <c:pt idx="196">
                  <c:v>-3.6279552785433027</c:v>
                </c:pt>
                <c:pt idx="197">
                  <c:v>-3.4203036198332728</c:v>
                </c:pt>
                <c:pt idx="198">
                  <c:v>-3.2360679774997867</c:v>
                </c:pt>
                <c:pt idx="199">
                  <c:v>-3.0715534867572414</c:v>
                </c:pt>
                <c:pt idx="200">
                  <c:v>-2.9238044001630881</c:v>
                </c:pt>
                <c:pt idx="201">
                  <c:v>-2.7904281096253345</c:v>
                </c:pt>
                <c:pt idx="202">
                  <c:v>-2.6694671625540143</c:v>
                </c:pt>
                <c:pt idx="203">
                  <c:v>-2.5593046652474536</c:v>
                </c:pt>
                <c:pt idx="204">
                  <c:v>-2.4585933355742404</c:v>
                </c:pt>
                <c:pt idx="205">
                  <c:v>-2.3662015831524994</c:v>
                </c:pt>
                <c:pt idx="206">
                  <c:v>-2.2811720327048612</c:v>
                </c:pt>
                <c:pt idx="207">
                  <c:v>-2.2026892645852691</c:v>
                </c:pt>
                <c:pt idx="208">
                  <c:v>-2.1300544681895124</c:v>
                </c:pt>
                <c:pt idx="209">
                  <c:v>-2.0626653396273147</c:v>
                </c:pt>
                <c:pt idx="210">
                  <c:v>-1.9999999999999996</c:v>
                </c:pt>
                <c:pt idx="211">
                  <c:v>-1.9416040264103567</c:v>
                </c:pt>
                <c:pt idx="212">
                  <c:v>-1.8870799147998589</c:v>
                </c:pt>
                <c:pt idx="213">
                  <c:v>-1.8360784587766632</c:v>
                </c:pt>
                <c:pt idx="214">
                  <c:v>-1.788291649971401</c:v>
                </c:pt>
                <c:pt idx="215">
                  <c:v>-1.7434467956210988</c:v>
                </c:pt>
                <c:pt idx="216">
                  <c:v>-1.7013016167040802</c:v>
                </c:pt>
                <c:pt idx="217">
                  <c:v>-1.6616401411224839</c:v>
                </c:pt>
                <c:pt idx="218">
                  <c:v>-1.6242692454827452</c:v>
                </c:pt>
                <c:pt idx="219">
                  <c:v>-1.5890157290657489</c:v>
                </c:pt>
                <c:pt idx="220">
                  <c:v>-1.5557238268604126</c:v>
                </c:pt>
                <c:pt idx="221">
                  <c:v>-1.5242530867058139</c:v>
                </c:pt>
                <c:pt idx="222">
                  <c:v>-1.4944765498646086</c:v>
                </c:pt>
                <c:pt idx="223">
                  <c:v>-1.4662791856396251</c:v>
                </c:pt>
                <c:pt idx="224">
                  <c:v>-1.4395565396257262</c:v>
                </c:pt>
                <c:pt idx="225">
                  <c:v>-1.4142135623730951</c:v>
                </c:pt>
                <c:pt idx="226">
                  <c:v>-1.3901635910166794</c:v>
                </c:pt>
                <c:pt idx="227">
                  <c:v>-1.3673274610985959</c:v>
                </c:pt>
                <c:pt idx="228">
                  <c:v>-1.3456327296063766</c:v>
                </c:pt>
                <c:pt idx="229">
                  <c:v>-1.325012993348812</c:v>
                </c:pt>
                <c:pt idx="230">
                  <c:v>-1.3054072893322788</c:v>
                </c:pt>
                <c:pt idx="231">
                  <c:v>-1.286759565893167</c:v>
                </c:pt>
                <c:pt idx="232">
                  <c:v>-1.2690182150725786</c:v>
                </c:pt>
                <c:pt idx="233">
                  <c:v>-1.2521356581562257</c:v>
                </c:pt>
                <c:pt idx="234">
                  <c:v>-1.2360679774997898</c:v>
                </c:pt>
                <c:pt idx="235">
                  <c:v>-1.2207745887614563</c:v>
                </c:pt>
                <c:pt idx="236">
                  <c:v>-1.2062179485039057</c:v>
                </c:pt>
                <c:pt idx="237">
                  <c:v>-1.1923632928359473</c:v>
                </c:pt>
                <c:pt idx="238">
                  <c:v>-1.1791784033620965</c:v>
                </c:pt>
                <c:pt idx="239">
                  <c:v>-1.1666333972153307</c:v>
                </c:pt>
                <c:pt idx="240">
                  <c:v>-1.1547005383792519</c:v>
                </c:pt>
                <c:pt idx="241">
                  <c:v>-1.1433540678733198</c:v>
                </c:pt>
                <c:pt idx="242">
                  <c:v>-1.132570050689039</c:v>
                </c:pt>
                <c:pt idx="243">
                  <c:v>-1.1223262376343608</c:v>
                </c:pt>
                <c:pt idx="244">
                  <c:v>-1.1126019404751892</c:v>
                </c:pt>
                <c:pt idx="245">
                  <c:v>-1.1033779189624922</c:v>
                </c:pt>
                <c:pt idx="246">
                  <c:v>-1.0946362785060466</c:v>
                </c:pt>
                <c:pt idx="247">
                  <c:v>-1.0863603774052963</c:v>
                </c:pt>
                <c:pt idx="248">
                  <c:v>-1.0785347426775835</c:v>
                </c:pt>
                <c:pt idx="249">
                  <c:v>-1.0711449936370292</c:v>
                </c:pt>
                <c:pt idx="250">
                  <c:v>-1.0641777724759123</c:v>
                </c:pt>
                <c:pt idx="251">
                  <c:v>-1.0576206811866706</c:v>
                </c:pt>
                <c:pt idx="252">
                  <c:v>-1.0514622242382672</c:v>
                </c:pt>
                <c:pt idx="253">
                  <c:v>-1.0456917564871482</c:v>
                </c:pt>
                <c:pt idx="254">
                  <c:v>-1.040299435861602</c:v>
                </c:pt>
                <c:pt idx="255">
                  <c:v>-1.035276180410083</c:v>
                </c:pt>
                <c:pt idx="256">
                  <c:v>-1.0306136293498982</c:v>
                </c:pt>
                <c:pt idx="257">
                  <c:v>-1.0263041077933917</c:v>
                </c:pt>
                <c:pt idx="258">
                  <c:v>-1.0223405948650293</c:v>
                </c:pt>
                <c:pt idx="259">
                  <c:v>-1.0187166949552142</c:v>
                </c:pt>
                <c:pt idx="260">
                  <c:v>-1.0154266118857451</c:v>
                </c:pt>
                <c:pt idx="261">
                  <c:v>-1.0124651257880031</c:v>
                </c:pt>
                <c:pt idx="262">
                  <c:v>-1.0098275725186181</c:v>
                </c:pt>
                <c:pt idx="263">
                  <c:v>-1.0075098254588484</c:v>
                </c:pt>
                <c:pt idx="264">
                  <c:v>-1.0055082795635164</c:v>
                </c:pt>
                <c:pt idx="265">
                  <c:v>-1.0038198375433474</c:v>
                </c:pt>
                <c:pt idx="266">
                  <c:v>-1.0024418980811722</c:v>
                </c:pt>
                <c:pt idx="267">
                  <c:v>-1.0013723459979209</c:v>
                </c:pt>
                <c:pt idx="268">
                  <c:v>-1.0006095442988219</c:v>
                </c:pt>
                <c:pt idx="269">
                  <c:v>-1.0001523280439077</c:v>
                </c:pt>
                <c:pt idx="270">
                  <c:v>-1</c:v>
                </c:pt>
                <c:pt idx="271">
                  <c:v>-1.0001523280439077</c:v>
                </c:pt>
                <c:pt idx="272">
                  <c:v>-1.0006095442988217</c:v>
                </c:pt>
                <c:pt idx="273">
                  <c:v>-1.0013723459979209</c:v>
                </c:pt>
                <c:pt idx="274">
                  <c:v>-1.002441898081172</c:v>
                </c:pt>
                <c:pt idx="275">
                  <c:v>-1.0038198375433474</c:v>
                </c:pt>
                <c:pt idx="276">
                  <c:v>-1.0055082795635164</c:v>
                </c:pt>
                <c:pt idx="277">
                  <c:v>-1.0075098254588484</c:v>
                </c:pt>
                <c:pt idx="278">
                  <c:v>-1.0098275725186181</c:v>
                </c:pt>
                <c:pt idx="279">
                  <c:v>-1.0124651257880029</c:v>
                </c:pt>
                <c:pt idx="280">
                  <c:v>-1.0154266118857449</c:v>
                </c:pt>
                <c:pt idx="281">
                  <c:v>-1.018716694955214</c:v>
                </c:pt>
                <c:pt idx="282">
                  <c:v>-1.022340594865029</c:v>
                </c:pt>
                <c:pt idx="283">
                  <c:v>-1.0263041077933917</c:v>
                </c:pt>
                <c:pt idx="284">
                  <c:v>-1.030613629349898</c:v>
                </c:pt>
                <c:pt idx="285">
                  <c:v>-1.0352761804100832</c:v>
                </c:pt>
                <c:pt idx="286">
                  <c:v>-1.0402994358616022</c:v>
                </c:pt>
                <c:pt idx="287">
                  <c:v>-1.045691756487148</c:v>
                </c:pt>
                <c:pt idx="288">
                  <c:v>-1.0514622242382672</c:v>
                </c:pt>
                <c:pt idx="289">
                  <c:v>-1.0576206811866704</c:v>
                </c:pt>
                <c:pt idx="290">
                  <c:v>-1.0641777724759121</c:v>
                </c:pt>
                <c:pt idx="291">
                  <c:v>-1.0711449936370285</c:v>
                </c:pt>
                <c:pt idx="292">
                  <c:v>-1.0785347426775833</c:v>
                </c:pt>
                <c:pt idx="293">
                  <c:v>-1.0863603774052961</c:v>
                </c:pt>
                <c:pt idx="294">
                  <c:v>-1.0946362785060468</c:v>
                </c:pt>
                <c:pt idx="295">
                  <c:v>-1.1033779189624917</c:v>
                </c:pt>
                <c:pt idx="296">
                  <c:v>-1.1126019404751888</c:v>
                </c:pt>
                <c:pt idx="297">
                  <c:v>-1.1223262376343608</c:v>
                </c:pt>
                <c:pt idx="298">
                  <c:v>-1.132570050689039</c:v>
                </c:pt>
                <c:pt idx="299">
                  <c:v>-1.1433540678733196</c:v>
                </c:pt>
                <c:pt idx="300">
                  <c:v>-1.1547005383792517</c:v>
                </c:pt>
                <c:pt idx="301">
                  <c:v>-1.1666333972153304</c:v>
                </c:pt>
                <c:pt idx="302">
                  <c:v>-1.1791784033620962</c:v>
                </c:pt>
                <c:pt idx="303">
                  <c:v>-1.1923632928359471</c:v>
                </c:pt>
                <c:pt idx="304">
                  <c:v>-1.2062179485039048</c:v>
                </c:pt>
                <c:pt idx="305">
                  <c:v>-1.2207745887614561</c:v>
                </c:pt>
                <c:pt idx="306">
                  <c:v>-1.2360679774997896</c:v>
                </c:pt>
                <c:pt idx="307">
                  <c:v>-1.2521356581562253</c:v>
                </c:pt>
                <c:pt idx="308">
                  <c:v>-1.2690182150725791</c:v>
                </c:pt>
                <c:pt idx="309">
                  <c:v>-1.2867595658931674</c:v>
                </c:pt>
                <c:pt idx="310">
                  <c:v>-1.3054072893322783</c:v>
                </c:pt>
                <c:pt idx="311">
                  <c:v>-1.3250129933488108</c:v>
                </c:pt>
                <c:pt idx="312">
                  <c:v>-1.3456327296063755</c:v>
                </c:pt>
                <c:pt idx="313">
                  <c:v>-1.3673274610985944</c:v>
                </c:pt>
                <c:pt idx="314">
                  <c:v>-1.3901635910166776</c:v>
                </c:pt>
                <c:pt idx="315">
                  <c:v>-1.4142135623730947</c:v>
                </c:pt>
                <c:pt idx="316">
                  <c:v>-1.4395565396257257</c:v>
                </c:pt>
                <c:pt idx="317">
                  <c:v>-1.4662791856396256</c:v>
                </c:pt>
                <c:pt idx="318">
                  <c:v>-1.4944765498646089</c:v>
                </c:pt>
                <c:pt idx="319">
                  <c:v>-1.5242530867058139</c:v>
                </c:pt>
                <c:pt idx="320">
                  <c:v>-1.5557238268604117</c:v>
                </c:pt>
                <c:pt idx="321">
                  <c:v>-1.5890157290657485</c:v>
                </c:pt>
                <c:pt idx="322">
                  <c:v>-1.6242692454827425</c:v>
                </c:pt>
                <c:pt idx="323">
                  <c:v>-1.6616401411224833</c:v>
                </c:pt>
                <c:pt idx="324">
                  <c:v>-1.7013016167040791</c:v>
                </c:pt>
                <c:pt idx="325">
                  <c:v>-1.7434467956210968</c:v>
                </c:pt>
                <c:pt idx="326">
                  <c:v>-1.788291649971399</c:v>
                </c:pt>
                <c:pt idx="327">
                  <c:v>-1.8360784587766634</c:v>
                </c:pt>
                <c:pt idx="328">
                  <c:v>-1.8870799147998554</c:v>
                </c:pt>
                <c:pt idx="329">
                  <c:v>-1.9416040264103553</c:v>
                </c:pt>
                <c:pt idx="330">
                  <c:v>-1.9999999999999982</c:v>
                </c:pt>
                <c:pt idx="331">
                  <c:v>-2.0626653396273147</c:v>
                </c:pt>
                <c:pt idx="332">
                  <c:v>-2.1300544681895124</c:v>
                </c:pt>
                <c:pt idx="333">
                  <c:v>-2.2026892645852656</c:v>
                </c:pt>
                <c:pt idx="334">
                  <c:v>-2.2811720327048612</c:v>
                </c:pt>
                <c:pt idx="335">
                  <c:v>-2.3662015831524954</c:v>
                </c:pt>
                <c:pt idx="336">
                  <c:v>-2.4585933355742386</c:v>
                </c:pt>
                <c:pt idx="337">
                  <c:v>-2.559304665247446</c:v>
                </c:pt>
                <c:pt idx="338">
                  <c:v>-2.6694671625540121</c:v>
                </c:pt>
                <c:pt idx="339">
                  <c:v>-2.7904281096253323</c:v>
                </c:pt>
                <c:pt idx="340">
                  <c:v>-2.9238044001630885</c:v>
                </c:pt>
                <c:pt idx="341">
                  <c:v>-3.0715534867572343</c:v>
                </c:pt>
                <c:pt idx="342">
                  <c:v>-3.2360679774997876</c:v>
                </c:pt>
                <c:pt idx="343">
                  <c:v>-3.4203036198332741</c:v>
                </c:pt>
                <c:pt idx="344">
                  <c:v>-3.6279552785432925</c:v>
                </c:pt>
                <c:pt idx="345">
                  <c:v>-3.8637033051562741</c:v>
                </c:pt>
                <c:pt idx="346">
                  <c:v>-4.1335654944387468</c:v>
                </c:pt>
                <c:pt idx="347">
                  <c:v>-4.4454114825857944</c:v>
                </c:pt>
                <c:pt idx="348">
                  <c:v>-4.8097343447441183</c:v>
                </c:pt>
                <c:pt idx="349">
                  <c:v>-5.2408430641678532</c:v>
                </c:pt>
                <c:pt idx="350">
                  <c:v>-5.7587704831436026</c:v>
                </c:pt>
                <c:pt idx="351">
                  <c:v>-6.3924532214996512</c:v>
                </c:pt>
                <c:pt idx="352">
                  <c:v>-7.1852965343276969</c:v>
                </c:pt>
                <c:pt idx="353">
                  <c:v>-8.2055090481250357</c:v>
                </c:pt>
                <c:pt idx="354">
                  <c:v>-9.5667722335056311</c:v>
                </c:pt>
                <c:pt idx="355">
                  <c:v>-11</c:v>
                </c:pt>
                <c:pt idx="356">
                  <c:v>-11</c:v>
                </c:pt>
                <c:pt idx="357">
                  <c:v>-11</c:v>
                </c:pt>
                <c:pt idx="358">
                  <c:v>-11</c:v>
                </c:pt>
                <c:pt idx="359">
                  <c:v>-11</c:v>
                </c:pt>
                <c:pt idx="360">
                  <c:v>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F0-4DEA-BF6A-202520369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39807"/>
        <c:axId val="216268095"/>
      </c:scatterChart>
      <c:valAx>
        <c:axId val="351839807"/>
        <c:scaling>
          <c:orientation val="minMax"/>
          <c:max val="36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O"/>
          </a:p>
        </c:txPr>
        <c:crossAx val="216268095"/>
        <c:crosses val="autoZero"/>
        <c:crossBetween val="midCat"/>
      </c:valAx>
      <c:valAx>
        <c:axId val="21626809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O"/>
          </a:p>
        </c:txPr>
        <c:crossAx val="351839807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100" b="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38243533737495E-2"/>
          <c:y val="4.4307513042086022E-2"/>
          <c:w val="0.80546973907673303"/>
          <c:h val="0.9092880110652037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Trigonometrica!$D$17</c:f>
              <c:strCache>
                <c:ptCount val="1"/>
                <c:pt idx="0">
                  <c:v>SIN(x)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Trigonometrica!$D$18:$D$378</c:f>
              <c:numCache>
                <c:formatCode>General</c:formatCode>
                <c:ptCount val="361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0.224951054343865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</c:v>
                </c:pt>
                <c:pt idx="19">
                  <c:v>0.32556815445715664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0.54463903501502708</c:v>
                </c:pt>
                <c:pt idx="34">
                  <c:v>0.5591929034707469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0.61566147532565818</c:v>
                </c:pt>
                <c:pt idx="39">
                  <c:v>0.62932039104983739</c:v>
                </c:pt>
                <c:pt idx="40">
                  <c:v>0.64278760968653925</c:v>
                </c:pt>
                <c:pt idx="41">
                  <c:v>0.65605902899050716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0.75470958022277201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0.78801075360672201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0.92050485345244026</c:v>
                </c:pt>
                <c:pt idx="68">
                  <c:v>0.92718385456678742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0.97814760073380558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0.99026806874157025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0.75470958022277179</c:v>
                </c:pt>
                <c:pt idx="132">
                  <c:v>0.74314482547739424</c:v>
                </c:pt>
                <c:pt idx="133">
                  <c:v>0.73135370161917057</c:v>
                </c:pt>
                <c:pt idx="134">
                  <c:v>0.71933980033865141</c:v>
                </c:pt>
                <c:pt idx="135">
                  <c:v>0.70710678118654757</c:v>
                </c:pt>
                <c:pt idx="136">
                  <c:v>0.69465837045899714</c:v>
                </c:pt>
                <c:pt idx="137">
                  <c:v>0.68199836006249859</c:v>
                </c:pt>
                <c:pt idx="138">
                  <c:v>0.66913060635885835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0.62932039104983772</c:v>
                </c:pt>
                <c:pt idx="142">
                  <c:v>0.6156614753256584</c:v>
                </c:pt>
                <c:pt idx="143">
                  <c:v>0.60181502315204816</c:v>
                </c:pt>
                <c:pt idx="144">
                  <c:v>0.58778525229247325</c:v>
                </c:pt>
                <c:pt idx="145">
                  <c:v>0.57357643635104638</c:v>
                </c:pt>
                <c:pt idx="146">
                  <c:v>0.5591929034707469</c:v>
                </c:pt>
                <c:pt idx="147">
                  <c:v>0.54463903501502697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0.46947156278589108</c:v>
                </c:pt>
                <c:pt idx="153">
                  <c:v>0.45399049973954686</c:v>
                </c:pt>
                <c:pt idx="154">
                  <c:v>0.43837114678907729</c:v>
                </c:pt>
                <c:pt idx="155">
                  <c:v>0.4226182617406995</c:v>
                </c:pt>
                <c:pt idx="156">
                  <c:v>0.40673664307580043</c:v>
                </c:pt>
                <c:pt idx="157">
                  <c:v>0.39073112848927416</c:v>
                </c:pt>
                <c:pt idx="158">
                  <c:v>0.37460659341591224</c:v>
                </c:pt>
                <c:pt idx="159">
                  <c:v>0.35836794954530021</c:v>
                </c:pt>
                <c:pt idx="160">
                  <c:v>0.34202014332566888</c:v>
                </c:pt>
                <c:pt idx="161">
                  <c:v>0.32556815445715703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0.27563735581699966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0.22495105434386478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0.17364817766693028</c:v>
                </c:pt>
                <c:pt idx="171">
                  <c:v>0.15643446504023098</c:v>
                </c:pt>
                <c:pt idx="172">
                  <c:v>0.13917310096006574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8.7155742747658638E-2</c:v>
                </c:pt>
                <c:pt idx="176">
                  <c:v>6.9756473744125524E-2</c:v>
                </c:pt>
                <c:pt idx="177">
                  <c:v>5.2335956242943807E-2</c:v>
                </c:pt>
                <c:pt idx="178">
                  <c:v>3.4899496702500699E-2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-0.10452846326765305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-0.275637355816999</c:v>
                </c:pt>
                <c:pt idx="197">
                  <c:v>-0.29237170472273638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-0.46947156278589086</c:v>
                </c:pt>
                <c:pt idx="209">
                  <c:v>-0.48480962024633695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-0.62932039104983761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-0.73135370161917013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-0.87461970713939596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-0.90630778703664971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-0.98162718344766386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-0.99026806874157036</c:v>
                </c:pt>
                <c:pt idx="263">
                  <c:v>-0.99254615164132209</c:v>
                </c:pt>
                <c:pt idx="264">
                  <c:v>-0.9945218953682734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-0.99862953475457383</c:v>
                </c:pt>
                <c:pt idx="268">
                  <c:v>-0.99939082701909565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-0.99862953475457383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-0.9945218953682734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-0.9659258262890682</c:v>
                </c:pt>
                <c:pt idx="286">
                  <c:v>-0.96126169593831878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-0.93969262078590854</c:v>
                </c:pt>
                <c:pt idx="291">
                  <c:v>-0.93358042649720208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-0.91354545764260076</c:v>
                </c:pt>
                <c:pt idx="295">
                  <c:v>-0.90630778703664994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-0.87461970713939607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-0.82903757255504207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-0.78801075360672179</c:v>
                </c:pt>
                <c:pt idx="309">
                  <c:v>-0.77714596145697079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-0.74314482547739458</c:v>
                </c:pt>
                <c:pt idx="313">
                  <c:v>-0.73135370161917101</c:v>
                </c:pt>
                <c:pt idx="314">
                  <c:v>-0.71933980033865175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-0.68199836006249825</c:v>
                </c:pt>
                <c:pt idx="318">
                  <c:v>-0.66913060635885813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-0.62932039104983784</c:v>
                </c:pt>
                <c:pt idx="322">
                  <c:v>-0.61566147532565885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-0.52991926423320579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-0.48480962024633689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-0.43837114678907702</c:v>
                </c:pt>
                <c:pt idx="335">
                  <c:v>-0.4226182617407</c:v>
                </c:pt>
                <c:pt idx="336">
                  <c:v>-0.40673664307580015</c:v>
                </c:pt>
                <c:pt idx="337">
                  <c:v>-0.39073112848927471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-0.3420201433256686</c:v>
                </c:pt>
                <c:pt idx="341">
                  <c:v>-0.32556815445715753</c:v>
                </c:pt>
                <c:pt idx="342">
                  <c:v>-0.30901699437494762</c:v>
                </c:pt>
                <c:pt idx="343">
                  <c:v>-0.29237170472273627</c:v>
                </c:pt>
                <c:pt idx="344">
                  <c:v>-0.27563735581699977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-0.17364817766693127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-0.10452846326765342</c:v>
                </c:pt>
                <c:pt idx="355">
                  <c:v>-8.7155742747658319E-2</c:v>
                </c:pt>
                <c:pt idx="356">
                  <c:v>-6.9756473744124761E-2</c:v>
                </c:pt>
                <c:pt idx="357">
                  <c:v>-5.2335956242944369E-2</c:v>
                </c:pt>
                <c:pt idx="358">
                  <c:v>-3.4899496702500823E-2</c:v>
                </c:pt>
                <c:pt idx="359">
                  <c:v>-1.7452406437284448E-2</c:v>
                </c:pt>
                <c:pt idx="360">
                  <c:v>-2.45029690981724E-16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BC-4A7A-B7A5-55F4DD431033}"/>
            </c:ext>
          </c:extLst>
        </c:ser>
        <c:ser>
          <c:idx val="3"/>
          <c:order val="1"/>
          <c:tx>
            <c:strRef>
              <c:f>Trigonometrica!$E$17</c:f>
              <c:strCache>
                <c:ptCount val="1"/>
                <c:pt idx="0">
                  <c:v>COS(x)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Trigonometrica!$E$18:$E$378</c:f>
              <c:numCache>
                <c:formatCode>General</c:formatCode>
                <c:ptCount val="361"/>
                <c:pt idx="0">
                  <c:v>1</c:v>
                </c:pt>
                <c:pt idx="1">
                  <c:v>0.99984769515639127</c:v>
                </c:pt>
                <c:pt idx="2">
                  <c:v>0.99939082701909576</c:v>
                </c:pt>
                <c:pt idx="3">
                  <c:v>0.99862953475457383</c:v>
                </c:pt>
                <c:pt idx="4">
                  <c:v>0.9975640502598242</c:v>
                </c:pt>
                <c:pt idx="5">
                  <c:v>0.99619469809174555</c:v>
                </c:pt>
                <c:pt idx="6">
                  <c:v>0.99452189536827329</c:v>
                </c:pt>
                <c:pt idx="7">
                  <c:v>0.99254615164132198</c:v>
                </c:pt>
                <c:pt idx="8">
                  <c:v>0.99026806874157036</c:v>
                </c:pt>
                <c:pt idx="9">
                  <c:v>0.98768834059513777</c:v>
                </c:pt>
                <c:pt idx="10">
                  <c:v>0.98480775301220802</c:v>
                </c:pt>
                <c:pt idx="11">
                  <c:v>0.98162718344766398</c:v>
                </c:pt>
                <c:pt idx="12">
                  <c:v>0.97814760073380569</c:v>
                </c:pt>
                <c:pt idx="13">
                  <c:v>0.97437006478523525</c:v>
                </c:pt>
                <c:pt idx="14">
                  <c:v>0.97029572627599647</c:v>
                </c:pt>
                <c:pt idx="15">
                  <c:v>0.96592582628906831</c:v>
                </c:pt>
                <c:pt idx="16">
                  <c:v>0.96126169593831889</c:v>
                </c:pt>
                <c:pt idx="17">
                  <c:v>0.95630475596303544</c:v>
                </c:pt>
                <c:pt idx="18">
                  <c:v>0.95105651629515353</c:v>
                </c:pt>
                <c:pt idx="19">
                  <c:v>0.94551857559931685</c:v>
                </c:pt>
                <c:pt idx="20">
                  <c:v>0.93969262078590843</c:v>
                </c:pt>
                <c:pt idx="21">
                  <c:v>0.93358042649720174</c:v>
                </c:pt>
                <c:pt idx="22">
                  <c:v>0.92718385456678742</c:v>
                </c:pt>
                <c:pt idx="23">
                  <c:v>0.92050485345244037</c:v>
                </c:pt>
                <c:pt idx="24">
                  <c:v>0.91354545764260087</c:v>
                </c:pt>
                <c:pt idx="25">
                  <c:v>0.90630778703664994</c:v>
                </c:pt>
                <c:pt idx="26">
                  <c:v>0.89879404629916704</c:v>
                </c:pt>
                <c:pt idx="27">
                  <c:v>0.8910065241883679</c:v>
                </c:pt>
                <c:pt idx="28">
                  <c:v>0.88294759285892699</c:v>
                </c:pt>
                <c:pt idx="29">
                  <c:v>0.87461970713939574</c:v>
                </c:pt>
                <c:pt idx="30">
                  <c:v>0.86602540378443871</c:v>
                </c:pt>
                <c:pt idx="31">
                  <c:v>0.85716730070211233</c:v>
                </c:pt>
                <c:pt idx="32">
                  <c:v>0.84804809615642596</c:v>
                </c:pt>
                <c:pt idx="33">
                  <c:v>0.83867056794542405</c:v>
                </c:pt>
                <c:pt idx="34">
                  <c:v>0.82903757255504162</c:v>
                </c:pt>
                <c:pt idx="35">
                  <c:v>0.8191520442889918</c:v>
                </c:pt>
                <c:pt idx="36">
                  <c:v>0.80901699437494745</c:v>
                </c:pt>
                <c:pt idx="37">
                  <c:v>0.79863551004729283</c:v>
                </c:pt>
                <c:pt idx="38">
                  <c:v>0.78801075360672201</c:v>
                </c:pt>
                <c:pt idx="39">
                  <c:v>0.7771459614569709</c:v>
                </c:pt>
                <c:pt idx="40">
                  <c:v>0.76604444311897801</c:v>
                </c:pt>
                <c:pt idx="41">
                  <c:v>0.75470958022277213</c:v>
                </c:pt>
                <c:pt idx="42">
                  <c:v>0.74314482547739424</c:v>
                </c:pt>
                <c:pt idx="43">
                  <c:v>0.73135370161917057</c:v>
                </c:pt>
                <c:pt idx="44">
                  <c:v>0.71933980033865119</c:v>
                </c:pt>
                <c:pt idx="45">
                  <c:v>0.70710678118654757</c:v>
                </c:pt>
                <c:pt idx="46">
                  <c:v>0.69465837045899737</c:v>
                </c:pt>
                <c:pt idx="47">
                  <c:v>0.68199836006249848</c:v>
                </c:pt>
                <c:pt idx="48">
                  <c:v>0.66913060635885824</c:v>
                </c:pt>
                <c:pt idx="49">
                  <c:v>0.65605902899050728</c:v>
                </c:pt>
                <c:pt idx="50">
                  <c:v>0.64278760968653936</c:v>
                </c:pt>
                <c:pt idx="51">
                  <c:v>0.6293203910498375</c:v>
                </c:pt>
                <c:pt idx="52">
                  <c:v>0.61566147532565829</c:v>
                </c:pt>
                <c:pt idx="53">
                  <c:v>0.60181502315204838</c:v>
                </c:pt>
                <c:pt idx="54">
                  <c:v>0.58778525229247314</c:v>
                </c:pt>
                <c:pt idx="55">
                  <c:v>0.57357643635104616</c:v>
                </c:pt>
                <c:pt idx="56">
                  <c:v>0.55919290347074679</c:v>
                </c:pt>
                <c:pt idx="57">
                  <c:v>0.5446390350150272</c:v>
                </c:pt>
                <c:pt idx="58">
                  <c:v>0.5299192642332049</c:v>
                </c:pt>
                <c:pt idx="59">
                  <c:v>0.51503807491005438</c:v>
                </c:pt>
                <c:pt idx="60">
                  <c:v>0.50000000000000011</c:v>
                </c:pt>
                <c:pt idx="61">
                  <c:v>0.48480962024633711</c:v>
                </c:pt>
                <c:pt idx="62">
                  <c:v>0.46947156278589086</c:v>
                </c:pt>
                <c:pt idx="63">
                  <c:v>0.4539904997395468</c:v>
                </c:pt>
                <c:pt idx="64">
                  <c:v>0.43837114678907746</c:v>
                </c:pt>
                <c:pt idx="65">
                  <c:v>0.42261826174069944</c:v>
                </c:pt>
                <c:pt idx="66">
                  <c:v>0.40673664307580021</c:v>
                </c:pt>
                <c:pt idx="67">
                  <c:v>0.39073112848927394</c:v>
                </c:pt>
                <c:pt idx="68">
                  <c:v>0.37460659341591196</c:v>
                </c:pt>
                <c:pt idx="69">
                  <c:v>0.35836794954530038</c:v>
                </c:pt>
                <c:pt idx="70">
                  <c:v>0.34202014332566882</c:v>
                </c:pt>
                <c:pt idx="71">
                  <c:v>0.32556815445715676</c:v>
                </c:pt>
                <c:pt idx="72">
                  <c:v>0.30901699437494745</c:v>
                </c:pt>
                <c:pt idx="73">
                  <c:v>0.29237170472273677</c:v>
                </c:pt>
                <c:pt idx="74">
                  <c:v>0.27563735581699916</c:v>
                </c:pt>
                <c:pt idx="75">
                  <c:v>0.25881904510252074</c:v>
                </c:pt>
                <c:pt idx="76">
                  <c:v>0.2419218955996679</c:v>
                </c:pt>
                <c:pt idx="77">
                  <c:v>0.22495105434386492</c:v>
                </c:pt>
                <c:pt idx="78">
                  <c:v>0.20791169081775945</c:v>
                </c:pt>
                <c:pt idx="79">
                  <c:v>0.19080899537654492</c:v>
                </c:pt>
                <c:pt idx="80">
                  <c:v>0.17364817766693041</c:v>
                </c:pt>
                <c:pt idx="81">
                  <c:v>0.15643446504023092</c:v>
                </c:pt>
                <c:pt idx="82">
                  <c:v>0.13917310096006569</c:v>
                </c:pt>
                <c:pt idx="83">
                  <c:v>0.12186934340514749</c:v>
                </c:pt>
                <c:pt idx="84">
                  <c:v>0.10452846326765346</c:v>
                </c:pt>
                <c:pt idx="85">
                  <c:v>8.7155742747658138E-2</c:v>
                </c:pt>
                <c:pt idx="86">
                  <c:v>6.9756473744125455E-2</c:v>
                </c:pt>
                <c:pt idx="87">
                  <c:v>5.2335956242943966E-2</c:v>
                </c:pt>
                <c:pt idx="88">
                  <c:v>3.489949670250108E-2</c:v>
                </c:pt>
                <c:pt idx="89">
                  <c:v>1.7452406437283376E-2</c:v>
                </c:pt>
                <c:pt idx="90">
                  <c:v>6.1257422745431001E-17</c:v>
                </c:pt>
                <c:pt idx="91">
                  <c:v>-1.7452406437283477E-2</c:v>
                </c:pt>
                <c:pt idx="92">
                  <c:v>-3.4899496702500733E-2</c:v>
                </c:pt>
                <c:pt idx="93">
                  <c:v>-5.233595624294362E-2</c:v>
                </c:pt>
                <c:pt idx="94">
                  <c:v>-6.975647374412533E-2</c:v>
                </c:pt>
                <c:pt idx="95">
                  <c:v>-8.7155742747658235E-2</c:v>
                </c:pt>
                <c:pt idx="96">
                  <c:v>-0.10452846326765333</c:v>
                </c:pt>
                <c:pt idx="97">
                  <c:v>-0.12186934340514737</c:v>
                </c:pt>
                <c:pt idx="98">
                  <c:v>-0.13917310096006535</c:v>
                </c:pt>
                <c:pt idx="99">
                  <c:v>-0.15643446504023104</c:v>
                </c:pt>
                <c:pt idx="100">
                  <c:v>-0.1736481776669303</c:v>
                </c:pt>
                <c:pt idx="101">
                  <c:v>-0.1908089953765448</c:v>
                </c:pt>
                <c:pt idx="102">
                  <c:v>-0.20791169081775912</c:v>
                </c:pt>
                <c:pt idx="103">
                  <c:v>-0.22495105434386481</c:v>
                </c:pt>
                <c:pt idx="104">
                  <c:v>-0.24192189559966779</c:v>
                </c:pt>
                <c:pt idx="105">
                  <c:v>-0.25881904510252085</c:v>
                </c:pt>
                <c:pt idx="106">
                  <c:v>-0.27563735581699905</c:v>
                </c:pt>
                <c:pt idx="107">
                  <c:v>-0.29237170472273666</c:v>
                </c:pt>
                <c:pt idx="108">
                  <c:v>-0.30901699437494734</c:v>
                </c:pt>
                <c:pt idx="109">
                  <c:v>-0.32556815445715642</c:v>
                </c:pt>
                <c:pt idx="110">
                  <c:v>-0.34202014332566871</c:v>
                </c:pt>
                <c:pt idx="111">
                  <c:v>-0.35836794954530027</c:v>
                </c:pt>
                <c:pt idx="112">
                  <c:v>-0.37460659341591207</c:v>
                </c:pt>
                <c:pt idx="113">
                  <c:v>-0.3907311284892736</c:v>
                </c:pt>
                <c:pt idx="114">
                  <c:v>-0.40673664307580004</c:v>
                </c:pt>
                <c:pt idx="115">
                  <c:v>-0.42261826174069933</c:v>
                </c:pt>
                <c:pt idx="116">
                  <c:v>-0.43837114678907751</c:v>
                </c:pt>
                <c:pt idx="117">
                  <c:v>-0.45399049973954669</c:v>
                </c:pt>
                <c:pt idx="118">
                  <c:v>-0.46947156278589053</c:v>
                </c:pt>
                <c:pt idx="119">
                  <c:v>-0.484809620246337</c:v>
                </c:pt>
                <c:pt idx="120">
                  <c:v>-0.49999999999999978</c:v>
                </c:pt>
                <c:pt idx="121">
                  <c:v>-0.51503807491005427</c:v>
                </c:pt>
                <c:pt idx="122">
                  <c:v>-0.52991926423320479</c:v>
                </c:pt>
                <c:pt idx="123">
                  <c:v>-0.54463903501502708</c:v>
                </c:pt>
                <c:pt idx="124">
                  <c:v>-0.55919290347074668</c:v>
                </c:pt>
                <c:pt idx="125">
                  <c:v>-0.57357643635104583</c:v>
                </c:pt>
                <c:pt idx="126">
                  <c:v>-0.58778525229247303</c:v>
                </c:pt>
                <c:pt idx="127">
                  <c:v>-0.60181502315204838</c:v>
                </c:pt>
                <c:pt idx="128">
                  <c:v>-0.61566147532565829</c:v>
                </c:pt>
                <c:pt idx="129">
                  <c:v>-0.62932039104983728</c:v>
                </c:pt>
                <c:pt idx="130">
                  <c:v>-0.64278760968653936</c:v>
                </c:pt>
                <c:pt idx="131">
                  <c:v>-0.6560590289905075</c:v>
                </c:pt>
                <c:pt idx="132">
                  <c:v>-0.66913060635885824</c:v>
                </c:pt>
                <c:pt idx="133">
                  <c:v>-0.68199836006249837</c:v>
                </c:pt>
                <c:pt idx="134">
                  <c:v>-0.69465837045899703</c:v>
                </c:pt>
                <c:pt idx="135">
                  <c:v>-0.70710678118654746</c:v>
                </c:pt>
                <c:pt idx="136">
                  <c:v>-0.71933980033865119</c:v>
                </c:pt>
                <c:pt idx="137">
                  <c:v>-0.73135370161917046</c:v>
                </c:pt>
                <c:pt idx="138">
                  <c:v>-0.74314482547739402</c:v>
                </c:pt>
                <c:pt idx="139">
                  <c:v>-0.75470958022277201</c:v>
                </c:pt>
                <c:pt idx="140">
                  <c:v>-0.7660444431189779</c:v>
                </c:pt>
                <c:pt idx="141">
                  <c:v>-0.77714596145697068</c:v>
                </c:pt>
                <c:pt idx="142">
                  <c:v>-0.7880107536067219</c:v>
                </c:pt>
                <c:pt idx="143">
                  <c:v>-0.79863551004729294</c:v>
                </c:pt>
                <c:pt idx="144">
                  <c:v>-0.80901699437494734</c:v>
                </c:pt>
                <c:pt idx="145">
                  <c:v>-0.81915204428899158</c:v>
                </c:pt>
                <c:pt idx="146">
                  <c:v>-0.82903757255504162</c:v>
                </c:pt>
                <c:pt idx="147">
                  <c:v>-0.83867056794542416</c:v>
                </c:pt>
                <c:pt idx="148">
                  <c:v>-0.84804809615642596</c:v>
                </c:pt>
                <c:pt idx="149">
                  <c:v>-0.85716730070211222</c:v>
                </c:pt>
                <c:pt idx="150">
                  <c:v>-0.86602540378443871</c:v>
                </c:pt>
                <c:pt idx="151">
                  <c:v>-0.87461970713939574</c:v>
                </c:pt>
                <c:pt idx="152">
                  <c:v>-0.88294759285892677</c:v>
                </c:pt>
                <c:pt idx="153">
                  <c:v>-0.89100652418836779</c:v>
                </c:pt>
                <c:pt idx="154">
                  <c:v>-0.89879404629916704</c:v>
                </c:pt>
                <c:pt idx="155">
                  <c:v>-0.90630778703664994</c:v>
                </c:pt>
                <c:pt idx="156">
                  <c:v>-0.91354545764260076</c:v>
                </c:pt>
                <c:pt idx="157">
                  <c:v>-0.92050485345244015</c:v>
                </c:pt>
                <c:pt idx="158">
                  <c:v>-0.92718385456678731</c:v>
                </c:pt>
                <c:pt idx="159">
                  <c:v>-0.93358042649720174</c:v>
                </c:pt>
                <c:pt idx="160">
                  <c:v>-0.93969262078590832</c:v>
                </c:pt>
                <c:pt idx="161">
                  <c:v>-0.94551857559931674</c:v>
                </c:pt>
                <c:pt idx="162">
                  <c:v>-0.95105651629515353</c:v>
                </c:pt>
                <c:pt idx="163">
                  <c:v>-0.95630475596303544</c:v>
                </c:pt>
                <c:pt idx="164">
                  <c:v>-0.96126169593831867</c:v>
                </c:pt>
                <c:pt idx="165">
                  <c:v>-0.9659258262890682</c:v>
                </c:pt>
                <c:pt idx="166">
                  <c:v>-0.97029572627599647</c:v>
                </c:pt>
                <c:pt idx="167">
                  <c:v>-0.97437006478523525</c:v>
                </c:pt>
                <c:pt idx="168">
                  <c:v>-0.97814760073380569</c:v>
                </c:pt>
                <c:pt idx="169">
                  <c:v>-0.98162718344766398</c:v>
                </c:pt>
                <c:pt idx="170">
                  <c:v>-0.98480775301220802</c:v>
                </c:pt>
                <c:pt idx="171">
                  <c:v>-0.98768834059513766</c:v>
                </c:pt>
                <c:pt idx="172">
                  <c:v>-0.99026806874157025</c:v>
                </c:pt>
                <c:pt idx="173">
                  <c:v>-0.99254615164132198</c:v>
                </c:pt>
                <c:pt idx="174">
                  <c:v>-0.99452189536827329</c:v>
                </c:pt>
                <c:pt idx="175">
                  <c:v>-0.99619469809174555</c:v>
                </c:pt>
                <c:pt idx="176">
                  <c:v>-0.9975640502598242</c:v>
                </c:pt>
                <c:pt idx="177">
                  <c:v>-0.99862953475457383</c:v>
                </c:pt>
                <c:pt idx="178">
                  <c:v>-0.99939082701909576</c:v>
                </c:pt>
                <c:pt idx="179">
                  <c:v>-0.99984769515639127</c:v>
                </c:pt>
                <c:pt idx="180">
                  <c:v>-1</c:v>
                </c:pt>
                <c:pt idx="181">
                  <c:v>-0.99984769515639127</c:v>
                </c:pt>
                <c:pt idx="182">
                  <c:v>-0.99939082701909576</c:v>
                </c:pt>
                <c:pt idx="183">
                  <c:v>-0.99862953475457383</c:v>
                </c:pt>
                <c:pt idx="184">
                  <c:v>-0.99756405025982431</c:v>
                </c:pt>
                <c:pt idx="185">
                  <c:v>-0.99619469809174555</c:v>
                </c:pt>
                <c:pt idx="186">
                  <c:v>-0.9945218953682734</c:v>
                </c:pt>
                <c:pt idx="187">
                  <c:v>-0.99254615164132198</c:v>
                </c:pt>
                <c:pt idx="188">
                  <c:v>-0.99026806874157025</c:v>
                </c:pt>
                <c:pt idx="189">
                  <c:v>-0.98768834059513777</c:v>
                </c:pt>
                <c:pt idx="190">
                  <c:v>-0.98480775301220802</c:v>
                </c:pt>
                <c:pt idx="191">
                  <c:v>-0.98162718344766398</c:v>
                </c:pt>
                <c:pt idx="192">
                  <c:v>-0.97814760073380569</c:v>
                </c:pt>
                <c:pt idx="193">
                  <c:v>-0.97437006478523525</c:v>
                </c:pt>
                <c:pt idx="194">
                  <c:v>-0.97029572627599647</c:v>
                </c:pt>
                <c:pt idx="195">
                  <c:v>-0.96592582628906842</c:v>
                </c:pt>
                <c:pt idx="196">
                  <c:v>-0.96126169593831889</c:v>
                </c:pt>
                <c:pt idx="197">
                  <c:v>-0.95630475596303555</c:v>
                </c:pt>
                <c:pt idx="198">
                  <c:v>-0.95105651629515353</c:v>
                </c:pt>
                <c:pt idx="199">
                  <c:v>-0.94551857559931674</c:v>
                </c:pt>
                <c:pt idx="200">
                  <c:v>-0.93969262078590843</c:v>
                </c:pt>
                <c:pt idx="201">
                  <c:v>-0.93358042649720174</c:v>
                </c:pt>
                <c:pt idx="202">
                  <c:v>-0.92718385456678742</c:v>
                </c:pt>
                <c:pt idx="203">
                  <c:v>-0.92050485345244037</c:v>
                </c:pt>
                <c:pt idx="204">
                  <c:v>-0.91354545764260109</c:v>
                </c:pt>
                <c:pt idx="205">
                  <c:v>-0.90630778703665005</c:v>
                </c:pt>
                <c:pt idx="206">
                  <c:v>-0.89879404629916715</c:v>
                </c:pt>
                <c:pt idx="207">
                  <c:v>-0.89100652418836812</c:v>
                </c:pt>
                <c:pt idx="208">
                  <c:v>-0.88294759285892688</c:v>
                </c:pt>
                <c:pt idx="209">
                  <c:v>-0.87461970713939585</c:v>
                </c:pt>
                <c:pt idx="210">
                  <c:v>-0.8660254037844386</c:v>
                </c:pt>
                <c:pt idx="211">
                  <c:v>-0.85716730070211233</c:v>
                </c:pt>
                <c:pt idx="212">
                  <c:v>-0.84804809615642607</c:v>
                </c:pt>
                <c:pt idx="213">
                  <c:v>-0.83867056794542405</c:v>
                </c:pt>
                <c:pt idx="214">
                  <c:v>-0.82903757255504185</c:v>
                </c:pt>
                <c:pt idx="215">
                  <c:v>-0.81915204428899202</c:v>
                </c:pt>
                <c:pt idx="216">
                  <c:v>-0.80901699437494756</c:v>
                </c:pt>
                <c:pt idx="217">
                  <c:v>-0.79863551004729305</c:v>
                </c:pt>
                <c:pt idx="218">
                  <c:v>-0.78801075360672224</c:v>
                </c:pt>
                <c:pt idx="219">
                  <c:v>-0.77714596145697079</c:v>
                </c:pt>
                <c:pt idx="220">
                  <c:v>-0.76604444311897801</c:v>
                </c:pt>
                <c:pt idx="221">
                  <c:v>-0.7547095802227719</c:v>
                </c:pt>
                <c:pt idx="222">
                  <c:v>-0.74314482547739424</c:v>
                </c:pt>
                <c:pt idx="223">
                  <c:v>-0.73135370161917057</c:v>
                </c:pt>
                <c:pt idx="224">
                  <c:v>-0.71933980033865108</c:v>
                </c:pt>
                <c:pt idx="225">
                  <c:v>-0.70710678118654768</c:v>
                </c:pt>
                <c:pt idx="226">
                  <c:v>-0.69465837045899759</c:v>
                </c:pt>
                <c:pt idx="227">
                  <c:v>-0.68199836006249892</c:v>
                </c:pt>
                <c:pt idx="228">
                  <c:v>-0.66913060635885846</c:v>
                </c:pt>
                <c:pt idx="229">
                  <c:v>-0.65605902899050761</c:v>
                </c:pt>
                <c:pt idx="230">
                  <c:v>-0.64278760968653947</c:v>
                </c:pt>
                <c:pt idx="231">
                  <c:v>-0.62932039104983717</c:v>
                </c:pt>
                <c:pt idx="232">
                  <c:v>-0.61566147532565807</c:v>
                </c:pt>
                <c:pt idx="233">
                  <c:v>-0.60181502315204827</c:v>
                </c:pt>
                <c:pt idx="234">
                  <c:v>-0.58778525229247325</c:v>
                </c:pt>
                <c:pt idx="235">
                  <c:v>-0.57357643635104638</c:v>
                </c:pt>
                <c:pt idx="236">
                  <c:v>-0.55919290347074724</c:v>
                </c:pt>
                <c:pt idx="237">
                  <c:v>-0.54463903501502697</c:v>
                </c:pt>
                <c:pt idx="238">
                  <c:v>-0.52991926423320501</c:v>
                </c:pt>
                <c:pt idx="239">
                  <c:v>-0.51503807491005449</c:v>
                </c:pt>
                <c:pt idx="240">
                  <c:v>-0.50000000000000044</c:v>
                </c:pt>
                <c:pt idx="241">
                  <c:v>-0.48480962024633684</c:v>
                </c:pt>
                <c:pt idx="242">
                  <c:v>-0.46947156278589075</c:v>
                </c:pt>
                <c:pt idx="243">
                  <c:v>-0.45399049973954692</c:v>
                </c:pt>
                <c:pt idx="244">
                  <c:v>-0.43837114678907774</c:v>
                </c:pt>
                <c:pt idx="245">
                  <c:v>-0.42261826174069994</c:v>
                </c:pt>
                <c:pt idx="246">
                  <c:v>-0.4067366430758001</c:v>
                </c:pt>
                <c:pt idx="247">
                  <c:v>-0.39073112848927383</c:v>
                </c:pt>
                <c:pt idx="248">
                  <c:v>-0.37460659341591229</c:v>
                </c:pt>
                <c:pt idx="249">
                  <c:v>-0.35836794954530071</c:v>
                </c:pt>
                <c:pt idx="250">
                  <c:v>-0.34202014332566938</c:v>
                </c:pt>
                <c:pt idx="251">
                  <c:v>-0.32556815445715664</c:v>
                </c:pt>
                <c:pt idx="252">
                  <c:v>-0.30901699437494756</c:v>
                </c:pt>
                <c:pt idx="253">
                  <c:v>-0.2923717047227371</c:v>
                </c:pt>
                <c:pt idx="254">
                  <c:v>-0.27563735581699889</c:v>
                </c:pt>
                <c:pt idx="255">
                  <c:v>-0.25881904510252063</c:v>
                </c:pt>
                <c:pt idx="256">
                  <c:v>-0.24192189559966779</c:v>
                </c:pt>
                <c:pt idx="257">
                  <c:v>-0.22495105434386525</c:v>
                </c:pt>
                <c:pt idx="258">
                  <c:v>-0.20791169081775979</c:v>
                </c:pt>
                <c:pt idx="259">
                  <c:v>-0.19080899537654547</c:v>
                </c:pt>
                <c:pt idx="260">
                  <c:v>-0.17364817766693033</c:v>
                </c:pt>
                <c:pt idx="261">
                  <c:v>-0.15643446504023104</c:v>
                </c:pt>
                <c:pt idx="262">
                  <c:v>-0.13917310096006494</c:v>
                </c:pt>
                <c:pt idx="263">
                  <c:v>-0.12186934340514717</c:v>
                </c:pt>
                <c:pt idx="264">
                  <c:v>-0.10452846326765336</c:v>
                </c:pt>
                <c:pt idx="265">
                  <c:v>-8.7155742747658249E-2</c:v>
                </c:pt>
                <c:pt idx="266">
                  <c:v>-6.975647374412558E-2</c:v>
                </c:pt>
                <c:pt idx="267">
                  <c:v>-5.2335956242944306E-2</c:v>
                </c:pt>
                <c:pt idx="268">
                  <c:v>-3.4899496702501649E-2</c:v>
                </c:pt>
                <c:pt idx="269">
                  <c:v>-1.7452406437283498E-2</c:v>
                </c:pt>
                <c:pt idx="270">
                  <c:v>-1.83772268236293E-16</c:v>
                </c:pt>
                <c:pt idx="271">
                  <c:v>1.745240643728313E-2</c:v>
                </c:pt>
                <c:pt idx="272">
                  <c:v>3.4899496702501281E-2</c:v>
                </c:pt>
                <c:pt idx="273">
                  <c:v>5.2335956242943946E-2</c:v>
                </c:pt>
                <c:pt idx="274">
                  <c:v>6.9756473744125219E-2</c:v>
                </c:pt>
                <c:pt idx="275">
                  <c:v>8.7155742747657888E-2</c:v>
                </c:pt>
                <c:pt idx="276">
                  <c:v>0.10452846326765299</c:v>
                </c:pt>
                <c:pt idx="277">
                  <c:v>0.12186934340514768</c:v>
                </c:pt>
                <c:pt idx="278">
                  <c:v>0.13917310096006547</c:v>
                </c:pt>
                <c:pt idx="279">
                  <c:v>0.15643446504023067</c:v>
                </c:pt>
                <c:pt idx="280">
                  <c:v>0.17364817766692997</c:v>
                </c:pt>
                <c:pt idx="281">
                  <c:v>0.19080899537654425</c:v>
                </c:pt>
                <c:pt idx="282">
                  <c:v>0.20791169081775857</c:v>
                </c:pt>
                <c:pt idx="283">
                  <c:v>0.22495105434386492</c:v>
                </c:pt>
                <c:pt idx="284">
                  <c:v>0.24192189559966745</c:v>
                </c:pt>
                <c:pt idx="285">
                  <c:v>0.25881904510252113</c:v>
                </c:pt>
                <c:pt idx="286">
                  <c:v>0.27563735581699939</c:v>
                </c:pt>
                <c:pt idx="287">
                  <c:v>0.29237170472273671</c:v>
                </c:pt>
                <c:pt idx="288">
                  <c:v>0.30901699437494723</c:v>
                </c:pt>
                <c:pt idx="289">
                  <c:v>0.32556815445715631</c:v>
                </c:pt>
                <c:pt idx="290">
                  <c:v>0.34202014332566816</c:v>
                </c:pt>
                <c:pt idx="291">
                  <c:v>0.35836794954529955</c:v>
                </c:pt>
                <c:pt idx="292">
                  <c:v>0.37460659341591196</c:v>
                </c:pt>
                <c:pt idx="293">
                  <c:v>0.39073112848927349</c:v>
                </c:pt>
                <c:pt idx="294">
                  <c:v>0.40673664307580054</c:v>
                </c:pt>
                <c:pt idx="295">
                  <c:v>0.42261826174069961</c:v>
                </c:pt>
                <c:pt idx="296">
                  <c:v>0.4383711467890774</c:v>
                </c:pt>
                <c:pt idx="297">
                  <c:v>0.45399049973954664</c:v>
                </c:pt>
                <c:pt idx="298">
                  <c:v>0.46947156278589042</c:v>
                </c:pt>
                <c:pt idx="299">
                  <c:v>0.4848096202463365</c:v>
                </c:pt>
                <c:pt idx="300">
                  <c:v>0.50000000000000011</c:v>
                </c:pt>
                <c:pt idx="301">
                  <c:v>0.51503807491005416</c:v>
                </c:pt>
                <c:pt idx="302">
                  <c:v>0.52991926423320468</c:v>
                </c:pt>
                <c:pt idx="303">
                  <c:v>0.54463903501502664</c:v>
                </c:pt>
                <c:pt idx="304">
                  <c:v>0.55919290347074624</c:v>
                </c:pt>
                <c:pt idx="305">
                  <c:v>0.57357643635104605</c:v>
                </c:pt>
                <c:pt idx="306">
                  <c:v>0.58778525229247292</c:v>
                </c:pt>
                <c:pt idx="307">
                  <c:v>0.60181502315204793</c:v>
                </c:pt>
                <c:pt idx="308">
                  <c:v>0.61566147532565851</c:v>
                </c:pt>
                <c:pt idx="309">
                  <c:v>0.6293203910498375</c:v>
                </c:pt>
                <c:pt idx="310">
                  <c:v>0.64278760968653925</c:v>
                </c:pt>
                <c:pt idx="311">
                  <c:v>0.65605902899050705</c:v>
                </c:pt>
                <c:pt idx="312">
                  <c:v>0.66913060635885779</c:v>
                </c:pt>
                <c:pt idx="313">
                  <c:v>0.68199836006249803</c:v>
                </c:pt>
                <c:pt idx="314">
                  <c:v>0.69465837045899659</c:v>
                </c:pt>
                <c:pt idx="315">
                  <c:v>0.70710678118654735</c:v>
                </c:pt>
                <c:pt idx="316">
                  <c:v>0.71933980033865086</c:v>
                </c:pt>
                <c:pt idx="317">
                  <c:v>0.73135370161917068</c:v>
                </c:pt>
                <c:pt idx="318">
                  <c:v>0.74314482547739424</c:v>
                </c:pt>
                <c:pt idx="319">
                  <c:v>0.7547095802227719</c:v>
                </c:pt>
                <c:pt idx="320">
                  <c:v>0.76604444311897779</c:v>
                </c:pt>
                <c:pt idx="321">
                  <c:v>0.77714596145697057</c:v>
                </c:pt>
                <c:pt idx="322">
                  <c:v>0.78801075360672157</c:v>
                </c:pt>
                <c:pt idx="323">
                  <c:v>0.79863551004729283</c:v>
                </c:pt>
                <c:pt idx="324">
                  <c:v>0.80901699437494734</c:v>
                </c:pt>
                <c:pt idx="325">
                  <c:v>0.81915204428899158</c:v>
                </c:pt>
                <c:pt idx="326">
                  <c:v>0.8290375725550414</c:v>
                </c:pt>
                <c:pt idx="327">
                  <c:v>0.83867056794542405</c:v>
                </c:pt>
                <c:pt idx="328">
                  <c:v>0.8480480961564254</c:v>
                </c:pt>
                <c:pt idx="329">
                  <c:v>0.85716730070211211</c:v>
                </c:pt>
                <c:pt idx="330">
                  <c:v>0.86602540378443837</c:v>
                </c:pt>
                <c:pt idx="331">
                  <c:v>0.87461970713939585</c:v>
                </c:pt>
                <c:pt idx="332">
                  <c:v>0.88294759285892688</c:v>
                </c:pt>
                <c:pt idx="333">
                  <c:v>0.89100652418836779</c:v>
                </c:pt>
                <c:pt idx="334">
                  <c:v>0.89879404629916715</c:v>
                </c:pt>
                <c:pt idx="335">
                  <c:v>0.90630778703664971</c:v>
                </c:pt>
                <c:pt idx="336">
                  <c:v>0.91354545764260098</c:v>
                </c:pt>
                <c:pt idx="337">
                  <c:v>0.92050485345243993</c:v>
                </c:pt>
                <c:pt idx="338">
                  <c:v>0.92718385456678731</c:v>
                </c:pt>
                <c:pt idx="339">
                  <c:v>0.93358042649720152</c:v>
                </c:pt>
                <c:pt idx="340">
                  <c:v>0.93969262078590843</c:v>
                </c:pt>
                <c:pt idx="341">
                  <c:v>0.94551857559931651</c:v>
                </c:pt>
                <c:pt idx="342">
                  <c:v>0.95105651629515353</c:v>
                </c:pt>
                <c:pt idx="343">
                  <c:v>0.95630475596303566</c:v>
                </c:pt>
                <c:pt idx="344">
                  <c:v>0.96126169593831867</c:v>
                </c:pt>
                <c:pt idx="345">
                  <c:v>0.96592582628906831</c:v>
                </c:pt>
                <c:pt idx="346">
                  <c:v>0.97029572627599647</c:v>
                </c:pt>
                <c:pt idx="347">
                  <c:v>0.97437006478523513</c:v>
                </c:pt>
                <c:pt idx="348">
                  <c:v>0.97814760073380558</c:v>
                </c:pt>
                <c:pt idx="349">
                  <c:v>0.98162718344766398</c:v>
                </c:pt>
                <c:pt idx="350">
                  <c:v>0.98480775301220791</c:v>
                </c:pt>
                <c:pt idx="351">
                  <c:v>0.98768834059513766</c:v>
                </c:pt>
                <c:pt idx="352">
                  <c:v>0.99026806874157025</c:v>
                </c:pt>
                <c:pt idx="353">
                  <c:v>0.99254615164132198</c:v>
                </c:pt>
                <c:pt idx="354">
                  <c:v>0.99452189536827329</c:v>
                </c:pt>
                <c:pt idx="355">
                  <c:v>0.99619469809174555</c:v>
                </c:pt>
                <c:pt idx="356">
                  <c:v>0.99756405025982431</c:v>
                </c:pt>
                <c:pt idx="357">
                  <c:v>0.99862953475457383</c:v>
                </c:pt>
                <c:pt idx="358">
                  <c:v>0.99939082701909576</c:v>
                </c:pt>
                <c:pt idx="359">
                  <c:v>0.99984769515639127</c:v>
                </c:pt>
                <c:pt idx="3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BC-4A7A-B7A5-55F4DD431033}"/>
            </c:ext>
          </c:extLst>
        </c:ser>
        <c:ser>
          <c:idx val="0"/>
          <c:order val="2"/>
          <c:tx>
            <c:strRef>
              <c:f>Trigonometrica!$F$17</c:f>
              <c:strCache>
                <c:ptCount val="1"/>
                <c:pt idx="0">
                  <c:v>TAN(x)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Trigonometrica!$F$18:$F$378</c:f>
              <c:numCache>
                <c:formatCode>General</c:formatCode>
                <c:ptCount val="361"/>
                <c:pt idx="0">
                  <c:v>0</c:v>
                </c:pt>
                <c:pt idx="1">
                  <c:v>1.7455064928217585E-2</c:v>
                </c:pt>
                <c:pt idx="2">
                  <c:v>3.492076949174773E-2</c:v>
                </c:pt>
                <c:pt idx="3">
                  <c:v>5.2407779283041196E-2</c:v>
                </c:pt>
                <c:pt idx="4">
                  <c:v>6.9926811943510414E-2</c:v>
                </c:pt>
                <c:pt idx="5">
                  <c:v>8.7488663525924007E-2</c:v>
                </c:pt>
                <c:pt idx="6">
                  <c:v>0.10510423526567646</c:v>
                </c:pt>
                <c:pt idx="7">
                  <c:v>0.1227845609029046</c:v>
                </c:pt>
                <c:pt idx="8">
                  <c:v>0.14054083470239145</c:v>
                </c:pt>
                <c:pt idx="9">
                  <c:v>0.15838444032453627</c:v>
                </c:pt>
                <c:pt idx="10">
                  <c:v>0.17632698070846498</c:v>
                </c:pt>
                <c:pt idx="11">
                  <c:v>0.19438030913771848</c:v>
                </c:pt>
                <c:pt idx="12">
                  <c:v>0.2125565616700221</c:v>
                </c:pt>
                <c:pt idx="13">
                  <c:v>0.23086819112556312</c:v>
                </c:pt>
                <c:pt idx="14">
                  <c:v>0.24932800284318068</c:v>
                </c:pt>
                <c:pt idx="15">
                  <c:v>0.2679491924311227</c:v>
                </c:pt>
                <c:pt idx="16">
                  <c:v>0.28674538575880792</c:v>
                </c:pt>
                <c:pt idx="17">
                  <c:v>0.30573068145866039</c:v>
                </c:pt>
                <c:pt idx="18">
                  <c:v>0.32491969623290629</c:v>
                </c:pt>
                <c:pt idx="19">
                  <c:v>0.34432761328966521</c:v>
                </c:pt>
                <c:pt idx="20">
                  <c:v>0.36397023426620234</c:v>
                </c:pt>
                <c:pt idx="21">
                  <c:v>0.38386403503541577</c:v>
                </c:pt>
                <c:pt idx="22">
                  <c:v>0.40402622583515679</c:v>
                </c:pt>
                <c:pt idx="23">
                  <c:v>0.4244748162096047</c:v>
                </c:pt>
                <c:pt idx="24">
                  <c:v>0.4452286853085361</c:v>
                </c:pt>
                <c:pt idx="25">
                  <c:v>0.46630765815499858</c:v>
                </c:pt>
                <c:pt idx="26">
                  <c:v>0.48773258856586144</c:v>
                </c:pt>
                <c:pt idx="27">
                  <c:v>0.50952544949442879</c:v>
                </c:pt>
                <c:pt idx="28">
                  <c:v>0.53170943166147877</c:v>
                </c:pt>
                <c:pt idx="29">
                  <c:v>0.55430905145276899</c:v>
                </c:pt>
                <c:pt idx="30">
                  <c:v>0.57735026918962573</c:v>
                </c:pt>
                <c:pt idx="31">
                  <c:v>0.60086061902756038</c:v>
                </c:pt>
                <c:pt idx="32">
                  <c:v>0.62486935190932746</c:v>
                </c:pt>
                <c:pt idx="33">
                  <c:v>0.64940759319751062</c:v>
                </c:pt>
                <c:pt idx="34">
                  <c:v>0.67450851684242674</c:v>
                </c:pt>
                <c:pt idx="35">
                  <c:v>0.70020753820970971</c:v>
                </c:pt>
                <c:pt idx="36">
                  <c:v>0.7265425280053609</c:v>
                </c:pt>
                <c:pt idx="37">
                  <c:v>0.75355405010279419</c:v>
                </c:pt>
                <c:pt idx="38">
                  <c:v>0.78128562650671729</c:v>
                </c:pt>
                <c:pt idx="39">
                  <c:v>0.80978403319500702</c:v>
                </c:pt>
                <c:pt idx="40">
                  <c:v>0.83909963117727993</c:v>
                </c:pt>
                <c:pt idx="41">
                  <c:v>0.86928673781622645</c:v>
                </c:pt>
                <c:pt idx="42">
                  <c:v>0.90040404429783993</c:v>
                </c:pt>
                <c:pt idx="43">
                  <c:v>0.93251508613766154</c:v>
                </c:pt>
                <c:pt idx="44">
                  <c:v>0.96568877480707394</c:v>
                </c:pt>
                <c:pt idx="45">
                  <c:v>0.99999999999999989</c:v>
                </c:pt>
                <c:pt idx="46">
                  <c:v>1.0355303137905694</c:v>
                </c:pt>
                <c:pt idx="47">
                  <c:v>1.0723687100246826</c:v>
                </c:pt>
                <c:pt idx="48">
                  <c:v>1.1106125148291928</c:v>
                </c:pt>
                <c:pt idx="49">
                  <c:v>1.1503684072210094</c:v>
                </c:pt>
                <c:pt idx="50">
                  <c:v>1.19175359259421</c:v>
                </c:pt>
                <c:pt idx="51">
                  <c:v>1.2348971565350511</c:v>
                </c:pt>
                <c:pt idx="52">
                  <c:v>1.2799416321930788</c:v>
                </c:pt>
                <c:pt idx="53">
                  <c:v>1.3270448216204098</c:v>
                </c:pt>
                <c:pt idx="54">
                  <c:v>1.3763819204711734</c:v>
                </c:pt>
                <c:pt idx="55">
                  <c:v>1.4281480067421144</c:v>
                </c:pt>
                <c:pt idx="56">
                  <c:v>1.4825609685127403</c:v>
                </c:pt>
                <c:pt idx="57">
                  <c:v>1.5398649638145827</c:v>
                </c:pt>
                <c:pt idx="58">
                  <c:v>1.6003345290410507</c:v>
                </c:pt>
                <c:pt idx="59">
                  <c:v>1.6642794823505174</c:v>
                </c:pt>
                <c:pt idx="60">
                  <c:v>1.7320508075688767</c:v>
                </c:pt>
                <c:pt idx="61">
                  <c:v>1.8040477552714236</c:v>
                </c:pt>
                <c:pt idx="62">
                  <c:v>1.8807264653463318</c:v>
                </c:pt>
                <c:pt idx="63">
                  <c:v>1.9626105055051504</c:v>
                </c:pt>
                <c:pt idx="64">
                  <c:v>2.050303841579296</c:v>
                </c:pt>
                <c:pt idx="65">
                  <c:v>2.1445069205095586</c:v>
                </c:pt>
                <c:pt idx="66">
                  <c:v>2.2460367739042164</c:v>
                </c:pt>
                <c:pt idx="67">
                  <c:v>2.3558523658237518</c:v>
                </c:pt>
                <c:pt idx="68">
                  <c:v>2.4750868534162964</c:v>
                </c:pt>
                <c:pt idx="69">
                  <c:v>2.6050890646938005</c:v>
                </c:pt>
                <c:pt idx="70">
                  <c:v>2.7474774194546216</c:v>
                </c:pt>
                <c:pt idx="71">
                  <c:v>2.9042108776758222</c:v>
                </c:pt>
                <c:pt idx="72">
                  <c:v>3.0776835371752527</c:v>
                </c:pt>
                <c:pt idx="73">
                  <c:v>3.2708526184841404</c:v>
                </c:pt>
                <c:pt idx="74">
                  <c:v>3.4874144438409087</c:v>
                </c:pt>
                <c:pt idx="75">
                  <c:v>3.7320508075688776</c:v>
                </c:pt>
                <c:pt idx="76">
                  <c:v>4.010780933535842</c:v>
                </c:pt>
                <c:pt idx="77">
                  <c:v>4.3314758742841573</c:v>
                </c:pt>
                <c:pt idx="78">
                  <c:v>4.7046301094784511</c:v>
                </c:pt>
                <c:pt idx="79">
                  <c:v>5.1445540159703071</c:v>
                </c:pt>
                <c:pt idx="80">
                  <c:v>5.6712818196177066</c:v>
                </c:pt>
                <c:pt idx="81">
                  <c:v>6.3137515146750411</c:v>
                </c:pt>
                <c:pt idx="82">
                  <c:v>7.1153697223841954</c:v>
                </c:pt>
                <c:pt idx="83">
                  <c:v>8.1443464279745932</c:v>
                </c:pt>
                <c:pt idx="84">
                  <c:v>9.5143644542225871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-11</c:v>
                </c:pt>
                <c:pt idx="92">
                  <c:v>-11</c:v>
                </c:pt>
                <c:pt idx="93">
                  <c:v>-11</c:v>
                </c:pt>
                <c:pt idx="94">
                  <c:v>-11</c:v>
                </c:pt>
                <c:pt idx="95">
                  <c:v>-11</c:v>
                </c:pt>
                <c:pt idx="96">
                  <c:v>-9.5143644542225978</c:v>
                </c:pt>
                <c:pt idx="97">
                  <c:v>-8.1443464279746021</c:v>
                </c:pt>
                <c:pt idx="98">
                  <c:v>-7.1153697223842132</c:v>
                </c:pt>
                <c:pt idx="99">
                  <c:v>-6.3137515146750367</c:v>
                </c:pt>
                <c:pt idx="100">
                  <c:v>-5.6712818196177111</c:v>
                </c:pt>
                <c:pt idx="101">
                  <c:v>-5.1445540159703107</c:v>
                </c:pt>
                <c:pt idx="102">
                  <c:v>-4.7046301094784591</c:v>
                </c:pt>
                <c:pt idx="103">
                  <c:v>-4.331475874284159</c:v>
                </c:pt>
                <c:pt idx="104">
                  <c:v>-4.0107809335358438</c:v>
                </c:pt>
                <c:pt idx="105">
                  <c:v>-3.7320508075688763</c:v>
                </c:pt>
                <c:pt idx="106">
                  <c:v>-3.48741444384091</c:v>
                </c:pt>
                <c:pt idx="107">
                  <c:v>-3.2708526184841422</c:v>
                </c:pt>
                <c:pt idx="108">
                  <c:v>-3.077683537175254</c:v>
                </c:pt>
                <c:pt idx="109">
                  <c:v>-2.9042108776758253</c:v>
                </c:pt>
                <c:pt idx="110">
                  <c:v>-2.7474774194546225</c:v>
                </c:pt>
                <c:pt idx="111">
                  <c:v>-2.6050890646938014</c:v>
                </c:pt>
                <c:pt idx="112">
                  <c:v>-2.4750868534162955</c:v>
                </c:pt>
                <c:pt idx="113">
                  <c:v>-2.355852365823754</c:v>
                </c:pt>
                <c:pt idx="114">
                  <c:v>-2.2460367739042169</c:v>
                </c:pt>
                <c:pt idx="115">
                  <c:v>-2.1445069205095595</c:v>
                </c:pt>
                <c:pt idx="116">
                  <c:v>-2.0503038415792956</c:v>
                </c:pt>
                <c:pt idx="117">
                  <c:v>-1.962610505505151</c:v>
                </c:pt>
                <c:pt idx="118">
                  <c:v>-1.8807264653463334</c:v>
                </c:pt>
                <c:pt idx="119">
                  <c:v>-1.804047755271424</c:v>
                </c:pt>
                <c:pt idx="120">
                  <c:v>-1.7320508075688783</c:v>
                </c:pt>
                <c:pt idx="121">
                  <c:v>-1.6642794823505178</c:v>
                </c:pt>
                <c:pt idx="122">
                  <c:v>-1.6003345290410511</c:v>
                </c:pt>
                <c:pt idx="123">
                  <c:v>-1.5398649638145827</c:v>
                </c:pt>
                <c:pt idx="124">
                  <c:v>-1.4825609685127408</c:v>
                </c:pt>
                <c:pt idx="125">
                  <c:v>-1.4281480067421155</c:v>
                </c:pt>
                <c:pt idx="126">
                  <c:v>-1.3763819204711738</c:v>
                </c:pt>
                <c:pt idx="127">
                  <c:v>-1.3270448216204096</c:v>
                </c:pt>
                <c:pt idx="128">
                  <c:v>-1.2799416321930788</c:v>
                </c:pt>
                <c:pt idx="129">
                  <c:v>-1.2348971565350519</c:v>
                </c:pt>
                <c:pt idx="130">
                  <c:v>-1.19175359259421</c:v>
                </c:pt>
                <c:pt idx="131">
                  <c:v>-1.150368407221009</c:v>
                </c:pt>
                <c:pt idx="132">
                  <c:v>-1.1106125148291928</c:v>
                </c:pt>
                <c:pt idx="133">
                  <c:v>-1.0723687100246828</c:v>
                </c:pt>
                <c:pt idx="134">
                  <c:v>-1.0355303137905703</c:v>
                </c:pt>
                <c:pt idx="135">
                  <c:v>-1.0000000000000002</c:v>
                </c:pt>
                <c:pt idx="136">
                  <c:v>-0.96568877480707371</c:v>
                </c:pt>
                <c:pt idx="137">
                  <c:v>-0.93251508613766176</c:v>
                </c:pt>
                <c:pt idx="138">
                  <c:v>-0.90040404429784038</c:v>
                </c:pt>
                <c:pt idx="139">
                  <c:v>-0.86928673781622667</c:v>
                </c:pt>
                <c:pt idx="140">
                  <c:v>-0.83909963117728037</c:v>
                </c:pt>
                <c:pt idx="141">
                  <c:v>-0.8097840331950078</c:v>
                </c:pt>
                <c:pt idx="142">
                  <c:v>-0.78128562650671762</c:v>
                </c:pt>
                <c:pt idx="143">
                  <c:v>-0.75355405010279397</c:v>
                </c:pt>
                <c:pt idx="144">
                  <c:v>-0.72654252800536101</c:v>
                </c:pt>
                <c:pt idx="145">
                  <c:v>-0.70020753820971027</c:v>
                </c:pt>
                <c:pt idx="146">
                  <c:v>-0.67450851684242674</c:v>
                </c:pt>
                <c:pt idx="147">
                  <c:v>-0.64940759319751029</c:v>
                </c:pt>
                <c:pt idx="148">
                  <c:v>-0.62486935190932746</c:v>
                </c:pt>
                <c:pt idx="149">
                  <c:v>-0.60086061902756072</c:v>
                </c:pt>
                <c:pt idx="150">
                  <c:v>-0.57735026918962573</c:v>
                </c:pt>
                <c:pt idx="151">
                  <c:v>-0.5543090514527691</c:v>
                </c:pt>
                <c:pt idx="152">
                  <c:v>-0.53170943166147921</c:v>
                </c:pt>
                <c:pt idx="153">
                  <c:v>-0.50952544949442891</c:v>
                </c:pt>
                <c:pt idx="154">
                  <c:v>-0.48773258856586127</c:v>
                </c:pt>
                <c:pt idx="155">
                  <c:v>-0.46630765815499864</c:v>
                </c:pt>
                <c:pt idx="156">
                  <c:v>-0.44522868530853649</c:v>
                </c:pt>
                <c:pt idx="157">
                  <c:v>-0.42447481620960525</c:v>
                </c:pt>
                <c:pt idx="158">
                  <c:v>-0.40402622583515707</c:v>
                </c:pt>
                <c:pt idx="159">
                  <c:v>-0.38386403503541577</c:v>
                </c:pt>
                <c:pt idx="160">
                  <c:v>-0.36397023426620256</c:v>
                </c:pt>
                <c:pt idx="161">
                  <c:v>-0.34432761328966566</c:v>
                </c:pt>
                <c:pt idx="162">
                  <c:v>-0.32491969623290645</c:v>
                </c:pt>
                <c:pt idx="163">
                  <c:v>-0.30573068145866067</c:v>
                </c:pt>
                <c:pt idx="164">
                  <c:v>-0.28674538575880848</c:v>
                </c:pt>
                <c:pt idx="165">
                  <c:v>-0.26794919243112297</c:v>
                </c:pt>
                <c:pt idx="166">
                  <c:v>-0.24932800284318071</c:v>
                </c:pt>
                <c:pt idx="167">
                  <c:v>-0.23086819112556287</c:v>
                </c:pt>
                <c:pt idx="168">
                  <c:v>-0.2125565616700221</c:v>
                </c:pt>
                <c:pt idx="169">
                  <c:v>-0.19438030913771864</c:v>
                </c:pt>
                <c:pt idx="170">
                  <c:v>-0.17632698070846489</c:v>
                </c:pt>
                <c:pt idx="171">
                  <c:v>-0.15838444032453641</c:v>
                </c:pt>
                <c:pt idx="172">
                  <c:v>-0.14054083470239176</c:v>
                </c:pt>
                <c:pt idx="173">
                  <c:v>-0.12278456090290465</c:v>
                </c:pt>
                <c:pt idx="174">
                  <c:v>-0.10510423526567673</c:v>
                </c:pt>
                <c:pt idx="175">
                  <c:v>-8.7488663525924479E-2</c:v>
                </c:pt>
                <c:pt idx="176">
                  <c:v>-6.9926811943510636E-2</c:v>
                </c:pt>
                <c:pt idx="177">
                  <c:v>-5.2407779283041175E-2</c:v>
                </c:pt>
                <c:pt idx="178">
                  <c:v>-3.492076949174746E-2</c:v>
                </c:pt>
                <c:pt idx="179">
                  <c:v>-1.7455064928217509E-2</c:v>
                </c:pt>
                <c:pt idx="180">
                  <c:v>-1.22514845490862E-16</c:v>
                </c:pt>
                <c:pt idx="181">
                  <c:v>1.7455064928217266E-2</c:v>
                </c:pt>
                <c:pt idx="182">
                  <c:v>3.4920769491747654E-2</c:v>
                </c:pt>
                <c:pt idx="183">
                  <c:v>5.2407779283040933E-2</c:v>
                </c:pt>
                <c:pt idx="184">
                  <c:v>6.9926811943509942E-2</c:v>
                </c:pt>
                <c:pt idx="185">
                  <c:v>8.7488663525923785E-2</c:v>
                </c:pt>
                <c:pt idx="186">
                  <c:v>0.10510423526567604</c:v>
                </c:pt>
                <c:pt idx="187">
                  <c:v>0.12278456090290486</c:v>
                </c:pt>
                <c:pt idx="188">
                  <c:v>0.14054083470239151</c:v>
                </c:pt>
                <c:pt idx="189">
                  <c:v>0.15838444032453616</c:v>
                </c:pt>
                <c:pt idx="190">
                  <c:v>0.17632698070846509</c:v>
                </c:pt>
                <c:pt idx="191">
                  <c:v>0.19438030913771839</c:v>
                </c:pt>
                <c:pt idx="192">
                  <c:v>0.21255656167002182</c:v>
                </c:pt>
                <c:pt idx="193">
                  <c:v>0.23086819112556309</c:v>
                </c:pt>
                <c:pt idx="194">
                  <c:v>0.24932800284318044</c:v>
                </c:pt>
                <c:pt idx="195">
                  <c:v>0.26794919243112225</c:v>
                </c:pt>
                <c:pt idx="196">
                  <c:v>0.28674538575880776</c:v>
                </c:pt>
                <c:pt idx="197">
                  <c:v>0.30573068145865995</c:v>
                </c:pt>
                <c:pt idx="198">
                  <c:v>0.32491969623290667</c:v>
                </c:pt>
                <c:pt idx="199">
                  <c:v>0.34432761328966538</c:v>
                </c:pt>
                <c:pt idx="200">
                  <c:v>0.36397023426620229</c:v>
                </c:pt>
                <c:pt idx="201">
                  <c:v>0.383864035035416</c:v>
                </c:pt>
                <c:pt idx="202">
                  <c:v>0.40402622583515679</c:v>
                </c:pt>
                <c:pt idx="203">
                  <c:v>0.42447481620960448</c:v>
                </c:pt>
                <c:pt idx="204">
                  <c:v>0.44522868530853565</c:v>
                </c:pt>
                <c:pt idx="205">
                  <c:v>0.46630765815499836</c:v>
                </c:pt>
                <c:pt idx="206">
                  <c:v>0.48773258856586094</c:v>
                </c:pt>
                <c:pt idx="207">
                  <c:v>0.50952544949442813</c:v>
                </c:pt>
                <c:pt idx="208">
                  <c:v>0.53170943166147888</c:v>
                </c:pt>
                <c:pt idx="209">
                  <c:v>0.55430905145276876</c:v>
                </c:pt>
                <c:pt idx="210">
                  <c:v>0.57735026918962595</c:v>
                </c:pt>
                <c:pt idx="211">
                  <c:v>0.60086061902756038</c:v>
                </c:pt>
                <c:pt idx="212">
                  <c:v>0.62486935190932713</c:v>
                </c:pt>
                <c:pt idx="213">
                  <c:v>0.64940759319751062</c:v>
                </c:pt>
                <c:pt idx="214">
                  <c:v>0.6745085168424263</c:v>
                </c:pt>
                <c:pt idx="215">
                  <c:v>0.70020753820970916</c:v>
                </c:pt>
                <c:pt idx="216">
                  <c:v>0.72654252800536068</c:v>
                </c:pt>
                <c:pt idx="217">
                  <c:v>0.75355405010279364</c:v>
                </c:pt>
                <c:pt idx="218">
                  <c:v>0.78128562650671651</c:v>
                </c:pt>
                <c:pt idx="219">
                  <c:v>0.80978403319500736</c:v>
                </c:pt>
                <c:pt idx="220">
                  <c:v>0.83909963117727993</c:v>
                </c:pt>
                <c:pt idx="221">
                  <c:v>0.86928673781622701</c:v>
                </c:pt>
                <c:pt idx="222">
                  <c:v>0.90040404429783993</c:v>
                </c:pt>
                <c:pt idx="223">
                  <c:v>0.93251508613766132</c:v>
                </c:pt>
                <c:pt idx="224">
                  <c:v>0.96568877480707416</c:v>
                </c:pt>
                <c:pt idx="225">
                  <c:v>0.99999999999999967</c:v>
                </c:pt>
                <c:pt idx="226">
                  <c:v>1.0355303137905687</c:v>
                </c:pt>
                <c:pt idx="227">
                  <c:v>1.0723687100246813</c:v>
                </c:pt>
                <c:pt idx="228">
                  <c:v>1.1106125148291921</c:v>
                </c:pt>
                <c:pt idx="229">
                  <c:v>1.1503684072210083</c:v>
                </c:pt>
                <c:pt idx="230">
                  <c:v>1.1917535925942093</c:v>
                </c:pt>
                <c:pt idx="231">
                  <c:v>1.2348971565350524</c:v>
                </c:pt>
                <c:pt idx="232">
                  <c:v>1.2799416321930794</c:v>
                </c:pt>
                <c:pt idx="233">
                  <c:v>1.32704482162041</c:v>
                </c:pt>
                <c:pt idx="234">
                  <c:v>1.3763819204711731</c:v>
                </c:pt>
                <c:pt idx="235">
                  <c:v>1.4281480067421135</c:v>
                </c:pt>
                <c:pt idx="236">
                  <c:v>1.4825609685127386</c:v>
                </c:pt>
                <c:pt idx="237">
                  <c:v>1.5398649638145834</c:v>
                </c:pt>
                <c:pt idx="238">
                  <c:v>1.6003345290410502</c:v>
                </c:pt>
                <c:pt idx="239">
                  <c:v>1.6642794823505169</c:v>
                </c:pt>
                <c:pt idx="240">
                  <c:v>1.7320508075688754</c:v>
                </c:pt>
                <c:pt idx="241">
                  <c:v>1.8040477552714249</c:v>
                </c:pt>
                <c:pt idx="242">
                  <c:v>1.8807264653463323</c:v>
                </c:pt>
                <c:pt idx="243">
                  <c:v>1.9626105055051497</c:v>
                </c:pt>
                <c:pt idx="244">
                  <c:v>2.0503038415792942</c:v>
                </c:pt>
                <c:pt idx="245">
                  <c:v>2.1445069205095555</c:v>
                </c:pt>
                <c:pt idx="246">
                  <c:v>2.2460367739042169</c:v>
                </c:pt>
                <c:pt idx="247">
                  <c:v>2.3558523658237522</c:v>
                </c:pt>
                <c:pt idx="248">
                  <c:v>2.4750868534162938</c:v>
                </c:pt>
                <c:pt idx="249">
                  <c:v>2.6050890646937979</c:v>
                </c:pt>
                <c:pt idx="250">
                  <c:v>2.7474774194546168</c:v>
                </c:pt>
                <c:pt idx="251">
                  <c:v>2.9042108776758231</c:v>
                </c:pt>
                <c:pt idx="252">
                  <c:v>3.0776835371752518</c:v>
                </c:pt>
                <c:pt idx="253">
                  <c:v>3.2708526184841364</c:v>
                </c:pt>
                <c:pt idx="254">
                  <c:v>3.4874144438409127</c:v>
                </c:pt>
                <c:pt idx="255">
                  <c:v>3.732050807568879</c:v>
                </c:pt>
                <c:pt idx="256">
                  <c:v>4.0107809335358438</c:v>
                </c:pt>
                <c:pt idx="257">
                  <c:v>4.3314758742841502</c:v>
                </c:pt>
                <c:pt idx="258">
                  <c:v>4.7046301094784431</c:v>
                </c:pt>
                <c:pt idx="259">
                  <c:v>5.144554015970292</c:v>
                </c:pt>
                <c:pt idx="260">
                  <c:v>5.6712818196177102</c:v>
                </c:pt>
                <c:pt idx="261">
                  <c:v>6.3137515146750358</c:v>
                </c:pt>
                <c:pt idx="262">
                  <c:v>7.1153697223842354</c:v>
                </c:pt>
                <c:pt idx="263">
                  <c:v>8.1443464279746145</c:v>
                </c:pt>
                <c:pt idx="264">
                  <c:v>9.514364454222596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-11</c:v>
                </c:pt>
                <c:pt idx="272">
                  <c:v>-11</c:v>
                </c:pt>
                <c:pt idx="273">
                  <c:v>-11</c:v>
                </c:pt>
                <c:pt idx="274">
                  <c:v>-11</c:v>
                </c:pt>
                <c:pt idx="275">
                  <c:v>-11</c:v>
                </c:pt>
                <c:pt idx="276">
                  <c:v>-9.5143644542226298</c:v>
                </c:pt>
                <c:pt idx="277">
                  <c:v>-8.1443464279745807</c:v>
                </c:pt>
                <c:pt idx="278">
                  <c:v>-7.1153697223842087</c:v>
                </c:pt>
                <c:pt idx="279">
                  <c:v>-6.3137515146750509</c:v>
                </c:pt>
                <c:pt idx="280">
                  <c:v>-5.6712818196177226</c:v>
                </c:pt>
                <c:pt idx="281">
                  <c:v>-5.1445540159703258</c:v>
                </c:pt>
                <c:pt idx="282">
                  <c:v>-4.7046301094784724</c:v>
                </c:pt>
                <c:pt idx="283">
                  <c:v>-4.3314758742841573</c:v>
                </c:pt>
                <c:pt idx="284">
                  <c:v>-4.01078093353585</c:v>
                </c:pt>
                <c:pt idx="285">
                  <c:v>-3.7320508075688714</c:v>
                </c:pt>
                <c:pt idx="286">
                  <c:v>-3.487414443840906</c:v>
                </c:pt>
                <c:pt idx="287">
                  <c:v>-3.2708526184841409</c:v>
                </c:pt>
                <c:pt idx="288">
                  <c:v>-3.0776835371752553</c:v>
                </c:pt>
                <c:pt idx="289">
                  <c:v>-2.9042108776758266</c:v>
                </c:pt>
                <c:pt idx="290">
                  <c:v>-2.7474774194546274</c:v>
                </c:pt>
                <c:pt idx="291">
                  <c:v>-2.6050890646938076</c:v>
                </c:pt>
                <c:pt idx="292">
                  <c:v>-2.4750868534162964</c:v>
                </c:pt>
                <c:pt idx="293">
                  <c:v>-2.3558523658237549</c:v>
                </c:pt>
                <c:pt idx="294">
                  <c:v>-2.2460367739042137</c:v>
                </c:pt>
                <c:pt idx="295">
                  <c:v>-2.1445069205095577</c:v>
                </c:pt>
                <c:pt idx="296">
                  <c:v>-2.0503038415792965</c:v>
                </c:pt>
                <c:pt idx="297">
                  <c:v>-1.9626105055051515</c:v>
                </c:pt>
                <c:pt idx="298">
                  <c:v>-1.8807264653463338</c:v>
                </c:pt>
                <c:pt idx="299">
                  <c:v>-1.8040477552714265</c:v>
                </c:pt>
                <c:pt idx="300">
                  <c:v>-1.732050807568877</c:v>
                </c:pt>
                <c:pt idx="301">
                  <c:v>-1.6642794823505183</c:v>
                </c:pt>
                <c:pt idx="302">
                  <c:v>-1.6003345290410513</c:v>
                </c:pt>
                <c:pt idx="303">
                  <c:v>-1.5398649638145847</c:v>
                </c:pt>
                <c:pt idx="304">
                  <c:v>-1.4825609685127425</c:v>
                </c:pt>
                <c:pt idx="305">
                  <c:v>-1.4281480067421146</c:v>
                </c:pt>
                <c:pt idx="306">
                  <c:v>-1.3763819204711742</c:v>
                </c:pt>
                <c:pt idx="307">
                  <c:v>-1.3270448216204112</c:v>
                </c:pt>
                <c:pt idx="308">
                  <c:v>-1.2799416321930781</c:v>
                </c:pt>
                <c:pt idx="309">
                  <c:v>-1.2348971565350513</c:v>
                </c:pt>
                <c:pt idx="310">
                  <c:v>-1.1917535925942102</c:v>
                </c:pt>
                <c:pt idx="311">
                  <c:v>-1.1503684072210103</c:v>
                </c:pt>
                <c:pt idx="312">
                  <c:v>-1.1106125148291941</c:v>
                </c:pt>
                <c:pt idx="313">
                  <c:v>-1.0723687100246841</c:v>
                </c:pt>
                <c:pt idx="314">
                  <c:v>-1.0355303137905714</c:v>
                </c:pt>
                <c:pt idx="315">
                  <c:v>-1.0000000000000004</c:v>
                </c:pt>
                <c:pt idx="316">
                  <c:v>-0.96568877480707482</c:v>
                </c:pt>
                <c:pt idx="317">
                  <c:v>-0.93251508613766121</c:v>
                </c:pt>
                <c:pt idx="318">
                  <c:v>-0.90040404429783982</c:v>
                </c:pt>
                <c:pt idx="319">
                  <c:v>-0.8692867378162269</c:v>
                </c:pt>
                <c:pt idx="320">
                  <c:v>-0.83909963117728059</c:v>
                </c:pt>
                <c:pt idx="321">
                  <c:v>-0.80978403319500802</c:v>
                </c:pt>
                <c:pt idx="322">
                  <c:v>-0.78128562650671851</c:v>
                </c:pt>
                <c:pt idx="323">
                  <c:v>-0.75355405010279419</c:v>
                </c:pt>
                <c:pt idx="324">
                  <c:v>-0.72654252800536123</c:v>
                </c:pt>
                <c:pt idx="325">
                  <c:v>-0.70020753820971038</c:v>
                </c:pt>
                <c:pt idx="326">
                  <c:v>-0.67450851684242752</c:v>
                </c:pt>
                <c:pt idx="327">
                  <c:v>-0.64940759319751051</c:v>
                </c:pt>
                <c:pt idx="328">
                  <c:v>-0.62486935190932891</c:v>
                </c:pt>
                <c:pt idx="329">
                  <c:v>-0.60086061902756083</c:v>
                </c:pt>
                <c:pt idx="330">
                  <c:v>-0.57735026918962651</c:v>
                </c:pt>
                <c:pt idx="331">
                  <c:v>-0.55430905145276865</c:v>
                </c:pt>
                <c:pt idx="332">
                  <c:v>-0.53170943166147877</c:v>
                </c:pt>
                <c:pt idx="333">
                  <c:v>-0.50952544949442913</c:v>
                </c:pt>
                <c:pt idx="334">
                  <c:v>-0.48773258856586083</c:v>
                </c:pt>
                <c:pt idx="335">
                  <c:v>-0.46630765815499936</c:v>
                </c:pt>
                <c:pt idx="336">
                  <c:v>-0.4452286853085361</c:v>
                </c:pt>
                <c:pt idx="337">
                  <c:v>-0.42447481620960592</c:v>
                </c:pt>
                <c:pt idx="338">
                  <c:v>-0.40402622583515718</c:v>
                </c:pt>
                <c:pt idx="339">
                  <c:v>-0.38386403503541638</c:v>
                </c:pt>
                <c:pt idx="340">
                  <c:v>-0.36397023426620218</c:v>
                </c:pt>
                <c:pt idx="341">
                  <c:v>-0.34432761328966627</c:v>
                </c:pt>
                <c:pt idx="342">
                  <c:v>-0.32491969623290656</c:v>
                </c:pt>
                <c:pt idx="343">
                  <c:v>-0.30573068145865984</c:v>
                </c:pt>
                <c:pt idx="344">
                  <c:v>-0.28674538575880865</c:v>
                </c:pt>
                <c:pt idx="345">
                  <c:v>-0.26794919243112264</c:v>
                </c:pt>
                <c:pt idx="346">
                  <c:v>-0.24932800284318082</c:v>
                </c:pt>
                <c:pt idx="347">
                  <c:v>-0.23086819112556348</c:v>
                </c:pt>
                <c:pt idx="348">
                  <c:v>-0.21255656167002268</c:v>
                </c:pt>
                <c:pt idx="349">
                  <c:v>-0.19438030913771831</c:v>
                </c:pt>
                <c:pt idx="350">
                  <c:v>-0.17632698070846592</c:v>
                </c:pt>
                <c:pt idx="351">
                  <c:v>-0.15838444032453655</c:v>
                </c:pt>
                <c:pt idx="352">
                  <c:v>-0.1405408347023919</c:v>
                </c:pt>
                <c:pt idx="353">
                  <c:v>-0.12278456090290524</c:v>
                </c:pt>
                <c:pt idx="354">
                  <c:v>-0.1051042352656764</c:v>
                </c:pt>
                <c:pt idx="355">
                  <c:v>-8.7488663525924146E-2</c:v>
                </c:pt>
                <c:pt idx="356">
                  <c:v>-6.9926811943509859E-2</c:v>
                </c:pt>
                <c:pt idx="357">
                  <c:v>-5.2407779283041744E-2</c:v>
                </c:pt>
                <c:pt idx="358">
                  <c:v>-3.4920769491747577E-2</c:v>
                </c:pt>
                <c:pt idx="359">
                  <c:v>-1.7455064928218522E-2</c:v>
                </c:pt>
                <c:pt idx="360">
                  <c:v>-2.45029690981724E-16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C-4A7A-B7A5-55F4DD431033}"/>
            </c:ext>
          </c:extLst>
        </c:ser>
        <c:ser>
          <c:idx val="1"/>
          <c:order val="3"/>
          <c:tx>
            <c:strRef>
              <c:f>Trigonometrica!$G$17</c:f>
              <c:strCache>
                <c:ptCount val="1"/>
                <c:pt idx="0">
                  <c:v>COT(x)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Trigonometrica!$G$18:$G$378</c:f>
              <c:numCache>
                <c:formatCode>General</c:formatCode>
                <c:ptCount val="361"/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9.5143644542225854</c:v>
                </c:pt>
                <c:pt idx="7">
                  <c:v>8.1443464279745932</c:v>
                </c:pt>
                <c:pt idx="8">
                  <c:v>7.1153697223842087</c:v>
                </c:pt>
                <c:pt idx="9">
                  <c:v>6.3137515146750438</c:v>
                </c:pt>
                <c:pt idx="10">
                  <c:v>5.6712818196177093</c:v>
                </c:pt>
                <c:pt idx="11">
                  <c:v>5.1445540159703107</c:v>
                </c:pt>
                <c:pt idx="12">
                  <c:v>4.7046301094784546</c:v>
                </c:pt>
                <c:pt idx="13">
                  <c:v>4.3314758742841555</c:v>
                </c:pt>
                <c:pt idx="14">
                  <c:v>4.0107809335358446</c:v>
                </c:pt>
                <c:pt idx="15">
                  <c:v>3.7320508075688776</c:v>
                </c:pt>
                <c:pt idx="16">
                  <c:v>3.4874144438409087</c:v>
                </c:pt>
                <c:pt idx="17">
                  <c:v>3.2708526184841404</c:v>
                </c:pt>
                <c:pt idx="18">
                  <c:v>3.077683537175254</c:v>
                </c:pt>
                <c:pt idx="19">
                  <c:v>2.9042108776758231</c:v>
                </c:pt>
                <c:pt idx="20">
                  <c:v>2.7474774194546225</c:v>
                </c:pt>
                <c:pt idx="21">
                  <c:v>2.6050890646938019</c:v>
                </c:pt>
                <c:pt idx="22">
                  <c:v>2.475086853416296</c:v>
                </c:pt>
                <c:pt idx="23">
                  <c:v>2.3558523658237531</c:v>
                </c:pt>
                <c:pt idx="24">
                  <c:v>2.2460367739042164</c:v>
                </c:pt>
                <c:pt idx="25">
                  <c:v>2.1445069205095586</c:v>
                </c:pt>
                <c:pt idx="26">
                  <c:v>2.050303841579296</c:v>
                </c:pt>
                <c:pt idx="27">
                  <c:v>1.9626105055051506</c:v>
                </c:pt>
                <c:pt idx="28">
                  <c:v>1.880726465346332</c:v>
                </c:pt>
                <c:pt idx="29">
                  <c:v>1.8040477552714238</c:v>
                </c:pt>
                <c:pt idx="30">
                  <c:v>1.7320508075688774</c:v>
                </c:pt>
                <c:pt idx="31">
                  <c:v>1.664279482350518</c:v>
                </c:pt>
                <c:pt idx="32">
                  <c:v>1.6003345290410504</c:v>
                </c:pt>
                <c:pt idx="33">
                  <c:v>1.5398649638145827</c:v>
                </c:pt>
                <c:pt idx="34">
                  <c:v>1.4825609685127401</c:v>
                </c:pt>
                <c:pt idx="35">
                  <c:v>1.4281480067421146</c:v>
                </c:pt>
                <c:pt idx="36">
                  <c:v>1.3763819204711736</c:v>
                </c:pt>
                <c:pt idx="37">
                  <c:v>1.32704482162041</c:v>
                </c:pt>
                <c:pt idx="38">
                  <c:v>1.279941632193079</c:v>
                </c:pt>
                <c:pt idx="39">
                  <c:v>1.2348971565350515</c:v>
                </c:pt>
                <c:pt idx="40">
                  <c:v>1.19175359259421</c:v>
                </c:pt>
                <c:pt idx="41">
                  <c:v>1.1503684072210099</c:v>
                </c:pt>
                <c:pt idx="42">
                  <c:v>1.110612514829193</c:v>
                </c:pt>
                <c:pt idx="43">
                  <c:v>1.0723687100246828</c:v>
                </c:pt>
                <c:pt idx="44">
                  <c:v>1.0355303137905696</c:v>
                </c:pt>
                <c:pt idx="45">
                  <c:v>1</c:v>
                </c:pt>
                <c:pt idx="46">
                  <c:v>0.96568877480707416</c:v>
                </c:pt>
                <c:pt idx="47">
                  <c:v>0.93251508613766165</c:v>
                </c:pt>
                <c:pt idx="48">
                  <c:v>0.90040404429784004</c:v>
                </c:pt>
                <c:pt idx="49">
                  <c:v>0.86928673781622678</c:v>
                </c:pt>
                <c:pt idx="50">
                  <c:v>0.83909963117728004</c:v>
                </c:pt>
                <c:pt idx="51">
                  <c:v>0.80978403319500736</c:v>
                </c:pt>
                <c:pt idx="52">
                  <c:v>0.7812856265067174</c:v>
                </c:pt>
                <c:pt idx="53">
                  <c:v>0.7535540501027943</c:v>
                </c:pt>
                <c:pt idx="54">
                  <c:v>0.72654252800536101</c:v>
                </c:pt>
                <c:pt idx="55">
                  <c:v>0.70020753820970982</c:v>
                </c:pt>
                <c:pt idx="56">
                  <c:v>0.67450851684242663</c:v>
                </c:pt>
                <c:pt idx="57">
                  <c:v>0.64940759319751062</c:v>
                </c:pt>
                <c:pt idx="58">
                  <c:v>0.62486935190932735</c:v>
                </c:pt>
                <c:pt idx="59">
                  <c:v>0.60086061902756061</c:v>
                </c:pt>
                <c:pt idx="60">
                  <c:v>0.57735026918962595</c:v>
                </c:pt>
                <c:pt idx="61">
                  <c:v>0.55430905145276899</c:v>
                </c:pt>
                <c:pt idx="62">
                  <c:v>0.53170943166147877</c:v>
                </c:pt>
                <c:pt idx="63">
                  <c:v>0.50952544949442891</c:v>
                </c:pt>
                <c:pt idx="64">
                  <c:v>0.48773258856586149</c:v>
                </c:pt>
                <c:pt idx="65">
                  <c:v>0.46630765815499858</c:v>
                </c:pt>
                <c:pt idx="66">
                  <c:v>0.4452286853085361</c:v>
                </c:pt>
                <c:pt idx="67">
                  <c:v>0.42447481620960492</c:v>
                </c:pt>
                <c:pt idx="68">
                  <c:v>0.40402622583515674</c:v>
                </c:pt>
                <c:pt idx="69">
                  <c:v>0.38386403503541594</c:v>
                </c:pt>
                <c:pt idx="70">
                  <c:v>0.36397023426620245</c:v>
                </c:pt>
                <c:pt idx="71">
                  <c:v>0.34432761328966532</c:v>
                </c:pt>
                <c:pt idx="72">
                  <c:v>0.3249196962329064</c:v>
                </c:pt>
                <c:pt idx="73">
                  <c:v>0.30573068145866039</c:v>
                </c:pt>
                <c:pt idx="74">
                  <c:v>0.28674538575880792</c:v>
                </c:pt>
                <c:pt idx="75">
                  <c:v>0.2679491924311227</c:v>
                </c:pt>
                <c:pt idx="76">
                  <c:v>0.24932800284318085</c:v>
                </c:pt>
                <c:pt idx="77">
                  <c:v>0.23086819112556303</c:v>
                </c:pt>
                <c:pt idx="78">
                  <c:v>0.21255656167002226</c:v>
                </c:pt>
                <c:pt idx="79">
                  <c:v>0.19438030913771859</c:v>
                </c:pt>
                <c:pt idx="80">
                  <c:v>0.17632698070846506</c:v>
                </c:pt>
                <c:pt idx="81">
                  <c:v>0.15838444032453633</c:v>
                </c:pt>
                <c:pt idx="82">
                  <c:v>0.1405408347023917</c:v>
                </c:pt>
                <c:pt idx="83">
                  <c:v>0.1227845609029046</c:v>
                </c:pt>
                <c:pt idx="84">
                  <c:v>0.10510423526567644</c:v>
                </c:pt>
                <c:pt idx="85">
                  <c:v>8.7488663525923965E-2</c:v>
                </c:pt>
                <c:pt idx="86">
                  <c:v>6.9926811943510567E-2</c:v>
                </c:pt>
                <c:pt idx="87">
                  <c:v>5.2407779283041342E-2</c:v>
                </c:pt>
                <c:pt idx="88">
                  <c:v>3.4920769491747841E-2</c:v>
                </c:pt>
                <c:pt idx="89">
                  <c:v>1.7455064928217447E-2</c:v>
                </c:pt>
                <c:pt idx="90">
                  <c:v>6.1257422745431001E-17</c:v>
                </c:pt>
                <c:pt idx="91">
                  <c:v>-1.7455064928217547E-2</c:v>
                </c:pt>
                <c:pt idx="92">
                  <c:v>-3.4920769491747494E-2</c:v>
                </c:pt>
                <c:pt idx="93">
                  <c:v>-5.2407779283040988E-2</c:v>
                </c:pt>
                <c:pt idx="94">
                  <c:v>-6.9926811943510456E-2</c:v>
                </c:pt>
                <c:pt idx="95">
                  <c:v>-8.7488663525924062E-2</c:v>
                </c:pt>
                <c:pt idx="96">
                  <c:v>-0.10510423526567632</c:v>
                </c:pt>
                <c:pt idx="97">
                  <c:v>-0.12278456090290447</c:v>
                </c:pt>
                <c:pt idx="98">
                  <c:v>-0.14054083470239137</c:v>
                </c:pt>
                <c:pt idx="99">
                  <c:v>-0.15838444032453644</c:v>
                </c:pt>
                <c:pt idx="100">
                  <c:v>-0.17632698070846492</c:v>
                </c:pt>
                <c:pt idx="101">
                  <c:v>-0.19438030913771848</c:v>
                </c:pt>
                <c:pt idx="102">
                  <c:v>-0.2125565616700219</c:v>
                </c:pt>
                <c:pt idx="103">
                  <c:v>-0.23086819112556292</c:v>
                </c:pt>
                <c:pt idx="104">
                  <c:v>-0.24932800284318074</c:v>
                </c:pt>
                <c:pt idx="105">
                  <c:v>-0.26794919243112275</c:v>
                </c:pt>
                <c:pt idx="106">
                  <c:v>-0.28674538575880781</c:v>
                </c:pt>
                <c:pt idx="107">
                  <c:v>-0.30573068145866023</c:v>
                </c:pt>
                <c:pt idx="108">
                  <c:v>-0.32491969623290629</c:v>
                </c:pt>
                <c:pt idx="109">
                  <c:v>-0.34432761328966494</c:v>
                </c:pt>
                <c:pt idx="110">
                  <c:v>-0.36397023426620234</c:v>
                </c:pt>
                <c:pt idx="111">
                  <c:v>-0.38386403503541583</c:v>
                </c:pt>
                <c:pt idx="112">
                  <c:v>-0.40402622583515685</c:v>
                </c:pt>
                <c:pt idx="113">
                  <c:v>-0.42447481620960453</c:v>
                </c:pt>
                <c:pt idx="114">
                  <c:v>-0.44522868530853599</c:v>
                </c:pt>
                <c:pt idx="115">
                  <c:v>-0.46630765815499842</c:v>
                </c:pt>
                <c:pt idx="116">
                  <c:v>-0.4877325885658616</c:v>
                </c:pt>
                <c:pt idx="117">
                  <c:v>-0.50952544949442868</c:v>
                </c:pt>
                <c:pt idx="118">
                  <c:v>-0.53170943166147833</c:v>
                </c:pt>
                <c:pt idx="119">
                  <c:v>-0.55430905145276888</c:v>
                </c:pt>
                <c:pt idx="120">
                  <c:v>-0.5773502691896254</c:v>
                </c:pt>
                <c:pt idx="121">
                  <c:v>-0.60086061902756049</c:v>
                </c:pt>
                <c:pt idx="122">
                  <c:v>-0.62486935190932724</c:v>
                </c:pt>
                <c:pt idx="123">
                  <c:v>-0.64940759319751062</c:v>
                </c:pt>
                <c:pt idx="124">
                  <c:v>-0.67450851684242641</c:v>
                </c:pt>
                <c:pt idx="125">
                  <c:v>-0.70020753820970927</c:v>
                </c:pt>
                <c:pt idx="126">
                  <c:v>-0.72654252800536079</c:v>
                </c:pt>
                <c:pt idx="127">
                  <c:v>-0.75355405010279441</c:v>
                </c:pt>
                <c:pt idx="128">
                  <c:v>-0.7812856265067174</c:v>
                </c:pt>
                <c:pt idx="129">
                  <c:v>-0.8097840331950068</c:v>
                </c:pt>
                <c:pt idx="130">
                  <c:v>-0.83909963117728004</c:v>
                </c:pt>
                <c:pt idx="131">
                  <c:v>-0.86928673781622712</c:v>
                </c:pt>
                <c:pt idx="132">
                  <c:v>-0.90040404429784004</c:v>
                </c:pt>
                <c:pt idx="133">
                  <c:v>-0.93251508613766143</c:v>
                </c:pt>
                <c:pt idx="134">
                  <c:v>-0.96568877480707338</c:v>
                </c:pt>
                <c:pt idx="135">
                  <c:v>-0.99999999999999978</c:v>
                </c:pt>
                <c:pt idx="136">
                  <c:v>-1.0355303137905698</c:v>
                </c:pt>
                <c:pt idx="137">
                  <c:v>-1.0723687100246824</c:v>
                </c:pt>
                <c:pt idx="138">
                  <c:v>-1.1106125148291923</c:v>
                </c:pt>
                <c:pt idx="139">
                  <c:v>-1.1503684072210096</c:v>
                </c:pt>
                <c:pt idx="140">
                  <c:v>-1.1917535925942095</c:v>
                </c:pt>
                <c:pt idx="141">
                  <c:v>-1.2348971565350504</c:v>
                </c:pt>
                <c:pt idx="142">
                  <c:v>-1.2799416321930783</c:v>
                </c:pt>
                <c:pt idx="143">
                  <c:v>-1.3270448216204103</c:v>
                </c:pt>
                <c:pt idx="144">
                  <c:v>-1.3763819204711734</c:v>
                </c:pt>
                <c:pt idx="145">
                  <c:v>-1.4281480067421135</c:v>
                </c:pt>
                <c:pt idx="146">
                  <c:v>-1.4825609685127401</c:v>
                </c:pt>
                <c:pt idx="147">
                  <c:v>-1.5398649638145836</c:v>
                </c:pt>
                <c:pt idx="148">
                  <c:v>-1.6003345290410504</c:v>
                </c:pt>
                <c:pt idx="149">
                  <c:v>-1.6642794823505171</c:v>
                </c:pt>
                <c:pt idx="150">
                  <c:v>-1.7320508075688774</c:v>
                </c:pt>
                <c:pt idx="151">
                  <c:v>-1.8040477552714234</c:v>
                </c:pt>
                <c:pt idx="152">
                  <c:v>-1.8807264653463303</c:v>
                </c:pt>
                <c:pt idx="153">
                  <c:v>-1.9626105055051501</c:v>
                </c:pt>
                <c:pt idx="154">
                  <c:v>-2.0503038415792969</c:v>
                </c:pt>
                <c:pt idx="155">
                  <c:v>-2.1445069205095586</c:v>
                </c:pt>
                <c:pt idx="156">
                  <c:v>-2.2460367739042146</c:v>
                </c:pt>
                <c:pt idx="157">
                  <c:v>-2.35585236582375</c:v>
                </c:pt>
                <c:pt idx="158">
                  <c:v>-2.4750868534162942</c:v>
                </c:pt>
                <c:pt idx="159">
                  <c:v>-2.6050890646938019</c:v>
                </c:pt>
                <c:pt idx="160">
                  <c:v>-2.7474774194546208</c:v>
                </c:pt>
                <c:pt idx="161">
                  <c:v>-2.9042108776758191</c:v>
                </c:pt>
                <c:pt idx="162">
                  <c:v>-3.0776835371752522</c:v>
                </c:pt>
                <c:pt idx="163">
                  <c:v>-3.2708526184841373</c:v>
                </c:pt>
                <c:pt idx="164">
                  <c:v>-3.487414443840902</c:v>
                </c:pt>
                <c:pt idx="165">
                  <c:v>-3.7320508075688736</c:v>
                </c:pt>
                <c:pt idx="166">
                  <c:v>-4.0107809335358446</c:v>
                </c:pt>
                <c:pt idx="167">
                  <c:v>-4.3314758742841599</c:v>
                </c:pt>
                <c:pt idx="168">
                  <c:v>-4.7046301094784546</c:v>
                </c:pt>
                <c:pt idx="169">
                  <c:v>-5.1445540159703063</c:v>
                </c:pt>
                <c:pt idx="170">
                  <c:v>-5.6712818196177119</c:v>
                </c:pt>
                <c:pt idx="171">
                  <c:v>-6.3137515146750385</c:v>
                </c:pt>
                <c:pt idx="172">
                  <c:v>-7.1153697223841927</c:v>
                </c:pt>
                <c:pt idx="173">
                  <c:v>-8.1443464279745896</c:v>
                </c:pt>
                <c:pt idx="174">
                  <c:v>-9.5143644542225605</c:v>
                </c:pt>
                <c:pt idx="175">
                  <c:v>-11</c:v>
                </c:pt>
                <c:pt idx="176">
                  <c:v>-11</c:v>
                </c:pt>
                <c:pt idx="177">
                  <c:v>-11</c:v>
                </c:pt>
                <c:pt idx="178">
                  <c:v>-11</c:v>
                </c:pt>
                <c:pt idx="179">
                  <c:v>-11</c:v>
                </c:pt>
                <c:pt idx="180">
                  <c:v>-11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9.5143644542226227</c:v>
                </c:pt>
                <c:pt idx="187">
                  <c:v>8.1443464279745754</c:v>
                </c:pt>
                <c:pt idx="188">
                  <c:v>7.1153697223842052</c:v>
                </c:pt>
                <c:pt idx="189">
                  <c:v>6.3137515146750482</c:v>
                </c:pt>
                <c:pt idx="190">
                  <c:v>5.6712818196177057</c:v>
                </c:pt>
                <c:pt idx="191">
                  <c:v>5.1445540159703125</c:v>
                </c:pt>
                <c:pt idx="192">
                  <c:v>4.7046301094784608</c:v>
                </c:pt>
                <c:pt idx="193">
                  <c:v>4.3314758742841564</c:v>
                </c:pt>
                <c:pt idx="194">
                  <c:v>4.0107809335358491</c:v>
                </c:pt>
                <c:pt idx="195">
                  <c:v>3.7320508075688834</c:v>
                </c:pt>
                <c:pt idx="196">
                  <c:v>3.4874144438409109</c:v>
                </c:pt>
                <c:pt idx="197">
                  <c:v>3.2708526184841453</c:v>
                </c:pt>
                <c:pt idx="198">
                  <c:v>3.07768353717525</c:v>
                </c:pt>
                <c:pt idx="199">
                  <c:v>2.9042108776758218</c:v>
                </c:pt>
                <c:pt idx="200">
                  <c:v>2.747477419454623</c:v>
                </c:pt>
                <c:pt idx="201">
                  <c:v>2.6050890646938001</c:v>
                </c:pt>
                <c:pt idx="202">
                  <c:v>2.475086853416296</c:v>
                </c:pt>
                <c:pt idx="203">
                  <c:v>2.3558523658237545</c:v>
                </c:pt>
                <c:pt idx="204">
                  <c:v>2.2460367739042186</c:v>
                </c:pt>
                <c:pt idx="205">
                  <c:v>2.1445069205095595</c:v>
                </c:pt>
                <c:pt idx="206">
                  <c:v>2.0503038415792982</c:v>
                </c:pt>
                <c:pt idx="207">
                  <c:v>1.9626105055051533</c:v>
                </c:pt>
                <c:pt idx="208">
                  <c:v>1.8807264653463316</c:v>
                </c:pt>
                <c:pt idx="209">
                  <c:v>1.8040477552714245</c:v>
                </c:pt>
                <c:pt idx="210">
                  <c:v>1.7320508075688767</c:v>
                </c:pt>
                <c:pt idx="211">
                  <c:v>1.664279482350518</c:v>
                </c:pt>
                <c:pt idx="212">
                  <c:v>1.6003345290410513</c:v>
                </c:pt>
                <c:pt idx="213">
                  <c:v>1.5398649638145827</c:v>
                </c:pt>
                <c:pt idx="214">
                  <c:v>1.482560968512741</c:v>
                </c:pt>
                <c:pt idx="215">
                  <c:v>1.4281480067421157</c:v>
                </c:pt>
                <c:pt idx="216">
                  <c:v>1.376381920471174</c:v>
                </c:pt>
                <c:pt idx="217">
                  <c:v>1.3270448216204109</c:v>
                </c:pt>
                <c:pt idx="218">
                  <c:v>1.2799416321930803</c:v>
                </c:pt>
                <c:pt idx="219">
                  <c:v>1.2348971565350511</c:v>
                </c:pt>
                <c:pt idx="220">
                  <c:v>1.19175359259421</c:v>
                </c:pt>
                <c:pt idx="221">
                  <c:v>1.1503684072210092</c:v>
                </c:pt>
                <c:pt idx="222">
                  <c:v>1.110612514829193</c:v>
                </c:pt>
                <c:pt idx="223">
                  <c:v>1.072368710024683</c:v>
                </c:pt>
                <c:pt idx="224">
                  <c:v>1.0355303137905694</c:v>
                </c:pt>
                <c:pt idx="225">
                  <c:v>1.0000000000000004</c:v>
                </c:pt>
                <c:pt idx="226">
                  <c:v>0.96568877480707482</c:v>
                </c:pt>
                <c:pt idx="227">
                  <c:v>0.93251508613766276</c:v>
                </c:pt>
                <c:pt idx="228">
                  <c:v>0.9004040442978406</c:v>
                </c:pt>
                <c:pt idx="229">
                  <c:v>0.86928673781622756</c:v>
                </c:pt>
                <c:pt idx="230">
                  <c:v>0.83909963117728048</c:v>
                </c:pt>
                <c:pt idx="231">
                  <c:v>0.80978403319500647</c:v>
                </c:pt>
                <c:pt idx="232">
                  <c:v>0.78128562650671696</c:v>
                </c:pt>
                <c:pt idx="233">
                  <c:v>0.75355405010279419</c:v>
                </c:pt>
                <c:pt idx="234">
                  <c:v>0.72654252800536112</c:v>
                </c:pt>
                <c:pt idx="235">
                  <c:v>0.70020753820971027</c:v>
                </c:pt>
                <c:pt idx="236">
                  <c:v>0.67450851684242741</c:v>
                </c:pt>
                <c:pt idx="237">
                  <c:v>0.6494075931975104</c:v>
                </c:pt>
                <c:pt idx="238">
                  <c:v>0.62486935190932758</c:v>
                </c:pt>
                <c:pt idx="239">
                  <c:v>0.60086061902756072</c:v>
                </c:pt>
                <c:pt idx="240">
                  <c:v>0.5773502691896264</c:v>
                </c:pt>
                <c:pt idx="241">
                  <c:v>0.55430905145276865</c:v>
                </c:pt>
                <c:pt idx="242">
                  <c:v>0.53170943166147866</c:v>
                </c:pt>
                <c:pt idx="243">
                  <c:v>0.50952544949442902</c:v>
                </c:pt>
                <c:pt idx="244">
                  <c:v>0.48773258856586188</c:v>
                </c:pt>
                <c:pt idx="245">
                  <c:v>0.46630765815499925</c:v>
                </c:pt>
                <c:pt idx="246">
                  <c:v>0.44522868530853599</c:v>
                </c:pt>
                <c:pt idx="247">
                  <c:v>0.42447481620960487</c:v>
                </c:pt>
                <c:pt idx="248">
                  <c:v>0.40402622583515713</c:v>
                </c:pt>
                <c:pt idx="249">
                  <c:v>0.38386403503541633</c:v>
                </c:pt>
                <c:pt idx="250">
                  <c:v>0.36397023426620312</c:v>
                </c:pt>
                <c:pt idx="251">
                  <c:v>0.34432761328966521</c:v>
                </c:pt>
                <c:pt idx="252">
                  <c:v>0.32491969623290651</c:v>
                </c:pt>
                <c:pt idx="253">
                  <c:v>0.30573068145866078</c:v>
                </c:pt>
                <c:pt idx="254">
                  <c:v>0.28674538575880759</c:v>
                </c:pt>
                <c:pt idx="255">
                  <c:v>0.26794919243112258</c:v>
                </c:pt>
                <c:pt idx="256">
                  <c:v>0.24932800284318074</c:v>
                </c:pt>
                <c:pt idx="257">
                  <c:v>0.23086819112556339</c:v>
                </c:pt>
                <c:pt idx="258">
                  <c:v>0.21255656167002263</c:v>
                </c:pt>
                <c:pt idx="259">
                  <c:v>0.19438030913771917</c:v>
                </c:pt>
                <c:pt idx="260">
                  <c:v>0.17632698070846495</c:v>
                </c:pt>
                <c:pt idx="261">
                  <c:v>0.15838444032453647</c:v>
                </c:pt>
                <c:pt idx="262">
                  <c:v>0.14054083470239093</c:v>
                </c:pt>
                <c:pt idx="263">
                  <c:v>0.12278456090290428</c:v>
                </c:pt>
                <c:pt idx="264">
                  <c:v>0.10510423526567635</c:v>
                </c:pt>
                <c:pt idx="265">
                  <c:v>8.748866352592409E-2</c:v>
                </c:pt>
                <c:pt idx="266">
                  <c:v>6.9926811943510692E-2</c:v>
                </c:pt>
                <c:pt idx="267">
                  <c:v>5.2407779283041682E-2</c:v>
                </c:pt>
                <c:pt idx="268">
                  <c:v>3.4920769491748403E-2</c:v>
                </c:pt>
                <c:pt idx="269">
                  <c:v>1.7455064928217572E-2</c:v>
                </c:pt>
                <c:pt idx="270">
                  <c:v>1.83772268236293E-16</c:v>
                </c:pt>
                <c:pt idx="271">
                  <c:v>-1.7455064928217204E-2</c:v>
                </c:pt>
                <c:pt idx="272">
                  <c:v>-3.4920769491748035E-2</c:v>
                </c:pt>
                <c:pt idx="273">
                  <c:v>-5.2407779283041314E-2</c:v>
                </c:pt>
                <c:pt idx="274">
                  <c:v>-6.9926811943510331E-2</c:v>
                </c:pt>
                <c:pt idx="275">
                  <c:v>-8.7488663525923716E-2</c:v>
                </c:pt>
                <c:pt idx="276">
                  <c:v>-0.10510423526567597</c:v>
                </c:pt>
                <c:pt idx="277">
                  <c:v>-0.12278456090290479</c:v>
                </c:pt>
                <c:pt idx="278">
                  <c:v>-0.14054083470239145</c:v>
                </c:pt>
                <c:pt idx="279">
                  <c:v>-0.15838444032453611</c:v>
                </c:pt>
                <c:pt idx="280">
                  <c:v>-0.17632698070846456</c:v>
                </c:pt>
                <c:pt idx="281">
                  <c:v>-0.19438030913771789</c:v>
                </c:pt>
                <c:pt idx="282">
                  <c:v>-0.21255656167002129</c:v>
                </c:pt>
                <c:pt idx="283">
                  <c:v>-0.23086819112556303</c:v>
                </c:pt>
                <c:pt idx="284">
                  <c:v>-0.24932800284318035</c:v>
                </c:pt>
                <c:pt idx="285">
                  <c:v>-0.26794919243112314</c:v>
                </c:pt>
                <c:pt idx="286">
                  <c:v>-0.28674538575880815</c:v>
                </c:pt>
                <c:pt idx="287">
                  <c:v>-0.30573068145866034</c:v>
                </c:pt>
                <c:pt idx="288">
                  <c:v>-0.32491969623290612</c:v>
                </c:pt>
                <c:pt idx="289">
                  <c:v>-0.34432761328966477</c:v>
                </c:pt>
                <c:pt idx="290">
                  <c:v>-0.36397023426620168</c:v>
                </c:pt>
                <c:pt idx="291">
                  <c:v>-0.38386403503541489</c:v>
                </c:pt>
                <c:pt idx="292">
                  <c:v>-0.40402622583515674</c:v>
                </c:pt>
                <c:pt idx="293">
                  <c:v>-0.42447481620960437</c:v>
                </c:pt>
                <c:pt idx="294">
                  <c:v>-0.4452286853085366</c:v>
                </c:pt>
                <c:pt idx="295">
                  <c:v>-0.46630765815499881</c:v>
                </c:pt>
                <c:pt idx="296">
                  <c:v>-0.48773258856586138</c:v>
                </c:pt>
                <c:pt idx="297">
                  <c:v>-0.50952544949442857</c:v>
                </c:pt>
                <c:pt idx="298">
                  <c:v>-0.53170943166147822</c:v>
                </c:pt>
                <c:pt idx="299">
                  <c:v>-0.5543090514527681</c:v>
                </c:pt>
                <c:pt idx="300">
                  <c:v>-0.57735026918962584</c:v>
                </c:pt>
                <c:pt idx="301">
                  <c:v>-0.60086061902756027</c:v>
                </c:pt>
                <c:pt idx="302">
                  <c:v>-0.62486935190932713</c:v>
                </c:pt>
                <c:pt idx="303">
                  <c:v>-0.64940759319750985</c:v>
                </c:pt>
                <c:pt idx="304">
                  <c:v>-0.67450851684242563</c:v>
                </c:pt>
                <c:pt idx="305">
                  <c:v>-0.70020753820970971</c:v>
                </c:pt>
                <c:pt idx="306">
                  <c:v>-0.72654252800536057</c:v>
                </c:pt>
                <c:pt idx="307">
                  <c:v>-0.75355405010279353</c:v>
                </c:pt>
                <c:pt idx="308">
                  <c:v>-0.78128562650671785</c:v>
                </c:pt>
                <c:pt idx="309">
                  <c:v>-0.80978403319500725</c:v>
                </c:pt>
                <c:pt idx="310">
                  <c:v>-0.83909963117727981</c:v>
                </c:pt>
                <c:pt idx="311">
                  <c:v>-0.86928673781622612</c:v>
                </c:pt>
                <c:pt idx="312">
                  <c:v>-0.90040404429783893</c:v>
                </c:pt>
                <c:pt idx="313">
                  <c:v>-0.93251508613766032</c:v>
                </c:pt>
                <c:pt idx="314">
                  <c:v>-0.96568877480707227</c:v>
                </c:pt>
                <c:pt idx="315">
                  <c:v>-0.99999999999999956</c:v>
                </c:pt>
                <c:pt idx="316">
                  <c:v>-1.0355303137905687</c:v>
                </c:pt>
                <c:pt idx="317">
                  <c:v>-1.072368710024683</c:v>
                </c:pt>
                <c:pt idx="318">
                  <c:v>-1.110612514829193</c:v>
                </c:pt>
                <c:pt idx="319">
                  <c:v>-1.1503684072210092</c:v>
                </c:pt>
                <c:pt idx="320">
                  <c:v>-1.1917535925942091</c:v>
                </c:pt>
                <c:pt idx="321">
                  <c:v>-1.2348971565350502</c:v>
                </c:pt>
                <c:pt idx="322">
                  <c:v>-1.279941632193077</c:v>
                </c:pt>
                <c:pt idx="323">
                  <c:v>-1.32704482162041</c:v>
                </c:pt>
                <c:pt idx="324">
                  <c:v>-1.3763819204711729</c:v>
                </c:pt>
                <c:pt idx="325">
                  <c:v>-1.4281480067421133</c:v>
                </c:pt>
                <c:pt idx="326">
                  <c:v>-1.4825609685127383</c:v>
                </c:pt>
                <c:pt idx="327">
                  <c:v>-1.5398649638145832</c:v>
                </c:pt>
                <c:pt idx="328">
                  <c:v>-1.6003345290410467</c:v>
                </c:pt>
                <c:pt idx="329">
                  <c:v>-1.6642794823505167</c:v>
                </c:pt>
                <c:pt idx="330">
                  <c:v>-1.732050807568875</c:v>
                </c:pt>
                <c:pt idx="331">
                  <c:v>-1.8040477552714247</c:v>
                </c:pt>
                <c:pt idx="332">
                  <c:v>-1.880726465346332</c:v>
                </c:pt>
                <c:pt idx="333">
                  <c:v>-1.9626105055051493</c:v>
                </c:pt>
                <c:pt idx="334">
                  <c:v>-2.0503038415792987</c:v>
                </c:pt>
                <c:pt idx="335">
                  <c:v>-2.144506920509555</c:v>
                </c:pt>
                <c:pt idx="336">
                  <c:v>-2.2460367739042164</c:v>
                </c:pt>
                <c:pt idx="337">
                  <c:v>-2.3558523658237465</c:v>
                </c:pt>
                <c:pt idx="338">
                  <c:v>-2.4750868534162938</c:v>
                </c:pt>
                <c:pt idx="339">
                  <c:v>-2.6050890646937974</c:v>
                </c:pt>
                <c:pt idx="340">
                  <c:v>-2.7474774194546239</c:v>
                </c:pt>
                <c:pt idx="341">
                  <c:v>-2.9042108776758142</c:v>
                </c:pt>
                <c:pt idx="342">
                  <c:v>-3.0776835371752513</c:v>
                </c:pt>
                <c:pt idx="343">
                  <c:v>-3.2708526184841462</c:v>
                </c:pt>
                <c:pt idx="344">
                  <c:v>-3.4874144438409003</c:v>
                </c:pt>
                <c:pt idx="345">
                  <c:v>-3.7320508075688781</c:v>
                </c:pt>
                <c:pt idx="346">
                  <c:v>-4.0107809335358429</c:v>
                </c:pt>
                <c:pt idx="347">
                  <c:v>-4.3314758742841484</c:v>
                </c:pt>
                <c:pt idx="348">
                  <c:v>-4.7046301094784422</c:v>
                </c:pt>
                <c:pt idx="349">
                  <c:v>-5.1445540159703151</c:v>
                </c:pt>
                <c:pt idx="350">
                  <c:v>-5.6712818196176791</c:v>
                </c:pt>
                <c:pt idx="351">
                  <c:v>-6.3137515146750331</c:v>
                </c:pt>
                <c:pt idx="352">
                  <c:v>-7.1153697223841856</c:v>
                </c:pt>
                <c:pt idx="353">
                  <c:v>-8.1443464279745506</c:v>
                </c:pt>
                <c:pt idx="354">
                  <c:v>-9.5143644542225907</c:v>
                </c:pt>
                <c:pt idx="355">
                  <c:v>-11</c:v>
                </c:pt>
                <c:pt idx="356">
                  <c:v>-11</c:v>
                </c:pt>
                <c:pt idx="357">
                  <c:v>-11</c:v>
                </c:pt>
                <c:pt idx="358">
                  <c:v>-11</c:v>
                </c:pt>
                <c:pt idx="359">
                  <c:v>-11</c:v>
                </c:pt>
                <c:pt idx="360">
                  <c:v>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C-4A7A-B7A5-55F4DD431033}"/>
            </c:ext>
          </c:extLst>
        </c:ser>
        <c:ser>
          <c:idx val="4"/>
          <c:order val="4"/>
          <c:tx>
            <c:strRef>
              <c:f>Trigonometrica!$H$17</c:f>
              <c:strCache>
                <c:ptCount val="1"/>
                <c:pt idx="0">
                  <c:v>SEC(x)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Trigonometrica!$H$18:$H$378</c:f>
              <c:numCache>
                <c:formatCode>General</c:formatCode>
                <c:ptCount val="361"/>
                <c:pt idx="0">
                  <c:v>1</c:v>
                </c:pt>
                <c:pt idx="1">
                  <c:v>1.0001523280439077</c:v>
                </c:pt>
                <c:pt idx="2">
                  <c:v>1.0006095442988217</c:v>
                </c:pt>
                <c:pt idx="3">
                  <c:v>1.0013723459979209</c:v>
                </c:pt>
                <c:pt idx="4">
                  <c:v>1.0024418980811722</c:v>
                </c:pt>
                <c:pt idx="5">
                  <c:v>1.0038198375433474</c:v>
                </c:pt>
                <c:pt idx="6">
                  <c:v>1.0055082795635164</c:v>
                </c:pt>
                <c:pt idx="7">
                  <c:v>1.0075098254588484</c:v>
                </c:pt>
                <c:pt idx="8">
                  <c:v>1.0098275725186181</c:v>
                </c:pt>
                <c:pt idx="9">
                  <c:v>1.0124651257880029</c:v>
                </c:pt>
                <c:pt idx="10">
                  <c:v>1.0154266118857451</c:v>
                </c:pt>
                <c:pt idx="11">
                  <c:v>1.0187166949552142</c:v>
                </c:pt>
                <c:pt idx="12">
                  <c:v>1.0223405948650293</c:v>
                </c:pt>
                <c:pt idx="13">
                  <c:v>1.0263041077933917</c:v>
                </c:pt>
                <c:pt idx="14">
                  <c:v>1.0306136293498982</c:v>
                </c:pt>
                <c:pt idx="15">
                  <c:v>1.035276180410083</c:v>
                </c:pt>
                <c:pt idx="16">
                  <c:v>1.040299435861602</c:v>
                </c:pt>
                <c:pt idx="17">
                  <c:v>1.045691756487148</c:v>
                </c:pt>
                <c:pt idx="18">
                  <c:v>1.0514622242382672</c:v>
                </c:pt>
                <c:pt idx="19">
                  <c:v>1.0576206811866706</c:v>
                </c:pt>
                <c:pt idx="20">
                  <c:v>1.0641777724759121</c:v>
                </c:pt>
                <c:pt idx="21">
                  <c:v>1.071144993637029</c:v>
                </c:pt>
                <c:pt idx="22">
                  <c:v>1.0785347426775833</c:v>
                </c:pt>
                <c:pt idx="23">
                  <c:v>1.0863603774052961</c:v>
                </c:pt>
                <c:pt idx="24">
                  <c:v>1.0946362785060468</c:v>
                </c:pt>
                <c:pt idx="25">
                  <c:v>1.1033779189624917</c:v>
                </c:pt>
                <c:pt idx="26">
                  <c:v>1.1126019404751888</c:v>
                </c:pt>
                <c:pt idx="27">
                  <c:v>1.1223262376343608</c:v>
                </c:pt>
                <c:pt idx="28">
                  <c:v>1.132570050689039</c:v>
                </c:pt>
                <c:pt idx="29">
                  <c:v>1.1433540678733201</c:v>
                </c:pt>
                <c:pt idx="30">
                  <c:v>1.1547005383792515</c:v>
                </c:pt>
                <c:pt idx="31">
                  <c:v>1.1666333972153304</c:v>
                </c:pt>
                <c:pt idx="32">
                  <c:v>1.1791784033620965</c:v>
                </c:pt>
                <c:pt idx="33">
                  <c:v>1.1923632928359473</c:v>
                </c:pt>
                <c:pt idx="34">
                  <c:v>1.2062179485039055</c:v>
                </c:pt>
                <c:pt idx="35">
                  <c:v>1.2207745887614561</c:v>
                </c:pt>
                <c:pt idx="36">
                  <c:v>1.2360679774997896</c:v>
                </c:pt>
                <c:pt idx="37">
                  <c:v>1.2521356581562257</c:v>
                </c:pt>
                <c:pt idx="38">
                  <c:v>1.2690182150725788</c:v>
                </c:pt>
                <c:pt idx="39">
                  <c:v>1.2867595658931672</c:v>
                </c:pt>
                <c:pt idx="40">
                  <c:v>1.3054072893322786</c:v>
                </c:pt>
                <c:pt idx="41">
                  <c:v>1.3250129933488111</c:v>
                </c:pt>
                <c:pt idx="42">
                  <c:v>1.3456327296063761</c:v>
                </c:pt>
                <c:pt idx="43">
                  <c:v>1.367327461098595</c:v>
                </c:pt>
                <c:pt idx="44">
                  <c:v>1.3901635910166787</c:v>
                </c:pt>
                <c:pt idx="45">
                  <c:v>1.4142135623730949</c:v>
                </c:pt>
                <c:pt idx="46">
                  <c:v>1.4395565396257262</c:v>
                </c:pt>
                <c:pt idx="47">
                  <c:v>1.4662791856396249</c:v>
                </c:pt>
                <c:pt idx="48">
                  <c:v>1.4944765498646086</c:v>
                </c:pt>
                <c:pt idx="49">
                  <c:v>1.5242530867058142</c:v>
                </c:pt>
                <c:pt idx="50">
                  <c:v>1.5557238268604123</c:v>
                </c:pt>
                <c:pt idx="51">
                  <c:v>1.5890157290657494</c:v>
                </c:pt>
                <c:pt idx="52">
                  <c:v>1.6242692454827441</c:v>
                </c:pt>
                <c:pt idx="53">
                  <c:v>1.661640141122483</c:v>
                </c:pt>
                <c:pt idx="54">
                  <c:v>1.7013016167040798</c:v>
                </c:pt>
                <c:pt idx="55">
                  <c:v>1.7434467956210977</c:v>
                </c:pt>
                <c:pt idx="56">
                  <c:v>1.7882916499714008</c:v>
                </c:pt>
                <c:pt idx="57">
                  <c:v>1.8360784587766628</c:v>
                </c:pt>
                <c:pt idx="58">
                  <c:v>1.8870799147998585</c:v>
                </c:pt>
                <c:pt idx="59">
                  <c:v>1.9416040264103558</c:v>
                </c:pt>
                <c:pt idx="60">
                  <c:v>1.9999999999999996</c:v>
                </c:pt>
                <c:pt idx="61">
                  <c:v>2.0626653396273138</c:v>
                </c:pt>
                <c:pt idx="62">
                  <c:v>2.1300544681895124</c:v>
                </c:pt>
                <c:pt idx="63">
                  <c:v>2.2026892645852665</c:v>
                </c:pt>
                <c:pt idx="64">
                  <c:v>2.281172032704859</c:v>
                </c:pt>
                <c:pt idx="65">
                  <c:v>2.3662015831524985</c:v>
                </c:pt>
                <c:pt idx="66">
                  <c:v>2.4585933355742382</c:v>
                </c:pt>
                <c:pt idx="67">
                  <c:v>2.5593046652474509</c:v>
                </c:pt>
                <c:pt idx="68">
                  <c:v>2.6694671625540147</c:v>
                </c:pt>
                <c:pt idx="69">
                  <c:v>2.7904281096253349</c:v>
                </c:pt>
                <c:pt idx="70">
                  <c:v>2.9238044001630863</c:v>
                </c:pt>
                <c:pt idx="71">
                  <c:v>3.0715534867572414</c:v>
                </c:pt>
                <c:pt idx="72">
                  <c:v>3.2360679774997894</c:v>
                </c:pt>
                <c:pt idx="73">
                  <c:v>3.4203036198332684</c:v>
                </c:pt>
                <c:pt idx="74">
                  <c:v>3.6279552785433005</c:v>
                </c:pt>
                <c:pt idx="75">
                  <c:v>3.8637033051562737</c:v>
                </c:pt>
                <c:pt idx="76">
                  <c:v>4.1335654944387468</c:v>
                </c:pt>
                <c:pt idx="77">
                  <c:v>4.4454114825858024</c:v>
                </c:pt>
                <c:pt idx="78">
                  <c:v>4.8097343447441281</c:v>
                </c:pt>
                <c:pt idx="79">
                  <c:v>5.2408430641678461</c:v>
                </c:pt>
                <c:pt idx="80">
                  <c:v>5.758770483143631</c:v>
                </c:pt>
                <c:pt idx="81">
                  <c:v>6.3924532214996592</c:v>
                </c:pt>
                <c:pt idx="82">
                  <c:v>7.1852965343277067</c:v>
                </c:pt>
                <c:pt idx="83">
                  <c:v>8.2055090481250783</c:v>
                </c:pt>
                <c:pt idx="84">
                  <c:v>9.5667722335056276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-11</c:v>
                </c:pt>
                <c:pt idx="92">
                  <c:v>-11</c:v>
                </c:pt>
                <c:pt idx="93">
                  <c:v>-11</c:v>
                </c:pt>
                <c:pt idx="94">
                  <c:v>-11</c:v>
                </c:pt>
                <c:pt idx="95">
                  <c:v>-11</c:v>
                </c:pt>
                <c:pt idx="96">
                  <c:v>-9.5667722335056382</c:v>
                </c:pt>
                <c:pt idx="97">
                  <c:v>-8.2055090481250854</c:v>
                </c:pt>
                <c:pt idx="98">
                  <c:v>-7.1852965343277235</c:v>
                </c:pt>
                <c:pt idx="99">
                  <c:v>-6.3924532214996548</c:v>
                </c:pt>
                <c:pt idx="100">
                  <c:v>-5.7587704831436346</c:v>
                </c:pt>
                <c:pt idx="101">
                  <c:v>-5.2408430641678487</c:v>
                </c:pt>
                <c:pt idx="102">
                  <c:v>-4.8097343447441361</c:v>
                </c:pt>
                <c:pt idx="103">
                  <c:v>-4.4454114825858051</c:v>
                </c:pt>
                <c:pt idx="104">
                  <c:v>-4.1335654944387485</c:v>
                </c:pt>
                <c:pt idx="105">
                  <c:v>-3.8637033051562719</c:v>
                </c:pt>
                <c:pt idx="106">
                  <c:v>-3.6279552785433018</c:v>
                </c:pt>
                <c:pt idx="107">
                  <c:v>-3.4203036198332697</c:v>
                </c:pt>
                <c:pt idx="108">
                  <c:v>-3.2360679774997907</c:v>
                </c:pt>
                <c:pt idx="109">
                  <c:v>-3.0715534867572445</c:v>
                </c:pt>
                <c:pt idx="110">
                  <c:v>-2.9238044001630876</c:v>
                </c:pt>
                <c:pt idx="111">
                  <c:v>-2.7904281096253358</c:v>
                </c:pt>
                <c:pt idx="112">
                  <c:v>-2.6694671625540138</c:v>
                </c:pt>
                <c:pt idx="113">
                  <c:v>-2.5593046652474531</c:v>
                </c:pt>
                <c:pt idx="114">
                  <c:v>-2.4585933355742391</c:v>
                </c:pt>
                <c:pt idx="115">
                  <c:v>-2.366201583152499</c:v>
                </c:pt>
                <c:pt idx="116">
                  <c:v>-2.281172032704859</c:v>
                </c:pt>
                <c:pt idx="117">
                  <c:v>-2.2026892645852669</c:v>
                </c:pt>
                <c:pt idx="118">
                  <c:v>-2.1300544681895137</c:v>
                </c:pt>
                <c:pt idx="119">
                  <c:v>-2.0626653396273142</c:v>
                </c:pt>
                <c:pt idx="120">
                  <c:v>-2.0000000000000009</c:v>
                </c:pt>
                <c:pt idx="121">
                  <c:v>-1.9416040264103562</c:v>
                </c:pt>
                <c:pt idx="122">
                  <c:v>-1.8870799147998589</c:v>
                </c:pt>
                <c:pt idx="123">
                  <c:v>-1.8360784587766632</c:v>
                </c:pt>
                <c:pt idx="124">
                  <c:v>-1.788291649971401</c:v>
                </c:pt>
                <c:pt idx="125">
                  <c:v>-1.7434467956210988</c:v>
                </c:pt>
                <c:pt idx="126">
                  <c:v>-1.7013016167040802</c:v>
                </c:pt>
                <c:pt idx="127">
                  <c:v>-1.661640141122483</c:v>
                </c:pt>
                <c:pt idx="128">
                  <c:v>-1.6242692454827441</c:v>
                </c:pt>
                <c:pt idx="129">
                  <c:v>-1.5890157290657498</c:v>
                </c:pt>
                <c:pt idx="130">
                  <c:v>-1.5557238268604123</c:v>
                </c:pt>
                <c:pt idx="131">
                  <c:v>-1.5242530867058137</c:v>
                </c:pt>
                <c:pt idx="132">
                  <c:v>-1.4944765498646086</c:v>
                </c:pt>
                <c:pt idx="133">
                  <c:v>-1.4662791856396251</c:v>
                </c:pt>
                <c:pt idx="134">
                  <c:v>-1.4395565396257268</c:v>
                </c:pt>
                <c:pt idx="135">
                  <c:v>-1.4142135623730951</c:v>
                </c:pt>
                <c:pt idx="136">
                  <c:v>-1.3901635910166787</c:v>
                </c:pt>
                <c:pt idx="137">
                  <c:v>-1.3673274610985953</c:v>
                </c:pt>
                <c:pt idx="138">
                  <c:v>-1.3456327296063766</c:v>
                </c:pt>
                <c:pt idx="139">
                  <c:v>-1.3250129933488113</c:v>
                </c:pt>
                <c:pt idx="140">
                  <c:v>-1.3054072893322788</c:v>
                </c:pt>
                <c:pt idx="141">
                  <c:v>-1.2867595658931676</c:v>
                </c:pt>
                <c:pt idx="142">
                  <c:v>-1.2690182150725788</c:v>
                </c:pt>
                <c:pt idx="143">
                  <c:v>-1.2521356581562255</c:v>
                </c:pt>
                <c:pt idx="144">
                  <c:v>-1.2360679774997898</c:v>
                </c:pt>
                <c:pt idx="145">
                  <c:v>-1.2207745887614563</c:v>
                </c:pt>
                <c:pt idx="146">
                  <c:v>-1.2062179485039055</c:v>
                </c:pt>
                <c:pt idx="147">
                  <c:v>-1.1923632928359473</c:v>
                </c:pt>
                <c:pt idx="148">
                  <c:v>-1.1791784033620965</c:v>
                </c:pt>
                <c:pt idx="149">
                  <c:v>-1.1666333972153307</c:v>
                </c:pt>
                <c:pt idx="150">
                  <c:v>-1.1547005383792515</c:v>
                </c:pt>
                <c:pt idx="151">
                  <c:v>-1.1433540678733201</c:v>
                </c:pt>
                <c:pt idx="152">
                  <c:v>-1.1325700506890395</c:v>
                </c:pt>
                <c:pt idx="153">
                  <c:v>-1.1223262376343608</c:v>
                </c:pt>
                <c:pt idx="154">
                  <c:v>-1.1126019404751888</c:v>
                </c:pt>
                <c:pt idx="155">
                  <c:v>-1.1033779189624917</c:v>
                </c:pt>
                <c:pt idx="156">
                  <c:v>-1.0946362785060468</c:v>
                </c:pt>
                <c:pt idx="157">
                  <c:v>-1.0863603774052966</c:v>
                </c:pt>
                <c:pt idx="158">
                  <c:v>-1.0785347426775835</c:v>
                </c:pt>
                <c:pt idx="159">
                  <c:v>-1.071144993637029</c:v>
                </c:pt>
                <c:pt idx="160">
                  <c:v>-1.0641777724759123</c:v>
                </c:pt>
                <c:pt idx="161">
                  <c:v>-1.0576206811866706</c:v>
                </c:pt>
                <c:pt idx="162">
                  <c:v>-1.0514622242382672</c:v>
                </c:pt>
                <c:pt idx="163">
                  <c:v>-1.045691756487148</c:v>
                </c:pt>
                <c:pt idx="164">
                  <c:v>-1.0402994358616022</c:v>
                </c:pt>
                <c:pt idx="165">
                  <c:v>-1.0352761804100832</c:v>
                </c:pt>
                <c:pt idx="166">
                  <c:v>-1.0306136293498982</c:v>
                </c:pt>
                <c:pt idx="167">
                  <c:v>-1.0263041077933917</c:v>
                </c:pt>
                <c:pt idx="168">
                  <c:v>-1.0223405948650293</c:v>
                </c:pt>
                <c:pt idx="169">
                  <c:v>-1.0187166949552142</c:v>
                </c:pt>
                <c:pt idx="170">
                  <c:v>-1.0154266118857451</c:v>
                </c:pt>
                <c:pt idx="171">
                  <c:v>-1.0124651257880031</c:v>
                </c:pt>
                <c:pt idx="172">
                  <c:v>-1.0098275725186181</c:v>
                </c:pt>
                <c:pt idx="173">
                  <c:v>-1.0075098254588484</c:v>
                </c:pt>
                <c:pt idx="174">
                  <c:v>-1.0055082795635164</c:v>
                </c:pt>
                <c:pt idx="175">
                  <c:v>-1.0038198375433474</c:v>
                </c:pt>
                <c:pt idx="176">
                  <c:v>-1.0024418980811722</c:v>
                </c:pt>
                <c:pt idx="177">
                  <c:v>-1.0013723459979209</c:v>
                </c:pt>
                <c:pt idx="178">
                  <c:v>-1.0006095442988217</c:v>
                </c:pt>
                <c:pt idx="179">
                  <c:v>-1.0001523280439077</c:v>
                </c:pt>
                <c:pt idx="180">
                  <c:v>-1</c:v>
                </c:pt>
                <c:pt idx="181">
                  <c:v>-1.0001523280439077</c:v>
                </c:pt>
                <c:pt idx="182">
                  <c:v>-1.0006095442988217</c:v>
                </c:pt>
                <c:pt idx="183">
                  <c:v>-1.0013723459979209</c:v>
                </c:pt>
                <c:pt idx="184">
                  <c:v>-1.002441898081172</c:v>
                </c:pt>
                <c:pt idx="185">
                  <c:v>-1.0038198375433474</c:v>
                </c:pt>
                <c:pt idx="186">
                  <c:v>-1.0055082795635164</c:v>
                </c:pt>
                <c:pt idx="187">
                  <c:v>-1.0075098254588484</c:v>
                </c:pt>
                <c:pt idx="188">
                  <c:v>-1.0098275725186181</c:v>
                </c:pt>
                <c:pt idx="189">
                  <c:v>-1.0124651257880029</c:v>
                </c:pt>
                <c:pt idx="190">
                  <c:v>-1.0154266118857451</c:v>
                </c:pt>
                <c:pt idx="191">
                  <c:v>-1.0187166949552142</c:v>
                </c:pt>
                <c:pt idx="192">
                  <c:v>-1.0223405948650293</c:v>
                </c:pt>
                <c:pt idx="193">
                  <c:v>-1.0263041077933917</c:v>
                </c:pt>
                <c:pt idx="194">
                  <c:v>-1.0306136293498982</c:v>
                </c:pt>
                <c:pt idx="195">
                  <c:v>-1.035276180410083</c:v>
                </c:pt>
                <c:pt idx="196">
                  <c:v>-1.040299435861602</c:v>
                </c:pt>
                <c:pt idx="197">
                  <c:v>-1.045691756487148</c:v>
                </c:pt>
                <c:pt idx="198">
                  <c:v>-1.0514622242382672</c:v>
                </c:pt>
                <c:pt idx="199">
                  <c:v>-1.0576206811866706</c:v>
                </c:pt>
                <c:pt idx="200">
                  <c:v>-1.0641777724759121</c:v>
                </c:pt>
                <c:pt idx="201">
                  <c:v>-1.071144993637029</c:v>
                </c:pt>
                <c:pt idx="202">
                  <c:v>-1.0785347426775833</c:v>
                </c:pt>
                <c:pt idx="203">
                  <c:v>-1.0863603774052961</c:v>
                </c:pt>
                <c:pt idx="204">
                  <c:v>-1.0946362785060466</c:v>
                </c:pt>
                <c:pt idx="205">
                  <c:v>-1.1033779189624917</c:v>
                </c:pt>
                <c:pt idx="206">
                  <c:v>-1.1126019404751888</c:v>
                </c:pt>
                <c:pt idx="207">
                  <c:v>-1.1223262376343606</c:v>
                </c:pt>
                <c:pt idx="208">
                  <c:v>-1.1325700506890393</c:v>
                </c:pt>
                <c:pt idx="209">
                  <c:v>-1.1433540678733198</c:v>
                </c:pt>
                <c:pt idx="210">
                  <c:v>-1.1547005383792517</c:v>
                </c:pt>
                <c:pt idx="211">
                  <c:v>-1.1666333972153304</c:v>
                </c:pt>
                <c:pt idx="212">
                  <c:v>-1.1791784033620962</c:v>
                </c:pt>
                <c:pt idx="213">
                  <c:v>-1.1923632928359473</c:v>
                </c:pt>
                <c:pt idx="214">
                  <c:v>-1.2062179485039051</c:v>
                </c:pt>
                <c:pt idx="215">
                  <c:v>-1.2207745887614556</c:v>
                </c:pt>
                <c:pt idx="216">
                  <c:v>-1.2360679774997896</c:v>
                </c:pt>
                <c:pt idx="217">
                  <c:v>-1.2521356581562253</c:v>
                </c:pt>
                <c:pt idx="218">
                  <c:v>-1.2690182150725784</c:v>
                </c:pt>
                <c:pt idx="219">
                  <c:v>-1.2867595658931674</c:v>
                </c:pt>
                <c:pt idx="220">
                  <c:v>-1.3054072893322786</c:v>
                </c:pt>
                <c:pt idx="221">
                  <c:v>-1.3250129933488115</c:v>
                </c:pt>
                <c:pt idx="222">
                  <c:v>-1.3456327296063761</c:v>
                </c:pt>
                <c:pt idx="223">
                  <c:v>-1.367327461098595</c:v>
                </c:pt>
                <c:pt idx="224">
                  <c:v>-1.390163591016679</c:v>
                </c:pt>
                <c:pt idx="225">
                  <c:v>-1.4142135623730947</c:v>
                </c:pt>
                <c:pt idx="226">
                  <c:v>-1.4395565396257257</c:v>
                </c:pt>
                <c:pt idx="227">
                  <c:v>-1.466279185639624</c:v>
                </c:pt>
                <c:pt idx="228">
                  <c:v>-1.4944765498646082</c:v>
                </c:pt>
                <c:pt idx="229">
                  <c:v>-1.5242530867058135</c:v>
                </c:pt>
                <c:pt idx="230">
                  <c:v>-1.5557238268604119</c:v>
                </c:pt>
                <c:pt idx="231">
                  <c:v>-1.5890157290657501</c:v>
                </c:pt>
                <c:pt idx="232">
                  <c:v>-1.6242692454827445</c:v>
                </c:pt>
                <c:pt idx="233">
                  <c:v>-1.6616401411224833</c:v>
                </c:pt>
                <c:pt idx="234">
                  <c:v>-1.7013016167040795</c:v>
                </c:pt>
                <c:pt idx="235">
                  <c:v>-1.7434467956210971</c:v>
                </c:pt>
                <c:pt idx="236">
                  <c:v>-1.7882916499713992</c:v>
                </c:pt>
                <c:pt idx="237">
                  <c:v>-1.8360784587766634</c:v>
                </c:pt>
                <c:pt idx="238">
                  <c:v>-1.887079914799858</c:v>
                </c:pt>
                <c:pt idx="239">
                  <c:v>-1.9416040264103553</c:v>
                </c:pt>
                <c:pt idx="240">
                  <c:v>-1.9999999999999982</c:v>
                </c:pt>
                <c:pt idx="241">
                  <c:v>-2.0626653396273151</c:v>
                </c:pt>
                <c:pt idx="242">
                  <c:v>-2.1300544681895128</c:v>
                </c:pt>
                <c:pt idx="243">
                  <c:v>-2.202689264585266</c:v>
                </c:pt>
                <c:pt idx="244">
                  <c:v>-2.2811720327048577</c:v>
                </c:pt>
                <c:pt idx="245">
                  <c:v>-2.3662015831524958</c:v>
                </c:pt>
                <c:pt idx="246">
                  <c:v>-2.4585933355742386</c:v>
                </c:pt>
                <c:pt idx="247">
                  <c:v>-2.5593046652474518</c:v>
                </c:pt>
                <c:pt idx="248">
                  <c:v>-2.6694671625540125</c:v>
                </c:pt>
                <c:pt idx="249">
                  <c:v>-2.7904281096253323</c:v>
                </c:pt>
                <c:pt idx="250">
                  <c:v>-2.9238044001630819</c:v>
                </c:pt>
                <c:pt idx="251">
                  <c:v>-3.0715534867572427</c:v>
                </c:pt>
                <c:pt idx="252">
                  <c:v>-3.236067977499788</c:v>
                </c:pt>
                <c:pt idx="253">
                  <c:v>-3.4203036198332644</c:v>
                </c:pt>
                <c:pt idx="254">
                  <c:v>-3.627955278543304</c:v>
                </c:pt>
                <c:pt idx="255">
                  <c:v>-3.863703305156275</c:v>
                </c:pt>
                <c:pt idx="256">
                  <c:v>-4.1335654944387485</c:v>
                </c:pt>
                <c:pt idx="257">
                  <c:v>-4.4454114825857962</c:v>
                </c:pt>
                <c:pt idx="258">
                  <c:v>-4.8097343447441201</c:v>
                </c:pt>
                <c:pt idx="259">
                  <c:v>-5.240843064167831</c:v>
                </c:pt>
                <c:pt idx="260">
                  <c:v>-5.7587704831436337</c:v>
                </c:pt>
                <c:pt idx="261">
                  <c:v>-6.3924532214996548</c:v>
                </c:pt>
                <c:pt idx="262">
                  <c:v>-7.1852965343277448</c:v>
                </c:pt>
                <c:pt idx="263">
                  <c:v>-8.2055090481250996</c:v>
                </c:pt>
                <c:pt idx="264">
                  <c:v>-9.5667722335056364</c:v>
                </c:pt>
                <c:pt idx="265">
                  <c:v>-11</c:v>
                </c:pt>
                <c:pt idx="266">
                  <c:v>-11</c:v>
                </c:pt>
                <c:pt idx="267">
                  <c:v>-11</c:v>
                </c:pt>
                <c:pt idx="268">
                  <c:v>-11</c:v>
                </c:pt>
                <c:pt idx="269">
                  <c:v>-11</c:v>
                </c:pt>
                <c:pt idx="270">
                  <c:v>-11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9.5667722335056702</c:v>
                </c:pt>
                <c:pt idx="277">
                  <c:v>8.2055090481250641</c:v>
                </c:pt>
                <c:pt idx="278">
                  <c:v>7.1852965343277182</c:v>
                </c:pt>
                <c:pt idx="279">
                  <c:v>6.3924532214996699</c:v>
                </c:pt>
                <c:pt idx="280">
                  <c:v>5.7587704831436461</c:v>
                </c:pt>
                <c:pt idx="281">
                  <c:v>5.2408430641678638</c:v>
                </c:pt>
                <c:pt idx="282">
                  <c:v>4.8097343447441485</c:v>
                </c:pt>
                <c:pt idx="283">
                  <c:v>4.4454114825858024</c:v>
                </c:pt>
                <c:pt idx="284">
                  <c:v>4.1335654944387539</c:v>
                </c:pt>
                <c:pt idx="285">
                  <c:v>3.8637033051562675</c:v>
                </c:pt>
                <c:pt idx="286">
                  <c:v>3.6279552785432974</c:v>
                </c:pt>
                <c:pt idx="287">
                  <c:v>3.4203036198332688</c:v>
                </c:pt>
                <c:pt idx="288">
                  <c:v>3.2360679774997916</c:v>
                </c:pt>
                <c:pt idx="289">
                  <c:v>3.0715534867572458</c:v>
                </c:pt>
                <c:pt idx="290">
                  <c:v>2.9238044001630921</c:v>
                </c:pt>
                <c:pt idx="291">
                  <c:v>2.7904281096253416</c:v>
                </c:pt>
                <c:pt idx="292">
                  <c:v>2.6694671625540147</c:v>
                </c:pt>
                <c:pt idx="293">
                  <c:v>2.559304665247454</c:v>
                </c:pt>
                <c:pt idx="294">
                  <c:v>2.458593335574236</c:v>
                </c:pt>
                <c:pt idx="295">
                  <c:v>2.3662015831524976</c:v>
                </c:pt>
                <c:pt idx="296">
                  <c:v>2.2811720327048595</c:v>
                </c:pt>
                <c:pt idx="297">
                  <c:v>2.2026892645852674</c:v>
                </c:pt>
                <c:pt idx="298">
                  <c:v>2.1300544681895142</c:v>
                </c:pt>
                <c:pt idx="299">
                  <c:v>2.0626653396273165</c:v>
                </c:pt>
                <c:pt idx="300">
                  <c:v>1.9999999999999996</c:v>
                </c:pt>
                <c:pt idx="301">
                  <c:v>1.9416040264103567</c:v>
                </c:pt>
                <c:pt idx="302">
                  <c:v>1.8870799147998594</c:v>
                </c:pt>
                <c:pt idx="303">
                  <c:v>1.8360784587766645</c:v>
                </c:pt>
                <c:pt idx="304">
                  <c:v>1.7882916499714026</c:v>
                </c:pt>
                <c:pt idx="305">
                  <c:v>1.7434467956210982</c:v>
                </c:pt>
                <c:pt idx="306">
                  <c:v>1.7013016167040804</c:v>
                </c:pt>
                <c:pt idx="307">
                  <c:v>1.6616401411224841</c:v>
                </c:pt>
                <c:pt idx="308">
                  <c:v>1.6242692454827434</c:v>
                </c:pt>
                <c:pt idx="309">
                  <c:v>1.5890157290657494</c:v>
                </c:pt>
                <c:pt idx="310">
                  <c:v>1.5557238268604126</c:v>
                </c:pt>
                <c:pt idx="311">
                  <c:v>1.5242530867058148</c:v>
                </c:pt>
                <c:pt idx="312">
                  <c:v>1.4944765498646095</c:v>
                </c:pt>
                <c:pt idx="313">
                  <c:v>1.466279185639626</c:v>
                </c:pt>
                <c:pt idx="314">
                  <c:v>1.4395565396257277</c:v>
                </c:pt>
                <c:pt idx="315">
                  <c:v>1.4142135623730954</c:v>
                </c:pt>
                <c:pt idx="316">
                  <c:v>1.3901635910166794</c:v>
                </c:pt>
                <c:pt idx="317">
                  <c:v>1.3673274610985948</c:v>
                </c:pt>
                <c:pt idx="318">
                  <c:v>1.3456327296063761</c:v>
                </c:pt>
                <c:pt idx="319">
                  <c:v>1.3250129933488115</c:v>
                </c:pt>
                <c:pt idx="320">
                  <c:v>1.305407289332279</c:v>
                </c:pt>
                <c:pt idx="321">
                  <c:v>1.2867595658931679</c:v>
                </c:pt>
                <c:pt idx="322">
                  <c:v>1.2690182150725795</c:v>
                </c:pt>
                <c:pt idx="323">
                  <c:v>1.2521356581562257</c:v>
                </c:pt>
                <c:pt idx="324">
                  <c:v>1.2360679774997898</c:v>
                </c:pt>
                <c:pt idx="325">
                  <c:v>1.2207745887614563</c:v>
                </c:pt>
                <c:pt idx="326">
                  <c:v>1.2062179485039057</c:v>
                </c:pt>
                <c:pt idx="327">
                  <c:v>1.1923632928359473</c:v>
                </c:pt>
                <c:pt idx="328">
                  <c:v>1.1791784033620971</c:v>
                </c:pt>
                <c:pt idx="329">
                  <c:v>1.1666333972153307</c:v>
                </c:pt>
                <c:pt idx="330">
                  <c:v>1.1547005383792519</c:v>
                </c:pt>
                <c:pt idx="331">
                  <c:v>1.1433540678733198</c:v>
                </c:pt>
                <c:pt idx="332">
                  <c:v>1.1325700506890393</c:v>
                </c:pt>
                <c:pt idx="333">
                  <c:v>1.1223262376343608</c:v>
                </c:pt>
                <c:pt idx="334">
                  <c:v>1.1126019404751888</c:v>
                </c:pt>
                <c:pt idx="335">
                  <c:v>1.1033779189624922</c:v>
                </c:pt>
                <c:pt idx="336">
                  <c:v>1.0946362785060466</c:v>
                </c:pt>
                <c:pt idx="337">
                  <c:v>1.0863603774052968</c:v>
                </c:pt>
                <c:pt idx="338">
                  <c:v>1.0785347426775835</c:v>
                </c:pt>
                <c:pt idx="339">
                  <c:v>1.0711449936370292</c:v>
                </c:pt>
                <c:pt idx="340">
                  <c:v>1.0641777724759121</c:v>
                </c:pt>
                <c:pt idx="341">
                  <c:v>1.0576206811866711</c:v>
                </c:pt>
                <c:pt idx="342">
                  <c:v>1.0514622242382672</c:v>
                </c:pt>
                <c:pt idx="343">
                  <c:v>1.0456917564871477</c:v>
                </c:pt>
                <c:pt idx="344">
                  <c:v>1.0402994358616022</c:v>
                </c:pt>
                <c:pt idx="345">
                  <c:v>1.035276180410083</c:v>
                </c:pt>
                <c:pt idx="346">
                  <c:v>1.0306136293498982</c:v>
                </c:pt>
                <c:pt idx="347">
                  <c:v>1.0263041077933917</c:v>
                </c:pt>
                <c:pt idx="348">
                  <c:v>1.0223405948650293</c:v>
                </c:pt>
                <c:pt idx="349">
                  <c:v>1.0187166949552142</c:v>
                </c:pt>
                <c:pt idx="350">
                  <c:v>1.0154266118857451</c:v>
                </c:pt>
                <c:pt idx="351">
                  <c:v>1.0124651257880031</c:v>
                </c:pt>
                <c:pt idx="352">
                  <c:v>1.0098275725186181</c:v>
                </c:pt>
                <c:pt idx="353">
                  <c:v>1.0075098254588484</c:v>
                </c:pt>
                <c:pt idx="354">
                  <c:v>1.0055082795635164</c:v>
                </c:pt>
                <c:pt idx="355">
                  <c:v>1.0038198375433474</c:v>
                </c:pt>
                <c:pt idx="356">
                  <c:v>1.002441898081172</c:v>
                </c:pt>
                <c:pt idx="357">
                  <c:v>1.0013723459979209</c:v>
                </c:pt>
                <c:pt idx="358">
                  <c:v>1.0006095442988217</c:v>
                </c:pt>
                <c:pt idx="359">
                  <c:v>1.0001523280439077</c:v>
                </c:pt>
                <c:pt idx="3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C-4A7A-B7A5-55F4DD431033}"/>
            </c:ext>
          </c:extLst>
        </c:ser>
        <c:ser>
          <c:idx val="5"/>
          <c:order val="5"/>
          <c:tx>
            <c:strRef>
              <c:f>Trigonometrica!$I$17</c:f>
              <c:strCache>
                <c:ptCount val="1"/>
                <c:pt idx="0">
                  <c:v>CSC(x)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Trigonometrica!$B$18:$B$378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Trigonometrica!$I$18:$I$378</c:f>
              <c:numCache>
                <c:formatCode>General</c:formatCode>
                <c:ptCount val="361"/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9.5667722335056276</c:v>
                </c:pt>
                <c:pt idx="7">
                  <c:v>8.2055090481250783</c:v>
                </c:pt>
                <c:pt idx="8">
                  <c:v>7.1852965343277191</c:v>
                </c:pt>
                <c:pt idx="9">
                  <c:v>6.3924532214996619</c:v>
                </c:pt>
                <c:pt idx="10">
                  <c:v>5.7587704831436337</c:v>
                </c:pt>
                <c:pt idx="11">
                  <c:v>5.2408430641678487</c:v>
                </c:pt>
                <c:pt idx="12">
                  <c:v>4.8097343447441316</c:v>
                </c:pt>
                <c:pt idx="13">
                  <c:v>4.4454114825858007</c:v>
                </c:pt>
                <c:pt idx="14">
                  <c:v>4.1335654944387494</c:v>
                </c:pt>
                <c:pt idx="15">
                  <c:v>3.8637033051562737</c:v>
                </c:pt>
                <c:pt idx="16">
                  <c:v>3.6279552785433005</c:v>
                </c:pt>
                <c:pt idx="17">
                  <c:v>3.4203036198332684</c:v>
                </c:pt>
                <c:pt idx="18">
                  <c:v>3.2360679774997898</c:v>
                </c:pt>
                <c:pt idx="19">
                  <c:v>3.0715534867572427</c:v>
                </c:pt>
                <c:pt idx="20">
                  <c:v>2.9238044001630876</c:v>
                </c:pt>
                <c:pt idx="21">
                  <c:v>2.7904281096253358</c:v>
                </c:pt>
                <c:pt idx="22">
                  <c:v>2.6694671625540143</c:v>
                </c:pt>
                <c:pt idx="23">
                  <c:v>2.5593046652474523</c:v>
                </c:pt>
                <c:pt idx="24">
                  <c:v>2.4585933355742386</c:v>
                </c:pt>
                <c:pt idx="25">
                  <c:v>2.3662015831524985</c:v>
                </c:pt>
                <c:pt idx="26">
                  <c:v>2.2811720327048595</c:v>
                </c:pt>
                <c:pt idx="27">
                  <c:v>2.2026892645852669</c:v>
                </c:pt>
                <c:pt idx="28">
                  <c:v>2.1300544681895124</c:v>
                </c:pt>
                <c:pt idx="29">
                  <c:v>2.0626653396273142</c:v>
                </c:pt>
                <c:pt idx="30">
                  <c:v>2</c:v>
                </c:pt>
                <c:pt idx="31">
                  <c:v>1.9416040264103567</c:v>
                </c:pt>
                <c:pt idx="32">
                  <c:v>1.8870799147998585</c:v>
                </c:pt>
                <c:pt idx="33">
                  <c:v>1.8360784587766632</c:v>
                </c:pt>
                <c:pt idx="34">
                  <c:v>1.7882916499714003</c:v>
                </c:pt>
                <c:pt idx="35">
                  <c:v>1.7434467956210982</c:v>
                </c:pt>
                <c:pt idx="36">
                  <c:v>1.7013016167040798</c:v>
                </c:pt>
                <c:pt idx="37">
                  <c:v>1.6616401411224833</c:v>
                </c:pt>
                <c:pt idx="38">
                  <c:v>1.6242692454827443</c:v>
                </c:pt>
                <c:pt idx="39">
                  <c:v>1.5890157290657496</c:v>
                </c:pt>
                <c:pt idx="40">
                  <c:v>1.5557238268604126</c:v>
                </c:pt>
                <c:pt idx="41">
                  <c:v>1.5242530867058146</c:v>
                </c:pt>
                <c:pt idx="42">
                  <c:v>1.4944765498646086</c:v>
                </c:pt>
                <c:pt idx="43">
                  <c:v>1.4662791856396249</c:v>
                </c:pt>
                <c:pt idx="44">
                  <c:v>1.4395565396257264</c:v>
                </c:pt>
                <c:pt idx="45">
                  <c:v>1.4142135623730951</c:v>
                </c:pt>
                <c:pt idx="46">
                  <c:v>1.390163591016679</c:v>
                </c:pt>
                <c:pt idx="47">
                  <c:v>1.3673274610985953</c:v>
                </c:pt>
                <c:pt idx="48">
                  <c:v>1.3456327296063764</c:v>
                </c:pt>
                <c:pt idx="49">
                  <c:v>1.3250129933488113</c:v>
                </c:pt>
                <c:pt idx="50">
                  <c:v>1.3054072893322786</c:v>
                </c:pt>
                <c:pt idx="51">
                  <c:v>1.2867595658931674</c:v>
                </c:pt>
                <c:pt idx="52">
                  <c:v>1.2690182150725788</c:v>
                </c:pt>
                <c:pt idx="53">
                  <c:v>1.2521356581562257</c:v>
                </c:pt>
                <c:pt idx="54">
                  <c:v>1.2360679774997896</c:v>
                </c:pt>
                <c:pt idx="55">
                  <c:v>1.2207745887614561</c:v>
                </c:pt>
                <c:pt idx="56">
                  <c:v>1.2062179485039053</c:v>
                </c:pt>
                <c:pt idx="57">
                  <c:v>1.1923632928359476</c:v>
                </c:pt>
                <c:pt idx="58">
                  <c:v>1.1791784033620965</c:v>
                </c:pt>
                <c:pt idx="59">
                  <c:v>1.1666333972153307</c:v>
                </c:pt>
                <c:pt idx="60">
                  <c:v>1.1547005383792517</c:v>
                </c:pt>
                <c:pt idx="61">
                  <c:v>1.1433540678733201</c:v>
                </c:pt>
                <c:pt idx="62">
                  <c:v>1.1325700506890393</c:v>
                </c:pt>
                <c:pt idx="63">
                  <c:v>1.1223262376343608</c:v>
                </c:pt>
                <c:pt idx="64">
                  <c:v>1.1126019404751888</c:v>
                </c:pt>
                <c:pt idx="65">
                  <c:v>1.1033779189624917</c:v>
                </c:pt>
                <c:pt idx="66">
                  <c:v>1.0946362785060468</c:v>
                </c:pt>
                <c:pt idx="67">
                  <c:v>1.0863603774052963</c:v>
                </c:pt>
                <c:pt idx="68">
                  <c:v>1.0785347426775833</c:v>
                </c:pt>
                <c:pt idx="69">
                  <c:v>1.071144993637029</c:v>
                </c:pt>
                <c:pt idx="70">
                  <c:v>1.0641777724759123</c:v>
                </c:pt>
                <c:pt idx="71">
                  <c:v>1.0576206811866706</c:v>
                </c:pt>
                <c:pt idx="72">
                  <c:v>1.0514622242382672</c:v>
                </c:pt>
                <c:pt idx="73">
                  <c:v>1.045691756487148</c:v>
                </c:pt>
                <c:pt idx="74">
                  <c:v>1.040299435861602</c:v>
                </c:pt>
                <c:pt idx="75">
                  <c:v>1.035276180410083</c:v>
                </c:pt>
                <c:pt idx="76">
                  <c:v>1.0306136293498982</c:v>
                </c:pt>
                <c:pt idx="77">
                  <c:v>1.0263041077933917</c:v>
                </c:pt>
                <c:pt idx="78">
                  <c:v>1.0223405948650293</c:v>
                </c:pt>
                <c:pt idx="79">
                  <c:v>1.0187166949552142</c:v>
                </c:pt>
                <c:pt idx="80">
                  <c:v>1.0154266118857451</c:v>
                </c:pt>
                <c:pt idx="81">
                  <c:v>1.0124651257880029</c:v>
                </c:pt>
                <c:pt idx="82">
                  <c:v>1.0098275725186181</c:v>
                </c:pt>
                <c:pt idx="83">
                  <c:v>1.0075098254588484</c:v>
                </c:pt>
                <c:pt idx="84">
                  <c:v>1.0055082795635164</c:v>
                </c:pt>
                <c:pt idx="85">
                  <c:v>1.0038198375433474</c:v>
                </c:pt>
                <c:pt idx="86">
                  <c:v>1.0024418980811722</c:v>
                </c:pt>
                <c:pt idx="87">
                  <c:v>1.0013723459979209</c:v>
                </c:pt>
                <c:pt idx="88">
                  <c:v>1.0006095442988217</c:v>
                </c:pt>
                <c:pt idx="89">
                  <c:v>1.0001523280439077</c:v>
                </c:pt>
                <c:pt idx="90">
                  <c:v>1</c:v>
                </c:pt>
                <c:pt idx="91">
                  <c:v>1.0001523280439077</c:v>
                </c:pt>
                <c:pt idx="92">
                  <c:v>1.0006095442988217</c:v>
                </c:pt>
                <c:pt idx="93">
                  <c:v>1.0013723459979209</c:v>
                </c:pt>
                <c:pt idx="94">
                  <c:v>1.0024418980811722</c:v>
                </c:pt>
                <c:pt idx="95">
                  <c:v>1.0038198375433474</c:v>
                </c:pt>
                <c:pt idx="96">
                  <c:v>1.0055082795635164</c:v>
                </c:pt>
                <c:pt idx="97">
                  <c:v>1.0075098254588484</c:v>
                </c:pt>
                <c:pt idx="98">
                  <c:v>1.0098275725186181</c:v>
                </c:pt>
                <c:pt idx="99">
                  <c:v>1.0124651257880031</c:v>
                </c:pt>
                <c:pt idx="100">
                  <c:v>1.0154266118857451</c:v>
                </c:pt>
                <c:pt idx="101">
                  <c:v>1.0187166949552142</c:v>
                </c:pt>
                <c:pt idx="102">
                  <c:v>1.0223405948650293</c:v>
                </c:pt>
                <c:pt idx="103">
                  <c:v>1.0263041077933917</c:v>
                </c:pt>
                <c:pt idx="104">
                  <c:v>1.0306136293498982</c:v>
                </c:pt>
                <c:pt idx="105">
                  <c:v>1.035276180410083</c:v>
                </c:pt>
                <c:pt idx="106">
                  <c:v>1.040299435861602</c:v>
                </c:pt>
                <c:pt idx="107">
                  <c:v>1.045691756487148</c:v>
                </c:pt>
                <c:pt idx="108">
                  <c:v>1.0514622242382672</c:v>
                </c:pt>
                <c:pt idx="109">
                  <c:v>1.0576206811866706</c:v>
                </c:pt>
                <c:pt idx="110">
                  <c:v>1.0641777724759121</c:v>
                </c:pt>
                <c:pt idx="111">
                  <c:v>1.071144993637029</c:v>
                </c:pt>
                <c:pt idx="112">
                  <c:v>1.0785347426775833</c:v>
                </c:pt>
                <c:pt idx="113">
                  <c:v>1.0863603774052961</c:v>
                </c:pt>
                <c:pt idx="114">
                  <c:v>1.0946362785060466</c:v>
                </c:pt>
                <c:pt idx="115">
                  <c:v>1.1033779189624917</c:v>
                </c:pt>
                <c:pt idx="116">
                  <c:v>1.112601940475189</c:v>
                </c:pt>
                <c:pt idx="117">
                  <c:v>1.1223262376343608</c:v>
                </c:pt>
                <c:pt idx="118">
                  <c:v>1.132570050689039</c:v>
                </c:pt>
                <c:pt idx="119">
                  <c:v>1.1433540678733198</c:v>
                </c:pt>
                <c:pt idx="120">
                  <c:v>1.1547005383792515</c:v>
                </c:pt>
                <c:pt idx="121">
                  <c:v>1.1666333972153304</c:v>
                </c:pt>
                <c:pt idx="122">
                  <c:v>1.1791784033620962</c:v>
                </c:pt>
                <c:pt idx="123">
                  <c:v>1.1923632928359476</c:v>
                </c:pt>
                <c:pt idx="124">
                  <c:v>1.2062179485039053</c:v>
                </c:pt>
                <c:pt idx="125">
                  <c:v>1.2207745887614556</c:v>
                </c:pt>
                <c:pt idx="126">
                  <c:v>1.2360679774997896</c:v>
                </c:pt>
                <c:pt idx="127">
                  <c:v>1.252135658156226</c:v>
                </c:pt>
                <c:pt idx="128">
                  <c:v>1.2690182150725788</c:v>
                </c:pt>
                <c:pt idx="129">
                  <c:v>1.2867595658931672</c:v>
                </c:pt>
                <c:pt idx="130">
                  <c:v>1.3054072893322786</c:v>
                </c:pt>
                <c:pt idx="131">
                  <c:v>1.3250129933488117</c:v>
                </c:pt>
                <c:pt idx="132">
                  <c:v>1.3456327296063761</c:v>
                </c:pt>
                <c:pt idx="133">
                  <c:v>1.367327461098595</c:v>
                </c:pt>
                <c:pt idx="134">
                  <c:v>1.3901635910166783</c:v>
                </c:pt>
                <c:pt idx="135">
                  <c:v>1.4142135623730949</c:v>
                </c:pt>
                <c:pt idx="136">
                  <c:v>1.4395565396257266</c:v>
                </c:pt>
                <c:pt idx="137">
                  <c:v>1.4662791856396247</c:v>
                </c:pt>
                <c:pt idx="138">
                  <c:v>1.4944765498646084</c:v>
                </c:pt>
                <c:pt idx="139">
                  <c:v>1.5242530867058142</c:v>
                </c:pt>
                <c:pt idx="140">
                  <c:v>1.5557238268604119</c:v>
                </c:pt>
                <c:pt idx="141">
                  <c:v>1.5890157290657487</c:v>
                </c:pt>
                <c:pt idx="142">
                  <c:v>1.6242692454827437</c:v>
                </c:pt>
                <c:pt idx="143">
                  <c:v>1.6616401411224835</c:v>
                </c:pt>
                <c:pt idx="144">
                  <c:v>1.7013016167040795</c:v>
                </c:pt>
                <c:pt idx="145">
                  <c:v>1.7434467956210971</c:v>
                </c:pt>
                <c:pt idx="146">
                  <c:v>1.7882916499714003</c:v>
                </c:pt>
                <c:pt idx="147">
                  <c:v>1.8360784587766634</c:v>
                </c:pt>
                <c:pt idx="148">
                  <c:v>1.8870799147998585</c:v>
                </c:pt>
                <c:pt idx="149">
                  <c:v>1.9416040264103558</c:v>
                </c:pt>
                <c:pt idx="150">
                  <c:v>2</c:v>
                </c:pt>
                <c:pt idx="151">
                  <c:v>2.0626653396273138</c:v>
                </c:pt>
                <c:pt idx="152">
                  <c:v>2.1300544681895115</c:v>
                </c:pt>
                <c:pt idx="153">
                  <c:v>2.2026892645852665</c:v>
                </c:pt>
                <c:pt idx="154">
                  <c:v>2.2811720327048599</c:v>
                </c:pt>
                <c:pt idx="155">
                  <c:v>2.3662015831524981</c:v>
                </c:pt>
                <c:pt idx="156">
                  <c:v>2.4585933355742369</c:v>
                </c:pt>
                <c:pt idx="157">
                  <c:v>2.5593046652474496</c:v>
                </c:pt>
                <c:pt idx="158">
                  <c:v>2.669467162554013</c:v>
                </c:pt>
                <c:pt idx="159">
                  <c:v>2.7904281096253363</c:v>
                </c:pt>
                <c:pt idx="160">
                  <c:v>2.9238044001630858</c:v>
                </c:pt>
                <c:pt idx="161">
                  <c:v>3.0715534867572387</c:v>
                </c:pt>
                <c:pt idx="162">
                  <c:v>3.2360679774997889</c:v>
                </c:pt>
                <c:pt idx="163">
                  <c:v>3.4203036198332648</c:v>
                </c:pt>
                <c:pt idx="164">
                  <c:v>3.6279552785432938</c:v>
                </c:pt>
                <c:pt idx="165">
                  <c:v>3.8637033051562693</c:v>
                </c:pt>
                <c:pt idx="166">
                  <c:v>4.1335654944387494</c:v>
                </c:pt>
                <c:pt idx="167">
                  <c:v>4.4454114825858051</c:v>
                </c:pt>
                <c:pt idx="168">
                  <c:v>4.8097343447441316</c:v>
                </c:pt>
                <c:pt idx="169">
                  <c:v>5.2408430641678443</c:v>
                </c:pt>
                <c:pt idx="170">
                  <c:v>5.7587704831436364</c:v>
                </c:pt>
                <c:pt idx="171">
                  <c:v>6.3924532214996574</c:v>
                </c:pt>
                <c:pt idx="172">
                  <c:v>7.185296534327704</c:v>
                </c:pt>
                <c:pt idx="173">
                  <c:v>8.2055090481250748</c:v>
                </c:pt>
                <c:pt idx="174">
                  <c:v>9.5667722335056027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-11</c:v>
                </c:pt>
                <c:pt idx="182">
                  <c:v>-11</c:v>
                </c:pt>
                <c:pt idx="183">
                  <c:v>-11</c:v>
                </c:pt>
                <c:pt idx="184">
                  <c:v>-11</c:v>
                </c:pt>
                <c:pt idx="185">
                  <c:v>-11</c:v>
                </c:pt>
                <c:pt idx="186">
                  <c:v>-9.5667722335056649</c:v>
                </c:pt>
                <c:pt idx="187">
                  <c:v>-8.2055090481250605</c:v>
                </c:pt>
                <c:pt idx="188">
                  <c:v>-7.1852965343277155</c:v>
                </c:pt>
                <c:pt idx="189">
                  <c:v>-6.3924532214996672</c:v>
                </c:pt>
                <c:pt idx="190">
                  <c:v>-5.7587704831436293</c:v>
                </c:pt>
                <c:pt idx="191">
                  <c:v>-5.2408430641678514</c:v>
                </c:pt>
                <c:pt idx="192">
                  <c:v>-4.809734344744137</c:v>
                </c:pt>
                <c:pt idx="193">
                  <c:v>-4.4454114825858015</c:v>
                </c:pt>
                <c:pt idx="194">
                  <c:v>-4.133565494438753</c:v>
                </c:pt>
                <c:pt idx="195">
                  <c:v>-3.8637033051562795</c:v>
                </c:pt>
                <c:pt idx="196">
                  <c:v>-3.6279552785433027</c:v>
                </c:pt>
                <c:pt idx="197">
                  <c:v>-3.4203036198332728</c:v>
                </c:pt>
                <c:pt idx="198">
                  <c:v>-3.2360679774997867</c:v>
                </c:pt>
                <c:pt idx="199">
                  <c:v>-3.0715534867572414</c:v>
                </c:pt>
                <c:pt idx="200">
                  <c:v>-2.9238044001630881</c:v>
                </c:pt>
                <c:pt idx="201">
                  <c:v>-2.7904281096253345</c:v>
                </c:pt>
                <c:pt idx="202">
                  <c:v>-2.6694671625540143</c:v>
                </c:pt>
                <c:pt idx="203">
                  <c:v>-2.5593046652474536</c:v>
                </c:pt>
                <c:pt idx="204">
                  <c:v>-2.4585933355742404</c:v>
                </c:pt>
                <c:pt idx="205">
                  <c:v>-2.3662015831524994</c:v>
                </c:pt>
                <c:pt idx="206">
                  <c:v>-2.2811720327048612</c:v>
                </c:pt>
                <c:pt idx="207">
                  <c:v>-2.2026892645852691</c:v>
                </c:pt>
                <c:pt idx="208">
                  <c:v>-2.1300544681895124</c:v>
                </c:pt>
                <c:pt idx="209">
                  <c:v>-2.0626653396273147</c:v>
                </c:pt>
                <c:pt idx="210">
                  <c:v>-1.9999999999999996</c:v>
                </c:pt>
                <c:pt idx="211">
                  <c:v>-1.9416040264103567</c:v>
                </c:pt>
                <c:pt idx="212">
                  <c:v>-1.8870799147998589</c:v>
                </c:pt>
                <c:pt idx="213">
                  <c:v>-1.8360784587766632</c:v>
                </c:pt>
                <c:pt idx="214">
                  <c:v>-1.788291649971401</c:v>
                </c:pt>
                <c:pt idx="215">
                  <c:v>-1.7434467956210988</c:v>
                </c:pt>
                <c:pt idx="216">
                  <c:v>-1.7013016167040802</c:v>
                </c:pt>
                <c:pt idx="217">
                  <c:v>-1.6616401411224839</c:v>
                </c:pt>
                <c:pt idx="218">
                  <c:v>-1.6242692454827452</c:v>
                </c:pt>
                <c:pt idx="219">
                  <c:v>-1.5890157290657489</c:v>
                </c:pt>
                <c:pt idx="220">
                  <c:v>-1.5557238268604126</c:v>
                </c:pt>
                <c:pt idx="221">
                  <c:v>-1.5242530867058139</c:v>
                </c:pt>
                <c:pt idx="222">
                  <c:v>-1.4944765498646086</c:v>
                </c:pt>
                <c:pt idx="223">
                  <c:v>-1.4662791856396251</c:v>
                </c:pt>
                <c:pt idx="224">
                  <c:v>-1.4395565396257262</c:v>
                </c:pt>
                <c:pt idx="225">
                  <c:v>-1.4142135623730951</c:v>
                </c:pt>
                <c:pt idx="226">
                  <c:v>-1.3901635910166794</c:v>
                </c:pt>
                <c:pt idx="227">
                  <c:v>-1.3673274610985959</c:v>
                </c:pt>
                <c:pt idx="228">
                  <c:v>-1.3456327296063766</c:v>
                </c:pt>
                <c:pt idx="229">
                  <c:v>-1.325012993348812</c:v>
                </c:pt>
                <c:pt idx="230">
                  <c:v>-1.3054072893322788</c:v>
                </c:pt>
                <c:pt idx="231">
                  <c:v>-1.286759565893167</c:v>
                </c:pt>
                <c:pt idx="232">
                  <c:v>-1.2690182150725786</c:v>
                </c:pt>
                <c:pt idx="233">
                  <c:v>-1.2521356581562257</c:v>
                </c:pt>
                <c:pt idx="234">
                  <c:v>-1.2360679774997898</c:v>
                </c:pt>
                <c:pt idx="235">
                  <c:v>-1.2207745887614563</c:v>
                </c:pt>
                <c:pt idx="236">
                  <c:v>-1.2062179485039057</c:v>
                </c:pt>
                <c:pt idx="237">
                  <c:v>-1.1923632928359473</c:v>
                </c:pt>
                <c:pt idx="238">
                  <c:v>-1.1791784033620965</c:v>
                </c:pt>
                <c:pt idx="239">
                  <c:v>-1.1666333972153307</c:v>
                </c:pt>
                <c:pt idx="240">
                  <c:v>-1.1547005383792519</c:v>
                </c:pt>
                <c:pt idx="241">
                  <c:v>-1.1433540678733198</c:v>
                </c:pt>
                <c:pt idx="242">
                  <c:v>-1.132570050689039</c:v>
                </c:pt>
                <c:pt idx="243">
                  <c:v>-1.1223262376343608</c:v>
                </c:pt>
                <c:pt idx="244">
                  <c:v>-1.1126019404751892</c:v>
                </c:pt>
                <c:pt idx="245">
                  <c:v>-1.1033779189624922</c:v>
                </c:pt>
                <c:pt idx="246">
                  <c:v>-1.0946362785060466</c:v>
                </c:pt>
                <c:pt idx="247">
                  <c:v>-1.0863603774052963</c:v>
                </c:pt>
                <c:pt idx="248">
                  <c:v>-1.0785347426775835</c:v>
                </c:pt>
                <c:pt idx="249">
                  <c:v>-1.0711449936370292</c:v>
                </c:pt>
                <c:pt idx="250">
                  <c:v>-1.0641777724759123</c:v>
                </c:pt>
                <c:pt idx="251">
                  <c:v>-1.0576206811866706</c:v>
                </c:pt>
                <c:pt idx="252">
                  <c:v>-1.0514622242382672</c:v>
                </c:pt>
                <c:pt idx="253">
                  <c:v>-1.0456917564871482</c:v>
                </c:pt>
                <c:pt idx="254">
                  <c:v>-1.040299435861602</c:v>
                </c:pt>
                <c:pt idx="255">
                  <c:v>-1.035276180410083</c:v>
                </c:pt>
                <c:pt idx="256">
                  <c:v>-1.0306136293498982</c:v>
                </c:pt>
                <c:pt idx="257">
                  <c:v>-1.0263041077933917</c:v>
                </c:pt>
                <c:pt idx="258">
                  <c:v>-1.0223405948650293</c:v>
                </c:pt>
                <c:pt idx="259">
                  <c:v>-1.0187166949552142</c:v>
                </c:pt>
                <c:pt idx="260">
                  <c:v>-1.0154266118857451</c:v>
                </c:pt>
                <c:pt idx="261">
                  <c:v>-1.0124651257880031</c:v>
                </c:pt>
                <c:pt idx="262">
                  <c:v>-1.0098275725186181</c:v>
                </c:pt>
                <c:pt idx="263">
                  <c:v>-1.0075098254588484</c:v>
                </c:pt>
                <c:pt idx="264">
                  <c:v>-1.0055082795635164</c:v>
                </c:pt>
                <c:pt idx="265">
                  <c:v>-1.0038198375433474</c:v>
                </c:pt>
                <c:pt idx="266">
                  <c:v>-1.0024418980811722</c:v>
                </c:pt>
                <c:pt idx="267">
                  <c:v>-1.0013723459979209</c:v>
                </c:pt>
                <c:pt idx="268">
                  <c:v>-1.0006095442988219</c:v>
                </c:pt>
                <c:pt idx="269">
                  <c:v>-1.0001523280439077</c:v>
                </c:pt>
                <c:pt idx="270">
                  <c:v>-1</c:v>
                </c:pt>
                <c:pt idx="271">
                  <c:v>-1.0001523280439077</c:v>
                </c:pt>
                <c:pt idx="272">
                  <c:v>-1.0006095442988217</c:v>
                </c:pt>
                <c:pt idx="273">
                  <c:v>-1.0013723459979209</c:v>
                </c:pt>
                <c:pt idx="274">
                  <c:v>-1.002441898081172</c:v>
                </c:pt>
                <c:pt idx="275">
                  <c:v>-1.0038198375433474</c:v>
                </c:pt>
                <c:pt idx="276">
                  <c:v>-1.0055082795635164</c:v>
                </c:pt>
                <c:pt idx="277">
                  <c:v>-1.0075098254588484</c:v>
                </c:pt>
                <c:pt idx="278">
                  <c:v>-1.0098275725186181</c:v>
                </c:pt>
                <c:pt idx="279">
                  <c:v>-1.0124651257880029</c:v>
                </c:pt>
                <c:pt idx="280">
                  <c:v>-1.0154266118857449</c:v>
                </c:pt>
                <c:pt idx="281">
                  <c:v>-1.018716694955214</c:v>
                </c:pt>
                <c:pt idx="282">
                  <c:v>-1.022340594865029</c:v>
                </c:pt>
                <c:pt idx="283">
                  <c:v>-1.0263041077933917</c:v>
                </c:pt>
                <c:pt idx="284">
                  <c:v>-1.030613629349898</c:v>
                </c:pt>
                <c:pt idx="285">
                  <c:v>-1.0352761804100832</c:v>
                </c:pt>
                <c:pt idx="286">
                  <c:v>-1.0402994358616022</c:v>
                </c:pt>
                <c:pt idx="287">
                  <c:v>-1.045691756487148</c:v>
                </c:pt>
                <c:pt idx="288">
                  <c:v>-1.0514622242382672</c:v>
                </c:pt>
                <c:pt idx="289">
                  <c:v>-1.0576206811866704</c:v>
                </c:pt>
                <c:pt idx="290">
                  <c:v>-1.0641777724759121</c:v>
                </c:pt>
                <c:pt idx="291">
                  <c:v>-1.0711449936370285</c:v>
                </c:pt>
                <c:pt idx="292">
                  <c:v>-1.0785347426775833</c:v>
                </c:pt>
                <c:pt idx="293">
                  <c:v>-1.0863603774052961</c:v>
                </c:pt>
                <c:pt idx="294">
                  <c:v>-1.0946362785060468</c:v>
                </c:pt>
                <c:pt idx="295">
                  <c:v>-1.1033779189624917</c:v>
                </c:pt>
                <c:pt idx="296">
                  <c:v>-1.1126019404751888</c:v>
                </c:pt>
                <c:pt idx="297">
                  <c:v>-1.1223262376343608</c:v>
                </c:pt>
                <c:pt idx="298">
                  <c:v>-1.132570050689039</c:v>
                </c:pt>
                <c:pt idx="299">
                  <c:v>-1.1433540678733196</c:v>
                </c:pt>
                <c:pt idx="300">
                  <c:v>-1.1547005383792517</c:v>
                </c:pt>
                <c:pt idx="301">
                  <c:v>-1.1666333972153304</c:v>
                </c:pt>
                <c:pt idx="302">
                  <c:v>-1.1791784033620962</c:v>
                </c:pt>
                <c:pt idx="303">
                  <c:v>-1.1923632928359471</c:v>
                </c:pt>
                <c:pt idx="304">
                  <c:v>-1.2062179485039048</c:v>
                </c:pt>
                <c:pt idx="305">
                  <c:v>-1.2207745887614561</c:v>
                </c:pt>
                <c:pt idx="306">
                  <c:v>-1.2360679774997896</c:v>
                </c:pt>
                <c:pt idx="307">
                  <c:v>-1.2521356581562253</c:v>
                </c:pt>
                <c:pt idx="308">
                  <c:v>-1.2690182150725791</c:v>
                </c:pt>
                <c:pt idx="309">
                  <c:v>-1.2867595658931674</c:v>
                </c:pt>
                <c:pt idx="310">
                  <c:v>-1.3054072893322783</c:v>
                </c:pt>
                <c:pt idx="311">
                  <c:v>-1.3250129933488108</c:v>
                </c:pt>
                <c:pt idx="312">
                  <c:v>-1.3456327296063755</c:v>
                </c:pt>
                <c:pt idx="313">
                  <c:v>-1.3673274610985944</c:v>
                </c:pt>
                <c:pt idx="314">
                  <c:v>-1.3901635910166776</c:v>
                </c:pt>
                <c:pt idx="315">
                  <c:v>-1.4142135623730947</c:v>
                </c:pt>
                <c:pt idx="316">
                  <c:v>-1.4395565396257257</c:v>
                </c:pt>
                <c:pt idx="317">
                  <c:v>-1.4662791856396256</c:v>
                </c:pt>
                <c:pt idx="318">
                  <c:v>-1.4944765498646089</c:v>
                </c:pt>
                <c:pt idx="319">
                  <c:v>-1.5242530867058139</c:v>
                </c:pt>
                <c:pt idx="320">
                  <c:v>-1.5557238268604117</c:v>
                </c:pt>
                <c:pt idx="321">
                  <c:v>-1.5890157290657485</c:v>
                </c:pt>
                <c:pt idx="322">
                  <c:v>-1.6242692454827425</c:v>
                </c:pt>
                <c:pt idx="323">
                  <c:v>-1.6616401411224833</c:v>
                </c:pt>
                <c:pt idx="324">
                  <c:v>-1.7013016167040791</c:v>
                </c:pt>
                <c:pt idx="325">
                  <c:v>-1.7434467956210968</c:v>
                </c:pt>
                <c:pt idx="326">
                  <c:v>-1.788291649971399</c:v>
                </c:pt>
                <c:pt idx="327">
                  <c:v>-1.8360784587766634</c:v>
                </c:pt>
                <c:pt idx="328">
                  <c:v>-1.8870799147998554</c:v>
                </c:pt>
                <c:pt idx="329">
                  <c:v>-1.9416040264103553</c:v>
                </c:pt>
                <c:pt idx="330">
                  <c:v>-1.9999999999999982</c:v>
                </c:pt>
                <c:pt idx="331">
                  <c:v>-2.0626653396273147</c:v>
                </c:pt>
                <c:pt idx="332">
                  <c:v>-2.1300544681895124</c:v>
                </c:pt>
                <c:pt idx="333">
                  <c:v>-2.2026892645852656</c:v>
                </c:pt>
                <c:pt idx="334">
                  <c:v>-2.2811720327048612</c:v>
                </c:pt>
                <c:pt idx="335">
                  <c:v>-2.3662015831524954</c:v>
                </c:pt>
                <c:pt idx="336">
                  <c:v>-2.4585933355742386</c:v>
                </c:pt>
                <c:pt idx="337">
                  <c:v>-2.559304665247446</c:v>
                </c:pt>
                <c:pt idx="338">
                  <c:v>-2.6694671625540121</c:v>
                </c:pt>
                <c:pt idx="339">
                  <c:v>-2.7904281096253323</c:v>
                </c:pt>
                <c:pt idx="340">
                  <c:v>-2.9238044001630885</c:v>
                </c:pt>
                <c:pt idx="341">
                  <c:v>-3.0715534867572343</c:v>
                </c:pt>
                <c:pt idx="342">
                  <c:v>-3.2360679774997876</c:v>
                </c:pt>
                <c:pt idx="343">
                  <c:v>-3.4203036198332741</c:v>
                </c:pt>
                <c:pt idx="344">
                  <c:v>-3.6279552785432925</c:v>
                </c:pt>
                <c:pt idx="345">
                  <c:v>-3.8637033051562741</c:v>
                </c:pt>
                <c:pt idx="346">
                  <c:v>-4.1335654944387468</c:v>
                </c:pt>
                <c:pt idx="347">
                  <c:v>-4.4454114825857944</c:v>
                </c:pt>
                <c:pt idx="348">
                  <c:v>-4.8097343447441183</c:v>
                </c:pt>
                <c:pt idx="349">
                  <c:v>-5.2408430641678532</c:v>
                </c:pt>
                <c:pt idx="350">
                  <c:v>-5.7587704831436026</c:v>
                </c:pt>
                <c:pt idx="351">
                  <c:v>-6.3924532214996512</c:v>
                </c:pt>
                <c:pt idx="352">
                  <c:v>-7.1852965343276969</c:v>
                </c:pt>
                <c:pt idx="353">
                  <c:v>-8.2055090481250357</c:v>
                </c:pt>
                <c:pt idx="354">
                  <c:v>-9.5667722335056311</c:v>
                </c:pt>
                <c:pt idx="355">
                  <c:v>-11</c:v>
                </c:pt>
                <c:pt idx="356">
                  <c:v>-11</c:v>
                </c:pt>
                <c:pt idx="357">
                  <c:v>-11</c:v>
                </c:pt>
                <c:pt idx="358">
                  <c:v>-11</c:v>
                </c:pt>
                <c:pt idx="359">
                  <c:v>-11</c:v>
                </c:pt>
                <c:pt idx="360">
                  <c:v>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C-4A7A-B7A5-55F4DD431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39807"/>
        <c:axId val="216268095"/>
      </c:scatterChart>
      <c:valAx>
        <c:axId val="351839807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900"/>
            </a:pPr>
            <a:endParaRPr lang="es-CO"/>
          </a:p>
        </c:txPr>
        <c:crossAx val="216268095"/>
        <c:crosses val="autoZero"/>
        <c:crossBetween val="midCat"/>
      </c:valAx>
      <c:valAx>
        <c:axId val="21626809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O"/>
          </a:p>
        </c:txPr>
        <c:crossAx val="351839807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100" b="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9712F2-8C9D-4334-9A45-634DD1EA633A}">
  <sheetPr/>
  <sheetViews>
    <sheetView zoomScale="114" workbookViewId="0" zoomToFit="1"/>
  </sheetViews>
  <sheetProtection algorithmName="SHA-512" hashValue="Chqh4acawaG/Lgs8LTJpnvu7nTk7LgOZuUxNX8mBJliy058qeAx2hH0z0v7V5ph0auj1WPUHLwg5BQnTvEx84A==" saltValue="9yoiET+5tYRZNjpIDmYV0A==" spinCount="100000" content="1" objects="1"/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101256</xdr:colOff>
      <xdr:row>2</xdr:row>
      <xdr:rowOff>95251</xdr:rowOff>
    </xdr:from>
    <xdr:to>
      <xdr:col>7</xdr:col>
      <xdr:colOff>731106</xdr:colOff>
      <xdr:row>11</xdr:row>
      <xdr:rowOff>166605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EBCFDA-A4B8-4736-A912-14692FCCE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484272</xdr:colOff>
      <xdr:row>0</xdr:row>
      <xdr:rowOff>54001</xdr:rowOff>
    </xdr:from>
    <xdr:ext cx="1179066" cy="2945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42ADF3C-D64A-9EC2-DD5A-49A1833BB77D}"/>
                </a:ext>
              </a:extLst>
            </xdr:cNvPr>
            <xdr:cNvSpPr txBox="1"/>
          </xdr:nvSpPr>
          <xdr:spPr>
            <a:xfrm>
              <a:off x="3645840" y="54001"/>
              <a:ext cx="1179066" cy="2945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e>
                        <m:sup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num>
                    <m:den>
                      <m:sSup>
                        <m:sSup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p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den>
                  </m:f>
                </m:oMath>
              </a14:m>
              <a:r>
                <a:rPr lang="es-CO" sz="1200"/>
                <a:t>+</a:t>
              </a:r>
              <a14:m>
                <m:oMath xmlns:m="http://schemas.openxmlformats.org/officeDocument/2006/math">
                  <m:f>
                    <m:fPr>
                      <m:ctrlP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e>
                        <m:sup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num>
                    <m:den>
                      <m:sSup>
                        <m:sSupPr>
                          <m:ctrlP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den>
                  </m:f>
                  <m:r>
                    <a:rPr lang="en-U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=1</m:t>
                  </m:r>
                </m:oMath>
              </a14:m>
              <a:endParaRPr lang="es-CO" sz="12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42ADF3C-D64A-9EC2-DD5A-49A1833BB77D}"/>
                </a:ext>
              </a:extLst>
            </xdr:cNvPr>
            <xdr:cNvSpPr txBox="1"/>
          </xdr:nvSpPr>
          <xdr:spPr>
            <a:xfrm>
              <a:off x="3645840" y="54001"/>
              <a:ext cx="1179066" cy="2945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〖(𝑥−ℎ)〗^2/</a:t>
              </a:r>
              <a:r>
                <a:rPr lang="en-US" sz="1200" b="0" i="0">
                  <a:latin typeface="Cambria Math" panose="02040503050406030204" pitchFamily="18" charset="0"/>
                </a:rPr>
                <a:t>𝑎^2 </a:t>
              </a:r>
              <a:r>
                <a:rPr lang="es-CO" sz="1200"/>
                <a:t>+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〖(𝑦−𝑘)〗^2/𝑏^2 =1</a:t>
              </a:r>
              <a:endParaRPr lang="es-CO" sz="1200"/>
            </a:p>
          </xdr:txBody>
        </xdr:sp>
      </mc:Fallback>
    </mc:AlternateContent>
    <xdr:clientData/>
  </xdr:oneCellAnchor>
  <xdr:twoCellAnchor editAs="oneCell">
    <xdr:from>
      <xdr:col>1</xdr:col>
      <xdr:colOff>42485</xdr:colOff>
      <xdr:row>0</xdr:row>
      <xdr:rowOff>116452</xdr:rowOff>
    </xdr:from>
    <xdr:to>
      <xdr:col>2</xdr:col>
      <xdr:colOff>555522</xdr:colOff>
      <xdr:row>1</xdr:row>
      <xdr:rowOff>144820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9850E64-89EC-42CF-BA15-2128D250A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14763" y="116452"/>
          <a:ext cx="1003368" cy="240403"/>
        </a:xfrm>
        <a:prstGeom prst="rect">
          <a:avLst/>
        </a:prstGeom>
      </xdr:spPr>
    </xdr:pic>
    <xdr:clientData/>
  </xdr:twoCellAnchor>
  <xdr:twoCellAnchor editAs="oneCell">
    <xdr:from>
      <xdr:col>9</xdr:col>
      <xdr:colOff>54371</xdr:colOff>
      <xdr:row>3</xdr:row>
      <xdr:rowOff>13607</xdr:rowOff>
    </xdr:from>
    <xdr:to>
      <xdr:col>13</xdr:col>
      <xdr:colOff>723898</xdr:colOff>
      <xdr:row>10</xdr:row>
      <xdr:rowOff>87087</xdr:rowOff>
    </xdr:to>
    <xdr:pic>
      <xdr:nvPicPr>
        <xdr:cNvPr id="5" name="Picture 4" descr="R.DAPC">
          <a:extLst>
            <a:ext uri="{FF2B5EF4-FFF2-40B4-BE49-F238E27FC236}">
              <a16:creationId xmlns:a16="http://schemas.microsoft.com/office/drawing/2014/main" id="{DD5E2FC6-E5C0-6241-C3CD-ECDC08365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557" y="642257"/>
          <a:ext cx="3717527" cy="1540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23750" cy="62789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5FD18B-EABE-1FC0-2ED2-6E3085332D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555304</xdr:colOff>
      <xdr:row>0</xdr:row>
      <xdr:rowOff>33245</xdr:rowOff>
    </xdr:from>
    <xdr:ext cx="1179066" cy="3443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0EB76019-0807-4E37-8D73-418B234974C2}"/>
                </a:ext>
              </a:extLst>
            </xdr:cNvPr>
            <xdr:cNvSpPr txBox="1"/>
          </xdr:nvSpPr>
          <xdr:spPr>
            <a:xfrm>
              <a:off x="4733166" y="33245"/>
              <a:ext cx="1179066" cy="344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</m:sSup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</m:sSup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</m:t>
                    </m:r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0EB76019-0807-4E37-8D73-418B234974C2}"/>
                </a:ext>
              </a:extLst>
            </xdr:cNvPr>
            <xdr:cNvSpPr txBox="1"/>
          </xdr:nvSpPr>
          <xdr:spPr>
            <a:xfrm>
              <a:off x="4733166" y="33245"/>
              <a:ext cx="1179066" cy="3443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^𝑛+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</a:t>
              </a:r>
              <a:endParaRPr lang="es-CO" sz="1200"/>
            </a:p>
          </xdr:txBody>
        </xdr:sp>
      </mc:Fallback>
    </mc:AlternateContent>
    <xdr:clientData/>
  </xdr:oneCellAnchor>
  <xdr:twoCellAnchor editAs="oneCell">
    <xdr:from>
      <xdr:col>1</xdr:col>
      <xdr:colOff>42485</xdr:colOff>
      <xdr:row>0</xdr:row>
      <xdr:rowOff>116452</xdr:rowOff>
    </xdr:from>
    <xdr:to>
      <xdr:col>2</xdr:col>
      <xdr:colOff>555522</xdr:colOff>
      <xdr:row>1</xdr:row>
      <xdr:rowOff>144820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50DA5F2E-7C2F-40DC-A9CD-FA42A372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460" y="116452"/>
          <a:ext cx="1022625" cy="237918"/>
        </a:xfrm>
        <a:prstGeom prst="rect">
          <a:avLst/>
        </a:prstGeom>
      </xdr:spPr>
    </xdr:pic>
    <xdr:clientData/>
  </xdr:twoCellAnchor>
  <xdr:twoCellAnchor editAs="oneCell">
    <xdr:from>
      <xdr:col>8</xdr:col>
      <xdr:colOff>187983</xdr:colOff>
      <xdr:row>1</xdr:row>
      <xdr:rowOff>95249</xdr:rowOff>
    </xdr:from>
    <xdr:to>
      <xdr:col>12</xdr:col>
      <xdr:colOff>457047</xdr:colOff>
      <xdr:row>9</xdr:row>
      <xdr:rowOff>84259</xdr:rowOff>
    </xdr:to>
    <xdr:pic>
      <xdr:nvPicPr>
        <xdr:cNvPr id="6" name="Picture 5" descr="R.DAPC">
          <a:extLst>
            <a:ext uri="{FF2B5EF4-FFF2-40B4-BE49-F238E27FC236}">
              <a16:creationId xmlns:a16="http://schemas.microsoft.com/office/drawing/2014/main" id="{1AC0CE75-0256-B6C9-C407-06A764C21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368" y="304067"/>
          <a:ext cx="2756554" cy="1659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65690</xdr:colOff>
      <xdr:row>2</xdr:row>
      <xdr:rowOff>78827</xdr:rowOff>
    </xdr:from>
    <xdr:to>
      <xdr:col>7</xdr:col>
      <xdr:colOff>706163</xdr:colOff>
      <xdr:row>8</xdr:row>
      <xdr:rowOff>91966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C0BFAD54-AB3C-437C-8391-0E33CF9A7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98279</xdr:colOff>
      <xdr:row>2</xdr:row>
      <xdr:rowOff>106240</xdr:rowOff>
    </xdr:from>
    <xdr:to>
      <xdr:col>5</xdr:col>
      <xdr:colOff>1127164</xdr:colOff>
      <xdr:row>11</xdr:row>
      <xdr:rowOff>157791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79CF36-184C-4F2F-9613-0F531C5A6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696405</xdr:colOff>
      <xdr:row>0</xdr:row>
      <xdr:rowOff>24277</xdr:rowOff>
    </xdr:from>
    <xdr:ext cx="1179066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7D08992-E799-425A-ABF0-9EFCF91F64B0}"/>
                </a:ext>
              </a:extLst>
            </xdr:cNvPr>
            <xdr:cNvSpPr txBox="1"/>
          </xdr:nvSpPr>
          <xdr:spPr>
            <a:xfrm>
              <a:off x="2938443" y="24277"/>
              <a:ext cx="1179066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7D08992-E799-425A-ABF0-9EFCF91F64B0}"/>
                </a:ext>
              </a:extLst>
            </xdr:cNvPr>
            <xdr:cNvSpPr txBox="1"/>
          </xdr:nvSpPr>
          <xdr:spPr>
            <a:xfrm>
              <a:off x="2938443" y="24277"/>
              <a:ext cx="1179066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𝑥^2/</a:t>
              </a:r>
              <a:r>
                <a:rPr lang="en-US" sz="1100" b="0" i="0">
                  <a:latin typeface="Cambria Math" panose="02040503050406030204" pitchFamily="18" charset="0"/>
                </a:rPr>
                <a:t>𝑎^2 −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𝑦^2/𝑏^2 =1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1</xdr:col>
      <xdr:colOff>22607</xdr:colOff>
      <xdr:row>0</xdr:row>
      <xdr:rowOff>120275</xdr:rowOff>
    </xdr:from>
    <xdr:to>
      <xdr:col>2</xdr:col>
      <xdr:colOff>538804</xdr:colOff>
      <xdr:row>1</xdr:row>
      <xdr:rowOff>148643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DC9FA7C-82B5-46AA-9535-42D17E9F9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8453" y="120275"/>
          <a:ext cx="1002705" cy="2393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120233</xdr:colOff>
      <xdr:row>3</xdr:row>
      <xdr:rowOff>60960</xdr:rowOff>
    </xdr:from>
    <xdr:to>
      <xdr:col>8</xdr:col>
      <xdr:colOff>573570</xdr:colOff>
      <xdr:row>15</xdr:row>
      <xdr:rowOff>173603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082BA-2563-45DB-894B-14A0192C9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55739</xdr:colOff>
      <xdr:row>0</xdr:row>
      <xdr:rowOff>96574</xdr:rowOff>
    </xdr:from>
    <xdr:to>
      <xdr:col>2</xdr:col>
      <xdr:colOff>337857</xdr:colOff>
      <xdr:row>1</xdr:row>
      <xdr:rowOff>124942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BDF2A9A-3608-4469-A901-5B5AA441C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8017" y="96574"/>
          <a:ext cx="997736" cy="240403"/>
        </a:xfrm>
        <a:prstGeom prst="rect">
          <a:avLst/>
        </a:prstGeom>
      </xdr:spPr>
    </xdr:pic>
    <xdr:clientData/>
  </xdr:twoCellAnchor>
  <xdr:twoCellAnchor>
    <xdr:from>
      <xdr:col>10</xdr:col>
      <xdr:colOff>278526</xdr:colOff>
      <xdr:row>2</xdr:row>
      <xdr:rowOff>63061</xdr:rowOff>
    </xdr:from>
    <xdr:to>
      <xdr:col>11</xdr:col>
      <xdr:colOff>383629</xdr:colOff>
      <xdr:row>14</xdr:row>
      <xdr:rowOff>175704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90BB8-CD19-42F9-A722-809C100E2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80367</xdr:colOff>
      <xdr:row>0</xdr:row>
      <xdr:rowOff>127991</xdr:rowOff>
    </xdr:from>
    <xdr:to>
      <xdr:col>1</xdr:col>
      <xdr:colOff>1102625</xdr:colOff>
      <xdr:row>1</xdr:row>
      <xdr:rowOff>156818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BED22AF-DF48-4644-993D-2437DCAC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4914" y="127991"/>
          <a:ext cx="1022258" cy="237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4C66-0199-4E41-AD41-CF9343293C52}">
  <dimension ref="B1:J113"/>
  <sheetViews>
    <sheetView showGridLines="0" zoomScale="130" zoomScaleNormal="130" workbookViewId="0">
      <selection activeCell="H1" sqref="H1"/>
    </sheetView>
  </sheetViews>
  <sheetFormatPr defaultColWidth="10.6640625" defaultRowHeight="16.5" x14ac:dyDescent="0.6"/>
  <cols>
    <col min="1" max="1" width="2.53125" style="1" customWidth="1"/>
    <col min="2" max="2" width="7.1328125" style="23" customWidth="1"/>
    <col min="3" max="8" width="11.53125" style="1" customWidth="1"/>
    <col min="9" max="9" width="2.796875" style="1" customWidth="1"/>
    <col min="10" max="16384" width="10.6640625" style="1"/>
  </cols>
  <sheetData>
    <row r="1" spans="2:10" x14ac:dyDescent="0.6">
      <c r="H1" s="53" t="s">
        <v>39</v>
      </c>
    </row>
    <row r="3" spans="2:10" x14ac:dyDescent="0.6">
      <c r="B3" s="61" t="s">
        <v>40</v>
      </c>
      <c r="C3" s="62"/>
      <c r="D3" s="62"/>
      <c r="E3" s="41"/>
      <c r="F3" s="9"/>
      <c r="G3" s="9"/>
      <c r="H3" s="10"/>
    </row>
    <row r="4" spans="2:10" x14ac:dyDescent="0.6">
      <c r="B4" s="64"/>
      <c r="C4" s="65"/>
      <c r="D4" s="65"/>
      <c r="E4" s="49"/>
      <c r="H4" s="11"/>
    </row>
    <row r="5" spans="2:10" x14ac:dyDescent="0.6">
      <c r="B5" s="2" t="s">
        <v>13</v>
      </c>
      <c r="C5" s="14"/>
      <c r="D5" s="45" t="s">
        <v>14</v>
      </c>
      <c r="E5" s="49"/>
      <c r="H5" s="11"/>
    </row>
    <row r="6" spans="2:10" x14ac:dyDescent="0.6">
      <c r="B6" s="15" t="s">
        <v>2</v>
      </c>
      <c r="C6" s="16"/>
      <c r="D6" s="46">
        <v>100</v>
      </c>
      <c r="E6" s="49"/>
      <c r="H6" s="11"/>
    </row>
    <row r="7" spans="2:10" x14ac:dyDescent="0.6">
      <c r="B7" s="15" t="s">
        <v>3</v>
      </c>
      <c r="C7" s="17"/>
      <c r="D7" s="46">
        <v>50</v>
      </c>
      <c r="E7" s="49"/>
      <c r="H7" s="11"/>
    </row>
    <row r="8" spans="2:10" x14ac:dyDescent="0.6">
      <c r="B8" s="15" t="s">
        <v>1</v>
      </c>
      <c r="C8" s="17"/>
      <c r="D8" s="46">
        <v>60</v>
      </c>
      <c r="E8" s="49"/>
      <c r="H8" s="11"/>
    </row>
    <row r="9" spans="2:10" x14ac:dyDescent="0.6">
      <c r="B9" s="15" t="s">
        <v>0</v>
      </c>
      <c r="C9" s="17"/>
      <c r="D9" s="46">
        <v>20</v>
      </c>
      <c r="E9" s="49"/>
      <c r="H9" s="11"/>
    </row>
    <row r="10" spans="2:10" x14ac:dyDescent="0.6">
      <c r="B10" s="15" t="s">
        <v>12</v>
      </c>
      <c r="C10" s="17"/>
      <c r="D10" s="46">
        <v>99</v>
      </c>
      <c r="E10" s="49"/>
      <c r="H10" s="11"/>
    </row>
    <row r="11" spans="2:10" x14ac:dyDescent="0.6">
      <c r="B11" s="15" t="s">
        <v>5</v>
      </c>
      <c r="C11" s="17"/>
      <c r="D11" s="51">
        <f>IF(a_elipse&gt;b_elipse,(a_elipse^2-b_elipse^2)^0.5,(b_elipse^2-a_elipse^2)^0.5)</f>
        <v>56.568542494923804</v>
      </c>
      <c r="E11" s="49"/>
      <c r="H11" s="11"/>
    </row>
    <row r="12" spans="2:10" x14ac:dyDescent="0.6">
      <c r="B12" s="18" t="s">
        <v>4</v>
      </c>
      <c r="C12" s="19"/>
      <c r="D12" s="52">
        <f>D11/a_elipse</f>
        <v>0.94280904158206336</v>
      </c>
      <c r="E12" s="50"/>
      <c r="F12" s="12"/>
      <c r="G12" s="12"/>
      <c r="H12" s="13"/>
    </row>
    <row r="13" spans="2:10" x14ac:dyDescent="0.6">
      <c r="B13" s="20" t="s">
        <v>15</v>
      </c>
      <c r="C13" s="4" t="s">
        <v>6</v>
      </c>
      <c r="D13" s="4" t="s">
        <v>8</v>
      </c>
      <c r="E13" s="47" t="s">
        <v>9</v>
      </c>
      <c r="F13" s="47" t="s">
        <v>7</v>
      </c>
      <c r="G13" s="47" t="s">
        <v>10</v>
      </c>
      <c r="H13" s="48" t="s">
        <v>11</v>
      </c>
      <c r="J13"/>
    </row>
    <row r="14" spans="2:10" x14ac:dyDescent="0.6">
      <c r="B14" s="21">
        <v>1</v>
      </c>
      <c r="C14" s="5">
        <f>h_elipse</f>
        <v>100</v>
      </c>
      <c r="D14" s="5">
        <f t="shared" ref="D14:D45" si="0">(((1-(($C14-h_elipse)^2/a_elipse^2))*(b_elipse^2))^0.5)+k_elipse</f>
        <v>70</v>
      </c>
      <c r="E14" s="5">
        <f>k_elipse-b_elipse</f>
        <v>30</v>
      </c>
      <c r="F14" s="5">
        <f>C14</f>
        <v>100</v>
      </c>
      <c r="G14" s="5">
        <f>D14</f>
        <v>70</v>
      </c>
      <c r="H14" s="6">
        <f>E14</f>
        <v>30</v>
      </c>
    </row>
    <row r="15" spans="2:10" x14ac:dyDescent="0.6">
      <c r="B15" s="21">
        <v>2</v>
      </c>
      <c r="C15" s="5">
        <f t="shared" ref="C15:C46" si="1">IF((a_elipse/np_elipse)+C14&gt;=h_elipse+a_elipse,h_elipse+a_elipse,(a_elipse/np_elipse)+C14)</f>
        <v>100.60606060606061</v>
      </c>
      <c r="D15" s="5">
        <f t="shared" si="0"/>
        <v>69.998979669922562</v>
      </c>
      <c r="E15" s="5">
        <f>E14+(D14-D15)</f>
        <v>30.001020330077438</v>
      </c>
      <c r="F15" s="5">
        <f>(F14-(C15-C14))</f>
        <v>99.393939393939391</v>
      </c>
      <c r="G15" s="5">
        <f t="shared" ref="G15:G78" si="2">D15</f>
        <v>69.998979669922562</v>
      </c>
      <c r="H15" s="6">
        <f t="shared" ref="H15:H78" si="3">E15</f>
        <v>30.001020330077438</v>
      </c>
    </row>
    <row r="16" spans="2:10" x14ac:dyDescent="0.6">
      <c r="B16" s="21">
        <v>3</v>
      </c>
      <c r="C16" s="5">
        <f t="shared" si="1"/>
        <v>101.21212121212122</v>
      </c>
      <c r="D16" s="5">
        <f t="shared" si="0"/>
        <v>69.995918367304427</v>
      </c>
      <c r="E16" s="5">
        <f t="shared" ref="E16:E79" si="4">E15+(D15-D16)</f>
        <v>30.004081632695573</v>
      </c>
      <c r="F16" s="5">
        <f t="shared" ref="F16:F79" si="5">(F15-(C16-C15))</f>
        <v>98.787878787878782</v>
      </c>
      <c r="G16" s="5">
        <f t="shared" si="2"/>
        <v>69.995918367304427</v>
      </c>
      <c r="H16" s="6">
        <f t="shared" si="3"/>
        <v>30.004081632695573</v>
      </c>
    </row>
    <row r="17" spans="2:8" x14ac:dyDescent="0.6">
      <c r="B17" s="21">
        <v>4</v>
      </c>
      <c r="C17" s="5">
        <f t="shared" si="1"/>
        <v>101.81818181818183</v>
      </c>
      <c r="D17" s="5">
        <f t="shared" si="0"/>
        <v>69.990815154509875</v>
      </c>
      <c r="E17" s="5">
        <f t="shared" si="4"/>
        <v>30.009184845490125</v>
      </c>
      <c r="F17" s="5">
        <f t="shared" si="5"/>
        <v>98.181818181818173</v>
      </c>
      <c r="G17" s="5">
        <f t="shared" si="2"/>
        <v>69.990815154509875</v>
      </c>
      <c r="H17" s="6">
        <f t="shared" si="3"/>
        <v>30.009184845490125</v>
      </c>
    </row>
    <row r="18" spans="2:8" x14ac:dyDescent="0.6">
      <c r="B18" s="21">
        <v>5</v>
      </c>
      <c r="C18" s="5">
        <f t="shared" si="1"/>
        <v>102.42424242424244</v>
      </c>
      <c r="D18" s="5">
        <f t="shared" si="0"/>
        <v>69.983668467216205</v>
      </c>
      <c r="E18" s="5">
        <f t="shared" si="4"/>
        <v>30.016331532783795</v>
      </c>
      <c r="F18" s="5">
        <f t="shared" si="5"/>
        <v>97.575757575757564</v>
      </c>
      <c r="G18" s="5">
        <f t="shared" si="2"/>
        <v>69.983668467216205</v>
      </c>
      <c r="H18" s="6">
        <f t="shared" si="3"/>
        <v>30.016331532783795</v>
      </c>
    </row>
    <row r="19" spans="2:8" x14ac:dyDescent="0.6">
      <c r="B19" s="21">
        <v>6</v>
      </c>
      <c r="C19" s="5">
        <f t="shared" si="1"/>
        <v>103.03030303030305</v>
      </c>
      <c r="D19" s="5">
        <f t="shared" si="0"/>
        <v>69.974476112013377</v>
      </c>
      <c r="E19" s="5">
        <f t="shared" si="4"/>
        <v>30.025523887986623</v>
      </c>
      <c r="F19" s="5">
        <f t="shared" si="5"/>
        <v>96.969696969696955</v>
      </c>
      <c r="G19" s="5">
        <f t="shared" si="2"/>
        <v>69.974476112013377</v>
      </c>
      <c r="H19" s="6">
        <f t="shared" si="3"/>
        <v>30.025523887986623</v>
      </c>
    </row>
    <row r="20" spans="2:8" x14ac:dyDescent="0.6">
      <c r="B20" s="21">
        <v>7</v>
      </c>
      <c r="C20" s="5">
        <f t="shared" si="1"/>
        <v>103.63636363636365</v>
      </c>
      <c r="D20" s="5">
        <f t="shared" si="0"/>
        <v>69.963235263031038</v>
      </c>
      <c r="E20" s="5">
        <f t="shared" si="4"/>
        <v>30.036764736968962</v>
      </c>
      <c r="F20" s="5">
        <f t="shared" si="5"/>
        <v>96.363636363636346</v>
      </c>
      <c r="G20" s="5">
        <f t="shared" si="2"/>
        <v>69.963235263031038</v>
      </c>
      <c r="H20" s="6">
        <f t="shared" si="3"/>
        <v>30.036764736968962</v>
      </c>
    </row>
    <row r="21" spans="2:8" x14ac:dyDescent="0.6">
      <c r="B21" s="21">
        <v>8</v>
      </c>
      <c r="C21" s="5">
        <f t="shared" si="1"/>
        <v>104.24242424242426</v>
      </c>
      <c r="D21" s="5">
        <f t="shared" si="0"/>
        <v>69.949942457581429</v>
      </c>
      <c r="E21" s="5">
        <f t="shared" si="4"/>
        <v>30.050057542418571</v>
      </c>
      <c r="F21" s="5">
        <f t="shared" si="5"/>
        <v>95.757575757575736</v>
      </c>
      <c r="G21" s="5">
        <f t="shared" si="2"/>
        <v>69.949942457581429</v>
      </c>
      <c r="H21" s="6">
        <f t="shared" si="3"/>
        <v>30.050057542418571</v>
      </c>
    </row>
    <row r="22" spans="2:8" x14ac:dyDescent="0.6">
      <c r="B22" s="21">
        <v>9</v>
      </c>
      <c r="C22" s="5">
        <f t="shared" si="1"/>
        <v>104.84848484848487</v>
      </c>
      <c r="D22" s="5">
        <f t="shared" si="0"/>
        <v>69.934593590802038</v>
      </c>
      <c r="E22" s="5">
        <f t="shared" si="4"/>
        <v>30.065406409197962</v>
      </c>
      <c r="F22" s="5">
        <f t="shared" si="5"/>
        <v>95.151515151515127</v>
      </c>
      <c r="G22" s="5">
        <f t="shared" si="2"/>
        <v>69.934593590802038</v>
      </c>
      <c r="H22" s="6">
        <f t="shared" si="3"/>
        <v>30.065406409197962</v>
      </c>
    </row>
    <row r="23" spans="2:8" x14ac:dyDescent="0.6">
      <c r="B23" s="21">
        <v>10</v>
      </c>
      <c r="C23" s="5">
        <f t="shared" si="1"/>
        <v>105.45454545454548</v>
      </c>
      <c r="D23" s="5">
        <f t="shared" si="0"/>
        <v>69.917183909278762</v>
      </c>
      <c r="E23" s="5">
        <f t="shared" si="4"/>
        <v>30.082816090721238</v>
      </c>
      <c r="F23" s="5">
        <f t="shared" si="5"/>
        <v>94.545454545454518</v>
      </c>
      <c r="G23" s="5">
        <f t="shared" si="2"/>
        <v>69.917183909278762</v>
      </c>
      <c r="H23" s="6">
        <f t="shared" si="3"/>
        <v>30.082816090721238</v>
      </c>
    </row>
    <row r="24" spans="2:8" x14ac:dyDescent="0.6">
      <c r="B24" s="21">
        <v>11</v>
      </c>
      <c r="C24" s="5">
        <f t="shared" si="1"/>
        <v>106.06060606060609</v>
      </c>
      <c r="D24" s="5">
        <f t="shared" si="0"/>
        <v>69.897708003626235</v>
      </c>
      <c r="E24" s="5">
        <f t="shared" si="4"/>
        <v>30.102291996373765</v>
      </c>
      <c r="F24" s="5">
        <f t="shared" si="5"/>
        <v>93.939393939393909</v>
      </c>
      <c r="G24" s="5">
        <f t="shared" si="2"/>
        <v>69.897708003626235</v>
      </c>
      <c r="H24" s="6">
        <f t="shared" si="3"/>
        <v>30.102291996373765</v>
      </c>
    </row>
    <row r="25" spans="2:8" x14ac:dyDescent="0.6">
      <c r="B25" s="21">
        <v>12</v>
      </c>
      <c r="C25" s="5">
        <f t="shared" si="1"/>
        <v>106.6666666666667</v>
      </c>
      <c r="D25" s="5">
        <f t="shared" si="0"/>
        <v>69.876159799998135</v>
      </c>
      <c r="E25" s="5">
        <f t="shared" si="4"/>
        <v>30.123840200001865</v>
      </c>
      <c r="F25" s="5">
        <f t="shared" si="5"/>
        <v>93.3333333333333</v>
      </c>
      <c r="G25" s="5">
        <f t="shared" si="2"/>
        <v>69.876159799998135</v>
      </c>
      <c r="H25" s="6">
        <f t="shared" si="3"/>
        <v>30.123840200001865</v>
      </c>
    </row>
    <row r="26" spans="2:8" x14ac:dyDescent="0.6">
      <c r="B26" s="21">
        <v>13</v>
      </c>
      <c r="C26" s="5">
        <f t="shared" si="1"/>
        <v>107.27272727272731</v>
      </c>
      <c r="D26" s="5">
        <f t="shared" si="0"/>
        <v>69.852532550495994</v>
      </c>
      <c r="E26" s="5">
        <f t="shared" si="4"/>
        <v>30.147467449504006</v>
      </c>
      <c r="F26" s="5">
        <f t="shared" si="5"/>
        <v>92.727272727272691</v>
      </c>
      <c r="G26" s="5">
        <f t="shared" si="2"/>
        <v>69.852532550495994</v>
      </c>
      <c r="H26" s="6">
        <f t="shared" si="3"/>
        <v>30.147467449504006</v>
      </c>
    </row>
    <row r="27" spans="2:8" x14ac:dyDescent="0.6">
      <c r="B27" s="21">
        <v>14</v>
      </c>
      <c r="C27" s="5">
        <f t="shared" si="1"/>
        <v>107.87878787878792</v>
      </c>
      <c r="D27" s="5">
        <f t="shared" si="0"/>
        <v>69.826818822440885</v>
      </c>
      <c r="E27" s="5">
        <f t="shared" si="4"/>
        <v>30.173181177559115</v>
      </c>
      <c r="F27" s="5">
        <f t="shared" si="5"/>
        <v>92.121212121212082</v>
      </c>
      <c r="G27" s="5">
        <f t="shared" si="2"/>
        <v>69.826818822440885</v>
      </c>
      <c r="H27" s="6">
        <f t="shared" si="3"/>
        <v>30.173181177559115</v>
      </c>
    </row>
    <row r="28" spans="2:8" x14ac:dyDescent="0.6">
      <c r="B28" s="21">
        <v>15</v>
      </c>
      <c r="C28" s="5">
        <f t="shared" si="1"/>
        <v>108.48484848484853</v>
      </c>
      <c r="D28" s="5">
        <f t="shared" si="0"/>
        <v>69.799010486467253</v>
      </c>
      <c r="E28" s="5">
        <f t="shared" si="4"/>
        <v>30.200989513532747</v>
      </c>
      <c r="F28" s="5">
        <f t="shared" si="5"/>
        <v>91.515151515151473</v>
      </c>
      <c r="G28" s="5">
        <f t="shared" si="2"/>
        <v>69.799010486467253</v>
      </c>
      <c r="H28" s="6">
        <f t="shared" si="3"/>
        <v>30.200989513532747</v>
      </c>
    </row>
    <row r="29" spans="2:8" x14ac:dyDescent="0.6">
      <c r="B29" s="21">
        <v>16</v>
      </c>
      <c r="C29" s="5">
        <f t="shared" si="1"/>
        <v>109.09090909090914</v>
      </c>
      <c r="D29" s="5">
        <f t="shared" si="0"/>
        <v>69.76909870339405</v>
      </c>
      <c r="E29" s="5">
        <f t="shared" si="4"/>
        <v>30.23090129660595</v>
      </c>
      <c r="F29" s="5">
        <f t="shared" si="5"/>
        <v>90.909090909090864</v>
      </c>
      <c r="G29" s="5">
        <f t="shared" si="2"/>
        <v>69.76909870339405</v>
      </c>
      <c r="H29" s="6">
        <f t="shared" si="3"/>
        <v>30.23090129660595</v>
      </c>
    </row>
    <row r="30" spans="2:8" x14ac:dyDescent="0.6">
      <c r="B30" s="21">
        <v>17</v>
      </c>
      <c r="C30" s="5">
        <f t="shared" si="1"/>
        <v>109.69696969696975</v>
      </c>
      <c r="D30" s="5">
        <f t="shared" si="0"/>
        <v>69.737073909822186</v>
      </c>
      <c r="E30" s="5">
        <f t="shared" si="4"/>
        <v>30.262926090177814</v>
      </c>
      <c r="F30" s="5">
        <f t="shared" si="5"/>
        <v>90.303030303030255</v>
      </c>
      <c r="G30" s="5">
        <f t="shared" si="2"/>
        <v>69.737073909822186</v>
      </c>
      <c r="H30" s="6">
        <f t="shared" si="3"/>
        <v>30.262926090177814</v>
      </c>
    </row>
    <row r="31" spans="2:8" x14ac:dyDescent="0.6">
      <c r="B31" s="21">
        <v>18</v>
      </c>
      <c r="C31" s="5">
        <f t="shared" si="1"/>
        <v>110.30303030303035</v>
      </c>
      <c r="D31" s="5">
        <f t="shared" si="0"/>
        <v>69.702925802402603</v>
      </c>
      <c r="E31" s="5">
        <f t="shared" si="4"/>
        <v>30.297074197597397</v>
      </c>
      <c r="F31" s="5">
        <f t="shared" si="5"/>
        <v>89.696969696969646</v>
      </c>
      <c r="G31" s="5">
        <f t="shared" si="2"/>
        <v>69.702925802402603</v>
      </c>
      <c r="H31" s="6">
        <f t="shared" si="3"/>
        <v>30.297074197597397</v>
      </c>
    </row>
    <row r="32" spans="2:8" x14ac:dyDescent="0.6">
      <c r="B32" s="21">
        <v>19</v>
      </c>
      <c r="C32" s="5">
        <f t="shared" si="1"/>
        <v>110.90909090909096</v>
      </c>
      <c r="D32" s="5">
        <f t="shared" si="0"/>
        <v>69.666643320712666</v>
      </c>
      <c r="E32" s="5">
        <f t="shared" si="4"/>
        <v>30.333356679287334</v>
      </c>
      <c r="F32" s="5">
        <f t="shared" si="5"/>
        <v>89.090909090909037</v>
      </c>
      <c r="G32" s="5">
        <f t="shared" si="2"/>
        <v>69.666643320712666</v>
      </c>
      <c r="H32" s="6">
        <f t="shared" si="3"/>
        <v>30.333356679287334</v>
      </c>
    </row>
    <row r="33" spans="2:8" x14ac:dyDescent="0.6">
      <c r="B33" s="21">
        <v>20</v>
      </c>
      <c r="C33" s="5">
        <f t="shared" si="1"/>
        <v>111.51515151515157</v>
      </c>
      <c r="D33" s="5">
        <f t="shared" si="0"/>
        <v>69.628214628672509</v>
      </c>
      <c r="E33" s="5">
        <f t="shared" si="4"/>
        <v>30.371785371327491</v>
      </c>
      <c r="F33" s="5">
        <f t="shared" si="5"/>
        <v>88.484848484848428</v>
      </c>
      <c r="G33" s="5">
        <f t="shared" si="2"/>
        <v>69.628214628672509</v>
      </c>
      <c r="H33" s="6">
        <f t="shared" si="3"/>
        <v>30.371785371327491</v>
      </c>
    </row>
    <row r="34" spans="2:8" x14ac:dyDescent="0.6">
      <c r="B34" s="21">
        <v>21</v>
      </c>
      <c r="C34" s="5">
        <f t="shared" si="1"/>
        <v>112.12121212121218</v>
      </c>
      <c r="D34" s="5">
        <f t="shared" si="0"/>
        <v>69.587627094425869</v>
      </c>
      <c r="E34" s="5">
        <f t="shared" si="4"/>
        <v>30.412372905574131</v>
      </c>
      <c r="F34" s="5">
        <f t="shared" si="5"/>
        <v>87.878787878787818</v>
      </c>
      <c r="G34" s="5">
        <f t="shared" si="2"/>
        <v>69.587627094425869</v>
      </c>
      <c r="H34" s="6">
        <f t="shared" si="3"/>
        <v>30.412372905574131</v>
      </c>
    </row>
    <row r="35" spans="2:8" x14ac:dyDescent="0.6">
      <c r="B35" s="21">
        <v>22</v>
      </c>
      <c r="C35" s="5">
        <f t="shared" si="1"/>
        <v>112.72727272727279</v>
      </c>
      <c r="D35" s="5">
        <f t="shared" si="0"/>
        <v>69.544867268602545</v>
      </c>
      <c r="E35" s="5">
        <f t="shared" si="4"/>
        <v>30.455132731397455</v>
      </c>
      <c r="F35" s="5">
        <f t="shared" si="5"/>
        <v>87.272727272727209</v>
      </c>
      <c r="G35" s="5">
        <f t="shared" si="2"/>
        <v>69.544867268602545</v>
      </c>
      <c r="H35" s="6">
        <f t="shared" si="3"/>
        <v>30.455132731397455</v>
      </c>
    </row>
    <row r="36" spans="2:8" x14ac:dyDescent="0.6">
      <c r="B36" s="21">
        <v>23</v>
      </c>
      <c r="C36" s="5">
        <f t="shared" si="1"/>
        <v>113.3333333333334</v>
      </c>
      <c r="D36" s="5">
        <f t="shared" si="0"/>
        <v>69.499920860871384</v>
      </c>
      <c r="E36" s="5">
        <f t="shared" si="4"/>
        <v>30.500079139128616</v>
      </c>
      <c r="F36" s="5">
        <f t="shared" si="5"/>
        <v>86.6666666666666</v>
      </c>
      <c r="G36" s="5">
        <f t="shared" si="2"/>
        <v>69.499920860871384</v>
      </c>
      <c r="H36" s="6">
        <f t="shared" si="3"/>
        <v>30.500079139128616</v>
      </c>
    </row>
    <row r="37" spans="2:8" x14ac:dyDescent="0.6">
      <c r="B37" s="21">
        <v>24</v>
      </c>
      <c r="C37" s="5">
        <f t="shared" si="1"/>
        <v>113.93939393939401</v>
      </c>
      <c r="D37" s="5">
        <f t="shared" si="0"/>
        <v>69.452772714683988</v>
      </c>
      <c r="E37" s="5">
        <f t="shared" si="4"/>
        <v>30.547227285316012</v>
      </c>
      <c r="F37" s="5">
        <f t="shared" si="5"/>
        <v>86.060606060605991</v>
      </c>
      <c r="G37" s="5">
        <f t="shared" si="2"/>
        <v>69.452772714683988</v>
      </c>
      <c r="H37" s="6">
        <f t="shared" si="3"/>
        <v>30.547227285316012</v>
      </c>
    </row>
    <row r="38" spans="2:8" x14ac:dyDescent="0.6">
      <c r="B38" s="21">
        <v>25</v>
      </c>
      <c r="C38" s="5">
        <f t="shared" si="1"/>
        <v>114.54545454545462</v>
      </c>
      <c r="D38" s="5">
        <f t="shared" si="0"/>
        <v>69.40340678009953</v>
      </c>
      <c r="E38" s="5">
        <f t="shared" si="4"/>
        <v>30.59659321990047</v>
      </c>
      <c r="F38" s="5">
        <f t="shared" si="5"/>
        <v>85.454545454545382</v>
      </c>
      <c r="G38" s="5">
        <f t="shared" si="2"/>
        <v>69.40340678009953</v>
      </c>
      <c r="H38" s="6">
        <f t="shared" si="3"/>
        <v>30.59659321990047</v>
      </c>
    </row>
    <row r="39" spans="2:8" x14ac:dyDescent="0.6">
      <c r="B39" s="21">
        <v>26</v>
      </c>
      <c r="C39" s="5">
        <f t="shared" si="1"/>
        <v>115.15151515151523</v>
      </c>
      <c r="D39" s="5">
        <f t="shared" si="0"/>
        <v>69.351806084570569</v>
      </c>
      <c r="E39" s="5">
        <f t="shared" si="4"/>
        <v>30.648193915429431</v>
      </c>
      <c r="F39" s="5">
        <f t="shared" si="5"/>
        <v>84.848484848484773</v>
      </c>
      <c r="G39" s="5">
        <f t="shared" si="2"/>
        <v>69.351806084570569</v>
      </c>
      <c r="H39" s="6">
        <f t="shared" si="3"/>
        <v>30.648193915429431</v>
      </c>
    </row>
    <row r="40" spans="2:8" x14ac:dyDescent="0.6">
      <c r="B40" s="21">
        <v>27</v>
      </c>
      <c r="C40" s="5">
        <f t="shared" si="1"/>
        <v>115.75757575757584</v>
      </c>
      <c r="D40" s="5">
        <f t="shared" si="0"/>
        <v>69.297952701558373</v>
      </c>
      <c r="E40" s="5">
        <f t="shared" si="4"/>
        <v>30.702047298441627</v>
      </c>
      <c r="F40" s="5">
        <f t="shared" si="5"/>
        <v>84.242424242424164</v>
      </c>
      <c r="G40" s="5">
        <f t="shared" si="2"/>
        <v>69.297952701558373</v>
      </c>
      <c r="H40" s="6">
        <f t="shared" si="3"/>
        <v>30.702047298441627</v>
      </c>
    </row>
    <row r="41" spans="2:8" x14ac:dyDescent="0.6">
      <c r="B41" s="21">
        <v>28</v>
      </c>
      <c r="C41" s="5">
        <f t="shared" si="1"/>
        <v>116.36363636363645</v>
      </c>
      <c r="D41" s="5">
        <f t="shared" si="0"/>
        <v>69.24182771683337</v>
      </c>
      <c r="E41" s="5">
        <f t="shared" si="4"/>
        <v>30.75817228316663</v>
      </c>
      <c r="F41" s="5">
        <f t="shared" si="5"/>
        <v>83.636363636363555</v>
      </c>
      <c r="G41" s="5">
        <f t="shared" si="2"/>
        <v>69.24182771683337</v>
      </c>
      <c r="H41" s="6">
        <f t="shared" si="3"/>
        <v>30.75817228316663</v>
      </c>
    </row>
    <row r="42" spans="2:8" x14ac:dyDescent="0.6">
      <c r="B42" s="21">
        <v>29</v>
      </c>
      <c r="C42" s="5">
        <f t="shared" si="1"/>
        <v>116.96969696969705</v>
      </c>
      <c r="D42" s="5">
        <f t="shared" si="0"/>
        <v>69.183411192302628</v>
      </c>
      <c r="E42" s="5">
        <f t="shared" si="4"/>
        <v>30.816588807697372</v>
      </c>
      <c r="F42" s="5">
        <f t="shared" si="5"/>
        <v>83.030303030302946</v>
      </c>
      <c r="G42" s="5">
        <f t="shared" si="2"/>
        <v>69.183411192302628</v>
      </c>
      <c r="H42" s="6">
        <f t="shared" si="3"/>
        <v>30.816588807697372</v>
      </c>
    </row>
    <row r="43" spans="2:8" x14ac:dyDescent="0.6">
      <c r="B43" s="21">
        <v>30</v>
      </c>
      <c r="C43" s="5">
        <f t="shared" si="1"/>
        <v>117.57575757575766</v>
      </c>
      <c r="D43" s="5">
        <f t="shared" si="0"/>
        <v>69.122682127190672</v>
      </c>
      <c r="E43" s="5">
        <f t="shared" si="4"/>
        <v>30.877317872809328</v>
      </c>
      <c r="F43" s="5">
        <f t="shared" si="5"/>
        <v>82.424242424242337</v>
      </c>
      <c r="G43" s="5">
        <f t="shared" si="2"/>
        <v>69.122682127190672</v>
      </c>
      <c r="H43" s="6">
        <f t="shared" si="3"/>
        <v>30.877317872809328</v>
      </c>
    </row>
    <row r="44" spans="2:8" x14ac:dyDescent="0.6">
      <c r="B44" s="21">
        <v>31</v>
      </c>
      <c r="C44" s="5">
        <f t="shared" si="1"/>
        <v>118.18181818181827</v>
      </c>
      <c r="D44" s="5">
        <f t="shared" si="0"/>
        <v>69.059618416383486</v>
      </c>
      <c r="E44" s="5">
        <f t="shared" si="4"/>
        <v>30.940381583616514</v>
      </c>
      <c r="F44" s="5">
        <f t="shared" si="5"/>
        <v>81.818181818181728</v>
      </c>
      <c r="G44" s="5">
        <f t="shared" si="2"/>
        <v>69.059618416383486</v>
      </c>
      <c r="H44" s="6">
        <f t="shared" si="3"/>
        <v>30.940381583616514</v>
      </c>
    </row>
    <row r="45" spans="2:8" x14ac:dyDescent="0.6">
      <c r="B45" s="21">
        <v>32</v>
      </c>
      <c r="C45" s="5">
        <f t="shared" si="1"/>
        <v>118.78787878787888</v>
      </c>
      <c r="D45" s="5">
        <f t="shared" si="0"/>
        <v>68.994196805726304</v>
      </c>
      <c r="E45" s="5">
        <f t="shared" si="4"/>
        <v>31.005803194273696</v>
      </c>
      <c r="F45" s="5">
        <f t="shared" si="5"/>
        <v>81.212121212121119</v>
      </c>
      <c r="G45" s="5">
        <f t="shared" si="2"/>
        <v>68.994196805726304</v>
      </c>
      <c r="H45" s="6">
        <f t="shared" si="3"/>
        <v>31.005803194273696</v>
      </c>
    </row>
    <row r="46" spans="2:8" x14ac:dyDescent="0.6">
      <c r="B46" s="21">
        <v>33</v>
      </c>
      <c r="C46" s="5">
        <f t="shared" si="1"/>
        <v>119.39393939393949</v>
      </c>
      <c r="D46" s="5">
        <f t="shared" ref="D46:D77" si="6">(((1-(($C46-h_elipse)^2/a_elipse^2))*(b_elipse^2))^0.5)+k_elipse</f>
        <v>68.926392844045409</v>
      </c>
      <c r="E46" s="5">
        <f t="shared" si="4"/>
        <v>31.073607155954591</v>
      </c>
      <c r="F46" s="5">
        <f t="shared" si="5"/>
        <v>80.60606060606051</v>
      </c>
      <c r="G46" s="5">
        <f t="shared" si="2"/>
        <v>68.926392844045409</v>
      </c>
      <c r="H46" s="6">
        <f t="shared" si="3"/>
        <v>31.073607155954591</v>
      </c>
    </row>
    <row r="47" spans="2:8" x14ac:dyDescent="0.6">
      <c r="B47" s="21">
        <v>34</v>
      </c>
      <c r="C47" s="5">
        <f t="shared" ref="C47:C78" si="7">IF((a_elipse/np_elipse)+C46&gt;=h_elipse+a_elipse,h_elipse+a_elipse,(a_elipse/np_elipse)+C46)</f>
        <v>120.0000000000001</v>
      </c>
      <c r="D47" s="5">
        <f t="shared" si="6"/>
        <v>68.856180831641254</v>
      </c>
      <c r="E47" s="5">
        <f t="shared" si="4"/>
        <v>31.143819168358746</v>
      </c>
      <c r="F47" s="5">
        <f t="shared" si="5"/>
        <v>79.999999999999901</v>
      </c>
      <c r="G47" s="5">
        <f t="shared" si="2"/>
        <v>68.856180831641254</v>
      </c>
      <c r="H47" s="6">
        <f t="shared" si="3"/>
        <v>31.143819168358746</v>
      </c>
    </row>
    <row r="48" spans="2:8" x14ac:dyDescent="0.6">
      <c r="B48" s="21">
        <v>35</v>
      </c>
      <c r="C48" s="5">
        <f t="shared" si="7"/>
        <v>120.60606060606071</v>
      </c>
      <c r="D48" s="5">
        <f t="shared" si="6"/>
        <v>68.783533764974266</v>
      </c>
      <c r="E48" s="5">
        <f t="shared" si="4"/>
        <v>31.216466235025734</v>
      </c>
      <c r="F48" s="5">
        <f t="shared" si="5"/>
        <v>79.393939393939291</v>
      </c>
      <c r="G48" s="5">
        <f t="shared" si="2"/>
        <v>68.783533764974266</v>
      </c>
      <c r="H48" s="6">
        <f t="shared" si="3"/>
        <v>31.216466235025734</v>
      </c>
    </row>
    <row r="49" spans="2:8" x14ac:dyDescent="0.6">
      <c r="B49" s="21">
        <v>36</v>
      </c>
      <c r="C49" s="5">
        <f t="shared" si="7"/>
        <v>121.21212121212132</v>
      </c>
      <c r="D49" s="5">
        <f t="shared" si="6"/>
        <v>68.708423277236719</v>
      </c>
      <c r="E49" s="5">
        <f t="shared" si="4"/>
        <v>31.291576722763281</v>
      </c>
      <c r="F49" s="5">
        <f t="shared" si="5"/>
        <v>78.787878787878682</v>
      </c>
      <c r="G49" s="5">
        <f t="shared" si="2"/>
        <v>68.708423277236719</v>
      </c>
      <c r="H49" s="6">
        <f t="shared" si="3"/>
        <v>31.291576722763281</v>
      </c>
    </row>
    <row r="50" spans="2:8" x14ac:dyDescent="0.6">
      <c r="B50" s="21">
        <v>37</v>
      </c>
      <c r="C50" s="5">
        <f t="shared" si="7"/>
        <v>121.81818181818193</v>
      </c>
      <c r="D50" s="5">
        <f t="shared" si="6"/>
        <v>68.630819574471985</v>
      </c>
      <c r="E50" s="5">
        <f t="shared" si="4"/>
        <v>31.369180425528015</v>
      </c>
      <c r="F50" s="5">
        <f t="shared" si="5"/>
        <v>78.181818181818073</v>
      </c>
      <c r="G50" s="5">
        <f t="shared" si="2"/>
        <v>68.630819574471985</v>
      </c>
      <c r="H50" s="6">
        <f t="shared" si="3"/>
        <v>31.369180425528015</v>
      </c>
    </row>
    <row r="51" spans="2:8" x14ac:dyDescent="0.6">
      <c r="B51" s="21">
        <v>38</v>
      </c>
      <c r="C51" s="5">
        <f t="shared" si="7"/>
        <v>122.42424242424254</v>
      </c>
      <c r="D51" s="5">
        <f t="shared" si="6"/>
        <v>68.550691366867056</v>
      </c>
      <c r="E51" s="5">
        <f t="shared" si="4"/>
        <v>31.449308633132944</v>
      </c>
      <c r="F51" s="5">
        <f t="shared" si="5"/>
        <v>77.575757575757464</v>
      </c>
      <c r="G51" s="5">
        <f t="shared" si="2"/>
        <v>68.550691366867056</v>
      </c>
      <c r="H51" s="6">
        <f t="shared" si="3"/>
        <v>31.449308633132944</v>
      </c>
    </row>
    <row r="52" spans="2:8" x14ac:dyDescent="0.6">
      <c r="B52" s="21">
        <v>39</v>
      </c>
      <c r="C52" s="5">
        <f t="shared" si="7"/>
        <v>123.03030303030314</v>
      </c>
      <c r="D52" s="5">
        <f t="shared" si="6"/>
        <v>68.468005794804554</v>
      </c>
      <c r="E52" s="5">
        <f t="shared" si="4"/>
        <v>31.531994205195446</v>
      </c>
      <c r="F52" s="5">
        <f t="shared" si="5"/>
        <v>76.969696969696855</v>
      </c>
      <c r="G52" s="5">
        <f t="shared" si="2"/>
        <v>68.468005794804554</v>
      </c>
      <c r="H52" s="6">
        <f t="shared" si="3"/>
        <v>31.531994205195446</v>
      </c>
    </row>
    <row r="53" spans="2:8" x14ac:dyDescent="0.6">
      <c r="B53" s="21">
        <v>40</v>
      </c>
      <c r="C53" s="5">
        <f t="shared" si="7"/>
        <v>123.63636363636375</v>
      </c>
      <c r="D53" s="5">
        <f t="shared" si="6"/>
        <v>68.382728349215867</v>
      </c>
      <c r="E53" s="5">
        <f t="shared" si="4"/>
        <v>31.617271650784133</v>
      </c>
      <c r="F53" s="5">
        <f t="shared" si="5"/>
        <v>76.363636363636246</v>
      </c>
      <c r="G53" s="5">
        <f t="shared" si="2"/>
        <v>68.382728349215867</v>
      </c>
      <c r="H53" s="6">
        <f t="shared" si="3"/>
        <v>31.617271650784133</v>
      </c>
    </row>
    <row r="54" spans="2:8" x14ac:dyDescent="0.6">
      <c r="B54" s="21">
        <v>41</v>
      </c>
      <c r="C54" s="5">
        <f t="shared" si="7"/>
        <v>124.24242424242436</v>
      </c>
      <c r="D54" s="5">
        <f t="shared" si="6"/>
        <v>68.294822785726737</v>
      </c>
      <c r="E54" s="5">
        <f t="shared" si="4"/>
        <v>31.705177214273263</v>
      </c>
      <c r="F54" s="5">
        <f t="shared" si="5"/>
        <v>75.757575757575637</v>
      </c>
      <c r="G54" s="5">
        <f t="shared" si="2"/>
        <v>68.294822785726737</v>
      </c>
      <c r="H54" s="6">
        <f t="shared" si="3"/>
        <v>31.705177214273263</v>
      </c>
    </row>
    <row r="55" spans="2:8" x14ac:dyDescent="0.6">
      <c r="B55" s="21">
        <v>42</v>
      </c>
      <c r="C55" s="5">
        <f t="shared" si="7"/>
        <v>124.84848484848497</v>
      </c>
      <c r="D55" s="5">
        <f t="shared" si="6"/>
        <v>68.204251032030385</v>
      </c>
      <c r="E55" s="5">
        <f t="shared" si="4"/>
        <v>31.795748967969615</v>
      </c>
      <c r="F55" s="5">
        <f t="shared" si="5"/>
        <v>75.151515151515028</v>
      </c>
      <c r="G55" s="5">
        <f t="shared" si="2"/>
        <v>68.204251032030385</v>
      </c>
      <c r="H55" s="6">
        <f t="shared" si="3"/>
        <v>31.795748967969615</v>
      </c>
    </row>
    <row r="56" spans="2:8" x14ac:dyDescent="0.6">
      <c r="B56" s="21">
        <v>43</v>
      </c>
      <c r="C56" s="5">
        <f t="shared" si="7"/>
        <v>125.45454545454558</v>
      </c>
      <c r="D56" s="5">
        <f t="shared" si="6"/>
        <v>68.110973087859293</v>
      </c>
      <c r="E56" s="5">
        <f t="shared" si="4"/>
        <v>31.889026912140707</v>
      </c>
      <c r="F56" s="5">
        <f t="shared" si="5"/>
        <v>74.545454545454419</v>
      </c>
      <c r="G56" s="5">
        <f t="shared" si="2"/>
        <v>68.110973087859293</v>
      </c>
      <c r="H56" s="6">
        <f t="shared" si="3"/>
        <v>31.889026912140707</v>
      </c>
    </row>
    <row r="57" spans="2:8" x14ac:dyDescent="0.6">
      <c r="B57" s="21">
        <v>44</v>
      </c>
      <c r="C57" s="5">
        <f t="shared" si="7"/>
        <v>126.06060606060619</v>
      </c>
      <c r="D57" s="5">
        <f t="shared" si="6"/>
        <v>68.014946916854896</v>
      </c>
      <c r="E57" s="5">
        <f t="shared" si="4"/>
        <v>31.985053083145104</v>
      </c>
      <c r="F57" s="5">
        <f t="shared" si="5"/>
        <v>73.93939393939381</v>
      </c>
      <c r="G57" s="5">
        <f t="shared" si="2"/>
        <v>68.014946916854896</v>
      </c>
      <c r="H57" s="6">
        <f t="shared" si="3"/>
        <v>31.985053083145104</v>
      </c>
    </row>
    <row r="58" spans="2:8" x14ac:dyDescent="0.6">
      <c r="B58" s="21">
        <v>45</v>
      </c>
      <c r="C58" s="5">
        <f t="shared" si="7"/>
        <v>126.6666666666668</v>
      </c>
      <c r="D58" s="5">
        <f t="shared" si="6"/>
        <v>67.916128329552308</v>
      </c>
      <c r="E58" s="5">
        <f t="shared" si="4"/>
        <v>32.083871670447692</v>
      </c>
      <c r="F58" s="5">
        <f t="shared" si="5"/>
        <v>73.333333333333201</v>
      </c>
      <c r="G58" s="5">
        <f t="shared" si="2"/>
        <v>67.916128329552308</v>
      </c>
      <c r="H58" s="6">
        <f t="shared" si="3"/>
        <v>32.083871670447692</v>
      </c>
    </row>
    <row r="59" spans="2:8" x14ac:dyDescent="0.6">
      <c r="B59" s="21">
        <v>46</v>
      </c>
      <c r="C59" s="5">
        <f t="shared" si="7"/>
        <v>127.27272727272741</v>
      </c>
      <c r="D59" s="5">
        <f t="shared" si="6"/>
        <v>67.814470856604913</v>
      </c>
      <c r="E59" s="5">
        <f t="shared" si="4"/>
        <v>32.185529143395087</v>
      </c>
      <c r="F59" s="5">
        <f t="shared" si="5"/>
        <v>72.727272727272592</v>
      </c>
      <c r="G59" s="5">
        <f t="shared" si="2"/>
        <v>67.814470856604913</v>
      </c>
      <c r="H59" s="6">
        <f t="shared" si="3"/>
        <v>32.185529143395087</v>
      </c>
    </row>
    <row r="60" spans="2:8" x14ac:dyDescent="0.6">
      <c r="B60" s="21">
        <v>47</v>
      </c>
      <c r="C60" s="5">
        <f t="shared" si="7"/>
        <v>127.87878787878802</v>
      </c>
      <c r="D60" s="5">
        <f t="shared" si="6"/>
        <v>67.709925611267138</v>
      </c>
      <c r="E60" s="5">
        <f t="shared" si="4"/>
        <v>32.290074388732862</v>
      </c>
      <c r="F60" s="5">
        <f t="shared" si="5"/>
        <v>72.121212121211983</v>
      </c>
      <c r="G60" s="5">
        <f t="shared" si="2"/>
        <v>67.709925611267138</v>
      </c>
      <c r="H60" s="6">
        <f t="shared" si="3"/>
        <v>32.290074388732862</v>
      </c>
    </row>
    <row r="61" spans="2:8" x14ac:dyDescent="0.6">
      <c r="B61" s="21">
        <v>48</v>
      </c>
      <c r="C61" s="5">
        <f t="shared" si="7"/>
        <v>128.48484848484861</v>
      </c>
      <c r="D61" s="5">
        <f t="shared" si="6"/>
        <v>67.602441140033889</v>
      </c>
      <c r="E61" s="5">
        <f t="shared" si="4"/>
        <v>32.397558859966111</v>
      </c>
      <c r="F61" s="5">
        <f t="shared" si="5"/>
        <v>71.515151515151388</v>
      </c>
      <c r="G61" s="5">
        <f t="shared" si="2"/>
        <v>67.602441140033889</v>
      </c>
      <c r="H61" s="6">
        <f t="shared" si="3"/>
        <v>32.397558859966111</v>
      </c>
    </row>
    <row r="62" spans="2:8" x14ac:dyDescent="0.6">
      <c r="B62" s="21">
        <v>49</v>
      </c>
      <c r="C62" s="5">
        <f t="shared" si="7"/>
        <v>129.09090909090921</v>
      </c>
      <c r="D62" s="5">
        <f t="shared" si="6"/>
        <v>67.491963260196115</v>
      </c>
      <c r="E62" s="5">
        <f t="shared" si="4"/>
        <v>32.508036739803885</v>
      </c>
      <c r="F62" s="5">
        <f t="shared" si="5"/>
        <v>70.909090909090793</v>
      </c>
      <c r="G62" s="5">
        <f t="shared" si="2"/>
        <v>67.491963260196115</v>
      </c>
      <c r="H62" s="6">
        <f t="shared" si="3"/>
        <v>32.508036739803885</v>
      </c>
    </row>
    <row r="63" spans="2:8" x14ac:dyDescent="0.6">
      <c r="B63" s="21">
        <v>50</v>
      </c>
      <c r="C63" s="5">
        <f t="shared" si="7"/>
        <v>129.6969696969698</v>
      </c>
      <c r="D63" s="5">
        <f t="shared" si="6"/>
        <v>67.378434882914377</v>
      </c>
      <c r="E63" s="5">
        <f t="shared" si="4"/>
        <v>32.621565117085623</v>
      </c>
      <c r="F63" s="5">
        <f t="shared" si="5"/>
        <v>70.303030303030198</v>
      </c>
      <c r="G63" s="5">
        <f t="shared" si="2"/>
        <v>67.378434882914377</v>
      </c>
      <c r="H63" s="6">
        <f t="shared" si="3"/>
        <v>32.621565117085623</v>
      </c>
    </row>
    <row r="64" spans="2:8" x14ac:dyDescent="0.6">
      <c r="B64" s="21">
        <v>51</v>
      </c>
      <c r="C64" s="5">
        <f t="shared" si="7"/>
        <v>130.3030303030304</v>
      </c>
      <c r="D64" s="5">
        <f t="shared" si="6"/>
        <v>67.261795820229452</v>
      </c>
      <c r="E64" s="5">
        <f t="shared" si="4"/>
        <v>32.738204179770548</v>
      </c>
      <c r="F64" s="5">
        <f t="shared" si="5"/>
        <v>69.696969696969603</v>
      </c>
      <c r="G64" s="5">
        <f t="shared" si="2"/>
        <v>67.261795820229452</v>
      </c>
      <c r="H64" s="6">
        <f t="shared" si="3"/>
        <v>32.738204179770548</v>
      </c>
    </row>
    <row r="65" spans="2:8" x14ac:dyDescent="0.6">
      <c r="B65" s="21">
        <v>52</v>
      </c>
      <c r="C65" s="5">
        <f t="shared" si="7"/>
        <v>130.90909090909099</v>
      </c>
      <c r="D65" s="5">
        <f t="shared" si="6"/>
        <v>67.141982574219327</v>
      </c>
      <c r="E65" s="5">
        <f t="shared" si="4"/>
        <v>32.858017425780673</v>
      </c>
      <c r="F65" s="5">
        <f t="shared" si="5"/>
        <v>69.090909090909008</v>
      </c>
      <c r="G65" s="5">
        <f t="shared" si="2"/>
        <v>67.141982574219327</v>
      </c>
      <c r="H65" s="6">
        <f t="shared" si="3"/>
        <v>32.858017425780673</v>
      </c>
    </row>
    <row r="66" spans="2:8" x14ac:dyDescent="0.6">
      <c r="B66" s="21">
        <v>53</v>
      </c>
      <c r="C66" s="5">
        <f t="shared" si="7"/>
        <v>131.51515151515159</v>
      </c>
      <c r="D66" s="5">
        <f t="shared" si="6"/>
        <v>67.018928106268547</v>
      </c>
      <c r="E66" s="5">
        <f t="shared" si="4"/>
        <v>32.981071893731453</v>
      </c>
      <c r="F66" s="5">
        <f t="shared" si="5"/>
        <v>68.484848484848413</v>
      </c>
      <c r="G66" s="5">
        <f t="shared" si="2"/>
        <v>67.018928106268547</v>
      </c>
      <c r="H66" s="6">
        <f t="shared" si="3"/>
        <v>32.981071893731453</v>
      </c>
    </row>
    <row r="67" spans="2:8" x14ac:dyDescent="0.6">
      <c r="B67" s="21">
        <v>54</v>
      </c>
      <c r="C67" s="5">
        <f t="shared" si="7"/>
        <v>132.12121212121218</v>
      </c>
      <c r="D67" s="5">
        <f t="shared" si="6"/>
        <v>66.892561584134825</v>
      </c>
      <c r="E67" s="5">
        <f t="shared" si="4"/>
        <v>33.107438415865175</v>
      </c>
      <c r="F67" s="5">
        <f t="shared" si="5"/>
        <v>67.878787878787818</v>
      </c>
      <c r="G67" s="5">
        <f t="shared" si="2"/>
        <v>66.892561584134825</v>
      </c>
      <c r="H67" s="6">
        <f t="shared" si="3"/>
        <v>33.107438415865175</v>
      </c>
    </row>
    <row r="68" spans="2:8" x14ac:dyDescent="0.6">
      <c r="B68" s="21">
        <v>55</v>
      </c>
      <c r="C68" s="5">
        <f t="shared" si="7"/>
        <v>132.72727272727278</v>
      </c>
      <c r="D68" s="5">
        <f t="shared" si="6"/>
        <v>66.762808104168869</v>
      </c>
      <c r="E68" s="5">
        <f t="shared" si="4"/>
        <v>33.237191895831131</v>
      </c>
      <c r="F68" s="5">
        <f t="shared" si="5"/>
        <v>67.272727272727224</v>
      </c>
      <c r="G68" s="5">
        <f t="shared" si="2"/>
        <v>66.762808104168869</v>
      </c>
      <c r="H68" s="6">
        <f t="shared" si="3"/>
        <v>33.237191895831131</v>
      </c>
    </row>
    <row r="69" spans="2:8" x14ac:dyDescent="0.6">
      <c r="B69" s="21">
        <v>56</v>
      </c>
      <c r="C69" s="5">
        <f t="shared" si="7"/>
        <v>133.33333333333337</v>
      </c>
      <c r="D69" s="5">
        <f t="shared" si="6"/>
        <v>66.629588385661947</v>
      </c>
      <c r="E69" s="5">
        <f t="shared" si="4"/>
        <v>33.370411614338053</v>
      </c>
      <c r="F69" s="5">
        <f t="shared" si="5"/>
        <v>66.666666666666629</v>
      </c>
      <c r="G69" s="5">
        <f t="shared" si="2"/>
        <v>66.629588385661947</v>
      </c>
      <c r="H69" s="6">
        <f t="shared" si="3"/>
        <v>33.370411614338053</v>
      </c>
    </row>
    <row r="70" spans="2:8" x14ac:dyDescent="0.6">
      <c r="B70" s="21">
        <v>57</v>
      </c>
      <c r="C70" s="5">
        <f t="shared" si="7"/>
        <v>133.93939393939397</v>
      </c>
      <c r="D70" s="5">
        <f t="shared" si="6"/>
        <v>66.492818433847134</v>
      </c>
      <c r="E70" s="5">
        <f t="shared" si="4"/>
        <v>33.507181566152866</v>
      </c>
      <c r="F70" s="5">
        <f t="shared" si="5"/>
        <v>66.060606060606034</v>
      </c>
      <c r="G70" s="5">
        <f t="shared" si="2"/>
        <v>66.492818433847134</v>
      </c>
      <c r="H70" s="6">
        <f t="shared" si="3"/>
        <v>33.507181566152866</v>
      </c>
    </row>
    <row r="71" spans="2:8" x14ac:dyDescent="0.6">
      <c r="B71" s="21">
        <v>58</v>
      </c>
      <c r="C71" s="5">
        <f t="shared" si="7"/>
        <v>134.54545454545456</v>
      </c>
      <c r="D71" s="5">
        <f t="shared" si="6"/>
        <v>66.352409167553986</v>
      </c>
      <c r="E71" s="5">
        <f t="shared" si="4"/>
        <v>33.647590832446014</v>
      </c>
      <c r="F71" s="5">
        <f t="shared" si="5"/>
        <v>65.454545454545439</v>
      </c>
      <c r="G71" s="5">
        <f t="shared" si="2"/>
        <v>66.352409167553986</v>
      </c>
      <c r="H71" s="6">
        <f t="shared" si="3"/>
        <v>33.647590832446014</v>
      </c>
    </row>
    <row r="72" spans="2:8" x14ac:dyDescent="0.6">
      <c r="B72" s="21">
        <v>59</v>
      </c>
      <c r="C72" s="5">
        <f t="shared" si="7"/>
        <v>135.15151515151516</v>
      </c>
      <c r="D72" s="5">
        <f t="shared" si="6"/>
        <v>66.208266006896338</v>
      </c>
      <c r="E72" s="5">
        <f t="shared" si="4"/>
        <v>33.791733993103662</v>
      </c>
      <c r="F72" s="5">
        <f t="shared" si="5"/>
        <v>64.848484848484844</v>
      </c>
      <c r="G72" s="5">
        <f t="shared" si="2"/>
        <v>66.208266006896338</v>
      </c>
      <c r="H72" s="6">
        <f t="shared" si="3"/>
        <v>33.791733993103662</v>
      </c>
    </row>
    <row r="73" spans="2:8" x14ac:dyDescent="0.6">
      <c r="B73" s="21">
        <v>60</v>
      </c>
      <c r="C73" s="5">
        <f t="shared" si="7"/>
        <v>135.75757575757575</v>
      </c>
      <c r="D73" s="5">
        <f t="shared" si="6"/>
        <v>66.060288415637814</v>
      </c>
      <c r="E73" s="5">
        <f t="shared" si="4"/>
        <v>33.939711584362186</v>
      </c>
      <c r="F73" s="5">
        <f t="shared" si="5"/>
        <v>64.242424242424249</v>
      </c>
      <c r="G73" s="5">
        <f t="shared" si="2"/>
        <v>66.060288415637814</v>
      </c>
      <c r="H73" s="6">
        <f t="shared" si="3"/>
        <v>33.939711584362186</v>
      </c>
    </row>
    <row r="74" spans="2:8" x14ac:dyDescent="0.6">
      <c r="B74" s="21">
        <v>61</v>
      </c>
      <c r="C74" s="5">
        <f t="shared" si="7"/>
        <v>136.36363636363635</v>
      </c>
      <c r="D74" s="5">
        <f t="shared" si="6"/>
        <v>65.908369392008112</v>
      </c>
      <c r="E74" s="5">
        <f t="shared" si="4"/>
        <v>34.091630607991888</v>
      </c>
      <c r="F74" s="5">
        <f t="shared" si="5"/>
        <v>63.636363636363654</v>
      </c>
      <c r="G74" s="5">
        <f t="shared" si="2"/>
        <v>65.908369392008112</v>
      </c>
      <c r="H74" s="6">
        <f t="shared" si="3"/>
        <v>34.091630607991888</v>
      </c>
    </row>
    <row r="75" spans="2:8" x14ac:dyDescent="0.6">
      <c r="B75" s="21">
        <v>62</v>
      </c>
      <c r="C75" s="5">
        <f t="shared" si="7"/>
        <v>136.96969696969694</v>
      </c>
      <c r="D75" s="5">
        <f t="shared" si="6"/>
        <v>65.752394900701361</v>
      </c>
      <c r="E75" s="5">
        <f t="shared" si="4"/>
        <v>34.247605099298639</v>
      </c>
      <c r="F75" s="5">
        <f t="shared" si="5"/>
        <v>63.03030303030306</v>
      </c>
      <c r="G75" s="5">
        <f t="shared" si="2"/>
        <v>65.752394900701361</v>
      </c>
      <c r="H75" s="6">
        <f t="shared" si="3"/>
        <v>34.247605099298639</v>
      </c>
    </row>
    <row r="76" spans="2:8" x14ac:dyDescent="0.6">
      <c r="B76" s="21">
        <v>63</v>
      </c>
      <c r="C76" s="5">
        <f t="shared" si="7"/>
        <v>137.57575757575754</v>
      </c>
      <c r="D76" s="5">
        <f t="shared" si="6"/>
        <v>65.592243237541396</v>
      </c>
      <c r="E76" s="5">
        <f t="shared" si="4"/>
        <v>34.407756762458604</v>
      </c>
      <c r="F76" s="5">
        <f t="shared" si="5"/>
        <v>62.424242424242465</v>
      </c>
      <c r="G76" s="5">
        <f t="shared" si="2"/>
        <v>65.592243237541396</v>
      </c>
      <c r="H76" s="6">
        <f t="shared" si="3"/>
        <v>34.407756762458604</v>
      </c>
    </row>
    <row r="77" spans="2:8" x14ac:dyDescent="0.6">
      <c r="B77" s="21">
        <v>64</v>
      </c>
      <c r="C77" s="5">
        <f t="shared" si="7"/>
        <v>138.18181818181813</v>
      </c>
      <c r="D77" s="5">
        <f t="shared" si="6"/>
        <v>65.427784316797414</v>
      </c>
      <c r="E77" s="5">
        <f t="shared" si="4"/>
        <v>34.572215683202586</v>
      </c>
      <c r="F77" s="5">
        <f t="shared" si="5"/>
        <v>61.81818181818187</v>
      </c>
      <c r="G77" s="5">
        <f t="shared" si="2"/>
        <v>65.427784316797414</v>
      </c>
      <c r="H77" s="6">
        <f t="shared" si="3"/>
        <v>34.572215683202586</v>
      </c>
    </row>
    <row r="78" spans="2:8" x14ac:dyDescent="0.6">
      <c r="B78" s="21">
        <v>65</v>
      </c>
      <c r="C78" s="5">
        <f t="shared" si="7"/>
        <v>138.78787878787873</v>
      </c>
      <c r="D78" s="5">
        <f t="shared" ref="D78:D113" si="8">(((1-(($C78-h_elipse)^2/a_elipse^2))*(b_elipse^2))^0.5)+k_elipse</f>
        <v>65.258878869318551</v>
      </c>
      <c r="E78" s="5">
        <f t="shared" si="4"/>
        <v>34.741121130681449</v>
      </c>
      <c r="F78" s="5">
        <f t="shared" si="5"/>
        <v>61.212121212121275</v>
      </c>
      <c r="G78" s="5">
        <f t="shared" si="2"/>
        <v>65.258878869318551</v>
      </c>
      <c r="H78" s="6">
        <f t="shared" si="3"/>
        <v>34.741121130681449</v>
      </c>
    </row>
    <row r="79" spans="2:8" x14ac:dyDescent="0.6">
      <c r="B79" s="21">
        <v>66</v>
      </c>
      <c r="C79" s="5">
        <f t="shared" ref="C79:C113" si="9">IF((a_elipse/np_elipse)+C78&gt;=h_elipse+a_elipse,h_elipse+a_elipse,(a_elipse/np_elipse)+C78)</f>
        <v>139.39393939393932</v>
      </c>
      <c r="D79" s="5">
        <f t="shared" si="8"/>
        <v>65.0853775374501</v>
      </c>
      <c r="E79" s="5">
        <f t="shared" si="4"/>
        <v>34.9146224625499</v>
      </c>
      <c r="F79" s="5">
        <f t="shared" si="5"/>
        <v>60.60606060606068</v>
      </c>
      <c r="G79" s="5">
        <f t="shared" ref="G79:G113" si="10">D79</f>
        <v>65.0853775374501</v>
      </c>
      <c r="H79" s="6">
        <f t="shared" ref="H79:H113" si="11">E79</f>
        <v>34.9146224625499</v>
      </c>
    </row>
    <row r="80" spans="2:8" x14ac:dyDescent="0.6">
      <c r="B80" s="21">
        <v>67</v>
      </c>
      <c r="C80" s="5">
        <f t="shared" si="9"/>
        <v>139.99999999999991</v>
      </c>
      <c r="D80" s="5">
        <f t="shared" si="8"/>
        <v>64.907119849998622</v>
      </c>
      <c r="E80" s="5">
        <f t="shared" ref="E80:E113" si="12">E79+(D79-D80)</f>
        <v>35.092880150001378</v>
      </c>
      <c r="F80" s="5">
        <f t="shared" ref="F80:F113" si="13">(F79-(C80-C79))</f>
        <v>60.000000000000085</v>
      </c>
      <c r="G80" s="5">
        <f t="shared" si="10"/>
        <v>64.907119849998622</v>
      </c>
      <c r="H80" s="6">
        <f t="shared" si="11"/>
        <v>35.092880150001378</v>
      </c>
    </row>
    <row r="81" spans="2:8" x14ac:dyDescent="0.6">
      <c r="B81" s="21">
        <v>68</v>
      </c>
      <c r="C81" s="5">
        <f t="shared" si="9"/>
        <v>140.60606060606051</v>
      </c>
      <c r="D81" s="5">
        <f t="shared" si="8"/>
        <v>64.723933057202942</v>
      </c>
      <c r="E81" s="5">
        <f t="shared" si="12"/>
        <v>35.276066942797058</v>
      </c>
      <c r="F81" s="5">
        <f t="shared" si="13"/>
        <v>59.39393939393949</v>
      </c>
      <c r="G81" s="5">
        <f t="shared" si="10"/>
        <v>64.723933057202942</v>
      </c>
      <c r="H81" s="6">
        <f t="shared" si="11"/>
        <v>35.276066942797058</v>
      </c>
    </row>
    <row r="82" spans="2:8" x14ac:dyDescent="0.6">
      <c r="B82" s="21">
        <v>69</v>
      </c>
      <c r="C82" s="5">
        <f t="shared" si="9"/>
        <v>141.2121212121211</v>
      </c>
      <c r="D82" s="5">
        <f t="shared" si="8"/>
        <v>64.535630801575664</v>
      </c>
      <c r="E82" s="5">
        <f t="shared" si="12"/>
        <v>35.464369198424336</v>
      </c>
      <c r="F82" s="5">
        <f t="shared" si="13"/>
        <v>58.787878787878896</v>
      </c>
      <c r="G82" s="5">
        <f t="shared" si="10"/>
        <v>64.535630801575664</v>
      </c>
      <c r="H82" s="6">
        <f t="shared" si="11"/>
        <v>35.464369198424336</v>
      </c>
    </row>
    <row r="83" spans="2:8" x14ac:dyDescent="0.6">
      <c r="B83" s="21">
        <v>70</v>
      </c>
      <c r="C83" s="5">
        <f t="shared" si="9"/>
        <v>141.8181818181817</v>
      </c>
      <c r="D83" s="5">
        <f t="shared" si="8"/>
        <v>64.342011595393046</v>
      </c>
      <c r="E83" s="5">
        <f t="shared" si="12"/>
        <v>35.657988404606954</v>
      </c>
      <c r="F83" s="5">
        <f t="shared" si="13"/>
        <v>58.181818181818301</v>
      </c>
      <c r="G83" s="5">
        <f t="shared" si="10"/>
        <v>64.342011595393046</v>
      </c>
      <c r="H83" s="6">
        <f t="shared" si="11"/>
        <v>35.657988404606954</v>
      </c>
    </row>
    <row r="84" spans="2:8" x14ac:dyDescent="0.6">
      <c r="B84" s="21">
        <v>71</v>
      </c>
      <c r="C84" s="5">
        <f t="shared" si="9"/>
        <v>142.42424242424229</v>
      </c>
      <c r="D84" s="5">
        <f t="shared" si="8"/>
        <v>64.142857069242183</v>
      </c>
      <c r="E84" s="5">
        <f t="shared" si="12"/>
        <v>35.857142930757817</v>
      </c>
      <c r="F84" s="5">
        <f t="shared" si="13"/>
        <v>57.575757575757706</v>
      </c>
      <c r="G84" s="5">
        <f t="shared" si="10"/>
        <v>64.142857069242183</v>
      </c>
      <c r="H84" s="6">
        <f t="shared" si="11"/>
        <v>35.857142930757817</v>
      </c>
    </row>
    <row r="85" spans="2:8" x14ac:dyDescent="0.6">
      <c r="B85" s="21">
        <v>72</v>
      </c>
      <c r="C85" s="5">
        <f t="shared" si="9"/>
        <v>143.03030303030289</v>
      </c>
      <c r="D85" s="5">
        <f t="shared" si="8"/>
        <v>63.937929948008403</v>
      </c>
      <c r="E85" s="5">
        <f t="shared" si="12"/>
        <v>36.062070051991597</v>
      </c>
      <c r="F85" s="5">
        <f t="shared" si="13"/>
        <v>56.969696969697111</v>
      </c>
      <c r="G85" s="5">
        <f t="shared" si="10"/>
        <v>63.937929948008403</v>
      </c>
      <c r="H85" s="6">
        <f t="shared" si="11"/>
        <v>36.062070051991597</v>
      </c>
    </row>
    <row r="86" spans="2:8" x14ac:dyDescent="0.6">
      <c r="B86" s="21">
        <v>73</v>
      </c>
      <c r="C86" s="5">
        <f t="shared" si="9"/>
        <v>143.63636363636348</v>
      </c>
      <c r="D86" s="5">
        <f t="shared" si="8"/>
        <v>63.726971700492328</v>
      </c>
      <c r="E86" s="5">
        <f t="shared" si="12"/>
        <v>36.273028299507672</v>
      </c>
      <c r="F86" s="5">
        <f t="shared" si="13"/>
        <v>56.363636363636516</v>
      </c>
      <c r="G86" s="5">
        <f t="shared" si="10"/>
        <v>63.726971700492328</v>
      </c>
      <c r="H86" s="6">
        <f t="shared" si="11"/>
        <v>36.273028299507672</v>
      </c>
    </row>
    <row r="87" spans="2:8" x14ac:dyDescent="0.6">
      <c r="B87" s="21">
        <v>74</v>
      </c>
      <c r="C87" s="5">
        <f t="shared" si="9"/>
        <v>144.24242424242408</v>
      </c>
      <c r="D87" s="5">
        <f t="shared" si="8"/>
        <v>63.509699795798433</v>
      </c>
      <c r="E87" s="5">
        <f t="shared" si="12"/>
        <v>36.490300204201567</v>
      </c>
      <c r="F87" s="5">
        <f t="shared" si="13"/>
        <v>55.757575757575921</v>
      </c>
      <c r="G87" s="5">
        <f t="shared" si="10"/>
        <v>63.509699795798433</v>
      </c>
      <c r="H87" s="6">
        <f t="shared" si="11"/>
        <v>36.490300204201567</v>
      </c>
    </row>
    <row r="88" spans="2:8" x14ac:dyDescent="0.6">
      <c r="B88" s="21">
        <v>75</v>
      </c>
      <c r="C88" s="5">
        <f t="shared" si="9"/>
        <v>144.84848484848467</v>
      </c>
      <c r="D88" s="5">
        <f t="shared" si="8"/>
        <v>63.285804482793907</v>
      </c>
      <c r="E88" s="5">
        <f t="shared" si="12"/>
        <v>36.714195517206093</v>
      </c>
      <c r="F88" s="5">
        <f t="shared" si="13"/>
        <v>55.151515151515326</v>
      </c>
      <c r="G88" s="5">
        <f t="shared" si="10"/>
        <v>63.285804482793907</v>
      </c>
      <c r="H88" s="6">
        <f t="shared" si="11"/>
        <v>36.714195517206093</v>
      </c>
    </row>
    <row r="89" spans="2:8" x14ac:dyDescent="0.6">
      <c r="B89" s="21">
        <v>76</v>
      </c>
      <c r="C89" s="5">
        <f t="shared" si="9"/>
        <v>145.45454545454527</v>
      </c>
      <c r="D89" s="5">
        <f t="shared" si="8"/>
        <v>63.054944986992808</v>
      </c>
      <c r="E89" s="5">
        <f t="shared" si="12"/>
        <v>36.945055013007192</v>
      </c>
      <c r="F89" s="5">
        <f t="shared" si="13"/>
        <v>54.545454545454731</v>
      </c>
      <c r="G89" s="5">
        <f t="shared" si="10"/>
        <v>63.054944986992808</v>
      </c>
      <c r="H89" s="6">
        <f t="shared" si="11"/>
        <v>36.945055013007192</v>
      </c>
    </row>
    <row r="90" spans="2:8" x14ac:dyDescent="0.6">
      <c r="B90" s="21">
        <v>77</v>
      </c>
      <c r="C90" s="5">
        <f t="shared" si="9"/>
        <v>146.06060606060586</v>
      </c>
      <c r="D90" s="5">
        <f t="shared" si="8"/>
        <v>62.816744990353129</v>
      </c>
      <c r="E90" s="5">
        <f t="shared" si="12"/>
        <v>37.183255009646871</v>
      </c>
      <c r="F90" s="5">
        <f t="shared" si="13"/>
        <v>53.939393939394137</v>
      </c>
      <c r="G90" s="5">
        <f t="shared" si="10"/>
        <v>62.816744990353129</v>
      </c>
      <c r="H90" s="6">
        <f t="shared" si="11"/>
        <v>37.183255009646871</v>
      </c>
    </row>
    <row r="91" spans="2:8" x14ac:dyDescent="0.6">
      <c r="B91" s="21">
        <v>78</v>
      </c>
      <c r="C91" s="5">
        <f t="shared" si="9"/>
        <v>146.66666666666646</v>
      </c>
      <c r="D91" s="5">
        <f t="shared" si="8"/>
        <v>62.570787221094264</v>
      </c>
      <c r="E91" s="5">
        <f t="shared" si="12"/>
        <v>37.429212778905736</v>
      </c>
      <c r="F91" s="5">
        <f t="shared" si="13"/>
        <v>53.333333333333542</v>
      </c>
      <c r="G91" s="5">
        <f t="shared" si="10"/>
        <v>62.570787221094264</v>
      </c>
      <c r="H91" s="6">
        <f t="shared" si="11"/>
        <v>37.429212778905736</v>
      </c>
    </row>
    <row r="92" spans="2:8" x14ac:dyDescent="0.6">
      <c r="B92" s="21">
        <v>79</v>
      </c>
      <c r="C92" s="5">
        <f t="shared" si="9"/>
        <v>147.27272727272705</v>
      </c>
      <c r="D92" s="5">
        <f t="shared" si="8"/>
        <v>62.316606929031352</v>
      </c>
      <c r="E92" s="5">
        <f t="shared" si="12"/>
        <v>37.683393070968648</v>
      </c>
      <c r="F92" s="5">
        <f t="shared" si="13"/>
        <v>52.727272727272947</v>
      </c>
      <c r="G92" s="5">
        <f t="shared" si="10"/>
        <v>62.316606929031352</v>
      </c>
      <c r="H92" s="6">
        <f t="shared" si="11"/>
        <v>37.683393070968648</v>
      </c>
    </row>
    <row r="93" spans="2:8" x14ac:dyDescent="0.6">
      <c r="B93" s="21">
        <v>80</v>
      </c>
      <c r="C93" s="5">
        <f t="shared" si="9"/>
        <v>147.87878787878765</v>
      </c>
      <c r="D93" s="5">
        <f t="shared" si="8"/>
        <v>62.053683951657717</v>
      </c>
      <c r="E93" s="5">
        <f t="shared" si="12"/>
        <v>37.946316048342283</v>
      </c>
      <c r="F93" s="5">
        <f t="shared" si="13"/>
        <v>52.121212121212352</v>
      </c>
      <c r="G93" s="5">
        <f t="shared" si="10"/>
        <v>62.053683951657717</v>
      </c>
      <c r="H93" s="6">
        <f t="shared" si="11"/>
        <v>37.946316048342283</v>
      </c>
    </row>
    <row r="94" spans="2:8" x14ac:dyDescent="0.6">
      <c r="B94" s="21">
        <v>81</v>
      </c>
      <c r="C94" s="5">
        <f t="shared" si="9"/>
        <v>148.48484848484824</v>
      </c>
      <c r="D94" s="5">
        <f t="shared" si="8"/>
        <v>61.781432979251292</v>
      </c>
      <c r="E94" s="5">
        <f t="shared" si="12"/>
        <v>38.218567020748708</v>
      </c>
      <c r="F94" s="5">
        <f t="shared" si="13"/>
        <v>51.515151515151757</v>
      </c>
      <c r="G94" s="5">
        <f t="shared" si="10"/>
        <v>61.781432979251292</v>
      </c>
      <c r="H94" s="6">
        <f t="shared" si="11"/>
        <v>38.218567020748708</v>
      </c>
    </row>
    <row r="95" spans="2:8" x14ac:dyDescent="0.6">
      <c r="B95" s="21">
        <v>82</v>
      </c>
      <c r="C95" s="5">
        <f t="shared" si="9"/>
        <v>149.09090909090884</v>
      </c>
      <c r="D95" s="5">
        <f t="shared" si="8"/>
        <v>61.499191491521501</v>
      </c>
      <c r="E95" s="5">
        <f t="shared" si="12"/>
        <v>38.500808508478499</v>
      </c>
      <c r="F95" s="5">
        <f t="shared" si="13"/>
        <v>50.909090909091162</v>
      </c>
      <c r="G95" s="5">
        <f t="shared" si="10"/>
        <v>61.499191491521501</v>
      </c>
      <c r="H95" s="6">
        <f t="shared" si="11"/>
        <v>38.500808508478499</v>
      </c>
    </row>
    <row r="96" spans="2:8" x14ac:dyDescent="0.6">
      <c r="B96" s="21">
        <v>83</v>
      </c>
      <c r="C96" s="5">
        <f t="shared" si="9"/>
        <v>149.69696969696943</v>
      </c>
      <c r="D96" s="5">
        <f t="shared" si="8"/>
        <v>61.206204645138442</v>
      </c>
      <c r="E96" s="5">
        <f t="shared" si="12"/>
        <v>38.793795354861558</v>
      </c>
      <c r="F96" s="5">
        <f t="shared" si="13"/>
        <v>50.303030303030567</v>
      </c>
      <c r="G96" s="5">
        <f t="shared" si="10"/>
        <v>61.206204645138442</v>
      </c>
      <c r="H96" s="6">
        <f t="shared" si="11"/>
        <v>38.793795354861558</v>
      </c>
    </row>
    <row r="97" spans="2:8" x14ac:dyDescent="0.6">
      <c r="B97" s="21">
        <v>84</v>
      </c>
      <c r="C97" s="5">
        <f t="shared" si="9"/>
        <v>150.30303030303003</v>
      </c>
      <c r="D97" s="5">
        <f t="shared" si="8"/>
        <v>60.901606111702804</v>
      </c>
      <c r="E97" s="5">
        <f t="shared" si="12"/>
        <v>39.098393888297196</v>
      </c>
      <c r="F97" s="5">
        <f t="shared" si="13"/>
        <v>49.696969696969973</v>
      </c>
      <c r="G97" s="5">
        <f t="shared" si="10"/>
        <v>60.901606111702804</v>
      </c>
      <c r="H97" s="6">
        <f t="shared" si="11"/>
        <v>39.098393888297196</v>
      </c>
    </row>
    <row r="98" spans="2:8" x14ac:dyDescent="0.6">
      <c r="B98" s="21">
        <v>85</v>
      </c>
      <c r="C98" s="5">
        <f t="shared" si="9"/>
        <v>150.90909090909062</v>
      </c>
      <c r="D98" s="5">
        <f t="shared" si="8"/>
        <v>60.584393452468625</v>
      </c>
      <c r="E98" s="5">
        <f t="shared" si="12"/>
        <v>39.415606547531375</v>
      </c>
      <c r="F98" s="5">
        <f t="shared" si="13"/>
        <v>49.090909090909378</v>
      </c>
      <c r="G98" s="5">
        <f t="shared" si="10"/>
        <v>60.584393452468625</v>
      </c>
      <c r="H98" s="6">
        <f t="shared" si="11"/>
        <v>39.415606547531375</v>
      </c>
    </row>
    <row r="99" spans="2:8" x14ac:dyDescent="0.6">
      <c r="B99" s="21">
        <v>86</v>
      </c>
      <c r="C99" s="5">
        <f t="shared" si="9"/>
        <v>151.51515151515122</v>
      </c>
      <c r="D99" s="5">
        <f t="shared" si="8"/>
        <v>60.253395992282606</v>
      </c>
      <c r="E99" s="5">
        <f t="shared" si="12"/>
        <v>39.746604007717394</v>
      </c>
      <c r="F99" s="5">
        <f t="shared" si="13"/>
        <v>48.484848484848783</v>
      </c>
      <c r="G99" s="5">
        <f t="shared" si="10"/>
        <v>60.253395992282606</v>
      </c>
      <c r="H99" s="6">
        <f t="shared" si="11"/>
        <v>39.746604007717394</v>
      </c>
    </row>
    <row r="100" spans="2:8" x14ac:dyDescent="0.6">
      <c r="B100" s="21">
        <v>87</v>
      </c>
      <c r="C100" s="5">
        <f t="shared" si="9"/>
        <v>152.12121212121181</v>
      </c>
      <c r="D100" s="5">
        <f t="shared" si="8"/>
        <v>59.907232190092486</v>
      </c>
      <c r="E100" s="5">
        <f t="shared" si="12"/>
        <v>40.092767809907514</v>
      </c>
      <c r="F100" s="5">
        <f t="shared" si="13"/>
        <v>47.878787878788188</v>
      </c>
      <c r="G100" s="5">
        <f t="shared" si="10"/>
        <v>59.907232190092486</v>
      </c>
      <c r="H100" s="6">
        <f t="shared" si="11"/>
        <v>40.092767809907514</v>
      </c>
    </row>
    <row r="101" spans="2:8" x14ac:dyDescent="0.6">
      <c r="B101" s="21">
        <v>88</v>
      </c>
      <c r="C101" s="5">
        <f t="shared" si="9"/>
        <v>152.72727272727241</v>
      </c>
      <c r="D101" s="5">
        <f t="shared" si="8"/>
        <v>59.54425196849936</v>
      </c>
      <c r="E101" s="5">
        <f t="shared" si="12"/>
        <v>40.45574803150064</v>
      </c>
      <c r="F101" s="5">
        <f t="shared" si="13"/>
        <v>47.272727272727593</v>
      </c>
      <c r="G101" s="5">
        <f t="shared" si="10"/>
        <v>59.54425196849936</v>
      </c>
      <c r="H101" s="6">
        <f t="shared" si="11"/>
        <v>40.45574803150064</v>
      </c>
    </row>
    <row r="102" spans="2:8" x14ac:dyDescent="0.6">
      <c r="B102" s="21">
        <v>89</v>
      </c>
      <c r="C102" s="5">
        <f t="shared" si="9"/>
        <v>153.333333333333</v>
      </c>
      <c r="D102" s="5">
        <f t="shared" si="8"/>
        <v>59.16245694581724</v>
      </c>
      <c r="E102" s="5">
        <f t="shared" si="12"/>
        <v>40.83754305418276</v>
      </c>
      <c r="F102" s="5">
        <f t="shared" si="13"/>
        <v>46.666666666666998</v>
      </c>
      <c r="G102" s="5">
        <f t="shared" si="10"/>
        <v>59.16245694581724</v>
      </c>
      <c r="H102" s="6">
        <f t="shared" si="11"/>
        <v>40.83754305418276</v>
      </c>
    </row>
    <row r="103" spans="2:8" x14ac:dyDescent="0.6">
      <c r="B103" s="21">
        <v>90</v>
      </c>
      <c r="C103" s="5">
        <f t="shared" si="9"/>
        <v>153.9393939393936</v>
      </c>
      <c r="D103" s="5">
        <f t="shared" si="8"/>
        <v>58.759387227749244</v>
      </c>
      <c r="E103" s="5">
        <f t="shared" si="12"/>
        <v>41.240612772250756</v>
      </c>
      <c r="F103" s="5">
        <f t="shared" si="13"/>
        <v>46.060606060606403</v>
      </c>
      <c r="G103" s="5">
        <f t="shared" si="10"/>
        <v>58.759387227749244</v>
      </c>
      <c r="H103" s="6">
        <f t="shared" si="11"/>
        <v>41.240612772250756</v>
      </c>
    </row>
    <row r="104" spans="2:8" x14ac:dyDescent="0.6">
      <c r="B104" s="21">
        <v>91</v>
      </c>
      <c r="C104" s="5">
        <f t="shared" si="9"/>
        <v>154.54545454545419</v>
      </c>
      <c r="D104" s="5">
        <f t="shared" si="8"/>
        <v>58.331955809010879</v>
      </c>
      <c r="E104" s="5">
        <f t="shared" si="12"/>
        <v>41.668044190989121</v>
      </c>
      <c r="F104" s="5">
        <f t="shared" si="13"/>
        <v>45.454545454545809</v>
      </c>
      <c r="G104" s="5">
        <f t="shared" si="10"/>
        <v>58.331955809010879</v>
      </c>
      <c r="H104" s="6">
        <f t="shared" si="11"/>
        <v>41.668044190989121</v>
      </c>
    </row>
    <row r="105" spans="2:8" x14ac:dyDescent="0.6">
      <c r="B105" s="21">
        <v>92</v>
      </c>
      <c r="C105" s="5">
        <f t="shared" si="9"/>
        <v>155.15151515151479</v>
      </c>
      <c r="D105" s="5">
        <f t="shared" si="8"/>
        <v>57.876197450350958</v>
      </c>
      <c r="E105" s="5">
        <f t="shared" si="12"/>
        <v>42.123802549649042</v>
      </c>
      <c r="F105" s="5">
        <f t="shared" si="13"/>
        <v>44.848484848485214</v>
      </c>
      <c r="G105" s="5">
        <f t="shared" si="10"/>
        <v>57.876197450350958</v>
      </c>
      <c r="H105" s="6">
        <f t="shared" si="11"/>
        <v>42.123802549649042</v>
      </c>
    </row>
    <row r="106" spans="2:8" x14ac:dyDescent="0.6">
      <c r="B106" s="21">
        <v>93</v>
      </c>
      <c r="C106" s="5">
        <f t="shared" si="9"/>
        <v>155.75757575757538</v>
      </c>
      <c r="D106" s="5">
        <f t="shared" si="8"/>
        <v>57.386870827791114</v>
      </c>
      <c r="E106" s="5">
        <f t="shared" si="12"/>
        <v>42.613129172208886</v>
      </c>
      <c r="F106" s="5">
        <f t="shared" si="13"/>
        <v>44.242424242424619</v>
      </c>
      <c r="G106" s="5">
        <f t="shared" si="10"/>
        <v>57.386870827791114</v>
      </c>
      <c r="H106" s="6">
        <f t="shared" si="11"/>
        <v>42.613129172208886</v>
      </c>
    </row>
    <row r="107" spans="2:8" x14ac:dyDescent="0.6">
      <c r="B107" s="21">
        <v>94</v>
      </c>
      <c r="C107" s="5">
        <f t="shared" si="9"/>
        <v>156.36363636363598</v>
      </c>
      <c r="D107" s="5">
        <f t="shared" si="8"/>
        <v>56.856793029688092</v>
      </c>
      <c r="E107" s="5">
        <f t="shared" si="12"/>
        <v>43.143206970311908</v>
      </c>
      <c r="F107" s="5">
        <f t="shared" si="13"/>
        <v>43.636363636364024</v>
      </c>
      <c r="G107" s="5">
        <f t="shared" si="10"/>
        <v>56.856793029688092</v>
      </c>
      <c r="H107" s="6">
        <f t="shared" si="11"/>
        <v>43.143206970311908</v>
      </c>
    </row>
    <row r="108" spans="2:8" x14ac:dyDescent="0.6">
      <c r="B108" s="21">
        <v>95</v>
      </c>
      <c r="C108" s="5">
        <f t="shared" si="9"/>
        <v>156.96969696969657</v>
      </c>
      <c r="D108" s="5">
        <f t="shared" si="8"/>
        <v>56.275646289701037</v>
      </c>
      <c r="E108" s="5">
        <f t="shared" si="12"/>
        <v>43.724353710298963</v>
      </c>
      <c r="F108" s="5">
        <f t="shared" si="13"/>
        <v>43.030303030303429</v>
      </c>
      <c r="G108" s="5">
        <f t="shared" si="10"/>
        <v>56.275646289701037</v>
      </c>
      <c r="H108" s="6">
        <f t="shared" si="11"/>
        <v>43.724353710298963</v>
      </c>
    </row>
    <row r="109" spans="2:8" x14ac:dyDescent="0.6">
      <c r="B109" s="21">
        <v>96</v>
      </c>
      <c r="C109" s="5">
        <f t="shared" si="9"/>
        <v>157.57575757575717</v>
      </c>
      <c r="D109" s="5">
        <f t="shared" si="8"/>
        <v>55.627631627145568</v>
      </c>
      <c r="E109" s="5">
        <f t="shared" si="12"/>
        <v>44.372368372854432</v>
      </c>
      <c r="F109" s="5">
        <f t="shared" si="13"/>
        <v>42.424242424242834</v>
      </c>
      <c r="G109" s="5">
        <f t="shared" si="10"/>
        <v>55.627631627145568</v>
      </c>
      <c r="H109" s="6">
        <f t="shared" si="11"/>
        <v>44.372368372854432</v>
      </c>
    </row>
    <row r="110" spans="2:8" x14ac:dyDescent="0.6">
      <c r="B110" s="21">
        <v>97</v>
      </c>
      <c r="C110" s="5">
        <f t="shared" si="9"/>
        <v>158.18181818181776</v>
      </c>
      <c r="D110" s="5">
        <f t="shared" si="8"/>
        <v>54.886216817151194</v>
      </c>
      <c r="E110" s="5">
        <f t="shared" si="12"/>
        <v>45.113783182848806</v>
      </c>
      <c r="F110" s="5">
        <f t="shared" si="13"/>
        <v>41.818181818182239</v>
      </c>
      <c r="G110" s="5">
        <f t="shared" si="10"/>
        <v>54.886216817151194</v>
      </c>
      <c r="H110" s="6">
        <f t="shared" si="11"/>
        <v>45.113783182848806</v>
      </c>
    </row>
    <row r="111" spans="2:8" x14ac:dyDescent="0.6">
      <c r="B111" s="21">
        <v>98</v>
      </c>
      <c r="C111" s="5">
        <f t="shared" si="9"/>
        <v>158.78787878787836</v>
      </c>
      <c r="D111" s="5">
        <f t="shared" si="8"/>
        <v>53.999795933985219</v>
      </c>
      <c r="E111" s="5">
        <f t="shared" si="12"/>
        <v>46.000204066014781</v>
      </c>
      <c r="F111" s="5">
        <f t="shared" si="13"/>
        <v>41.212121212121644</v>
      </c>
      <c r="G111" s="5">
        <f t="shared" si="10"/>
        <v>53.999795933985219</v>
      </c>
      <c r="H111" s="6">
        <f t="shared" si="11"/>
        <v>46.000204066014781</v>
      </c>
    </row>
    <row r="112" spans="2:8" x14ac:dyDescent="0.6">
      <c r="B112" s="21">
        <v>99</v>
      </c>
      <c r="C112" s="5">
        <f t="shared" si="9"/>
        <v>159.39393939393895</v>
      </c>
      <c r="D112" s="5">
        <f t="shared" si="8"/>
        <v>52.835488656085516</v>
      </c>
      <c r="E112" s="5">
        <f t="shared" si="12"/>
        <v>47.164511343914484</v>
      </c>
      <c r="F112" s="5">
        <f t="shared" si="13"/>
        <v>40.60606060606105</v>
      </c>
      <c r="G112" s="5">
        <f t="shared" si="10"/>
        <v>52.835488656085516</v>
      </c>
      <c r="H112" s="6">
        <f t="shared" si="11"/>
        <v>47.164511343914484</v>
      </c>
    </row>
    <row r="113" spans="2:8" x14ac:dyDescent="0.6">
      <c r="B113" s="22">
        <v>100</v>
      </c>
      <c r="C113" s="7">
        <f t="shared" si="9"/>
        <v>160</v>
      </c>
      <c r="D113" s="7">
        <f t="shared" si="8"/>
        <v>50</v>
      </c>
      <c r="E113" s="7">
        <f t="shared" si="12"/>
        <v>50</v>
      </c>
      <c r="F113" s="7">
        <f t="shared" si="13"/>
        <v>40</v>
      </c>
      <c r="G113" s="7">
        <f t="shared" si="10"/>
        <v>50</v>
      </c>
      <c r="H113" s="8">
        <f t="shared" si="11"/>
        <v>50</v>
      </c>
    </row>
  </sheetData>
  <mergeCells count="1">
    <mergeCell ref="B3:D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D8F5-27BA-4577-AFDE-75F52D7C7DF0}">
  <dimension ref="A1:B407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10.6640625" defaultRowHeight="16.5" x14ac:dyDescent="0.6"/>
  <cols>
    <col min="1" max="1" width="28.19921875" style="1" customWidth="1"/>
    <col min="2" max="2" width="33.46484375" style="1" customWidth="1"/>
    <col min="3" max="16384" width="10.6640625" style="1"/>
  </cols>
  <sheetData>
    <row r="1" spans="1:2" x14ac:dyDescent="0.6">
      <c r="A1" s="1" t="s">
        <v>16</v>
      </c>
    </row>
    <row r="2" spans="1:2" x14ac:dyDescent="0.6">
      <c r="A2" s="1" t="str">
        <f>_xlfn.CONCAT(ElipseTabla!$C14,",",ElipseTabla!D14)</f>
        <v>100,70</v>
      </c>
      <c r="B2" s="1" t="str">
        <f>_xlfn.CONCAT("POINT ",A2)</f>
        <v>POINT 100,70</v>
      </c>
    </row>
    <row r="3" spans="1:2" x14ac:dyDescent="0.6">
      <c r="A3" s="1" t="str">
        <f>_xlfn.CONCAT(ElipseTabla!C15,",",ElipseTabla!$D15)</f>
        <v>100.606060606061,69.9989796699226</v>
      </c>
      <c r="B3" s="1" t="str">
        <f t="shared" ref="B3:B66" si="0">_xlfn.CONCAT("POINT ",A3)</f>
        <v>POINT 100.606060606061,69.9989796699226</v>
      </c>
    </row>
    <row r="4" spans="1:2" x14ac:dyDescent="0.6">
      <c r="A4" s="1" t="str">
        <f>_xlfn.CONCAT(ElipseTabla!C16,",",ElipseTabla!D16)</f>
        <v>101.212121212121,69.9959183673044</v>
      </c>
      <c r="B4" s="1" t="str">
        <f t="shared" si="0"/>
        <v>POINT 101.212121212121,69.9959183673044</v>
      </c>
    </row>
    <row r="5" spans="1:2" x14ac:dyDescent="0.6">
      <c r="A5" s="1" t="str">
        <f>_xlfn.CONCAT(ElipseTabla!C17,",",ElipseTabla!D17)</f>
        <v>101.818181818182,69.9908151545099</v>
      </c>
      <c r="B5" s="1" t="str">
        <f t="shared" si="0"/>
        <v>POINT 101.818181818182,69.9908151545099</v>
      </c>
    </row>
    <row r="6" spans="1:2" x14ac:dyDescent="0.6">
      <c r="A6" s="1" t="str">
        <f>_xlfn.CONCAT(ElipseTabla!C18,",",ElipseTabla!D18)</f>
        <v>102.424242424242,69.9836684672162</v>
      </c>
      <c r="B6" s="1" t="str">
        <f t="shared" si="0"/>
        <v>POINT 102.424242424242,69.9836684672162</v>
      </c>
    </row>
    <row r="7" spans="1:2" x14ac:dyDescent="0.6">
      <c r="A7" s="1" t="str">
        <f>_xlfn.CONCAT(ElipseTabla!C19,",",ElipseTabla!D19)</f>
        <v>103.030303030303,69.9744761120134</v>
      </c>
      <c r="B7" s="1" t="str">
        <f t="shared" si="0"/>
        <v>POINT 103.030303030303,69.9744761120134</v>
      </c>
    </row>
    <row r="8" spans="1:2" x14ac:dyDescent="0.6">
      <c r="A8" s="1" t="str">
        <f>_xlfn.CONCAT(ElipseTabla!C20,",",ElipseTabla!D20)</f>
        <v>103.636363636364,69.963235263031</v>
      </c>
      <c r="B8" s="1" t="str">
        <f t="shared" si="0"/>
        <v>POINT 103.636363636364,69.963235263031</v>
      </c>
    </row>
    <row r="9" spans="1:2" x14ac:dyDescent="0.6">
      <c r="A9" s="1" t="str">
        <f>_xlfn.CONCAT(ElipseTabla!C21,",",ElipseTabla!D21)</f>
        <v>104.242424242424,69.9499424575814</v>
      </c>
      <c r="B9" s="1" t="str">
        <f t="shared" si="0"/>
        <v>POINT 104.242424242424,69.9499424575814</v>
      </c>
    </row>
    <row r="10" spans="1:2" x14ac:dyDescent="0.6">
      <c r="A10" s="1" t="str">
        <f>_xlfn.CONCAT(ElipseTabla!C22,",",ElipseTabla!D22)</f>
        <v>104.848484848485,69.934593590802</v>
      </c>
      <c r="B10" s="1" t="str">
        <f t="shared" si="0"/>
        <v>POINT 104.848484848485,69.934593590802</v>
      </c>
    </row>
    <row r="11" spans="1:2" x14ac:dyDescent="0.6">
      <c r="A11" s="1" t="str">
        <f>_xlfn.CONCAT(ElipseTabla!C23,",",ElipseTabla!D23)</f>
        <v>105.454545454545,69.9171839092788</v>
      </c>
      <c r="B11" s="1" t="str">
        <f t="shared" si="0"/>
        <v>POINT 105.454545454545,69.9171839092788</v>
      </c>
    </row>
    <row r="12" spans="1:2" x14ac:dyDescent="0.6">
      <c r="A12" s="1" t="str">
        <f>_xlfn.CONCAT(ElipseTabla!C24,",",ElipseTabla!D24)</f>
        <v>106.060606060606,69.8977080036262</v>
      </c>
      <c r="B12" s="1" t="str">
        <f t="shared" si="0"/>
        <v>POINT 106.060606060606,69.8977080036262</v>
      </c>
    </row>
    <row r="13" spans="1:2" x14ac:dyDescent="0.6">
      <c r="A13" s="1" t="str">
        <f>_xlfn.CONCAT(ElipseTabla!C25,",",ElipseTabla!D25)</f>
        <v>106.666666666667,69.8761597999981</v>
      </c>
      <c r="B13" s="1" t="str">
        <f t="shared" si="0"/>
        <v>POINT 106.666666666667,69.8761597999981</v>
      </c>
    </row>
    <row r="14" spans="1:2" x14ac:dyDescent="0.6">
      <c r="A14" s="1" t="str">
        <f>_xlfn.CONCAT(ElipseTabla!C26,",",ElipseTabla!D26)</f>
        <v>107.272727272727,69.852532550496</v>
      </c>
      <c r="B14" s="1" t="str">
        <f t="shared" si="0"/>
        <v>POINT 107.272727272727,69.852532550496</v>
      </c>
    </row>
    <row r="15" spans="1:2" x14ac:dyDescent="0.6">
      <c r="A15" s="1" t="str">
        <f>_xlfn.CONCAT(ElipseTabla!C27,",",ElipseTabla!D27)</f>
        <v>107.878787878788,69.8268188224409</v>
      </c>
      <c r="B15" s="1" t="str">
        <f t="shared" si="0"/>
        <v>POINT 107.878787878788,69.8268188224409</v>
      </c>
    </row>
    <row r="16" spans="1:2" x14ac:dyDescent="0.6">
      <c r="A16" s="1" t="str">
        <f>_xlfn.CONCAT(ElipseTabla!C28,",",ElipseTabla!D28)</f>
        <v>108.484848484849,69.7990104864673</v>
      </c>
      <c r="B16" s="1" t="str">
        <f t="shared" si="0"/>
        <v>POINT 108.484848484849,69.7990104864673</v>
      </c>
    </row>
    <row r="17" spans="1:2" x14ac:dyDescent="0.6">
      <c r="A17" s="1" t="str">
        <f>_xlfn.CONCAT(ElipseTabla!C29,",",ElipseTabla!D29)</f>
        <v>109.090909090909,69.7690987033941</v>
      </c>
      <c r="B17" s="1" t="str">
        <f t="shared" si="0"/>
        <v>POINT 109.090909090909,69.7690987033941</v>
      </c>
    </row>
    <row r="18" spans="1:2" x14ac:dyDescent="0.6">
      <c r="A18" s="1" t="str">
        <f>_xlfn.CONCAT(ElipseTabla!C30,",",ElipseTabla!D30)</f>
        <v>109.69696969697,69.7370739098222</v>
      </c>
      <c r="B18" s="1" t="str">
        <f t="shared" si="0"/>
        <v>POINT 109.69696969697,69.7370739098222</v>
      </c>
    </row>
    <row r="19" spans="1:2" x14ac:dyDescent="0.6">
      <c r="A19" s="1" t="str">
        <f>_xlfn.CONCAT(ElipseTabla!C31,",",ElipseTabla!D31)</f>
        <v>110.30303030303,69.7029258024026</v>
      </c>
      <c r="B19" s="1" t="str">
        <f t="shared" si="0"/>
        <v>POINT 110.30303030303,69.7029258024026</v>
      </c>
    </row>
    <row r="20" spans="1:2" x14ac:dyDescent="0.6">
      <c r="A20" s="1" t="str">
        <f>_xlfn.CONCAT(ElipseTabla!C32,",",ElipseTabla!D32)</f>
        <v>110.909090909091,69.6666433207127</v>
      </c>
      <c r="B20" s="1" t="str">
        <f t="shared" si="0"/>
        <v>POINT 110.909090909091,69.6666433207127</v>
      </c>
    </row>
    <row r="21" spans="1:2" x14ac:dyDescent="0.6">
      <c r="A21" s="1" t="str">
        <f>_xlfn.CONCAT(ElipseTabla!C33,",",ElipseTabla!D33)</f>
        <v>111.515151515152,69.6282146286725</v>
      </c>
      <c r="B21" s="1" t="str">
        <f t="shared" si="0"/>
        <v>POINT 111.515151515152,69.6282146286725</v>
      </c>
    </row>
    <row r="22" spans="1:2" x14ac:dyDescent="0.6">
      <c r="A22" s="1" t="str">
        <f>_xlfn.CONCAT(ElipseTabla!C34,",",ElipseTabla!D34)</f>
        <v>112.121212121212,69.5876270944259</v>
      </c>
      <c r="B22" s="1" t="str">
        <f t="shared" si="0"/>
        <v>POINT 112.121212121212,69.5876270944259</v>
      </c>
    </row>
    <row r="23" spans="1:2" x14ac:dyDescent="0.6">
      <c r="A23" s="1" t="str">
        <f>_xlfn.CONCAT(ElipseTabla!C35,",",ElipseTabla!D35)</f>
        <v>112.727272727273,69.5448672686025</v>
      </c>
      <c r="B23" s="1" t="str">
        <f t="shared" si="0"/>
        <v>POINT 112.727272727273,69.5448672686025</v>
      </c>
    </row>
    <row r="24" spans="1:2" x14ac:dyDescent="0.6">
      <c r="A24" s="1" t="str">
        <f>_xlfn.CONCAT(ElipseTabla!C36,",",ElipseTabla!D36)</f>
        <v>113.333333333333,69.4999208608714</v>
      </c>
      <c r="B24" s="1" t="str">
        <f t="shared" si="0"/>
        <v>POINT 113.333333333333,69.4999208608714</v>
      </c>
    </row>
    <row r="25" spans="1:2" x14ac:dyDescent="0.6">
      <c r="A25" s="1" t="str">
        <f>_xlfn.CONCAT(ElipseTabla!C37,",",ElipseTabla!D37)</f>
        <v>113.939393939394,69.452772714684</v>
      </c>
      <c r="B25" s="1" t="str">
        <f t="shared" si="0"/>
        <v>POINT 113.939393939394,69.452772714684</v>
      </c>
    </row>
    <row r="26" spans="1:2" x14ac:dyDescent="0.6">
      <c r="A26" s="1" t="str">
        <f>_xlfn.CONCAT(ElipseTabla!C38,",",ElipseTabla!D38)</f>
        <v>114.545454545455,69.4034067800995</v>
      </c>
      <c r="B26" s="1" t="str">
        <f t="shared" si="0"/>
        <v>POINT 114.545454545455,69.4034067800995</v>
      </c>
    </row>
    <row r="27" spans="1:2" x14ac:dyDescent="0.6">
      <c r="A27" s="1" t="str">
        <f>_xlfn.CONCAT(ElipseTabla!C39,",",ElipseTabla!D39)</f>
        <v>115.151515151515,69.3518060845706</v>
      </c>
      <c r="B27" s="1" t="str">
        <f t="shared" si="0"/>
        <v>POINT 115.151515151515,69.3518060845706</v>
      </c>
    </row>
    <row r="28" spans="1:2" x14ac:dyDescent="0.6">
      <c r="A28" s="1" t="str">
        <f>_xlfn.CONCAT(ElipseTabla!C40,",",ElipseTabla!D40)</f>
        <v>115.757575757576,69.2979527015584</v>
      </c>
      <c r="B28" s="1" t="str">
        <f t="shared" si="0"/>
        <v>POINT 115.757575757576,69.2979527015584</v>
      </c>
    </row>
    <row r="29" spans="1:2" x14ac:dyDescent="0.6">
      <c r="A29" s="1" t="str">
        <f>_xlfn.CONCAT(ElipseTabla!C41,",",ElipseTabla!D41)</f>
        <v>116.363636363636,69.2418277168334</v>
      </c>
      <c r="B29" s="1" t="str">
        <f t="shared" si="0"/>
        <v>POINT 116.363636363636,69.2418277168334</v>
      </c>
    </row>
    <row r="30" spans="1:2" x14ac:dyDescent="0.6">
      <c r="A30" s="1" t="str">
        <f>_xlfn.CONCAT(ElipseTabla!C42,",",ElipseTabla!D42)</f>
        <v>116.969696969697,69.1834111923026</v>
      </c>
      <c r="B30" s="1" t="str">
        <f t="shared" si="0"/>
        <v>POINT 116.969696969697,69.1834111923026</v>
      </c>
    </row>
    <row r="31" spans="1:2" x14ac:dyDescent="0.6">
      <c r="A31" s="1" t="str">
        <f>_xlfn.CONCAT(ElipseTabla!C43,",",ElipseTabla!D43)</f>
        <v>117.575757575758,69.1226821271907</v>
      </c>
      <c r="B31" s="1" t="str">
        <f t="shared" si="0"/>
        <v>POINT 117.575757575758,69.1226821271907</v>
      </c>
    </row>
    <row r="32" spans="1:2" x14ac:dyDescent="0.6">
      <c r="A32" s="1" t="str">
        <f>_xlfn.CONCAT(ElipseTabla!C44,",",ElipseTabla!D44)</f>
        <v>118.181818181818,69.0596184163835</v>
      </c>
      <c r="B32" s="1" t="str">
        <f t="shared" si="0"/>
        <v>POINT 118.181818181818,69.0596184163835</v>
      </c>
    </row>
    <row r="33" spans="1:2" x14ac:dyDescent="0.6">
      <c r="A33" s="1" t="str">
        <f>_xlfn.CONCAT(ElipseTabla!C45,",",ElipseTabla!D45)</f>
        <v>118.787878787879,68.9941968057263</v>
      </c>
      <c r="B33" s="1" t="str">
        <f t="shared" si="0"/>
        <v>POINT 118.787878787879,68.9941968057263</v>
      </c>
    </row>
    <row r="34" spans="1:2" x14ac:dyDescent="0.6">
      <c r="A34" s="1" t="str">
        <f>_xlfn.CONCAT(ElipseTabla!C46,",",ElipseTabla!D46)</f>
        <v>119.393939393939,68.9263928440454</v>
      </c>
      <c r="B34" s="1" t="str">
        <f t="shared" si="0"/>
        <v>POINT 119.393939393939,68.9263928440454</v>
      </c>
    </row>
    <row r="35" spans="1:2" x14ac:dyDescent="0.6">
      <c r="A35" s="1" t="str">
        <f>_xlfn.CONCAT(ElipseTabla!C47,",",ElipseTabla!D47)</f>
        <v>120,68.8561808316413</v>
      </c>
      <c r="B35" s="1" t="str">
        <f t="shared" si="0"/>
        <v>POINT 120,68.8561808316413</v>
      </c>
    </row>
    <row r="36" spans="1:2" x14ac:dyDescent="0.6">
      <c r="A36" s="1" t="str">
        <f>_xlfn.CONCAT(ElipseTabla!C48,",",ElipseTabla!D48)</f>
        <v>120.606060606061,68.7835337649743</v>
      </c>
      <c r="B36" s="1" t="str">
        <f t="shared" si="0"/>
        <v>POINT 120.606060606061,68.7835337649743</v>
      </c>
    </row>
    <row r="37" spans="1:2" x14ac:dyDescent="0.6">
      <c r="A37" s="1" t="str">
        <f>_xlfn.CONCAT(ElipseTabla!C49,",",ElipseTabla!D49)</f>
        <v>121.212121212121,68.7084232772367</v>
      </c>
      <c r="B37" s="1" t="str">
        <f t="shared" si="0"/>
        <v>POINT 121.212121212121,68.7084232772367</v>
      </c>
    </row>
    <row r="38" spans="1:2" x14ac:dyDescent="0.6">
      <c r="A38" s="1" t="str">
        <f>_xlfn.CONCAT(ElipseTabla!C50,",",ElipseTabla!D50)</f>
        <v>121.818181818182,68.630819574472</v>
      </c>
      <c r="B38" s="1" t="str">
        <f t="shared" si="0"/>
        <v>POINT 121.818181818182,68.630819574472</v>
      </c>
    </row>
    <row r="39" spans="1:2" x14ac:dyDescent="0.6">
      <c r="A39" s="1" t="str">
        <f>_xlfn.CONCAT(ElipseTabla!C51,",",ElipseTabla!D51)</f>
        <v>122.424242424243,68.5506913668671</v>
      </c>
      <c r="B39" s="1" t="str">
        <f t="shared" si="0"/>
        <v>POINT 122.424242424243,68.5506913668671</v>
      </c>
    </row>
    <row r="40" spans="1:2" x14ac:dyDescent="0.6">
      <c r="A40" s="1" t="str">
        <f>_xlfn.CONCAT(ElipseTabla!C52,",",ElipseTabla!D52)</f>
        <v>123.030303030303,68.4680057948046</v>
      </c>
      <c r="B40" s="1" t="str">
        <f t="shared" si="0"/>
        <v>POINT 123.030303030303,68.4680057948046</v>
      </c>
    </row>
    <row r="41" spans="1:2" x14ac:dyDescent="0.6">
      <c r="A41" s="1" t="str">
        <f>_xlfn.CONCAT(ElipseTabla!C53,",",ElipseTabla!D53)</f>
        <v>123.636363636364,68.3827283492159</v>
      </c>
      <c r="B41" s="1" t="str">
        <f t="shared" si="0"/>
        <v>POINT 123.636363636364,68.3827283492159</v>
      </c>
    </row>
    <row r="42" spans="1:2" x14ac:dyDescent="0.6">
      <c r="A42" s="1" t="str">
        <f>_xlfn.CONCAT(ElipseTabla!C54,",",ElipseTabla!D54)</f>
        <v>124.242424242424,68.2948227857267</v>
      </c>
      <c r="B42" s="1" t="str">
        <f t="shared" si="0"/>
        <v>POINT 124.242424242424,68.2948227857267</v>
      </c>
    </row>
    <row r="43" spans="1:2" x14ac:dyDescent="0.6">
      <c r="A43" s="1" t="str">
        <f>_xlfn.CONCAT(ElipseTabla!C55,",",ElipseTabla!D55)</f>
        <v>124.848484848485,68.2042510320304</v>
      </c>
      <c r="B43" s="1" t="str">
        <f t="shared" si="0"/>
        <v>POINT 124.848484848485,68.2042510320304</v>
      </c>
    </row>
    <row r="44" spans="1:2" x14ac:dyDescent="0.6">
      <c r="A44" s="1" t="str">
        <f>_xlfn.CONCAT(ElipseTabla!C56,",",ElipseTabla!D56)</f>
        <v>125.454545454546,68.1109730878593</v>
      </c>
      <c r="B44" s="1" t="str">
        <f t="shared" si="0"/>
        <v>POINT 125.454545454546,68.1109730878593</v>
      </c>
    </row>
    <row r="45" spans="1:2" x14ac:dyDescent="0.6">
      <c r="A45" s="1" t="str">
        <f>_xlfn.CONCAT(ElipseTabla!C57,",",ElipseTabla!D57)</f>
        <v>126.060606060606,68.0149469168549</v>
      </c>
      <c r="B45" s="1" t="str">
        <f t="shared" si="0"/>
        <v>POINT 126.060606060606,68.0149469168549</v>
      </c>
    </row>
    <row r="46" spans="1:2" x14ac:dyDescent="0.6">
      <c r="A46" s="1" t="str">
        <f>_xlfn.CONCAT(ElipseTabla!C58,",",ElipseTabla!D58)</f>
        <v>126.666666666667,67.9161283295523</v>
      </c>
      <c r="B46" s="1" t="str">
        <f t="shared" si="0"/>
        <v>POINT 126.666666666667,67.9161283295523</v>
      </c>
    </row>
    <row r="47" spans="1:2" x14ac:dyDescent="0.6">
      <c r="A47" s="1" t="str">
        <f>_xlfn.CONCAT(ElipseTabla!C59,",",ElipseTabla!D59)</f>
        <v>127.272727272727,67.8144708566049</v>
      </c>
      <c r="B47" s="1" t="str">
        <f t="shared" si="0"/>
        <v>POINT 127.272727272727,67.8144708566049</v>
      </c>
    </row>
    <row r="48" spans="1:2" x14ac:dyDescent="0.6">
      <c r="A48" s="1" t="str">
        <f>_xlfn.CONCAT(ElipseTabla!C60,",",ElipseTabla!D60)</f>
        <v>127.878787878788,67.7099256112671</v>
      </c>
      <c r="B48" s="1" t="str">
        <f t="shared" si="0"/>
        <v>POINT 127.878787878788,67.7099256112671</v>
      </c>
    </row>
    <row r="49" spans="1:2" x14ac:dyDescent="0.6">
      <c r="A49" s="1" t="str">
        <f>_xlfn.CONCAT(ElipseTabla!C61,",",ElipseTabla!D61)</f>
        <v>128.484848484849,67.6024411400339</v>
      </c>
      <c r="B49" s="1" t="str">
        <f t="shared" si="0"/>
        <v>POINT 128.484848484849,67.6024411400339</v>
      </c>
    </row>
    <row r="50" spans="1:2" x14ac:dyDescent="0.6">
      <c r="A50" s="1" t="str">
        <f>_xlfn.CONCAT(ElipseTabla!C62,",",ElipseTabla!D62)</f>
        <v>129.090909090909,67.4919632601961</v>
      </c>
      <c r="B50" s="1" t="str">
        <f t="shared" si="0"/>
        <v>POINT 129.090909090909,67.4919632601961</v>
      </c>
    </row>
    <row r="51" spans="1:2" x14ac:dyDescent="0.6">
      <c r="A51" s="1" t="str">
        <f>_xlfn.CONCAT(ElipseTabla!C63,",",ElipseTabla!D63)</f>
        <v>129.69696969697,67.3784348829144</v>
      </c>
      <c r="B51" s="1" t="str">
        <f t="shared" si="0"/>
        <v>POINT 129.69696969697,67.3784348829144</v>
      </c>
    </row>
    <row r="52" spans="1:2" x14ac:dyDescent="0.6">
      <c r="A52" s="1" t="str">
        <f>_xlfn.CONCAT(ElipseTabla!C64,",",ElipseTabla!D64)</f>
        <v>130.30303030303,67.2617958202295</v>
      </c>
      <c r="B52" s="1" t="str">
        <f t="shared" si="0"/>
        <v>POINT 130.30303030303,67.2617958202295</v>
      </c>
    </row>
    <row r="53" spans="1:2" x14ac:dyDescent="0.6">
      <c r="A53" s="1" t="str">
        <f>_xlfn.CONCAT(ElipseTabla!C65,",",ElipseTabla!D65)</f>
        <v>130.909090909091,67.1419825742193</v>
      </c>
      <c r="B53" s="1" t="str">
        <f t="shared" si="0"/>
        <v>POINT 130.909090909091,67.1419825742193</v>
      </c>
    </row>
    <row r="54" spans="1:2" x14ac:dyDescent="0.6">
      <c r="A54" s="1" t="str">
        <f>_xlfn.CONCAT(ElipseTabla!C66,",",ElipseTabla!D66)</f>
        <v>131.515151515152,67.0189281062685</v>
      </c>
      <c r="B54" s="1" t="str">
        <f t="shared" si="0"/>
        <v>POINT 131.515151515152,67.0189281062685</v>
      </c>
    </row>
    <row r="55" spans="1:2" x14ac:dyDescent="0.6">
      <c r="A55" s="1" t="str">
        <f>_xlfn.CONCAT(ElipseTabla!C67,",",ElipseTabla!D67)</f>
        <v>132.121212121212,66.8925615841348</v>
      </c>
      <c r="B55" s="1" t="str">
        <f t="shared" si="0"/>
        <v>POINT 132.121212121212,66.8925615841348</v>
      </c>
    </row>
    <row r="56" spans="1:2" x14ac:dyDescent="0.6">
      <c r="A56" s="1" t="str">
        <f>_xlfn.CONCAT(ElipseTabla!C68,",",ElipseTabla!D68)</f>
        <v>132.727272727273,66.7628081041689</v>
      </c>
      <c r="B56" s="1" t="str">
        <f t="shared" si="0"/>
        <v>POINT 132.727272727273,66.7628081041689</v>
      </c>
    </row>
    <row r="57" spans="1:2" x14ac:dyDescent="0.6">
      <c r="A57" s="1" t="str">
        <f>_xlfn.CONCAT(ElipseTabla!C69,",",ElipseTabla!D69)</f>
        <v>133.333333333333,66.6295883856619</v>
      </c>
      <c r="B57" s="1" t="str">
        <f t="shared" si="0"/>
        <v>POINT 133.333333333333,66.6295883856619</v>
      </c>
    </row>
    <row r="58" spans="1:2" x14ac:dyDescent="0.6">
      <c r="A58" s="1" t="str">
        <f>_xlfn.CONCAT(ElipseTabla!C70,",",ElipseTabla!D70)</f>
        <v>133.939393939394,66.4928184338471</v>
      </c>
      <c r="B58" s="1" t="str">
        <f t="shared" si="0"/>
        <v>POINT 133.939393939394,66.4928184338471</v>
      </c>
    </row>
    <row r="59" spans="1:2" x14ac:dyDescent="0.6">
      <c r="A59" s="1" t="str">
        <f>_xlfn.CONCAT(ElipseTabla!C71,",",ElipseTabla!D71)</f>
        <v>134.545454545455,66.352409167554</v>
      </c>
      <c r="B59" s="1" t="str">
        <f t="shared" si="0"/>
        <v>POINT 134.545454545455,66.352409167554</v>
      </c>
    </row>
    <row r="60" spans="1:2" x14ac:dyDescent="0.6">
      <c r="A60" s="1" t="str">
        <f>_xlfn.CONCAT(ElipseTabla!C72,",",ElipseTabla!D72)</f>
        <v>135.151515151515,66.2082660068963</v>
      </c>
      <c r="B60" s="1" t="str">
        <f t="shared" si="0"/>
        <v>POINT 135.151515151515,66.2082660068963</v>
      </c>
    </row>
    <row r="61" spans="1:2" x14ac:dyDescent="0.6">
      <c r="A61" s="1" t="str">
        <f>_xlfn.CONCAT(ElipseTabla!C73,",",ElipseTabla!D73)</f>
        <v>135.757575757576,66.0602884156378</v>
      </c>
      <c r="B61" s="1" t="str">
        <f t="shared" si="0"/>
        <v>POINT 135.757575757576,66.0602884156378</v>
      </c>
    </row>
    <row r="62" spans="1:2" x14ac:dyDescent="0.6">
      <c r="A62" s="1" t="str">
        <f>_xlfn.CONCAT(ElipseTabla!C74,",",ElipseTabla!D74)</f>
        <v>136.363636363636,65.9083693920081</v>
      </c>
      <c r="B62" s="1" t="str">
        <f t="shared" si="0"/>
        <v>POINT 136.363636363636,65.9083693920081</v>
      </c>
    </row>
    <row r="63" spans="1:2" x14ac:dyDescent="0.6">
      <c r="A63" s="1" t="str">
        <f>_xlfn.CONCAT(ElipseTabla!C75,",",ElipseTabla!D75)</f>
        <v>136.969696969697,65.7523949007014</v>
      </c>
      <c r="B63" s="1" t="str">
        <f t="shared" si="0"/>
        <v>POINT 136.969696969697,65.7523949007014</v>
      </c>
    </row>
    <row r="64" spans="1:2" x14ac:dyDescent="0.6">
      <c r="A64" s="1" t="str">
        <f>_xlfn.CONCAT(ElipseTabla!C76,",",ElipseTabla!D76)</f>
        <v>137.575757575758,65.5922432375414</v>
      </c>
      <c r="B64" s="1" t="str">
        <f t="shared" si="0"/>
        <v>POINT 137.575757575758,65.5922432375414</v>
      </c>
    </row>
    <row r="65" spans="1:2" x14ac:dyDescent="0.6">
      <c r="A65" s="1" t="str">
        <f>_xlfn.CONCAT(ElipseTabla!C77,",",ElipseTabla!D77)</f>
        <v>138.181818181818,65.4277843167974</v>
      </c>
      <c r="B65" s="1" t="str">
        <f t="shared" si="0"/>
        <v>POINT 138.181818181818,65.4277843167974</v>
      </c>
    </row>
    <row r="66" spans="1:2" x14ac:dyDescent="0.6">
      <c r="A66" s="1" t="str">
        <f>_xlfn.CONCAT(ElipseTabla!C78,",",ElipseTabla!D78)</f>
        <v>138.787878787879,65.2588788693186</v>
      </c>
      <c r="B66" s="1" t="str">
        <f t="shared" si="0"/>
        <v>POINT 138.787878787879,65.2588788693186</v>
      </c>
    </row>
    <row r="67" spans="1:2" x14ac:dyDescent="0.6">
      <c r="A67" s="1" t="str">
        <f>_xlfn.CONCAT(ElipseTabla!C79,",",ElipseTabla!D79)</f>
        <v>139.393939393939,65.0853775374501</v>
      </c>
      <c r="B67" s="1" t="str">
        <f t="shared" ref="B67:B101" si="1">_xlfn.CONCAT("POINT ",A67)</f>
        <v>POINT 139.393939393939,65.0853775374501</v>
      </c>
    </row>
    <row r="68" spans="1:2" x14ac:dyDescent="0.6">
      <c r="A68" s="1" t="str">
        <f>_xlfn.CONCAT(ElipseTabla!C80,",",ElipseTabla!D80)</f>
        <v>140,64.9071198499986</v>
      </c>
      <c r="B68" s="1" t="str">
        <f t="shared" si="1"/>
        <v>POINT 140,64.9071198499986</v>
      </c>
    </row>
    <row r="69" spans="1:2" x14ac:dyDescent="0.6">
      <c r="A69" s="1" t="str">
        <f>_xlfn.CONCAT(ElipseTabla!C81,",",ElipseTabla!D81)</f>
        <v>140.606060606061,64.7239330572029</v>
      </c>
      <c r="B69" s="1" t="str">
        <f t="shared" si="1"/>
        <v>POINT 140.606060606061,64.7239330572029</v>
      </c>
    </row>
    <row r="70" spans="1:2" x14ac:dyDescent="0.6">
      <c r="A70" s="1" t="str">
        <f>_xlfn.CONCAT(ElipseTabla!C82,",",ElipseTabla!D82)</f>
        <v>141.212121212121,64.5356308015757</v>
      </c>
      <c r="B70" s="1" t="str">
        <f t="shared" si="1"/>
        <v>POINT 141.212121212121,64.5356308015757</v>
      </c>
    </row>
    <row r="71" spans="1:2" x14ac:dyDescent="0.6">
      <c r="A71" s="1" t="str">
        <f>_xlfn.CONCAT(ElipseTabla!C83,",",ElipseTabla!D83)</f>
        <v>141.818181818182,64.342011595393</v>
      </c>
      <c r="B71" s="1" t="str">
        <f t="shared" si="1"/>
        <v>POINT 141.818181818182,64.342011595393</v>
      </c>
    </row>
    <row r="72" spans="1:2" x14ac:dyDescent="0.6">
      <c r="A72" s="1" t="str">
        <f>_xlfn.CONCAT(ElipseTabla!C84,",",ElipseTabla!D84)</f>
        <v>142.424242424242,64.1428570692422</v>
      </c>
      <c r="B72" s="1" t="str">
        <f t="shared" si="1"/>
        <v>POINT 142.424242424242,64.1428570692422</v>
      </c>
    </row>
    <row r="73" spans="1:2" x14ac:dyDescent="0.6">
      <c r="A73" s="1" t="str">
        <f>_xlfn.CONCAT(ElipseTabla!C85,",",ElipseTabla!D85)</f>
        <v>143.030303030303,63.9379299480084</v>
      </c>
      <c r="B73" s="1" t="str">
        <f t="shared" si="1"/>
        <v>POINT 143.030303030303,63.9379299480084</v>
      </c>
    </row>
    <row r="74" spans="1:2" x14ac:dyDescent="0.6">
      <c r="A74" s="1" t="str">
        <f>_xlfn.CONCAT(ElipseTabla!C86,",",ElipseTabla!D86)</f>
        <v>143.636363636363,63.7269717004923</v>
      </c>
      <c r="B74" s="1" t="str">
        <f t="shared" si="1"/>
        <v>POINT 143.636363636363,63.7269717004923</v>
      </c>
    </row>
    <row r="75" spans="1:2" x14ac:dyDescent="0.6">
      <c r="A75" s="1" t="str">
        <f>_xlfn.CONCAT(ElipseTabla!C87,",",ElipseTabla!D87)</f>
        <v>144.242424242424,63.5096997957984</v>
      </c>
      <c r="B75" s="1" t="str">
        <f t="shared" si="1"/>
        <v>POINT 144.242424242424,63.5096997957984</v>
      </c>
    </row>
    <row r="76" spans="1:2" x14ac:dyDescent="0.6">
      <c r="A76" s="1" t="str">
        <f>_xlfn.CONCAT(ElipseTabla!C88,",",ElipseTabla!D88)</f>
        <v>144.848484848485,63.2858044827939</v>
      </c>
      <c r="B76" s="1" t="str">
        <f t="shared" si="1"/>
        <v>POINT 144.848484848485,63.2858044827939</v>
      </c>
    </row>
    <row r="77" spans="1:2" x14ac:dyDescent="0.6">
      <c r="A77" s="1" t="str">
        <f>_xlfn.CONCAT(ElipseTabla!C89,",",ElipseTabla!D89)</f>
        <v>145.454545454545,63.0549449869928</v>
      </c>
      <c r="B77" s="1" t="str">
        <f t="shared" si="1"/>
        <v>POINT 145.454545454545,63.0549449869928</v>
      </c>
    </row>
    <row r="78" spans="1:2" x14ac:dyDescent="0.6">
      <c r="A78" s="1" t="str">
        <f>_xlfn.CONCAT(ElipseTabla!C90,",",ElipseTabla!D90)</f>
        <v>146.060606060606,62.8167449903531</v>
      </c>
      <c r="B78" s="1" t="str">
        <f t="shared" si="1"/>
        <v>POINT 146.060606060606,62.8167449903531</v>
      </c>
    </row>
    <row r="79" spans="1:2" x14ac:dyDescent="0.6">
      <c r="A79" s="1" t="str">
        <f>_xlfn.CONCAT(ElipseTabla!C91,",",ElipseTabla!D91)</f>
        <v>146.666666666666,62.5707872210943</v>
      </c>
      <c r="B79" s="1" t="str">
        <f t="shared" si="1"/>
        <v>POINT 146.666666666666,62.5707872210943</v>
      </c>
    </row>
    <row r="80" spans="1:2" x14ac:dyDescent="0.6">
      <c r="A80" s="1" t="str">
        <f>_xlfn.CONCAT(ElipseTabla!C92,",",ElipseTabla!D92)</f>
        <v>147.272727272727,62.3166069290314</v>
      </c>
      <c r="B80" s="1" t="str">
        <f t="shared" si="1"/>
        <v>POINT 147.272727272727,62.3166069290314</v>
      </c>
    </row>
    <row r="81" spans="1:2" x14ac:dyDescent="0.6">
      <c r="A81" s="1" t="str">
        <f>_xlfn.CONCAT(ElipseTabla!C93,",",ElipseTabla!D93)</f>
        <v>147.878787878788,62.0536839516577</v>
      </c>
      <c r="B81" s="1" t="str">
        <f t="shared" si="1"/>
        <v>POINT 147.878787878788,62.0536839516577</v>
      </c>
    </row>
    <row r="82" spans="1:2" x14ac:dyDescent="0.6">
      <c r="A82" s="1" t="str">
        <f>_xlfn.CONCAT(ElipseTabla!C94,",",ElipseTabla!D94)</f>
        <v>148.484848484848,61.7814329792513</v>
      </c>
      <c r="B82" s="1" t="str">
        <f t="shared" si="1"/>
        <v>POINT 148.484848484848,61.7814329792513</v>
      </c>
    </row>
    <row r="83" spans="1:2" x14ac:dyDescent="0.6">
      <c r="A83" s="1" t="str">
        <f>_xlfn.CONCAT(ElipseTabla!C95,",",ElipseTabla!D95)</f>
        <v>149.090909090909,61.4991914915215</v>
      </c>
      <c r="B83" s="1" t="str">
        <f t="shared" si="1"/>
        <v>POINT 149.090909090909,61.4991914915215</v>
      </c>
    </row>
    <row r="84" spans="1:2" x14ac:dyDescent="0.6">
      <c r="A84" s="1" t="str">
        <f>_xlfn.CONCAT(ElipseTabla!C96,",",ElipseTabla!D96)</f>
        <v>149.696969696969,61.2062046451384</v>
      </c>
      <c r="B84" s="1" t="str">
        <f t="shared" si="1"/>
        <v>POINT 149.696969696969,61.2062046451384</v>
      </c>
    </row>
    <row r="85" spans="1:2" x14ac:dyDescent="0.6">
      <c r="A85" s="1" t="str">
        <f>_xlfn.CONCAT(ElipseTabla!C97,",",ElipseTabla!D97)</f>
        <v>150.30303030303,60.9016061117028</v>
      </c>
      <c r="B85" s="1" t="str">
        <f t="shared" si="1"/>
        <v>POINT 150.30303030303,60.9016061117028</v>
      </c>
    </row>
    <row r="86" spans="1:2" x14ac:dyDescent="0.6">
      <c r="A86" s="1" t="str">
        <f>_xlfn.CONCAT(ElipseTabla!C98,",",ElipseTabla!D98)</f>
        <v>150.909090909091,60.5843934524686</v>
      </c>
      <c r="B86" s="1" t="str">
        <f t="shared" si="1"/>
        <v>POINT 150.909090909091,60.5843934524686</v>
      </c>
    </row>
    <row r="87" spans="1:2" x14ac:dyDescent="0.6">
      <c r="A87" s="1" t="str">
        <f>_xlfn.CONCAT(ElipseTabla!C99,",",ElipseTabla!D99)</f>
        <v>151.515151515151,60.2533959922826</v>
      </c>
      <c r="B87" s="1" t="str">
        <f t="shared" si="1"/>
        <v>POINT 151.515151515151,60.2533959922826</v>
      </c>
    </row>
    <row r="88" spans="1:2" x14ac:dyDescent="0.6">
      <c r="A88" s="1" t="str">
        <f>_xlfn.CONCAT(ElipseTabla!C100,",",ElipseTabla!D100)</f>
        <v>152.121212121212,59.9072321900925</v>
      </c>
      <c r="B88" s="1" t="str">
        <f t="shared" si="1"/>
        <v>POINT 152.121212121212,59.9072321900925</v>
      </c>
    </row>
    <row r="89" spans="1:2" x14ac:dyDescent="0.6">
      <c r="A89" s="1" t="str">
        <f>_xlfn.CONCAT(ElipseTabla!C101,",",ElipseTabla!D101)</f>
        <v>152.727272727272,59.5442519684994</v>
      </c>
      <c r="B89" s="1" t="str">
        <f t="shared" si="1"/>
        <v>POINT 152.727272727272,59.5442519684994</v>
      </c>
    </row>
    <row r="90" spans="1:2" x14ac:dyDescent="0.6">
      <c r="A90" s="1" t="str">
        <f>_xlfn.CONCAT(ElipseTabla!C102,",",ElipseTabla!D102)</f>
        <v>153.333333333333,59.1624569458172</v>
      </c>
      <c r="B90" s="1" t="str">
        <f t="shared" si="1"/>
        <v>POINT 153.333333333333,59.1624569458172</v>
      </c>
    </row>
    <row r="91" spans="1:2" x14ac:dyDescent="0.6">
      <c r="A91" s="1" t="str">
        <f>_xlfn.CONCAT(ElipseTabla!C103,",",ElipseTabla!D103)</f>
        <v>153.939393939394,58.7593872277492</v>
      </c>
      <c r="B91" s="1" t="str">
        <f t="shared" si="1"/>
        <v>POINT 153.939393939394,58.7593872277492</v>
      </c>
    </row>
    <row r="92" spans="1:2" x14ac:dyDescent="0.6">
      <c r="A92" s="1" t="str">
        <f>_xlfn.CONCAT(ElipseTabla!C104,",",ElipseTabla!D104)</f>
        <v>154.545454545454,58.3319558090109</v>
      </c>
      <c r="B92" s="1" t="str">
        <f t="shared" si="1"/>
        <v>POINT 154.545454545454,58.3319558090109</v>
      </c>
    </row>
    <row r="93" spans="1:2" x14ac:dyDescent="0.6">
      <c r="A93" s="1" t="str">
        <f>_xlfn.CONCAT(ElipseTabla!C105,",",ElipseTabla!D105)</f>
        <v>155.151515151515,57.876197450351</v>
      </c>
      <c r="B93" s="1" t="str">
        <f t="shared" si="1"/>
        <v>POINT 155.151515151515,57.876197450351</v>
      </c>
    </row>
    <row r="94" spans="1:2" x14ac:dyDescent="0.6">
      <c r="A94" s="1" t="str">
        <f>_xlfn.CONCAT(ElipseTabla!C106,",",ElipseTabla!D106)</f>
        <v>155.757575757575,57.3868708277911</v>
      </c>
      <c r="B94" s="1" t="str">
        <f t="shared" si="1"/>
        <v>POINT 155.757575757575,57.3868708277911</v>
      </c>
    </row>
    <row r="95" spans="1:2" x14ac:dyDescent="0.6">
      <c r="A95" s="1" t="str">
        <f>_xlfn.CONCAT(ElipseTabla!C107,",",ElipseTabla!D107)</f>
        <v>156.363636363636,56.8567930296881</v>
      </c>
      <c r="B95" s="1" t="str">
        <f t="shared" si="1"/>
        <v>POINT 156.363636363636,56.8567930296881</v>
      </c>
    </row>
    <row r="96" spans="1:2" x14ac:dyDescent="0.6">
      <c r="A96" s="1" t="str">
        <f>_xlfn.CONCAT(ElipseTabla!C108,",",ElipseTabla!D108)</f>
        <v>156.969696969697,56.275646289701</v>
      </c>
      <c r="B96" s="1" t="str">
        <f t="shared" si="1"/>
        <v>POINT 156.969696969697,56.275646289701</v>
      </c>
    </row>
    <row r="97" spans="1:2" x14ac:dyDescent="0.6">
      <c r="A97" s="1" t="str">
        <f>_xlfn.CONCAT(ElipseTabla!C109,",",ElipseTabla!D109)</f>
        <v>157.575757575757,55.6276316271456</v>
      </c>
      <c r="B97" s="1" t="str">
        <f t="shared" si="1"/>
        <v>POINT 157.575757575757,55.6276316271456</v>
      </c>
    </row>
    <row r="98" spans="1:2" x14ac:dyDescent="0.6">
      <c r="A98" s="1" t="str">
        <f>_xlfn.CONCAT(ElipseTabla!C110,",",ElipseTabla!D110)</f>
        <v>158.181818181818,54.8862168171512</v>
      </c>
      <c r="B98" s="1" t="str">
        <f t="shared" si="1"/>
        <v>POINT 158.181818181818,54.8862168171512</v>
      </c>
    </row>
    <row r="99" spans="1:2" x14ac:dyDescent="0.6">
      <c r="A99" s="1" t="str">
        <f>_xlfn.CONCAT(ElipseTabla!C111,",",ElipseTabla!D111)</f>
        <v>158.787878787878,53.9997959339852</v>
      </c>
      <c r="B99" s="1" t="str">
        <f t="shared" si="1"/>
        <v>POINT 158.787878787878,53.9997959339852</v>
      </c>
    </row>
    <row r="100" spans="1:2" x14ac:dyDescent="0.6">
      <c r="A100" s="1" t="str">
        <f>_xlfn.CONCAT(ElipseTabla!C112,",",ElipseTabla!D112)</f>
        <v>159.393939393939,52.8354886560855</v>
      </c>
      <c r="B100" s="1" t="str">
        <f t="shared" si="1"/>
        <v>POINT 159.393939393939,52.8354886560855</v>
      </c>
    </row>
    <row r="101" spans="1:2" x14ac:dyDescent="0.6">
      <c r="A101" s="1" t="str">
        <f>_xlfn.CONCAT(ElipseTabla!C113,",",ElipseTabla!D113)</f>
        <v>160,50</v>
      </c>
      <c r="B101" s="1" t="str">
        <f t="shared" si="1"/>
        <v>POINT 160,50</v>
      </c>
    </row>
    <row r="103" spans="1:2" x14ac:dyDescent="0.6">
      <c r="A103" s="1" t="s">
        <v>16</v>
      </c>
    </row>
    <row r="104" spans="1:2" x14ac:dyDescent="0.6">
      <c r="A104" s="1" t="str">
        <f>_xlfn.CONCAT(ElipseTabla!$C14,",",ElipseTabla!E14)</f>
        <v>100,30</v>
      </c>
      <c r="B104" s="1" t="str">
        <f t="shared" ref="B104:B167" si="2">_xlfn.CONCAT("POINT ",A104)</f>
        <v>POINT 100,30</v>
      </c>
    </row>
    <row r="105" spans="1:2" x14ac:dyDescent="0.6">
      <c r="A105" s="1" t="str">
        <f>_xlfn.CONCAT(ElipseTabla!$C15,",",ElipseTabla!E15)</f>
        <v>100.606060606061,30.0010203300774</v>
      </c>
      <c r="B105" s="1" t="str">
        <f t="shared" si="2"/>
        <v>POINT 100.606060606061,30.0010203300774</v>
      </c>
    </row>
    <row r="106" spans="1:2" x14ac:dyDescent="0.6">
      <c r="A106" s="1" t="str">
        <f>_xlfn.CONCAT(ElipseTabla!$C16,",",ElipseTabla!E16)</f>
        <v>101.212121212121,30.0040816326956</v>
      </c>
      <c r="B106" s="1" t="str">
        <f t="shared" si="2"/>
        <v>POINT 101.212121212121,30.0040816326956</v>
      </c>
    </row>
    <row r="107" spans="1:2" x14ac:dyDescent="0.6">
      <c r="A107" s="1" t="str">
        <f>_xlfn.CONCAT(ElipseTabla!$C17,",",ElipseTabla!E17)</f>
        <v>101.818181818182,30.0091848454901</v>
      </c>
      <c r="B107" s="1" t="str">
        <f t="shared" si="2"/>
        <v>POINT 101.818181818182,30.0091848454901</v>
      </c>
    </row>
    <row r="108" spans="1:2" x14ac:dyDescent="0.6">
      <c r="A108" s="1" t="str">
        <f>_xlfn.CONCAT(ElipseTabla!$C18,",",ElipseTabla!E18)</f>
        <v>102.424242424242,30.0163315327838</v>
      </c>
      <c r="B108" s="1" t="str">
        <f t="shared" si="2"/>
        <v>POINT 102.424242424242,30.0163315327838</v>
      </c>
    </row>
    <row r="109" spans="1:2" x14ac:dyDescent="0.6">
      <c r="A109" s="1" t="str">
        <f>_xlfn.CONCAT(ElipseTabla!$C19,",",ElipseTabla!E19)</f>
        <v>103.030303030303,30.0255238879866</v>
      </c>
      <c r="B109" s="1" t="str">
        <f t="shared" si="2"/>
        <v>POINT 103.030303030303,30.0255238879866</v>
      </c>
    </row>
    <row r="110" spans="1:2" x14ac:dyDescent="0.6">
      <c r="A110" s="1" t="str">
        <f>_xlfn.CONCAT(ElipseTabla!$C20,",",ElipseTabla!E20)</f>
        <v>103.636363636364,30.036764736969</v>
      </c>
      <c r="B110" s="1" t="str">
        <f t="shared" si="2"/>
        <v>POINT 103.636363636364,30.036764736969</v>
      </c>
    </row>
    <row r="111" spans="1:2" x14ac:dyDescent="0.6">
      <c r="A111" s="1" t="str">
        <f>_xlfn.CONCAT(ElipseTabla!$C21,",",ElipseTabla!E21)</f>
        <v>104.242424242424,30.0500575424186</v>
      </c>
      <c r="B111" s="1" t="str">
        <f t="shared" si="2"/>
        <v>POINT 104.242424242424,30.0500575424186</v>
      </c>
    </row>
    <row r="112" spans="1:2" x14ac:dyDescent="0.6">
      <c r="A112" s="1" t="str">
        <f>_xlfn.CONCAT(ElipseTabla!$C22,",",ElipseTabla!E22)</f>
        <v>104.848484848485,30.065406409198</v>
      </c>
      <c r="B112" s="1" t="str">
        <f t="shared" si="2"/>
        <v>POINT 104.848484848485,30.065406409198</v>
      </c>
    </row>
    <row r="113" spans="1:2" x14ac:dyDescent="0.6">
      <c r="A113" s="1" t="str">
        <f>_xlfn.CONCAT(ElipseTabla!$C23,",",ElipseTabla!E23)</f>
        <v>105.454545454545,30.0828160907212</v>
      </c>
      <c r="B113" s="1" t="str">
        <f t="shared" si="2"/>
        <v>POINT 105.454545454545,30.0828160907212</v>
      </c>
    </row>
    <row r="114" spans="1:2" x14ac:dyDescent="0.6">
      <c r="A114" s="1" t="str">
        <f>_xlfn.CONCAT(ElipseTabla!$C24,",",ElipseTabla!E24)</f>
        <v>106.060606060606,30.1022919963738</v>
      </c>
      <c r="B114" s="1" t="str">
        <f t="shared" si="2"/>
        <v>POINT 106.060606060606,30.1022919963738</v>
      </c>
    </row>
    <row r="115" spans="1:2" x14ac:dyDescent="0.6">
      <c r="A115" s="1" t="str">
        <f>_xlfn.CONCAT(ElipseTabla!$C25,",",ElipseTabla!E25)</f>
        <v>106.666666666667,30.1238402000019</v>
      </c>
      <c r="B115" s="1" t="str">
        <f t="shared" si="2"/>
        <v>POINT 106.666666666667,30.1238402000019</v>
      </c>
    </row>
    <row r="116" spans="1:2" x14ac:dyDescent="0.6">
      <c r="A116" s="1" t="str">
        <f>_xlfn.CONCAT(ElipseTabla!$C26,",",ElipseTabla!E26)</f>
        <v>107.272727272727,30.147467449504</v>
      </c>
      <c r="B116" s="1" t="str">
        <f t="shared" si="2"/>
        <v>POINT 107.272727272727,30.147467449504</v>
      </c>
    </row>
    <row r="117" spans="1:2" x14ac:dyDescent="0.6">
      <c r="A117" s="1" t="str">
        <f>_xlfn.CONCAT(ElipseTabla!$C27,",",ElipseTabla!E27)</f>
        <v>107.878787878788,30.1731811775591</v>
      </c>
      <c r="B117" s="1" t="str">
        <f t="shared" si="2"/>
        <v>POINT 107.878787878788,30.1731811775591</v>
      </c>
    </row>
    <row r="118" spans="1:2" x14ac:dyDescent="0.6">
      <c r="A118" s="1" t="str">
        <f>_xlfn.CONCAT(ElipseTabla!$C28,",",ElipseTabla!E28)</f>
        <v>108.484848484849,30.2009895135327</v>
      </c>
      <c r="B118" s="1" t="str">
        <f t="shared" si="2"/>
        <v>POINT 108.484848484849,30.2009895135327</v>
      </c>
    </row>
    <row r="119" spans="1:2" x14ac:dyDescent="0.6">
      <c r="A119" s="1" t="str">
        <f>_xlfn.CONCAT(ElipseTabla!$C29,",",ElipseTabla!E29)</f>
        <v>109.090909090909,30.2309012966059</v>
      </c>
      <c r="B119" s="1" t="str">
        <f t="shared" si="2"/>
        <v>POINT 109.090909090909,30.2309012966059</v>
      </c>
    </row>
    <row r="120" spans="1:2" x14ac:dyDescent="0.6">
      <c r="A120" s="1" t="str">
        <f>_xlfn.CONCAT(ElipseTabla!$C30,",",ElipseTabla!E30)</f>
        <v>109.69696969697,30.2629260901778</v>
      </c>
      <c r="B120" s="1" t="str">
        <f t="shared" si="2"/>
        <v>POINT 109.69696969697,30.2629260901778</v>
      </c>
    </row>
    <row r="121" spans="1:2" x14ac:dyDescent="0.6">
      <c r="A121" s="1" t="str">
        <f>_xlfn.CONCAT(ElipseTabla!$C31,",",ElipseTabla!E31)</f>
        <v>110.30303030303,30.2970741975974</v>
      </c>
      <c r="B121" s="1" t="str">
        <f t="shared" si="2"/>
        <v>POINT 110.30303030303,30.2970741975974</v>
      </c>
    </row>
    <row r="122" spans="1:2" x14ac:dyDescent="0.6">
      <c r="A122" s="1" t="str">
        <f>_xlfn.CONCAT(ElipseTabla!$C32,",",ElipseTabla!E32)</f>
        <v>110.909090909091,30.3333566792873</v>
      </c>
      <c r="B122" s="1" t="str">
        <f t="shared" si="2"/>
        <v>POINT 110.909090909091,30.3333566792873</v>
      </c>
    </row>
    <row r="123" spans="1:2" x14ac:dyDescent="0.6">
      <c r="A123" s="1" t="str">
        <f>_xlfn.CONCAT(ElipseTabla!$C33,",",ElipseTabla!E33)</f>
        <v>111.515151515152,30.3717853713275</v>
      </c>
      <c r="B123" s="1" t="str">
        <f t="shared" si="2"/>
        <v>POINT 111.515151515152,30.3717853713275</v>
      </c>
    </row>
    <row r="124" spans="1:2" x14ac:dyDescent="0.6">
      <c r="A124" s="1" t="str">
        <f>_xlfn.CONCAT(ElipseTabla!$C34,",",ElipseTabla!E34)</f>
        <v>112.121212121212,30.4123729055741</v>
      </c>
      <c r="B124" s="1" t="str">
        <f t="shared" si="2"/>
        <v>POINT 112.121212121212,30.4123729055741</v>
      </c>
    </row>
    <row r="125" spans="1:2" x14ac:dyDescent="0.6">
      <c r="A125" s="1" t="str">
        <f>_xlfn.CONCAT(ElipseTabla!$C35,",",ElipseTabla!E35)</f>
        <v>112.727272727273,30.4551327313975</v>
      </c>
      <c r="B125" s="1" t="str">
        <f t="shared" si="2"/>
        <v>POINT 112.727272727273,30.4551327313975</v>
      </c>
    </row>
    <row r="126" spans="1:2" x14ac:dyDescent="0.6">
      <c r="A126" s="1" t="str">
        <f>_xlfn.CONCAT(ElipseTabla!$C36,",",ElipseTabla!E36)</f>
        <v>113.333333333333,30.5000791391286</v>
      </c>
      <c r="B126" s="1" t="str">
        <f t="shared" si="2"/>
        <v>POINT 113.333333333333,30.5000791391286</v>
      </c>
    </row>
    <row r="127" spans="1:2" x14ac:dyDescent="0.6">
      <c r="A127" s="1" t="str">
        <f>_xlfn.CONCAT(ElipseTabla!$C37,",",ElipseTabla!E37)</f>
        <v>113.939393939394,30.547227285316</v>
      </c>
      <c r="B127" s="1" t="str">
        <f t="shared" si="2"/>
        <v>POINT 113.939393939394,30.547227285316</v>
      </c>
    </row>
    <row r="128" spans="1:2" x14ac:dyDescent="0.6">
      <c r="A128" s="1" t="str">
        <f>_xlfn.CONCAT(ElipseTabla!$C38,",",ElipseTabla!E38)</f>
        <v>114.545454545455,30.5965932199005</v>
      </c>
      <c r="B128" s="1" t="str">
        <f t="shared" si="2"/>
        <v>POINT 114.545454545455,30.5965932199005</v>
      </c>
    </row>
    <row r="129" spans="1:2" x14ac:dyDescent="0.6">
      <c r="A129" s="1" t="str">
        <f>_xlfn.CONCAT(ElipseTabla!$C39,",",ElipseTabla!E39)</f>
        <v>115.151515151515,30.6481939154294</v>
      </c>
      <c r="B129" s="1" t="str">
        <f t="shared" si="2"/>
        <v>POINT 115.151515151515,30.6481939154294</v>
      </c>
    </row>
    <row r="130" spans="1:2" x14ac:dyDescent="0.6">
      <c r="A130" s="1" t="str">
        <f>_xlfn.CONCAT(ElipseTabla!$C40,",",ElipseTabla!E40)</f>
        <v>115.757575757576,30.7020472984416</v>
      </c>
      <c r="B130" s="1" t="str">
        <f t="shared" si="2"/>
        <v>POINT 115.757575757576,30.7020472984416</v>
      </c>
    </row>
    <row r="131" spans="1:2" x14ac:dyDescent="0.6">
      <c r="A131" s="1" t="str">
        <f>_xlfn.CONCAT(ElipseTabla!$C41,",",ElipseTabla!E41)</f>
        <v>116.363636363636,30.7581722831666</v>
      </c>
      <c r="B131" s="1" t="str">
        <f t="shared" si="2"/>
        <v>POINT 116.363636363636,30.7581722831666</v>
      </c>
    </row>
    <row r="132" spans="1:2" x14ac:dyDescent="0.6">
      <c r="A132" s="1" t="str">
        <f>_xlfn.CONCAT(ElipseTabla!$C42,",",ElipseTabla!E42)</f>
        <v>116.969696969697,30.8165888076974</v>
      </c>
      <c r="B132" s="1" t="str">
        <f t="shared" si="2"/>
        <v>POINT 116.969696969697,30.8165888076974</v>
      </c>
    </row>
    <row r="133" spans="1:2" x14ac:dyDescent="0.6">
      <c r="A133" s="1" t="str">
        <f>_xlfn.CONCAT(ElipseTabla!$C43,",",ElipseTabla!E43)</f>
        <v>117.575757575758,30.8773178728093</v>
      </c>
      <c r="B133" s="1" t="str">
        <f t="shared" si="2"/>
        <v>POINT 117.575757575758,30.8773178728093</v>
      </c>
    </row>
    <row r="134" spans="1:2" x14ac:dyDescent="0.6">
      <c r="A134" s="1" t="str">
        <f>_xlfn.CONCAT(ElipseTabla!$C44,",",ElipseTabla!E44)</f>
        <v>118.181818181818,30.9403815836165</v>
      </c>
      <c r="B134" s="1" t="str">
        <f t="shared" si="2"/>
        <v>POINT 118.181818181818,30.9403815836165</v>
      </c>
    </row>
    <row r="135" spans="1:2" x14ac:dyDescent="0.6">
      <c r="A135" s="1" t="str">
        <f>_xlfn.CONCAT(ElipseTabla!$C45,",",ElipseTabla!E45)</f>
        <v>118.787878787879,31.0058031942737</v>
      </c>
      <c r="B135" s="1" t="str">
        <f t="shared" si="2"/>
        <v>POINT 118.787878787879,31.0058031942737</v>
      </c>
    </row>
    <row r="136" spans="1:2" x14ac:dyDescent="0.6">
      <c r="A136" s="1" t="str">
        <f>_xlfn.CONCAT(ElipseTabla!$C46,",",ElipseTabla!E46)</f>
        <v>119.393939393939,31.0736071559546</v>
      </c>
      <c r="B136" s="1" t="str">
        <f t="shared" si="2"/>
        <v>POINT 119.393939393939,31.0736071559546</v>
      </c>
    </row>
    <row r="137" spans="1:2" x14ac:dyDescent="0.6">
      <c r="A137" s="1" t="str">
        <f>_xlfn.CONCAT(ElipseTabla!$C47,",",ElipseTabla!E47)</f>
        <v>120,31.1438191683587</v>
      </c>
      <c r="B137" s="1" t="str">
        <f t="shared" si="2"/>
        <v>POINT 120,31.1438191683587</v>
      </c>
    </row>
    <row r="138" spans="1:2" x14ac:dyDescent="0.6">
      <c r="A138" s="1" t="str">
        <f>_xlfn.CONCAT(ElipseTabla!$C48,",",ElipseTabla!E48)</f>
        <v>120.606060606061,31.2164662350257</v>
      </c>
      <c r="B138" s="1" t="str">
        <f t="shared" si="2"/>
        <v>POINT 120.606060606061,31.2164662350257</v>
      </c>
    </row>
    <row r="139" spans="1:2" x14ac:dyDescent="0.6">
      <c r="A139" s="1" t="str">
        <f>_xlfn.CONCAT(ElipseTabla!$C49,",",ElipseTabla!E49)</f>
        <v>121.212121212121,31.2915767227633</v>
      </c>
      <c r="B139" s="1" t="str">
        <f t="shared" si="2"/>
        <v>POINT 121.212121212121,31.2915767227633</v>
      </c>
    </row>
    <row r="140" spans="1:2" x14ac:dyDescent="0.6">
      <c r="A140" s="1" t="str">
        <f>_xlfn.CONCAT(ElipseTabla!$C50,",",ElipseTabla!E50)</f>
        <v>121.818181818182,31.369180425528</v>
      </c>
      <c r="B140" s="1" t="str">
        <f t="shared" si="2"/>
        <v>POINT 121.818181818182,31.369180425528</v>
      </c>
    </row>
    <row r="141" spans="1:2" x14ac:dyDescent="0.6">
      <c r="A141" s="1" t="str">
        <f>_xlfn.CONCAT(ElipseTabla!$C51,",",ElipseTabla!E51)</f>
        <v>122.424242424243,31.4493086331329</v>
      </c>
      <c r="B141" s="1" t="str">
        <f t="shared" si="2"/>
        <v>POINT 122.424242424243,31.4493086331329</v>
      </c>
    </row>
    <row r="142" spans="1:2" x14ac:dyDescent="0.6">
      <c r="A142" s="1" t="str">
        <f>_xlfn.CONCAT(ElipseTabla!$C52,",",ElipseTabla!E52)</f>
        <v>123.030303030303,31.5319942051954</v>
      </c>
      <c r="B142" s="1" t="str">
        <f t="shared" si="2"/>
        <v>POINT 123.030303030303,31.5319942051954</v>
      </c>
    </row>
    <row r="143" spans="1:2" x14ac:dyDescent="0.6">
      <c r="A143" s="1" t="str">
        <f>_xlfn.CONCAT(ElipseTabla!$C53,",",ElipseTabla!E53)</f>
        <v>123.636363636364,31.6172716507841</v>
      </c>
      <c r="B143" s="1" t="str">
        <f t="shared" si="2"/>
        <v>POINT 123.636363636364,31.6172716507841</v>
      </c>
    </row>
    <row r="144" spans="1:2" x14ac:dyDescent="0.6">
      <c r="A144" s="1" t="str">
        <f>_xlfn.CONCAT(ElipseTabla!$C54,",",ElipseTabla!E54)</f>
        <v>124.242424242424,31.7051772142733</v>
      </c>
      <c r="B144" s="1" t="str">
        <f t="shared" si="2"/>
        <v>POINT 124.242424242424,31.7051772142733</v>
      </c>
    </row>
    <row r="145" spans="1:2" x14ac:dyDescent="0.6">
      <c r="A145" s="1" t="str">
        <f>_xlfn.CONCAT(ElipseTabla!$C55,",",ElipseTabla!E55)</f>
        <v>124.848484848485,31.7957489679696</v>
      </c>
      <c r="B145" s="1" t="str">
        <f t="shared" si="2"/>
        <v>POINT 124.848484848485,31.7957489679696</v>
      </c>
    </row>
    <row r="146" spans="1:2" x14ac:dyDescent="0.6">
      <c r="A146" s="1" t="str">
        <f>_xlfn.CONCAT(ElipseTabla!$C56,",",ElipseTabla!E56)</f>
        <v>125.454545454546,31.8890269121407</v>
      </c>
      <c r="B146" s="1" t="str">
        <f t="shared" si="2"/>
        <v>POINT 125.454545454546,31.8890269121407</v>
      </c>
    </row>
    <row r="147" spans="1:2" x14ac:dyDescent="0.6">
      <c r="A147" s="1" t="str">
        <f>_xlfn.CONCAT(ElipseTabla!$C57,",",ElipseTabla!E57)</f>
        <v>126.060606060606,31.9850530831451</v>
      </c>
      <c r="B147" s="1" t="str">
        <f t="shared" si="2"/>
        <v>POINT 126.060606060606,31.9850530831451</v>
      </c>
    </row>
    <row r="148" spans="1:2" x14ac:dyDescent="0.6">
      <c r="A148" s="1" t="str">
        <f>_xlfn.CONCAT(ElipseTabla!$C58,",",ElipseTabla!E58)</f>
        <v>126.666666666667,32.0838716704477</v>
      </c>
      <c r="B148" s="1" t="str">
        <f t="shared" si="2"/>
        <v>POINT 126.666666666667,32.0838716704477</v>
      </c>
    </row>
    <row r="149" spans="1:2" x14ac:dyDescent="0.6">
      <c r="A149" s="1" t="str">
        <f>_xlfn.CONCAT(ElipseTabla!$C59,",",ElipseTabla!E59)</f>
        <v>127.272727272727,32.1855291433951</v>
      </c>
      <c r="B149" s="1" t="str">
        <f t="shared" si="2"/>
        <v>POINT 127.272727272727,32.1855291433951</v>
      </c>
    </row>
    <row r="150" spans="1:2" x14ac:dyDescent="0.6">
      <c r="A150" s="1" t="str">
        <f>_xlfn.CONCAT(ElipseTabla!$C60,",",ElipseTabla!E60)</f>
        <v>127.878787878788,32.2900743887329</v>
      </c>
      <c r="B150" s="1" t="str">
        <f t="shared" si="2"/>
        <v>POINT 127.878787878788,32.2900743887329</v>
      </c>
    </row>
    <row r="151" spans="1:2" x14ac:dyDescent="0.6">
      <c r="A151" s="1" t="str">
        <f>_xlfn.CONCAT(ElipseTabla!$C61,",",ElipseTabla!E61)</f>
        <v>128.484848484849,32.3975588599661</v>
      </c>
      <c r="B151" s="1" t="str">
        <f t="shared" si="2"/>
        <v>POINT 128.484848484849,32.3975588599661</v>
      </c>
    </row>
    <row r="152" spans="1:2" x14ac:dyDescent="0.6">
      <c r="A152" s="1" t="str">
        <f>_xlfn.CONCAT(ElipseTabla!$C62,",",ElipseTabla!E62)</f>
        <v>129.090909090909,32.5080367398039</v>
      </c>
      <c r="B152" s="1" t="str">
        <f t="shared" si="2"/>
        <v>POINT 129.090909090909,32.5080367398039</v>
      </c>
    </row>
    <row r="153" spans="1:2" x14ac:dyDescent="0.6">
      <c r="A153" s="1" t="str">
        <f>_xlfn.CONCAT(ElipseTabla!$C63,",",ElipseTabla!E63)</f>
        <v>129.69696969697,32.6215651170856</v>
      </c>
      <c r="B153" s="1" t="str">
        <f t="shared" si="2"/>
        <v>POINT 129.69696969697,32.6215651170856</v>
      </c>
    </row>
    <row r="154" spans="1:2" x14ac:dyDescent="0.6">
      <c r="A154" s="1" t="str">
        <f>_xlfn.CONCAT(ElipseTabla!$C64,",",ElipseTabla!E64)</f>
        <v>130.30303030303,32.7382041797705</v>
      </c>
      <c r="B154" s="1" t="str">
        <f t="shared" si="2"/>
        <v>POINT 130.30303030303,32.7382041797705</v>
      </c>
    </row>
    <row r="155" spans="1:2" x14ac:dyDescent="0.6">
      <c r="A155" s="1" t="str">
        <f>_xlfn.CONCAT(ElipseTabla!$C65,",",ElipseTabla!E65)</f>
        <v>130.909090909091,32.8580174257807</v>
      </c>
      <c r="B155" s="1" t="str">
        <f t="shared" si="2"/>
        <v>POINT 130.909090909091,32.8580174257807</v>
      </c>
    </row>
    <row r="156" spans="1:2" x14ac:dyDescent="0.6">
      <c r="A156" s="1" t="str">
        <f>_xlfn.CONCAT(ElipseTabla!$C66,",",ElipseTabla!E66)</f>
        <v>131.515151515152,32.9810718937315</v>
      </c>
      <c r="B156" s="1" t="str">
        <f t="shared" si="2"/>
        <v>POINT 131.515151515152,32.9810718937315</v>
      </c>
    </row>
    <row r="157" spans="1:2" x14ac:dyDescent="0.6">
      <c r="A157" s="1" t="str">
        <f>_xlfn.CONCAT(ElipseTabla!$C67,",",ElipseTabla!E67)</f>
        <v>132.121212121212,33.1074384158652</v>
      </c>
      <c r="B157" s="1" t="str">
        <f t="shared" si="2"/>
        <v>POINT 132.121212121212,33.1074384158652</v>
      </c>
    </row>
    <row r="158" spans="1:2" x14ac:dyDescent="0.6">
      <c r="A158" s="1" t="str">
        <f>_xlfn.CONCAT(ElipseTabla!$C68,",",ElipseTabla!E68)</f>
        <v>132.727272727273,33.2371918958311</v>
      </c>
      <c r="B158" s="1" t="str">
        <f t="shared" si="2"/>
        <v>POINT 132.727272727273,33.2371918958311</v>
      </c>
    </row>
    <row r="159" spans="1:2" x14ac:dyDescent="0.6">
      <c r="A159" s="1" t="str">
        <f>_xlfn.CONCAT(ElipseTabla!$C69,",",ElipseTabla!E69)</f>
        <v>133.333333333333,33.3704116143381</v>
      </c>
      <c r="B159" s="1" t="str">
        <f t="shared" si="2"/>
        <v>POINT 133.333333333333,33.3704116143381</v>
      </c>
    </row>
    <row r="160" spans="1:2" x14ac:dyDescent="0.6">
      <c r="A160" s="1" t="str">
        <f>_xlfn.CONCAT(ElipseTabla!$C70,",",ElipseTabla!E70)</f>
        <v>133.939393939394,33.5071815661529</v>
      </c>
      <c r="B160" s="1" t="str">
        <f t="shared" si="2"/>
        <v>POINT 133.939393939394,33.5071815661529</v>
      </c>
    </row>
    <row r="161" spans="1:2" x14ac:dyDescent="0.6">
      <c r="A161" s="1" t="str">
        <f>_xlfn.CONCAT(ElipseTabla!$C71,",",ElipseTabla!E71)</f>
        <v>134.545454545455,33.647590832446</v>
      </c>
      <c r="B161" s="1" t="str">
        <f t="shared" si="2"/>
        <v>POINT 134.545454545455,33.647590832446</v>
      </c>
    </row>
    <row r="162" spans="1:2" x14ac:dyDescent="0.6">
      <c r="A162" s="1" t="str">
        <f>_xlfn.CONCAT(ElipseTabla!$C72,",",ElipseTabla!E72)</f>
        <v>135.151515151515,33.7917339931037</v>
      </c>
      <c r="B162" s="1" t="str">
        <f t="shared" si="2"/>
        <v>POINT 135.151515151515,33.7917339931037</v>
      </c>
    </row>
    <row r="163" spans="1:2" x14ac:dyDescent="0.6">
      <c r="A163" s="1" t="str">
        <f>_xlfn.CONCAT(ElipseTabla!$C73,",",ElipseTabla!E73)</f>
        <v>135.757575757576,33.9397115843622</v>
      </c>
      <c r="B163" s="1" t="str">
        <f t="shared" si="2"/>
        <v>POINT 135.757575757576,33.9397115843622</v>
      </c>
    </row>
    <row r="164" spans="1:2" x14ac:dyDescent="0.6">
      <c r="A164" s="1" t="str">
        <f>_xlfn.CONCAT(ElipseTabla!$C74,",",ElipseTabla!E74)</f>
        <v>136.363636363636,34.0916306079919</v>
      </c>
      <c r="B164" s="1" t="str">
        <f t="shared" si="2"/>
        <v>POINT 136.363636363636,34.0916306079919</v>
      </c>
    </row>
    <row r="165" spans="1:2" x14ac:dyDescent="0.6">
      <c r="A165" s="1" t="str">
        <f>_xlfn.CONCAT(ElipseTabla!$C75,",",ElipseTabla!E75)</f>
        <v>136.969696969697,34.2476050992986</v>
      </c>
      <c r="B165" s="1" t="str">
        <f t="shared" si="2"/>
        <v>POINT 136.969696969697,34.2476050992986</v>
      </c>
    </row>
    <row r="166" spans="1:2" x14ac:dyDescent="0.6">
      <c r="A166" s="1" t="str">
        <f>_xlfn.CONCAT(ElipseTabla!$C76,",",ElipseTabla!E76)</f>
        <v>137.575757575758,34.4077567624586</v>
      </c>
      <c r="B166" s="1" t="str">
        <f t="shared" si="2"/>
        <v>POINT 137.575757575758,34.4077567624586</v>
      </c>
    </row>
    <row r="167" spans="1:2" x14ac:dyDescent="0.6">
      <c r="A167" s="1" t="str">
        <f>_xlfn.CONCAT(ElipseTabla!$C77,",",ElipseTabla!E77)</f>
        <v>138.181818181818,34.5722156832026</v>
      </c>
      <c r="B167" s="1" t="str">
        <f t="shared" si="2"/>
        <v>POINT 138.181818181818,34.5722156832026</v>
      </c>
    </row>
    <row r="168" spans="1:2" x14ac:dyDescent="0.6">
      <c r="A168" s="1" t="str">
        <f>_xlfn.CONCAT(ElipseTabla!$C78,",",ElipseTabla!E78)</f>
        <v>138.787878787879,34.7411211306814</v>
      </c>
      <c r="B168" s="1" t="str">
        <f t="shared" ref="B168:B203" si="3">_xlfn.CONCAT("POINT ",A168)</f>
        <v>POINT 138.787878787879,34.7411211306814</v>
      </c>
    </row>
    <row r="169" spans="1:2" x14ac:dyDescent="0.6">
      <c r="A169" s="1" t="str">
        <f>_xlfn.CONCAT(ElipseTabla!$C79,",",ElipseTabla!E79)</f>
        <v>139.393939393939,34.9146224625499</v>
      </c>
      <c r="B169" s="1" t="str">
        <f t="shared" si="3"/>
        <v>POINT 139.393939393939,34.9146224625499</v>
      </c>
    </row>
    <row r="170" spans="1:2" x14ac:dyDescent="0.6">
      <c r="A170" s="1" t="str">
        <f>_xlfn.CONCAT(ElipseTabla!$C80,",",ElipseTabla!E80)</f>
        <v>140,35.0928801500014</v>
      </c>
      <c r="B170" s="1" t="str">
        <f t="shared" si="3"/>
        <v>POINT 140,35.0928801500014</v>
      </c>
    </row>
    <row r="171" spans="1:2" x14ac:dyDescent="0.6">
      <c r="A171" s="1" t="str">
        <f>_xlfn.CONCAT(ElipseTabla!$C81,",",ElipseTabla!E81)</f>
        <v>140.606060606061,35.2760669427971</v>
      </c>
      <c r="B171" s="1" t="str">
        <f t="shared" si="3"/>
        <v>POINT 140.606060606061,35.2760669427971</v>
      </c>
    </row>
    <row r="172" spans="1:2" x14ac:dyDescent="0.6">
      <c r="A172" s="1" t="str">
        <f>_xlfn.CONCAT(ElipseTabla!$C82,",",ElipseTabla!E82)</f>
        <v>141.212121212121,35.4643691984243</v>
      </c>
      <c r="B172" s="1" t="str">
        <f t="shared" si="3"/>
        <v>POINT 141.212121212121,35.4643691984243</v>
      </c>
    </row>
    <row r="173" spans="1:2" x14ac:dyDescent="0.6">
      <c r="A173" s="1" t="str">
        <f>_xlfn.CONCAT(ElipseTabla!$C83,",",ElipseTabla!E83)</f>
        <v>141.818181818182,35.657988404607</v>
      </c>
      <c r="B173" s="1" t="str">
        <f t="shared" si="3"/>
        <v>POINT 141.818181818182,35.657988404607</v>
      </c>
    </row>
    <row r="174" spans="1:2" x14ac:dyDescent="0.6">
      <c r="A174" s="1" t="str">
        <f>_xlfn.CONCAT(ElipseTabla!$C84,",",ElipseTabla!E84)</f>
        <v>142.424242424242,35.8571429307578</v>
      </c>
      <c r="B174" s="1" t="str">
        <f t="shared" si="3"/>
        <v>POINT 142.424242424242,35.8571429307578</v>
      </c>
    </row>
    <row r="175" spans="1:2" x14ac:dyDescent="0.6">
      <c r="A175" s="1" t="str">
        <f>_xlfn.CONCAT(ElipseTabla!$C85,",",ElipseTabla!E85)</f>
        <v>143.030303030303,36.0620700519916</v>
      </c>
      <c r="B175" s="1" t="str">
        <f t="shared" si="3"/>
        <v>POINT 143.030303030303,36.0620700519916</v>
      </c>
    </row>
    <row r="176" spans="1:2" x14ac:dyDescent="0.6">
      <c r="A176" s="1" t="str">
        <f>_xlfn.CONCAT(ElipseTabla!$C86,",",ElipseTabla!E86)</f>
        <v>143.636363636363,36.2730282995077</v>
      </c>
      <c r="B176" s="1" t="str">
        <f t="shared" si="3"/>
        <v>POINT 143.636363636363,36.2730282995077</v>
      </c>
    </row>
    <row r="177" spans="1:2" x14ac:dyDescent="0.6">
      <c r="A177" s="1" t="str">
        <f>_xlfn.CONCAT(ElipseTabla!$C87,",",ElipseTabla!E87)</f>
        <v>144.242424242424,36.4903002042016</v>
      </c>
      <c r="B177" s="1" t="str">
        <f t="shared" si="3"/>
        <v>POINT 144.242424242424,36.4903002042016</v>
      </c>
    </row>
    <row r="178" spans="1:2" x14ac:dyDescent="0.6">
      <c r="A178" s="1" t="str">
        <f>_xlfn.CONCAT(ElipseTabla!$C88,",",ElipseTabla!E88)</f>
        <v>144.848484848485,36.7141955172061</v>
      </c>
      <c r="B178" s="1" t="str">
        <f t="shared" si="3"/>
        <v>POINT 144.848484848485,36.7141955172061</v>
      </c>
    </row>
    <row r="179" spans="1:2" x14ac:dyDescent="0.6">
      <c r="A179" s="1" t="str">
        <f>_xlfn.CONCAT(ElipseTabla!$C89,",",ElipseTabla!E89)</f>
        <v>145.454545454545,36.9450550130072</v>
      </c>
      <c r="B179" s="1" t="str">
        <f t="shared" si="3"/>
        <v>POINT 145.454545454545,36.9450550130072</v>
      </c>
    </row>
    <row r="180" spans="1:2" x14ac:dyDescent="0.6">
      <c r="A180" s="1" t="str">
        <f>_xlfn.CONCAT(ElipseTabla!$C90,",",ElipseTabla!E90)</f>
        <v>146.060606060606,37.1832550096469</v>
      </c>
      <c r="B180" s="1" t="str">
        <f t="shared" si="3"/>
        <v>POINT 146.060606060606,37.1832550096469</v>
      </c>
    </row>
    <row r="181" spans="1:2" x14ac:dyDescent="0.6">
      <c r="A181" s="1" t="str">
        <f>_xlfn.CONCAT(ElipseTabla!$C91,",",ElipseTabla!E91)</f>
        <v>146.666666666666,37.4292127789057</v>
      </c>
      <c r="B181" s="1" t="str">
        <f t="shared" si="3"/>
        <v>POINT 146.666666666666,37.4292127789057</v>
      </c>
    </row>
    <row r="182" spans="1:2" x14ac:dyDescent="0.6">
      <c r="A182" s="1" t="str">
        <f>_xlfn.CONCAT(ElipseTabla!$C92,",",ElipseTabla!E92)</f>
        <v>147.272727272727,37.6833930709686</v>
      </c>
      <c r="B182" s="1" t="str">
        <f t="shared" si="3"/>
        <v>POINT 147.272727272727,37.6833930709686</v>
      </c>
    </row>
    <row r="183" spans="1:2" x14ac:dyDescent="0.6">
      <c r="A183" s="1" t="str">
        <f>_xlfn.CONCAT(ElipseTabla!$C93,",",ElipseTabla!E93)</f>
        <v>147.878787878788,37.9463160483423</v>
      </c>
      <c r="B183" s="1" t="str">
        <f t="shared" si="3"/>
        <v>POINT 147.878787878788,37.9463160483423</v>
      </c>
    </row>
    <row r="184" spans="1:2" x14ac:dyDescent="0.6">
      <c r="A184" s="1" t="str">
        <f>_xlfn.CONCAT(ElipseTabla!$C94,",",ElipseTabla!E94)</f>
        <v>148.484848484848,38.2185670207487</v>
      </c>
      <c r="B184" s="1" t="str">
        <f t="shared" si="3"/>
        <v>POINT 148.484848484848,38.2185670207487</v>
      </c>
    </row>
    <row r="185" spans="1:2" x14ac:dyDescent="0.6">
      <c r="A185" s="1" t="str">
        <f>_xlfn.CONCAT(ElipseTabla!$C95,",",ElipseTabla!E95)</f>
        <v>149.090909090909,38.5008085084785</v>
      </c>
      <c r="B185" s="1" t="str">
        <f t="shared" si="3"/>
        <v>POINT 149.090909090909,38.5008085084785</v>
      </c>
    </row>
    <row r="186" spans="1:2" x14ac:dyDescent="0.6">
      <c r="A186" s="1" t="str">
        <f>_xlfn.CONCAT(ElipseTabla!$C96,",",ElipseTabla!E96)</f>
        <v>149.696969696969,38.7937953548616</v>
      </c>
      <c r="B186" s="1" t="str">
        <f t="shared" si="3"/>
        <v>POINT 149.696969696969,38.7937953548616</v>
      </c>
    </row>
    <row r="187" spans="1:2" x14ac:dyDescent="0.6">
      <c r="A187" s="1" t="str">
        <f>_xlfn.CONCAT(ElipseTabla!$C97,",",ElipseTabla!E97)</f>
        <v>150.30303030303,39.0983938882972</v>
      </c>
      <c r="B187" s="1" t="str">
        <f t="shared" si="3"/>
        <v>POINT 150.30303030303,39.0983938882972</v>
      </c>
    </row>
    <row r="188" spans="1:2" x14ac:dyDescent="0.6">
      <c r="A188" s="1" t="str">
        <f>_xlfn.CONCAT(ElipseTabla!$C98,",",ElipseTabla!E98)</f>
        <v>150.909090909091,39.4156065475314</v>
      </c>
      <c r="B188" s="1" t="str">
        <f t="shared" si="3"/>
        <v>POINT 150.909090909091,39.4156065475314</v>
      </c>
    </row>
    <row r="189" spans="1:2" x14ac:dyDescent="0.6">
      <c r="A189" s="1" t="str">
        <f>_xlfn.CONCAT(ElipseTabla!$C99,",",ElipseTabla!E99)</f>
        <v>151.515151515151,39.7466040077174</v>
      </c>
      <c r="B189" s="1" t="str">
        <f t="shared" si="3"/>
        <v>POINT 151.515151515151,39.7466040077174</v>
      </c>
    </row>
    <row r="190" spans="1:2" x14ac:dyDescent="0.6">
      <c r="A190" s="1" t="str">
        <f>_xlfn.CONCAT(ElipseTabla!$C100,",",ElipseTabla!E100)</f>
        <v>152.121212121212,40.0927678099075</v>
      </c>
      <c r="B190" s="1" t="str">
        <f t="shared" si="3"/>
        <v>POINT 152.121212121212,40.0927678099075</v>
      </c>
    </row>
    <row r="191" spans="1:2" x14ac:dyDescent="0.6">
      <c r="A191" s="1" t="str">
        <f>_xlfn.CONCAT(ElipseTabla!$C101,",",ElipseTabla!E101)</f>
        <v>152.727272727272,40.4557480315006</v>
      </c>
      <c r="B191" s="1" t="str">
        <f t="shared" si="3"/>
        <v>POINT 152.727272727272,40.4557480315006</v>
      </c>
    </row>
    <row r="192" spans="1:2" x14ac:dyDescent="0.6">
      <c r="A192" s="1" t="str">
        <f>_xlfn.CONCAT(ElipseTabla!$C102,",",ElipseTabla!E102)</f>
        <v>153.333333333333,40.8375430541828</v>
      </c>
      <c r="B192" s="1" t="str">
        <f t="shared" si="3"/>
        <v>POINT 153.333333333333,40.8375430541828</v>
      </c>
    </row>
    <row r="193" spans="1:2" x14ac:dyDescent="0.6">
      <c r="A193" s="1" t="str">
        <f>_xlfn.CONCAT(ElipseTabla!$C103,",",ElipseTabla!E103)</f>
        <v>153.939393939394,41.2406127722508</v>
      </c>
      <c r="B193" s="1" t="str">
        <f t="shared" si="3"/>
        <v>POINT 153.939393939394,41.2406127722508</v>
      </c>
    </row>
    <row r="194" spans="1:2" x14ac:dyDescent="0.6">
      <c r="A194" s="1" t="str">
        <f>_xlfn.CONCAT(ElipseTabla!$C104,",",ElipseTabla!E104)</f>
        <v>154.545454545454,41.6680441909891</v>
      </c>
      <c r="B194" s="1" t="str">
        <f t="shared" si="3"/>
        <v>POINT 154.545454545454,41.6680441909891</v>
      </c>
    </row>
    <row r="195" spans="1:2" x14ac:dyDescent="0.6">
      <c r="A195" s="1" t="str">
        <f>_xlfn.CONCAT(ElipseTabla!$C105,",",ElipseTabla!E105)</f>
        <v>155.151515151515,42.123802549649</v>
      </c>
      <c r="B195" s="1" t="str">
        <f t="shared" si="3"/>
        <v>POINT 155.151515151515,42.123802549649</v>
      </c>
    </row>
    <row r="196" spans="1:2" x14ac:dyDescent="0.6">
      <c r="A196" s="1" t="str">
        <f>_xlfn.CONCAT(ElipseTabla!$C106,",",ElipseTabla!E106)</f>
        <v>155.757575757575,42.6131291722089</v>
      </c>
      <c r="B196" s="1" t="str">
        <f t="shared" si="3"/>
        <v>POINT 155.757575757575,42.6131291722089</v>
      </c>
    </row>
    <row r="197" spans="1:2" x14ac:dyDescent="0.6">
      <c r="A197" s="1" t="str">
        <f>_xlfn.CONCAT(ElipseTabla!$C107,",",ElipseTabla!E107)</f>
        <v>156.363636363636,43.1432069703119</v>
      </c>
      <c r="B197" s="1" t="str">
        <f t="shared" si="3"/>
        <v>POINT 156.363636363636,43.1432069703119</v>
      </c>
    </row>
    <row r="198" spans="1:2" x14ac:dyDescent="0.6">
      <c r="A198" s="1" t="str">
        <f>_xlfn.CONCAT(ElipseTabla!$C108,",",ElipseTabla!E108)</f>
        <v>156.969696969697,43.724353710299</v>
      </c>
      <c r="B198" s="1" t="str">
        <f t="shared" si="3"/>
        <v>POINT 156.969696969697,43.724353710299</v>
      </c>
    </row>
    <row r="199" spans="1:2" x14ac:dyDescent="0.6">
      <c r="A199" s="1" t="str">
        <f>_xlfn.CONCAT(ElipseTabla!$C109,",",ElipseTabla!E109)</f>
        <v>157.575757575757,44.3723683728544</v>
      </c>
      <c r="B199" s="1" t="str">
        <f t="shared" si="3"/>
        <v>POINT 157.575757575757,44.3723683728544</v>
      </c>
    </row>
    <row r="200" spans="1:2" x14ac:dyDescent="0.6">
      <c r="A200" s="1" t="str">
        <f>_xlfn.CONCAT(ElipseTabla!$C110,",",ElipseTabla!E110)</f>
        <v>158.181818181818,45.1137831828488</v>
      </c>
      <c r="B200" s="1" t="str">
        <f t="shared" si="3"/>
        <v>POINT 158.181818181818,45.1137831828488</v>
      </c>
    </row>
    <row r="201" spans="1:2" x14ac:dyDescent="0.6">
      <c r="A201" s="1" t="str">
        <f>_xlfn.CONCAT(ElipseTabla!$C111,",",ElipseTabla!E111)</f>
        <v>158.787878787878,46.0002040660148</v>
      </c>
      <c r="B201" s="1" t="str">
        <f t="shared" si="3"/>
        <v>POINT 158.787878787878,46.0002040660148</v>
      </c>
    </row>
    <row r="202" spans="1:2" x14ac:dyDescent="0.6">
      <c r="A202" s="1" t="str">
        <f>_xlfn.CONCAT(ElipseTabla!$C112,",",ElipseTabla!E112)</f>
        <v>159.393939393939,47.1645113439145</v>
      </c>
      <c r="B202" s="1" t="str">
        <f t="shared" si="3"/>
        <v>POINT 159.393939393939,47.1645113439145</v>
      </c>
    </row>
    <row r="203" spans="1:2" x14ac:dyDescent="0.6">
      <c r="A203" s="1" t="str">
        <f>_xlfn.CONCAT(ElipseTabla!$C113,",",ElipseTabla!E113)</f>
        <v>160,50</v>
      </c>
      <c r="B203" s="1" t="str">
        <f t="shared" si="3"/>
        <v>POINT 160,50</v>
      </c>
    </row>
    <row r="205" spans="1:2" x14ac:dyDescent="0.6">
      <c r="A205" s="1" t="s">
        <v>16</v>
      </c>
    </row>
    <row r="206" spans="1:2" x14ac:dyDescent="0.6">
      <c r="A206" s="1" t="str">
        <f>_xlfn.CONCAT(ElipseTabla!$F14,",",ElipseTabla!G14)</f>
        <v>100,70</v>
      </c>
      <c r="B206" s="1" t="str">
        <f t="shared" ref="B206:B269" si="4">_xlfn.CONCAT("POINT ",A206)</f>
        <v>POINT 100,70</v>
      </c>
    </row>
    <row r="207" spans="1:2" x14ac:dyDescent="0.6">
      <c r="A207" s="1" t="str">
        <f>_xlfn.CONCAT(ElipseTabla!$F15,",",ElipseTabla!G15)</f>
        <v>99.3939393939394,69.9989796699226</v>
      </c>
      <c r="B207" s="1" t="str">
        <f t="shared" si="4"/>
        <v>POINT 99.3939393939394,69.9989796699226</v>
      </c>
    </row>
    <row r="208" spans="1:2" x14ac:dyDescent="0.6">
      <c r="A208" s="1" t="str">
        <f>_xlfn.CONCAT(ElipseTabla!$F16,",",ElipseTabla!G16)</f>
        <v>98.7878787878788,69.9959183673044</v>
      </c>
      <c r="B208" s="1" t="str">
        <f t="shared" si="4"/>
        <v>POINT 98.7878787878788,69.9959183673044</v>
      </c>
    </row>
    <row r="209" spans="1:2" x14ac:dyDescent="0.6">
      <c r="A209" s="1" t="str">
        <f>_xlfn.CONCAT(ElipseTabla!$F17,",",ElipseTabla!G17)</f>
        <v>98.1818181818182,69.9908151545099</v>
      </c>
      <c r="B209" s="1" t="str">
        <f t="shared" si="4"/>
        <v>POINT 98.1818181818182,69.9908151545099</v>
      </c>
    </row>
    <row r="210" spans="1:2" x14ac:dyDescent="0.6">
      <c r="A210" s="1" t="str">
        <f>_xlfn.CONCAT(ElipseTabla!$F18,",",ElipseTabla!G18)</f>
        <v>97.5757575757576,69.9836684672162</v>
      </c>
      <c r="B210" s="1" t="str">
        <f t="shared" si="4"/>
        <v>POINT 97.5757575757576,69.9836684672162</v>
      </c>
    </row>
    <row r="211" spans="1:2" x14ac:dyDescent="0.6">
      <c r="A211" s="1" t="str">
        <f>_xlfn.CONCAT(ElipseTabla!$F19,",",ElipseTabla!G19)</f>
        <v>96.969696969697,69.9744761120134</v>
      </c>
      <c r="B211" s="1" t="str">
        <f t="shared" si="4"/>
        <v>POINT 96.969696969697,69.9744761120134</v>
      </c>
    </row>
    <row r="212" spans="1:2" x14ac:dyDescent="0.6">
      <c r="A212" s="1" t="str">
        <f>_xlfn.CONCAT(ElipseTabla!$F20,",",ElipseTabla!G20)</f>
        <v>96.3636363636363,69.963235263031</v>
      </c>
      <c r="B212" s="1" t="str">
        <f t="shared" si="4"/>
        <v>POINT 96.3636363636363,69.963235263031</v>
      </c>
    </row>
    <row r="213" spans="1:2" x14ac:dyDescent="0.6">
      <c r="A213" s="1" t="str">
        <f>_xlfn.CONCAT(ElipseTabla!$F21,",",ElipseTabla!G21)</f>
        <v>95.7575757575757,69.9499424575814</v>
      </c>
      <c r="B213" s="1" t="str">
        <f t="shared" si="4"/>
        <v>POINT 95.7575757575757,69.9499424575814</v>
      </c>
    </row>
    <row r="214" spans="1:2" x14ac:dyDescent="0.6">
      <c r="A214" s="1" t="str">
        <f>_xlfn.CONCAT(ElipseTabla!$F22,",",ElipseTabla!G22)</f>
        <v>95.1515151515151,69.934593590802</v>
      </c>
      <c r="B214" s="1" t="str">
        <f t="shared" si="4"/>
        <v>POINT 95.1515151515151,69.934593590802</v>
      </c>
    </row>
    <row r="215" spans="1:2" x14ac:dyDescent="0.6">
      <c r="A215" s="1" t="str">
        <f>_xlfn.CONCAT(ElipseTabla!$F23,",",ElipseTabla!G23)</f>
        <v>94.5454545454545,69.9171839092788</v>
      </c>
      <c r="B215" s="1" t="str">
        <f t="shared" si="4"/>
        <v>POINT 94.5454545454545,69.9171839092788</v>
      </c>
    </row>
    <row r="216" spans="1:2" x14ac:dyDescent="0.6">
      <c r="A216" s="1" t="str">
        <f>_xlfn.CONCAT(ElipseTabla!$F24,",",ElipseTabla!G24)</f>
        <v>93.9393939393939,69.8977080036262</v>
      </c>
      <c r="B216" s="1" t="str">
        <f t="shared" si="4"/>
        <v>POINT 93.9393939393939,69.8977080036262</v>
      </c>
    </row>
    <row r="217" spans="1:2" x14ac:dyDescent="0.6">
      <c r="A217" s="1" t="str">
        <f>_xlfn.CONCAT(ElipseTabla!$F25,",",ElipseTabla!G25)</f>
        <v>93.3333333333333,69.8761597999981</v>
      </c>
      <c r="B217" s="1" t="str">
        <f t="shared" si="4"/>
        <v>POINT 93.3333333333333,69.8761597999981</v>
      </c>
    </row>
    <row r="218" spans="1:2" x14ac:dyDescent="0.6">
      <c r="A218" s="1" t="str">
        <f>_xlfn.CONCAT(ElipseTabla!$F26,",",ElipseTabla!G26)</f>
        <v>92.7272727272727,69.852532550496</v>
      </c>
      <c r="B218" s="1" t="str">
        <f t="shared" si="4"/>
        <v>POINT 92.7272727272727,69.852532550496</v>
      </c>
    </row>
    <row r="219" spans="1:2" x14ac:dyDescent="0.6">
      <c r="A219" s="1" t="str">
        <f>_xlfn.CONCAT(ElipseTabla!$F27,",",ElipseTabla!G27)</f>
        <v>92.1212121212121,69.8268188224409</v>
      </c>
      <c r="B219" s="1" t="str">
        <f t="shared" si="4"/>
        <v>POINT 92.1212121212121,69.8268188224409</v>
      </c>
    </row>
    <row r="220" spans="1:2" x14ac:dyDescent="0.6">
      <c r="A220" s="1" t="str">
        <f>_xlfn.CONCAT(ElipseTabla!$F28,",",ElipseTabla!G28)</f>
        <v>91.5151515151515,69.7990104864673</v>
      </c>
      <c r="B220" s="1" t="str">
        <f t="shared" si="4"/>
        <v>POINT 91.5151515151515,69.7990104864673</v>
      </c>
    </row>
    <row r="221" spans="1:2" x14ac:dyDescent="0.6">
      <c r="A221" s="1" t="str">
        <f>_xlfn.CONCAT(ElipseTabla!$F29,",",ElipseTabla!G29)</f>
        <v>90.9090909090909,69.7690987033941</v>
      </c>
      <c r="B221" s="1" t="str">
        <f t="shared" si="4"/>
        <v>POINT 90.9090909090909,69.7690987033941</v>
      </c>
    </row>
    <row r="222" spans="1:2" x14ac:dyDescent="0.6">
      <c r="A222" s="1" t="str">
        <f>_xlfn.CONCAT(ElipseTabla!$F30,",",ElipseTabla!G30)</f>
        <v>90.3030303030303,69.7370739098222</v>
      </c>
      <c r="B222" s="1" t="str">
        <f t="shared" si="4"/>
        <v>POINT 90.3030303030303,69.7370739098222</v>
      </c>
    </row>
    <row r="223" spans="1:2" x14ac:dyDescent="0.6">
      <c r="A223" s="1" t="str">
        <f>_xlfn.CONCAT(ElipseTabla!$F31,",",ElipseTabla!G31)</f>
        <v>89.6969696969696,69.7029258024026</v>
      </c>
      <c r="B223" s="1" t="str">
        <f t="shared" si="4"/>
        <v>POINT 89.6969696969696,69.7029258024026</v>
      </c>
    </row>
    <row r="224" spans="1:2" x14ac:dyDescent="0.6">
      <c r="A224" s="1" t="str">
        <f>_xlfn.CONCAT(ElipseTabla!$F32,",",ElipseTabla!G32)</f>
        <v>89.090909090909,69.6666433207127</v>
      </c>
      <c r="B224" s="1" t="str">
        <f t="shared" si="4"/>
        <v>POINT 89.090909090909,69.6666433207127</v>
      </c>
    </row>
    <row r="225" spans="1:2" x14ac:dyDescent="0.6">
      <c r="A225" s="1" t="str">
        <f>_xlfn.CONCAT(ElipseTabla!$F33,",",ElipseTabla!G33)</f>
        <v>88.4848484848484,69.6282146286725</v>
      </c>
      <c r="B225" s="1" t="str">
        <f t="shared" si="4"/>
        <v>POINT 88.4848484848484,69.6282146286725</v>
      </c>
    </row>
    <row r="226" spans="1:2" x14ac:dyDescent="0.6">
      <c r="A226" s="1" t="str">
        <f>_xlfn.CONCAT(ElipseTabla!$F34,",",ElipseTabla!G34)</f>
        <v>87.8787878787878,69.5876270944259</v>
      </c>
      <c r="B226" s="1" t="str">
        <f t="shared" si="4"/>
        <v>POINT 87.8787878787878,69.5876270944259</v>
      </c>
    </row>
    <row r="227" spans="1:2" x14ac:dyDescent="0.6">
      <c r="A227" s="1" t="str">
        <f>_xlfn.CONCAT(ElipseTabla!$F35,",",ElipseTabla!G35)</f>
        <v>87.2727272727272,69.5448672686025</v>
      </c>
      <c r="B227" s="1" t="str">
        <f t="shared" si="4"/>
        <v>POINT 87.2727272727272,69.5448672686025</v>
      </c>
    </row>
    <row r="228" spans="1:2" x14ac:dyDescent="0.6">
      <c r="A228" s="1" t="str">
        <f>_xlfn.CONCAT(ElipseTabla!$F36,",",ElipseTabla!G36)</f>
        <v>86.6666666666666,69.4999208608714</v>
      </c>
      <c r="B228" s="1" t="str">
        <f t="shared" si="4"/>
        <v>POINT 86.6666666666666,69.4999208608714</v>
      </c>
    </row>
    <row r="229" spans="1:2" x14ac:dyDescent="0.6">
      <c r="A229" s="1" t="str">
        <f>_xlfn.CONCAT(ElipseTabla!$F37,",",ElipseTabla!G37)</f>
        <v>86.060606060606,69.452772714684</v>
      </c>
      <c r="B229" s="1" t="str">
        <f t="shared" si="4"/>
        <v>POINT 86.060606060606,69.452772714684</v>
      </c>
    </row>
    <row r="230" spans="1:2" x14ac:dyDescent="0.6">
      <c r="A230" s="1" t="str">
        <f>_xlfn.CONCAT(ElipseTabla!$F38,",",ElipseTabla!G38)</f>
        <v>85.4545454545454,69.4034067800995</v>
      </c>
      <c r="B230" s="1" t="str">
        <f t="shared" si="4"/>
        <v>POINT 85.4545454545454,69.4034067800995</v>
      </c>
    </row>
    <row r="231" spans="1:2" x14ac:dyDescent="0.6">
      <c r="A231" s="1" t="str">
        <f>_xlfn.CONCAT(ElipseTabla!$F39,",",ElipseTabla!G39)</f>
        <v>84.8484848484848,69.3518060845706</v>
      </c>
      <c r="B231" s="1" t="str">
        <f t="shared" si="4"/>
        <v>POINT 84.8484848484848,69.3518060845706</v>
      </c>
    </row>
    <row r="232" spans="1:2" x14ac:dyDescent="0.6">
      <c r="A232" s="1" t="str">
        <f>_xlfn.CONCAT(ElipseTabla!$F40,",",ElipseTabla!G40)</f>
        <v>84.2424242424242,69.2979527015584</v>
      </c>
      <c r="B232" s="1" t="str">
        <f t="shared" si="4"/>
        <v>POINT 84.2424242424242,69.2979527015584</v>
      </c>
    </row>
    <row r="233" spans="1:2" x14ac:dyDescent="0.6">
      <c r="A233" s="1" t="str">
        <f>_xlfn.CONCAT(ElipseTabla!$F41,",",ElipseTabla!G41)</f>
        <v>83.6363636363636,69.2418277168334</v>
      </c>
      <c r="B233" s="1" t="str">
        <f t="shared" si="4"/>
        <v>POINT 83.6363636363636,69.2418277168334</v>
      </c>
    </row>
    <row r="234" spans="1:2" x14ac:dyDescent="0.6">
      <c r="A234" s="1" t="str">
        <f>_xlfn.CONCAT(ElipseTabla!$F42,",",ElipseTabla!G42)</f>
        <v>83.0303030303029,69.1834111923026</v>
      </c>
      <c r="B234" s="1" t="str">
        <f t="shared" si="4"/>
        <v>POINT 83.0303030303029,69.1834111923026</v>
      </c>
    </row>
    <row r="235" spans="1:2" x14ac:dyDescent="0.6">
      <c r="A235" s="1" t="str">
        <f>_xlfn.CONCAT(ElipseTabla!$F43,",",ElipseTabla!G43)</f>
        <v>82.4242424242423,69.1226821271907</v>
      </c>
      <c r="B235" s="1" t="str">
        <f t="shared" si="4"/>
        <v>POINT 82.4242424242423,69.1226821271907</v>
      </c>
    </row>
    <row r="236" spans="1:2" x14ac:dyDescent="0.6">
      <c r="A236" s="1" t="str">
        <f>_xlfn.CONCAT(ElipseTabla!$F44,",",ElipseTabla!G44)</f>
        <v>81.8181818181817,69.0596184163835</v>
      </c>
      <c r="B236" s="1" t="str">
        <f t="shared" si="4"/>
        <v>POINT 81.8181818181817,69.0596184163835</v>
      </c>
    </row>
    <row r="237" spans="1:2" x14ac:dyDescent="0.6">
      <c r="A237" s="1" t="str">
        <f>_xlfn.CONCAT(ElipseTabla!$F45,",",ElipseTabla!G45)</f>
        <v>81.2121212121211,68.9941968057263</v>
      </c>
      <c r="B237" s="1" t="str">
        <f t="shared" si="4"/>
        <v>POINT 81.2121212121211,68.9941968057263</v>
      </c>
    </row>
    <row r="238" spans="1:2" x14ac:dyDescent="0.6">
      <c r="A238" s="1" t="str">
        <f>_xlfn.CONCAT(ElipseTabla!$F46,",",ElipseTabla!G46)</f>
        <v>80.6060606060605,68.9263928440454</v>
      </c>
      <c r="B238" s="1" t="str">
        <f t="shared" si="4"/>
        <v>POINT 80.6060606060605,68.9263928440454</v>
      </c>
    </row>
    <row r="239" spans="1:2" x14ac:dyDescent="0.6">
      <c r="A239" s="1" t="str">
        <f>_xlfn.CONCAT(ElipseTabla!$F47,",",ElipseTabla!G47)</f>
        <v>79.9999999999999,68.8561808316413</v>
      </c>
      <c r="B239" s="1" t="str">
        <f t="shared" si="4"/>
        <v>POINT 79.9999999999999,68.8561808316413</v>
      </c>
    </row>
    <row r="240" spans="1:2" x14ac:dyDescent="0.6">
      <c r="A240" s="1" t="str">
        <f>_xlfn.CONCAT(ElipseTabla!$F48,",",ElipseTabla!G48)</f>
        <v>79.3939393939393,68.7835337649743</v>
      </c>
      <c r="B240" s="1" t="str">
        <f t="shared" si="4"/>
        <v>POINT 79.3939393939393,68.7835337649743</v>
      </c>
    </row>
    <row r="241" spans="1:2" x14ac:dyDescent="0.6">
      <c r="A241" s="1" t="str">
        <f>_xlfn.CONCAT(ElipseTabla!$F49,",",ElipseTabla!G49)</f>
        <v>78.7878787878787,68.7084232772367</v>
      </c>
      <c r="B241" s="1" t="str">
        <f t="shared" si="4"/>
        <v>POINT 78.7878787878787,68.7084232772367</v>
      </c>
    </row>
    <row r="242" spans="1:2" x14ac:dyDescent="0.6">
      <c r="A242" s="1" t="str">
        <f>_xlfn.CONCAT(ElipseTabla!$F50,",",ElipseTabla!G50)</f>
        <v>78.1818181818181,68.630819574472</v>
      </c>
      <c r="B242" s="1" t="str">
        <f t="shared" si="4"/>
        <v>POINT 78.1818181818181,68.630819574472</v>
      </c>
    </row>
    <row r="243" spans="1:2" x14ac:dyDescent="0.6">
      <c r="A243" s="1" t="str">
        <f>_xlfn.CONCAT(ElipseTabla!$F51,",",ElipseTabla!G51)</f>
        <v>77.5757575757575,68.5506913668671</v>
      </c>
      <c r="B243" s="1" t="str">
        <f t="shared" si="4"/>
        <v>POINT 77.5757575757575,68.5506913668671</v>
      </c>
    </row>
    <row r="244" spans="1:2" x14ac:dyDescent="0.6">
      <c r="A244" s="1" t="str">
        <f>_xlfn.CONCAT(ElipseTabla!$F52,",",ElipseTabla!G52)</f>
        <v>76.9696969696969,68.4680057948046</v>
      </c>
      <c r="B244" s="1" t="str">
        <f t="shared" si="4"/>
        <v>POINT 76.9696969696969,68.4680057948046</v>
      </c>
    </row>
    <row r="245" spans="1:2" x14ac:dyDescent="0.6">
      <c r="A245" s="1" t="str">
        <f>_xlfn.CONCAT(ElipseTabla!$F53,",",ElipseTabla!G53)</f>
        <v>76.3636363636362,68.3827283492159</v>
      </c>
      <c r="B245" s="1" t="str">
        <f t="shared" si="4"/>
        <v>POINT 76.3636363636362,68.3827283492159</v>
      </c>
    </row>
    <row r="246" spans="1:2" x14ac:dyDescent="0.6">
      <c r="A246" s="1" t="str">
        <f>_xlfn.CONCAT(ElipseTabla!$F54,",",ElipseTabla!G54)</f>
        <v>75.7575757575756,68.2948227857267</v>
      </c>
      <c r="B246" s="1" t="str">
        <f t="shared" si="4"/>
        <v>POINT 75.7575757575756,68.2948227857267</v>
      </c>
    </row>
    <row r="247" spans="1:2" x14ac:dyDescent="0.6">
      <c r="A247" s="1" t="str">
        <f>_xlfn.CONCAT(ElipseTabla!$F55,",",ElipseTabla!G55)</f>
        <v>75.151515151515,68.2042510320304</v>
      </c>
      <c r="B247" s="1" t="str">
        <f t="shared" si="4"/>
        <v>POINT 75.151515151515,68.2042510320304</v>
      </c>
    </row>
    <row r="248" spans="1:2" x14ac:dyDescent="0.6">
      <c r="A248" s="1" t="str">
        <f>_xlfn.CONCAT(ElipseTabla!$F56,",",ElipseTabla!G56)</f>
        <v>74.5454545454544,68.1109730878593</v>
      </c>
      <c r="B248" s="1" t="str">
        <f t="shared" si="4"/>
        <v>POINT 74.5454545454544,68.1109730878593</v>
      </c>
    </row>
    <row r="249" spans="1:2" x14ac:dyDescent="0.6">
      <c r="A249" s="1" t="str">
        <f>_xlfn.CONCAT(ElipseTabla!$F57,",",ElipseTabla!G57)</f>
        <v>73.9393939393938,68.0149469168549</v>
      </c>
      <c r="B249" s="1" t="str">
        <f t="shared" si="4"/>
        <v>POINT 73.9393939393938,68.0149469168549</v>
      </c>
    </row>
    <row r="250" spans="1:2" x14ac:dyDescent="0.6">
      <c r="A250" s="1" t="str">
        <f>_xlfn.CONCAT(ElipseTabla!$F58,",",ElipseTabla!G58)</f>
        <v>73.3333333333332,67.9161283295523</v>
      </c>
      <c r="B250" s="1" t="str">
        <f t="shared" si="4"/>
        <v>POINT 73.3333333333332,67.9161283295523</v>
      </c>
    </row>
    <row r="251" spans="1:2" x14ac:dyDescent="0.6">
      <c r="A251" s="1" t="str">
        <f>_xlfn.CONCAT(ElipseTabla!$F59,",",ElipseTabla!G59)</f>
        <v>72.7272727272726,67.8144708566049</v>
      </c>
      <c r="B251" s="1" t="str">
        <f t="shared" si="4"/>
        <v>POINT 72.7272727272726,67.8144708566049</v>
      </c>
    </row>
    <row r="252" spans="1:2" x14ac:dyDescent="0.6">
      <c r="A252" s="1" t="str">
        <f>_xlfn.CONCAT(ElipseTabla!$F60,",",ElipseTabla!G60)</f>
        <v>72.121212121212,67.7099256112671</v>
      </c>
      <c r="B252" s="1" t="str">
        <f t="shared" si="4"/>
        <v>POINT 72.121212121212,67.7099256112671</v>
      </c>
    </row>
    <row r="253" spans="1:2" x14ac:dyDescent="0.6">
      <c r="A253" s="1" t="str">
        <f>_xlfn.CONCAT(ElipseTabla!$F61,",",ElipseTabla!G61)</f>
        <v>71.5151515151514,67.6024411400339</v>
      </c>
      <c r="B253" s="1" t="str">
        <f t="shared" si="4"/>
        <v>POINT 71.5151515151514,67.6024411400339</v>
      </c>
    </row>
    <row r="254" spans="1:2" x14ac:dyDescent="0.6">
      <c r="A254" s="1" t="str">
        <f>_xlfn.CONCAT(ElipseTabla!$F62,",",ElipseTabla!G62)</f>
        <v>70.9090909090908,67.4919632601961</v>
      </c>
      <c r="B254" s="1" t="str">
        <f t="shared" si="4"/>
        <v>POINT 70.9090909090908,67.4919632601961</v>
      </c>
    </row>
    <row r="255" spans="1:2" x14ac:dyDescent="0.6">
      <c r="A255" s="1" t="str">
        <f>_xlfn.CONCAT(ElipseTabla!$F63,",",ElipseTabla!G63)</f>
        <v>70.3030303030302,67.3784348829144</v>
      </c>
      <c r="B255" s="1" t="str">
        <f t="shared" si="4"/>
        <v>POINT 70.3030303030302,67.3784348829144</v>
      </c>
    </row>
    <row r="256" spans="1:2" x14ac:dyDescent="0.6">
      <c r="A256" s="1" t="str">
        <f>_xlfn.CONCAT(ElipseTabla!$F64,",",ElipseTabla!G64)</f>
        <v>69.6969696969696,67.2617958202295</v>
      </c>
      <c r="B256" s="1" t="str">
        <f t="shared" si="4"/>
        <v>POINT 69.6969696969696,67.2617958202295</v>
      </c>
    </row>
    <row r="257" spans="1:2" x14ac:dyDescent="0.6">
      <c r="A257" s="1" t="str">
        <f>_xlfn.CONCAT(ElipseTabla!$F65,",",ElipseTabla!G65)</f>
        <v>69.090909090909,67.1419825742193</v>
      </c>
      <c r="B257" s="1" t="str">
        <f t="shared" si="4"/>
        <v>POINT 69.090909090909,67.1419825742193</v>
      </c>
    </row>
    <row r="258" spans="1:2" x14ac:dyDescent="0.6">
      <c r="A258" s="1" t="str">
        <f>_xlfn.CONCAT(ElipseTabla!$F66,",",ElipseTabla!G66)</f>
        <v>68.4848484848484,67.0189281062685</v>
      </c>
      <c r="B258" s="1" t="str">
        <f t="shared" si="4"/>
        <v>POINT 68.4848484848484,67.0189281062685</v>
      </c>
    </row>
    <row r="259" spans="1:2" x14ac:dyDescent="0.6">
      <c r="A259" s="1" t="str">
        <f>_xlfn.CONCAT(ElipseTabla!$F67,",",ElipseTabla!G67)</f>
        <v>67.8787878787878,66.8925615841348</v>
      </c>
      <c r="B259" s="1" t="str">
        <f t="shared" si="4"/>
        <v>POINT 67.8787878787878,66.8925615841348</v>
      </c>
    </row>
    <row r="260" spans="1:2" x14ac:dyDescent="0.6">
      <c r="A260" s="1" t="str">
        <f>_xlfn.CONCAT(ElipseTabla!$F68,",",ElipseTabla!G68)</f>
        <v>67.2727272727272,66.7628081041689</v>
      </c>
      <c r="B260" s="1" t="str">
        <f t="shared" si="4"/>
        <v>POINT 67.2727272727272,66.7628081041689</v>
      </c>
    </row>
    <row r="261" spans="1:2" x14ac:dyDescent="0.6">
      <c r="A261" s="1" t="str">
        <f>_xlfn.CONCAT(ElipseTabla!$F69,",",ElipseTabla!G69)</f>
        <v>66.6666666666666,66.6295883856619</v>
      </c>
      <c r="B261" s="1" t="str">
        <f t="shared" si="4"/>
        <v>POINT 66.6666666666666,66.6295883856619</v>
      </c>
    </row>
    <row r="262" spans="1:2" x14ac:dyDescent="0.6">
      <c r="A262" s="1" t="str">
        <f>_xlfn.CONCAT(ElipseTabla!$F70,",",ElipseTabla!G70)</f>
        <v>66.060606060606,66.4928184338471</v>
      </c>
      <c r="B262" s="1" t="str">
        <f t="shared" si="4"/>
        <v>POINT 66.060606060606,66.4928184338471</v>
      </c>
    </row>
    <row r="263" spans="1:2" x14ac:dyDescent="0.6">
      <c r="A263" s="1" t="str">
        <f>_xlfn.CONCAT(ElipseTabla!$F71,",",ElipseTabla!G71)</f>
        <v>65.4545454545454,66.352409167554</v>
      </c>
      <c r="B263" s="1" t="str">
        <f t="shared" si="4"/>
        <v>POINT 65.4545454545454,66.352409167554</v>
      </c>
    </row>
    <row r="264" spans="1:2" x14ac:dyDescent="0.6">
      <c r="A264" s="1" t="str">
        <f>_xlfn.CONCAT(ElipseTabla!$F72,",",ElipseTabla!G72)</f>
        <v>64.8484848484848,66.2082660068963</v>
      </c>
      <c r="B264" s="1" t="str">
        <f t="shared" si="4"/>
        <v>POINT 64.8484848484848,66.2082660068963</v>
      </c>
    </row>
    <row r="265" spans="1:2" x14ac:dyDescent="0.6">
      <c r="A265" s="1" t="str">
        <f>_xlfn.CONCAT(ElipseTabla!$F73,",",ElipseTabla!G73)</f>
        <v>64.2424242424242,66.0602884156378</v>
      </c>
      <c r="B265" s="1" t="str">
        <f t="shared" si="4"/>
        <v>POINT 64.2424242424242,66.0602884156378</v>
      </c>
    </row>
    <row r="266" spans="1:2" x14ac:dyDescent="0.6">
      <c r="A266" s="1" t="str">
        <f>_xlfn.CONCAT(ElipseTabla!$F74,",",ElipseTabla!G74)</f>
        <v>63.6363636363637,65.9083693920081</v>
      </c>
      <c r="B266" s="1" t="str">
        <f t="shared" si="4"/>
        <v>POINT 63.6363636363637,65.9083693920081</v>
      </c>
    </row>
    <row r="267" spans="1:2" x14ac:dyDescent="0.6">
      <c r="A267" s="1" t="str">
        <f>_xlfn.CONCAT(ElipseTabla!$F75,",",ElipseTabla!G75)</f>
        <v>63.0303030303031,65.7523949007014</v>
      </c>
      <c r="B267" s="1" t="str">
        <f t="shared" si="4"/>
        <v>POINT 63.0303030303031,65.7523949007014</v>
      </c>
    </row>
    <row r="268" spans="1:2" x14ac:dyDescent="0.6">
      <c r="A268" s="1" t="str">
        <f>_xlfn.CONCAT(ElipseTabla!$F76,",",ElipseTabla!G76)</f>
        <v>62.4242424242425,65.5922432375414</v>
      </c>
      <c r="B268" s="1" t="str">
        <f t="shared" si="4"/>
        <v>POINT 62.4242424242425,65.5922432375414</v>
      </c>
    </row>
    <row r="269" spans="1:2" x14ac:dyDescent="0.6">
      <c r="A269" s="1" t="str">
        <f>_xlfn.CONCAT(ElipseTabla!$F77,",",ElipseTabla!G77)</f>
        <v>61.8181818181819,65.4277843167974</v>
      </c>
      <c r="B269" s="1" t="str">
        <f t="shared" si="4"/>
        <v>POINT 61.8181818181819,65.4277843167974</v>
      </c>
    </row>
    <row r="270" spans="1:2" x14ac:dyDescent="0.6">
      <c r="A270" s="1" t="str">
        <f>_xlfn.CONCAT(ElipseTabla!$F78,",",ElipseTabla!G78)</f>
        <v>61.2121212121213,65.2588788693186</v>
      </c>
      <c r="B270" s="1" t="str">
        <f t="shared" ref="B270:B305" si="5">_xlfn.CONCAT("POINT ",A270)</f>
        <v>POINT 61.2121212121213,65.2588788693186</v>
      </c>
    </row>
    <row r="271" spans="1:2" x14ac:dyDescent="0.6">
      <c r="A271" s="1" t="str">
        <f>_xlfn.CONCAT(ElipseTabla!$F79,",",ElipseTabla!G79)</f>
        <v>60.6060606060607,65.0853775374501</v>
      </c>
      <c r="B271" s="1" t="str">
        <f t="shared" si="5"/>
        <v>POINT 60.6060606060607,65.0853775374501</v>
      </c>
    </row>
    <row r="272" spans="1:2" x14ac:dyDescent="0.6">
      <c r="A272" s="1" t="str">
        <f>_xlfn.CONCAT(ElipseTabla!$F80,",",ElipseTabla!G80)</f>
        <v>60.0000000000001,64.9071198499986</v>
      </c>
      <c r="B272" s="1" t="str">
        <f t="shared" si="5"/>
        <v>POINT 60.0000000000001,64.9071198499986</v>
      </c>
    </row>
    <row r="273" spans="1:2" x14ac:dyDescent="0.6">
      <c r="A273" s="1" t="str">
        <f>_xlfn.CONCAT(ElipseTabla!$F81,",",ElipseTabla!G81)</f>
        <v>59.3939393939395,64.7239330572029</v>
      </c>
      <c r="B273" s="1" t="str">
        <f t="shared" si="5"/>
        <v>POINT 59.3939393939395,64.7239330572029</v>
      </c>
    </row>
    <row r="274" spans="1:2" x14ac:dyDescent="0.6">
      <c r="A274" s="1" t="str">
        <f>_xlfn.CONCAT(ElipseTabla!$F82,",",ElipseTabla!G82)</f>
        <v>58.7878787878789,64.5356308015757</v>
      </c>
      <c r="B274" s="1" t="str">
        <f t="shared" si="5"/>
        <v>POINT 58.7878787878789,64.5356308015757</v>
      </c>
    </row>
    <row r="275" spans="1:2" x14ac:dyDescent="0.6">
      <c r="A275" s="1" t="str">
        <f>_xlfn.CONCAT(ElipseTabla!$F83,",",ElipseTabla!G83)</f>
        <v>58.1818181818183,64.342011595393</v>
      </c>
      <c r="B275" s="1" t="str">
        <f t="shared" si="5"/>
        <v>POINT 58.1818181818183,64.342011595393</v>
      </c>
    </row>
    <row r="276" spans="1:2" x14ac:dyDescent="0.6">
      <c r="A276" s="1" t="str">
        <f>_xlfn.CONCAT(ElipseTabla!$F84,",",ElipseTabla!G84)</f>
        <v>57.5757575757577,64.1428570692422</v>
      </c>
      <c r="B276" s="1" t="str">
        <f t="shared" si="5"/>
        <v>POINT 57.5757575757577,64.1428570692422</v>
      </c>
    </row>
    <row r="277" spans="1:2" x14ac:dyDescent="0.6">
      <c r="A277" s="1" t="str">
        <f>_xlfn.CONCAT(ElipseTabla!$F85,",",ElipseTabla!G85)</f>
        <v>56.9696969696971,63.9379299480084</v>
      </c>
      <c r="B277" s="1" t="str">
        <f t="shared" si="5"/>
        <v>POINT 56.9696969696971,63.9379299480084</v>
      </c>
    </row>
    <row r="278" spans="1:2" x14ac:dyDescent="0.6">
      <c r="A278" s="1" t="str">
        <f>_xlfn.CONCAT(ElipseTabla!$F86,",",ElipseTabla!G86)</f>
        <v>56.3636363636365,63.7269717004923</v>
      </c>
      <c r="B278" s="1" t="str">
        <f t="shared" si="5"/>
        <v>POINT 56.3636363636365,63.7269717004923</v>
      </c>
    </row>
    <row r="279" spans="1:2" x14ac:dyDescent="0.6">
      <c r="A279" s="1" t="str">
        <f>_xlfn.CONCAT(ElipseTabla!$F87,",",ElipseTabla!G87)</f>
        <v>55.7575757575759,63.5096997957984</v>
      </c>
      <c r="B279" s="1" t="str">
        <f t="shared" si="5"/>
        <v>POINT 55.7575757575759,63.5096997957984</v>
      </c>
    </row>
    <row r="280" spans="1:2" x14ac:dyDescent="0.6">
      <c r="A280" s="1" t="str">
        <f>_xlfn.CONCAT(ElipseTabla!$F88,",",ElipseTabla!G88)</f>
        <v>55.1515151515153,63.2858044827939</v>
      </c>
      <c r="B280" s="1" t="str">
        <f t="shared" si="5"/>
        <v>POINT 55.1515151515153,63.2858044827939</v>
      </c>
    </row>
    <row r="281" spans="1:2" x14ac:dyDescent="0.6">
      <c r="A281" s="1" t="str">
        <f>_xlfn.CONCAT(ElipseTabla!$F89,",",ElipseTabla!G89)</f>
        <v>54.5454545454547,63.0549449869928</v>
      </c>
      <c r="B281" s="1" t="str">
        <f t="shared" si="5"/>
        <v>POINT 54.5454545454547,63.0549449869928</v>
      </c>
    </row>
    <row r="282" spans="1:2" x14ac:dyDescent="0.6">
      <c r="A282" s="1" t="str">
        <f>_xlfn.CONCAT(ElipseTabla!$F90,",",ElipseTabla!G90)</f>
        <v>53.9393939393941,62.8167449903531</v>
      </c>
      <c r="B282" s="1" t="str">
        <f t="shared" si="5"/>
        <v>POINT 53.9393939393941,62.8167449903531</v>
      </c>
    </row>
    <row r="283" spans="1:2" x14ac:dyDescent="0.6">
      <c r="A283" s="1" t="str">
        <f>_xlfn.CONCAT(ElipseTabla!$F91,",",ElipseTabla!G91)</f>
        <v>53.3333333333335,62.5707872210943</v>
      </c>
      <c r="B283" s="1" t="str">
        <f t="shared" si="5"/>
        <v>POINT 53.3333333333335,62.5707872210943</v>
      </c>
    </row>
    <row r="284" spans="1:2" x14ac:dyDescent="0.6">
      <c r="A284" s="1" t="str">
        <f>_xlfn.CONCAT(ElipseTabla!$F92,",",ElipseTabla!G92)</f>
        <v>52.7272727272729,62.3166069290314</v>
      </c>
      <c r="B284" s="1" t="str">
        <f t="shared" si="5"/>
        <v>POINT 52.7272727272729,62.3166069290314</v>
      </c>
    </row>
    <row r="285" spans="1:2" x14ac:dyDescent="0.6">
      <c r="A285" s="1" t="str">
        <f>_xlfn.CONCAT(ElipseTabla!$F93,",",ElipseTabla!G93)</f>
        <v>52.1212121212124,62.0536839516577</v>
      </c>
      <c r="B285" s="1" t="str">
        <f t="shared" si="5"/>
        <v>POINT 52.1212121212124,62.0536839516577</v>
      </c>
    </row>
    <row r="286" spans="1:2" x14ac:dyDescent="0.6">
      <c r="A286" s="1" t="str">
        <f>_xlfn.CONCAT(ElipseTabla!$F94,",",ElipseTabla!G94)</f>
        <v>51.5151515151518,61.7814329792513</v>
      </c>
      <c r="B286" s="1" t="str">
        <f t="shared" si="5"/>
        <v>POINT 51.5151515151518,61.7814329792513</v>
      </c>
    </row>
    <row r="287" spans="1:2" x14ac:dyDescent="0.6">
      <c r="A287" s="1" t="str">
        <f>_xlfn.CONCAT(ElipseTabla!$F95,",",ElipseTabla!G95)</f>
        <v>50.9090909090912,61.4991914915215</v>
      </c>
      <c r="B287" s="1" t="str">
        <f t="shared" si="5"/>
        <v>POINT 50.9090909090912,61.4991914915215</v>
      </c>
    </row>
    <row r="288" spans="1:2" x14ac:dyDescent="0.6">
      <c r="A288" s="1" t="str">
        <f>_xlfn.CONCAT(ElipseTabla!$F96,",",ElipseTabla!G96)</f>
        <v>50.3030303030306,61.2062046451384</v>
      </c>
      <c r="B288" s="1" t="str">
        <f t="shared" si="5"/>
        <v>POINT 50.3030303030306,61.2062046451384</v>
      </c>
    </row>
    <row r="289" spans="1:2" x14ac:dyDescent="0.6">
      <c r="A289" s="1" t="str">
        <f>_xlfn.CONCAT(ElipseTabla!$F97,",",ElipseTabla!G97)</f>
        <v>49.69696969697,60.9016061117028</v>
      </c>
      <c r="B289" s="1" t="str">
        <f t="shared" si="5"/>
        <v>POINT 49.69696969697,60.9016061117028</v>
      </c>
    </row>
    <row r="290" spans="1:2" x14ac:dyDescent="0.6">
      <c r="A290" s="1" t="str">
        <f>_xlfn.CONCAT(ElipseTabla!$F98,",",ElipseTabla!G98)</f>
        <v>49.0909090909094,60.5843934524686</v>
      </c>
      <c r="B290" s="1" t="str">
        <f t="shared" si="5"/>
        <v>POINT 49.0909090909094,60.5843934524686</v>
      </c>
    </row>
    <row r="291" spans="1:2" x14ac:dyDescent="0.6">
      <c r="A291" s="1" t="str">
        <f>_xlfn.CONCAT(ElipseTabla!$F99,",",ElipseTabla!G99)</f>
        <v>48.4848484848488,60.2533959922826</v>
      </c>
      <c r="B291" s="1" t="str">
        <f t="shared" si="5"/>
        <v>POINT 48.4848484848488,60.2533959922826</v>
      </c>
    </row>
    <row r="292" spans="1:2" x14ac:dyDescent="0.6">
      <c r="A292" s="1" t="str">
        <f>_xlfn.CONCAT(ElipseTabla!$F100,",",ElipseTabla!G100)</f>
        <v>47.8787878787882,59.9072321900925</v>
      </c>
      <c r="B292" s="1" t="str">
        <f t="shared" si="5"/>
        <v>POINT 47.8787878787882,59.9072321900925</v>
      </c>
    </row>
    <row r="293" spans="1:2" x14ac:dyDescent="0.6">
      <c r="A293" s="1" t="str">
        <f>_xlfn.CONCAT(ElipseTabla!$F101,",",ElipseTabla!G101)</f>
        <v>47.2727272727276,59.5442519684994</v>
      </c>
      <c r="B293" s="1" t="str">
        <f t="shared" si="5"/>
        <v>POINT 47.2727272727276,59.5442519684994</v>
      </c>
    </row>
    <row r="294" spans="1:2" x14ac:dyDescent="0.6">
      <c r="A294" s="1" t="str">
        <f>_xlfn.CONCAT(ElipseTabla!$F102,",",ElipseTabla!G102)</f>
        <v>46.666666666667,59.1624569458172</v>
      </c>
      <c r="B294" s="1" t="str">
        <f t="shared" si="5"/>
        <v>POINT 46.666666666667,59.1624569458172</v>
      </c>
    </row>
    <row r="295" spans="1:2" x14ac:dyDescent="0.6">
      <c r="A295" s="1" t="str">
        <f>_xlfn.CONCAT(ElipseTabla!$F103,",",ElipseTabla!G103)</f>
        <v>46.0606060606064,58.7593872277492</v>
      </c>
      <c r="B295" s="1" t="str">
        <f t="shared" si="5"/>
        <v>POINT 46.0606060606064,58.7593872277492</v>
      </c>
    </row>
    <row r="296" spans="1:2" x14ac:dyDescent="0.6">
      <c r="A296" s="1" t="str">
        <f>_xlfn.CONCAT(ElipseTabla!$F104,",",ElipseTabla!G104)</f>
        <v>45.4545454545458,58.3319558090109</v>
      </c>
      <c r="B296" s="1" t="str">
        <f t="shared" si="5"/>
        <v>POINT 45.4545454545458,58.3319558090109</v>
      </c>
    </row>
    <row r="297" spans="1:2" x14ac:dyDescent="0.6">
      <c r="A297" s="1" t="str">
        <f>_xlfn.CONCAT(ElipseTabla!$F105,",",ElipseTabla!G105)</f>
        <v>44.8484848484852,57.876197450351</v>
      </c>
      <c r="B297" s="1" t="str">
        <f t="shared" si="5"/>
        <v>POINT 44.8484848484852,57.876197450351</v>
      </c>
    </row>
    <row r="298" spans="1:2" x14ac:dyDescent="0.6">
      <c r="A298" s="1" t="str">
        <f>_xlfn.CONCAT(ElipseTabla!$F106,",",ElipseTabla!G106)</f>
        <v>44.2424242424246,57.3868708277911</v>
      </c>
      <c r="B298" s="1" t="str">
        <f t="shared" si="5"/>
        <v>POINT 44.2424242424246,57.3868708277911</v>
      </c>
    </row>
    <row r="299" spans="1:2" x14ac:dyDescent="0.6">
      <c r="A299" s="1" t="str">
        <f>_xlfn.CONCAT(ElipseTabla!$F107,",",ElipseTabla!G107)</f>
        <v>43.636363636364,56.8567930296881</v>
      </c>
      <c r="B299" s="1" t="str">
        <f t="shared" si="5"/>
        <v>POINT 43.636363636364,56.8567930296881</v>
      </c>
    </row>
    <row r="300" spans="1:2" x14ac:dyDescent="0.6">
      <c r="A300" s="1" t="str">
        <f>_xlfn.CONCAT(ElipseTabla!$F108,",",ElipseTabla!G108)</f>
        <v>43.0303030303034,56.275646289701</v>
      </c>
      <c r="B300" s="1" t="str">
        <f t="shared" si="5"/>
        <v>POINT 43.0303030303034,56.275646289701</v>
      </c>
    </row>
    <row r="301" spans="1:2" x14ac:dyDescent="0.6">
      <c r="A301" s="1" t="str">
        <f>_xlfn.CONCAT(ElipseTabla!$F109,",",ElipseTabla!G109)</f>
        <v>42.4242424242428,55.6276316271456</v>
      </c>
      <c r="B301" s="1" t="str">
        <f t="shared" si="5"/>
        <v>POINT 42.4242424242428,55.6276316271456</v>
      </c>
    </row>
    <row r="302" spans="1:2" x14ac:dyDescent="0.6">
      <c r="A302" s="1" t="str">
        <f>_xlfn.CONCAT(ElipseTabla!$F110,",",ElipseTabla!G110)</f>
        <v>41.8181818181822,54.8862168171512</v>
      </c>
      <c r="B302" s="1" t="str">
        <f t="shared" si="5"/>
        <v>POINT 41.8181818181822,54.8862168171512</v>
      </c>
    </row>
    <row r="303" spans="1:2" x14ac:dyDescent="0.6">
      <c r="A303" s="1" t="str">
        <f>_xlfn.CONCAT(ElipseTabla!$F111,",",ElipseTabla!G111)</f>
        <v>41.2121212121216,53.9997959339852</v>
      </c>
      <c r="B303" s="1" t="str">
        <f t="shared" si="5"/>
        <v>POINT 41.2121212121216,53.9997959339852</v>
      </c>
    </row>
    <row r="304" spans="1:2" x14ac:dyDescent="0.6">
      <c r="A304" s="1" t="str">
        <f>_xlfn.CONCAT(ElipseTabla!$F112,",",ElipseTabla!G112)</f>
        <v>40.606060606061,52.8354886560855</v>
      </c>
      <c r="B304" s="1" t="str">
        <f t="shared" si="5"/>
        <v>POINT 40.606060606061,52.8354886560855</v>
      </c>
    </row>
    <row r="305" spans="1:2" x14ac:dyDescent="0.6">
      <c r="A305" s="1" t="str">
        <f>_xlfn.CONCAT(ElipseTabla!$F113,",",ElipseTabla!G113)</f>
        <v>40,50</v>
      </c>
      <c r="B305" s="1" t="str">
        <f t="shared" si="5"/>
        <v>POINT 40,50</v>
      </c>
    </row>
    <row r="307" spans="1:2" x14ac:dyDescent="0.6">
      <c r="A307" s="1" t="s">
        <v>16</v>
      </c>
    </row>
    <row r="308" spans="1:2" x14ac:dyDescent="0.6">
      <c r="A308" s="1" t="str">
        <f>_xlfn.CONCAT(ElipseTabla!$F14,",",ElipseTabla!H14)</f>
        <v>100,30</v>
      </c>
      <c r="B308" s="1" t="str">
        <f t="shared" ref="B308:B371" si="6">_xlfn.CONCAT("POINT ",A308)</f>
        <v>POINT 100,30</v>
      </c>
    </row>
    <row r="309" spans="1:2" x14ac:dyDescent="0.6">
      <c r="A309" s="1" t="str">
        <f>_xlfn.CONCAT(ElipseTabla!$F15,",",ElipseTabla!H15)</f>
        <v>99.3939393939394,30.0010203300774</v>
      </c>
      <c r="B309" s="1" t="str">
        <f t="shared" si="6"/>
        <v>POINT 99.3939393939394,30.0010203300774</v>
      </c>
    </row>
    <row r="310" spans="1:2" x14ac:dyDescent="0.6">
      <c r="A310" s="1" t="str">
        <f>_xlfn.CONCAT(ElipseTabla!$F16,",",ElipseTabla!H16)</f>
        <v>98.7878787878788,30.0040816326956</v>
      </c>
      <c r="B310" s="1" t="str">
        <f t="shared" si="6"/>
        <v>POINT 98.7878787878788,30.0040816326956</v>
      </c>
    </row>
    <row r="311" spans="1:2" x14ac:dyDescent="0.6">
      <c r="A311" s="1" t="str">
        <f>_xlfn.CONCAT(ElipseTabla!$F17,",",ElipseTabla!H17)</f>
        <v>98.1818181818182,30.0091848454901</v>
      </c>
      <c r="B311" s="1" t="str">
        <f t="shared" si="6"/>
        <v>POINT 98.1818181818182,30.0091848454901</v>
      </c>
    </row>
    <row r="312" spans="1:2" x14ac:dyDescent="0.6">
      <c r="A312" s="1" t="str">
        <f>_xlfn.CONCAT(ElipseTabla!$F18,",",ElipseTabla!H18)</f>
        <v>97.5757575757576,30.0163315327838</v>
      </c>
      <c r="B312" s="1" t="str">
        <f t="shared" si="6"/>
        <v>POINT 97.5757575757576,30.0163315327838</v>
      </c>
    </row>
    <row r="313" spans="1:2" x14ac:dyDescent="0.6">
      <c r="A313" s="1" t="str">
        <f>_xlfn.CONCAT(ElipseTabla!$F19,",",ElipseTabla!H19)</f>
        <v>96.969696969697,30.0255238879866</v>
      </c>
      <c r="B313" s="1" t="str">
        <f t="shared" si="6"/>
        <v>POINT 96.969696969697,30.0255238879866</v>
      </c>
    </row>
    <row r="314" spans="1:2" x14ac:dyDescent="0.6">
      <c r="A314" s="1" t="str">
        <f>_xlfn.CONCAT(ElipseTabla!$F20,",",ElipseTabla!H20)</f>
        <v>96.3636363636363,30.036764736969</v>
      </c>
      <c r="B314" s="1" t="str">
        <f t="shared" si="6"/>
        <v>POINT 96.3636363636363,30.036764736969</v>
      </c>
    </row>
    <row r="315" spans="1:2" x14ac:dyDescent="0.6">
      <c r="A315" s="1" t="str">
        <f>_xlfn.CONCAT(ElipseTabla!$F21,",",ElipseTabla!H21)</f>
        <v>95.7575757575757,30.0500575424186</v>
      </c>
      <c r="B315" s="1" t="str">
        <f t="shared" si="6"/>
        <v>POINT 95.7575757575757,30.0500575424186</v>
      </c>
    </row>
    <row r="316" spans="1:2" x14ac:dyDescent="0.6">
      <c r="A316" s="1" t="str">
        <f>_xlfn.CONCAT(ElipseTabla!$F22,",",ElipseTabla!H22)</f>
        <v>95.1515151515151,30.065406409198</v>
      </c>
      <c r="B316" s="1" t="str">
        <f t="shared" si="6"/>
        <v>POINT 95.1515151515151,30.065406409198</v>
      </c>
    </row>
    <row r="317" spans="1:2" x14ac:dyDescent="0.6">
      <c r="A317" s="1" t="str">
        <f>_xlfn.CONCAT(ElipseTabla!$F23,",",ElipseTabla!H23)</f>
        <v>94.5454545454545,30.0828160907212</v>
      </c>
      <c r="B317" s="1" t="str">
        <f t="shared" si="6"/>
        <v>POINT 94.5454545454545,30.0828160907212</v>
      </c>
    </row>
    <row r="318" spans="1:2" x14ac:dyDescent="0.6">
      <c r="A318" s="1" t="str">
        <f>_xlfn.CONCAT(ElipseTabla!$F24,",",ElipseTabla!H24)</f>
        <v>93.9393939393939,30.1022919963738</v>
      </c>
      <c r="B318" s="1" t="str">
        <f t="shared" si="6"/>
        <v>POINT 93.9393939393939,30.1022919963738</v>
      </c>
    </row>
    <row r="319" spans="1:2" x14ac:dyDescent="0.6">
      <c r="A319" s="1" t="str">
        <f>_xlfn.CONCAT(ElipseTabla!$F25,",",ElipseTabla!H25)</f>
        <v>93.3333333333333,30.1238402000019</v>
      </c>
      <c r="B319" s="1" t="str">
        <f t="shared" si="6"/>
        <v>POINT 93.3333333333333,30.1238402000019</v>
      </c>
    </row>
    <row r="320" spans="1:2" x14ac:dyDescent="0.6">
      <c r="A320" s="1" t="str">
        <f>_xlfn.CONCAT(ElipseTabla!$F26,",",ElipseTabla!H26)</f>
        <v>92.7272727272727,30.147467449504</v>
      </c>
      <c r="B320" s="1" t="str">
        <f t="shared" si="6"/>
        <v>POINT 92.7272727272727,30.147467449504</v>
      </c>
    </row>
    <row r="321" spans="1:2" x14ac:dyDescent="0.6">
      <c r="A321" s="1" t="str">
        <f>_xlfn.CONCAT(ElipseTabla!$F27,",",ElipseTabla!H27)</f>
        <v>92.1212121212121,30.1731811775591</v>
      </c>
      <c r="B321" s="1" t="str">
        <f t="shared" si="6"/>
        <v>POINT 92.1212121212121,30.1731811775591</v>
      </c>
    </row>
    <row r="322" spans="1:2" x14ac:dyDescent="0.6">
      <c r="A322" s="1" t="str">
        <f>_xlfn.CONCAT(ElipseTabla!$F28,",",ElipseTabla!H28)</f>
        <v>91.5151515151515,30.2009895135327</v>
      </c>
      <c r="B322" s="1" t="str">
        <f t="shared" si="6"/>
        <v>POINT 91.5151515151515,30.2009895135327</v>
      </c>
    </row>
    <row r="323" spans="1:2" x14ac:dyDescent="0.6">
      <c r="A323" s="1" t="str">
        <f>_xlfn.CONCAT(ElipseTabla!$F29,",",ElipseTabla!H29)</f>
        <v>90.9090909090909,30.2309012966059</v>
      </c>
      <c r="B323" s="1" t="str">
        <f t="shared" si="6"/>
        <v>POINT 90.9090909090909,30.2309012966059</v>
      </c>
    </row>
    <row r="324" spans="1:2" x14ac:dyDescent="0.6">
      <c r="A324" s="1" t="str">
        <f>_xlfn.CONCAT(ElipseTabla!$F30,",",ElipseTabla!H30)</f>
        <v>90.3030303030303,30.2629260901778</v>
      </c>
      <c r="B324" s="1" t="str">
        <f t="shared" si="6"/>
        <v>POINT 90.3030303030303,30.2629260901778</v>
      </c>
    </row>
    <row r="325" spans="1:2" x14ac:dyDescent="0.6">
      <c r="A325" s="1" t="str">
        <f>_xlfn.CONCAT(ElipseTabla!$F31,",",ElipseTabla!H31)</f>
        <v>89.6969696969696,30.2970741975974</v>
      </c>
      <c r="B325" s="1" t="str">
        <f t="shared" si="6"/>
        <v>POINT 89.6969696969696,30.2970741975974</v>
      </c>
    </row>
    <row r="326" spans="1:2" x14ac:dyDescent="0.6">
      <c r="A326" s="1" t="str">
        <f>_xlfn.CONCAT(ElipseTabla!$F32,",",ElipseTabla!H32)</f>
        <v>89.090909090909,30.3333566792873</v>
      </c>
      <c r="B326" s="1" t="str">
        <f t="shared" si="6"/>
        <v>POINT 89.090909090909,30.3333566792873</v>
      </c>
    </row>
    <row r="327" spans="1:2" x14ac:dyDescent="0.6">
      <c r="A327" s="1" t="str">
        <f>_xlfn.CONCAT(ElipseTabla!$F33,",",ElipseTabla!H33)</f>
        <v>88.4848484848484,30.3717853713275</v>
      </c>
      <c r="B327" s="1" t="str">
        <f t="shared" si="6"/>
        <v>POINT 88.4848484848484,30.3717853713275</v>
      </c>
    </row>
    <row r="328" spans="1:2" x14ac:dyDescent="0.6">
      <c r="A328" s="1" t="str">
        <f>_xlfn.CONCAT(ElipseTabla!$F34,",",ElipseTabla!H34)</f>
        <v>87.8787878787878,30.4123729055741</v>
      </c>
      <c r="B328" s="1" t="str">
        <f t="shared" si="6"/>
        <v>POINT 87.8787878787878,30.4123729055741</v>
      </c>
    </row>
    <row r="329" spans="1:2" x14ac:dyDescent="0.6">
      <c r="A329" s="1" t="str">
        <f>_xlfn.CONCAT(ElipseTabla!$F35,",",ElipseTabla!H35)</f>
        <v>87.2727272727272,30.4551327313975</v>
      </c>
      <c r="B329" s="1" t="str">
        <f t="shared" si="6"/>
        <v>POINT 87.2727272727272,30.4551327313975</v>
      </c>
    </row>
    <row r="330" spans="1:2" x14ac:dyDescent="0.6">
      <c r="A330" s="1" t="str">
        <f>_xlfn.CONCAT(ElipseTabla!$F36,",",ElipseTabla!H36)</f>
        <v>86.6666666666666,30.5000791391286</v>
      </c>
      <c r="B330" s="1" t="str">
        <f t="shared" si="6"/>
        <v>POINT 86.6666666666666,30.5000791391286</v>
      </c>
    </row>
    <row r="331" spans="1:2" x14ac:dyDescent="0.6">
      <c r="A331" s="1" t="str">
        <f>_xlfn.CONCAT(ElipseTabla!$F37,",",ElipseTabla!H37)</f>
        <v>86.060606060606,30.547227285316</v>
      </c>
      <c r="B331" s="1" t="str">
        <f t="shared" si="6"/>
        <v>POINT 86.060606060606,30.547227285316</v>
      </c>
    </row>
    <row r="332" spans="1:2" x14ac:dyDescent="0.6">
      <c r="A332" s="1" t="str">
        <f>_xlfn.CONCAT(ElipseTabla!$F38,",",ElipseTabla!H38)</f>
        <v>85.4545454545454,30.5965932199005</v>
      </c>
      <c r="B332" s="1" t="str">
        <f t="shared" si="6"/>
        <v>POINT 85.4545454545454,30.5965932199005</v>
      </c>
    </row>
    <row r="333" spans="1:2" x14ac:dyDescent="0.6">
      <c r="A333" s="1" t="str">
        <f>_xlfn.CONCAT(ElipseTabla!$F39,",",ElipseTabla!H39)</f>
        <v>84.8484848484848,30.6481939154294</v>
      </c>
      <c r="B333" s="1" t="str">
        <f t="shared" si="6"/>
        <v>POINT 84.8484848484848,30.6481939154294</v>
      </c>
    </row>
    <row r="334" spans="1:2" x14ac:dyDescent="0.6">
      <c r="A334" s="1" t="str">
        <f>_xlfn.CONCAT(ElipseTabla!$F40,",",ElipseTabla!H40)</f>
        <v>84.2424242424242,30.7020472984416</v>
      </c>
      <c r="B334" s="1" t="str">
        <f t="shared" si="6"/>
        <v>POINT 84.2424242424242,30.7020472984416</v>
      </c>
    </row>
    <row r="335" spans="1:2" x14ac:dyDescent="0.6">
      <c r="A335" s="1" t="str">
        <f>_xlfn.CONCAT(ElipseTabla!$F41,",",ElipseTabla!H41)</f>
        <v>83.6363636363636,30.7581722831666</v>
      </c>
      <c r="B335" s="1" t="str">
        <f t="shared" si="6"/>
        <v>POINT 83.6363636363636,30.7581722831666</v>
      </c>
    </row>
    <row r="336" spans="1:2" x14ac:dyDescent="0.6">
      <c r="A336" s="1" t="str">
        <f>_xlfn.CONCAT(ElipseTabla!$F42,",",ElipseTabla!H42)</f>
        <v>83.0303030303029,30.8165888076974</v>
      </c>
      <c r="B336" s="1" t="str">
        <f t="shared" si="6"/>
        <v>POINT 83.0303030303029,30.8165888076974</v>
      </c>
    </row>
    <row r="337" spans="1:2" x14ac:dyDescent="0.6">
      <c r="A337" s="1" t="str">
        <f>_xlfn.CONCAT(ElipseTabla!$F43,",",ElipseTabla!H43)</f>
        <v>82.4242424242423,30.8773178728093</v>
      </c>
      <c r="B337" s="1" t="str">
        <f t="shared" si="6"/>
        <v>POINT 82.4242424242423,30.8773178728093</v>
      </c>
    </row>
    <row r="338" spans="1:2" x14ac:dyDescent="0.6">
      <c r="A338" s="1" t="str">
        <f>_xlfn.CONCAT(ElipseTabla!$F44,",",ElipseTabla!H44)</f>
        <v>81.8181818181817,30.9403815836165</v>
      </c>
      <c r="B338" s="1" t="str">
        <f t="shared" si="6"/>
        <v>POINT 81.8181818181817,30.9403815836165</v>
      </c>
    </row>
    <row r="339" spans="1:2" x14ac:dyDescent="0.6">
      <c r="A339" s="1" t="str">
        <f>_xlfn.CONCAT(ElipseTabla!$F45,",",ElipseTabla!H45)</f>
        <v>81.2121212121211,31.0058031942737</v>
      </c>
      <c r="B339" s="1" t="str">
        <f t="shared" si="6"/>
        <v>POINT 81.2121212121211,31.0058031942737</v>
      </c>
    </row>
    <row r="340" spans="1:2" x14ac:dyDescent="0.6">
      <c r="A340" s="1" t="str">
        <f>_xlfn.CONCAT(ElipseTabla!$F46,",",ElipseTabla!H46)</f>
        <v>80.6060606060605,31.0736071559546</v>
      </c>
      <c r="B340" s="1" t="str">
        <f t="shared" si="6"/>
        <v>POINT 80.6060606060605,31.0736071559546</v>
      </c>
    </row>
    <row r="341" spans="1:2" x14ac:dyDescent="0.6">
      <c r="A341" s="1" t="str">
        <f>_xlfn.CONCAT(ElipseTabla!$F47,",",ElipseTabla!H47)</f>
        <v>79.9999999999999,31.1438191683587</v>
      </c>
      <c r="B341" s="1" t="str">
        <f t="shared" si="6"/>
        <v>POINT 79.9999999999999,31.1438191683587</v>
      </c>
    </row>
    <row r="342" spans="1:2" x14ac:dyDescent="0.6">
      <c r="A342" s="1" t="str">
        <f>_xlfn.CONCAT(ElipseTabla!$F48,",",ElipseTabla!H48)</f>
        <v>79.3939393939393,31.2164662350257</v>
      </c>
      <c r="B342" s="1" t="str">
        <f t="shared" si="6"/>
        <v>POINT 79.3939393939393,31.2164662350257</v>
      </c>
    </row>
    <row r="343" spans="1:2" x14ac:dyDescent="0.6">
      <c r="A343" s="1" t="str">
        <f>_xlfn.CONCAT(ElipseTabla!$F49,",",ElipseTabla!H49)</f>
        <v>78.7878787878787,31.2915767227633</v>
      </c>
      <c r="B343" s="1" t="str">
        <f t="shared" si="6"/>
        <v>POINT 78.7878787878787,31.2915767227633</v>
      </c>
    </row>
    <row r="344" spans="1:2" x14ac:dyDescent="0.6">
      <c r="A344" s="1" t="str">
        <f>_xlfn.CONCAT(ElipseTabla!$F50,",",ElipseTabla!H50)</f>
        <v>78.1818181818181,31.369180425528</v>
      </c>
      <c r="B344" s="1" t="str">
        <f t="shared" si="6"/>
        <v>POINT 78.1818181818181,31.369180425528</v>
      </c>
    </row>
    <row r="345" spans="1:2" x14ac:dyDescent="0.6">
      <c r="A345" s="1" t="str">
        <f>_xlfn.CONCAT(ElipseTabla!$F51,",",ElipseTabla!H51)</f>
        <v>77.5757575757575,31.4493086331329</v>
      </c>
      <c r="B345" s="1" t="str">
        <f t="shared" si="6"/>
        <v>POINT 77.5757575757575,31.4493086331329</v>
      </c>
    </row>
    <row r="346" spans="1:2" x14ac:dyDescent="0.6">
      <c r="A346" s="1" t="str">
        <f>_xlfn.CONCAT(ElipseTabla!$F52,",",ElipseTabla!H52)</f>
        <v>76.9696969696969,31.5319942051954</v>
      </c>
      <c r="B346" s="1" t="str">
        <f t="shared" si="6"/>
        <v>POINT 76.9696969696969,31.5319942051954</v>
      </c>
    </row>
    <row r="347" spans="1:2" x14ac:dyDescent="0.6">
      <c r="A347" s="1" t="str">
        <f>_xlfn.CONCAT(ElipseTabla!$F53,",",ElipseTabla!H53)</f>
        <v>76.3636363636362,31.6172716507841</v>
      </c>
      <c r="B347" s="1" t="str">
        <f t="shared" si="6"/>
        <v>POINT 76.3636363636362,31.6172716507841</v>
      </c>
    </row>
    <row r="348" spans="1:2" x14ac:dyDescent="0.6">
      <c r="A348" s="1" t="str">
        <f>_xlfn.CONCAT(ElipseTabla!$F54,",",ElipseTabla!H54)</f>
        <v>75.7575757575756,31.7051772142733</v>
      </c>
      <c r="B348" s="1" t="str">
        <f t="shared" si="6"/>
        <v>POINT 75.7575757575756,31.7051772142733</v>
      </c>
    </row>
    <row r="349" spans="1:2" x14ac:dyDescent="0.6">
      <c r="A349" s="1" t="str">
        <f>_xlfn.CONCAT(ElipseTabla!$F55,",",ElipseTabla!H55)</f>
        <v>75.151515151515,31.7957489679696</v>
      </c>
      <c r="B349" s="1" t="str">
        <f t="shared" si="6"/>
        <v>POINT 75.151515151515,31.7957489679696</v>
      </c>
    </row>
    <row r="350" spans="1:2" x14ac:dyDescent="0.6">
      <c r="A350" s="1" t="str">
        <f>_xlfn.CONCAT(ElipseTabla!$F56,",",ElipseTabla!H56)</f>
        <v>74.5454545454544,31.8890269121407</v>
      </c>
      <c r="B350" s="1" t="str">
        <f t="shared" si="6"/>
        <v>POINT 74.5454545454544,31.8890269121407</v>
      </c>
    </row>
    <row r="351" spans="1:2" x14ac:dyDescent="0.6">
      <c r="A351" s="1" t="str">
        <f>_xlfn.CONCAT(ElipseTabla!$F57,",",ElipseTabla!H57)</f>
        <v>73.9393939393938,31.9850530831451</v>
      </c>
      <c r="B351" s="1" t="str">
        <f t="shared" si="6"/>
        <v>POINT 73.9393939393938,31.9850530831451</v>
      </c>
    </row>
    <row r="352" spans="1:2" x14ac:dyDescent="0.6">
      <c r="A352" s="1" t="str">
        <f>_xlfn.CONCAT(ElipseTabla!$F58,",",ElipseTabla!H58)</f>
        <v>73.3333333333332,32.0838716704477</v>
      </c>
      <c r="B352" s="1" t="str">
        <f t="shared" si="6"/>
        <v>POINT 73.3333333333332,32.0838716704477</v>
      </c>
    </row>
    <row r="353" spans="1:2" x14ac:dyDescent="0.6">
      <c r="A353" s="1" t="str">
        <f>_xlfn.CONCAT(ElipseTabla!$F59,",",ElipseTabla!H59)</f>
        <v>72.7272727272726,32.1855291433951</v>
      </c>
      <c r="B353" s="1" t="str">
        <f t="shared" si="6"/>
        <v>POINT 72.7272727272726,32.1855291433951</v>
      </c>
    </row>
    <row r="354" spans="1:2" x14ac:dyDescent="0.6">
      <c r="A354" s="1" t="str">
        <f>_xlfn.CONCAT(ElipseTabla!$F60,",",ElipseTabla!H60)</f>
        <v>72.121212121212,32.2900743887329</v>
      </c>
      <c r="B354" s="1" t="str">
        <f t="shared" si="6"/>
        <v>POINT 72.121212121212,32.2900743887329</v>
      </c>
    </row>
    <row r="355" spans="1:2" x14ac:dyDescent="0.6">
      <c r="A355" s="1" t="str">
        <f>_xlfn.CONCAT(ElipseTabla!$F61,",",ElipseTabla!H61)</f>
        <v>71.5151515151514,32.3975588599661</v>
      </c>
      <c r="B355" s="1" t="str">
        <f t="shared" si="6"/>
        <v>POINT 71.5151515151514,32.3975588599661</v>
      </c>
    </row>
    <row r="356" spans="1:2" x14ac:dyDescent="0.6">
      <c r="A356" s="1" t="str">
        <f>_xlfn.CONCAT(ElipseTabla!$F62,",",ElipseTabla!H62)</f>
        <v>70.9090909090908,32.5080367398039</v>
      </c>
      <c r="B356" s="1" t="str">
        <f t="shared" si="6"/>
        <v>POINT 70.9090909090908,32.5080367398039</v>
      </c>
    </row>
    <row r="357" spans="1:2" x14ac:dyDescent="0.6">
      <c r="A357" s="1" t="str">
        <f>_xlfn.CONCAT(ElipseTabla!$F63,",",ElipseTabla!H63)</f>
        <v>70.3030303030302,32.6215651170856</v>
      </c>
      <c r="B357" s="1" t="str">
        <f t="shared" si="6"/>
        <v>POINT 70.3030303030302,32.6215651170856</v>
      </c>
    </row>
    <row r="358" spans="1:2" x14ac:dyDescent="0.6">
      <c r="A358" s="1" t="str">
        <f>_xlfn.CONCAT(ElipseTabla!$F64,",",ElipseTabla!H64)</f>
        <v>69.6969696969696,32.7382041797705</v>
      </c>
      <c r="B358" s="1" t="str">
        <f t="shared" si="6"/>
        <v>POINT 69.6969696969696,32.7382041797705</v>
      </c>
    </row>
    <row r="359" spans="1:2" x14ac:dyDescent="0.6">
      <c r="A359" s="1" t="str">
        <f>_xlfn.CONCAT(ElipseTabla!$F65,",",ElipseTabla!H65)</f>
        <v>69.090909090909,32.8580174257807</v>
      </c>
      <c r="B359" s="1" t="str">
        <f t="shared" si="6"/>
        <v>POINT 69.090909090909,32.8580174257807</v>
      </c>
    </row>
    <row r="360" spans="1:2" x14ac:dyDescent="0.6">
      <c r="A360" s="1" t="str">
        <f>_xlfn.CONCAT(ElipseTabla!$F66,",",ElipseTabla!H66)</f>
        <v>68.4848484848484,32.9810718937315</v>
      </c>
      <c r="B360" s="1" t="str">
        <f t="shared" si="6"/>
        <v>POINT 68.4848484848484,32.9810718937315</v>
      </c>
    </row>
    <row r="361" spans="1:2" x14ac:dyDescent="0.6">
      <c r="A361" s="1" t="str">
        <f>_xlfn.CONCAT(ElipseTabla!$F67,",",ElipseTabla!H67)</f>
        <v>67.8787878787878,33.1074384158652</v>
      </c>
      <c r="B361" s="1" t="str">
        <f t="shared" si="6"/>
        <v>POINT 67.8787878787878,33.1074384158652</v>
      </c>
    </row>
    <row r="362" spans="1:2" x14ac:dyDescent="0.6">
      <c r="A362" s="1" t="str">
        <f>_xlfn.CONCAT(ElipseTabla!$F68,",",ElipseTabla!H68)</f>
        <v>67.2727272727272,33.2371918958311</v>
      </c>
      <c r="B362" s="1" t="str">
        <f t="shared" si="6"/>
        <v>POINT 67.2727272727272,33.2371918958311</v>
      </c>
    </row>
    <row r="363" spans="1:2" x14ac:dyDescent="0.6">
      <c r="A363" s="1" t="str">
        <f>_xlfn.CONCAT(ElipseTabla!$F69,",",ElipseTabla!H69)</f>
        <v>66.6666666666666,33.3704116143381</v>
      </c>
      <c r="B363" s="1" t="str">
        <f t="shared" si="6"/>
        <v>POINT 66.6666666666666,33.3704116143381</v>
      </c>
    </row>
    <row r="364" spans="1:2" x14ac:dyDescent="0.6">
      <c r="A364" s="1" t="str">
        <f>_xlfn.CONCAT(ElipseTabla!$F70,",",ElipseTabla!H70)</f>
        <v>66.060606060606,33.5071815661529</v>
      </c>
      <c r="B364" s="1" t="str">
        <f t="shared" si="6"/>
        <v>POINT 66.060606060606,33.5071815661529</v>
      </c>
    </row>
    <row r="365" spans="1:2" x14ac:dyDescent="0.6">
      <c r="A365" s="1" t="str">
        <f>_xlfn.CONCAT(ElipseTabla!$F71,",",ElipseTabla!H71)</f>
        <v>65.4545454545454,33.647590832446</v>
      </c>
      <c r="B365" s="1" t="str">
        <f t="shared" si="6"/>
        <v>POINT 65.4545454545454,33.647590832446</v>
      </c>
    </row>
    <row r="366" spans="1:2" x14ac:dyDescent="0.6">
      <c r="A366" s="1" t="str">
        <f>_xlfn.CONCAT(ElipseTabla!$F72,",",ElipseTabla!H72)</f>
        <v>64.8484848484848,33.7917339931037</v>
      </c>
      <c r="B366" s="1" t="str">
        <f t="shared" si="6"/>
        <v>POINT 64.8484848484848,33.7917339931037</v>
      </c>
    </row>
    <row r="367" spans="1:2" x14ac:dyDescent="0.6">
      <c r="A367" s="1" t="str">
        <f>_xlfn.CONCAT(ElipseTabla!$F73,",",ElipseTabla!H73)</f>
        <v>64.2424242424242,33.9397115843622</v>
      </c>
      <c r="B367" s="1" t="str">
        <f t="shared" si="6"/>
        <v>POINT 64.2424242424242,33.9397115843622</v>
      </c>
    </row>
    <row r="368" spans="1:2" x14ac:dyDescent="0.6">
      <c r="A368" s="1" t="str">
        <f>_xlfn.CONCAT(ElipseTabla!$F74,",",ElipseTabla!H74)</f>
        <v>63.6363636363637,34.0916306079919</v>
      </c>
      <c r="B368" s="1" t="str">
        <f t="shared" si="6"/>
        <v>POINT 63.6363636363637,34.0916306079919</v>
      </c>
    </row>
    <row r="369" spans="1:2" x14ac:dyDescent="0.6">
      <c r="A369" s="1" t="str">
        <f>_xlfn.CONCAT(ElipseTabla!$F75,",",ElipseTabla!H75)</f>
        <v>63.0303030303031,34.2476050992986</v>
      </c>
      <c r="B369" s="1" t="str">
        <f t="shared" si="6"/>
        <v>POINT 63.0303030303031,34.2476050992986</v>
      </c>
    </row>
    <row r="370" spans="1:2" x14ac:dyDescent="0.6">
      <c r="A370" s="1" t="str">
        <f>_xlfn.CONCAT(ElipseTabla!$F76,",",ElipseTabla!H76)</f>
        <v>62.4242424242425,34.4077567624586</v>
      </c>
      <c r="B370" s="1" t="str">
        <f t="shared" si="6"/>
        <v>POINT 62.4242424242425,34.4077567624586</v>
      </c>
    </row>
    <row r="371" spans="1:2" x14ac:dyDescent="0.6">
      <c r="A371" s="1" t="str">
        <f>_xlfn.CONCAT(ElipseTabla!$F77,",",ElipseTabla!H77)</f>
        <v>61.8181818181819,34.5722156832026</v>
      </c>
      <c r="B371" s="1" t="str">
        <f t="shared" si="6"/>
        <v>POINT 61.8181818181819,34.5722156832026</v>
      </c>
    </row>
    <row r="372" spans="1:2" x14ac:dyDescent="0.6">
      <c r="A372" s="1" t="str">
        <f>_xlfn.CONCAT(ElipseTabla!$F78,",",ElipseTabla!H78)</f>
        <v>61.2121212121213,34.7411211306814</v>
      </c>
      <c r="B372" s="1" t="str">
        <f t="shared" ref="B372:B407" si="7">_xlfn.CONCAT("POINT ",A372)</f>
        <v>POINT 61.2121212121213,34.7411211306814</v>
      </c>
    </row>
    <row r="373" spans="1:2" x14ac:dyDescent="0.6">
      <c r="A373" s="1" t="str">
        <f>_xlfn.CONCAT(ElipseTabla!$F79,",",ElipseTabla!H79)</f>
        <v>60.6060606060607,34.9146224625499</v>
      </c>
      <c r="B373" s="1" t="str">
        <f t="shared" si="7"/>
        <v>POINT 60.6060606060607,34.9146224625499</v>
      </c>
    </row>
    <row r="374" spans="1:2" x14ac:dyDescent="0.6">
      <c r="A374" s="1" t="str">
        <f>_xlfn.CONCAT(ElipseTabla!$F80,",",ElipseTabla!H80)</f>
        <v>60.0000000000001,35.0928801500014</v>
      </c>
      <c r="B374" s="1" t="str">
        <f t="shared" si="7"/>
        <v>POINT 60.0000000000001,35.0928801500014</v>
      </c>
    </row>
    <row r="375" spans="1:2" x14ac:dyDescent="0.6">
      <c r="A375" s="1" t="str">
        <f>_xlfn.CONCAT(ElipseTabla!$F81,",",ElipseTabla!H81)</f>
        <v>59.3939393939395,35.2760669427971</v>
      </c>
      <c r="B375" s="1" t="str">
        <f t="shared" si="7"/>
        <v>POINT 59.3939393939395,35.2760669427971</v>
      </c>
    </row>
    <row r="376" spans="1:2" x14ac:dyDescent="0.6">
      <c r="A376" s="1" t="str">
        <f>_xlfn.CONCAT(ElipseTabla!$F82,",",ElipseTabla!H82)</f>
        <v>58.7878787878789,35.4643691984243</v>
      </c>
      <c r="B376" s="1" t="str">
        <f t="shared" si="7"/>
        <v>POINT 58.7878787878789,35.4643691984243</v>
      </c>
    </row>
    <row r="377" spans="1:2" x14ac:dyDescent="0.6">
      <c r="A377" s="1" t="str">
        <f>_xlfn.CONCAT(ElipseTabla!$F83,",",ElipseTabla!H83)</f>
        <v>58.1818181818183,35.657988404607</v>
      </c>
      <c r="B377" s="1" t="str">
        <f t="shared" si="7"/>
        <v>POINT 58.1818181818183,35.657988404607</v>
      </c>
    </row>
    <row r="378" spans="1:2" x14ac:dyDescent="0.6">
      <c r="A378" s="1" t="str">
        <f>_xlfn.CONCAT(ElipseTabla!$F84,",",ElipseTabla!H84)</f>
        <v>57.5757575757577,35.8571429307578</v>
      </c>
      <c r="B378" s="1" t="str">
        <f t="shared" si="7"/>
        <v>POINT 57.5757575757577,35.8571429307578</v>
      </c>
    </row>
    <row r="379" spans="1:2" x14ac:dyDescent="0.6">
      <c r="A379" s="1" t="str">
        <f>_xlfn.CONCAT(ElipseTabla!$F85,",",ElipseTabla!H85)</f>
        <v>56.9696969696971,36.0620700519916</v>
      </c>
      <c r="B379" s="1" t="str">
        <f t="shared" si="7"/>
        <v>POINT 56.9696969696971,36.0620700519916</v>
      </c>
    </row>
    <row r="380" spans="1:2" x14ac:dyDescent="0.6">
      <c r="A380" s="1" t="str">
        <f>_xlfn.CONCAT(ElipseTabla!$F86,",",ElipseTabla!H86)</f>
        <v>56.3636363636365,36.2730282995077</v>
      </c>
      <c r="B380" s="1" t="str">
        <f t="shared" si="7"/>
        <v>POINT 56.3636363636365,36.2730282995077</v>
      </c>
    </row>
    <row r="381" spans="1:2" x14ac:dyDescent="0.6">
      <c r="A381" s="1" t="str">
        <f>_xlfn.CONCAT(ElipseTabla!$F87,",",ElipseTabla!H87)</f>
        <v>55.7575757575759,36.4903002042016</v>
      </c>
      <c r="B381" s="1" t="str">
        <f t="shared" si="7"/>
        <v>POINT 55.7575757575759,36.4903002042016</v>
      </c>
    </row>
    <row r="382" spans="1:2" x14ac:dyDescent="0.6">
      <c r="A382" s="1" t="str">
        <f>_xlfn.CONCAT(ElipseTabla!$F88,",",ElipseTabla!H88)</f>
        <v>55.1515151515153,36.7141955172061</v>
      </c>
      <c r="B382" s="1" t="str">
        <f t="shared" si="7"/>
        <v>POINT 55.1515151515153,36.7141955172061</v>
      </c>
    </row>
    <row r="383" spans="1:2" x14ac:dyDescent="0.6">
      <c r="A383" s="1" t="str">
        <f>_xlfn.CONCAT(ElipseTabla!$F89,",",ElipseTabla!H89)</f>
        <v>54.5454545454547,36.9450550130072</v>
      </c>
      <c r="B383" s="1" t="str">
        <f t="shared" si="7"/>
        <v>POINT 54.5454545454547,36.9450550130072</v>
      </c>
    </row>
    <row r="384" spans="1:2" x14ac:dyDescent="0.6">
      <c r="A384" s="1" t="str">
        <f>_xlfn.CONCAT(ElipseTabla!$F90,",",ElipseTabla!H90)</f>
        <v>53.9393939393941,37.1832550096469</v>
      </c>
      <c r="B384" s="1" t="str">
        <f t="shared" si="7"/>
        <v>POINT 53.9393939393941,37.1832550096469</v>
      </c>
    </row>
    <row r="385" spans="1:2" x14ac:dyDescent="0.6">
      <c r="A385" s="1" t="str">
        <f>_xlfn.CONCAT(ElipseTabla!$F91,",",ElipseTabla!H91)</f>
        <v>53.3333333333335,37.4292127789057</v>
      </c>
      <c r="B385" s="1" t="str">
        <f t="shared" si="7"/>
        <v>POINT 53.3333333333335,37.4292127789057</v>
      </c>
    </row>
    <row r="386" spans="1:2" x14ac:dyDescent="0.6">
      <c r="A386" s="1" t="str">
        <f>_xlfn.CONCAT(ElipseTabla!$F92,",",ElipseTabla!H92)</f>
        <v>52.7272727272729,37.6833930709686</v>
      </c>
      <c r="B386" s="1" t="str">
        <f t="shared" si="7"/>
        <v>POINT 52.7272727272729,37.6833930709686</v>
      </c>
    </row>
    <row r="387" spans="1:2" x14ac:dyDescent="0.6">
      <c r="A387" s="1" t="str">
        <f>_xlfn.CONCAT(ElipseTabla!$F93,",",ElipseTabla!H93)</f>
        <v>52.1212121212124,37.9463160483423</v>
      </c>
      <c r="B387" s="1" t="str">
        <f t="shared" si="7"/>
        <v>POINT 52.1212121212124,37.9463160483423</v>
      </c>
    </row>
    <row r="388" spans="1:2" x14ac:dyDescent="0.6">
      <c r="A388" s="1" t="str">
        <f>_xlfn.CONCAT(ElipseTabla!$F94,",",ElipseTabla!H94)</f>
        <v>51.5151515151518,38.2185670207487</v>
      </c>
      <c r="B388" s="1" t="str">
        <f t="shared" si="7"/>
        <v>POINT 51.5151515151518,38.2185670207487</v>
      </c>
    </row>
    <row r="389" spans="1:2" x14ac:dyDescent="0.6">
      <c r="A389" s="1" t="str">
        <f>_xlfn.CONCAT(ElipseTabla!$F95,",",ElipseTabla!H95)</f>
        <v>50.9090909090912,38.5008085084785</v>
      </c>
      <c r="B389" s="1" t="str">
        <f t="shared" si="7"/>
        <v>POINT 50.9090909090912,38.5008085084785</v>
      </c>
    </row>
    <row r="390" spans="1:2" x14ac:dyDescent="0.6">
      <c r="A390" s="1" t="str">
        <f>_xlfn.CONCAT(ElipseTabla!$F96,",",ElipseTabla!H96)</f>
        <v>50.3030303030306,38.7937953548616</v>
      </c>
      <c r="B390" s="1" t="str">
        <f t="shared" si="7"/>
        <v>POINT 50.3030303030306,38.7937953548616</v>
      </c>
    </row>
    <row r="391" spans="1:2" x14ac:dyDescent="0.6">
      <c r="A391" s="1" t="str">
        <f>_xlfn.CONCAT(ElipseTabla!$F97,",",ElipseTabla!H97)</f>
        <v>49.69696969697,39.0983938882972</v>
      </c>
      <c r="B391" s="1" t="str">
        <f t="shared" si="7"/>
        <v>POINT 49.69696969697,39.0983938882972</v>
      </c>
    </row>
    <row r="392" spans="1:2" x14ac:dyDescent="0.6">
      <c r="A392" s="1" t="str">
        <f>_xlfn.CONCAT(ElipseTabla!$F98,",",ElipseTabla!H98)</f>
        <v>49.0909090909094,39.4156065475314</v>
      </c>
      <c r="B392" s="1" t="str">
        <f t="shared" si="7"/>
        <v>POINT 49.0909090909094,39.4156065475314</v>
      </c>
    </row>
    <row r="393" spans="1:2" x14ac:dyDescent="0.6">
      <c r="A393" s="1" t="str">
        <f>_xlfn.CONCAT(ElipseTabla!$F99,",",ElipseTabla!H99)</f>
        <v>48.4848484848488,39.7466040077174</v>
      </c>
      <c r="B393" s="1" t="str">
        <f t="shared" si="7"/>
        <v>POINT 48.4848484848488,39.7466040077174</v>
      </c>
    </row>
    <row r="394" spans="1:2" x14ac:dyDescent="0.6">
      <c r="A394" s="1" t="str">
        <f>_xlfn.CONCAT(ElipseTabla!$F100,",",ElipseTabla!H100)</f>
        <v>47.8787878787882,40.0927678099075</v>
      </c>
      <c r="B394" s="1" t="str">
        <f t="shared" si="7"/>
        <v>POINT 47.8787878787882,40.0927678099075</v>
      </c>
    </row>
    <row r="395" spans="1:2" x14ac:dyDescent="0.6">
      <c r="A395" s="1" t="str">
        <f>_xlfn.CONCAT(ElipseTabla!$F101,",",ElipseTabla!H101)</f>
        <v>47.2727272727276,40.4557480315006</v>
      </c>
      <c r="B395" s="1" t="str">
        <f t="shared" si="7"/>
        <v>POINT 47.2727272727276,40.4557480315006</v>
      </c>
    </row>
    <row r="396" spans="1:2" x14ac:dyDescent="0.6">
      <c r="A396" s="1" t="str">
        <f>_xlfn.CONCAT(ElipseTabla!$F102,",",ElipseTabla!H102)</f>
        <v>46.666666666667,40.8375430541828</v>
      </c>
      <c r="B396" s="1" t="str">
        <f t="shared" si="7"/>
        <v>POINT 46.666666666667,40.8375430541828</v>
      </c>
    </row>
    <row r="397" spans="1:2" x14ac:dyDescent="0.6">
      <c r="A397" s="1" t="str">
        <f>_xlfn.CONCAT(ElipseTabla!$F103,",",ElipseTabla!H103)</f>
        <v>46.0606060606064,41.2406127722508</v>
      </c>
      <c r="B397" s="1" t="str">
        <f t="shared" si="7"/>
        <v>POINT 46.0606060606064,41.2406127722508</v>
      </c>
    </row>
    <row r="398" spans="1:2" x14ac:dyDescent="0.6">
      <c r="A398" s="1" t="str">
        <f>_xlfn.CONCAT(ElipseTabla!$F104,",",ElipseTabla!H104)</f>
        <v>45.4545454545458,41.6680441909891</v>
      </c>
      <c r="B398" s="1" t="str">
        <f t="shared" si="7"/>
        <v>POINT 45.4545454545458,41.6680441909891</v>
      </c>
    </row>
    <row r="399" spans="1:2" x14ac:dyDescent="0.6">
      <c r="A399" s="1" t="str">
        <f>_xlfn.CONCAT(ElipseTabla!$F105,",",ElipseTabla!H105)</f>
        <v>44.8484848484852,42.123802549649</v>
      </c>
      <c r="B399" s="1" t="str">
        <f t="shared" si="7"/>
        <v>POINT 44.8484848484852,42.123802549649</v>
      </c>
    </row>
    <row r="400" spans="1:2" x14ac:dyDescent="0.6">
      <c r="A400" s="1" t="str">
        <f>_xlfn.CONCAT(ElipseTabla!$F106,",",ElipseTabla!H106)</f>
        <v>44.2424242424246,42.6131291722089</v>
      </c>
      <c r="B400" s="1" t="str">
        <f t="shared" si="7"/>
        <v>POINT 44.2424242424246,42.6131291722089</v>
      </c>
    </row>
    <row r="401" spans="1:2" x14ac:dyDescent="0.6">
      <c r="A401" s="1" t="str">
        <f>_xlfn.CONCAT(ElipseTabla!$F107,",",ElipseTabla!H107)</f>
        <v>43.636363636364,43.1432069703119</v>
      </c>
      <c r="B401" s="1" t="str">
        <f t="shared" si="7"/>
        <v>POINT 43.636363636364,43.1432069703119</v>
      </c>
    </row>
    <row r="402" spans="1:2" x14ac:dyDescent="0.6">
      <c r="A402" s="1" t="str">
        <f>_xlfn.CONCAT(ElipseTabla!$F108,",",ElipseTabla!H108)</f>
        <v>43.0303030303034,43.724353710299</v>
      </c>
      <c r="B402" s="1" t="str">
        <f t="shared" si="7"/>
        <v>POINT 43.0303030303034,43.724353710299</v>
      </c>
    </row>
    <row r="403" spans="1:2" x14ac:dyDescent="0.6">
      <c r="A403" s="1" t="str">
        <f>_xlfn.CONCAT(ElipseTabla!$F109,",",ElipseTabla!H109)</f>
        <v>42.4242424242428,44.3723683728544</v>
      </c>
      <c r="B403" s="1" t="str">
        <f t="shared" si="7"/>
        <v>POINT 42.4242424242428,44.3723683728544</v>
      </c>
    </row>
    <row r="404" spans="1:2" x14ac:dyDescent="0.6">
      <c r="A404" s="1" t="str">
        <f>_xlfn.CONCAT(ElipseTabla!$F110,",",ElipseTabla!H110)</f>
        <v>41.8181818181822,45.1137831828488</v>
      </c>
      <c r="B404" s="1" t="str">
        <f t="shared" si="7"/>
        <v>POINT 41.8181818181822,45.1137831828488</v>
      </c>
    </row>
    <row r="405" spans="1:2" x14ac:dyDescent="0.6">
      <c r="A405" s="1" t="str">
        <f>_xlfn.CONCAT(ElipseTabla!$F111,",",ElipseTabla!H111)</f>
        <v>41.2121212121216,46.0002040660148</v>
      </c>
      <c r="B405" s="1" t="str">
        <f t="shared" si="7"/>
        <v>POINT 41.2121212121216,46.0002040660148</v>
      </c>
    </row>
    <row r="406" spans="1:2" x14ac:dyDescent="0.6">
      <c r="A406" s="1" t="str">
        <f>_xlfn.CONCAT(ElipseTabla!$F112,",",ElipseTabla!H112)</f>
        <v>40.606060606061,47.1645113439145</v>
      </c>
      <c r="B406" s="1" t="str">
        <f t="shared" si="7"/>
        <v>POINT 40.606060606061,47.1645113439145</v>
      </c>
    </row>
    <row r="407" spans="1:2" x14ac:dyDescent="0.6">
      <c r="A407" s="1" t="str">
        <f>_xlfn.CONCAT(ElipseTabla!$F113,",",ElipseTabla!H113)</f>
        <v>40,50</v>
      </c>
      <c r="B407" s="1" t="str">
        <f t="shared" si="7"/>
        <v>POINT 40,50</v>
      </c>
    </row>
  </sheetData>
  <sheetProtection algorithmName="SHA-512" hashValue="ic62sOGS686REBd6a+O1du90x33/djAX/sPXBQxlQLqQW5aFATuQ2t/oXwKbyhMxzdY5RTSXBX7c2ul81/aP2g==" saltValue="L8NdhpzGfjAnTFTKRLi1p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C82E-8EE5-4A42-BDFB-77A0E8DEBFAB}">
  <dimension ref="B1:K110"/>
  <sheetViews>
    <sheetView showGridLines="0" zoomScale="160" zoomScaleNormal="160" workbookViewId="0"/>
  </sheetViews>
  <sheetFormatPr defaultColWidth="10.6640625" defaultRowHeight="16.5" x14ac:dyDescent="0.6"/>
  <cols>
    <col min="1" max="1" width="2.53125" style="1" customWidth="1"/>
    <col min="2" max="2" width="7.1328125" style="23" customWidth="1"/>
    <col min="3" max="8" width="11.59765625" style="1" customWidth="1"/>
    <col min="9" max="9" width="2.796875" style="1" customWidth="1"/>
    <col min="10" max="16384" width="10.6640625" style="1"/>
  </cols>
  <sheetData>
    <row r="1" spans="2:11" x14ac:dyDescent="0.6">
      <c r="H1" s="53" t="s">
        <v>43</v>
      </c>
    </row>
    <row r="3" spans="2:11" x14ac:dyDescent="0.6">
      <c r="B3" s="61" t="s">
        <v>41</v>
      </c>
      <c r="C3" s="62"/>
      <c r="D3" s="63"/>
      <c r="E3" s="41"/>
      <c r="F3" s="9"/>
      <c r="G3" s="9"/>
      <c r="H3" s="10"/>
    </row>
    <row r="4" spans="2:11" x14ac:dyDescent="0.6">
      <c r="B4" s="64"/>
      <c r="C4" s="65"/>
      <c r="D4" s="66"/>
      <c r="E4" s="49"/>
      <c r="H4" s="11"/>
    </row>
    <row r="5" spans="2:11" x14ac:dyDescent="0.6">
      <c r="B5" s="2" t="s">
        <v>13</v>
      </c>
      <c r="C5" s="14"/>
      <c r="D5" s="45" t="s">
        <v>14</v>
      </c>
      <c r="E5" s="49"/>
      <c r="H5" s="11"/>
    </row>
    <row r="6" spans="2:11" x14ac:dyDescent="0.6">
      <c r="B6" s="15" t="s">
        <v>42</v>
      </c>
      <c r="C6" s="17"/>
      <c r="D6" s="46">
        <v>4</v>
      </c>
      <c r="E6" s="49"/>
      <c r="H6" s="11"/>
      <c r="K6"/>
    </row>
    <row r="7" spans="2:11" x14ac:dyDescent="0.6">
      <c r="B7" s="15" t="s">
        <v>1</v>
      </c>
      <c r="C7" s="17"/>
      <c r="D7" s="46">
        <v>105</v>
      </c>
      <c r="E7" s="49"/>
      <c r="H7" s="11"/>
    </row>
    <row r="8" spans="2:11" x14ac:dyDescent="0.6">
      <c r="B8" s="15" t="s">
        <v>0</v>
      </c>
      <c r="C8" s="17"/>
      <c r="D8" s="46">
        <v>68</v>
      </c>
      <c r="E8" s="49"/>
      <c r="H8" s="11"/>
    </row>
    <row r="9" spans="2:11" x14ac:dyDescent="0.6">
      <c r="B9" s="15" t="s">
        <v>12</v>
      </c>
      <c r="C9" s="17"/>
      <c r="D9" s="46">
        <v>99</v>
      </c>
      <c r="E9" s="50"/>
      <c r="F9" s="12"/>
      <c r="G9" s="12"/>
      <c r="H9" s="13"/>
    </row>
    <row r="10" spans="2:11" x14ac:dyDescent="0.6">
      <c r="B10" s="20" t="s">
        <v>15</v>
      </c>
      <c r="C10" s="4" t="s">
        <v>6</v>
      </c>
      <c r="D10" s="4" t="s">
        <v>8</v>
      </c>
      <c r="E10" s="47" t="s">
        <v>9</v>
      </c>
      <c r="F10" s="47" t="s">
        <v>7</v>
      </c>
      <c r="G10" s="47" t="s">
        <v>10</v>
      </c>
      <c r="H10" s="48" t="s">
        <v>11</v>
      </c>
      <c r="J10"/>
    </row>
    <row r="11" spans="2:11" x14ac:dyDescent="0.6">
      <c r="B11" s="21">
        <v>1</v>
      </c>
      <c r="C11" s="5">
        <v>0</v>
      </c>
      <c r="D11" s="5">
        <f t="shared" ref="D11:D42" si="0">((1-($C11/a_superelipse)^n_superelipse)^(1/n_superelipse))*b_superelipse</f>
        <v>68</v>
      </c>
      <c r="E11" s="5">
        <f>-D11</f>
        <v>-68</v>
      </c>
      <c r="F11" s="5">
        <f>C11</f>
        <v>0</v>
      </c>
      <c r="G11" s="5">
        <f>D11</f>
        <v>68</v>
      </c>
      <c r="H11" s="6">
        <f>E11</f>
        <v>-68</v>
      </c>
    </row>
    <row r="12" spans="2:11" x14ac:dyDescent="0.6">
      <c r="B12" s="21">
        <v>2</v>
      </c>
      <c r="C12" s="5">
        <f t="shared" ref="C12:C43" si="1">IF((a_superelipse/np_superelipse)+C11&gt;=a_superelipse,a_superelipse,(a_superelipse/np_superelipse)+C11)</f>
        <v>1.0606060606060606</v>
      </c>
      <c r="D12" s="5">
        <f t="shared" si="0"/>
        <v>67.999999823026542</v>
      </c>
      <c r="E12" s="5">
        <f>-D12</f>
        <v>-67.999999823026542</v>
      </c>
      <c r="F12" s="5">
        <f>(F11-(C12-C11))</f>
        <v>-1.0606060606060606</v>
      </c>
      <c r="G12" s="5">
        <f t="shared" ref="G12:H75" si="2">D12</f>
        <v>67.999999823026542</v>
      </c>
      <c r="H12" s="6">
        <f>E12</f>
        <v>-67.999999823026542</v>
      </c>
    </row>
    <row r="13" spans="2:11" x14ac:dyDescent="0.6">
      <c r="B13" s="21">
        <v>3</v>
      </c>
      <c r="C13" s="5">
        <f t="shared" si="1"/>
        <v>2.1212121212121211</v>
      </c>
      <c r="D13" s="5">
        <f t="shared" si="0"/>
        <v>67.999997168424457</v>
      </c>
      <c r="E13" s="5">
        <f>-D13</f>
        <v>-67.999997168424457</v>
      </c>
      <c r="F13" s="5">
        <f t="shared" ref="F13:F76" si="3">(F12-(C13-C12))</f>
        <v>-2.1212121212121211</v>
      </c>
      <c r="G13" s="5">
        <f t="shared" si="2"/>
        <v>67.999997168424457</v>
      </c>
      <c r="H13" s="6">
        <f t="shared" si="2"/>
        <v>-67.999997168424457</v>
      </c>
    </row>
    <row r="14" spans="2:11" x14ac:dyDescent="0.6">
      <c r="B14" s="21">
        <v>4</v>
      </c>
      <c r="C14" s="5">
        <f t="shared" si="1"/>
        <v>3.1818181818181817</v>
      </c>
      <c r="D14" s="5">
        <f t="shared" si="0"/>
        <v>67.999985665145175</v>
      </c>
      <c r="E14" s="5">
        <f t="shared" ref="E14:E75" si="4">-D14</f>
        <v>-67.999985665145175</v>
      </c>
      <c r="F14" s="5">
        <f t="shared" si="3"/>
        <v>-3.1818181818181817</v>
      </c>
      <c r="G14" s="5">
        <f t="shared" si="2"/>
        <v>67.999985665145175</v>
      </c>
      <c r="H14" s="6">
        <f>E14</f>
        <v>-67.999985665145175</v>
      </c>
    </row>
    <row r="15" spans="2:11" x14ac:dyDescent="0.6">
      <c r="B15" s="21">
        <v>5</v>
      </c>
      <c r="C15" s="5">
        <f t="shared" si="1"/>
        <v>4.2424242424242422</v>
      </c>
      <c r="D15" s="5">
        <f t="shared" si="0"/>
        <v>67.999954694748851</v>
      </c>
      <c r="E15" s="5">
        <f t="shared" si="4"/>
        <v>-67.999954694748851</v>
      </c>
      <c r="F15" s="5">
        <f t="shared" si="3"/>
        <v>-4.2424242424242422</v>
      </c>
      <c r="G15" s="5">
        <f t="shared" si="2"/>
        <v>67.999954694748851</v>
      </c>
      <c r="H15" s="6">
        <f>E15</f>
        <v>-67.999954694748851</v>
      </c>
    </row>
    <row r="16" spans="2:11" x14ac:dyDescent="0.6">
      <c r="B16" s="21">
        <v>6</v>
      </c>
      <c r="C16" s="5">
        <f t="shared" si="1"/>
        <v>5.3030303030303028</v>
      </c>
      <c r="D16" s="5">
        <f t="shared" si="0"/>
        <v>67.999889391317339</v>
      </c>
      <c r="E16" s="5">
        <f t="shared" si="4"/>
        <v>-67.999889391317339</v>
      </c>
      <c r="F16" s="5">
        <f t="shared" si="3"/>
        <v>-5.3030303030303028</v>
      </c>
      <c r="G16" s="5">
        <f t="shared" si="2"/>
        <v>67.999889391317339</v>
      </c>
      <c r="H16" s="6">
        <f>E16</f>
        <v>-67.999889391317339</v>
      </c>
    </row>
    <row r="17" spans="2:8" x14ac:dyDescent="0.6">
      <c r="B17" s="21">
        <v>7</v>
      </c>
      <c r="C17" s="5">
        <f t="shared" si="1"/>
        <v>6.3636363636363633</v>
      </c>
      <c r="D17" s="5">
        <f t="shared" si="0"/>
        <v>67.999770641234818</v>
      </c>
      <c r="E17" s="5">
        <f t="shared" si="4"/>
        <v>-67.999770641234818</v>
      </c>
      <c r="F17" s="5">
        <f t="shared" si="3"/>
        <v>-6.3636363636363633</v>
      </c>
      <c r="G17" s="5">
        <f t="shared" si="2"/>
        <v>67.999770641234818</v>
      </c>
      <c r="H17" s="6">
        <f>E17</f>
        <v>-67.999770641234818</v>
      </c>
    </row>
    <row r="18" spans="2:8" x14ac:dyDescent="0.6">
      <c r="B18" s="21">
        <v>8</v>
      </c>
      <c r="C18" s="5">
        <f t="shared" si="1"/>
        <v>7.4242424242424239</v>
      </c>
      <c r="D18" s="5">
        <f t="shared" si="0"/>
        <v>67.999575082738616</v>
      </c>
      <c r="E18" s="5">
        <f t="shared" si="4"/>
        <v>-67.999575082738616</v>
      </c>
      <c r="F18" s="5">
        <f t="shared" si="3"/>
        <v>-7.4242424242424239</v>
      </c>
      <c r="G18" s="5">
        <f t="shared" si="2"/>
        <v>67.999575082738616</v>
      </c>
      <c r="H18" s="6">
        <f t="shared" si="2"/>
        <v>-67.999575082738616</v>
      </c>
    </row>
    <row r="19" spans="2:8" x14ac:dyDescent="0.6">
      <c r="B19" s="21">
        <v>9</v>
      </c>
      <c r="C19" s="5">
        <f t="shared" si="1"/>
        <v>8.4848484848484844</v>
      </c>
      <c r="D19" s="5">
        <f t="shared" si="0"/>
        <v>67.999275105114705</v>
      </c>
      <c r="E19" s="5">
        <f t="shared" si="4"/>
        <v>-67.999275105114705</v>
      </c>
      <c r="F19" s="5">
        <f t="shared" si="3"/>
        <v>-8.4848484848484844</v>
      </c>
      <c r="G19" s="5">
        <f t="shared" si="2"/>
        <v>67.999275105114705</v>
      </c>
      <c r="H19" s="6">
        <f t="shared" si="2"/>
        <v>-67.999275105114705</v>
      </c>
    </row>
    <row r="20" spans="2:8" x14ac:dyDescent="0.6">
      <c r="B20" s="21">
        <v>10</v>
      </c>
      <c r="C20" s="5">
        <f t="shared" si="1"/>
        <v>9.545454545454545</v>
      </c>
      <c r="D20" s="5">
        <f t="shared" si="0"/>
        <v>67.998838847384846</v>
      </c>
      <c r="E20" s="5">
        <f t="shared" si="4"/>
        <v>-67.998838847384846</v>
      </c>
      <c r="F20" s="5">
        <f t="shared" si="3"/>
        <v>-9.545454545454545</v>
      </c>
      <c r="G20" s="5">
        <f t="shared" si="2"/>
        <v>67.998838847384846</v>
      </c>
      <c r="H20" s="6">
        <f t="shared" si="2"/>
        <v>-67.998838847384846</v>
      </c>
    </row>
    <row r="21" spans="2:8" x14ac:dyDescent="0.6">
      <c r="B21" s="21">
        <v>11</v>
      </c>
      <c r="C21" s="5">
        <f t="shared" si="1"/>
        <v>10.606060606060606</v>
      </c>
      <c r="D21" s="5">
        <f t="shared" si="0"/>
        <v>67.998230196303766</v>
      </c>
      <c r="E21" s="5">
        <f t="shared" si="4"/>
        <v>-67.998230196303766</v>
      </c>
      <c r="F21" s="5">
        <f t="shared" si="3"/>
        <v>-10.606060606060606</v>
      </c>
      <c r="G21" s="5">
        <f t="shared" si="2"/>
        <v>67.998230196303766</v>
      </c>
      <c r="H21" s="6">
        <f t="shared" si="2"/>
        <v>-67.998230196303766</v>
      </c>
    </row>
    <row r="22" spans="2:8" x14ac:dyDescent="0.6">
      <c r="B22" s="21">
        <v>12</v>
      </c>
      <c r="C22" s="5">
        <f t="shared" si="1"/>
        <v>11.666666666666666</v>
      </c>
      <c r="D22" s="5">
        <f t="shared" si="0"/>
        <v>67.997408783457246</v>
      </c>
      <c r="E22" s="5">
        <f t="shared" si="4"/>
        <v>-67.997408783457246</v>
      </c>
      <c r="F22" s="5">
        <f t="shared" si="3"/>
        <v>-11.666666666666666</v>
      </c>
      <c r="G22" s="5">
        <f t="shared" si="2"/>
        <v>67.997408783457246</v>
      </c>
      <c r="H22" s="6">
        <f t="shared" si="2"/>
        <v>-67.997408783457246</v>
      </c>
    </row>
    <row r="23" spans="2:8" x14ac:dyDescent="0.6">
      <c r="B23" s="21">
        <v>13</v>
      </c>
      <c r="C23" s="5">
        <f t="shared" si="1"/>
        <v>12.727272727272727</v>
      </c>
      <c r="D23" s="5">
        <f t="shared" si="0"/>
        <v>67.996329981223326</v>
      </c>
      <c r="E23" s="5">
        <f t="shared" si="4"/>
        <v>-67.996329981223326</v>
      </c>
      <c r="F23" s="5">
        <f t="shared" si="3"/>
        <v>-12.727272727272727</v>
      </c>
      <c r="G23" s="5">
        <f t="shared" si="2"/>
        <v>67.996329981223326</v>
      </c>
      <c r="H23" s="6">
        <f t="shared" si="2"/>
        <v>-67.996329981223326</v>
      </c>
    </row>
    <row r="24" spans="2:8" x14ac:dyDescent="0.6">
      <c r="B24" s="21">
        <v>14</v>
      </c>
      <c r="C24" s="5">
        <f t="shared" si="1"/>
        <v>13.787878787878787</v>
      </c>
      <c r="D24" s="5">
        <f t="shared" si="0"/>
        <v>67.994944897330981</v>
      </c>
      <c r="E24" s="5">
        <f t="shared" si="4"/>
        <v>-67.994944897330981</v>
      </c>
      <c r="F24" s="5">
        <f t="shared" si="3"/>
        <v>-13.787878787878787</v>
      </c>
      <c r="G24" s="5">
        <f t="shared" si="2"/>
        <v>67.994944897330981</v>
      </c>
      <c r="H24" s="6">
        <f t="shared" si="2"/>
        <v>-67.994944897330981</v>
      </c>
    </row>
    <row r="25" spans="2:8" x14ac:dyDescent="0.6">
      <c r="B25" s="21">
        <v>15</v>
      </c>
      <c r="C25" s="5">
        <f t="shared" si="1"/>
        <v>14.848484848484848</v>
      </c>
      <c r="D25" s="5">
        <f t="shared" si="0"/>
        <v>67.993200367721016</v>
      </c>
      <c r="E25" s="5">
        <f t="shared" si="4"/>
        <v>-67.993200367721016</v>
      </c>
      <c r="F25" s="5">
        <f t="shared" si="3"/>
        <v>-14.848484848484848</v>
      </c>
      <c r="G25" s="5">
        <f t="shared" si="2"/>
        <v>67.993200367721016</v>
      </c>
      <c r="H25" s="6">
        <f t="shared" si="2"/>
        <v>-67.993200367721016</v>
      </c>
    </row>
    <row r="26" spans="2:8" x14ac:dyDescent="0.6">
      <c r="B26" s="21">
        <v>16</v>
      </c>
      <c r="C26" s="5">
        <f t="shared" si="1"/>
        <v>15.909090909090908</v>
      </c>
      <c r="D26" s="5">
        <f t="shared" si="0"/>
        <v>67.991038947385732</v>
      </c>
      <c r="E26" s="5">
        <f t="shared" si="4"/>
        <v>-67.991038947385732</v>
      </c>
      <c r="F26" s="5">
        <f t="shared" si="3"/>
        <v>-15.909090909090908</v>
      </c>
      <c r="G26" s="5">
        <f t="shared" si="2"/>
        <v>67.991038947385732</v>
      </c>
      <c r="H26" s="6">
        <f t="shared" si="2"/>
        <v>-67.991038947385732</v>
      </c>
    </row>
    <row r="27" spans="2:8" x14ac:dyDescent="0.6">
      <c r="B27" s="21">
        <v>17</v>
      </c>
      <c r="C27" s="5">
        <f t="shared" si="1"/>
        <v>16.969696969696969</v>
      </c>
      <c r="D27" s="5">
        <f t="shared" si="0"/>
        <v>67.988398898833651</v>
      </c>
      <c r="E27" s="5">
        <f t="shared" si="4"/>
        <v>-67.988398898833651</v>
      </c>
      <c r="F27" s="5">
        <f t="shared" si="3"/>
        <v>-16.969696969696969</v>
      </c>
      <c r="G27" s="5">
        <f t="shared" si="2"/>
        <v>67.988398898833651</v>
      </c>
      <c r="H27" s="6">
        <f t="shared" si="2"/>
        <v>-67.988398898833651</v>
      </c>
    </row>
    <row r="28" spans="2:8" x14ac:dyDescent="0.6">
      <c r="B28" s="21">
        <v>18</v>
      </c>
      <c r="C28" s="5">
        <f t="shared" si="1"/>
        <v>18.030303030303031</v>
      </c>
      <c r="D28" s="5">
        <f t="shared" si="0"/>
        <v>67.985214177795527</v>
      </c>
      <c r="E28" s="5">
        <f t="shared" si="4"/>
        <v>-67.985214177795527</v>
      </c>
      <c r="F28" s="5">
        <f t="shared" si="3"/>
        <v>-18.030303030303031</v>
      </c>
      <c r="G28" s="5">
        <f t="shared" si="2"/>
        <v>67.985214177795527</v>
      </c>
      <c r="H28" s="6">
        <f t="shared" si="2"/>
        <v>-67.985214177795527</v>
      </c>
    </row>
    <row r="29" spans="2:8" x14ac:dyDescent="0.6">
      <c r="B29" s="21">
        <v>19</v>
      </c>
      <c r="C29" s="5">
        <f t="shared" si="1"/>
        <v>19.090909090909093</v>
      </c>
      <c r="D29" s="5">
        <f t="shared" si="0"/>
        <v>67.981414415756589</v>
      </c>
      <c r="E29" s="5">
        <f t="shared" si="4"/>
        <v>-67.981414415756589</v>
      </c>
      <c r="F29" s="5">
        <f t="shared" si="3"/>
        <v>-19.090909090909093</v>
      </c>
      <c r="G29" s="5">
        <f t="shared" si="2"/>
        <v>67.981414415756589</v>
      </c>
      <c r="H29" s="6">
        <f t="shared" si="2"/>
        <v>-67.981414415756589</v>
      </c>
    </row>
    <row r="30" spans="2:8" x14ac:dyDescent="0.6">
      <c r="B30" s="21">
        <v>20</v>
      </c>
      <c r="C30" s="5">
        <f t="shared" si="1"/>
        <v>20.151515151515156</v>
      </c>
      <c r="D30" s="5">
        <f t="shared" si="0"/>
        <v>67.976924898867836</v>
      </c>
      <c r="E30" s="5">
        <f t="shared" si="4"/>
        <v>-67.976924898867836</v>
      </c>
      <c r="F30" s="5">
        <f t="shared" si="3"/>
        <v>-20.151515151515156</v>
      </c>
      <c r="G30" s="5">
        <f t="shared" si="2"/>
        <v>67.976924898867836</v>
      </c>
      <c r="H30" s="6">
        <f t="shared" si="2"/>
        <v>-67.976924898867836</v>
      </c>
    </row>
    <row r="31" spans="2:8" x14ac:dyDescent="0.6">
      <c r="B31" s="21">
        <v>21</v>
      </c>
      <c r="C31" s="5">
        <f t="shared" si="1"/>
        <v>21.212121212121218</v>
      </c>
      <c r="D31" s="5">
        <f t="shared" si="0"/>
        <v>67.971666542755671</v>
      </c>
      <c r="E31" s="5">
        <f t="shared" si="4"/>
        <v>-67.971666542755671</v>
      </c>
      <c r="F31" s="5">
        <f t="shared" si="3"/>
        <v>-21.212121212121218</v>
      </c>
      <c r="G31" s="5">
        <f t="shared" si="2"/>
        <v>67.971666542755671</v>
      </c>
      <c r="H31" s="6">
        <f t="shared" si="2"/>
        <v>-67.971666542755671</v>
      </c>
    </row>
    <row r="32" spans="2:8" x14ac:dyDescent="0.6">
      <c r="B32" s="21">
        <v>22</v>
      </c>
      <c r="C32" s="5">
        <f t="shared" si="1"/>
        <v>22.27272727272728</v>
      </c>
      <c r="D32" s="5">
        <f t="shared" si="0"/>
        <v>67.965555862714169</v>
      </c>
      <c r="E32" s="5">
        <f t="shared" si="4"/>
        <v>-67.965555862714169</v>
      </c>
      <c r="F32" s="5">
        <f t="shared" si="3"/>
        <v>-22.27272727272728</v>
      </c>
      <c r="G32" s="5">
        <f t="shared" si="2"/>
        <v>67.965555862714169</v>
      </c>
      <c r="H32" s="6">
        <f t="shared" si="2"/>
        <v>-67.965555862714169</v>
      </c>
    </row>
    <row r="33" spans="2:8" x14ac:dyDescent="0.6">
      <c r="B33" s="21">
        <v>23</v>
      </c>
      <c r="C33" s="5">
        <f t="shared" si="1"/>
        <v>23.333333333333343</v>
      </c>
      <c r="D33" s="5">
        <f t="shared" si="0"/>
        <v>67.958504938726989</v>
      </c>
      <c r="E33" s="5">
        <f t="shared" si="4"/>
        <v>-67.958504938726989</v>
      </c>
      <c r="F33" s="5">
        <f t="shared" si="3"/>
        <v>-23.333333333333343</v>
      </c>
      <c r="G33" s="5">
        <f t="shared" si="2"/>
        <v>67.958504938726989</v>
      </c>
      <c r="H33" s="6">
        <f t="shared" si="2"/>
        <v>-67.958504938726989</v>
      </c>
    </row>
    <row r="34" spans="2:8" x14ac:dyDescent="0.6">
      <c r="B34" s="21">
        <v>24</v>
      </c>
      <c r="C34" s="5">
        <f t="shared" si="1"/>
        <v>24.393939393939405</v>
      </c>
      <c r="D34" s="5">
        <f t="shared" si="0"/>
        <v>67.950421374727512</v>
      </c>
      <c r="E34" s="5">
        <f t="shared" si="4"/>
        <v>-67.950421374727512</v>
      </c>
      <c r="F34" s="5">
        <f t="shared" si="3"/>
        <v>-24.393939393939405</v>
      </c>
      <c r="G34" s="5">
        <f t="shared" si="2"/>
        <v>67.950421374727512</v>
      </c>
      <c r="H34" s="6">
        <f t="shared" si="2"/>
        <v>-67.950421374727512</v>
      </c>
    </row>
    <row r="35" spans="2:8" x14ac:dyDescent="0.6">
      <c r="B35" s="21">
        <v>25</v>
      </c>
      <c r="C35" s="5">
        <f t="shared" si="1"/>
        <v>25.454545454545467</v>
      </c>
      <c r="D35" s="5">
        <f t="shared" si="0"/>
        <v>67.941208251462925</v>
      </c>
      <c r="E35" s="5">
        <f t="shared" si="4"/>
        <v>-67.941208251462925</v>
      </c>
      <c r="F35" s="5">
        <f t="shared" si="3"/>
        <v>-25.454545454545467</v>
      </c>
      <c r="G35" s="5">
        <f t="shared" si="2"/>
        <v>67.941208251462925</v>
      </c>
      <c r="H35" s="6">
        <f t="shared" si="2"/>
        <v>-67.941208251462925</v>
      </c>
    </row>
    <row r="36" spans="2:8" x14ac:dyDescent="0.6">
      <c r="B36" s="21">
        <v>26</v>
      </c>
      <c r="C36" s="5">
        <f t="shared" si="1"/>
        <v>26.51515151515153</v>
      </c>
      <c r="D36" s="5">
        <f t="shared" si="0"/>
        <v>67.930764072284205</v>
      </c>
      <c r="E36" s="5">
        <f t="shared" si="4"/>
        <v>-67.930764072284205</v>
      </c>
      <c r="F36" s="5">
        <f t="shared" si="3"/>
        <v>-26.51515151515153</v>
      </c>
      <c r="G36" s="5">
        <f t="shared" si="2"/>
        <v>67.930764072284205</v>
      </c>
      <c r="H36" s="6">
        <f t="shared" si="2"/>
        <v>-67.930764072284205</v>
      </c>
    </row>
    <row r="37" spans="2:8" x14ac:dyDescent="0.6">
      <c r="B37" s="21">
        <v>27</v>
      </c>
      <c r="C37" s="5">
        <f t="shared" si="1"/>
        <v>27.575757575757592</v>
      </c>
      <c r="D37" s="5">
        <f t="shared" si="0"/>
        <v>67.918982701134496</v>
      </c>
      <c r="E37" s="5">
        <f t="shared" si="4"/>
        <v>-67.918982701134496</v>
      </c>
      <c r="F37" s="5">
        <f t="shared" si="3"/>
        <v>-27.575757575757592</v>
      </c>
      <c r="G37" s="5">
        <f t="shared" si="2"/>
        <v>67.918982701134496</v>
      </c>
      <c r="H37" s="6">
        <f t="shared" si="2"/>
        <v>-67.918982701134496</v>
      </c>
    </row>
    <row r="38" spans="2:8" x14ac:dyDescent="0.6">
      <c r="B38" s="21">
        <v>28</v>
      </c>
      <c r="C38" s="5">
        <f t="shared" si="1"/>
        <v>28.636363636363654</v>
      </c>
      <c r="D38" s="5">
        <f t="shared" si="0"/>
        <v>67.905753291956003</v>
      </c>
      <c r="E38" s="5">
        <f t="shared" si="4"/>
        <v>-67.905753291956003</v>
      </c>
      <c r="F38" s="5">
        <f t="shared" si="3"/>
        <v>-28.636363636363654</v>
      </c>
      <c r="G38" s="5">
        <f t="shared" si="2"/>
        <v>67.905753291956003</v>
      </c>
      <c r="H38" s="6">
        <f t="shared" si="2"/>
        <v>-67.905753291956003</v>
      </c>
    </row>
    <row r="39" spans="2:8" x14ac:dyDescent="0.6">
      <c r="B39" s="21">
        <v>29</v>
      </c>
      <c r="C39" s="5">
        <f t="shared" si="1"/>
        <v>29.696969696969717</v>
      </c>
      <c r="D39" s="5">
        <f t="shared" si="0"/>
        <v>67.890960208678052</v>
      </c>
      <c r="E39" s="5">
        <f t="shared" si="4"/>
        <v>-67.890960208678052</v>
      </c>
      <c r="F39" s="5">
        <f t="shared" si="3"/>
        <v>-29.696969696969717</v>
      </c>
      <c r="G39" s="5">
        <f t="shared" si="2"/>
        <v>67.890960208678052</v>
      </c>
      <c r="H39" s="6">
        <f t="shared" si="2"/>
        <v>-67.890960208678052</v>
      </c>
    </row>
    <row r="40" spans="2:8" x14ac:dyDescent="0.6">
      <c r="B40" s="21">
        <v>30</v>
      </c>
      <c r="C40" s="5">
        <f t="shared" si="1"/>
        <v>30.757575757575779</v>
      </c>
      <c r="D40" s="5">
        <f t="shared" si="0"/>
        <v>67.874482934885208</v>
      </c>
      <c r="E40" s="5">
        <f t="shared" si="4"/>
        <v>-67.874482934885208</v>
      </c>
      <c r="F40" s="5">
        <f t="shared" si="3"/>
        <v>-30.757575757575779</v>
      </c>
      <c r="G40" s="5">
        <f t="shared" si="2"/>
        <v>67.874482934885208</v>
      </c>
      <c r="H40" s="6">
        <f t="shared" si="2"/>
        <v>-67.874482934885208</v>
      </c>
    </row>
    <row r="41" spans="2:8" x14ac:dyDescent="0.6">
      <c r="B41" s="21">
        <v>31</v>
      </c>
      <c r="C41" s="5">
        <f t="shared" si="1"/>
        <v>31.818181818181841</v>
      </c>
      <c r="D41" s="5">
        <f t="shared" si="0"/>
        <v>67.856195972194982</v>
      </c>
      <c r="E41" s="5">
        <f t="shared" si="4"/>
        <v>-67.856195972194982</v>
      </c>
      <c r="F41" s="5">
        <f t="shared" si="3"/>
        <v>-31.818181818181841</v>
      </c>
      <c r="G41" s="5">
        <f t="shared" si="2"/>
        <v>67.856195972194982</v>
      </c>
      <c r="H41" s="6">
        <f t="shared" si="2"/>
        <v>-67.856195972194982</v>
      </c>
    </row>
    <row r="42" spans="2:8" x14ac:dyDescent="0.6">
      <c r="B42" s="21">
        <v>32</v>
      </c>
      <c r="C42" s="5">
        <f t="shared" si="1"/>
        <v>32.878787878787904</v>
      </c>
      <c r="D42" s="5">
        <f t="shared" si="0"/>
        <v>67.835968726296969</v>
      </c>
      <c r="E42" s="5">
        <f t="shared" si="4"/>
        <v>-67.835968726296969</v>
      </c>
      <c r="F42" s="5">
        <f t="shared" si="3"/>
        <v>-32.878787878787904</v>
      </c>
      <c r="G42" s="5">
        <f t="shared" si="2"/>
        <v>67.835968726296969</v>
      </c>
      <c r="H42" s="6">
        <f t="shared" si="2"/>
        <v>-67.835968726296969</v>
      </c>
    </row>
    <row r="43" spans="2:8" x14ac:dyDescent="0.6">
      <c r="B43" s="21">
        <v>33</v>
      </c>
      <c r="C43" s="5">
        <f t="shared" si="1"/>
        <v>33.939393939393966</v>
      </c>
      <c r="D43" s="5">
        <f t="shared" ref="D43:D74" si="5">((1-($C43/a_superelipse)^n_superelipse)^(1/n_superelipse))*b_superelipse</f>
        <v>67.813665379519691</v>
      </c>
      <c r="E43" s="5">
        <f t="shared" si="4"/>
        <v>-67.813665379519691</v>
      </c>
      <c r="F43" s="5">
        <f t="shared" si="3"/>
        <v>-33.939393939393966</v>
      </c>
      <c r="G43" s="5">
        <f t="shared" si="2"/>
        <v>67.813665379519691</v>
      </c>
      <c r="H43" s="6">
        <f t="shared" si="2"/>
        <v>-67.813665379519691</v>
      </c>
    </row>
    <row r="44" spans="2:8" x14ac:dyDescent="0.6">
      <c r="B44" s="21">
        <v>34</v>
      </c>
      <c r="C44" s="5">
        <f t="shared" ref="C44:C75" si="6">IF((a_superelipse/np_superelipse)+C43&gt;=a_superelipse,a_superelipse,(a_superelipse/np_superelipse)+C43)</f>
        <v>35.000000000000028</v>
      </c>
      <c r="D44" s="5">
        <f t="shared" si="5"/>
        <v>67.789144748695321</v>
      </c>
      <c r="E44" s="5">
        <f t="shared" si="4"/>
        <v>-67.789144748695321</v>
      </c>
      <c r="F44" s="5">
        <f t="shared" si="3"/>
        <v>-35.000000000000028</v>
      </c>
      <c r="G44" s="5">
        <f t="shared" si="2"/>
        <v>67.789144748695321</v>
      </c>
      <c r="H44" s="6">
        <f t="shared" si="2"/>
        <v>-67.789144748695321</v>
      </c>
    </row>
    <row r="45" spans="2:8" x14ac:dyDescent="0.6">
      <c r="B45" s="21">
        <v>35</v>
      </c>
      <c r="C45" s="5">
        <f t="shared" si="6"/>
        <v>36.060606060606091</v>
      </c>
      <c r="D45" s="5">
        <f t="shared" si="5"/>
        <v>67.762260126985623</v>
      </c>
      <c r="E45" s="5">
        <f t="shared" si="4"/>
        <v>-67.762260126985623</v>
      </c>
      <c r="F45" s="5">
        <f t="shared" si="3"/>
        <v>-36.060606060606091</v>
      </c>
      <c r="G45" s="5">
        <f t="shared" si="2"/>
        <v>67.762260126985623</v>
      </c>
      <c r="H45" s="6">
        <f t="shared" si="2"/>
        <v>-67.762260126985623</v>
      </c>
    </row>
    <row r="46" spans="2:8" x14ac:dyDescent="0.6">
      <c r="B46" s="21">
        <v>36</v>
      </c>
      <c r="C46" s="5">
        <f t="shared" si="6"/>
        <v>37.121212121212153</v>
      </c>
      <c r="D46" s="5">
        <f t="shared" si="5"/>
        <v>67.732859108212011</v>
      </c>
      <c r="E46" s="5">
        <f t="shared" si="4"/>
        <v>-67.732859108212011</v>
      </c>
      <c r="F46" s="5">
        <f t="shared" si="3"/>
        <v>-37.121212121212153</v>
      </c>
      <c r="G46" s="5">
        <f t="shared" si="2"/>
        <v>67.732859108212011</v>
      </c>
      <c r="H46" s="6">
        <f t="shared" si="2"/>
        <v>-67.732859108212011</v>
      </c>
    </row>
    <row r="47" spans="2:8" x14ac:dyDescent="0.6">
      <c r="B47" s="21">
        <v>37</v>
      </c>
      <c r="C47" s="5">
        <f t="shared" si="6"/>
        <v>38.181818181818215</v>
      </c>
      <c r="D47" s="5">
        <f t="shared" si="5"/>
        <v>67.700783392098188</v>
      </c>
      <c r="E47" s="5">
        <f t="shared" si="4"/>
        <v>-67.700783392098188</v>
      </c>
      <c r="F47" s="5">
        <f t="shared" si="3"/>
        <v>-38.181818181818215</v>
      </c>
      <c r="G47" s="5">
        <f t="shared" si="2"/>
        <v>67.700783392098188</v>
      </c>
      <c r="H47" s="6">
        <f t="shared" si="2"/>
        <v>-67.700783392098188</v>
      </c>
    </row>
    <row r="48" spans="2:8" x14ac:dyDescent="0.6">
      <c r="B48" s="21">
        <v>38</v>
      </c>
      <c r="C48" s="5">
        <f t="shared" si="6"/>
        <v>39.242424242424278</v>
      </c>
      <c r="D48" s="5">
        <f t="shared" si="5"/>
        <v>67.665868568681347</v>
      </c>
      <c r="E48" s="5">
        <f t="shared" si="4"/>
        <v>-67.665868568681347</v>
      </c>
      <c r="F48" s="5">
        <f t="shared" si="3"/>
        <v>-39.242424242424278</v>
      </c>
      <c r="G48" s="5">
        <f t="shared" si="2"/>
        <v>67.665868568681347</v>
      </c>
      <c r="H48" s="6">
        <f t="shared" si="2"/>
        <v>-67.665868568681347</v>
      </c>
    </row>
    <row r="49" spans="2:8" x14ac:dyDescent="0.6">
      <c r="B49" s="21">
        <v>39</v>
      </c>
      <c r="C49" s="5">
        <f t="shared" si="6"/>
        <v>40.30303030303034</v>
      </c>
      <c r="D49" s="5">
        <f t="shared" si="5"/>
        <v>67.627943879976385</v>
      </c>
      <c r="E49" s="5">
        <f t="shared" si="4"/>
        <v>-67.627943879976385</v>
      </c>
      <c r="F49" s="5">
        <f t="shared" si="3"/>
        <v>-40.30303030303034</v>
      </c>
      <c r="G49" s="5">
        <f t="shared" si="2"/>
        <v>67.627943879976385</v>
      </c>
      <c r="H49" s="6">
        <f t="shared" si="2"/>
        <v>-67.627943879976385</v>
      </c>
    </row>
    <row r="50" spans="2:8" x14ac:dyDescent="0.6">
      <c r="B50" s="21">
        <v>40</v>
      </c>
      <c r="C50" s="5">
        <f t="shared" si="6"/>
        <v>41.363636363636402</v>
      </c>
      <c r="D50" s="5">
        <f t="shared" si="5"/>
        <v>67.586831956783982</v>
      </c>
      <c r="E50" s="5">
        <f t="shared" si="4"/>
        <v>-67.586831956783982</v>
      </c>
      <c r="F50" s="5">
        <f t="shared" si="3"/>
        <v>-41.363636363636402</v>
      </c>
      <c r="G50" s="5">
        <f t="shared" si="2"/>
        <v>67.586831956783982</v>
      </c>
      <c r="H50" s="6">
        <f t="shared" si="2"/>
        <v>-67.586831956783982</v>
      </c>
    </row>
    <row r="51" spans="2:8" x14ac:dyDescent="0.6">
      <c r="B51" s="21">
        <v>41</v>
      </c>
      <c r="C51" s="5">
        <f t="shared" si="6"/>
        <v>42.424242424242465</v>
      </c>
      <c r="D51" s="5">
        <f t="shared" si="5"/>
        <v>67.542348528312985</v>
      </c>
      <c r="E51" s="5">
        <f t="shared" si="4"/>
        <v>-67.542348528312985</v>
      </c>
      <c r="F51" s="5">
        <f t="shared" si="3"/>
        <v>-42.424242424242465</v>
      </c>
      <c r="G51" s="5">
        <f t="shared" si="2"/>
        <v>67.542348528312985</v>
      </c>
      <c r="H51" s="6">
        <f t="shared" si="2"/>
        <v>-67.542348528312985</v>
      </c>
    </row>
    <row r="52" spans="2:8" x14ac:dyDescent="0.6">
      <c r="B52" s="21">
        <v>42</v>
      </c>
      <c r="C52" s="5">
        <f t="shared" si="6"/>
        <v>43.484848484848527</v>
      </c>
      <c r="D52" s="5">
        <f t="shared" si="5"/>
        <v>67.494302102038219</v>
      </c>
      <c r="E52" s="5">
        <f t="shared" si="4"/>
        <v>-67.494302102038219</v>
      </c>
      <c r="F52" s="5">
        <f t="shared" si="3"/>
        <v>-43.484848484848527</v>
      </c>
      <c r="G52" s="5">
        <f t="shared" si="2"/>
        <v>67.494302102038219</v>
      </c>
      <c r="H52" s="6">
        <f t="shared" si="2"/>
        <v>-67.494302102038219</v>
      </c>
    </row>
    <row r="53" spans="2:8" x14ac:dyDescent="0.6">
      <c r="B53" s="21">
        <v>43</v>
      </c>
      <c r="C53" s="5">
        <f t="shared" si="6"/>
        <v>44.545454545454589</v>
      </c>
      <c r="D53" s="5">
        <f t="shared" si="5"/>
        <v>67.44249361093074</v>
      </c>
      <c r="E53" s="5">
        <f t="shared" si="4"/>
        <v>-67.44249361093074</v>
      </c>
      <c r="F53" s="5">
        <f t="shared" si="3"/>
        <v>-44.545454545454589</v>
      </c>
      <c r="G53" s="5">
        <f t="shared" si="2"/>
        <v>67.44249361093074</v>
      </c>
      <c r="H53" s="6">
        <f t="shared" si="2"/>
        <v>-67.44249361093074</v>
      </c>
    </row>
    <row r="54" spans="2:8" x14ac:dyDescent="0.6">
      <c r="B54" s="21">
        <v>44</v>
      </c>
      <c r="C54" s="5">
        <f t="shared" si="6"/>
        <v>45.606060606060652</v>
      </c>
      <c r="D54" s="5">
        <f t="shared" si="5"/>
        <v>67.386716024874346</v>
      </c>
      <c r="E54" s="5">
        <f t="shared" si="4"/>
        <v>-67.386716024874346</v>
      </c>
      <c r="F54" s="5">
        <f t="shared" si="3"/>
        <v>-45.606060606060652</v>
      </c>
      <c r="G54" s="5">
        <f t="shared" si="2"/>
        <v>67.386716024874346</v>
      </c>
      <c r="H54" s="6">
        <f t="shared" si="2"/>
        <v>-67.386716024874346</v>
      </c>
    </row>
    <row r="55" spans="2:8" x14ac:dyDescent="0.6">
      <c r="B55" s="21">
        <v>45</v>
      </c>
      <c r="C55" s="5">
        <f t="shared" si="6"/>
        <v>46.666666666666714</v>
      </c>
      <c r="D55" s="5">
        <f t="shared" si="5"/>
        <v>67.326753922712115</v>
      </c>
      <c r="E55" s="5">
        <f t="shared" si="4"/>
        <v>-67.326753922712115</v>
      </c>
      <c r="F55" s="5">
        <f t="shared" si="3"/>
        <v>-46.666666666666714</v>
      </c>
      <c r="G55" s="5">
        <f t="shared" si="2"/>
        <v>67.326753922712115</v>
      </c>
      <c r="H55" s="6">
        <f t="shared" si="2"/>
        <v>-67.326753922712115</v>
      </c>
    </row>
    <row r="56" spans="2:8" x14ac:dyDescent="0.6">
      <c r="B56" s="21">
        <v>46</v>
      </c>
      <c r="C56" s="5">
        <f t="shared" si="6"/>
        <v>47.727272727272776</v>
      </c>
      <c r="D56" s="5">
        <f t="shared" si="5"/>
        <v>67.262383020944654</v>
      </c>
      <c r="E56" s="5">
        <f t="shared" si="4"/>
        <v>-67.262383020944654</v>
      </c>
      <c r="F56" s="5">
        <f t="shared" si="3"/>
        <v>-47.727272727272776</v>
      </c>
      <c r="G56" s="5">
        <f t="shared" si="2"/>
        <v>67.262383020944654</v>
      </c>
      <c r="H56" s="6">
        <f t="shared" si="2"/>
        <v>-67.262383020944654</v>
      </c>
    </row>
    <row r="57" spans="2:8" x14ac:dyDescent="0.6">
      <c r="B57" s="21">
        <v>47</v>
      </c>
      <c r="C57" s="5">
        <f t="shared" si="6"/>
        <v>48.787878787878839</v>
      </c>
      <c r="D57" s="5">
        <f t="shared" si="5"/>
        <v>67.193369654616845</v>
      </c>
      <c r="E57" s="5">
        <f t="shared" si="4"/>
        <v>-67.193369654616845</v>
      </c>
      <c r="F57" s="5">
        <f t="shared" si="3"/>
        <v>-48.787878787878839</v>
      </c>
      <c r="G57" s="5">
        <f t="shared" si="2"/>
        <v>67.193369654616845</v>
      </c>
      <c r="H57" s="6">
        <f t="shared" si="2"/>
        <v>-67.193369654616845</v>
      </c>
    </row>
    <row r="58" spans="2:8" x14ac:dyDescent="0.6">
      <c r="B58" s="21">
        <v>48</v>
      </c>
      <c r="C58" s="5">
        <f t="shared" si="6"/>
        <v>49.848484848484901</v>
      </c>
      <c r="D58" s="5">
        <f t="shared" si="5"/>
        <v>67.119470205373176</v>
      </c>
      <c r="E58" s="5">
        <f t="shared" si="4"/>
        <v>-67.119470205373176</v>
      </c>
      <c r="F58" s="5">
        <f t="shared" si="3"/>
        <v>-49.848484848484901</v>
      </c>
      <c r="G58" s="5">
        <f t="shared" si="2"/>
        <v>67.119470205373176</v>
      </c>
      <c r="H58" s="6">
        <f t="shared" si="2"/>
        <v>-67.119470205373176</v>
      </c>
    </row>
    <row r="59" spans="2:8" x14ac:dyDescent="0.6">
      <c r="B59" s="21">
        <v>49</v>
      </c>
      <c r="C59" s="5">
        <f t="shared" si="6"/>
        <v>50.909090909090963</v>
      </c>
      <c r="D59" s="5">
        <f t="shared" si="5"/>
        <v>67.040430471020628</v>
      </c>
      <c r="E59" s="5">
        <f t="shared" si="4"/>
        <v>-67.040430471020628</v>
      </c>
      <c r="F59" s="5">
        <f t="shared" si="3"/>
        <v>-50.909090909090963</v>
      </c>
      <c r="G59" s="5">
        <f t="shared" si="2"/>
        <v>67.040430471020628</v>
      </c>
      <c r="H59" s="6">
        <f t="shared" si="2"/>
        <v>-67.040430471020628</v>
      </c>
    </row>
    <row r="60" spans="2:8" x14ac:dyDescent="0.6">
      <c r="B60" s="21">
        <v>50</v>
      </c>
      <c r="C60" s="5">
        <f t="shared" si="6"/>
        <v>51.969696969697026</v>
      </c>
      <c r="D60" s="5">
        <f t="shared" si="5"/>
        <v>66.955984970198074</v>
      </c>
      <c r="E60" s="5">
        <f t="shared" si="4"/>
        <v>-66.955984970198074</v>
      </c>
      <c r="F60" s="5">
        <f t="shared" si="3"/>
        <v>-51.969696969697026</v>
      </c>
      <c r="G60" s="5">
        <f t="shared" si="2"/>
        <v>66.955984970198074</v>
      </c>
      <c r="H60" s="6">
        <f t="shared" si="2"/>
        <v>-66.955984970198074</v>
      </c>
    </row>
    <row r="61" spans="2:8" x14ac:dyDescent="0.6">
      <c r="B61" s="21">
        <v>51</v>
      </c>
      <c r="C61" s="5">
        <f t="shared" si="6"/>
        <v>53.030303030303088</v>
      </c>
      <c r="D61" s="5">
        <f t="shared" si="5"/>
        <v>66.865856174895228</v>
      </c>
      <c r="E61" s="5">
        <f t="shared" si="4"/>
        <v>-66.865856174895228</v>
      </c>
      <c r="F61" s="5">
        <f t="shared" si="3"/>
        <v>-53.030303030303088</v>
      </c>
      <c r="G61" s="5">
        <f t="shared" si="2"/>
        <v>66.865856174895228</v>
      </c>
      <c r="H61" s="6">
        <f t="shared" si="2"/>
        <v>-66.865856174895228</v>
      </c>
    </row>
    <row r="62" spans="2:8" x14ac:dyDescent="0.6">
      <c r="B62" s="21">
        <v>52</v>
      </c>
      <c r="C62" s="5">
        <f t="shared" si="6"/>
        <v>54.09090909090915</v>
      </c>
      <c r="D62" s="5">
        <f t="shared" si="5"/>
        <v>66.769753662570395</v>
      </c>
      <c r="E62" s="5">
        <f t="shared" si="4"/>
        <v>-66.769753662570395</v>
      </c>
      <c r="F62" s="5">
        <f t="shared" si="3"/>
        <v>-54.09090909090915</v>
      </c>
      <c r="G62" s="5">
        <f t="shared" si="2"/>
        <v>66.769753662570395</v>
      </c>
      <c r="H62" s="6">
        <f t="shared" si="2"/>
        <v>-66.769753662570395</v>
      </c>
    </row>
    <row r="63" spans="2:8" x14ac:dyDescent="0.6">
      <c r="B63" s="21">
        <v>53</v>
      </c>
      <c r="C63" s="5">
        <f t="shared" si="6"/>
        <v>55.151515151515213</v>
      </c>
      <c r="D63" s="5">
        <f t="shared" si="5"/>
        <v>66.667373178461347</v>
      </c>
      <c r="E63" s="5">
        <f t="shared" si="4"/>
        <v>-66.667373178461347</v>
      </c>
      <c r="F63" s="5">
        <f t="shared" si="3"/>
        <v>-55.151515151515213</v>
      </c>
      <c r="G63" s="5">
        <f t="shared" si="2"/>
        <v>66.667373178461347</v>
      </c>
      <c r="H63" s="6">
        <f t="shared" si="2"/>
        <v>-66.667373178461347</v>
      </c>
    </row>
    <row r="64" spans="2:8" x14ac:dyDescent="0.6">
      <c r="B64" s="21">
        <v>54</v>
      </c>
      <c r="C64" s="5">
        <f t="shared" si="6"/>
        <v>56.212121212121275</v>
      </c>
      <c r="D64" s="5">
        <f t="shared" si="5"/>
        <v>66.558395597336016</v>
      </c>
      <c r="E64" s="5">
        <f t="shared" si="4"/>
        <v>-66.558395597336016</v>
      </c>
      <c r="F64" s="5">
        <f t="shared" si="3"/>
        <v>-56.212121212121275</v>
      </c>
      <c r="G64" s="5">
        <f t="shared" si="2"/>
        <v>66.558395597336016</v>
      </c>
      <c r="H64" s="6">
        <f t="shared" si="2"/>
        <v>-66.558395597336016</v>
      </c>
    </row>
    <row r="65" spans="2:8" x14ac:dyDescent="0.6">
      <c r="B65" s="21">
        <v>55</v>
      </c>
      <c r="C65" s="5">
        <f t="shared" si="6"/>
        <v>57.272727272727337</v>
      </c>
      <c r="D65" s="5">
        <f t="shared" si="5"/>
        <v>66.4424857723522</v>
      </c>
      <c r="E65" s="5">
        <f t="shared" si="4"/>
        <v>-66.4424857723522</v>
      </c>
      <c r="F65" s="5">
        <f t="shared" si="3"/>
        <v>-57.272727272727337</v>
      </c>
      <c r="G65" s="5">
        <f t="shared" si="2"/>
        <v>66.4424857723522</v>
      </c>
      <c r="H65" s="6">
        <f t="shared" si="2"/>
        <v>-66.4424857723522</v>
      </c>
    </row>
    <row r="66" spans="2:8" x14ac:dyDescent="0.6">
      <c r="B66" s="21">
        <v>56</v>
      </c>
      <c r="C66" s="5">
        <f t="shared" si="6"/>
        <v>58.3333333333334</v>
      </c>
      <c r="D66" s="5">
        <f t="shared" si="5"/>
        <v>66.319291256846</v>
      </c>
      <c r="E66" s="5">
        <f t="shared" si="4"/>
        <v>-66.319291256846</v>
      </c>
      <c r="F66" s="5">
        <f t="shared" si="3"/>
        <v>-58.3333333333334</v>
      </c>
      <c r="G66" s="5">
        <f t="shared" si="2"/>
        <v>66.319291256846</v>
      </c>
      <c r="H66" s="6">
        <f t="shared" si="2"/>
        <v>-66.319291256846</v>
      </c>
    </row>
    <row r="67" spans="2:8" x14ac:dyDescent="0.6">
      <c r="B67" s="21">
        <v>57</v>
      </c>
      <c r="C67" s="5">
        <f t="shared" si="6"/>
        <v>59.393939393939462</v>
      </c>
      <c r="D67" s="5">
        <f t="shared" si="5"/>
        <v>66.188440882688127</v>
      </c>
      <c r="E67" s="5">
        <f t="shared" si="4"/>
        <v>-66.188440882688127</v>
      </c>
      <c r="F67" s="5">
        <f t="shared" si="3"/>
        <v>-59.393939393939462</v>
      </c>
      <c r="G67" s="5">
        <f t="shared" si="2"/>
        <v>66.188440882688127</v>
      </c>
      <c r="H67" s="6">
        <f t="shared" si="2"/>
        <v>-66.188440882688127</v>
      </c>
    </row>
    <row r="68" spans="2:8" x14ac:dyDescent="0.6">
      <c r="B68" s="21">
        <v>58</v>
      </c>
      <c r="C68" s="5">
        <f t="shared" si="6"/>
        <v>60.454545454545524</v>
      </c>
      <c r="D68" s="5">
        <f t="shared" si="5"/>
        <v>66.049543176273801</v>
      </c>
      <c r="E68" s="5">
        <f t="shared" si="4"/>
        <v>-66.049543176273801</v>
      </c>
      <c r="F68" s="5">
        <f t="shared" si="3"/>
        <v>-60.454545454545524</v>
      </c>
      <c r="G68" s="5">
        <f t="shared" si="2"/>
        <v>66.049543176273801</v>
      </c>
      <c r="H68" s="6">
        <f t="shared" si="2"/>
        <v>-66.049543176273801</v>
      </c>
    </row>
    <row r="69" spans="2:8" x14ac:dyDescent="0.6">
      <c r="B69" s="21">
        <v>59</v>
      </c>
      <c r="C69" s="5">
        <f t="shared" si="6"/>
        <v>61.515151515151587</v>
      </c>
      <c r="D69" s="5">
        <f t="shared" si="5"/>
        <v>65.902184590157546</v>
      </c>
      <c r="E69" s="5">
        <f t="shared" si="4"/>
        <v>-65.902184590157546</v>
      </c>
      <c r="F69" s="5">
        <f t="shared" si="3"/>
        <v>-61.515151515151587</v>
      </c>
      <c r="G69" s="5">
        <f t="shared" si="2"/>
        <v>65.902184590157546</v>
      </c>
      <c r="H69" s="6">
        <f t="shared" si="2"/>
        <v>-65.902184590157546</v>
      </c>
    </row>
    <row r="70" spans="2:8" x14ac:dyDescent="0.6">
      <c r="B70" s="21">
        <v>60</v>
      </c>
      <c r="C70" s="5">
        <f t="shared" si="6"/>
        <v>62.575757575757649</v>
      </c>
      <c r="D70" s="5">
        <f t="shared" si="5"/>
        <v>65.745927524709984</v>
      </c>
      <c r="E70" s="5">
        <f t="shared" si="4"/>
        <v>-65.745927524709984</v>
      </c>
      <c r="F70" s="5">
        <f t="shared" si="3"/>
        <v>-62.575757575757649</v>
      </c>
      <c r="G70" s="5">
        <f t="shared" si="2"/>
        <v>65.745927524709984</v>
      </c>
      <c r="H70" s="6">
        <f t="shared" si="2"/>
        <v>-65.745927524709984</v>
      </c>
    </row>
    <row r="71" spans="2:8" x14ac:dyDescent="0.6">
      <c r="B71" s="21">
        <v>61</v>
      </c>
      <c r="C71" s="5">
        <f t="shared" si="6"/>
        <v>63.636363636363711</v>
      </c>
      <c r="D71" s="5">
        <f t="shared" si="5"/>
        <v>65.580308109830113</v>
      </c>
      <c r="E71" s="5">
        <f t="shared" si="4"/>
        <v>-65.580308109830113</v>
      </c>
      <c r="F71" s="5">
        <f t="shared" si="3"/>
        <v>-63.636363636363711</v>
      </c>
      <c r="G71" s="5">
        <f t="shared" si="2"/>
        <v>65.580308109830113</v>
      </c>
      <c r="H71" s="6">
        <f t="shared" si="2"/>
        <v>-65.580308109830113</v>
      </c>
    </row>
    <row r="72" spans="2:8" x14ac:dyDescent="0.6">
      <c r="B72" s="21">
        <v>62</v>
      </c>
      <c r="C72" s="5">
        <f t="shared" si="6"/>
        <v>64.696969696969774</v>
      </c>
      <c r="D72" s="5">
        <f t="shared" si="5"/>
        <v>65.404833711533058</v>
      </c>
      <c r="E72" s="5">
        <f t="shared" si="4"/>
        <v>-65.404833711533058</v>
      </c>
      <c r="F72" s="5">
        <f t="shared" si="3"/>
        <v>-64.696969696969774</v>
      </c>
      <c r="G72" s="5">
        <f t="shared" si="2"/>
        <v>65.404833711533058</v>
      </c>
      <c r="H72" s="6">
        <f t="shared" si="2"/>
        <v>-65.404833711533058</v>
      </c>
    </row>
    <row r="73" spans="2:8" x14ac:dyDescent="0.6">
      <c r="B73" s="21">
        <v>63</v>
      </c>
      <c r="C73" s="5">
        <f t="shared" si="6"/>
        <v>65.757575757575836</v>
      </c>
      <c r="D73" s="5">
        <f t="shared" si="5"/>
        <v>65.218980121949471</v>
      </c>
      <c r="E73" s="5">
        <f t="shared" si="4"/>
        <v>-65.218980121949471</v>
      </c>
      <c r="F73" s="5">
        <f t="shared" si="3"/>
        <v>-65.757575757575836</v>
      </c>
      <c r="G73" s="5">
        <f t="shared" si="2"/>
        <v>65.218980121949471</v>
      </c>
      <c r="H73" s="6">
        <f t="shared" si="2"/>
        <v>-65.218980121949471</v>
      </c>
    </row>
    <row r="74" spans="2:8" x14ac:dyDescent="0.6">
      <c r="B74" s="21">
        <v>64</v>
      </c>
      <c r="C74" s="5">
        <f t="shared" si="6"/>
        <v>66.818181818181898</v>
      </c>
      <c r="D74" s="5">
        <f t="shared" si="5"/>
        <v>65.022188383662979</v>
      </c>
      <c r="E74" s="5">
        <f t="shared" si="4"/>
        <v>-65.022188383662979</v>
      </c>
      <c r="F74" s="5">
        <f t="shared" si="3"/>
        <v>-66.818181818181898</v>
      </c>
      <c r="G74" s="5">
        <f t="shared" si="2"/>
        <v>65.022188383662979</v>
      </c>
      <c r="H74" s="6">
        <f t="shared" si="2"/>
        <v>-65.022188383662979</v>
      </c>
    </row>
    <row r="75" spans="2:8" x14ac:dyDescent="0.6">
      <c r="B75" s="21">
        <v>65</v>
      </c>
      <c r="C75" s="5">
        <f t="shared" si="6"/>
        <v>67.878787878787961</v>
      </c>
      <c r="D75" s="5">
        <f t="shared" ref="D75:D110" si="7">((1-($C75/a_superelipse)^n_superelipse)^(1/n_superelipse))*b_superelipse</f>
        <v>64.813861190050872</v>
      </c>
      <c r="E75" s="5">
        <f t="shared" si="4"/>
        <v>-64.813861190050872</v>
      </c>
      <c r="F75" s="5">
        <f t="shared" si="3"/>
        <v>-67.878787878787961</v>
      </c>
      <c r="G75" s="5">
        <f t="shared" si="2"/>
        <v>64.813861190050872</v>
      </c>
      <c r="H75" s="6">
        <f t="shared" si="2"/>
        <v>-64.813861190050872</v>
      </c>
    </row>
    <row r="76" spans="2:8" x14ac:dyDescent="0.6">
      <c r="B76" s="21">
        <v>66</v>
      </c>
      <c r="C76" s="5">
        <f t="shared" ref="C76:C110" si="8">IF((a_superelipse/np_superelipse)+C75&gt;=a_superelipse,a_superelipse,(a_superelipse/np_superelipse)+C75)</f>
        <v>68.939393939394023</v>
      </c>
      <c r="D76" s="5">
        <f t="shared" si="7"/>
        <v>64.593358791965613</v>
      </c>
      <c r="E76" s="5">
        <f t="shared" ref="E76:E110" si="9">-D76</f>
        <v>-64.593358791965613</v>
      </c>
      <c r="F76" s="5">
        <f t="shared" si="3"/>
        <v>-68.939393939394023</v>
      </c>
      <c r="G76" s="5">
        <f t="shared" ref="G76:H110" si="10">D76</f>
        <v>64.593358791965613</v>
      </c>
      <c r="H76" s="6">
        <f t="shared" si="10"/>
        <v>-64.593358791965613</v>
      </c>
    </row>
    <row r="77" spans="2:8" x14ac:dyDescent="0.6">
      <c r="B77" s="21">
        <v>67</v>
      </c>
      <c r="C77" s="5">
        <f t="shared" si="8"/>
        <v>70.000000000000085</v>
      </c>
      <c r="D77" s="5">
        <f t="shared" si="7"/>
        <v>64.359994327163335</v>
      </c>
      <c r="E77" s="5">
        <f t="shared" si="9"/>
        <v>-64.359994327163335</v>
      </c>
      <c r="F77" s="5">
        <f t="shared" ref="F77:F110" si="11">(F76-(C77-C76))</f>
        <v>-70.000000000000085</v>
      </c>
      <c r="G77" s="5">
        <f t="shared" si="10"/>
        <v>64.359994327163335</v>
      </c>
      <c r="H77" s="6">
        <f t="shared" si="10"/>
        <v>-64.359994327163335</v>
      </c>
    </row>
    <row r="78" spans="2:8" x14ac:dyDescent="0.6">
      <c r="B78" s="21">
        <v>68</v>
      </c>
      <c r="C78" s="5">
        <f t="shared" si="8"/>
        <v>71.060606060606148</v>
      </c>
      <c r="D78" s="5">
        <f t="shared" si="7"/>
        <v>64.113028471653465</v>
      </c>
      <c r="E78" s="5">
        <f t="shared" si="9"/>
        <v>-64.113028471653465</v>
      </c>
      <c r="F78" s="5">
        <f t="shared" si="11"/>
        <v>-71.060606060606148</v>
      </c>
      <c r="G78" s="5">
        <f t="shared" si="10"/>
        <v>64.113028471653465</v>
      </c>
      <c r="H78" s="6">
        <f t="shared" si="10"/>
        <v>-64.113028471653465</v>
      </c>
    </row>
    <row r="79" spans="2:8" x14ac:dyDescent="0.6">
      <c r="B79" s="21">
        <v>69</v>
      </c>
      <c r="C79" s="5">
        <f t="shared" si="8"/>
        <v>72.12121212121221</v>
      </c>
      <c r="D79" s="5">
        <f t="shared" si="7"/>
        <v>63.851663290700273</v>
      </c>
      <c r="E79" s="5">
        <f t="shared" si="9"/>
        <v>-63.851663290700273</v>
      </c>
      <c r="F79" s="5">
        <f t="shared" si="11"/>
        <v>-72.12121212121221</v>
      </c>
      <c r="G79" s="5">
        <f t="shared" si="10"/>
        <v>63.851663290700273</v>
      </c>
      <c r="H79" s="6">
        <f t="shared" si="10"/>
        <v>-63.851663290700273</v>
      </c>
    </row>
    <row r="80" spans="2:8" x14ac:dyDescent="0.6">
      <c r="B80" s="21">
        <v>70</v>
      </c>
      <c r="C80" s="5">
        <f t="shared" si="8"/>
        <v>73.181818181818272</v>
      </c>
      <c r="D80" s="5">
        <f t="shared" si="7"/>
        <v>63.575035140350359</v>
      </c>
      <c r="E80" s="5">
        <f t="shared" si="9"/>
        <v>-63.575035140350359</v>
      </c>
      <c r="F80" s="5">
        <f t="shared" si="11"/>
        <v>-73.181818181818272</v>
      </c>
      <c r="G80" s="5">
        <f t="shared" si="10"/>
        <v>63.575035140350359</v>
      </c>
      <c r="H80" s="6">
        <f t="shared" si="10"/>
        <v>-63.575035140350359</v>
      </c>
    </row>
    <row r="81" spans="2:8" x14ac:dyDescent="0.6">
      <c r="B81" s="21">
        <v>71</v>
      </c>
      <c r="C81" s="5">
        <f t="shared" si="8"/>
        <v>74.242424242424335</v>
      </c>
      <c r="D81" s="5">
        <f t="shared" si="7"/>
        <v>63.282206436495343</v>
      </c>
      <c r="E81" s="5">
        <f t="shared" si="9"/>
        <v>-63.282206436495343</v>
      </c>
      <c r="F81" s="5">
        <f t="shared" si="11"/>
        <v>-74.242424242424335</v>
      </c>
      <c r="G81" s="5">
        <f t="shared" si="10"/>
        <v>63.282206436495343</v>
      </c>
      <c r="H81" s="6">
        <f t="shared" si="10"/>
        <v>-63.282206436495343</v>
      </c>
    </row>
    <row r="82" spans="2:8" x14ac:dyDescent="0.6">
      <c r="B82" s="21">
        <v>72</v>
      </c>
      <c r="C82" s="5">
        <f t="shared" si="8"/>
        <v>75.303030303030397</v>
      </c>
      <c r="D82" s="5">
        <f t="shared" si="7"/>
        <v>62.972156065465462</v>
      </c>
      <c r="E82" s="5">
        <f t="shared" si="9"/>
        <v>-62.972156065465462</v>
      </c>
      <c r="F82" s="5">
        <f t="shared" si="11"/>
        <v>-75.303030303030397</v>
      </c>
      <c r="G82" s="5">
        <f t="shared" si="10"/>
        <v>62.972156065465462</v>
      </c>
      <c r="H82" s="6">
        <f t="shared" si="10"/>
        <v>-62.972156065465462</v>
      </c>
    </row>
    <row r="83" spans="2:8" x14ac:dyDescent="0.6">
      <c r="B83" s="21">
        <v>73</v>
      </c>
      <c r="C83" s="5">
        <f t="shared" si="8"/>
        <v>76.363636363636459</v>
      </c>
      <c r="D83" s="5">
        <f t="shared" si="7"/>
        <v>62.643768155095721</v>
      </c>
      <c r="E83" s="5">
        <f t="shared" si="9"/>
        <v>-62.643768155095721</v>
      </c>
      <c r="F83" s="5">
        <f t="shared" si="11"/>
        <v>-76.363636363636459</v>
      </c>
      <c r="G83" s="5">
        <f t="shared" si="10"/>
        <v>62.643768155095721</v>
      </c>
      <c r="H83" s="6">
        <f t="shared" si="10"/>
        <v>-62.643768155095721</v>
      </c>
    </row>
    <row r="84" spans="2:8" x14ac:dyDescent="0.6">
      <c r="B84" s="21">
        <v>74</v>
      </c>
      <c r="C84" s="5">
        <f t="shared" si="8"/>
        <v>77.424242424242522</v>
      </c>
      <c r="D84" s="5">
        <f t="shared" si="7"/>
        <v>62.295818854158291</v>
      </c>
      <c r="E84" s="5">
        <f t="shared" si="9"/>
        <v>-62.295818854158291</v>
      </c>
      <c r="F84" s="5">
        <f t="shared" si="11"/>
        <v>-77.424242424242522</v>
      </c>
      <c r="G84" s="5">
        <f t="shared" si="10"/>
        <v>62.295818854158291</v>
      </c>
      <c r="H84" s="6">
        <f t="shared" si="10"/>
        <v>-62.295818854158291</v>
      </c>
    </row>
    <row r="85" spans="2:8" x14ac:dyDescent="0.6">
      <c r="B85" s="21">
        <v>75</v>
      </c>
      <c r="C85" s="5">
        <f t="shared" si="8"/>
        <v>78.484848484848584</v>
      </c>
      <c r="D85" s="5">
        <f t="shared" si="7"/>
        <v>61.926960675558128</v>
      </c>
      <c r="E85" s="5">
        <f t="shared" si="9"/>
        <v>-61.926960675558128</v>
      </c>
      <c r="F85" s="5">
        <f t="shared" si="11"/>
        <v>-78.484848484848584</v>
      </c>
      <c r="G85" s="5">
        <f t="shared" si="10"/>
        <v>61.926960675558128</v>
      </c>
      <c r="H85" s="6">
        <f t="shared" si="10"/>
        <v>-61.926960675558128</v>
      </c>
    </row>
    <row r="86" spans="2:8" x14ac:dyDescent="0.6">
      <c r="B86" s="21">
        <v>76</v>
      </c>
      <c r="C86" s="5">
        <f t="shared" si="8"/>
        <v>79.545454545454646</v>
      </c>
      <c r="D86" s="5">
        <f t="shared" si="7"/>
        <v>61.535703837129049</v>
      </c>
      <c r="E86" s="5">
        <f t="shared" si="9"/>
        <v>-61.535703837129049</v>
      </c>
      <c r="F86" s="5">
        <f t="shared" si="11"/>
        <v>-79.545454545454646</v>
      </c>
      <c r="G86" s="5">
        <f t="shared" si="10"/>
        <v>61.535703837129049</v>
      </c>
      <c r="H86" s="6">
        <f t="shared" si="10"/>
        <v>-61.535703837129049</v>
      </c>
    </row>
    <row r="87" spans="2:8" x14ac:dyDescent="0.6">
      <c r="B87" s="21">
        <v>77</v>
      </c>
      <c r="C87" s="5">
        <f t="shared" si="8"/>
        <v>80.606060606060709</v>
      </c>
      <c r="D87" s="5">
        <f t="shared" si="7"/>
        <v>61.120393872488648</v>
      </c>
      <c r="E87" s="5">
        <f t="shared" si="9"/>
        <v>-61.120393872488648</v>
      </c>
      <c r="F87" s="5">
        <f t="shared" si="11"/>
        <v>-80.606060606060709</v>
      </c>
      <c r="G87" s="5">
        <f t="shared" si="10"/>
        <v>61.120393872488648</v>
      </c>
      <c r="H87" s="6">
        <f t="shared" si="10"/>
        <v>-61.120393872488648</v>
      </c>
    </row>
    <row r="88" spans="2:8" x14ac:dyDescent="0.6">
      <c r="B88" s="21">
        <v>78</v>
      </c>
      <c r="C88" s="5">
        <f t="shared" si="8"/>
        <v>81.666666666666771</v>
      </c>
      <c r="D88" s="5">
        <f t="shared" si="7"/>
        <v>60.679184567819867</v>
      </c>
      <c r="E88" s="5">
        <f t="shared" si="9"/>
        <v>-60.679184567819867</v>
      </c>
      <c r="F88" s="5">
        <f t="shared" si="11"/>
        <v>-81.666666666666771</v>
      </c>
      <c r="G88" s="5">
        <f t="shared" si="10"/>
        <v>60.679184567819867</v>
      </c>
      <c r="H88" s="6">
        <f t="shared" si="10"/>
        <v>-60.679184567819867</v>
      </c>
    </row>
    <row r="89" spans="2:8" x14ac:dyDescent="0.6">
      <c r="B89" s="21">
        <v>79</v>
      </c>
      <c r="C89" s="5">
        <f t="shared" si="8"/>
        <v>82.727272727272833</v>
      </c>
      <c r="D89" s="5">
        <f t="shared" si="7"/>
        <v>60.21000498631404</v>
      </c>
      <c r="E89" s="5">
        <f t="shared" si="9"/>
        <v>-60.21000498631404</v>
      </c>
      <c r="F89" s="5">
        <f t="shared" si="11"/>
        <v>-82.727272727272833</v>
      </c>
      <c r="G89" s="5">
        <f t="shared" si="10"/>
        <v>60.21000498631404</v>
      </c>
      <c r="H89" s="6">
        <f t="shared" si="10"/>
        <v>-60.21000498631404</v>
      </c>
    </row>
    <row r="90" spans="2:8" x14ac:dyDescent="0.6">
      <c r="B90" s="21">
        <v>80</v>
      </c>
      <c r="C90" s="5">
        <f t="shared" si="8"/>
        <v>83.787878787878896</v>
      </c>
      <c r="D90" s="5">
        <f t="shared" si="7"/>
        <v>59.710518937437598</v>
      </c>
      <c r="E90" s="5">
        <f t="shared" si="9"/>
        <v>-59.710518937437598</v>
      </c>
      <c r="F90" s="5">
        <f t="shared" si="11"/>
        <v>-83.787878787878896</v>
      </c>
      <c r="G90" s="5">
        <f t="shared" si="10"/>
        <v>59.710518937437598</v>
      </c>
      <c r="H90" s="6">
        <f t="shared" si="10"/>
        <v>-59.710518937437598</v>
      </c>
    </row>
    <row r="91" spans="2:8" x14ac:dyDescent="0.6">
      <c r="B91" s="21">
        <v>81</v>
      </c>
      <c r="C91" s="5">
        <f t="shared" si="8"/>
        <v>84.848484848484958</v>
      </c>
      <c r="D91" s="5">
        <f t="shared" si="7"/>
        <v>59.178074683926326</v>
      </c>
      <c r="E91" s="5">
        <f t="shared" si="9"/>
        <v>-59.178074683926326</v>
      </c>
      <c r="F91" s="5">
        <f t="shared" si="11"/>
        <v>-84.848484848484958</v>
      </c>
      <c r="G91" s="5">
        <f t="shared" si="10"/>
        <v>59.178074683926326</v>
      </c>
      <c r="H91" s="6">
        <f t="shared" si="10"/>
        <v>-59.178074683926326</v>
      </c>
    </row>
    <row r="92" spans="2:8" x14ac:dyDescent="0.6">
      <c r="B92" s="21">
        <v>82</v>
      </c>
      <c r="C92" s="5">
        <f t="shared" si="8"/>
        <v>85.90909090909102</v>
      </c>
      <c r="D92" s="5">
        <f t="shared" si="7"/>
        <v>58.609641880407274</v>
      </c>
      <c r="E92" s="5">
        <f t="shared" si="9"/>
        <v>-58.609641880407274</v>
      </c>
      <c r="F92" s="5">
        <f t="shared" si="11"/>
        <v>-85.90909090909102</v>
      </c>
      <c r="G92" s="5">
        <f t="shared" si="10"/>
        <v>58.609641880407274</v>
      </c>
      <c r="H92" s="6">
        <f t="shared" si="10"/>
        <v>-58.609641880407274</v>
      </c>
    </row>
    <row r="93" spans="2:8" x14ac:dyDescent="0.6">
      <c r="B93" s="21">
        <v>83</v>
      </c>
      <c r="C93" s="5">
        <f t="shared" si="8"/>
        <v>86.969696969697083</v>
      </c>
      <c r="D93" s="5">
        <f t="shared" si="7"/>
        <v>58.001731587171264</v>
      </c>
      <c r="E93" s="5">
        <f t="shared" si="9"/>
        <v>-58.001731587171264</v>
      </c>
      <c r="F93" s="5">
        <f t="shared" si="11"/>
        <v>-86.969696969697083</v>
      </c>
      <c r="G93" s="5">
        <f t="shared" si="10"/>
        <v>58.001731587171264</v>
      </c>
      <c r="H93" s="6">
        <f t="shared" si="10"/>
        <v>-58.001731587171264</v>
      </c>
    </row>
    <row r="94" spans="2:8" x14ac:dyDescent="0.6">
      <c r="B94" s="21">
        <v>84</v>
      </c>
      <c r="C94" s="5">
        <f t="shared" si="8"/>
        <v>88.030303030303145</v>
      </c>
      <c r="D94" s="5">
        <f t="shared" si="7"/>
        <v>57.3502935157141</v>
      </c>
      <c r="E94" s="5">
        <f t="shared" si="9"/>
        <v>-57.3502935157141</v>
      </c>
      <c r="F94" s="5">
        <f t="shared" si="11"/>
        <v>-88.030303030303145</v>
      </c>
      <c r="G94" s="5">
        <f t="shared" si="10"/>
        <v>57.3502935157141</v>
      </c>
      <c r="H94" s="6">
        <f t="shared" si="10"/>
        <v>-57.3502935157141</v>
      </c>
    </row>
    <row r="95" spans="2:8" x14ac:dyDescent="0.6">
      <c r="B95" s="21">
        <v>85</v>
      </c>
      <c r="C95" s="5">
        <f t="shared" si="8"/>
        <v>89.090909090909207</v>
      </c>
      <c r="D95" s="5">
        <f t="shared" si="7"/>
        <v>56.65058213830519</v>
      </c>
      <c r="E95" s="5">
        <f t="shared" si="9"/>
        <v>-56.65058213830519</v>
      </c>
      <c r="F95" s="5">
        <f t="shared" si="11"/>
        <v>-89.090909090909207</v>
      </c>
      <c r="G95" s="5">
        <f t="shared" si="10"/>
        <v>56.65058213830519</v>
      </c>
      <c r="H95" s="6">
        <f t="shared" si="10"/>
        <v>-56.65058213830519</v>
      </c>
    </row>
    <row r="96" spans="2:8" x14ac:dyDescent="0.6">
      <c r="B96" s="21">
        <v>86</v>
      </c>
      <c r="C96" s="5">
        <f t="shared" si="8"/>
        <v>90.15151515151527</v>
      </c>
      <c r="D96" s="5">
        <f t="shared" si="7"/>
        <v>55.896979429943116</v>
      </c>
      <c r="E96" s="5">
        <f t="shared" si="9"/>
        <v>-55.896979429943116</v>
      </c>
      <c r="F96" s="5">
        <f t="shared" si="11"/>
        <v>-90.15151515151527</v>
      </c>
      <c r="G96" s="5">
        <f t="shared" si="10"/>
        <v>55.896979429943116</v>
      </c>
      <c r="H96" s="6">
        <f t="shared" si="10"/>
        <v>-55.896979429943116</v>
      </c>
    </row>
    <row r="97" spans="2:8" x14ac:dyDescent="0.6">
      <c r="B97" s="21">
        <v>87</v>
      </c>
      <c r="C97" s="5">
        <f t="shared" si="8"/>
        <v>91.212121212121332</v>
      </c>
      <c r="D97" s="5">
        <f t="shared" si="7"/>
        <v>55.082755945084145</v>
      </c>
      <c r="E97" s="5">
        <f t="shared" si="9"/>
        <v>-55.082755945084145</v>
      </c>
      <c r="F97" s="5">
        <f t="shared" si="11"/>
        <v>-91.212121212121332</v>
      </c>
      <c r="G97" s="5">
        <f t="shared" si="10"/>
        <v>55.082755945084145</v>
      </c>
      <c r="H97" s="6">
        <f t="shared" si="10"/>
        <v>-55.082755945084145</v>
      </c>
    </row>
    <row r="98" spans="2:8" x14ac:dyDescent="0.6">
      <c r="B98" s="21">
        <v>88</v>
      </c>
      <c r="C98" s="5">
        <f t="shared" si="8"/>
        <v>92.272727272727394</v>
      </c>
      <c r="D98" s="5">
        <f t="shared" si="7"/>
        <v>54.199742132189563</v>
      </c>
      <c r="E98" s="5">
        <f t="shared" si="9"/>
        <v>-54.199742132189563</v>
      </c>
      <c r="F98" s="5">
        <f t="shared" si="11"/>
        <v>-92.272727272727394</v>
      </c>
      <c r="G98" s="5">
        <f t="shared" si="10"/>
        <v>54.199742132189563</v>
      </c>
      <c r="H98" s="6">
        <f t="shared" si="10"/>
        <v>-54.199742132189563</v>
      </c>
    </row>
    <row r="99" spans="2:8" x14ac:dyDescent="0.6">
      <c r="B99" s="21">
        <v>89</v>
      </c>
      <c r="C99" s="5">
        <f t="shared" si="8"/>
        <v>93.333333333333456</v>
      </c>
      <c r="D99" s="5">
        <f t="shared" si="7"/>
        <v>53.237865434620829</v>
      </c>
      <c r="E99" s="5">
        <f t="shared" si="9"/>
        <v>-53.237865434620829</v>
      </c>
      <c r="F99" s="5">
        <f t="shared" si="11"/>
        <v>-93.333333333333456</v>
      </c>
      <c r="G99" s="5">
        <f t="shared" si="10"/>
        <v>53.237865434620829</v>
      </c>
      <c r="H99" s="6">
        <f t="shared" si="10"/>
        <v>-53.237865434620829</v>
      </c>
    </row>
    <row r="100" spans="2:8" x14ac:dyDescent="0.6">
      <c r="B100" s="21">
        <v>90</v>
      </c>
      <c r="C100" s="5">
        <f t="shared" si="8"/>
        <v>94.393939393939519</v>
      </c>
      <c r="D100" s="5">
        <f t="shared" si="7"/>
        <v>52.184480390139321</v>
      </c>
      <c r="E100" s="5">
        <f t="shared" si="9"/>
        <v>-52.184480390139321</v>
      </c>
      <c r="F100" s="5">
        <f t="shared" si="11"/>
        <v>-94.393939393939519</v>
      </c>
      <c r="G100" s="5">
        <f t="shared" si="10"/>
        <v>52.184480390139321</v>
      </c>
      <c r="H100" s="6">
        <f t="shared" si="10"/>
        <v>-52.184480390139321</v>
      </c>
    </row>
    <row r="101" spans="2:8" x14ac:dyDescent="0.6">
      <c r="B101" s="21">
        <v>91</v>
      </c>
      <c r="C101" s="5">
        <f t="shared" si="8"/>
        <v>95.454545454545581</v>
      </c>
      <c r="D101" s="5">
        <f t="shared" si="7"/>
        <v>51.023367659421019</v>
      </c>
      <c r="E101" s="5">
        <f t="shared" si="9"/>
        <v>-51.023367659421019</v>
      </c>
      <c r="F101" s="5">
        <f t="shared" si="11"/>
        <v>-95.454545454545581</v>
      </c>
      <c r="G101" s="5">
        <f t="shared" si="10"/>
        <v>51.023367659421019</v>
      </c>
      <c r="H101" s="6">
        <f t="shared" si="10"/>
        <v>-51.023367659421019</v>
      </c>
    </row>
    <row r="102" spans="2:8" x14ac:dyDescent="0.6">
      <c r="B102" s="21">
        <v>92</v>
      </c>
      <c r="C102" s="5">
        <f t="shared" si="8"/>
        <v>96.515151515151643</v>
      </c>
      <c r="D102" s="5">
        <f t="shared" si="7"/>
        <v>49.733180215794427</v>
      </c>
      <c r="E102" s="5">
        <f t="shared" si="9"/>
        <v>-49.733180215794427</v>
      </c>
      <c r="F102" s="5">
        <f t="shared" si="11"/>
        <v>-96.515151515151643</v>
      </c>
      <c r="G102" s="5">
        <f t="shared" si="10"/>
        <v>49.733180215794427</v>
      </c>
      <c r="H102" s="6">
        <f t="shared" si="10"/>
        <v>-49.733180215794427</v>
      </c>
    </row>
    <row r="103" spans="2:8" x14ac:dyDescent="0.6">
      <c r="B103" s="21">
        <v>93</v>
      </c>
      <c r="C103" s="5">
        <f t="shared" si="8"/>
        <v>97.575757575757706</v>
      </c>
      <c r="D103" s="5">
        <f t="shared" si="7"/>
        <v>48.284916983934664</v>
      </c>
      <c r="E103" s="5">
        <f t="shared" si="9"/>
        <v>-48.284916983934664</v>
      </c>
      <c r="F103" s="5">
        <f t="shared" si="11"/>
        <v>-97.575757575757706</v>
      </c>
      <c r="G103" s="5">
        <f t="shared" si="10"/>
        <v>48.284916983934664</v>
      </c>
      <c r="H103" s="6">
        <f t="shared" si="10"/>
        <v>-48.284916983934664</v>
      </c>
    </row>
    <row r="104" spans="2:8" x14ac:dyDescent="0.6">
      <c r="B104" s="21">
        <v>94</v>
      </c>
      <c r="C104" s="5">
        <f t="shared" si="8"/>
        <v>98.636363636363768</v>
      </c>
      <c r="D104" s="5">
        <f t="shared" si="7"/>
        <v>46.637571783346246</v>
      </c>
      <c r="E104" s="5">
        <f t="shared" si="9"/>
        <v>-46.637571783346246</v>
      </c>
      <c r="F104" s="5">
        <f t="shared" si="11"/>
        <v>-98.636363636363768</v>
      </c>
      <c r="G104" s="5">
        <f t="shared" si="10"/>
        <v>46.637571783346246</v>
      </c>
      <c r="H104" s="6">
        <f t="shared" si="10"/>
        <v>-46.637571783346246</v>
      </c>
    </row>
    <row r="105" spans="2:8" x14ac:dyDescent="0.6">
      <c r="B105" s="21">
        <v>95</v>
      </c>
      <c r="C105" s="5">
        <f t="shared" si="8"/>
        <v>99.69696969696983</v>
      </c>
      <c r="D105" s="5">
        <f t="shared" si="7"/>
        <v>44.730066902785609</v>
      </c>
      <c r="E105" s="5">
        <f t="shared" si="9"/>
        <v>-44.730066902785609</v>
      </c>
      <c r="F105" s="5">
        <f t="shared" si="11"/>
        <v>-99.69696969696983</v>
      </c>
      <c r="G105" s="5">
        <f t="shared" si="10"/>
        <v>44.730066902785609</v>
      </c>
      <c r="H105" s="6">
        <f t="shared" si="10"/>
        <v>-44.730066902785609</v>
      </c>
    </row>
    <row r="106" spans="2:8" x14ac:dyDescent="0.6">
      <c r="B106" s="21">
        <v>96</v>
      </c>
      <c r="C106" s="5">
        <f t="shared" si="8"/>
        <v>100.75757575757589</v>
      </c>
      <c r="D106" s="5">
        <f t="shared" si="7"/>
        <v>42.464758836944561</v>
      </c>
      <c r="E106" s="5">
        <f t="shared" si="9"/>
        <v>-42.464758836944561</v>
      </c>
      <c r="F106" s="5">
        <f t="shared" si="11"/>
        <v>-100.75757575757589</v>
      </c>
      <c r="G106" s="5">
        <f t="shared" si="10"/>
        <v>42.464758836944561</v>
      </c>
      <c r="H106" s="6">
        <f t="shared" si="10"/>
        <v>-42.464758836944561</v>
      </c>
    </row>
    <row r="107" spans="2:8" x14ac:dyDescent="0.6">
      <c r="B107" s="21">
        <v>97</v>
      </c>
      <c r="C107" s="5">
        <f t="shared" si="8"/>
        <v>101.81818181818196</v>
      </c>
      <c r="D107" s="5">
        <f t="shared" si="7"/>
        <v>39.66871991185544</v>
      </c>
      <c r="E107" s="5">
        <f t="shared" si="9"/>
        <v>-39.66871991185544</v>
      </c>
      <c r="F107" s="5">
        <f t="shared" si="11"/>
        <v>-101.81818181818196</v>
      </c>
      <c r="G107" s="5">
        <f t="shared" si="10"/>
        <v>39.66871991185544</v>
      </c>
      <c r="H107" s="6">
        <f t="shared" si="10"/>
        <v>-39.66871991185544</v>
      </c>
    </row>
    <row r="108" spans="2:8" x14ac:dyDescent="0.6">
      <c r="B108" s="21">
        <v>98</v>
      </c>
      <c r="C108" s="5">
        <f t="shared" si="8"/>
        <v>102.87878787878802</v>
      </c>
      <c r="D108" s="5">
        <f t="shared" si="7"/>
        <v>35.98131870582295</v>
      </c>
      <c r="E108" s="5">
        <f t="shared" si="9"/>
        <v>-35.98131870582295</v>
      </c>
      <c r="F108" s="5">
        <f t="shared" si="11"/>
        <v>-102.87878787878802</v>
      </c>
      <c r="G108" s="5">
        <f t="shared" si="10"/>
        <v>35.98131870582295</v>
      </c>
      <c r="H108" s="6">
        <f t="shared" si="10"/>
        <v>-35.98131870582295</v>
      </c>
    </row>
    <row r="109" spans="2:8" x14ac:dyDescent="0.6">
      <c r="B109" s="21">
        <v>99</v>
      </c>
      <c r="C109" s="5">
        <f t="shared" si="8"/>
        <v>103.93939393939408</v>
      </c>
      <c r="D109" s="5">
        <f t="shared" si="7"/>
        <v>30.371670976613725</v>
      </c>
      <c r="E109" s="5">
        <f t="shared" si="9"/>
        <v>-30.371670976613725</v>
      </c>
      <c r="F109" s="5">
        <f t="shared" si="11"/>
        <v>-103.93939393939408</v>
      </c>
      <c r="G109" s="5">
        <f t="shared" si="10"/>
        <v>30.371670976613725</v>
      </c>
      <c r="H109" s="6">
        <f t="shared" si="10"/>
        <v>-30.371670976613725</v>
      </c>
    </row>
    <row r="110" spans="2:8" x14ac:dyDescent="0.6">
      <c r="B110" s="22">
        <v>100</v>
      </c>
      <c r="C110" s="5">
        <f t="shared" si="8"/>
        <v>105</v>
      </c>
      <c r="D110" s="5">
        <f t="shared" si="7"/>
        <v>0</v>
      </c>
      <c r="E110" s="5">
        <f t="shared" si="9"/>
        <v>0</v>
      </c>
      <c r="F110" s="7">
        <f t="shared" si="11"/>
        <v>-105</v>
      </c>
      <c r="G110" s="7">
        <f t="shared" si="10"/>
        <v>0</v>
      </c>
      <c r="H110" s="8">
        <f t="shared" si="10"/>
        <v>0</v>
      </c>
    </row>
  </sheetData>
  <sheetProtection algorithmName="SHA-512" hashValue="9TsYO1etUNfKwUbBveUlz/CcKrztrParRhCymV/X59Zl+3H/P6HHekbHcn4k3mj69dPX1VzAexNzn+ZNAoMAEA==" saltValue="aWUNAHvxXeVIf44aFyk8Rw==" spinCount="100000" sheet="1" objects="1" scenarios="1"/>
  <mergeCells count="1">
    <mergeCell ref="B3:D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3427-294D-48EC-9253-D1C22718C03B}">
  <dimension ref="A1:B407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ColWidth="10.6640625" defaultRowHeight="16.5" x14ac:dyDescent="0.6"/>
  <cols>
    <col min="1" max="1" width="48.19921875" style="1" customWidth="1"/>
    <col min="2" max="2" width="51.46484375" style="1" customWidth="1"/>
    <col min="3" max="16384" width="10.6640625" style="1"/>
  </cols>
  <sheetData>
    <row r="1" spans="1:2" x14ac:dyDescent="0.6">
      <c r="A1" s="1" t="s">
        <v>16</v>
      </c>
    </row>
    <row r="2" spans="1:2" x14ac:dyDescent="0.6">
      <c r="A2" s="1" t="str">
        <f>_xlfn.CONCAT(SuperElipseTabla!$C11,",",SuperElipseTabla!D11)</f>
        <v>0,68</v>
      </c>
      <c r="B2" s="1" t="str">
        <f>_xlfn.CONCAT("POINT ",A2)</f>
        <v>POINT 0,68</v>
      </c>
    </row>
    <row r="3" spans="1:2" x14ac:dyDescent="0.6">
      <c r="A3" s="1" t="str">
        <f>_xlfn.CONCAT(SuperElipseTabla!C12,",",SuperElipseTabla!$D12)</f>
        <v>1.06060606060606,67.9999998230265</v>
      </c>
      <c r="B3" s="1" t="str">
        <f t="shared" ref="B3:B66" si="0">_xlfn.CONCAT("POINT ",A3)</f>
        <v>POINT 1.06060606060606,67.9999998230265</v>
      </c>
    </row>
    <row r="4" spans="1:2" x14ac:dyDescent="0.6">
      <c r="A4" s="1" t="str">
        <f>_xlfn.CONCAT(SuperElipseTabla!C13,",",SuperElipseTabla!D13)</f>
        <v>2.12121212121212,67.9999971684245</v>
      </c>
      <c r="B4" s="1" t="str">
        <f t="shared" si="0"/>
        <v>POINT 2.12121212121212,67.9999971684245</v>
      </c>
    </row>
    <row r="5" spans="1:2" x14ac:dyDescent="0.6">
      <c r="A5" s="1" t="str">
        <f>_xlfn.CONCAT(SuperElipseTabla!C14,",",SuperElipseTabla!D14)</f>
        <v>3.18181818181818,67.9999856651452</v>
      </c>
      <c r="B5" s="1" t="str">
        <f t="shared" si="0"/>
        <v>POINT 3.18181818181818,67.9999856651452</v>
      </c>
    </row>
    <row r="6" spans="1:2" x14ac:dyDescent="0.6">
      <c r="A6" s="1" t="str">
        <f>_xlfn.CONCAT(SuperElipseTabla!C15,",",SuperElipseTabla!D15)</f>
        <v>4.24242424242424,67.9999546947489</v>
      </c>
      <c r="B6" s="1" t="str">
        <f t="shared" si="0"/>
        <v>POINT 4.24242424242424,67.9999546947489</v>
      </c>
    </row>
    <row r="7" spans="1:2" x14ac:dyDescent="0.6">
      <c r="A7" s="1" t="str">
        <f>_xlfn.CONCAT(SuperElipseTabla!C16,",",SuperElipseTabla!D16)</f>
        <v>5.3030303030303,67.9998893913173</v>
      </c>
      <c r="B7" s="1" t="str">
        <f t="shared" si="0"/>
        <v>POINT 5.3030303030303,67.9998893913173</v>
      </c>
    </row>
    <row r="8" spans="1:2" x14ac:dyDescent="0.6">
      <c r="A8" s="1" t="str">
        <f>_xlfn.CONCAT(SuperElipseTabla!C17,",",SuperElipseTabla!D17)</f>
        <v>6.36363636363636,67.9997706412348</v>
      </c>
      <c r="B8" s="1" t="str">
        <f t="shared" si="0"/>
        <v>POINT 6.36363636363636,67.9997706412348</v>
      </c>
    </row>
    <row r="9" spans="1:2" x14ac:dyDescent="0.6">
      <c r="A9" s="1" t="str">
        <f>_xlfn.CONCAT(SuperElipseTabla!C18,",",SuperElipseTabla!D18)</f>
        <v>7.42424242424242,67.9995750827386</v>
      </c>
      <c r="B9" s="1" t="str">
        <f t="shared" si="0"/>
        <v>POINT 7.42424242424242,67.9995750827386</v>
      </c>
    </row>
    <row r="10" spans="1:2" x14ac:dyDescent="0.6">
      <c r="A10" s="1" t="str">
        <f>_xlfn.CONCAT(SuperElipseTabla!C19,",",SuperElipseTabla!D19)</f>
        <v>8.48484848484848,67.9992751051147</v>
      </c>
      <c r="B10" s="1" t="str">
        <f t="shared" si="0"/>
        <v>POINT 8.48484848484848,67.9992751051147</v>
      </c>
    </row>
    <row r="11" spans="1:2" x14ac:dyDescent="0.6">
      <c r="A11" s="1" t="str">
        <f>_xlfn.CONCAT(SuperElipseTabla!C20,",",SuperElipseTabla!D20)</f>
        <v>9.54545454545454,67.9988388473848</v>
      </c>
      <c r="B11" s="1" t="str">
        <f t="shared" si="0"/>
        <v>POINT 9.54545454545454,67.9988388473848</v>
      </c>
    </row>
    <row r="12" spans="1:2" x14ac:dyDescent="0.6">
      <c r="A12" s="1" t="str">
        <f>_xlfn.CONCAT(SuperElipseTabla!C21,",",SuperElipseTabla!D21)</f>
        <v>10.6060606060606,67.9982301963038</v>
      </c>
      <c r="B12" s="1" t="str">
        <f t="shared" si="0"/>
        <v>POINT 10.6060606060606,67.9982301963038</v>
      </c>
    </row>
    <row r="13" spans="1:2" x14ac:dyDescent="0.6">
      <c r="A13" s="1" t="str">
        <f>_xlfn.CONCAT(SuperElipseTabla!C22,",",SuperElipseTabla!D22)</f>
        <v>11.6666666666667,67.9974087834572</v>
      </c>
      <c r="B13" s="1" t="str">
        <f t="shared" si="0"/>
        <v>POINT 11.6666666666667,67.9974087834572</v>
      </c>
    </row>
    <row r="14" spans="1:2" x14ac:dyDescent="0.6">
      <c r="A14" s="1" t="str">
        <f>_xlfn.CONCAT(SuperElipseTabla!C23,",",SuperElipseTabla!D23)</f>
        <v>12.7272727272727,67.9963299812233</v>
      </c>
      <c r="B14" s="1" t="str">
        <f t="shared" si="0"/>
        <v>POINT 12.7272727272727,67.9963299812233</v>
      </c>
    </row>
    <row r="15" spans="1:2" x14ac:dyDescent="0.6">
      <c r="A15" s="1" t="str">
        <f>_xlfn.CONCAT(SuperElipseTabla!C24,",",SuperElipseTabla!D24)</f>
        <v>13.7878787878788,67.994944897331</v>
      </c>
      <c r="B15" s="1" t="str">
        <f t="shared" si="0"/>
        <v>POINT 13.7878787878788,67.994944897331</v>
      </c>
    </row>
    <row r="16" spans="1:2" x14ac:dyDescent="0.6">
      <c r="A16" s="1" t="str">
        <f>_xlfn.CONCAT(SuperElipseTabla!C25,",",SuperElipseTabla!D25)</f>
        <v>14.8484848484848,67.993200367721</v>
      </c>
      <c r="B16" s="1" t="str">
        <f t="shared" si="0"/>
        <v>POINT 14.8484848484848,67.993200367721</v>
      </c>
    </row>
    <row r="17" spans="1:2" x14ac:dyDescent="0.6">
      <c r="A17" s="1" t="str">
        <f>_xlfn.CONCAT(SuperElipseTabla!C26,",",SuperElipseTabla!D26)</f>
        <v>15.9090909090909,67.9910389473857</v>
      </c>
      <c r="B17" s="1" t="str">
        <f t="shared" si="0"/>
        <v>POINT 15.9090909090909,67.9910389473857</v>
      </c>
    </row>
    <row r="18" spans="1:2" x14ac:dyDescent="0.6">
      <c r="A18" s="1" t="str">
        <f>_xlfn.CONCAT(SuperElipseTabla!C27,",",SuperElipseTabla!D27)</f>
        <v>16.969696969697,67.9883988988337</v>
      </c>
      <c r="B18" s="1" t="str">
        <f t="shared" si="0"/>
        <v>POINT 16.969696969697,67.9883988988337</v>
      </c>
    </row>
    <row r="19" spans="1:2" x14ac:dyDescent="0.6">
      <c r="A19" s="1" t="str">
        <f>_xlfn.CONCAT(SuperElipseTabla!C28,",",SuperElipseTabla!D28)</f>
        <v>18.030303030303,67.9852141777955</v>
      </c>
      <c r="B19" s="1" t="str">
        <f t="shared" si="0"/>
        <v>POINT 18.030303030303,67.9852141777955</v>
      </c>
    </row>
    <row r="20" spans="1:2" x14ac:dyDescent="0.6">
      <c r="A20" s="1" t="str">
        <f>_xlfn.CONCAT(SuperElipseTabla!C29,",",SuperElipseTabla!D29)</f>
        <v>19.0909090909091,67.9814144157566</v>
      </c>
      <c r="B20" s="1" t="str">
        <f t="shared" si="0"/>
        <v>POINT 19.0909090909091,67.9814144157566</v>
      </c>
    </row>
    <row r="21" spans="1:2" x14ac:dyDescent="0.6">
      <c r="A21" s="1" t="str">
        <f>_xlfn.CONCAT(SuperElipseTabla!C30,",",SuperElipseTabla!D30)</f>
        <v>20.1515151515152,67.9769248988678</v>
      </c>
      <c r="B21" s="1" t="str">
        <f t="shared" si="0"/>
        <v>POINT 20.1515151515152,67.9769248988678</v>
      </c>
    </row>
    <row r="22" spans="1:2" x14ac:dyDescent="0.6">
      <c r="A22" s="1" t="str">
        <f>_xlfn.CONCAT(SuperElipseTabla!C31,",",SuperElipseTabla!D31)</f>
        <v>21.2121212121212,67.9716665427557</v>
      </c>
      <c r="B22" s="1" t="str">
        <f t="shared" si="0"/>
        <v>POINT 21.2121212121212,67.9716665427557</v>
      </c>
    </row>
    <row r="23" spans="1:2" x14ac:dyDescent="0.6">
      <c r="A23" s="1" t="str">
        <f>_xlfn.CONCAT(SuperElipseTabla!C32,",",SuperElipseTabla!D32)</f>
        <v>22.2727272727273,67.9655558627142</v>
      </c>
      <c r="B23" s="1" t="str">
        <f t="shared" si="0"/>
        <v>POINT 22.2727272727273,67.9655558627142</v>
      </c>
    </row>
    <row r="24" spans="1:2" x14ac:dyDescent="0.6">
      <c r="A24" s="1" t="str">
        <f>_xlfn.CONCAT(SuperElipseTabla!C33,",",SuperElipseTabla!D33)</f>
        <v>23.3333333333333,67.958504938727</v>
      </c>
      <c r="B24" s="1" t="str">
        <f t="shared" si="0"/>
        <v>POINT 23.3333333333333,67.958504938727</v>
      </c>
    </row>
    <row r="25" spans="1:2" x14ac:dyDescent="0.6">
      <c r="A25" s="1" t="str">
        <f>_xlfn.CONCAT(SuperElipseTabla!C34,",",SuperElipseTabla!D34)</f>
        <v>24.3939393939394,67.9504213747275</v>
      </c>
      <c r="B25" s="1" t="str">
        <f t="shared" si="0"/>
        <v>POINT 24.3939393939394,67.9504213747275</v>
      </c>
    </row>
    <row r="26" spans="1:2" x14ac:dyDescent="0.6">
      <c r="A26" s="1" t="str">
        <f>_xlfn.CONCAT(SuperElipseTabla!C35,",",SuperElipseTabla!D35)</f>
        <v>25.4545454545455,67.9412082514629</v>
      </c>
      <c r="B26" s="1" t="str">
        <f t="shared" si="0"/>
        <v>POINT 25.4545454545455,67.9412082514629</v>
      </c>
    </row>
    <row r="27" spans="1:2" x14ac:dyDescent="0.6">
      <c r="A27" s="1" t="str">
        <f>_xlfn.CONCAT(SuperElipseTabla!C36,",",SuperElipseTabla!D36)</f>
        <v>26.5151515151515,67.9307640722842</v>
      </c>
      <c r="B27" s="1" t="str">
        <f t="shared" si="0"/>
        <v>POINT 26.5151515151515,67.9307640722842</v>
      </c>
    </row>
    <row r="28" spans="1:2" x14ac:dyDescent="0.6">
      <c r="A28" s="1" t="str">
        <f>_xlfn.CONCAT(SuperElipseTabla!C37,",",SuperElipseTabla!D37)</f>
        <v>27.5757575757576,67.9189827011345</v>
      </c>
      <c r="B28" s="1" t="str">
        <f t="shared" si="0"/>
        <v>POINT 27.5757575757576,67.9189827011345</v>
      </c>
    </row>
    <row r="29" spans="1:2" x14ac:dyDescent="0.6">
      <c r="A29" s="1" t="str">
        <f>_xlfn.CONCAT(SuperElipseTabla!C38,",",SuperElipseTabla!D38)</f>
        <v>28.6363636363637,67.905753291956</v>
      </c>
      <c r="B29" s="1" t="str">
        <f t="shared" si="0"/>
        <v>POINT 28.6363636363637,67.905753291956</v>
      </c>
    </row>
    <row r="30" spans="1:2" x14ac:dyDescent="0.6">
      <c r="A30" s="1" t="str">
        <f>_xlfn.CONCAT(SuperElipseTabla!C39,",",SuperElipseTabla!D39)</f>
        <v>29.6969696969697,67.8909602086781</v>
      </c>
      <c r="B30" s="1" t="str">
        <f t="shared" si="0"/>
        <v>POINT 29.6969696969697,67.8909602086781</v>
      </c>
    </row>
    <row r="31" spans="1:2" x14ac:dyDescent="0.6">
      <c r="A31" s="1" t="str">
        <f>_xlfn.CONCAT(SuperElipseTabla!C40,",",SuperElipseTabla!D40)</f>
        <v>30.7575757575758,67.8744829348852</v>
      </c>
      <c r="B31" s="1" t="str">
        <f t="shared" si="0"/>
        <v>POINT 30.7575757575758,67.8744829348852</v>
      </c>
    </row>
    <row r="32" spans="1:2" x14ac:dyDescent="0.6">
      <c r="A32" s="1" t="str">
        <f>_xlfn.CONCAT(SuperElipseTabla!C41,",",SuperElipseTabla!D41)</f>
        <v>31.8181818181818,67.856195972195</v>
      </c>
      <c r="B32" s="1" t="str">
        <f t="shared" si="0"/>
        <v>POINT 31.8181818181818,67.856195972195</v>
      </c>
    </row>
    <row r="33" spans="1:2" x14ac:dyDescent="0.6">
      <c r="A33" s="1" t="str">
        <f>_xlfn.CONCAT(SuperElipseTabla!C42,",",SuperElipseTabla!D42)</f>
        <v>32.8787878787879,67.835968726297</v>
      </c>
      <c r="B33" s="1" t="str">
        <f t="shared" si="0"/>
        <v>POINT 32.8787878787879,67.835968726297</v>
      </c>
    </row>
    <row r="34" spans="1:2" x14ac:dyDescent="0.6">
      <c r="A34" s="1" t="str">
        <f>_xlfn.CONCAT(SuperElipseTabla!C43,",",SuperElipseTabla!D43)</f>
        <v>33.939393939394,67.8136653795197</v>
      </c>
      <c r="B34" s="1" t="str">
        <f t="shared" si="0"/>
        <v>POINT 33.939393939394,67.8136653795197</v>
      </c>
    </row>
    <row r="35" spans="1:2" x14ac:dyDescent="0.6">
      <c r="A35" s="1" t="str">
        <f>_xlfn.CONCAT(SuperElipseTabla!C44,",",SuperElipseTabla!D44)</f>
        <v>35,67.7891447486953</v>
      </c>
      <c r="B35" s="1" t="str">
        <f t="shared" si="0"/>
        <v>POINT 35,67.7891447486953</v>
      </c>
    </row>
    <row r="36" spans="1:2" x14ac:dyDescent="0.6">
      <c r="A36" s="1" t="str">
        <f>_xlfn.CONCAT(SuperElipseTabla!C45,",",SuperElipseTabla!D45)</f>
        <v>36.0606060606061,67.7622601269856</v>
      </c>
      <c r="B36" s="1" t="str">
        <f t="shared" si="0"/>
        <v>POINT 36.0606060606061,67.7622601269856</v>
      </c>
    </row>
    <row r="37" spans="1:2" x14ac:dyDescent="0.6">
      <c r="A37" s="1" t="str">
        <f>_xlfn.CONCAT(SuperElipseTabla!C46,",",SuperElipseTabla!D46)</f>
        <v>37.1212121212122,67.732859108212</v>
      </c>
      <c r="B37" s="1" t="str">
        <f t="shared" si="0"/>
        <v>POINT 37.1212121212122,67.732859108212</v>
      </c>
    </row>
    <row r="38" spans="1:2" x14ac:dyDescent="0.6">
      <c r="A38" s="1" t="str">
        <f>_xlfn.CONCAT(SuperElipseTabla!C47,",",SuperElipseTabla!D47)</f>
        <v>38.1818181818182,67.7007833920982</v>
      </c>
      <c r="B38" s="1" t="str">
        <f t="shared" si="0"/>
        <v>POINT 38.1818181818182,67.7007833920982</v>
      </c>
    </row>
    <row r="39" spans="1:2" x14ac:dyDescent="0.6">
      <c r="A39" s="1" t="str">
        <f>_xlfn.CONCAT(SuperElipseTabla!C48,",",SuperElipseTabla!D48)</f>
        <v>39.2424242424243,67.6658685686813</v>
      </c>
      <c r="B39" s="1" t="str">
        <f t="shared" si="0"/>
        <v>POINT 39.2424242424243,67.6658685686813</v>
      </c>
    </row>
    <row r="40" spans="1:2" x14ac:dyDescent="0.6">
      <c r="A40" s="1" t="str">
        <f>_xlfn.CONCAT(SuperElipseTabla!C49,",",SuperElipseTabla!D49)</f>
        <v>40.3030303030303,67.6279438799764</v>
      </c>
      <c r="B40" s="1" t="str">
        <f t="shared" si="0"/>
        <v>POINT 40.3030303030303,67.6279438799764</v>
      </c>
    </row>
    <row r="41" spans="1:2" x14ac:dyDescent="0.6">
      <c r="A41" s="1" t="str">
        <f>_xlfn.CONCAT(SuperElipseTabla!C50,",",SuperElipseTabla!D50)</f>
        <v>41.3636363636364,67.586831956784</v>
      </c>
      <c r="B41" s="1" t="str">
        <f t="shared" si="0"/>
        <v>POINT 41.3636363636364,67.586831956784</v>
      </c>
    </row>
    <row r="42" spans="1:2" x14ac:dyDescent="0.6">
      <c r="A42" s="1" t="str">
        <f>_xlfn.CONCAT(SuperElipseTabla!C51,",",SuperElipseTabla!D51)</f>
        <v>42.4242424242425,67.542348528313</v>
      </c>
      <c r="B42" s="1" t="str">
        <f t="shared" si="0"/>
        <v>POINT 42.4242424242425,67.542348528313</v>
      </c>
    </row>
    <row r="43" spans="1:2" x14ac:dyDescent="0.6">
      <c r="A43" s="1" t="str">
        <f>_xlfn.CONCAT(SuperElipseTabla!C52,",",SuperElipseTabla!D52)</f>
        <v>43.4848484848485,67.4943021020382</v>
      </c>
      <c r="B43" s="1" t="str">
        <f t="shared" si="0"/>
        <v>POINT 43.4848484848485,67.4943021020382</v>
      </c>
    </row>
    <row r="44" spans="1:2" x14ac:dyDescent="0.6">
      <c r="A44" s="1" t="str">
        <f>_xlfn.CONCAT(SuperElipseTabla!C53,",",SuperElipseTabla!D53)</f>
        <v>44.5454545454546,67.4424936109307</v>
      </c>
      <c r="B44" s="1" t="str">
        <f t="shared" si="0"/>
        <v>POINT 44.5454545454546,67.4424936109307</v>
      </c>
    </row>
    <row r="45" spans="1:2" x14ac:dyDescent="0.6">
      <c r="A45" s="1" t="str">
        <f>_xlfn.CONCAT(SuperElipseTabla!C54,",",SuperElipseTabla!D54)</f>
        <v>45.6060606060607,67.3867160248743</v>
      </c>
      <c r="B45" s="1" t="str">
        <f t="shared" si="0"/>
        <v>POINT 45.6060606060607,67.3867160248743</v>
      </c>
    </row>
    <row r="46" spans="1:2" x14ac:dyDescent="0.6">
      <c r="A46" s="1" t="str">
        <f>_xlfn.CONCAT(SuperElipseTabla!C55,",",SuperElipseTabla!D55)</f>
        <v>46.6666666666667,67.3267539227121</v>
      </c>
      <c r="B46" s="1" t="str">
        <f t="shared" si="0"/>
        <v>POINT 46.6666666666667,67.3267539227121</v>
      </c>
    </row>
    <row r="47" spans="1:2" x14ac:dyDescent="0.6">
      <c r="A47" s="1" t="str">
        <f>_xlfn.CONCAT(SuperElipseTabla!C56,",",SuperElipseTabla!D56)</f>
        <v>47.7272727272728,67.2623830209447</v>
      </c>
      <c r="B47" s="1" t="str">
        <f t="shared" si="0"/>
        <v>POINT 47.7272727272728,67.2623830209447</v>
      </c>
    </row>
    <row r="48" spans="1:2" x14ac:dyDescent="0.6">
      <c r="A48" s="1" t="str">
        <f>_xlfn.CONCAT(SuperElipseTabla!C57,",",SuperElipseTabla!D57)</f>
        <v>48.7878787878788,67.1933696546168</v>
      </c>
      <c r="B48" s="1" t="str">
        <f t="shared" si="0"/>
        <v>POINT 48.7878787878788,67.1933696546168</v>
      </c>
    </row>
    <row r="49" spans="1:2" x14ac:dyDescent="0.6">
      <c r="A49" s="1" t="str">
        <f>_xlfn.CONCAT(SuperElipseTabla!C58,",",SuperElipseTabla!D58)</f>
        <v>49.8484848484849,67.1194702053732</v>
      </c>
      <c r="B49" s="1" t="str">
        <f t="shared" si="0"/>
        <v>POINT 49.8484848484849,67.1194702053732</v>
      </c>
    </row>
    <row r="50" spans="1:2" x14ac:dyDescent="0.6">
      <c r="A50" s="1" t="str">
        <f>_xlfn.CONCAT(SuperElipseTabla!C59,",",SuperElipseTabla!D59)</f>
        <v>50.909090909091,67.0404304710206</v>
      </c>
      <c r="B50" s="1" t="str">
        <f t="shared" si="0"/>
        <v>POINT 50.909090909091,67.0404304710206</v>
      </c>
    </row>
    <row r="51" spans="1:2" x14ac:dyDescent="0.6">
      <c r="A51" s="1" t="str">
        <f>_xlfn.CONCAT(SuperElipseTabla!C60,",",SuperElipseTabla!D60)</f>
        <v>51.969696969697,66.9559849701981</v>
      </c>
      <c r="B51" s="1" t="str">
        <f t="shared" si="0"/>
        <v>POINT 51.969696969697,66.9559849701981</v>
      </c>
    </row>
    <row r="52" spans="1:2" x14ac:dyDescent="0.6">
      <c r="A52" s="1" t="str">
        <f>_xlfn.CONCAT(SuperElipseTabla!C61,",",SuperElipseTabla!D61)</f>
        <v>53.0303030303031,66.8658561748952</v>
      </c>
      <c r="B52" s="1" t="str">
        <f t="shared" si="0"/>
        <v>POINT 53.0303030303031,66.8658561748952</v>
      </c>
    </row>
    <row r="53" spans="1:2" x14ac:dyDescent="0.6">
      <c r="A53" s="1" t="str">
        <f>_xlfn.CONCAT(SuperElipseTabla!C62,",",SuperElipseTabla!D62)</f>
        <v>54.0909090909092,66.7697536625704</v>
      </c>
      <c r="B53" s="1" t="str">
        <f t="shared" si="0"/>
        <v>POINT 54.0909090909092,66.7697536625704</v>
      </c>
    </row>
    <row r="54" spans="1:2" x14ac:dyDescent="0.6">
      <c r="A54" s="1" t="str">
        <f>_xlfn.CONCAT(SuperElipseTabla!C63,",",SuperElipseTabla!D63)</f>
        <v>55.1515151515152,66.6673731784613</v>
      </c>
      <c r="B54" s="1" t="str">
        <f t="shared" si="0"/>
        <v>POINT 55.1515151515152,66.6673731784613</v>
      </c>
    </row>
    <row r="55" spans="1:2" x14ac:dyDescent="0.6">
      <c r="A55" s="1" t="str">
        <f>_xlfn.CONCAT(SuperElipseTabla!C64,",",SuperElipseTabla!D64)</f>
        <v>56.2121212121213,66.558395597336</v>
      </c>
      <c r="B55" s="1" t="str">
        <f t="shared" si="0"/>
        <v>POINT 56.2121212121213,66.558395597336</v>
      </c>
    </row>
    <row r="56" spans="1:2" x14ac:dyDescent="0.6">
      <c r="A56" s="1" t="str">
        <f>_xlfn.CONCAT(SuperElipseTabla!C65,",",SuperElipseTabla!D65)</f>
        <v>57.2727272727273,66.4424857723522</v>
      </c>
      <c r="B56" s="1" t="str">
        <f t="shared" si="0"/>
        <v>POINT 57.2727272727273,66.4424857723522</v>
      </c>
    </row>
    <row r="57" spans="1:2" x14ac:dyDescent="0.6">
      <c r="A57" s="1" t="str">
        <f>_xlfn.CONCAT(SuperElipseTabla!C66,",",SuperElipseTabla!D66)</f>
        <v>58.3333333333334,66.319291256846</v>
      </c>
      <c r="B57" s="1" t="str">
        <f t="shared" si="0"/>
        <v>POINT 58.3333333333334,66.319291256846</v>
      </c>
    </row>
    <row r="58" spans="1:2" x14ac:dyDescent="0.6">
      <c r="A58" s="1" t="str">
        <f>_xlfn.CONCAT(SuperElipseTabla!C67,",",SuperElipseTabla!D67)</f>
        <v>59.3939393939395,66.1884408826881</v>
      </c>
      <c r="B58" s="1" t="str">
        <f t="shared" si="0"/>
        <v>POINT 59.3939393939395,66.1884408826881</v>
      </c>
    </row>
    <row r="59" spans="1:2" x14ac:dyDescent="0.6">
      <c r="A59" s="1" t="str">
        <f>_xlfn.CONCAT(SuperElipseTabla!C68,",",SuperElipseTabla!D68)</f>
        <v>60.4545454545455,66.0495431762738</v>
      </c>
      <c r="B59" s="1" t="str">
        <f t="shared" si="0"/>
        <v>POINT 60.4545454545455,66.0495431762738</v>
      </c>
    </row>
    <row r="60" spans="1:2" x14ac:dyDescent="0.6">
      <c r="A60" s="1" t="str">
        <f>_xlfn.CONCAT(SuperElipseTabla!C69,",",SuperElipseTabla!D69)</f>
        <v>61.5151515151516,65.9021845901575</v>
      </c>
      <c r="B60" s="1" t="str">
        <f t="shared" si="0"/>
        <v>POINT 61.5151515151516,65.9021845901575</v>
      </c>
    </row>
    <row r="61" spans="1:2" x14ac:dyDescent="0.6">
      <c r="A61" s="1" t="str">
        <f>_xlfn.CONCAT(SuperElipseTabla!C70,",",SuperElipseTabla!D70)</f>
        <v>62.5757575757576,65.74592752471</v>
      </c>
      <c r="B61" s="1" t="str">
        <f t="shared" si="0"/>
        <v>POINT 62.5757575757576,65.74592752471</v>
      </c>
    </row>
    <row r="62" spans="1:2" x14ac:dyDescent="0.6">
      <c r="A62" s="1" t="str">
        <f>_xlfn.CONCAT(SuperElipseTabla!C71,",",SuperElipseTabla!D71)</f>
        <v>63.6363636363637,65.5803081098301</v>
      </c>
      <c r="B62" s="1" t="str">
        <f t="shared" si="0"/>
        <v>POINT 63.6363636363637,65.5803081098301</v>
      </c>
    </row>
    <row r="63" spans="1:2" x14ac:dyDescent="0.6">
      <c r="A63" s="1" t="str">
        <f>_xlfn.CONCAT(SuperElipseTabla!C72,",",SuperElipseTabla!D72)</f>
        <v>64.6969696969698,65.4048337115331</v>
      </c>
      <c r="B63" s="1" t="str">
        <f t="shared" si="0"/>
        <v>POINT 64.6969696969698,65.4048337115331</v>
      </c>
    </row>
    <row r="64" spans="1:2" x14ac:dyDescent="0.6">
      <c r="A64" s="1" t="str">
        <f>_xlfn.CONCAT(SuperElipseTabla!C73,",",SuperElipseTabla!D73)</f>
        <v>65.7575757575758,65.2189801219495</v>
      </c>
      <c r="B64" s="1" t="str">
        <f t="shared" si="0"/>
        <v>POINT 65.7575757575758,65.2189801219495</v>
      </c>
    </row>
    <row r="65" spans="1:2" x14ac:dyDescent="0.6">
      <c r="A65" s="1" t="str">
        <f>_xlfn.CONCAT(SuperElipseTabla!C74,",",SuperElipseTabla!D74)</f>
        <v>66.8181818181819,65.022188383663</v>
      </c>
      <c r="B65" s="1" t="str">
        <f t="shared" si="0"/>
        <v>POINT 66.8181818181819,65.022188383663</v>
      </c>
    </row>
    <row r="66" spans="1:2" x14ac:dyDescent="0.6">
      <c r="A66" s="1" t="str">
        <f>_xlfn.CONCAT(SuperElipseTabla!C75,",",SuperElipseTabla!D75)</f>
        <v>67.878787878788,64.8138611900509</v>
      </c>
      <c r="B66" s="1" t="str">
        <f t="shared" si="0"/>
        <v>POINT 67.878787878788,64.8138611900509</v>
      </c>
    </row>
    <row r="67" spans="1:2" x14ac:dyDescent="0.6">
      <c r="A67" s="1" t="str">
        <f>_xlfn.CONCAT(SuperElipseTabla!C76,",",SuperElipseTabla!D76)</f>
        <v>68.939393939394,64.5933587919656</v>
      </c>
      <c r="B67" s="1" t="str">
        <f t="shared" ref="B67:B101" si="1">_xlfn.CONCAT("POINT ",A67)</f>
        <v>POINT 68.939393939394,64.5933587919656</v>
      </c>
    </row>
    <row r="68" spans="1:2" x14ac:dyDescent="0.6">
      <c r="A68" s="1" t="str">
        <f>_xlfn.CONCAT(SuperElipseTabla!C77,",",SuperElipseTabla!D77)</f>
        <v>70.0000000000001,64.3599943271633</v>
      </c>
      <c r="B68" s="1" t="str">
        <f t="shared" si="1"/>
        <v>POINT 70.0000000000001,64.3599943271633</v>
      </c>
    </row>
    <row r="69" spans="1:2" x14ac:dyDescent="0.6">
      <c r="A69" s="1" t="str">
        <f>_xlfn.CONCAT(SuperElipseTabla!C78,",",SuperElipseTabla!D78)</f>
        <v>71.0606060606061,64.1130284716535</v>
      </c>
      <c r="B69" s="1" t="str">
        <f t="shared" si="1"/>
        <v>POINT 71.0606060606061,64.1130284716535</v>
      </c>
    </row>
    <row r="70" spans="1:2" x14ac:dyDescent="0.6">
      <c r="A70" s="1" t="str">
        <f>_xlfn.CONCAT(SuperElipseTabla!C79,",",SuperElipseTabla!D79)</f>
        <v>72.1212121212122,63.8516632907003</v>
      </c>
      <c r="B70" s="1" t="str">
        <f t="shared" si="1"/>
        <v>POINT 72.1212121212122,63.8516632907003</v>
      </c>
    </row>
    <row r="71" spans="1:2" x14ac:dyDescent="0.6">
      <c r="A71" s="1" t="str">
        <f>_xlfn.CONCAT(SuperElipseTabla!C80,",",SuperElipseTabla!D80)</f>
        <v>73.1818181818183,63.5750351403504</v>
      </c>
      <c r="B71" s="1" t="str">
        <f t="shared" si="1"/>
        <v>POINT 73.1818181818183,63.5750351403504</v>
      </c>
    </row>
    <row r="72" spans="1:2" x14ac:dyDescent="0.6">
      <c r="A72" s="1" t="str">
        <f>_xlfn.CONCAT(SuperElipseTabla!C81,",",SuperElipseTabla!D81)</f>
        <v>74.2424242424243,63.2822064364953</v>
      </c>
      <c r="B72" s="1" t="str">
        <f t="shared" si="1"/>
        <v>POINT 74.2424242424243,63.2822064364953</v>
      </c>
    </row>
    <row r="73" spans="1:2" x14ac:dyDescent="0.6">
      <c r="A73" s="1" t="str">
        <f>_xlfn.CONCAT(SuperElipseTabla!C82,",",SuperElipseTabla!D82)</f>
        <v>75.3030303030304,62.9721560654655</v>
      </c>
      <c r="B73" s="1" t="str">
        <f t="shared" si="1"/>
        <v>POINT 75.3030303030304,62.9721560654655</v>
      </c>
    </row>
    <row r="74" spans="1:2" x14ac:dyDescent="0.6">
      <c r="A74" s="1" t="str">
        <f>_xlfn.CONCAT(SuperElipseTabla!C83,",",SuperElipseTabla!D83)</f>
        <v>76.3636363636365,62.6437681550957</v>
      </c>
      <c r="B74" s="1" t="str">
        <f t="shared" si="1"/>
        <v>POINT 76.3636363636365,62.6437681550957</v>
      </c>
    </row>
    <row r="75" spans="1:2" x14ac:dyDescent="0.6">
      <c r="A75" s="1" t="str">
        <f>_xlfn.CONCAT(SuperElipseTabla!C84,",",SuperElipseTabla!D84)</f>
        <v>77.4242424242425,62.2958188541583</v>
      </c>
      <c r="B75" s="1" t="str">
        <f t="shared" si="1"/>
        <v>POINT 77.4242424242425,62.2958188541583</v>
      </c>
    </row>
    <row r="76" spans="1:2" x14ac:dyDescent="0.6">
      <c r="A76" s="1" t="str">
        <f>_xlfn.CONCAT(SuperElipseTabla!C85,",",SuperElipseTabla!D85)</f>
        <v>78.4848484848486,61.9269606755581</v>
      </c>
      <c r="B76" s="1" t="str">
        <f t="shared" si="1"/>
        <v>POINT 78.4848484848486,61.9269606755581</v>
      </c>
    </row>
    <row r="77" spans="1:2" x14ac:dyDescent="0.6">
      <c r="A77" s="1" t="str">
        <f>_xlfn.CONCAT(SuperElipseTabla!C86,",",SuperElipseTabla!D86)</f>
        <v>79.5454545454546,61.535703837129</v>
      </c>
      <c r="B77" s="1" t="str">
        <f t="shared" si="1"/>
        <v>POINT 79.5454545454546,61.535703837129</v>
      </c>
    </row>
    <row r="78" spans="1:2" x14ac:dyDescent="0.6">
      <c r="A78" s="1" t="str">
        <f>_xlfn.CONCAT(SuperElipseTabla!C87,",",SuperElipseTabla!D87)</f>
        <v>80.6060606060607,61.1203938724886</v>
      </c>
      <c r="B78" s="1" t="str">
        <f t="shared" si="1"/>
        <v>POINT 80.6060606060607,61.1203938724886</v>
      </c>
    </row>
    <row r="79" spans="1:2" x14ac:dyDescent="0.6">
      <c r="A79" s="1" t="str">
        <f>_xlfn.CONCAT(SuperElipseTabla!C88,",",SuperElipseTabla!D88)</f>
        <v>81.6666666666668,60.6791845678199</v>
      </c>
      <c r="B79" s="1" t="str">
        <f t="shared" si="1"/>
        <v>POINT 81.6666666666668,60.6791845678199</v>
      </c>
    </row>
    <row r="80" spans="1:2" x14ac:dyDescent="0.6">
      <c r="A80" s="1" t="str">
        <f>_xlfn.CONCAT(SuperElipseTabla!C89,",",SuperElipseTabla!D89)</f>
        <v>82.7272727272728,60.210004986314</v>
      </c>
      <c r="B80" s="1" t="str">
        <f t="shared" si="1"/>
        <v>POINT 82.7272727272728,60.210004986314</v>
      </c>
    </row>
    <row r="81" spans="1:2" x14ac:dyDescent="0.6">
      <c r="A81" s="1" t="str">
        <f>_xlfn.CONCAT(SuperElipseTabla!C90,",",SuperElipseTabla!D90)</f>
        <v>83.7878787878789,59.7105189374376</v>
      </c>
      <c r="B81" s="1" t="str">
        <f t="shared" si="1"/>
        <v>POINT 83.7878787878789,59.7105189374376</v>
      </c>
    </row>
    <row r="82" spans="1:2" x14ac:dyDescent="0.6">
      <c r="A82" s="1" t="str">
        <f>_xlfn.CONCAT(SuperElipseTabla!C91,",",SuperElipseTabla!D91)</f>
        <v>84.848484848485,59.1780746839263</v>
      </c>
      <c r="B82" s="1" t="str">
        <f t="shared" si="1"/>
        <v>POINT 84.848484848485,59.1780746839263</v>
      </c>
    </row>
    <row r="83" spans="1:2" x14ac:dyDescent="0.6">
      <c r="A83" s="1" t="str">
        <f>_xlfn.CONCAT(SuperElipseTabla!C92,",",SuperElipseTabla!D92)</f>
        <v>85.909090909091,58.6096418804073</v>
      </c>
      <c r="B83" s="1" t="str">
        <f t="shared" si="1"/>
        <v>POINT 85.909090909091,58.6096418804073</v>
      </c>
    </row>
    <row r="84" spans="1:2" x14ac:dyDescent="0.6">
      <c r="A84" s="1" t="str">
        <f>_xlfn.CONCAT(SuperElipseTabla!C93,",",SuperElipseTabla!D93)</f>
        <v>86.9696969696971,58.0017315871713</v>
      </c>
      <c r="B84" s="1" t="str">
        <f t="shared" si="1"/>
        <v>POINT 86.9696969696971,58.0017315871713</v>
      </c>
    </row>
    <row r="85" spans="1:2" x14ac:dyDescent="0.6">
      <c r="A85" s="1" t="str">
        <f>_xlfn.CONCAT(SuperElipseTabla!C94,",",SuperElipseTabla!D94)</f>
        <v>88.0303030303031,57.3502935157141</v>
      </c>
      <c r="B85" s="1" t="str">
        <f t="shared" si="1"/>
        <v>POINT 88.0303030303031,57.3502935157141</v>
      </c>
    </row>
    <row r="86" spans="1:2" x14ac:dyDescent="0.6">
      <c r="A86" s="1" t="str">
        <f>_xlfn.CONCAT(SuperElipseTabla!C95,",",SuperElipseTabla!D95)</f>
        <v>89.0909090909092,56.6505821383052</v>
      </c>
      <c r="B86" s="1" t="str">
        <f t="shared" si="1"/>
        <v>POINT 89.0909090909092,56.6505821383052</v>
      </c>
    </row>
    <row r="87" spans="1:2" x14ac:dyDescent="0.6">
      <c r="A87" s="1" t="str">
        <f>_xlfn.CONCAT(SuperElipseTabla!C96,",",SuperElipseTabla!D96)</f>
        <v>90.1515151515153,55.8969794299431</v>
      </c>
      <c r="B87" s="1" t="str">
        <f t="shared" si="1"/>
        <v>POINT 90.1515151515153,55.8969794299431</v>
      </c>
    </row>
    <row r="88" spans="1:2" x14ac:dyDescent="0.6">
      <c r="A88" s="1" t="str">
        <f>_xlfn.CONCAT(SuperElipseTabla!C97,",",SuperElipseTabla!D97)</f>
        <v>91.2121212121213,55.0827559450841</v>
      </c>
      <c r="B88" s="1" t="str">
        <f t="shared" si="1"/>
        <v>POINT 91.2121212121213,55.0827559450841</v>
      </c>
    </row>
    <row r="89" spans="1:2" x14ac:dyDescent="0.6">
      <c r="A89" s="1" t="str">
        <f>_xlfn.CONCAT(SuperElipseTabla!C98,",",SuperElipseTabla!D98)</f>
        <v>92.2727272727274,54.1997421321896</v>
      </c>
      <c r="B89" s="1" t="str">
        <f t="shared" si="1"/>
        <v>POINT 92.2727272727274,54.1997421321896</v>
      </c>
    </row>
    <row r="90" spans="1:2" x14ac:dyDescent="0.6">
      <c r="A90" s="1" t="str">
        <f>_xlfn.CONCAT(SuperElipseTabla!C99,",",SuperElipseTabla!D99)</f>
        <v>93.3333333333335,53.2378654346208</v>
      </c>
      <c r="B90" s="1" t="str">
        <f t="shared" si="1"/>
        <v>POINT 93.3333333333335,53.2378654346208</v>
      </c>
    </row>
    <row r="91" spans="1:2" x14ac:dyDescent="0.6">
      <c r="A91" s="1" t="str">
        <f>_xlfn.CONCAT(SuperElipseTabla!C100,",",SuperElipseTabla!D100)</f>
        <v>94.3939393939395,52.1844803901393</v>
      </c>
      <c r="B91" s="1" t="str">
        <f t="shared" si="1"/>
        <v>POINT 94.3939393939395,52.1844803901393</v>
      </c>
    </row>
    <row r="92" spans="1:2" x14ac:dyDescent="0.6">
      <c r="A92" s="1" t="str">
        <f>_xlfn.CONCAT(SuperElipseTabla!C101,",",SuperElipseTabla!D101)</f>
        <v>95.4545454545456,51.023367659421</v>
      </c>
      <c r="B92" s="1" t="str">
        <f t="shared" si="1"/>
        <v>POINT 95.4545454545456,51.023367659421</v>
      </c>
    </row>
    <row r="93" spans="1:2" x14ac:dyDescent="0.6">
      <c r="A93" s="1" t="str">
        <f>_xlfn.CONCAT(SuperElipseTabla!C102,",",SuperElipseTabla!D102)</f>
        <v>96.5151515151516,49.7331802157944</v>
      </c>
      <c r="B93" s="1" t="str">
        <f t="shared" si="1"/>
        <v>POINT 96.5151515151516,49.7331802157944</v>
      </c>
    </row>
    <row r="94" spans="1:2" x14ac:dyDescent="0.6">
      <c r="A94" s="1" t="str">
        <f>_xlfn.CONCAT(SuperElipseTabla!C103,",",SuperElipseTabla!D103)</f>
        <v>97.5757575757577,48.2849169839347</v>
      </c>
      <c r="B94" s="1" t="str">
        <f t="shared" si="1"/>
        <v>POINT 97.5757575757577,48.2849169839347</v>
      </c>
    </row>
    <row r="95" spans="1:2" x14ac:dyDescent="0.6">
      <c r="A95" s="1" t="str">
        <f>_xlfn.CONCAT(SuperElipseTabla!C104,",",SuperElipseTabla!D104)</f>
        <v>98.6363636363638,46.6375717833462</v>
      </c>
      <c r="B95" s="1" t="str">
        <f t="shared" si="1"/>
        <v>POINT 98.6363636363638,46.6375717833462</v>
      </c>
    </row>
    <row r="96" spans="1:2" x14ac:dyDescent="0.6">
      <c r="A96" s="1" t="str">
        <f>_xlfn.CONCAT(SuperElipseTabla!C105,",",SuperElipseTabla!D105)</f>
        <v>99.6969696969698,44.7300669027856</v>
      </c>
      <c r="B96" s="1" t="str">
        <f t="shared" si="1"/>
        <v>POINT 99.6969696969698,44.7300669027856</v>
      </c>
    </row>
    <row r="97" spans="1:2" x14ac:dyDescent="0.6">
      <c r="A97" s="1" t="str">
        <f>_xlfn.CONCAT(SuperElipseTabla!C106,",",SuperElipseTabla!D106)</f>
        <v>100.757575757576,42.4647588369446</v>
      </c>
      <c r="B97" s="1" t="str">
        <f t="shared" si="1"/>
        <v>POINT 100.757575757576,42.4647588369446</v>
      </c>
    </row>
    <row r="98" spans="1:2" x14ac:dyDescent="0.6">
      <c r="A98" s="1" t="str">
        <f>_xlfn.CONCAT(SuperElipseTabla!C107,",",SuperElipseTabla!D107)</f>
        <v>101.818181818182,39.6687199118554</v>
      </c>
      <c r="B98" s="1" t="str">
        <f t="shared" si="1"/>
        <v>POINT 101.818181818182,39.6687199118554</v>
      </c>
    </row>
    <row r="99" spans="1:2" x14ac:dyDescent="0.6">
      <c r="A99" s="1" t="str">
        <f>_xlfn.CONCAT(SuperElipseTabla!C108,",",SuperElipseTabla!D108)</f>
        <v>102.878787878788,35.981318705823</v>
      </c>
      <c r="B99" s="1" t="str">
        <f t="shared" si="1"/>
        <v>POINT 102.878787878788,35.981318705823</v>
      </c>
    </row>
    <row r="100" spans="1:2" x14ac:dyDescent="0.6">
      <c r="A100" s="1" t="str">
        <f>_xlfn.CONCAT(SuperElipseTabla!C109,",",SuperElipseTabla!D109)</f>
        <v>103.939393939394,30.3716709766137</v>
      </c>
      <c r="B100" s="1" t="str">
        <f t="shared" si="1"/>
        <v>POINT 103.939393939394,30.3716709766137</v>
      </c>
    </row>
    <row r="101" spans="1:2" x14ac:dyDescent="0.6">
      <c r="A101" s="1" t="str">
        <f>_xlfn.CONCAT(SuperElipseTabla!C110,",",SuperElipseTabla!D110)</f>
        <v>105,0</v>
      </c>
      <c r="B101" s="1" t="str">
        <f t="shared" si="1"/>
        <v>POINT 105,0</v>
      </c>
    </row>
    <row r="103" spans="1:2" x14ac:dyDescent="0.6">
      <c r="A103" s="1" t="s">
        <v>16</v>
      </c>
    </row>
    <row r="104" spans="1:2" x14ac:dyDescent="0.6">
      <c r="A104" s="1" t="str">
        <f>_xlfn.CONCAT(SuperElipseTabla!$C11,",",SuperElipseTabla!E11)</f>
        <v>0,-68</v>
      </c>
      <c r="B104" s="1" t="str">
        <f t="shared" ref="B104:B167" si="2">_xlfn.CONCAT("POINT ",A104)</f>
        <v>POINT 0,-68</v>
      </c>
    </row>
    <row r="105" spans="1:2" x14ac:dyDescent="0.6">
      <c r="A105" s="1" t="str">
        <f>_xlfn.CONCAT(SuperElipseTabla!$C12,",",SuperElipseTabla!E12)</f>
        <v>1.06060606060606,-67.9999998230265</v>
      </c>
      <c r="B105" s="1" t="str">
        <f t="shared" si="2"/>
        <v>POINT 1.06060606060606,-67.9999998230265</v>
      </c>
    </row>
    <row r="106" spans="1:2" x14ac:dyDescent="0.6">
      <c r="A106" s="1" t="str">
        <f>_xlfn.CONCAT(SuperElipseTabla!$C13,",",SuperElipseTabla!E13)</f>
        <v>2.12121212121212,-67.9999971684245</v>
      </c>
      <c r="B106" s="1" t="str">
        <f t="shared" si="2"/>
        <v>POINT 2.12121212121212,-67.9999971684245</v>
      </c>
    </row>
    <row r="107" spans="1:2" x14ac:dyDescent="0.6">
      <c r="A107" s="1" t="str">
        <f>_xlfn.CONCAT(SuperElipseTabla!$C14,",",SuperElipseTabla!E14)</f>
        <v>3.18181818181818,-67.9999856651452</v>
      </c>
      <c r="B107" s="1" t="str">
        <f t="shared" si="2"/>
        <v>POINT 3.18181818181818,-67.9999856651452</v>
      </c>
    </row>
    <row r="108" spans="1:2" x14ac:dyDescent="0.6">
      <c r="A108" s="1" t="str">
        <f>_xlfn.CONCAT(SuperElipseTabla!$C15,",",SuperElipseTabla!E15)</f>
        <v>4.24242424242424,-67.9999546947489</v>
      </c>
      <c r="B108" s="1" t="str">
        <f t="shared" si="2"/>
        <v>POINT 4.24242424242424,-67.9999546947489</v>
      </c>
    </row>
    <row r="109" spans="1:2" x14ac:dyDescent="0.6">
      <c r="A109" s="1" t="str">
        <f>_xlfn.CONCAT(SuperElipseTabla!$C16,",",SuperElipseTabla!E16)</f>
        <v>5.3030303030303,-67.9998893913173</v>
      </c>
      <c r="B109" s="1" t="str">
        <f t="shared" si="2"/>
        <v>POINT 5.3030303030303,-67.9998893913173</v>
      </c>
    </row>
    <row r="110" spans="1:2" x14ac:dyDescent="0.6">
      <c r="A110" s="1" t="str">
        <f>_xlfn.CONCAT(SuperElipseTabla!$C17,",",SuperElipseTabla!E17)</f>
        <v>6.36363636363636,-67.9997706412348</v>
      </c>
      <c r="B110" s="1" t="str">
        <f t="shared" si="2"/>
        <v>POINT 6.36363636363636,-67.9997706412348</v>
      </c>
    </row>
    <row r="111" spans="1:2" x14ac:dyDescent="0.6">
      <c r="A111" s="1" t="str">
        <f>_xlfn.CONCAT(SuperElipseTabla!$C18,",",SuperElipseTabla!E18)</f>
        <v>7.42424242424242,-67.9995750827386</v>
      </c>
      <c r="B111" s="1" t="str">
        <f t="shared" si="2"/>
        <v>POINT 7.42424242424242,-67.9995750827386</v>
      </c>
    </row>
    <row r="112" spans="1:2" x14ac:dyDescent="0.6">
      <c r="A112" s="1" t="str">
        <f>_xlfn.CONCAT(SuperElipseTabla!$C19,",",SuperElipseTabla!E19)</f>
        <v>8.48484848484848,-67.9992751051147</v>
      </c>
      <c r="B112" s="1" t="str">
        <f t="shared" si="2"/>
        <v>POINT 8.48484848484848,-67.9992751051147</v>
      </c>
    </row>
    <row r="113" spans="1:2" x14ac:dyDescent="0.6">
      <c r="A113" s="1" t="str">
        <f>_xlfn.CONCAT(SuperElipseTabla!$C20,",",SuperElipseTabla!E20)</f>
        <v>9.54545454545454,-67.9988388473848</v>
      </c>
      <c r="B113" s="1" t="str">
        <f t="shared" si="2"/>
        <v>POINT 9.54545454545454,-67.9988388473848</v>
      </c>
    </row>
    <row r="114" spans="1:2" x14ac:dyDescent="0.6">
      <c r="A114" s="1" t="str">
        <f>_xlfn.CONCAT(SuperElipseTabla!$C21,",",SuperElipseTabla!E21)</f>
        <v>10.6060606060606,-67.9982301963038</v>
      </c>
      <c r="B114" s="1" t="str">
        <f t="shared" si="2"/>
        <v>POINT 10.6060606060606,-67.9982301963038</v>
      </c>
    </row>
    <row r="115" spans="1:2" x14ac:dyDescent="0.6">
      <c r="A115" s="1" t="str">
        <f>_xlfn.CONCAT(SuperElipseTabla!$C22,",",SuperElipseTabla!E22)</f>
        <v>11.6666666666667,-67.9974087834572</v>
      </c>
      <c r="B115" s="1" t="str">
        <f t="shared" si="2"/>
        <v>POINT 11.6666666666667,-67.9974087834572</v>
      </c>
    </row>
    <row r="116" spans="1:2" x14ac:dyDescent="0.6">
      <c r="A116" s="1" t="str">
        <f>_xlfn.CONCAT(SuperElipseTabla!$C23,",",SuperElipseTabla!E23)</f>
        <v>12.7272727272727,-67.9963299812233</v>
      </c>
      <c r="B116" s="1" t="str">
        <f t="shared" si="2"/>
        <v>POINT 12.7272727272727,-67.9963299812233</v>
      </c>
    </row>
    <row r="117" spans="1:2" x14ac:dyDescent="0.6">
      <c r="A117" s="1" t="str">
        <f>_xlfn.CONCAT(SuperElipseTabla!$C24,",",SuperElipseTabla!E24)</f>
        <v>13.7878787878788,-67.994944897331</v>
      </c>
      <c r="B117" s="1" t="str">
        <f t="shared" si="2"/>
        <v>POINT 13.7878787878788,-67.994944897331</v>
      </c>
    </row>
    <row r="118" spans="1:2" x14ac:dyDescent="0.6">
      <c r="A118" s="1" t="str">
        <f>_xlfn.CONCAT(SuperElipseTabla!$C25,",",SuperElipseTabla!E25)</f>
        <v>14.8484848484848,-67.993200367721</v>
      </c>
      <c r="B118" s="1" t="str">
        <f t="shared" si="2"/>
        <v>POINT 14.8484848484848,-67.993200367721</v>
      </c>
    </row>
    <row r="119" spans="1:2" x14ac:dyDescent="0.6">
      <c r="A119" s="1" t="str">
        <f>_xlfn.CONCAT(SuperElipseTabla!$C26,",",SuperElipseTabla!E26)</f>
        <v>15.9090909090909,-67.9910389473857</v>
      </c>
      <c r="B119" s="1" t="str">
        <f t="shared" si="2"/>
        <v>POINT 15.9090909090909,-67.9910389473857</v>
      </c>
    </row>
    <row r="120" spans="1:2" x14ac:dyDescent="0.6">
      <c r="A120" s="1" t="str">
        <f>_xlfn.CONCAT(SuperElipseTabla!$C27,",",SuperElipseTabla!E27)</f>
        <v>16.969696969697,-67.9883988988337</v>
      </c>
      <c r="B120" s="1" t="str">
        <f t="shared" si="2"/>
        <v>POINT 16.969696969697,-67.9883988988337</v>
      </c>
    </row>
    <row r="121" spans="1:2" x14ac:dyDescent="0.6">
      <c r="A121" s="1" t="str">
        <f>_xlfn.CONCAT(SuperElipseTabla!$C28,",",SuperElipseTabla!E28)</f>
        <v>18.030303030303,-67.9852141777955</v>
      </c>
      <c r="B121" s="1" t="str">
        <f t="shared" si="2"/>
        <v>POINT 18.030303030303,-67.9852141777955</v>
      </c>
    </row>
    <row r="122" spans="1:2" x14ac:dyDescent="0.6">
      <c r="A122" s="1" t="str">
        <f>_xlfn.CONCAT(SuperElipseTabla!$C29,",",SuperElipseTabla!E29)</f>
        <v>19.0909090909091,-67.9814144157566</v>
      </c>
      <c r="B122" s="1" t="str">
        <f t="shared" si="2"/>
        <v>POINT 19.0909090909091,-67.9814144157566</v>
      </c>
    </row>
    <row r="123" spans="1:2" x14ac:dyDescent="0.6">
      <c r="A123" s="1" t="str">
        <f>_xlfn.CONCAT(SuperElipseTabla!$C30,",",SuperElipseTabla!E30)</f>
        <v>20.1515151515152,-67.9769248988678</v>
      </c>
      <c r="B123" s="1" t="str">
        <f t="shared" si="2"/>
        <v>POINT 20.1515151515152,-67.9769248988678</v>
      </c>
    </row>
    <row r="124" spans="1:2" x14ac:dyDescent="0.6">
      <c r="A124" s="1" t="str">
        <f>_xlfn.CONCAT(SuperElipseTabla!$C31,",",SuperElipseTabla!E31)</f>
        <v>21.2121212121212,-67.9716665427557</v>
      </c>
      <c r="B124" s="1" t="str">
        <f t="shared" si="2"/>
        <v>POINT 21.2121212121212,-67.9716665427557</v>
      </c>
    </row>
    <row r="125" spans="1:2" x14ac:dyDescent="0.6">
      <c r="A125" s="1" t="str">
        <f>_xlfn.CONCAT(SuperElipseTabla!$C32,",",SuperElipseTabla!E32)</f>
        <v>22.2727272727273,-67.9655558627142</v>
      </c>
      <c r="B125" s="1" t="str">
        <f t="shared" si="2"/>
        <v>POINT 22.2727272727273,-67.9655558627142</v>
      </c>
    </row>
    <row r="126" spans="1:2" x14ac:dyDescent="0.6">
      <c r="A126" s="1" t="str">
        <f>_xlfn.CONCAT(SuperElipseTabla!$C33,",",SuperElipseTabla!E33)</f>
        <v>23.3333333333333,-67.958504938727</v>
      </c>
      <c r="B126" s="1" t="str">
        <f t="shared" si="2"/>
        <v>POINT 23.3333333333333,-67.958504938727</v>
      </c>
    </row>
    <row r="127" spans="1:2" x14ac:dyDescent="0.6">
      <c r="A127" s="1" t="str">
        <f>_xlfn.CONCAT(SuperElipseTabla!$C34,",",SuperElipseTabla!E34)</f>
        <v>24.3939393939394,-67.9504213747275</v>
      </c>
      <c r="B127" s="1" t="str">
        <f t="shared" si="2"/>
        <v>POINT 24.3939393939394,-67.9504213747275</v>
      </c>
    </row>
    <row r="128" spans="1:2" x14ac:dyDescent="0.6">
      <c r="A128" s="1" t="str">
        <f>_xlfn.CONCAT(SuperElipseTabla!$C35,",",SuperElipseTabla!E35)</f>
        <v>25.4545454545455,-67.9412082514629</v>
      </c>
      <c r="B128" s="1" t="str">
        <f t="shared" si="2"/>
        <v>POINT 25.4545454545455,-67.9412082514629</v>
      </c>
    </row>
    <row r="129" spans="1:2" x14ac:dyDescent="0.6">
      <c r="A129" s="1" t="str">
        <f>_xlfn.CONCAT(SuperElipseTabla!$C36,",",SuperElipseTabla!E36)</f>
        <v>26.5151515151515,-67.9307640722842</v>
      </c>
      <c r="B129" s="1" t="str">
        <f t="shared" si="2"/>
        <v>POINT 26.5151515151515,-67.9307640722842</v>
      </c>
    </row>
    <row r="130" spans="1:2" x14ac:dyDescent="0.6">
      <c r="A130" s="1" t="str">
        <f>_xlfn.CONCAT(SuperElipseTabla!$C37,",",SuperElipseTabla!E37)</f>
        <v>27.5757575757576,-67.9189827011345</v>
      </c>
      <c r="B130" s="1" t="str">
        <f t="shared" si="2"/>
        <v>POINT 27.5757575757576,-67.9189827011345</v>
      </c>
    </row>
    <row r="131" spans="1:2" x14ac:dyDescent="0.6">
      <c r="A131" s="1" t="str">
        <f>_xlfn.CONCAT(SuperElipseTabla!$C38,",",SuperElipseTabla!E38)</f>
        <v>28.6363636363637,-67.905753291956</v>
      </c>
      <c r="B131" s="1" t="str">
        <f t="shared" si="2"/>
        <v>POINT 28.6363636363637,-67.905753291956</v>
      </c>
    </row>
    <row r="132" spans="1:2" x14ac:dyDescent="0.6">
      <c r="A132" s="1" t="str">
        <f>_xlfn.CONCAT(SuperElipseTabla!$C39,",",SuperElipseTabla!E39)</f>
        <v>29.6969696969697,-67.8909602086781</v>
      </c>
      <c r="B132" s="1" t="str">
        <f t="shared" si="2"/>
        <v>POINT 29.6969696969697,-67.8909602086781</v>
      </c>
    </row>
    <row r="133" spans="1:2" x14ac:dyDescent="0.6">
      <c r="A133" s="1" t="str">
        <f>_xlfn.CONCAT(SuperElipseTabla!$C40,",",SuperElipseTabla!E40)</f>
        <v>30.7575757575758,-67.8744829348852</v>
      </c>
      <c r="B133" s="1" t="str">
        <f t="shared" si="2"/>
        <v>POINT 30.7575757575758,-67.8744829348852</v>
      </c>
    </row>
    <row r="134" spans="1:2" x14ac:dyDescent="0.6">
      <c r="A134" s="1" t="str">
        <f>_xlfn.CONCAT(SuperElipseTabla!$C41,",",SuperElipseTabla!E41)</f>
        <v>31.8181818181818,-67.856195972195</v>
      </c>
      <c r="B134" s="1" t="str">
        <f t="shared" si="2"/>
        <v>POINT 31.8181818181818,-67.856195972195</v>
      </c>
    </row>
    <row r="135" spans="1:2" x14ac:dyDescent="0.6">
      <c r="A135" s="1" t="str">
        <f>_xlfn.CONCAT(SuperElipseTabla!$C42,",",SuperElipseTabla!E42)</f>
        <v>32.8787878787879,-67.835968726297</v>
      </c>
      <c r="B135" s="1" t="str">
        <f t="shared" si="2"/>
        <v>POINT 32.8787878787879,-67.835968726297</v>
      </c>
    </row>
    <row r="136" spans="1:2" x14ac:dyDescent="0.6">
      <c r="A136" s="1" t="str">
        <f>_xlfn.CONCAT(SuperElipseTabla!$C43,",",SuperElipseTabla!E43)</f>
        <v>33.939393939394,-67.8136653795197</v>
      </c>
      <c r="B136" s="1" t="str">
        <f t="shared" si="2"/>
        <v>POINT 33.939393939394,-67.8136653795197</v>
      </c>
    </row>
    <row r="137" spans="1:2" x14ac:dyDescent="0.6">
      <c r="A137" s="1" t="str">
        <f>_xlfn.CONCAT(SuperElipseTabla!$C44,",",SuperElipseTabla!E44)</f>
        <v>35,-67.7891447486953</v>
      </c>
      <c r="B137" s="1" t="str">
        <f t="shared" si="2"/>
        <v>POINT 35,-67.7891447486953</v>
      </c>
    </row>
    <row r="138" spans="1:2" x14ac:dyDescent="0.6">
      <c r="A138" s="1" t="str">
        <f>_xlfn.CONCAT(SuperElipseTabla!$C45,",",SuperElipseTabla!E45)</f>
        <v>36.0606060606061,-67.7622601269856</v>
      </c>
      <c r="B138" s="1" t="str">
        <f t="shared" si="2"/>
        <v>POINT 36.0606060606061,-67.7622601269856</v>
      </c>
    </row>
    <row r="139" spans="1:2" x14ac:dyDescent="0.6">
      <c r="A139" s="1" t="str">
        <f>_xlfn.CONCAT(SuperElipseTabla!$C46,",",SuperElipseTabla!E46)</f>
        <v>37.1212121212122,-67.732859108212</v>
      </c>
      <c r="B139" s="1" t="str">
        <f t="shared" si="2"/>
        <v>POINT 37.1212121212122,-67.732859108212</v>
      </c>
    </row>
    <row r="140" spans="1:2" x14ac:dyDescent="0.6">
      <c r="A140" s="1" t="str">
        <f>_xlfn.CONCAT(SuperElipseTabla!$C47,",",SuperElipseTabla!E47)</f>
        <v>38.1818181818182,-67.7007833920982</v>
      </c>
      <c r="B140" s="1" t="str">
        <f t="shared" si="2"/>
        <v>POINT 38.1818181818182,-67.7007833920982</v>
      </c>
    </row>
    <row r="141" spans="1:2" x14ac:dyDescent="0.6">
      <c r="A141" s="1" t="str">
        <f>_xlfn.CONCAT(SuperElipseTabla!$C48,",",SuperElipseTabla!E48)</f>
        <v>39.2424242424243,-67.6658685686813</v>
      </c>
      <c r="B141" s="1" t="str">
        <f t="shared" si="2"/>
        <v>POINT 39.2424242424243,-67.6658685686813</v>
      </c>
    </row>
    <row r="142" spans="1:2" x14ac:dyDescent="0.6">
      <c r="A142" s="1" t="str">
        <f>_xlfn.CONCAT(SuperElipseTabla!$C49,",",SuperElipseTabla!E49)</f>
        <v>40.3030303030303,-67.6279438799764</v>
      </c>
      <c r="B142" s="1" t="str">
        <f t="shared" si="2"/>
        <v>POINT 40.3030303030303,-67.6279438799764</v>
      </c>
    </row>
    <row r="143" spans="1:2" x14ac:dyDescent="0.6">
      <c r="A143" s="1" t="str">
        <f>_xlfn.CONCAT(SuperElipseTabla!$C50,",",SuperElipseTabla!E50)</f>
        <v>41.3636363636364,-67.586831956784</v>
      </c>
      <c r="B143" s="1" t="str">
        <f t="shared" si="2"/>
        <v>POINT 41.3636363636364,-67.586831956784</v>
      </c>
    </row>
    <row r="144" spans="1:2" x14ac:dyDescent="0.6">
      <c r="A144" s="1" t="str">
        <f>_xlfn.CONCAT(SuperElipseTabla!$C51,",",SuperElipseTabla!E51)</f>
        <v>42.4242424242425,-67.542348528313</v>
      </c>
      <c r="B144" s="1" t="str">
        <f t="shared" si="2"/>
        <v>POINT 42.4242424242425,-67.542348528313</v>
      </c>
    </row>
    <row r="145" spans="1:2" x14ac:dyDescent="0.6">
      <c r="A145" s="1" t="str">
        <f>_xlfn.CONCAT(SuperElipseTabla!$C52,",",SuperElipseTabla!E52)</f>
        <v>43.4848484848485,-67.4943021020382</v>
      </c>
      <c r="B145" s="1" t="str">
        <f t="shared" si="2"/>
        <v>POINT 43.4848484848485,-67.4943021020382</v>
      </c>
    </row>
    <row r="146" spans="1:2" x14ac:dyDescent="0.6">
      <c r="A146" s="1" t="str">
        <f>_xlfn.CONCAT(SuperElipseTabla!$C53,",",SuperElipseTabla!E53)</f>
        <v>44.5454545454546,-67.4424936109307</v>
      </c>
      <c r="B146" s="1" t="str">
        <f t="shared" si="2"/>
        <v>POINT 44.5454545454546,-67.4424936109307</v>
      </c>
    </row>
    <row r="147" spans="1:2" x14ac:dyDescent="0.6">
      <c r="A147" s="1" t="str">
        <f>_xlfn.CONCAT(SuperElipseTabla!$C54,",",SuperElipseTabla!E54)</f>
        <v>45.6060606060607,-67.3867160248743</v>
      </c>
      <c r="B147" s="1" t="str">
        <f t="shared" si="2"/>
        <v>POINT 45.6060606060607,-67.3867160248743</v>
      </c>
    </row>
    <row r="148" spans="1:2" x14ac:dyDescent="0.6">
      <c r="A148" s="1" t="str">
        <f>_xlfn.CONCAT(SuperElipseTabla!$C55,",",SuperElipseTabla!E55)</f>
        <v>46.6666666666667,-67.3267539227121</v>
      </c>
      <c r="B148" s="1" t="str">
        <f t="shared" si="2"/>
        <v>POINT 46.6666666666667,-67.3267539227121</v>
      </c>
    </row>
    <row r="149" spans="1:2" x14ac:dyDescent="0.6">
      <c r="A149" s="1" t="str">
        <f>_xlfn.CONCAT(SuperElipseTabla!$C56,",",SuperElipseTabla!E56)</f>
        <v>47.7272727272728,-67.2623830209447</v>
      </c>
      <c r="B149" s="1" t="str">
        <f t="shared" si="2"/>
        <v>POINT 47.7272727272728,-67.2623830209447</v>
      </c>
    </row>
    <row r="150" spans="1:2" x14ac:dyDescent="0.6">
      <c r="A150" s="1" t="str">
        <f>_xlfn.CONCAT(SuperElipseTabla!$C57,",",SuperElipseTabla!E57)</f>
        <v>48.7878787878788,-67.1933696546168</v>
      </c>
      <c r="B150" s="1" t="str">
        <f t="shared" si="2"/>
        <v>POINT 48.7878787878788,-67.1933696546168</v>
      </c>
    </row>
    <row r="151" spans="1:2" x14ac:dyDescent="0.6">
      <c r="A151" s="1" t="str">
        <f>_xlfn.CONCAT(SuperElipseTabla!$C58,",",SuperElipseTabla!E58)</f>
        <v>49.8484848484849,-67.1194702053732</v>
      </c>
      <c r="B151" s="1" t="str">
        <f t="shared" si="2"/>
        <v>POINT 49.8484848484849,-67.1194702053732</v>
      </c>
    </row>
    <row r="152" spans="1:2" x14ac:dyDescent="0.6">
      <c r="A152" s="1" t="str">
        <f>_xlfn.CONCAT(SuperElipseTabla!$C59,",",SuperElipseTabla!E59)</f>
        <v>50.909090909091,-67.0404304710206</v>
      </c>
      <c r="B152" s="1" t="str">
        <f t="shared" si="2"/>
        <v>POINT 50.909090909091,-67.0404304710206</v>
      </c>
    </row>
    <row r="153" spans="1:2" x14ac:dyDescent="0.6">
      <c r="A153" s="1" t="str">
        <f>_xlfn.CONCAT(SuperElipseTabla!$C60,",",SuperElipseTabla!E60)</f>
        <v>51.969696969697,-66.9559849701981</v>
      </c>
      <c r="B153" s="1" t="str">
        <f t="shared" si="2"/>
        <v>POINT 51.969696969697,-66.9559849701981</v>
      </c>
    </row>
    <row r="154" spans="1:2" x14ac:dyDescent="0.6">
      <c r="A154" s="1" t="str">
        <f>_xlfn.CONCAT(SuperElipseTabla!$C61,",",SuperElipseTabla!E61)</f>
        <v>53.0303030303031,-66.8658561748952</v>
      </c>
      <c r="B154" s="1" t="str">
        <f t="shared" si="2"/>
        <v>POINT 53.0303030303031,-66.8658561748952</v>
      </c>
    </row>
    <row r="155" spans="1:2" x14ac:dyDescent="0.6">
      <c r="A155" s="1" t="str">
        <f>_xlfn.CONCAT(SuperElipseTabla!$C62,",",SuperElipseTabla!E62)</f>
        <v>54.0909090909092,-66.7697536625704</v>
      </c>
      <c r="B155" s="1" t="str">
        <f t="shared" si="2"/>
        <v>POINT 54.0909090909092,-66.7697536625704</v>
      </c>
    </row>
    <row r="156" spans="1:2" x14ac:dyDescent="0.6">
      <c r="A156" s="1" t="str">
        <f>_xlfn.CONCAT(SuperElipseTabla!$C63,",",SuperElipseTabla!E63)</f>
        <v>55.1515151515152,-66.6673731784613</v>
      </c>
      <c r="B156" s="1" t="str">
        <f t="shared" si="2"/>
        <v>POINT 55.1515151515152,-66.6673731784613</v>
      </c>
    </row>
    <row r="157" spans="1:2" x14ac:dyDescent="0.6">
      <c r="A157" s="1" t="str">
        <f>_xlfn.CONCAT(SuperElipseTabla!$C64,",",SuperElipseTabla!E64)</f>
        <v>56.2121212121213,-66.558395597336</v>
      </c>
      <c r="B157" s="1" t="str">
        <f t="shared" si="2"/>
        <v>POINT 56.2121212121213,-66.558395597336</v>
      </c>
    </row>
    <row r="158" spans="1:2" x14ac:dyDescent="0.6">
      <c r="A158" s="1" t="str">
        <f>_xlfn.CONCAT(SuperElipseTabla!$C65,",",SuperElipseTabla!E65)</f>
        <v>57.2727272727273,-66.4424857723522</v>
      </c>
      <c r="B158" s="1" t="str">
        <f t="shared" si="2"/>
        <v>POINT 57.2727272727273,-66.4424857723522</v>
      </c>
    </row>
    <row r="159" spans="1:2" x14ac:dyDescent="0.6">
      <c r="A159" s="1" t="str">
        <f>_xlfn.CONCAT(SuperElipseTabla!$C66,",",SuperElipseTabla!E66)</f>
        <v>58.3333333333334,-66.319291256846</v>
      </c>
      <c r="B159" s="1" t="str">
        <f t="shared" si="2"/>
        <v>POINT 58.3333333333334,-66.319291256846</v>
      </c>
    </row>
    <row r="160" spans="1:2" x14ac:dyDescent="0.6">
      <c r="A160" s="1" t="str">
        <f>_xlfn.CONCAT(SuperElipseTabla!$C67,",",SuperElipseTabla!E67)</f>
        <v>59.3939393939395,-66.1884408826881</v>
      </c>
      <c r="B160" s="1" t="str">
        <f t="shared" si="2"/>
        <v>POINT 59.3939393939395,-66.1884408826881</v>
      </c>
    </row>
    <row r="161" spans="1:2" x14ac:dyDescent="0.6">
      <c r="A161" s="1" t="str">
        <f>_xlfn.CONCAT(SuperElipseTabla!$C68,",",SuperElipseTabla!E68)</f>
        <v>60.4545454545455,-66.0495431762738</v>
      </c>
      <c r="B161" s="1" t="str">
        <f t="shared" si="2"/>
        <v>POINT 60.4545454545455,-66.0495431762738</v>
      </c>
    </row>
    <row r="162" spans="1:2" x14ac:dyDescent="0.6">
      <c r="A162" s="1" t="str">
        <f>_xlfn.CONCAT(SuperElipseTabla!$C69,",",SuperElipseTabla!E69)</f>
        <v>61.5151515151516,-65.9021845901575</v>
      </c>
      <c r="B162" s="1" t="str">
        <f t="shared" si="2"/>
        <v>POINT 61.5151515151516,-65.9021845901575</v>
      </c>
    </row>
    <row r="163" spans="1:2" x14ac:dyDescent="0.6">
      <c r="A163" s="1" t="str">
        <f>_xlfn.CONCAT(SuperElipseTabla!$C70,",",SuperElipseTabla!E70)</f>
        <v>62.5757575757576,-65.74592752471</v>
      </c>
      <c r="B163" s="1" t="str">
        <f t="shared" si="2"/>
        <v>POINT 62.5757575757576,-65.74592752471</v>
      </c>
    </row>
    <row r="164" spans="1:2" x14ac:dyDescent="0.6">
      <c r="A164" s="1" t="str">
        <f>_xlfn.CONCAT(SuperElipseTabla!$C71,",",SuperElipseTabla!E71)</f>
        <v>63.6363636363637,-65.5803081098301</v>
      </c>
      <c r="B164" s="1" t="str">
        <f t="shared" si="2"/>
        <v>POINT 63.6363636363637,-65.5803081098301</v>
      </c>
    </row>
    <row r="165" spans="1:2" x14ac:dyDescent="0.6">
      <c r="A165" s="1" t="str">
        <f>_xlfn.CONCAT(SuperElipseTabla!$C72,",",SuperElipseTabla!E72)</f>
        <v>64.6969696969698,-65.4048337115331</v>
      </c>
      <c r="B165" s="1" t="str">
        <f t="shared" si="2"/>
        <v>POINT 64.6969696969698,-65.4048337115331</v>
      </c>
    </row>
    <row r="166" spans="1:2" x14ac:dyDescent="0.6">
      <c r="A166" s="1" t="str">
        <f>_xlfn.CONCAT(SuperElipseTabla!$C73,",",SuperElipseTabla!E73)</f>
        <v>65.7575757575758,-65.2189801219495</v>
      </c>
      <c r="B166" s="1" t="str">
        <f t="shared" si="2"/>
        <v>POINT 65.7575757575758,-65.2189801219495</v>
      </c>
    </row>
    <row r="167" spans="1:2" x14ac:dyDescent="0.6">
      <c r="A167" s="1" t="str">
        <f>_xlfn.CONCAT(SuperElipseTabla!$C74,",",SuperElipseTabla!E74)</f>
        <v>66.8181818181819,-65.022188383663</v>
      </c>
      <c r="B167" s="1" t="str">
        <f t="shared" si="2"/>
        <v>POINT 66.8181818181819,-65.022188383663</v>
      </c>
    </row>
    <row r="168" spans="1:2" x14ac:dyDescent="0.6">
      <c r="A168" s="1" t="str">
        <f>_xlfn.CONCAT(SuperElipseTabla!$C75,",",SuperElipseTabla!E75)</f>
        <v>67.878787878788,-64.8138611900509</v>
      </c>
      <c r="B168" s="1" t="str">
        <f t="shared" ref="B168:B203" si="3">_xlfn.CONCAT("POINT ",A168)</f>
        <v>POINT 67.878787878788,-64.8138611900509</v>
      </c>
    </row>
    <row r="169" spans="1:2" x14ac:dyDescent="0.6">
      <c r="A169" s="1" t="str">
        <f>_xlfn.CONCAT(SuperElipseTabla!$C76,",",SuperElipseTabla!E76)</f>
        <v>68.939393939394,-64.5933587919656</v>
      </c>
      <c r="B169" s="1" t="str">
        <f t="shared" si="3"/>
        <v>POINT 68.939393939394,-64.5933587919656</v>
      </c>
    </row>
    <row r="170" spans="1:2" x14ac:dyDescent="0.6">
      <c r="A170" s="1" t="str">
        <f>_xlfn.CONCAT(SuperElipseTabla!$C77,",",SuperElipseTabla!E77)</f>
        <v>70.0000000000001,-64.3599943271633</v>
      </c>
      <c r="B170" s="1" t="str">
        <f t="shared" si="3"/>
        <v>POINT 70.0000000000001,-64.3599943271633</v>
      </c>
    </row>
    <row r="171" spans="1:2" x14ac:dyDescent="0.6">
      <c r="A171" s="1" t="str">
        <f>_xlfn.CONCAT(SuperElipseTabla!$C78,",",SuperElipseTabla!E78)</f>
        <v>71.0606060606061,-64.1130284716535</v>
      </c>
      <c r="B171" s="1" t="str">
        <f t="shared" si="3"/>
        <v>POINT 71.0606060606061,-64.1130284716535</v>
      </c>
    </row>
    <row r="172" spans="1:2" x14ac:dyDescent="0.6">
      <c r="A172" s="1" t="str">
        <f>_xlfn.CONCAT(SuperElipseTabla!$C79,",",SuperElipseTabla!E79)</f>
        <v>72.1212121212122,-63.8516632907003</v>
      </c>
      <c r="B172" s="1" t="str">
        <f t="shared" si="3"/>
        <v>POINT 72.1212121212122,-63.8516632907003</v>
      </c>
    </row>
    <row r="173" spans="1:2" x14ac:dyDescent="0.6">
      <c r="A173" s="1" t="str">
        <f>_xlfn.CONCAT(SuperElipseTabla!$C80,",",SuperElipseTabla!E80)</f>
        <v>73.1818181818183,-63.5750351403504</v>
      </c>
      <c r="B173" s="1" t="str">
        <f t="shared" si="3"/>
        <v>POINT 73.1818181818183,-63.5750351403504</v>
      </c>
    </row>
    <row r="174" spans="1:2" x14ac:dyDescent="0.6">
      <c r="A174" s="1" t="str">
        <f>_xlfn.CONCAT(SuperElipseTabla!$C81,",",SuperElipseTabla!E81)</f>
        <v>74.2424242424243,-63.2822064364953</v>
      </c>
      <c r="B174" s="1" t="str">
        <f t="shared" si="3"/>
        <v>POINT 74.2424242424243,-63.2822064364953</v>
      </c>
    </row>
    <row r="175" spans="1:2" x14ac:dyDescent="0.6">
      <c r="A175" s="1" t="str">
        <f>_xlfn.CONCAT(SuperElipseTabla!$C82,",",SuperElipseTabla!E82)</f>
        <v>75.3030303030304,-62.9721560654655</v>
      </c>
      <c r="B175" s="1" t="str">
        <f t="shared" si="3"/>
        <v>POINT 75.3030303030304,-62.9721560654655</v>
      </c>
    </row>
    <row r="176" spans="1:2" x14ac:dyDescent="0.6">
      <c r="A176" s="1" t="str">
        <f>_xlfn.CONCAT(SuperElipseTabla!$C83,",",SuperElipseTabla!E83)</f>
        <v>76.3636363636365,-62.6437681550957</v>
      </c>
      <c r="B176" s="1" t="str">
        <f t="shared" si="3"/>
        <v>POINT 76.3636363636365,-62.6437681550957</v>
      </c>
    </row>
    <row r="177" spans="1:2" x14ac:dyDescent="0.6">
      <c r="A177" s="1" t="str">
        <f>_xlfn.CONCAT(SuperElipseTabla!$C84,",",SuperElipseTabla!E84)</f>
        <v>77.4242424242425,-62.2958188541583</v>
      </c>
      <c r="B177" s="1" t="str">
        <f t="shared" si="3"/>
        <v>POINT 77.4242424242425,-62.2958188541583</v>
      </c>
    </row>
    <row r="178" spans="1:2" x14ac:dyDescent="0.6">
      <c r="A178" s="1" t="str">
        <f>_xlfn.CONCAT(SuperElipseTabla!$C85,",",SuperElipseTabla!E85)</f>
        <v>78.4848484848486,-61.9269606755581</v>
      </c>
      <c r="B178" s="1" t="str">
        <f t="shared" si="3"/>
        <v>POINT 78.4848484848486,-61.9269606755581</v>
      </c>
    </row>
    <row r="179" spans="1:2" x14ac:dyDescent="0.6">
      <c r="A179" s="1" t="str">
        <f>_xlfn.CONCAT(SuperElipseTabla!$C86,",",SuperElipseTabla!E86)</f>
        <v>79.5454545454546,-61.535703837129</v>
      </c>
      <c r="B179" s="1" t="str">
        <f t="shared" si="3"/>
        <v>POINT 79.5454545454546,-61.535703837129</v>
      </c>
    </row>
    <row r="180" spans="1:2" x14ac:dyDescent="0.6">
      <c r="A180" s="1" t="str">
        <f>_xlfn.CONCAT(SuperElipseTabla!$C87,",",SuperElipseTabla!E87)</f>
        <v>80.6060606060607,-61.1203938724886</v>
      </c>
      <c r="B180" s="1" t="str">
        <f t="shared" si="3"/>
        <v>POINT 80.6060606060607,-61.1203938724886</v>
      </c>
    </row>
    <row r="181" spans="1:2" x14ac:dyDescent="0.6">
      <c r="A181" s="1" t="str">
        <f>_xlfn.CONCAT(SuperElipseTabla!$C88,",",SuperElipseTabla!E88)</f>
        <v>81.6666666666668,-60.6791845678199</v>
      </c>
      <c r="B181" s="1" t="str">
        <f t="shared" si="3"/>
        <v>POINT 81.6666666666668,-60.6791845678199</v>
      </c>
    </row>
    <row r="182" spans="1:2" x14ac:dyDescent="0.6">
      <c r="A182" s="1" t="str">
        <f>_xlfn.CONCAT(SuperElipseTabla!$C89,",",SuperElipseTabla!E89)</f>
        <v>82.7272727272728,-60.210004986314</v>
      </c>
      <c r="B182" s="1" t="str">
        <f t="shared" si="3"/>
        <v>POINT 82.7272727272728,-60.210004986314</v>
      </c>
    </row>
    <row r="183" spans="1:2" x14ac:dyDescent="0.6">
      <c r="A183" s="1" t="str">
        <f>_xlfn.CONCAT(SuperElipseTabla!$C90,",",SuperElipseTabla!E90)</f>
        <v>83.7878787878789,-59.7105189374376</v>
      </c>
      <c r="B183" s="1" t="str">
        <f t="shared" si="3"/>
        <v>POINT 83.7878787878789,-59.7105189374376</v>
      </c>
    </row>
    <row r="184" spans="1:2" x14ac:dyDescent="0.6">
      <c r="A184" s="1" t="str">
        <f>_xlfn.CONCAT(SuperElipseTabla!$C91,",",SuperElipseTabla!E91)</f>
        <v>84.848484848485,-59.1780746839263</v>
      </c>
      <c r="B184" s="1" t="str">
        <f t="shared" si="3"/>
        <v>POINT 84.848484848485,-59.1780746839263</v>
      </c>
    </row>
    <row r="185" spans="1:2" x14ac:dyDescent="0.6">
      <c r="A185" s="1" t="str">
        <f>_xlfn.CONCAT(SuperElipseTabla!$C92,",",SuperElipseTabla!E92)</f>
        <v>85.909090909091,-58.6096418804073</v>
      </c>
      <c r="B185" s="1" t="str">
        <f t="shared" si="3"/>
        <v>POINT 85.909090909091,-58.6096418804073</v>
      </c>
    </row>
    <row r="186" spans="1:2" x14ac:dyDescent="0.6">
      <c r="A186" s="1" t="str">
        <f>_xlfn.CONCAT(SuperElipseTabla!$C93,",",SuperElipseTabla!E93)</f>
        <v>86.9696969696971,-58.0017315871713</v>
      </c>
      <c r="B186" s="1" t="str">
        <f t="shared" si="3"/>
        <v>POINT 86.9696969696971,-58.0017315871713</v>
      </c>
    </row>
    <row r="187" spans="1:2" x14ac:dyDescent="0.6">
      <c r="A187" s="1" t="str">
        <f>_xlfn.CONCAT(SuperElipseTabla!$C94,",",SuperElipseTabla!E94)</f>
        <v>88.0303030303031,-57.3502935157141</v>
      </c>
      <c r="B187" s="1" t="str">
        <f t="shared" si="3"/>
        <v>POINT 88.0303030303031,-57.3502935157141</v>
      </c>
    </row>
    <row r="188" spans="1:2" x14ac:dyDescent="0.6">
      <c r="A188" s="1" t="str">
        <f>_xlfn.CONCAT(SuperElipseTabla!$C95,",",SuperElipseTabla!E95)</f>
        <v>89.0909090909092,-56.6505821383052</v>
      </c>
      <c r="B188" s="1" t="str">
        <f t="shared" si="3"/>
        <v>POINT 89.0909090909092,-56.6505821383052</v>
      </c>
    </row>
    <row r="189" spans="1:2" x14ac:dyDescent="0.6">
      <c r="A189" s="1" t="str">
        <f>_xlfn.CONCAT(SuperElipseTabla!$C96,",",SuperElipseTabla!E96)</f>
        <v>90.1515151515153,-55.8969794299431</v>
      </c>
      <c r="B189" s="1" t="str">
        <f t="shared" si="3"/>
        <v>POINT 90.1515151515153,-55.8969794299431</v>
      </c>
    </row>
    <row r="190" spans="1:2" x14ac:dyDescent="0.6">
      <c r="A190" s="1" t="str">
        <f>_xlfn.CONCAT(SuperElipseTabla!$C97,",",SuperElipseTabla!E97)</f>
        <v>91.2121212121213,-55.0827559450841</v>
      </c>
      <c r="B190" s="1" t="str">
        <f t="shared" si="3"/>
        <v>POINT 91.2121212121213,-55.0827559450841</v>
      </c>
    </row>
    <row r="191" spans="1:2" x14ac:dyDescent="0.6">
      <c r="A191" s="1" t="str">
        <f>_xlfn.CONCAT(SuperElipseTabla!$C98,",",SuperElipseTabla!E98)</f>
        <v>92.2727272727274,-54.1997421321896</v>
      </c>
      <c r="B191" s="1" t="str">
        <f t="shared" si="3"/>
        <v>POINT 92.2727272727274,-54.1997421321896</v>
      </c>
    </row>
    <row r="192" spans="1:2" x14ac:dyDescent="0.6">
      <c r="A192" s="1" t="str">
        <f>_xlfn.CONCAT(SuperElipseTabla!$C99,",",SuperElipseTabla!E99)</f>
        <v>93.3333333333335,-53.2378654346208</v>
      </c>
      <c r="B192" s="1" t="str">
        <f t="shared" si="3"/>
        <v>POINT 93.3333333333335,-53.2378654346208</v>
      </c>
    </row>
    <row r="193" spans="1:2" x14ac:dyDescent="0.6">
      <c r="A193" s="1" t="str">
        <f>_xlfn.CONCAT(SuperElipseTabla!$C100,",",SuperElipseTabla!E100)</f>
        <v>94.3939393939395,-52.1844803901393</v>
      </c>
      <c r="B193" s="1" t="str">
        <f t="shared" si="3"/>
        <v>POINT 94.3939393939395,-52.1844803901393</v>
      </c>
    </row>
    <row r="194" spans="1:2" x14ac:dyDescent="0.6">
      <c r="A194" s="1" t="str">
        <f>_xlfn.CONCAT(SuperElipseTabla!$C101,",",SuperElipseTabla!E101)</f>
        <v>95.4545454545456,-51.023367659421</v>
      </c>
      <c r="B194" s="1" t="str">
        <f t="shared" si="3"/>
        <v>POINT 95.4545454545456,-51.023367659421</v>
      </c>
    </row>
    <row r="195" spans="1:2" x14ac:dyDescent="0.6">
      <c r="A195" s="1" t="str">
        <f>_xlfn.CONCAT(SuperElipseTabla!$C102,",",SuperElipseTabla!E102)</f>
        <v>96.5151515151516,-49.7331802157944</v>
      </c>
      <c r="B195" s="1" t="str">
        <f t="shared" si="3"/>
        <v>POINT 96.5151515151516,-49.7331802157944</v>
      </c>
    </row>
    <row r="196" spans="1:2" x14ac:dyDescent="0.6">
      <c r="A196" s="1" t="str">
        <f>_xlfn.CONCAT(SuperElipseTabla!$C103,",",SuperElipseTabla!E103)</f>
        <v>97.5757575757577,-48.2849169839347</v>
      </c>
      <c r="B196" s="1" t="str">
        <f t="shared" si="3"/>
        <v>POINT 97.5757575757577,-48.2849169839347</v>
      </c>
    </row>
    <row r="197" spans="1:2" x14ac:dyDescent="0.6">
      <c r="A197" s="1" t="str">
        <f>_xlfn.CONCAT(SuperElipseTabla!$C104,",",SuperElipseTabla!E104)</f>
        <v>98.6363636363638,-46.6375717833462</v>
      </c>
      <c r="B197" s="1" t="str">
        <f t="shared" si="3"/>
        <v>POINT 98.6363636363638,-46.6375717833462</v>
      </c>
    </row>
    <row r="198" spans="1:2" x14ac:dyDescent="0.6">
      <c r="A198" s="1" t="str">
        <f>_xlfn.CONCAT(SuperElipseTabla!$C105,",",SuperElipseTabla!E105)</f>
        <v>99.6969696969698,-44.7300669027856</v>
      </c>
      <c r="B198" s="1" t="str">
        <f t="shared" si="3"/>
        <v>POINT 99.6969696969698,-44.7300669027856</v>
      </c>
    </row>
    <row r="199" spans="1:2" x14ac:dyDescent="0.6">
      <c r="A199" s="1" t="str">
        <f>_xlfn.CONCAT(SuperElipseTabla!$C106,",",SuperElipseTabla!E106)</f>
        <v>100.757575757576,-42.4647588369446</v>
      </c>
      <c r="B199" s="1" t="str">
        <f t="shared" si="3"/>
        <v>POINT 100.757575757576,-42.4647588369446</v>
      </c>
    </row>
    <row r="200" spans="1:2" x14ac:dyDescent="0.6">
      <c r="A200" s="1" t="str">
        <f>_xlfn.CONCAT(SuperElipseTabla!$C107,",",SuperElipseTabla!E107)</f>
        <v>101.818181818182,-39.6687199118554</v>
      </c>
      <c r="B200" s="1" t="str">
        <f t="shared" si="3"/>
        <v>POINT 101.818181818182,-39.6687199118554</v>
      </c>
    </row>
    <row r="201" spans="1:2" x14ac:dyDescent="0.6">
      <c r="A201" s="1" t="str">
        <f>_xlfn.CONCAT(SuperElipseTabla!$C108,",",SuperElipseTabla!E108)</f>
        <v>102.878787878788,-35.981318705823</v>
      </c>
      <c r="B201" s="1" t="str">
        <f t="shared" si="3"/>
        <v>POINT 102.878787878788,-35.981318705823</v>
      </c>
    </row>
    <row r="202" spans="1:2" x14ac:dyDescent="0.6">
      <c r="A202" s="1" t="str">
        <f>_xlfn.CONCAT(SuperElipseTabla!$C109,",",SuperElipseTabla!E109)</f>
        <v>103.939393939394,-30.3716709766137</v>
      </c>
      <c r="B202" s="1" t="str">
        <f t="shared" si="3"/>
        <v>POINT 103.939393939394,-30.3716709766137</v>
      </c>
    </row>
    <row r="203" spans="1:2" x14ac:dyDescent="0.6">
      <c r="A203" s="1" t="str">
        <f>_xlfn.CONCAT(SuperElipseTabla!$C110,",",SuperElipseTabla!E110)</f>
        <v>105,0</v>
      </c>
      <c r="B203" s="1" t="str">
        <f t="shared" si="3"/>
        <v>POINT 105,0</v>
      </c>
    </row>
    <row r="205" spans="1:2" x14ac:dyDescent="0.6">
      <c r="A205" s="1" t="s">
        <v>16</v>
      </c>
    </row>
    <row r="206" spans="1:2" x14ac:dyDescent="0.6">
      <c r="A206" s="1" t="str">
        <f>_xlfn.CONCAT(SuperElipseTabla!$F11,",",SuperElipseTabla!G11)</f>
        <v>0,68</v>
      </c>
      <c r="B206" s="1" t="str">
        <f t="shared" ref="B206:B269" si="4">_xlfn.CONCAT("POINT ",A206)</f>
        <v>POINT 0,68</v>
      </c>
    </row>
    <row r="207" spans="1:2" x14ac:dyDescent="0.6">
      <c r="A207" s="1" t="str">
        <f>_xlfn.CONCAT(SuperElipseTabla!$F12,",",SuperElipseTabla!G12)</f>
        <v>-1.06060606060606,67.9999998230265</v>
      </c>
      <c r="B207" s="1" t="str">
        <f t="shared" si="4"/>
        <v>POINT -1.06060606060606,67.9999998230265</v>
      </c>
    </row>
    <row r="208" spans="1:2" x14ac:dyDescent="0.6">
      <c r="A208" s="1" t="str">
        <f>_xlfn.CONCAT(SuperElipseTabla!$F13,",",SuperElipseTabla!G13)</f>
        <v>-2.12121212121212,67.9999971684245</v>
      </c>
      <c r="B208" s="1" t="str">
        <f t="shared" si="4"/>
        <v>POINT -2.12121212121212,67.9999971684245</v>
      </c>
    </row>
    <row r="209" spans="1:2" x14ac:dyDescent="0.6">
      <c r="A209" s="1" t="str">
        <f>_xlfn.CONCAT(SuperElipseTabla!$F14,",",SuperElipseTabla!G14)</f>
        <v>-3.18181818181818,67.9999856651452</v>
      </c>
      <c r="B209" s="1" t="str">
        <f t="shared" si="4"/>
        <v>POINT -3.18181818181818,67.9999856651452</v>
      </c>
    </row>
    <row r="210" spans="1:2" x14ac:dyDescent="0.6">
      <c r="A210" s="1" t="str">
        <f>_xlfn.CONCAT(SuperElipseTabla!$F15,",",SuperElipseTabla!G15)</f>
        <v>-4.24242424242424,67.9999546947489</v>
      </c>
      <c r="B210" s="1" t="str">
        <f t="shared" si="4"/>
        <v>POINT -4.24242424242424,67.9999546947489</v>
      </c>
    </row>
    <row r="211" spans="1:2" x14ac:dyDescent="0.6">
      <c r="A211" s="1" t="str">
        <f>_xlfn.CONCAT(SuperElipseTabla!$F16,",",SuperElipseTabla!G16)</f>
        <v>-5.3030303030303,67.9998893913173</v>
      </c>
      <c r="B211" s="1" t="str">
        <f t="shared" si="4"/>
        <v>POINT -5.3030303030303,67.9998893913173</v>
      </c>
    </row>
    <row r="212" spans="1:2" x14ac:dyDescent="0.6">
      <c r="A212" s="1" t="str">
        <f>_xlfn.CONCAT(SuperElipseTabla!$F17,",",SuperElipseTabla!G17)</f>
        <v>-6.36363636363636,67.9997706412348</v>
      </c>
      <c r="B212" s="1" t="str">
        <f t="shared" si="4"/>
        <v>POINT -6.36363636363636,67.9997706412348</v>
      </c>
    </row>
    <row r="213" spans="1:2" x14ac:dyDescent="0.6">
      <c r="A213" s="1" t="str">
        <f>_xlfn.CONCAT(SuperElipseTabla!$F18,",",SuperElipseTabla!G18)</f>
        <v>-7.42424242424242,67.9995750827386</v>
      </c>
      <c r="B213" s="1" t="str">
        <f t="shared" si="4"/>
        <v>POINT -7.42424242424242,67.9995750827386</v>
      </c>
    </row>
    <row r="214" spans="1:2" x14ac:dyDescent="0.6">
      <c r="A214" s="1" t="str">
        <f>_xlfn.CONCAT(SuperElipseTabla!$F19,",",SuperElipseTabla!G19)</f>
        <v>-8.48484848484848,67.9992751051147</v>
      </c>
      <c r="B214" s="1" t="str">
        <f t="shared" si="4"/>
        <v>POINT -8.48484848484848,67.9992751051147</v>
      </c>
    </row>
    <row r="215" spans="1:2" x14ac:dyDescent="0.6">
      <c r="A215" s="1" t="str">
        <f>_xlfn.CONCAT(SuperElipseTabla!$F20,",",SuperElipseTabla!G20)</f>
        <v>-9.54545454545454,67.9988388473848</v>
      </c>
      <c r="B215" s="1" t="str">
        <f t="shared" si="4"/>
        <v>POINT -9.54545454545454,67.9988388473848</v>
      </c>
    </row>
    <row r="216" spans="1:2" x14ac:dyDescent="0.6">
      <c r="A216" s="1" t="str">
        <f>_xlfn.CONCAT(SuperElipseTabla!$F21,",",SuperElipseTabla!G21)</f>
        <v>-10.6060606060606,67.9982301963038</v>
      </c>
      <c r="B216" s="1" t="str">
        <f t="shared" si="4"/>
        <v>POINT -10.6060606060606,67.9982301963038</v>
      </c>
    </row>
    <row r="217" spans="1:2" x14ac:dyDescent="0.6">
      <c r="A217" s="1" t="str">
        <f>_xlfn.CONCAT(SuperElipseTabla!$F22,",",SuperElipseTabla!G22)</f>
        <v>-11.6666666666667,67.9974087834572</v>
      </c>
      <c r="B217" s="1" t="str">
        <f t="shared" si="4"/>
        <v>POINT -11.6666666666667,67.9974087834572</v>
      </c>
    </row>
    <row r="218" spans="1:2" x14ac:dyDescent="0.6">
      <c r="A218" s="1" t="str">
        <f>_xlfn.CONCAT(SuperElipseTabla!$F23,",",SuperElipseTabla!G23)</f>
        <v>-12.7272727272727,67.9963299812233</v>
      </c>
      <c r="B218" s="1" t="str">
        <f t="shared" si="4"/>
        <v>POINT -12.7272727272727,67.9963299812233</v>
      </c>
    </row>
    <row r="219" spans="1:2" x14ac:dyDescent="0.6">
      <c r="A219" s="1" t="str">
        <f>_xlfn.CONCAT(SuperElipseTabla!$F24,",",SuperElipseTabla!G24)</f>
        <v>-13.7878787878788,67.994944897331</v>
      </c>
      <c r="B219" s="1" t="str">
        <f t="shared" si="4"/>
        <v>POINT -13.7878787878788,67.994944897331</v>
      </c>
    </row>
    <row r="220" spans="1:2" x14ac:dyDescent="0.6">
      <c r="A220" s="1" t="str">
        <f>_xlfn.CONCAT(SuperElipseTabla!$F25,",",SuperElipseTabla!G25)</f>
        <v>-14.8484848484848,67.993200367721</v>
      </c>
      <c r="B220" s="1" t="str">
        <f t="shared" si="4"/>
        <v>POINT -14.8484848484848,67.993200367721</v>
      </c>
    </row>
    <row r="221" spans="1:2" x14ac:dyDescent="0.6">
      <c r="A221" s="1" t="str">
        <f>_xlfn.CONCAT(SuperElipseTabla!$F26,",",SuperElipseTabla!G26)</f>
        <v>-15.9090909090909,67.9910389473857</v>
      </c>
      <c r="B221" s="1" t="str">
        <f t="shared" si="4"/>
        <v>POINT -15.9090909090909,67.9910389473857</v>
      </c>
    </row>
    <row r="222" spans="1:2" x14ac:dyDescent="0.6">
      <c r="A222" s="1" t="str">
        <f>_xlfn.CONCAT(SuperElipseTabla!$F27,",",SuperElipseTabla!G27)</f>
        <v>-16.969696969697,67.9883988988337</v>
      </c>
      <c r="B222" s="1" t="str">
        <f t="shared" si="4"/>
        <v>POINT -16.969696969697,67.9883988988337</v>
      </c>
    </row>
    <row r="223" spans="1:2" x14ac:dyDescent="0.6">
      <c r="A223" s="1" t="str">
        <f>_xlfn.CONCAT(SuperElipseTabla!$F28,",",SuperElipseTabla!G28)</f>
        <v>-18.030303030303,67.9852141777955</v>
      </c>
      <c r="B223" s="1" t="str">
        <f t="shared" si="4"/>
        <v>POINT -18.030303030303,67.9852141777955</v>
      </c>
    </row>
    <row r="224" spans="1:2" x14ac:dyDescent="0.6">
      <c r="A224" s="1" t="str">
        <f>_xlfn.CONCAT(SuperElipseTabla!$F29,",",SuperElipseTabla!G29)</f>
        <v>-19.0909090909091,67.9814144157566</v>
      </c>
      <c r="B224" s="1" t="str">
        <f t="shared" si="4"/>
        <v>POINT -19.0909090909091,67.9814144157566</v>
      </c>
    </row>
    <row r="225" spans="1:2" x14ac:dyDescent="0.6">
      <c r="A225" s="1" t="str">
        <f>_xlfn.CONCAT(SuperElipseTabla!$F30,",",SuperElipseTabla!G30)</f>
        <v>-20.1515151515152,67.9769248988678</v>
      </c>
      <c r="B225" s="1" t="str">
        <f t="shared" si="4"/>
        <v>POINT -20.1515151515152,67.9769248988678</v>
      </c>
    </row>
    <row r="226" spans="1:2" x14ac:dyDescent="0.6">
      <c r="A226" s="1" t="str">
        <f>_xlfn.CONCAT(SuperElipseTabla!$F31,",",SuperElipseTabla!G31)</f>
        <v>-21.2121212121212,67.9716665427557</v>
      </c>
      <c r="B226" s="1" t="str">
        <f t="shared" si="4"/>
        <v>POINT -21.2121212121212,67.9716665427557</v>
      </c>
    </row>
    <row r="227" spans="1:2" x14ac:dyDescent="0.6">
      <c r="A227" s="1" t="str">
        <f>_xlfn.CONCAT(SuperElipseTabla!$F32,",",SuperElipseTabla!G32)</f>
        <v>-22.2727272727273,67.9655558627142</v>
      </c>
      <c r="B227" s="1" t="str">
        <f t="shared" si="4"/>
        <v>POINT -22.2727272727273,67.9655558627142</v>
      </c>
    </row>
    <row r="228" spans="1:2" x14ac:dyDescent="0.6">
      <c r="A228" s="1" t="str">
        <f>_xlfn.CONCAT(SuperElipseTabla!$F33,",",SuperElipseTabla!G33)</f>
        <v>-23.3333333333333,67.958504938727</v>
      </c>
      <c r="B228" s="1" t="str">
        <f t="shared" si="4"/>
        <v>POINT -23.3333333333333,67.958504938727</v>
      </c>
    </row>
    <row r="229" spans="1:2" x14ac:dyDescent="0.6">
      <c r="A229" s="1" t="str">
        <f>_xlfn.CONCAT(SuperElipseTabla!$F34,",",SuperElipseTabla!G34)</f>
        <v>-24.3939393939394,67.9504213747275</v>
      </c>
      <c r="B229" s="1" t="str">
        <f t="shared" si="4"/>
        <v>POINT -24.3939393939394,67.9504213747275</v>
      </c>
    </row>
    <row r="230" spans="1:2" x14ac:dyDescent="0.6">
      <c r="A230" s="1" t="str">
        <f>_xlfn.CONCAT(SuperElipseTabla!$F35,",",SuperElipseTabla!G35)</f>
        <v>-25.4545454545455,67.9412082514629</v>
      </c>
      <c r="B230" s="1" t="str">
        <f t="shared" si="4"/>
        <v>POINT -25.4545454545455,67.9412082514629</v>
      </c>
    </row>
    <row r="231" spans="1:2" x14ac:dyDescent="0.6">
      <c r="A231" s="1" t="str">
        <f>_xlfn.CONCAT(SuperElipseTabla!$F36,",",SuperElipseTabla!G36)</f>
        <v>-26.5151515151515,67.9307640722842</v>
      </c>
      <c r="B231" s="1" t="str">
        <f t="shared" si="4"/>
        <v>POINT -26.5151515151515,67.9307640722842</v>
      </c>
    </row>
    <row r="232" spans="1:2" x14ac:dyDescent="0.6">
      <c r="A232" s="1" t="str">
        <f>_xlfn.CONCAT(SuperElipseTabla!$F37,",",SuperElipseTabla!G37)</f>
        <v>-27.5757575757576,67.9189827011345</v>
      </c>
      <c r="B232" s="1" t="str">
        <f t="shared" si="4"/>
        <v>POINT -27.5757575757576,67.9189827011345</v>
      </c>
    </row>
    <row r="233" spans="1:2" x14ac:dyDescent="0.6">
      <c r="A233" s="1" t="str">
        <f>_xlfn.CONCAT(SuperElipseTabla!$F38,",",SuperElipseTabla!G38)</f>
        <v>-28.6363636363637,67.905753291956</v>
      </c>
      <c r="B233" s="1" t="str">
        <f t="shared" si="4"/>
        <v>POINT -28.6363636363637,67.905753291956</v>
      </c>
    </row>
    <row r="234" spans="1:2" x14ac:dyDescent="0.6">
      <c r="A234" s="1" t="str">
        <f>_xlfn.CONCAT(SuperElipseTabla!$F39,",",SuperElipseTabla!G39)</f>
        <v>-29.6969696969697,67.8909602086781</v>
      </c>
      <c r="B234" s="1" t="str">
        <f t="shared" si="4"/>
        <v>POINT -29.6969696969697,67.8909602086781</v>
      </c>
    </row>
    <row r="235" spans="1:2" x14ac:dyDescent="0.6">
      <c r="A235" s="1" t="str">
        <f>_xlfn.CONCAT(SuperElipseTabla!$F40,",",SuperElipseTabla!G40)</f>
        <v>-30.7575757575758,67.8744829348852</v>
      </c>
      <c r="B235" s="1" t="str">
        <f t="shared" si="4"/>
        <v>POINT -30.7575757575758,67.8744829348852</v>
      </c>
    </row>
    <row r="236" spans="1:2" x14ac:dyDescent="0.6">
      <c r="A236" s="1" t="str">
        <f>_xlfn.CONCAT(SuperElipseTabla!$F41,",",SuperElipseTabla!G41)</f>
        <v>-31.8181818181818,67.856195972195</v>
      </c>
      <c r="B236" s="1" t="str">
        <f t="shared" si="4"/>
        <v>POINT -31.8181818181818,67.856195972195</v>
      </c>
    </row>
    <row r="237" spans="1:2" x14ac:dyDescent="0.6">
      <c r="A237" s="1" t="str">
        <f>_xlfn.CONCAT(SuperElipseTabla!$F42,",",SuperElipseTabla!G42)</f>
        <v>-32.8787878787879,67.835968726297</v>
      </c>
      <c r="B237" s="1" t="str">
        <f t="shared" si="4"/>
        <v>POINT -32.8787878787879,67.835968726297</v>
      </c>
    </row>
    <row r="238" spans="1:2" x14ac:dyDescent="0.6">
      <c r="A238" s="1" t="str">
        <f>_xlfn.CONCAT(SuperElipseTabla!$F43,",",SuperElipseTabla!G43)</f>
        <v>-33.939393939394,67.8136653795197</v>
      </c>
      <c r="B238" s="1" t="str">
        <f t="shared" si="4"/>
        <v>POINT -33.939393939394,67.8136653795197</v>
      </c>
    </row>
    <row r="239" spans="1:2" x14ac:dyDescent="0.6">
      <c r="A239" s="1" t="str">
        <f>_xlfn.CONCAT(SuperElipseTabla!$F44,",",SuperElipseTabla!G44)</f>
        <v>-35,67.7891447486953</v>
      </c>
      <c r="B239" s="1" t="str">
        <f t="shared" si="4"/>
        <v>POINT -35,67.7891447486953</v>
      </c>
    </row>
    <row r="240" spans="1:2" x14ac:dyDescent="0.6">
      <c r="A240" s="1" t="str">
        <f>_xlfn.CONCAT(SuperElipseTabla!$F45,",",SuperElipseTabla!G45)</f>
        <v>-36.0606060606061,67.7622601269856</v>
      </c>
      <c r="B240" s="1" t="str">
        <f t="shared" si="4"/>
        <v>POINT -36.0606060606061,67.7622601269856</v>
      </c>
    </row>
    <row r="241" spans="1:2" x14ac:dyDescent="0.6">
      <c r="A241" s="1" t="str">
        <f>_xlfn.CONCAT(SuperElipseTabla!$F46,",",SuperElipseTabla!G46)</f>
        <v>-37.1212121212122,67.732859108212</v>
      </c>
      <c r="B241" s="1" t="str">
        <f t="shared" si="4"/>
        <v>POINT -37.1212121212122,67.732859108212</v>
      </c>
    </row>
    <row r="242" spans="1:2" x14ac:dyDescent="0.6">
      <c r="A242" s="1" t="str">
        <f>_xlfn.CONCAT(SuperElipseTabla!$F47,",",SuperElipseTabla!G47)</f>
        <v>-38.1818181818182,67.7007833920982</v>
      </c>
      <c r="B242" s="1" t="str">
        <f t="shared" si="4"/>
        <v>POINT -38.1818181818182,67.7007833920982</v>
      </c>
    </row>
    <row r="243" spans="1:2" x14ac:dyDescent="0.6">
      <c r="A243" s="1" t="str">
        <f>_xlfn.CONCAT(SuperElipseTabla!$F48,",",SuperElipseTabla!G48)</f>
        <v>-39.2424242424243,67.6658685686813</v>
      </c>
      <c r="B243" s="1" t="str">
        <f t="shared" si="4"/>
        <v>POINT -39.2424242424243,67.6658685686813</v>
      </c>
    </row>
    <row r="244" spans="1:2" x14ac:dyDescent="0.6">
      <c r="A244" s="1" t="str">
        <f>_xlfn.CONCAT(SuperElipseTabla!$F49,",",SuperElipseTabla!G49)</f>
        <v>-40.3030303030303,67.6279438799764</v>
      </c>
      <c r="B244" s="1" t="str">
        <f t="shared" si="4"/>
        <v>POINT -40.3030303030303,67.6279438799764</v>
      </c>
    </row>
    <row r="245" spans="1:2" x14ac:dyDescent="0.6">
      <c r="A245" s="1" t="str">
        <f>_xlfn.CONCAT(SuperElipseTabla!$F50,",",SuperElipseTabla!G50)</f>
        <v>-41.3636363636364,67.586831956784</v>
      </c>
      <c r="B245" s="1" t="str">
        <f t="shared" si="4"/>
        <v>POINT -41.3636363636364,67.586831956784</v>
      </c>
    </row>
    <row r="246" spans="1:2" x14ac:dyDescent="0.6">
      <c r="A246" s="1" t="str">
        <f>_xlfn.CONCAT(SuperElipseTabla!$F51,",",SuperElipseTabla!G51)</f>
        <v>-42.4242424242425,67.542348528313</v>
      </c>
      <c r="B246" s="1" t="str">
        <f t="shared" si="4"/>
        <v>POINT -42.4242424242425,67.542348528313</v>
      </c>
    </row>
    <row r="247" spans="1:2" x14ac:dyDescent="0.6">
      <c r="A247" s="1" t="str">
        <f>_xlfn.CONCAT(SuperElipseTabla!$F52,",",SuperElipseTabla!G52)</f>
        <v>-43.4848484848485,67.4943021020382</v>
      </c>
      <c r="B247" s="1" t="str">
        <f t="shared" si="4"/>
        <v>POINT -43.4848484848485,67.4943021020382</v>
      </c>
    </row>
    <row r="248" spans="1:2" x14ac:dyDescent="0.6">
      <c r="A248" s="1" t="str">
        <f>_xlfn.CONCAT(SuperElipseTabla!$F53,",",SuperElipseTabla!G53)</f>
        <v>-44.5454545454546,67.4424936109307</v>
      </c>
      <c r="B248" s="1" t="str">
        <f t="shared" si="4"/>
        <v>POINT -44.5454545454546,67.4424936109307</v>
      </c>
    </row>
    <row r="249" spans="1:2" x14ac:dyDescent="0.6">
      <c r="A249" s="1" t="str">
        <f>_xlfn.CONCAT(SuperElipseTabla!$F54,",",SuperElipseTabla!G54)</f>
        <v>-45.6060606060607,67.3867160248743</v>
      </c>
      <c r="B249" s="1" t="str">
        <f t="shared" si="4"/>
        <v>POINT -45.6060606060607,67.3867160248743</v>
      </c>
    </row>
    <row r="250" spans="1:2" x14ac:dyDescent="0.6">
      <c r="A250" s="1" t="str">
        <f>_xlfn.CONCAT(SuperElipseTabla!$F55,",",SuperElipseTabla!G55)</f>
        <v>-46.6666666666667,67.3267539227121</v>
      </c>
      <c r="B250" s="1" t="str">
        <f t="shared" si="4"/>
        <v>POINT -46.6666666666667,67.3267539227121</v>
      </c>
    </row>
    <row r="251" spans="1:2" x14ac:dyDescent="0.6">
      <c r="A251" s="1" t="str">
        <f>_xlfn.CONCAT(SuperElipseTabla!$F56,",",SuperElipseTabla!G56)</f>
        <v>-47.7272727272728,67.2623830209447</v>
      </c>
      <c r="B251" s="1" t="str">
        <f t="shared" si="4"/>
        <v>POINT -47.7272727272728,67.2623830209447</v>
      </c>
    </row>
    <row r="252" spans="1:2" x14ac:dyDescent="0.6">
      <c r="A252" s="1" t="str">
        <f>_xlfn.CONCAT(SuperElipseTabla!$F57,",",SuperElipseTabla!G57)</f>
        <v>-48.7878787878788,67.1933696546168</v>
      </c>
      <c r="B252" s="1" t="str">
        <f t="shared" si="4"/>
        <v>POINT -48.7878787878788,67.1933696546168</v>
      </c>
    </row>
    <row r="253" spans="1:2" x14ac:dyDescent="0.6">
      <c r="A253" s="1" t="str">
        <f>_xlfn.CONCAT(SuperElipseTabla!$F58,",",SuperElipseTabla!G58)</f>
        <v>-49.8484848484849,67.1194702053732</v>
      </c>
      <c r="B253" s="1" t="str">
        <f t="shared" si="4"/>
        <v>POINT -49.8484848484849,67.1194702053732</v>
      </c>
    </row>
    <row r="254" spans="1:2" x14ac:dyDescent="0.6">
      <c r="A254" s="1" t="str">
        <f>_xlfn.CONCAT(SuperElipseTabla!$F59,",",SuperElipseTabla!G59)</f>
        <v>-50.909090909091,67.0404304710206</v>
      </c>
      <c r="B254" s="1" t="str">
        <f t="shared" si="4"/>
        <v>POINT -50.909090909091,67.0404304710206</v>
      </c>
    </row>
    <row r="255" spans="1:2" x14ac:dyDescent="0.6">
      <c r="A255" s="1" t="str">
        <f>_xlfn.CONCAT(SuperElipseTabla!$F60,",",SuperElipseTabla!G60)</f>
        <v>-51.969696969697,66.9559849701981</v>
      </c>
      <c r="B255" s="1" t="str">
        <f t="shared" si="4"/>
        <v>POINT -51.969696969697,66.9559849701981</v>
      </c>
    </row>
    <row r="256" spans="1:2" x14ac:dyDescent="0.6">
      <c r="A256" s="1" t="str">
        <f>_xlfn.CONCAT(SuperElipseTabla!$F61,",",SuperElipseTabla!G61)</f>
        <v>-53.0303030303031,66.8658561748952</v>
      </c>
      <c r="B256" s="1" t="str">
        <f t="shared" si="4"/>
        <v>POINT -53.0303030303031,66.8658561748952</v>
      </c>
    </row>
    <row r="257" spans="1:2" x14ac:dyDescent="0.6">
      <c r="A257" s="1" t="str">
        <f>_xlfn.CONCAT(SuperElipseTabla!$F62,",",SuperElipseTabla!G62)</f>
        <v>-54.0909090909092,66.7697536625704</v>
      </c>
      <c r="B257" s="1" t="str">
        <f t="shared" si="4"/>
        <v>POINT -54.0909090909092,66.7697536625704</v>
      </c>
    </row>
    <row r="258" spans="1:2" x14ac:dyDescent="0.6">
      <c r="A258" s="1" t="str">
        <f>_xlfn.CONCAT(SuperElipseTabla!$F63,",",SuperElipseTabla!G63)</f>
        <v>-55.1515151515152,66.6673731784613</v>
      </c>
      <c r="B258" s="1" t="str">
        <f t="shared" si="4"/>
        <v>POINT -55.1515151515152,66.6673731784613</v>
      </c>
    </row>
    <row r="259" spans="1:2" x14ac:dyDescent="0.6">
      <c r="A259" s="1" t="str">
        <f>_xlfn.CONCAT(SuperElipseTabla!$F64,",",SuperElipseTabla!G64)</f>
        <v>-56.2121212121213,66.558395597336</v>
      </c>
      <c r="B259" s="1" t="str">
        <f t="shared" si="4"/>
        <v>POINT -56.2121212121213,66.558395597336</v>
      </c>
    </row>
    <row r="260" spans="1:2" x14ac:dyDescent="0.6">
      <c r="A260" s="1" t="str">
        <f>_xlfn.CONCAT(SuperElipseTabla!$F65,",",SuperElipseTabla!G65)</f>
        <v>-57.2727272727273,66.4424857723522</v>
      </c>
      <c r="B260" s="1" t="str">
        <f t="shared" si="4"/>
        <v>POINT -57.2727272727273,66.4424857723522</v>
      </c>
    </row>
    <row r="261" spans="1:2" x14ac:dyDescent="0.6">
      <c r="A261" s="1" t="str">
        <f>_xlfn.CONCAT(SuperElipseTabla!$F66,",",SuperElipseTabla!G66)</f>
        <v>-58.3333333333334,66.319291256846</v>
      </c>
      <c r="B261" s="1" t="str">
        <f t="shared" si="4"/>
        <v>POINT -58.3333333333334,66.319291256846</v>
      </c>
    </row>
    <row r="262" spans="1:2" x14ac:dyDescent="0.6">
      <c r="A262" s="1" t="str">
        <f>_xlfn.CONCAT(SuperElipseTabla!$F67,",",SuperElipseTabla!G67)</f>
        <v>-59.3939393939395,66.1884408826881</v>
      </c>
      <c r="B262" s="1" t="str">
        <f t="shared" si="4"/>
        <v>POINT -59.3939393939395,66.1884408826881</v>
      </c>
    </row>
    <row r="263" spans="1:2" x14ac:dyDescent="0.6">
      <c r="A263" s="1" t="str">
        <f>_xlfn.CONCAT(SuperElipseTabla!$F68,",",SuperElipseTabla!G68)</f>
        <v>-60.4545454545455,66.0495431762738</v>
      </c>
      <c r="B263" s="1" t="str">
        <f t="shared" si="4"/>
        <v>POINT -60.4545454545455,66.0495431762738</v>
      </c>
    </row>
    <row r="264" spans="1:2" x14ac:dyDescent="0.6">
      <c r="A264" s="1" t="str">
        <f>_xlfn.CONCAT(SuperElipseTabla!$F69,",",SuperElipseTabla!G69)</f>
        <v>-61.5151515151516,65.9021845901575</v>
      </c>
      <c r="B264" s="1" t="str">
        <f t="shared" si="4"/>
        <v>POINT -61.5151515151516,65.9021845901575</v>
      </c>
    </row>
    <row r="265" spans="1:2" x14ac:dyDescent="0.6">
      <c r="A265" s="1" t="str">
        <f>_xlfn.CONCAT(SuperElipseTabla!$F70,",",SuperElipseTabla!G70)</f>
        <v>-62.5757575757576,65.74592752471</v>
      </c>
      <c r="B265" s="1" t="str">
        <f t="shared" si="4"/>
        <v>POINT -62.5757575757576,65.74592752471</v>
      </c>
    </row>
    <row r="266" spans="1:2" x14ac:dyDescent="0.6">
      <c r="A266" s="1" t="str">
        <f>_xlfn.CONCAT(SuperElipseTabla!$F71,",",SuperElipseTabla!G71)</f>
        <v>-63.6363636363637,65.5803081098301</v>
      </c>
      <c r="B266" s="1" t="str">
        <f t="shared" si="4"/>
        <v>POINT -63.6363636363637,65.5803081098301</v>
      </c>
    </row>
    <row r="267" spans="1:2" x14ac:dyDescent="0.6">
      <c r="A267" s="1" t="str">
        <f>_xlfn.CONCAT(SuperElipseTabla!$F72,",",SuperElipseTabla!G72)</f>
        <v>-64.6969696969698,65.4048337115331</v>
      </c>
      <c r="B267" s="1" t="str">
        <f t="shared" si="4"/>
        <v>POINT -64.6969696969698,65.4048337115331</v>
      </c>
    </row>
    <row r="268" spans="1:2" x14ac:dyDescent="0.6">
      <c r="A268" s="1" t="str">
        <f>_xlfn.CONCAT(SuperElipseTabla!$F73,",",SuperElipseTabla!G73)</f>
        <v>-65.7575757575758,65.2189801219495</v>
      </c>
      <c r="B268" s="1" t="str">
        <f t="shared" si="4"/>
        <v>POINT -65.7575757575758,65.2189801219495</v>
      </c>
    </row>
    <row r="269" spans="1:2" x14ac:dyDescent="0.6">
      <c r="A269" s="1" t="str">
        <f>_xlfn.CONCAT(SuperElipseTabla!$F74,",",SuperElipseTabla!G74)</f>
        <v>-66.8181818181819,65.022188383663</v>
      </c>
      <c r="B269" s="1" t="str">
        <f t="shared" si="4"/>
        <v>POINT -66.8181818181819,65.022188383663</v>
      </c>
    </row>
    <row r="270" spans="1:2" x14ac:dyDescent="0.6">
      <c r="A270" s="1" t="str">
        <f>_xlfn.CONCAT(SuperElipseTabla!$F75,",",SuperElipseTabla!G75)</f>
        <v>-67.878787878788,64.8138611900509</v>
      </c>
      <c r="B270" s="1" t="str">
        <f t="shared" ref="B270:B305" si="5">_xlfn.CONCAT("POINT ",A270)</f>
        <v>POINT -67.878787878788,64.8138611900509</v>
      </c>
    </row>
    <row r="271" spans="1:2" x14ac:dyDescent="0.6">
      <c r="A271" s="1" t="str">
        <f>_xlfn.CONCAT(SuperElipseTabla!$F76,",",SuperElipseTabla!G76)</f>
        <v>-68.939393939394,64.5933587919656</v>
      </c>
      <c r="B271" s="1" t="str">
        <f t="shared" si="5"/>
        <v>POINT -68.939393939394,64.5933587919656</v>
      </c>
    </row>
    <row r="272" spans="1:2" x14ac:dyDescent="0.6">
      <c r="A272" s="1" t="str">
        <f>_xlfn.CONCAT(SuperElipseTabla!$F77,",",SuperElipseTabla!G77)</f>
        <v>-70.0000000000001,64.3599943271633</v>
      </c>
      <c r="B272" s="1" t="str">
        <f t="shared" si="5"/>
        <v>POINT -70.0000000000001,64.3599943271633</v>
      </c>
    </row>
    <row r="273" spans="1:2" x14ac:dyDescent="0.6">
      <c r="A273" s="1" t="str">
        <f>_xlfn.CONCAT(SuperElipseTabla!$F78,",",SuperElipseTabla!G78)</f>
        <v>-71.0606060606061,64.1130284716535</v>
      </c>
      <c r="B273" s="1" t="str">
        <f t="shared" si="5"/>
        <v>POINT -71.0606060606061,64.1130284716535</v>
      </c>
    </row>
    <row r="274" spans="1:2" x14ac:dyDescent="0.6">
      <c r="A274" s="1" t="str">
        <f>_xlfn.CONCAT(SuperElipseTabla!$F79,",",SuperElipseTabla!G79)</f>
        <v>-72.1212121212122,63.8516632907003</v>
      </c>
      <c r="B274" s="1" t="str">
        <f t="shared" si="5"/>
        <v>POINT -72.1212121212122,63.8516632907003</v>
      </c>
    </row>
    <row r="275" spans="1:2" x14ac:dyDescent="0.6">
      <c r="A275" s="1" t="str">
        <f>_xlfn.CONCAT(SuperElipseTabla!$F80,",",SuperElipseTabla!G80)</f>
        <v>-73.1818181818183,63.5750351403504</v>
      </c>
      <c r="B275" s="1" t="str">
        <f t="shared" si="5"/>
        <v>POINT -73.1818181818183,63.5750351403504</v>
      </c>
    </row>
    <row r="276" spans="1:2" x14ac:dyDescent="0.6">
      <c r="A276" s="1" t="str">
        <f>_xlfn.CONCAT(SuperElipseTabla!$F81,",",SuperElipseTabla!G81)</f>
        <v>-74.2424242424243,63.2822064364953</v>
      </c>
      <c r="B276" s="1" t="str">
        <f t="shared" si="5"/>
        <v>POINT -74.2424242424243,63.2822064364953</v>
      </c>
    </row>
    <row r="277" spans="1:2" x14ac:dyDescent="0.6">
      <c r="A277" s="1" t="str">
        <f>_xlfn.CONCAT(SuperElipseTabla!$F82,",",SuperElipseTabla!G82)</f>
        <v>-75.3030303030304,62.9721560654655</v>
      </c>
      <c r="B277" s="1" t="str">
        <f t="shared" si="5"/>
        <v>POINT -75.3030303030304,62.9721560654655</v>
      </c>
    </row>
    <row r="278" spans="1:2" x14ac:dyDescent="0.6">
      <c r="A278" s="1" t="str">
        <f>_xlfn.CONCAT(SuperElipseTabla!$F83,",",SuperElipseTabla!G83)</f>
        <v>-76.3636363636365,62.6437681550957</v>
      </c>
      <c r="B278" s="1" t="str">
        <f t="shared" si="5"/>
        <v>POINT -76.3636363636365,62.6437681550957</v>
      </c>
    </row>
    <row r="279" spans="1:2" x14ac:dyDescent="0.6">
      <c r="A279" s="1" t="str">
        <f>_xlfn.CONCAT(SuperElipseTabla!$F84,",",SuperElipseTabla!G84)</f>
        <v>-77.4242424242425,62.2958188541583</v>
      </c>
      <c r="B279" s="1" t="str">
        <f t="shared" si="5"/>
        <v>POINT -77.4242424242425,62.2958188541583</v>
      </c>
    </row>
    <row r="280" spans="1:2" x14ac:dyDescent="0.6">
      <c r="A280" s="1" t="str">
        <f>_xlfn.CONCAT(SuperElipseTabla!$F85,",",SuperElipseTabla!G85)</f>
        <v>-78.4848484848486,61.9269606755581</v>
      </c>
      <c r="B280" s="1" t="str">
        <f t="shared" si="5"/>
        <v>POINT -78.4848484848486,61.9269606755581</v>
      </c>
    </row>
    <row r="281" spans="1:2" x14ac:dyDescent="0.6">
      <c r="A281" s="1" t="str">
        <f>_xlfn.CONCAT(SuperElipseTabla!$F86,",",SuperElipseTabla!G86)</f>
        <v>-79.5454545454546,61.535703837129</v>
      </c>
      <c r="B281" s="1" t="str">
        <f t="shared" si="5"/>
        <v>POINT -79.5454545454546,61.535703837129</v>
      </c>
    </row>
    <row r="282" spans="1:2" x14ac:dyDescent="0.6">
      <c r="A282" s="1" t="str">
        <f>_xlfn.CONCAT(SuperElipseTabla!$F87,",",SuperElipseTabla!G87)</f>
        <v>-80.6060606060607,61.1203938724886</v>
      </c>
      <c r="B282" s="1" t="str">
        <f t="shared" si="5"/>
        <v>POINT -80.6060606060607,61.1203938724886</v>
      </c>
    </row>
    <row r="283" spans="1:2" x14ac:dyDescent="0.6">
      <c r="A283" s="1" t="str">
        <f>_xlfn.CONCAT(SuperElipseTabla!$F88,",",SuperElipseTabla!G88)</f>
        <v>-81.6666666666668,60.6791845678199</v>
      </c>
      <c r="B283" s="1" t="str">
        <f t="shared" si="5"/>
        <v>POINT -81.6666666666668,60.6791845678199</v>
      </c>
    </row>
    <row r="284" spans="1:2" x14ac:dyDescent="0.6">
      <c r="A284" s="1" t="str">
        <f>_xlfn.CONCAT(SuperElipseTabla!$F89,",",SuperElipseTabla!G89)</f>
        <v>-82.7272727272728,60.210004986314</v>
      </c>
      <c r="B284" s="1" t="str">
        <f t="shared" si="5"/>
        <v>POINT -82.7272727272728,60.210004986314</v>
      </c>
    </row>
    <row r="285" spans="1:2" x14ac:dyDescent="0.6">
      <c r="A285" s="1" t="str">
        <f>_xlfn.CONCAT(SuperElipseTabla!$F90,",",SuperElipseTabla!G90)</f>
        <v>-83.7878787878789,59.7105189374376</v>
      </c>
      <c r="B285" s="1" t="str">
        <f t="shared" si="5"/>
        <v>POINT -83.7878787878789,59.7105189374376</v>
      </c>
    </row>
    <row r="286" spans="1:2" x14ac:dyDescent="0.6">
      <c r="A286" s="1" t="str">
        <f>_xlfn.CONCAT(SuperElipseTabla!$F91,",",SuperElipseTabla!G91)</f>
        <v>-84.848484848485,59.1780746839263</v>
      </c>
      <c r="B286" s="1" t="str">
        <f t="shared" si="5"/>
        <v>POINT -84.848484848485,59.1780746839263</v>
      </c>
    </row>
    <row r="287" spans="1:2" x14ac:dyDescent="0.6">
      <c r="A287" s="1" t="str">
        <f>_xlfn.CONCAT(SuperElipseTabla!$F92,",",SuperElipseTabla!G92)</f>
        <v>-85.909090909091,58.6096418804073</v>
      </c>
      <c r="B287" s="1" t="str">
        <f t="shared" si="5"/>
        <v>POINT -85.909090909091,58.6096418804073</v>
      </c>
    </row>
    <row r="288" spans="1:2" x14ac:dyDescent="0.6">
      <c r="A288" s="1" t="str">
        <f>_xlfn.CONCAT(SuperElipseTabla!$F93,",",SuperElipseTabla!G93)</f>
        <v>-86.9696969696971,58.0017315871713</v>
      </c>
      <c r="B288" s="1" t="str">
        <f t="shared" si="5"/>
        <v>POINT -86.9696969696971,58.0017315871713</v>
      </c>
    </row>
    <row r="289" spans="1:2" x14ac:dyDescent="0.6">
      <c r="A289" s="1" t="str">
        <f>_xlfn.CONCAT(SuperElipseTabla!$F94,",",SuperElipseTabla!G94)</f>
        <v>-88.0303030303031,57.3502935157141</v>
      </c>
      <c r="B289" s="1" t="str">
        <f t="shared" si="5"/>
        <v>POINT -88.0303030303031,57.3502935157141</v>
      </c>
    </row>
    <row r="290" spans="1:2" x14ac:dyDescent="0.6">
      <c r="A290" s="1" t="str">
        <f>_xlfn.CONCAT(SuperElipseTabla!$F95,",",SuperElipseTabla!G95)</f>
        <v>-89.0909090909092,56.6505821383052</v>
      </c>
      <c r="B290" s="1" t="str">
        <f t="shared" si="5"/>
        <v>POINT -89.0909090909092,56.6505821383052</v>
      </c>
    </row>
    <row r="291" spans="1:2" x14ac:dyDescent="0.6">
      <c r="A291" s="1" t="str">
        <f>_xlfn.CONCAT(SuperElipseTabla!$F96,",",SuperElipseTabla!G96)</f>
        <v>-90.1515151515153,55.8969794299431</v>
      </c>
      <c r="B291" s="1" t="str">
        <f t="shared" si="5"/>
        <v>POINT -90.1515151515153,55.8969794299431</v>
      </c>
    </row>
    <row r="292" spans="1:2" x14ac:dyDescent="0.6">
      <c r="A292" s="1" t="str">
        <f>_xlfn.CONCAT(SuperElipseTabla!$F97,",",SuperElipseTabla!G97)</f>
        <v>-91.2121212121213,55.0827559450841</v>
      </c>
      <c r="B292" s="1" t="str">
        <f t="shared" si="5"/>
        <v>POINT -91.2121212121213,55.0827559450841</v>
      </c>
    </row>
    <row r="293" spans="1:2" x14ac:dyDescent="0.6">
      <c r="A293" s="1" t="str">
        <f>_xlfn.CONCAT(SuperElipseTabla!$F98,",",SuperElipseTabla!G98)</f>
        <v>-92.2727272727274,54.1997421321896</v>
      </c>
      <c r="B293" s="1" t="str">
        <f t="shared" si="5"/>
        <v>POINT -92.2727272727274,54.1997421321896</v>
      </c>
    </row>
    <row r="294" spans="1:2" x14ac:dyDescent="0.6">
      <c r="A294" s="1" t="str">
        <f>_xlfn.CONCAT(SuperElipseTabla!$F99,",",SuperElipseTabla!G99)</f>
        <v>-93.3333333333335,53.2378654346208</v>
      </c>
      <c r="B294" s="1" t="str">
        <f t="shared" si="5"/>
        <v>POINT -93.3333333333335,53.2378654346208</v>
      </c>
    </row>
    <row r="295" spans="1:2" x14ac:dyDescent="0.6">
      <c r="A295" s="1" t="str">
        <f>_xlfn.CONCAT(SuperElipseTabla!$F100,",",SuperElipseTabla!G100)</f>
        <v>-94.3939393939395,52.1844803901393</v>
      </c>
      <c r="B295" s="1" t="str">
        <f t="shared" si="5"/>
        <v>POINT -94.3939393939395,52.1844803901393</v>
      </c>
    </row>
    <row r="296" spans="1:2" x14ac:dyDescent="0.6">
      <c r="A296" s="1" t="str">
        <f>_xlfn.CONCAT(SuperElipseTabla!$F101,",",SuperElipseTabla!G101)</f>
        <v>-95.4545454545456,51.023367659421</v>
      </c>
      <c r="B296" s="1" t="str">
        <f t="shared" si="5"/>
        <v>POINT -95.4545454545456,51.023367659421</v>
      </c>
    </row>
    <row r="297" spans="1:2" x14ac:dyDescent="0.6">
      <c r="A297" s="1" t="str">
        <f>_xlfn.CONCAT(SuperElipseTabla!$F102,",",SuperElipseTabla!G102)</f>
        <v>-96.5151515151516,49.7331802157944</v>
      </c>
      <c r="B297" s="1" t="str">
        <f t="shared" si="5"/>
        <v>POINT -96.5151515151516,49.7331802157944</v>
      </c>
    </row>
    <row r="298" spans="1:2" x14ac:dyDescent="0.6">
      <c r="A298" s="1" t="str">
        <f>_xlfn.CONCAT(SuperElipseTabla!$F103,",",SuperElipseTabla!G103)</f>
        <v>-97.5757575757577,48.2849169839347</v>
      </c>
      <c r="B298" s="1" t="str">
        <f t="shared" si="5"/>
        <v>POINT -97.5757575757577,48.2849169839347</v>
      </c>
    </row>
    <row r="299" spans="1:2" x14ac:dyDescent="0.6">
      <c r="A299" s="1" t="str">
        <f>_xlfn.CONCAT(SuperElipseTabla!$F104,",",SuperElipseTabla!G104)</f>
        <v>-98.6363636363638,46.6375717833462</v>
      </c>
      <c r="B299" s="1" t="str">
        <f t="shared" si="5"/>
        <v>POINT -98.6363636363638,46.6375717833462</v>
      </c>
    </row>
    <row r="300" spans="1:2" x14ac:dyDescent="0.6">
      <c r="A300" s="1" t="str">
        <f>_xlfn.CONCAT(SuperElipseTabla!$F105,",",SuperElipseTabla!G105)</f>
        <v>-99.6969696969698,44.7300669027856</v>
      </c>
      <c r="B300" s="1" t="str">
        <f t="shared" si="5"/>
        <v>POINT -99.6969696969698,44.7300669027856</v>
      </c>
    </row>
    <row r="301" spans="1:2" x14ac:dyDescent="0.6">
      <c r="A301" s="1" t="str">
        <f>_xlfn.CONCAT(SuperElipseTabla!$F106,",",SuperElipseTabla!G106)</f>
        <v>-100.757575757576,42.4647588369446</v>
      </c>
      <c r="B301" s="1" t="str">
        <f t="shared" si="5"/>
        <v>POINT -100.757575757576,42.4647588369446</v>
      </c>
    </row>
    <row r="302" spans="1:2" x14ac:dyDescent="0.6">
      <c r="A302" s="1" t="str">
        <f>_xlfn.CONCAT(SuperElipseTabla!$F107,",",SuperElipseTabla!G107)</f>
        <v>-101.818181818182,39.6687199118554</v>
      </c>
      <c r="B302" s="1" t="str">
        <f t="shared" si="5"/>
        <v>POINT -101.818181818182,39.6687199118554</v>
      </c>
    </row>
    <row r="303" spans="1:2" x14ac:dyDescent="0.6">
      <c r="A303" s="1" t="str">
        <f>_xlfn.CONCAT(SuperElipseTabla!$F108,",",SuperElipseTabla!G108)</f>
        <v>-102.878787878788,35.981318705823</v>
      </c>
      <c r="B303" s="1" t="str">
        <f t="shared" si="5"/>
        <v>POINT -102.878787878788,35.981318705823</v>
      </c>
    </row>
    <row r="304" spans="1:2" x14ac:dyDescent="0.6">
      <c r="A304" s="1" t="str">
        <f>_xlfn.CONCAT(SuperElipseTabla!$F109,",",SuperElipseTabla!G109)</f>
        <v>-103.939393939394,30.3716709766137</v>
      </c>
      <c r="B304" s="1" t="str">
        <f t="shared" si="5"/>
        <v>POINT -103.939393939394,30.3716709766137</v>
      </c>
    </row>
    <row r="305" spans="1:2" x14ac:dyDescent="0.6">
      <c r="A305" s="1" t="str">
        <f>_xlfn.CONCAT(SuperElipseTabla!$F110,",",SuperElipseTabla!G110)</f>
        <v>-105,0</v>
      </c>
      <c r="B305" s="1" t="str">
        <f t="shared" si="5"/>
        <v>POINT -105,0</v>
      </c>
    </row>
    <row r="307" spans="1:2" x14ac:dyDescent="0.6">
      <c r="A307" s="1" t="s">
        <v>16</v>
      </c>
    </row>
    <row r="308" spans="1:2" x14ac:dyDescent="0.6">
      <c r="A308" s="1" t="str">
        <f>_xlfn.CONCAT(SuperElipseTabla!$F11,",",SuperElipseTabla!H11)</f>
        <v>0,-68</v>
      </c>
      <c r="B308" s="1" t="str">
        <f t="shared" ref="B308:B371" si="6">_xlfn.CONCAT("POINT ",A308)</f>
        <v>POINT 0,-68</v>
      </c>
    </row>
    <row r="309" spans="1:2" x14ac:dyDescent="0.6">
      <c r="A309" s="1" t="str">
        <f>_xlfn.CONCAT(SuperElipseTabla!$F12,",",SuperElipseTabla!H12)</f>
        <v>-1.06060606060606,-67.9999998230265</v>
      </c>
      <c r="B309" s="1" t="str">
        <f t="shared" si="6"/>
        <v>POINT -1.06060606060606,-67.9999998230265</v>
      </c>
    </row>
    <row r="310" spans="1:2" x14ac:dyDescent="0.6">
      <c r="A310" s="1" t="str">
        <f>_xlfn.CONCAT(SuperElipseTabla!$F13,",",SuperElipseTabla!H13)</f>
        <v>-2.12121212121212,-67.9999971684245</v>
      </c>
      <c r="B310" s="1" t="str">
        <f t="shared" si="6"/>
        <v>POINT -2.12121212121212,-67.9999971684245</v>
      </c>
    </row>
    <row r="311" spans="1:2" x14ac:dyDescent="0.6">
      <c r="A311" s="1" t="str">
        <f>_xlfn.CONCAT(SuperElipseTabla!$F14,",",SuperElipseTabla!H14)</f>
        <v>-3.18181818181818,-67.9999856651452</v>
      </c>
      <c r="B311" s="1" t="str">
        <f t="shared" si="6"/>
        <v>POINT -3.18181818181818,-67.9999856651452</v>
      </c>
    </row>
    <row r="312" spans="1:2" x14ac:dyDescent="0.6">
      <c r="A312" s="1" t="str">
        <f>_xlfn.CONCAT(SuperElipseTabla!$F15,",",SuperElipseTabla!H15)</f>
        <v>-4.24242424242424,-67.9999546947489</v>
      </c>
      <c r="B312" s="1" t="str">
        <f t="shared" si="6"/>
        <v>POINT -4.24242424242424,-67.9999546947489</v>
      </c>
    </row>
    <row r="313" spans="1:2" x14ac:dyDescent="0.6">
      <c r="A313" s="1" t="str">
        <f>_xlfn.CONCAT(SuperElipseTabla!$F16,",",SuperElipseTabla!H16)</f>
        <v>-5.3030303030303,-67.9998893913173</v>
      </c>
      <c r="B313" s="1" t="str">
        <f t="shared" si="6"/>
        <v>POINT -5.3030303030303,-67.9998893913173</v>
      </c>
    </row>
    <row r="314" spans="1:2" x14ac:dyDescent="0.6">
      <c r="A314" s="1" t="str">
        <f>_xlfn.CONCAT(SuperElipseTabla!$F17,",",SuperElipseTabla!H17)</f>
        <v>-6.36363636363636,-67.9997706412348</v>
      </c>
      <c r="B314" s="1" t="str">
        <f t="shared" si="6"/>
        <v>POINT -6.36363636363636,-67.9997706412348</v>
      </c>
    </row>
    <row r="315" spans="1:2" x14ac:dyDescent="0.6">
      <c r="A315" s="1" t="str">
        <f>_xlfn.CONCAT(SuperElipseTabla!$F18,",",SuperElipseTabla!H18)</f>
        <v>-7.42424242424242,-67.9995750827386</v>
      </c>
      <c r="B315" s="1" t="str">
        <f t="shared" si="6"/>
        <v>POINT -7.42424242424242,-67.9995750827386</v>
      </c>
    </row>
    <row r="316" spans="1:2" x14ac:dyDescent="0.6">
      <c r="A316" s="1" t="str">
        <f>_xlfn.CONCAT(SuperElipseTabla!$F19,",",SuperElipseTabla!H19)</f>
        <v>-8.48484848484848,-67.9992751051147</v>
      </c>
      <c r="B316" s="1" t="str">
        <f t="shared" si="6"/>
        <v>POINT -8.48484848484848,-67.9992751051147</v>
      </c>
    </row>
    <row r="317" spans="1:2" x14ac:dyDescent="0.6">
      <c r="A317" s="1" t="str">
        <f>_xlfn.CONCAT(SuperElipseTabla!$F20,",",SuperElipseTabla!H20)</f>
        <v>-9.54545454545454,-67.9988388473848</v>
      </c>
      <c r="B317" s="1" t="str">
        <f t="shared" si="6"/>
        <v>POINT -9.54545454545454,-67.9988388473848</v>
      </c>
    </row>
    <row r="318" spans="1:2" x14ac:dyDescent="0.6">
      <c r="A318" s="1" t="str">
        <f>_xlfn.CONCAT(SuperElipseTabla!$F21,",",SuperElipseTabla!H21)</f>
        <v>-10.6060606060606,-67.9982301963038</v>
      </c>
      <c r="B318" s="1" t="str">
        <f t="shared" si="6"/>
        <v>POINT -10.6060606060606,-67.9982301963038</v>
      </c>
    </row>
    <row r="319" spans="1:2" x14ac:dyDescent="0.6">
      <c r="A319" s="1" t="str">
        <f>_xlfn.CONCAT(SuperElipseTabla!$F22,",",SuperElipseTabla!H22)</f>
        <v>-11.6666666666667,-67.9974087834572</v>
      </c>
      <c r="B319" s="1" t="str">
        <f t="shared" si="6"/>
        <v>POINT -11.6666666666667,-67.9974087834572</v>
      </c>
    </row>
    <row r="320" spans="1:2" x14ac:dyDescent="0.6">
      <c r="A320" s="1" t="str">
        <f>_xlfn.CONCAT(SuperElipseTabla!$F23,",",SuperElipseTabla!H23)</f>
        <v>-12.7272727272727,-67.9963299812233</v>
      </c>
      <c r="B320" s="1" t="str">
        <f t="shared" si="6"/>
        <v>POINT -12.7272727272727,-67.9963299812233</v>
      </c>
    </row>
    <row r="321" spans="1:2" x14ac:dyDescent="0.6">
      <c r="A321" s="1" t="str">
        <f>_xlfn.CONCAT(SuperElipseTabla!$F24,",",SuperElipseTabla!H24)</f>
        <v>-13.7878787878788,-67.994944897331</v>
      </c>
      <c r="B321" s="1" t="str">
        <f t="shared" si="6"/>
        <v>POINT -13.7878787878788,-67.994944897331</v>
      </c>
    </row>
    <row r="322" spans="1:2" x14ac:dyDescent="0.6">
      <c r="A322" s="1" t="str">
        <f>_xlfn.CONCAT(SuperElipseTabla!$F25,",",SuperElipseTabla!H25)</f>
        <v>-14.8484848484848,-67.993200367721</v>
      </c>
      <c r="B322" s="1" t="str">
        <f t="shared" si="6"/>
        <v>POINT -14.8484848484848,-67.993200367721</v>
      </c>
    </row>
    <row r="323" spans="1:2" x14ac:dyDescent="0.6">
      <c r="A323" s="1" t="str">
        <f>_xlfn.CONCAT(SuperElipseTabla!$F26,",",SuperElipseTabla!H26)</f>
        <v>-15.9090909090909,-67.9910389473857</v>
      </c>
      <c r="B323" s="1" t="str">
        <f t="shared" si="6"/>
        <v>POINT -15.9090909090909,-67.9910389473857</v>
      </c>
    </row>
    <row r="324" spans="1:2" x14ac:dyDescent="0.6">
      <c r="A324" s="1" t="str">
        <f>_xlfn.CONCAT(SuperElipseTabla!$F27,",",SuperElipseTabla!H27)</f>
        <v>-16.969696969697,-67.9883988988337</v>
      </c>
      <c r="B324" s="1" t="str">
        <f t="shared" si="6"/>
        <v>POINT -16.969696969697,-67.9883988988337</v>
      </c>
    </row>
    <row r="325" spans="1:2" x14ac:dyDescent="0.6">
      <c r="A325" s="1" t="str">
        <f>_xlfn.CONCAT(SuperElipseTabla!$F28,",",SuperElipseTabla!H28)</f>
        <v>-18.030303030303,-67.9852141777955</v>
      </c>
      <c r="B325" s="1" t="str">
        <f t="shared" si="6"/>
        <v>POINT -18.030303030303,-67.9852141777955</v>
      </c>
    </row>
    <row r="326" spans="1:2" x14ac:dyDescent="0.6">
      <c r="A326" s="1" t="str">
        <f>_xlfn.CONCAT(SuperElipseTabla!$F29,",",SuperElipseTabla!H29)</f>
        <v>-19.0909090909091,-67.9814144157566</v>
      </c>
      <c r="B326" s="1" t="str">
        <f t="shared" si="6"/>
        <v>POINT -19.0909090909091,-67.9814144157566</v>
      </c>
    </row>
    <row r="327" spans="1:2" x14ac:dyDescent="0.6">
      <c r="A327" s="1" t="str">
        <f>_xlfn.CONCAT(SuperElipseTabla!$F30,",",SuperElipseTabla!H30)</f>
        <v>-20.1515151515152,-67.9769248988678</v>
      </c>
      <c r="B327" s="1" t="str">
        <f t="shared" si="6"/>
        <v>POINT -20.1515151515152,-67.9769248988678</v>
      </c>
    </row>
    <row r="328" spans="1:2" x14ac:dyDescent="0.6">
      <c r="A328" s="1" t="str">
        <f>_xlfn.CONCAT(SuperElipseTabla!$F31,",",SuperElipseTabla!H31)</f>
        <v>-21.2121212121212,-67.9716665427557</v>
      </c>
      <c r="B328" s="1" t="str">
        <f t="shared" si="6"/>
        <v>POINT -21.2121212121212,-67.9716665427557</v>
      </c>
    </row>
    <row r="329" spans="1:2" x14ac:dyDescent="0.6">
      <c r="A329" s="1" t="str">
        <f>_xlfn.CONCAT(SuperElipseTabla!$F32,",",SuperElipseTabla!H32)</f>
        <v>-22.2727272727273,-67.9655558627142</v>
      </c>
      <c r="B329" s="1" t="str">
        <f t="shared" si="6"/>
        <v>POINT -22.2727272727273,-67.9655558627142</v>
      </c>
    </row>
    <row r="330" spans="1:2" x14ac:dyDescent="0.6">
      <c r="A330" s="1" t="str">
        <f>_xlfn.CONCAT(SuperElipseTabla!$F33,",",SuperElipseTabla!H33)</f>
        <v>-23.3333333333333,-67.958504938727</v>
      </c>
      <c r="B330" s="1" t="str">
        <f t="shared" si="6"/>
        <v>POINT -23.3333333333333,-67.958504938727</v>
      </c>
    </row>
    <row r="331" spans="1:2" x14ac:dyDescent="0.6">
      <c r="A331" s="1" t="str">
        <f>_xlfn.CONCAT(SuperElipseTabla!$F34,",",SuperElipseTabla!H34)</f>
        <v>-24.3939393939394,-67.9504213747275</v>
      </c>
      <c r="B331" s="1" t="str">
        <f t="shared" si="6"/>
        <v>POINT -24.3939393939394,-67.9504213747275</v>
      </c>
    </row>
    <row r="332" spans="1:2" x14ac:dyDescent="0.6">
      <c r="A332" s="1" t="str">
        <f>_xlfn.CONCAT(SuperElipseTabla!$F35,",",SuperElipseTabla!H35)</f>
        <v>-25.4545454545455,-67.9412082514629</v>
      </c>
      <c r="B332" s="1" t="str">
        <f t="shared" si="6"/>
        <v>POINT -25.4545454545455,-67.9412082514629</v>
      </c>
    </row>
    <row r="333" spans="1:2" x14ac:dyDescent="0.6">
      <c r="A333" s="1" t="str">
        <f>_xlfn.CONCAT(SuperElipseTabla!$F36,",",SuperElipseTabla!H36)</f>
        <v>-26.5151515151515,-67.9307640722842</v>
      </c>
      <c r="B333" s="1" t="str">
        <f t="shared" si="6"/>
        <v>POINT -26.5151515151515,-67.9307640722842</v>
      </c>
    </row>
    <row r="334" spans="1:2" x14ac:dyDescent="0.6">
      <c r="A334" s="1" t="str">
        <f>_xlfn.CONCAT(SuperElipseTabla!$F37,",",SuperElipseTabla!H37)</f>
        <v>-27.5757575757576,-67.9189827011345</v>
      </c>
      <c r="B334" s="1" t="str">
        <f t="shared" si="6"/>
        <v>POINT -27.5757575757576,-67.9189827011345</v>
      </c>
    </row>
    <row r="335" spans="1:2" x14ac:dyDescent="0.6">
      <c r="A335" s="1" t="str">
        <f>_xlfn.CONCAT(SuperElipseTabla!$F38,",",SuperElipseTabla!H38)</f>
        <v>-28.6363636363637,-67.905753291956</v>
      </c>
      <c r="B335" s="1" t="str">
        <f t="shared" si="6"/>
        <v>POINT -28.6363636363637,-67.905753291956</v>
      </c>
    </row>
    <row r="336" spans="1:2" x14ac:dyDescent="0.6">
      <c r="A336" s="1" t="str">
        <f>_xlfn.CONCAT(SuperElipseTabla!$F39,",",SuperElipseTabla!H39)</f>
        <v>-29.6969696969697,-67.8909602086781</v>
      </c>
      <c r="B336" s="1" t="str">
        <f t="shared" si="6"/>
        <v>POINT -29.6969696969697,-67.8909602086781</v>
      </c>
    </row>
    <row r="337" spans="1:2" x14ac:dyDescent="0.6">
      <c r="A337" s="1" t="str">
        <f>_xlfn.CONCAT(SuperElipseTabla!$F40,",",SuperElipseTabla!H40)</f>
        <v>-30.7575757575758,-67.8744829348852</v>
      </c>
      <c r="B337" s="1" t="str">
        <f t="shared" si="6"/>
        <v>POINT -30.7575757575758,-67.8744829348852</v>
      </c>
    </row>
    <row r="338" spans="1:2" x14ac:dyDescent="0.6">
      <c r="A338" s="1" t="str">
        <f>_xlfn.CONCAT(SuperElipseTabla!$F41,",",SuperElipseTabla!H41)</f>
        <v>-31.8181818181818,-67.856195972195</v>
      </c>
      <c r="B338" s="1" t="str">
        <f t="shared" si="6"/>
        <v>POINT -31.8181818181818,-67.856195972195</v>
      </c>
    </row>
    <row r="339" spans="1:2" x14ac:dyDescent="0.6">
      <c r="A339" s="1" t="str">
        <f>_xlfn.CONCAT(SuperElipseTabla!$F42,",",SuperElipseTabla!H42)</f>
        <v>-32.8787878787879,-67.835968726297</v>
      </c>
      <c r="B339" s="1" t="str">
        <f t="shared" si="6"/>
        <v>POINT -32.8787878787879,-67.835968726297</v>
      </c>
    </row>
    <row r="340" spans="1:2" x14ac:dyDescent="0.6">
      <c r="A340" s="1" t="str">
        <f>_xlfn.CONCAT(SuperElipseTabla!$F43,",",SuperElipseTabla!H43)</f>
        <v>-33.939393939394,-67.8136653795197</v>
      </c>
      <c r="B340" s="1" t="str">
        <f t="shared" si="6"/>
        <v>POINT -33.939393939394,-67.8136653795197</v>
      </c>
    </row>
    <row r="341" spans="1:2" x14ac:dyDescent="0.6">
      <c r="A341" s="1" t="str">
        <f>_xlfn.CONCAT(SuperElipseTabla!$F44,",",SuperElipseTabla!H44)</f>
        <v>-35,-67.7891447486953</v>
      </c>
      <c r="B341" s="1" t="str">
        <f t="shared" si="6"/>
        <v>POINT -35,-67.7891447486953</v>
      </c>
    </row>
    <row r="342" spans="1:2" x14ac:dyDescent="0.6">
      <c r="A342" s="1" t="str">
        <f>_xlfn.CONCAT(SuperElipseTabla!$F45,",",SuperElipseTabla!H45)</f>
        <v>-36.0606060606061,-67.7622601269856</v>
      </c>
      <c r="B342" s="1" t="str">
        <f t="shared" si="6"/>
        <v>POINT -36.0606060606061,-67.7622601269856</v>
      </c>
    </row>
    <row r="343" spans="1:2" x14ac:dyDescent="0.6">
      <c r="A343" s="1" t="str">
        <f>_xlfn.CONCAT(SuperElipseTabla!$F46,",",SuperElipseTabla!H46)</f>
        <v>-37.1212121212122,-67.732859108212</v>
      </c>
      <c r="B343" s="1" t="str">
        <f t="shared" si="6"/>
        <v>POINT -37.1212121212122,-67.732859108212</v>
      </c>
    </row>
    <row r="344" spans="1:2" x14ac:dyDescent="0.6">
      <c r="A344" s="1" t="str">
        <f>_xlfn.CONCAT(SuperElipseTabla!$F47,",",SuperElipseTabla!H47)</f>
        <v>-38.1818181818182,-67.7007833920982</v>
      </c>
      <c r="B344" s="1" t="str">
        <f t="shared" si="6"/>
        <v>POINT -38.1818181818182,-67.7007833920982</v>
      </c>
    </row>
    <row r="345" spans="1:2" x14ac:dyDescent="0.6">
      <c r="A345" s="1" t="str">
        <f>_xlfn.CONCAT(SuperElipseTabla!$F48,",",SuperElipseTabla!H48)</f>
        <v>-39.2424242424243,-67.6658685686813</v>
      </c>
      <c r="B345" s="1" t="str">
        <f t="shared" si="6"/>
        <v>POINT -39.2424242424243,-67.6658685686813</v>
      </c>
    </row>
    <row r="346" spans="1:2" x14ac:dyDescent="0.6">
      <c r="A346" s="1" t="str">
        <f>_xlfn.CONCAT(SuperElipseTabla!$F49,",",SuperElipseTabla!H49)</f>
        <v>-40.3030303030303,-67.6279438799764</v>
      </c>
      <c r="B346" s="1" t="str">
        <f t="shared" si="6"/>
        <v>POINT -40.3030303030303,-67.6279438799764</v>
      </c>
    </row>
    <row r="347" spans="1:2" x14ac:dyDescent="0.6">
      <c r="A347" s="1" t="str">
        <f>_xlfn.CONCAT(SuperElipseTabla!$F50,",",SuperElipseTabla!H50)</f>
        <v>-41.3636363636364,-67.586831956784</v>
      </c>
      <c r="B347" s="1" t="str">
        <f t="shared" si="6"/>
        <v>POINT -41.3636363636364,-67.586831956784</v>
      </c>
    </row>
    <row r="348" spans="1:2" x14ac:dyDescent="0.6">
      <c r="A348" s="1" t="str">
        <f>_xlfn.CONCAT(SuperElipseTabla!$F51,",",SuperElipseTabla!H51)</f>
        <v>-42.4242424242425,-67.542348528313</v>
      </c>
      <c r="B348" s="1" t="str">
        <f t="shared" si="6"/>
        <v>POINT -42.4242424242425,-67.542348528313</v>
      </c>
    </row>
    <row r="349" spans="1:2" x14ac:dyDescent="0.6">
      <c r="A349" s="1" t="str">
        <f>_xlfn.CONCAT(SuperElipseTabla!$F52,",",SuperElipseTabla!H52)</f>
        <v>-43.4848484848485,-67.4943021020382</v>
      </c>
      <c r="B349" s="1" t="str">
        <f t="shared" si="6"/>
        <v>POINT -43.4848484848485,-67.4943021020382</v>
      </c>
    </row>
    <row r="350" spans="1:2" x14ac:dyDescent="0.6">
      <c r="A350" s="1" t="str">
        <f>_xlfn.CONCAT(SuperElipseTabla!$F53,",",SuperElipseTabla!H53)</f>
        <v>-44.5454545454546,-67.4424936109307</v>
      </c>
      <c r="B350" s="1" t="str">
        <f t="shared" si="6"/>
        <v>POINT -44.5454545454546,-67.4424936109307</v>
      </c>
    </row>
    <row r="351" spans="1:2" x14ac:dyDescent="0.6">
      <c r="A351" s="1" t="str">
        <f>_xlfn.CONCAT(SuperElipseTabla!$F54,",",SuperElipseTabla!H54)</f>
        <v>-45.6060606060607,-67.3867160248743</v>
      </c>
      <c r="B351" s="1" t="str">
        <f t="shared" si="6"/>
        <v>POINT -45.6060606060607,-67.3867160248743</v>
      </c>
    </row>
    <row r="352" spans="1:2" x14ac:dyDescent="0.6">
      <c r="A352" s="1" t="str">
        <f>_xlfn.CONCAT(SuperElipseTabla!$F55,",",SuperElipseTabla!H55)</f>
        <v>-46.6666666666667,-67.3267539227121</v>
      </c>
      <c r="B352" s="1" t="str">
        <f t="shared" si="6"/>
        <v>POINT -46.6666666666667,-67.3267539227121</v>
      </c>
    </row>
    <row r="353" spans="1:2" x14ac:dyDescent="0.6">
      <c r="A353" s="1" t="str">
        <f>_xlfn.CONCAT(SuperElipseTabla!$F56,",",SuperElipseTabla!H56)</f>
        <v>-47.7272727272728,-67.2623830209447</v>
      </c>
      <c r="B353" s="1" t="str">
        <f t="shared" si="6"/>
        <v>POINT -47.7272727272728,-67.2623830209447</v>
      </c>
    </row>
    <row r="354" spans="1:2" x14ac:dyDescent="0.6">
      <c r="A354" s="1" t="str">
        <f>_xlfn.CONCAT(SuperElipseTabla!$F57,",",SuperElipseTabla!H57)</f>
        <v>-48.7878787878788,-67.1933696546168</v>
      </c>
      <c r="B354" s="1" t="str">
        <f t="shared" si="6"/>
        <v>POINT -48.7878787878788,-67.1933696546168</v>
      </c>
    </row>
    <row r="355" spans="1:2" x14ac:dyDescent="0.6">
      <c r="A355" s="1" t="str">
        <f>_xlfn.CONCAT(SuperElipseTabla!$F58,",",SuperElipseTabla!H58)</f>
        <v>-49.8484848484849,-67.1194702053732</v>
      </c>
      <c r="B355" s="1" t="str">
        <f t="shared" si="6"/>
        <v>POINT -49.8484848484849,-67.1194702053732</v>
      </c>
    </row>
    <row r="356" spans="1:2" x14ac:dyDescent="0.6">
      <c r="A356" s="1" t="str">
        <f>_xlfn.CONCAT(SuperElipseTabla!$F59,",",SuperElipseTabla!H59)</f>
        <v>-50.909090909091,-67.0404304710206</v>
      </c>
      <c r="B356" s="1" t="str">
        <f t="shared" si="6"/>
        <v>POINT -50.909090909091,-67.0404304710206</v>
      </c>
    </row>
    <row r="357" spans="1:2" x14ac:dyDescent="0.6">
      <c r="A357" s="1" t="str">
        <f>_xlfn.CONCAT(SuperElipseTabla!$F60,",",SuperElipseTabla!H60)</f>
        <v>-51.969696969697,-66.9559849701981</v>
      </c>
      <c r="B357" s="1" t="str">
        <f t="shared" si="6"/>
        <v>POINT -51.969696969697,-66.9559849701981</v>
      </c>
    </row>
    <row r="358" spans="1:2" x14ac:dyDescent="0.6">
      <c r="A358" s="1" t="str">
        <f>_xlfn.CONCAT(SuperElipseTabla!$F61,",",SuperElipseTabla!H61)</f>
        <v>-53.0303030303031,-66.8658561748952</v>
      </c>
      <c r="B358" s="1" t="str">
        <f t="shared" si="6"/>
        <v>POINT -53.0303030303031,-66.8658561748952</v>
      </c>
    </row>
    <row r="359" spans="1:2" x14ac:dyDescent="0.6">
      <c r="A359" s="1" t="str">
        <f>_xlfn.CONCAT(SuperElipseTabla!$F62,",",SuperElipseTabla!H62)</f>
        <v>-54.0909090909092,-66.7697536625704</v>
      </c>
      <c r="B359" s="1" t="str">
        <f t="shared" si="6"/>
        <v>POINT -54.0909090909092,-66.7697536625704</v>
      </c>
    </row>
    <row r="360" spans="1:2" x14ac:dyDescent="0.6">
      <c r="A360" s="1" t="str">
        <f>_xlfn.CONCAT(SuperElipseTabla!$F63,",",SuperElipseTabla!H63)</f>
        <v>-55.1515151515152,-66.6673731784613</v>
      </c>
      <c r="B360" s="1" t="str">
        <f t="shared" si="6"/>
        <v>POINT -55.1515151515152,-66.6673731784613</v>
      </c>
    </row>
    <row r="361" spans="1:2" x14ac:dyDescent="0.6">
      <c r="A361" s="1" t="str">
        <f>_xlfn.CONCAT(SuperElipseTabla!$F64,",",SuperElipseTabla!H64)</f>
        <v>-56.2121212121213,-66.558395597336</v>
      </c>
      <c r="B361" s="1" t="str">
        <f t="shared" si="6"/>
        <v>POINT -56.2121212121213,-66.558395597336</v>
      </c>
    </row>
    <row r="362" spans="1:2" x14ac:dyDescent="0.6">
      <c r="A362" s="1" t="str">
        <f>_xlfn.CONCAT(SuperElipseTabla!$F65,",",SuperElipseTabla!H65)</f>
        <v>-57.2727272727273,-66.4424857723522</v>
      </c>
      <c r="B362" s="1" t="str">
        <f t="shared" si="6"/>
        <v>POINT -57.2727272727273,-66.4424857723522</v>
      </c>
    </row>
    <row r="363" spans="1:2" x14ac:dyDescent="0.6">
      <c r="A363" s="1" t="str">
        <f>_xlfn.CONCAT(SuperElipseTabla!$F66,",",SuperElipseTabla!H66)</f>
        <v>-58.3333333333334,-66.319291256846</v>
      </c>
      <c r="B363" s="1" t="str">
        <f t="shared" si="6"/>
        <v>POINT -58.3333333333334,-66.319291256846</v>
      </c>
    </row>
    <row r="364" spans="1:2" x14ac:dyDescent="0.6">
      <c r="A364" s="1" t="str">
        <f>_xlfn.CONCAT(SuperElipseTabla!$F67,",",SuperElipseTabla!H67)</f>
        <v>-59.3939393939395,-66.1884408826881</v>
      </c>
      <c r="B364" s="1" t="str">
        <f t="shared" si="6"/>
        <v>POINT -59.3939393939395,-66.1884408826881</v>
      </c>
    </row>
    <row r="365" spans="1:2" x14ac:dyDescent="0.6">
      <c r="A365" s="1" t="str">
        <f>_xlfn.CONCAT(SuperElipseTabla!$F68,",",SuperElipseTabla!H68)</f>
        <v>-60.4545454545455,-66.0495431762738</v>
      </c>
      <c r="B365" s="1" t="str">
        <f t="shared" si="6"/>
        <v>POINT -60.4545454545455,-66.0495431762738</v>
      </c>
    </row>
    <row r="366" spans="1:2" x14ac:dyDescent="0.6">
      <c r="A366" s="1" t="str">
        <f>_xlfn.CONCAT(SuperElipseTabla!$F69,",",SuperElipseTabla!H69)</f>
        <v>-61.5151515151516,-65.9021845901575</v>
      </c>
      <c r="B366" s="1" t="str">
        <f t="shared" si="6"/>
        <v>POINT -61.5151515151516,-65.9021845901575</v>
      </c>
    </row>
    <row r="367" spans="1:2" x14ac:dyDescent="0.6">
      <c r="A367" s="1" t="str">
        <f>_xlfn.CONCAT(SuperElipseTabla!$F70,",",SuperElipseTabla!H70)</f>
        <v>-62.5757575757576,-65.74592752471</v>
      </c>
      <c r="B367" s="1" t="str">
        <f t="shared" si="6"/>
        <v>POINT -62.5757575757576,-65.74592752471</v>
      </c>
    </row>
    <row r="368" spans="1:2" x14ac:dyDescent="0.6">
      <c r="A368" s="1" t="str">
        <f>_xlfn.CONCAT(SuperElipseTabla!$F71,",",SuperElipseTabla!H71)</f>
        <v>-63.6363636363637,-65.5803081098301</v>
      </c>
      <c r="B368" s="1" t="str">
        <f t="shared" si="6"/>
        <v>POINT -63.6363636363637,-65.5803081098301</v>
      </c>
    </row>
    <row r="369" spans="1:2" x14ac:dyDescent="0.6">
      <c r="A369" s="1" t="str">
        <f>_xlfn.CONCAT(SuperElipseTabla!$F72,",",SuperElipseTabla!H72)</f>
        <v>-64.6969696969698,-65.4048337115331</v>
      </c>
      <c r="B369" s="1" t="str">
        <f t="shared" si="6"/>
        <v>POINT -64.6969696969698,-65.4048337115331</v>
      </c>
    </row>
    <row r="370" spans="1:2" x14ac:dyDescent="0.6">
      <c r="A370" s="1" t="str">
        <f>_xlfn.CONCAT(SuperElipseTabla!$F73,",",SuperElipseTabla!H73)</f>
        <v>-65.7575757575758,-65.2189801219495</v>
      </c>
      <c r="B370" s="1" t="str">
        <f t="shared" si="6"/>
        <v>POINT -65.7575757575758,-65.2189801219495</v>
      </c>
    </row>
    <row r="371" spans="1:2" x14ac:dyDescent="0.6">
      <c r="A371" s="1" t="str">
        <f>_xlfn.CONCAT(SuperElipseTabla!$F74,",",SuperElipseTabla!H74)</f>
        <v>-66.8181818181819,-65.022188383663</v>
      </c>
      <c r="B371" s="1" t="str">
        <f t="shared" si="6"/>
        <v>POINT -66.8181818181819,-65.022188383663</v>
      </c>
    </row>
    <row r="372" spans="1:2" x14ac:dyDescent="0.6">
      <c r="A372" s="1" t="str">
        <f>_xlfn.CONCAT(SuperElipseTabla!$F75,",",SuperElipseTabla!H75)</f>
        <v>-67.878787878788,-64.8138611900509</v>
      </c>
      <c r="B372" s="1" t="str">
        <f t="shared" ref="B372:B407" si="7">_xlfn.CONCAT("POINT ",A372)</f>
        <v>POINT -67.878787878788,-64.8138611900509</v>
      </c>
    </row>
    <row r="373" spans="1:2" x14ac:dyDescent="0.6">
      <c r="A373" s="1" t="str">
        <f>_xlfn.CONCAT(SuperElipseTabla!$F76,",",SuperElipseTabla!H76)</f>
        <v>-68.939393939394,-64.5933587919656</v>
      </c>
      <c r="B373" s="1" t="str">
        <f t="shared" si="7"/>
        <v>POINT -68.939393939394,-64.5933587919656</v>
      </c>
    </row>
    <row r="374" spans="1:2" x14ac:dyDescent="0.6">
      <c r="A374" s="1" t="str">
        <f>_xlfn.CONCAT(SuperElipseTabla!$F77,",",SuperElipseTabla!H77)</f>
        <v>-70.0000000000001,-64.3599943271633</v>
      </c>
      <c r="B374" s="1" t="str">
        <f t="shared" si="7"/>
        <v>POINT -70.0000000000001,-64.3599943271633</v>
      </c>
    </row>
    <row r="375" spans="1:2" x14ac:dyDescent="0.6">
      <c r="A375" s="1" t="str">
        <f>_xlfn.CONCAT(SuperElipseTabla!$F78,",",SuperElipseTabla!H78)</f>
        <v>-71.0606060606061,-64.1130284716535</v>
      </c>
      <c r="B375" s="1" t="str">
        <f t="shared" si="7"/>
        <v>POINT -71.0606060606061,-64.1130284716535</v>
      </c>
    </row>
    <row r="376" spans="1:2" x14ac:dyDescent="0.6">
      <c r="A376" s="1" t="str">
        <f>_xlfn.CONCAT(SuperElipseTabla!$F79,",",SuperElipseTabla!H79)</f>
        <v>-72.1212121212122,-63.8516632907003</v>
      </c>
      <c r="B376" s="1" t="str">
        <f t="shared" si="7"/>
        <v>POINT -72.1212121212122,-63.8516632907003</v>
      </c>
    </row>
    <row r="377" spans="1:2" x14ac:dyDescent="0.6">
      <c r="A377" s="1" t="str">
        <f>_xlfn.CONCAT(SuperElipseTabla!$F80,",",SuperElipseTabla!H80)</f>
        <v>-73.1818181818183,-63.5750351403504</v>
      </c>
      <c r="B377" s="1" t="str">
        <f t="shared" si="7"/>
        <v>POINT -73.1818181818183,-63.5750351403504</v>
      </c>
    </row>
    <row r="378" spans="1:2" x14ac:dyDescent="0.6">
      <c r="A378" s="1" t="str">
        <f>_xlfn.CONCAT(SuperElipseTabla!$F81,",",SuperElipseTabla!H81)</f>
        <v>-74.2424242424243,-63.2822064364953</v>
      </c>
      <c r="B378" s="1" t="str">
        <f t="shared" si="7"/>
        <v>POINT -74.2424242424243,-63.2822064364953</v>
      </c>
    </row>
    <row r="379" spans="1:2" x14ac:dyDescent="0.6">
      <c r="A379" s="1" t="str">
        <f>_xlfn.CONCAT(SuperElipseTabla!$F82,",",SuperElipseTabla!H82)</f>
        <v>-75.3030303030304,-62.9721560654655</v>
      </c>
      <c r="B379" s="1" t="str">
        <f t="shared" si="7"/>
        <v>POINT -75.3030303030304,-62.9721560654655</v>
      </c>
    </row>
    <row r="380" spans="1:2" x14ac:dyDescent="0.6">
      <c r="A380" s="1" t="str">
        <f>_xlfn.CONCAT(SuperElipseTabla!$F83,",",SuperElipseTabla!H83)</f>
        <v>-76.3636363636365,-62.6437681550957</v>
      </c>
      <c r="B380" s="1" t="str">
        <f t="shared" si="7"/>
        <v>POINT -76.3636363636365,-62.6437681550957</v>
      </c>
    </row>
    <row r="381" spans="1:2" x14ac:dyDescent="0.6">
      <c r="A381" s="1" t="str">
        <f>_xlfn.CONCAT(SuperElipseTabla!$F84,",",SuperElipseTabla!H84)</f>
        <v>-77.4242424242425,-62.2958188541583</v>
      </c>
      <c r="B381" s="1" t="str">
        <f t="shared" si="7"/>
        <v>POINT -77.4242424242425,-62.2958188541583</v>
      </c>
    </row>
    <row r="382" spans="1:2" x14ac:dyDescent="0.6">
      <c r="A382" s="1" t="str">
        <f>_xlfn.CONCAT(SuperElipseTabla!$F85,",",SuperElipseTabla!H85)</f>
        <v>-78.4848484848486,-61.9269606755581</v>
      </c>
      <c r="B382" s="1" t="str">
        <f t="shared" si="7"/>
        <v>POINT -78.4848484848486,-61.9269606755581</v>
      </c>
    </row>
    <row r="383" spans="1:2" x14ac:dyDescent="0.6">
      <c r="A383" s="1" t="str">
        <f>_xlfn.CONCAT(SuperElipseTabla!$F86,",",SuperElipseTabla!H86)</f>
        <v>-79.5454545454546,-61.535703837129</v>
      </c>
      <c r="B383" s="1" t="str">
        <f t="shared" si="7"/>
        <v>POINT -79.5454545454546,-61.535703837129</v>
      </c>
    </row>
    <row r="384" spans="1:2" x14ac:dyDescent="0.6">
      <c r="A384" s="1" t="str">
        <f>_xlfn.CONCAT(SuperElipseTabla!$F87,",",SuperElipseTabla!H87)</f>
        <v>-80.6060606060607,-61.1203938724886</v>
      </c>
      <c r="B384" s="1" t="str">
        <f t="shared" si="7"/>
        <v>POINT -80.6060606060607,-61.1203938724886</v>
      </c>
    </row>
    <row r="385" spans="1:2" x14ac:dyDescent="0.6">
      <c r="A385" s="1" t="str">
        <f>_xlfn.CONCAT(SuperElipseTabla!$F88,",",SuperElipseTabla!H88)</f>
        <v>-81.6666666666668,-60.6791845678199</v>
      </c>
      <c r="B385" s="1" t="str">
        <f t="shared" si="7"/>
        <v>POINT -81.6666666666668,-60.6791845678199</v>
      </c>
    </row>
    <row r="386" spans="1:2" x14ac:dyDescent="0.6">
      <c r="A386" s="1" t="str">
        <f>_xlfn.CONCAT(SuperElipseTabla!$F89,",",SuperElipseTabla!H89)</f>
        <v>-82.7272727272728,-60.210004986314</v>
      </c>
      <c r="B386" s="1" t="str">
        <f t="shared" si="7"/>
        <v>POINT -82.7272727272728,-60.210004986314</v>
      </c>
    </row>
    <row r="387" spans="1:2" x14ac:dyDescent="0.6">
      <c r="A387" s="1" t="str">
        <f>_xlfn.CONCAT(SuperElipseTabla!$F90,",",SuperElipseTabla!H90)</f>
        <v>-83.7878787878789,-59.7105189374376</v>
      </c>
      <c r="B387" s="1" t="str">
        <f t="shared" si="7"/>
        <v>POINT -83.7878787878789,-59.7105189374376</v>
      </c>
    </row>
    <row r="388" spans="1:2" x14ac:dyDescent="0.6">
      <c r="A388" s="1" t="str">
        <f>_xlfn.CONCAT(SuperElipseTabla!$F91,",",SuperElipseTabla!H91)</f>
        <v>-84.848484848485,-59.1780746839263</v>
      </c>
      <c r="B388" s="1" t="str">
        <f t="shared" si="7"/>
        <v>POINT -84.848484848485,-59.1780746839263</v>
      </c>
    </row>
    <row r="389" spans="1:2" x14ac:dyDescent="0.6">
      <c r="A389" s="1" t="str">
        <f>_xlfn.CONCAT(SuperElipseTabla!$F92,",",SuperElipseTabla!H92)</f>
        <v>-85.909090909091,-58.6096418804073</v>
      </c>
      <c r="B389" s="1" t="str">
        <f t="shared" si="7"/>
        <v>POINT -85.909090909091,-58.6096418804073</v>
      </c>
    </row>
    <row r="390" spans="1:2" x14ac:dyDescent="0.6">
      <c r="A390" s="1" t="str">
        <f>_xlfn.CONCAT(SuperElipseTabla!$F93,",",SuperElipseTabla!H93)</f>
        <v>-86.9696969696971,-58.0017315871713</v>
      </c>
      <c r="B390" s="1" t="str">
        <f t="shared" si="7"/>
        <v>POINT -86.9696969696971,-58.0017315871713</v>
      </c>
    </row>
    <row r="391" spans="1:2" x14ac:dyDescent="0.6">
      <c r="A391" s="1" t="str">
        <f>_xlfn.CONCAT(SuperElipseTabla!$F94,",",SuperElipseTabla!H94)</f>
        <v>-88.0303030303031,-57.3502935157141</v>
      </c>
      <c r="B391" s="1" t="str">
        <f t="shared" si="7"/>
        <v>POINT -88.0303030303031,-57.3502935157141</v>
      </c>
    </row>
    <row r="392" spans="1:2" x14ac:dyDescent="0.6">
      <c r="A392" s="1" t="str">
        <f>_xlfn.CONCAT(SuperElipseTabla!$F95,",",SuperElipseTabla!H95)</f>
        <v>-89.0909090909092,-56.6505821383052</v>
      </c>
      <c r="B392" s="1" t="str">
        <f t="shared" si="7"/>
        <v>POINT -89.0909090909092,-56.6505821383052</v>
      </c>
    </row>
    <row r="393" spans="1:2" x14ac:dyDescent="0.6">
      <c r="A393" s="1" t="str">
        <f>_xlfn.CONCAT(SuperElipseTabla!$F96,",",SuperElipseTabla!H96)</f>
        <v>-90.1515151515153,-55.8969794299431</v>
      </c>
      <c r="B393" s="1" t="str">
        <f t="shared" si="7"/>
        <v>POINT -90.1515151515153,-55.8969794299431</v>
      </c>
    </row>
    <row r="394" spans="1:2" x14ac:dyDescent="0.6">
      <c r="A394" s="1" t="str">
        <f>_xlfn.CONCAT(SuperElipseTabla!$F97,",",SuperElipseTabla!H97)</f>
        <v>-91.2121212121213,-55.0827559450841</v>
      </c>
      <c r="B394" s="1" t="str">
        <f t="shared" si="7"/>
        <v>POINT -91.2121212121213,-55.0827559450841</v>
      </c>
    </row>
    <row r="395" spans="1:2" x14ac:dyDescent="0.6">
      <c r="A395" s="1" t="str">
        <f>_xlfn.CONCAT(SuperElipseTabla!$F98,",",SuperElipseTabla!H98)</f>
        <v>-92.2727272727274,-54.1997421321896</v>
      </c>
      <c r="B395" s="1" t="str">
        <f t="shared" si="7"/>
        <v>POINT -92.2727272727274,-54.1997421321896</v>
      </c>
    </row>
    <row r="396" spans="1:2" x14ac:dyDescent="0.6">
      <c r="A396" s="1" t="str">
        <f>_xlfn.CONCAT(SuperElipseTabla!$F99,",",SuperElipseTabla!H99)</f>
        <v>-93.3333333333335,-53.2378654346208</v>
      </c>
      <c r="B396" s="1" t="str">
        <f t="shared" si="7"/>
        <v>POINT -93.3333333333335,-53.2378654346208</v>
      </c>
    </row>
    <row r="397" spans="1:2" x14ac:dyDescent="0.6">
      <c r="A397" s="1" t="str">
        <f>_xlfn.CONCAT(SuperElipseTabla!$F100,",",SuperElipseTabla!H100)</f>
        <v>-94.3939393939395,-52.1844803901393</v>
      </c>
      <c r="B397" s="1" t="str">
        <f t="shared" si="7"/>
        <v>POINT -94.3939393939395,-52.1844803901393</v>
      </c>
    </row>
    <row r="398" spans="1:2" x14ac:dyDescent="0.6">
      <c r="A398" s="1" t="str">
        <f>_xlfn.CONCAT(SuperElipseTabla!$F101,",",SuperElipseTabla!H101)</f>
        <v>-95.4545454545456,-51.023367659421</v>
      </c>
      <c r="B398" s="1" t="str">
        <f t="shared" si="7"/>
        <v>POINT -95.4545454545456,-51.023367659421</v>
      </c>
    </row>
    <row r="399" spans="1:2" x14ac:dyDescent="0.6">
      <c r="A399" s="1" t="str">
        <f>_xlfn.CONCAT(SuperElipseTabla!$F102,",",SuperElipseTabla!H102)</f>
        <v>-96.5151515151516,-49.7331802157944</v>
      </c>
      <c r="B399" s="1" t="str">
        <f t="shared" si="7"/>
        <v>POINT -96.5151515151516,-49.7331802157944</v>
      </c>
    </row>
    <row r="400" spans="1:2" x14ac:dyDescent="0.6">
      <c r="A400" s="1" t="str">
        <f>_xlfn.CONCAT(SuperElipseTabla!$F103,",",SuperElipseTabla!H103)</f>
        <v>-97.5757575757577,-48.2849169839347</v>
      </c>
      <c r="B400" s="1" t="str">
        <f t="shared" si="7"/>
        <v>POINT -97.5757575757577,-48.2849169839347</v>
      </c>
    </row>
    <row r="401" spans="1:2" x14ac:dyDescent="0.6">
      <c r="A401" s="1" t="str">
        <f>_xlfn.CONCAT(SuperElipseTabla!$F104,",",SuperElipseTabla!H104)</f>
        <v>-98.6363636363638,-46.6375717833462</v>
      </c>
      <c r="B401" s="1" t="str">
        <f t="shared" si="7"/>
        <v>POINT -98.6363636363638,-46.6375717833462</v>
      </c>
    </row>
    <row r="402" spans="1:2" x14ac:dyDescent="0.6">
      <c r="A402" s="1" t="str">
        <f>_xlfn.CONCAT(SuperElipseTabla!$F105,",",SuperElipseTabla!H105)</f>
        <v>-99.6969696969698,-44.7300669027856</v>
      </c>
      <c r="B402" s="1" t="str">
        <f t="shared" si="7"/>
        <v>POINT -99.6969696969698,-44.7300669027856</v>
      </c>
    </row>
    <row r="403" spans="1:2" x14ac:dyDescent="0.6">
      <c r="A403" s="1" t="str">
        <f>_xlfn.CONCAT(SuperElipseTabla!$F106,",",SuperElipseTabla!H106)</f>
        <v>-100.757575757576,-42.4647588369446</v>
      </c>
      <c r="B403" s="1" t="str">
        <f t="shared" si="7"/>
        <v>POINT -100.757575757576,-42.4647588369446</v>
      </c>
    </row>
    <row r="404" spans="1:2" x14ac:dyDescent="0.6">
      <c r="A404" s="1" t="str">
        <f>_xlfn.CONCAT(SuperElipseTabla!$F107,",",SuperElipseTabla!H107)</f>
        <v>-101.818181818182,-39.6687199118554</v>
      </c>
      <c r="B404" s="1" t="str">
        <f t="shared" si="7"/>
        <v>POINT -101.818181818182,-39.6687199118554</v>
      </c>
    </row>
    <row r="405" spans="1:2" x14ac:dyDescent="0.6">
      <c r="A405" s="1" t="str">
        <f>_xlfn.CONCAT(SuperElipseTabla!$F108,",",SuperElipseTabla!H108)</f>
        <v>-102.878787878788,-35.981318705823</v>
      </c>
      <c r="B405" s="1" t="str">
        <f t="shared" si="7"/>
        <v>POINT -102.878787878788,-35.981318705823</v>
      </c>
    </row>
    <row r="406" spans="1:2" x14ac:dyDescent="0.6">
      <c r="A406" s="1" t="str">
        <f>_xlfn.CONCAT(SuperElipseTabla!$F109,",",SuperElipseTabla!H109)</f>
        <v>-103.939393939394,-30.3716709766137</v>
      </c>
      <c r="B406" s="1" t="str">
        <f t="shared" si="7"/>
        <v>POINT -103.939393939394,-30.3716709766137</v>
      </c>
    </row>
    <row r="407" spans="1:2" x14ac:dyDescent="0.6">
      <c r="A407" s="1" t="str">
        <f>_xlfn.CONCAT(SuperElipseTabla!$F110,",",SuperElipseTabla!H110)</f>
        <v>-105,0</v>
      </c>
      <c r="B407" s="1" t="str">
        <f t="shared" si="7"/>
        <v>POINT -105,0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DEE1-9F68-4102-845B-1A90BD48318B}">
  <dimension ref="B1:F113"/>
  <sheetViews>
    <sheetView showGridLines="0" tabSelected="1" zoomScale="145" zoomScaleNormal="145" workbookViewId="0">
      <selection activeCell="I4" sqref="I4"/>
    </sheetView>
  </sheetViews>
  <sheetFormatPr defaultColWidth="10.6640625" defaultRowHeight="16.5" x14ac:dyDescent="0.6"/>
  <cols>
    <col min="1" max="1" width="2.53125" style="1" customWidth="1"/>
    <col min="2" max="2" width="7.1328125" style="23" customWidth="1"/>
    <col min="3" max="4" width="10.86328125" style="1" customWidth="1"/>
    <col min="5" max="6" width="17.53125" style="1" customWidth="1"/>
    <col min="7" max="16384" width="10.6640625" style="1"/>
  </cols>
  <sheetData>
    <row r="1" spans="2:6" x14ac:dyDescent="0.6">
      <c r="F1" s="53" t="s">
        <v>39</v>
      </c>
    </row>
    <row r="3" spans="2:6" x14ac:dyDescent="0.6">
      <c r="B3" s="61" t="s">
        <v>36</v>
      </c>
      <c r="C3" s="62"/>
      <c r="D3" s="62"/>
      <c r="E3" s="41"/>
      <c r="F3" s="10"/>
    </row>
    <row r="4" spans="2:6" x14ac:dyDescent="0.6">
      <c r="B4" s="64"/>
      <c r="C4" s="65"/>
      <c r="D4" s="65"/>
      <c r="E4" s="49"/>
      <c r="F4" s="11"/>
    </row>
    <row r="5" spans="2:6" x14ac:dyDescent="0.6">
      <c r="B5" s="2" t="s">
        <v>13</v>
      </c>
      <c r="C5" s="14"/>
      <c r="D5" s="45" t="s">
        <v>14</v>
      </c>
      <c r="E5" s="49"/>
      <c r="F5" s="11"/>
    </row>
    <row r="6" spans="2:6" x14ac:dyDescent="0.6">
      <c r="B6" s="15" t="s">
        <v>22</v>
      </c>
      <c r="C6" s="16"/>
      <c r="D6" s="46">
        <v>-30</v>
      </c>
      <c r="E6" s="49"/>
      <c r="F6" s="11"/>
    </row>
    <row r="7" spans="2:6" x14ac:dyDescent="0.6">
      <c r="B7" s="15" t="s">
        <v>23</v>
      </c>
      <c r="C7" s="17"/>
      <c r="D7" s="51">
        <f>ABS(xstart_hiperbola)</f>
        <v>30</v>
      </c>
      <c r="E7" s="49"/>
      <c r="F7" s="11"/>
    </row>
    <row r="8" spans="2:6" x14ac:dyDescent="0.6">
      <c r="B8" s="15" t="s">
        <v>20</v>
      </c>
      <c r="C8" s="17"/>
      <c r="D8" s="46">
        <v>12</v>
      </c>
      <c r="E8" s="49"/>
      <c r="F8" s="11"/>
    </row>
    <row r="9" spans="2:6" x14ac:dyDescent="0.6">
      <c r="B9" s="15" t="s">
        <v>21</v>
      </c>
      <c r="C9" s="17"/>
      <c r="D9" s="46">
        <v>9</v>
      </c>
      <c r="E9" s="49"/>
      <c r="F9" s="11"/>
    </row>
    <row r="10" spans="2:6" x14ac:dyDescent="0.6">
      <c r="B10" s="15" t="s">
        <v>12</v>
      </c>
      <c r="C10" s="17"/>
      <c r="D10" s="46">
        <v>100</v>
      </c>
      <c r="E10" s="49"/>
      <c r="F10" s="11"/>
    </row>
    <row r="11" spans="2:6" x14ac:dyDescent="0.6">
      <c r="B11" s="15"/>
      <c r="C11" s="17"/>
      <c r="D11" s="51"/>
      <c r="E11" s="49"/>
      <c r="F11" s="11"/>
    </row>
    <row r="12" spans="2:6" x14ac:dyDescent="0.6">
      <c r="B12" s="18"/>
      <c r="C12" s="19"/>
      <c r="D12" s="52"/>
      <c r="E12" s="50"/>
      <c r="F12" s="13"/>
    </row>
    <row r="13" spans="2:6" x14ac:dyDescent="0.6">
      <c r="B13" s="20" t="s">
        <v>15</v>
      </c>
      <c r="C13" s="4" t="s">
        <v>6</v>
      </c>
      <c r="D13" s="4" t="s">
        <v>24</v>
      </c>
      <c r="E13" s="47" t="s">
        <v>7</v>
      </c>
      <c r="F13" s="48" t="s">
        <v>25</v>
      </c>
    </row>
    <row r="14" spans="2:6" x14ac:dyDescent="0.6">
      <c r="B14" s="21">
        <v>1</v>
      </c>
      <c r="C14" s="5">
        <f>xstart_hiperbola</f>
        <v>-30</v>
      </c>
      <c r="D14" s="5">
        <f t="shared" ref="D14:D45" si="0">IFERROR(((($C14^2/a_hiperbola^2)-1)*b_hiperbola^2)^0.5,"")</f>
        <v>20.621590627301281</v>
      </c>
      <c r="E14" s="5">
        <f>-C14</f>
        <v>30</v>
      </c>
      <c r="F14" s="6">
        <f>IFERROR(-D14,"")</f>
        <v>-20.621590627301281</v>
      </c>
    </row>
    <row r="15" spans="2:6" x14ac:dyDescent="0.6">
      <c r="B15" s="21">
        <v>2</v>
      </c>
      <c r="C15" s="5">
        <f t="shared" ref="C15:C46" si="1">IF(C14-(xstart_hiperbola-xend_hiperbola)/np_hiperbola&gt;xend_hiperbola,xend_hiperbola,C14-(xstart_hiperbola-xend_hiperbola)/np_hiperbola)</f>
        <v>-29.4</v>
      </c>
      <c r="D15" s="5">
        <f t="shared" si="0"/>
        <v>20.129642321710538</v>
      </c>
      <c r="E15" s="5">
        <f t="shared" ref="E15:E46" si="2">-C15</f>
        <v>29.4</v>
      </c>
      <c r="F15" s="6">
        <f t="shared" ref="F15:F78" si="3">IFERROR(-D15,"")</f>
        <v>-20.129642321710538</v>
      </c>
    </row>
    <row r="16" spans="2:6" x14ac:dyDescent="0.6">
      <c r="B16" s="21">
        <v>3</v>
      </c>
      <c r="C16" s="5">
        <f t="shared" si="1"/>
        <v>-28.799999999999997</v>
      </c>
      <c r="D16" s="5">
        <f t="shared" si="0"/>
        <v>19.635681806344284</v>
      </c>
      <c r="E16" s="5">
        <f t="shared" si="2"/>
        <v>28.799999999999997</v>
      </c>
      <c r="F16" s="6">
        <f t="shared" si="3"/>
        <v>-19.635681806344284</v>
      </c>
    </row>
    <row r="17" spans="2:6" x14ac:dyDescent="0.6">
      <c r="B17" s="21">
        <v>4</v>
      </c>
      <c r="C17" s="5">
        <f t="shared" si="1"/>
        <v>-28.199999999999996</v>
      </c>
      <c r="D17" s="5">
        <f t="shared" si="0"/>
        <v>19.139553286323061</v>
      </c>
      <c r="E17" s="5">
        <f t="shared" si="2"/>
        <v>28.199999999999996</v>
      </c>
      <c r="F17" s="6">
        <f t="shared" si="3"/>
        <v>-19.139553286323061</v>
      </c>
    </row>
    <row r="18" spans="2:6" x14ac:dyDescent="0.6">
      <c r="B18" s="21">
        <v>5</v>
      </c>
      <c r="C18" s="5">
        <f t="shared" si="1"/>
        <v>-27.599999999999994</v>
      </c>
      <c r="D18" s="5">
        <f t="shared" si="0"/>
        <v>18.641083659487176</v>
      </c>
      <c r="E18" s="5">
        <f t="shared" si="2"/>
        <v>27.599999999999994</v>
      </c>
      <c r="F18" s="6">
        <f t="shared" si="3"/>
        <v>-18.641083659487176</v>
      </c>
    </row>
    <row r="19" spans="2:6" x14ac:dyDescent="0.6">
      <c r="B19" s="21">
        <v>6</v>
      </c>
      <c r="C19" s="5">
        <f t="shared" si="1"/>
        <v>-26.999999999999993</v>
      </c>
      <c r="D19" s="5">
        <f t="shared" si="0"/>
        <v>18.140079933671732</v>
      </c>
      <c r="E19" s="5">
        <f t="shared" si="2"/>
        <v>26.999999999999993</v>
      </c>
      <c r="F19" s="6">
        <f t="shared" si="3"/>
        <v>-18.140079933671732</v>
      </c>
    </row>
    <row r="20" spans="2:6" x14ac:dyDescent="0.6">
      <c r="B20" s="21">
        <v>7</v>
      </c>
      <c r="C20" s="5">
        <f t="shared" si="1"/>
        <v>-26.399999999999991</v>
      </c>
      <c r="D20" s="5">
        <f t="shared" si="0"/>
        <v>17.636326148038876</v>
      </c>
      <c r="E20" s="5">
        <f t="shared" si="2"/>
        <v>26.399999999999991</v>
      </c>
      <c r="F20" s="6">
        <f t="shared" si="3"/>
        <v>-17.636326148038876</v>
      </c>
    </row>
    <row r="21" spans="2:6" x14ac:dyDescent="0.6">
      <c r="B21" s="21">
        <v>8</v>
      </c>
      <c r="C21" s="5">
        <f t="shared" si="1"/>
        <v>-25.79999999999999</v>
      </c>
      <c r="D21" s="5">
        <f t="shared" si="0"/>
        <v>17.129579679606845</v>
      </c>
      <c r="E21" s="5">
        <f t="shared" si="2"/>
        <v>25.79999999999999</v>
      </c>
      <c r="F21" s="6">
        <f t="shared" si="3"/>
        <v>-17.129579679606845</v>
      </c>
    </row>
    <row r="22" spans="2:6" x14ac:dyDescent="0.6">
      <c r="B22" s="21">
        <v>9</v>
      </c>
      <c r="C22" s="5">
        <f t="shared" si="1"/>
        <v>-25.199999999999989</v>
      </c>
      <c r="D22" s="5">
        <f t="shared" si="0"/>
        <v>16.619566781357438</v>
      </c>
      <c r="E22" s="5">
        <f t="shared" si="2"/>
        <v>25.199999999999989</v>
      </c>
      <c r="F22" s="6">
        <f t="shared" si="3"/>
        <v>-16.619566781357438</v>
      </c>
    </row>
    <row r="23" spans="2:6" x14ac:dyDescent="0.6">
      <c r="B23" s="21">
        <v>10</v>
      </c>
      <c r="C23" s="5">
        <f t="shared" si="1"/>
        <v>-24.599999999999987</v>
      </c>
      <c r="D23" s="5">
        <f t="shared" si="0"/>
        <v>16.105977151355944</v>
      </c>
      <c r="E23" s="5">
        <f t="shared" si="2"/>
        <v>24.599999999999987</v>
      </c>
      <c r="F23" s="6">
        <f t="shared" si="3"/>
        <v>-16.105977151355944</v>
      </c>
    </row>
    <row r="24" spans="2:6" x14ac:dyDescent="0.6">
      <c r="B24" s="21">
        <v>11</v>
      </c>
      <c r="C24" s="5">
        <f t="shared" si="1"/>
        <v>-23.999999999999986</v>
      </c>
      <c r="D24" s="5">
        <f t="shared" si="0"/>
        <v>15.588457268119884</v>
      </c>
      <c r="E24" s="5">
        <f t="shared" si="2"/>
        <v>23.999999999999986</v>
      </c>
      <c r="F24" s="6">
        <f t="shared" si="3"/>
        <v>-15.588457268119884</v>
      </c>
    </row>
    <row r="25" spans="2:6" x14ac:dyDescent="0.6">
      <c r="B25" s="21">
        <v>12</v>
      </c>
      <c r="C25" s="5">
        <f t="shared" si="1"/>
        <v>-23.399999999999984</v>
      </c>
      <c r="D25" s="5">
        <f t="shared" si="0"/>
        <v>15.066602138504873</v>
      </c>
      <c r="E25" s="5">
        <f t="shared" si="2"/>
        <v>23.399999999999984</v>
      </c>
      <c r="F25" s="6">
        <f t="shared" si="3"/>
        <v>-15.066602138504873</v>
      </c>
    </row>
    <row r="26" spans="2:6" x14ac:dyDescent="0.6">
      <c r="B26" s="21">
        <v>13</v>
      </c>
      <c r="C26" s="5">
        <f t="shared" si="1"/>
        <v>-22.799999999999983</v>
      </c>
      <c r="D26" s="5">
        <f t="shared" si="0"/>
        <v>14.539944979263145</v>
      </c>
      <c r="E26" s="5">
        <f t="shared" si="2"/>
        <v>22.799999999999983</v>
      </c>
      <c r="F26" s="6">
        <f t="shared" si="3"/>
        <v>-14.539944979263145</v>
      </c>
    </row>
    <row r="27" spans="2:6" x14ac:dyDescent="0.6">
      <c r="B27" s="21">
        <v>14</v>
      </c>
      <c r="C27" s="5">
        <f t="shared" si="1"/>
        <v>-22.199999999999982</v>
      </c>
      <c r="D27" s="5">
        <f t="shared" si="0"/>
        <v>14.007944174646026</v>
      </c>
      <c r="E27" s="5">
        <f t="shared" si="2"/>
        <v>22.199999999999982</v>
      </c>
      <c r="F27" s="6">
        <f t="shared" si="3"/>
        <v>-14.007944174646026</v>
      </c>
    </row>
    <row r="28" spans="2:6" x14ac:dyDescent="0.6">
      <c r="B28" s="21">
        <v>15</v>
      </c>
      <c r="C28" s="5">
        <f t="shared" si="1"/>
        <v>-21.59999999999998</v>
      </c>
      <c r="D28" s="5">
        <f t="shared" si="0"/>
        <v>13.469966592386172</v>
      </c>
      <c r="E28" s="5">
        <f t="shared" si="2"/>
        <v>21.59999999999998</v>
      </c>
      <c r="F28" s="6">
        <f t="shared" si="3"/>
        <v>-13.469966592386172</v>
      </c>
    </row>
    <row r="29" spans="2:6" x14ac:dyDescent="0.6">
      <c r="B29" s="21">
        <v>16</v>
      </c>
      <c r="C29" s="5">
        <f t="shared" si="1"/>
        <v>-20.999999999999979</v>
      </c>
      <c r="D29" s="5">
        <f t="shared" si="0"/>
        <v>12.925265954710545</v>
      </c>
      <c r="E29" s="5">
        <f t="shared" si="2"/>
        <v>20.999999999999979</v>
      </c>
      <c r="F29" s="6">
        <f t="shared" si="3"/>
        <v>-12.925265954710545</v>
      </c>
    </row>
    <row r="30" spans="2:6" x14ac:dyDescent="0.6">
      <c r="B30" s="21">
        <v>17</v>
      </c>
      <c r="C30" s="5">
        <f t="shared" si="1"/>
        <v>-20.399999999999977</v>
      </c>
      <c r="D30" s="5">
        <f t="shared" si="0"/>
        <v>12.372954376380747</v>
      </c>
      <c r="E30" s="5">
        <f t="shared" si="2"/>
        <v>20.399999999999977</v>
      </c>
      <c r="F30" s="6">
        <f t="shared" si="3"/>
        <v>-12.372954376380747</v>
      </c>
    </row>
    <row r="31" spans="2:6" x14ac:dyDescent="0.6">
      <c r="B31" s="21">
        <v>18</v>
      </c>
      <c r="C31" s="5">
        <f t="shared" si="1"/>
        <v>-19.799999999999976</v>
      </c>
      <c r="D31" s="5">
        <f t="shared" si="0"/>
        <v>11.811964273565996</v>
      </c>
      <c r="E31" s="5">
        <f t="shared" si="2"/>
        <v>19.799999999999976</v>
      </c>
      <c r="F31" s="6">
        <f t="shared" si="3"/>
        <v>-11.811964273565996</v>
      </c>
    </row>
    <row r="32" spans="2:6" x14ac:dyDescent="0.6">
      <c r="B32" s="21">
        <v>19</v>
      </c>
      <c r="C32" s="5">
        <f t="shared" si="1"/>
        <v>-19.199999999999974</v>
      </c>
      <c r="D32" s="5">
        <f t="shared" si="0"/>
        <v>11.240996397117092</v>
      </c>
      <c r="E32" s="5">
        <f t="shared" si="2"/>
        <v>19.199999999999974</v>
      </c>
      <c r="F32" s="6">
        <f t="shared" si="3"/>
        <v>-11.240996397117092</v>
      </c>
    </row>
    <row r="33" spans="2:6" x14ac:dyDescent="0.6">
      <c r="B33" s="21">
        <v>20</v>
      </c>
      <c r="C33" s="5">
        <f t="shared" si="1"/>
        <v>-18.599999999999973</v>
      </c>
      <c r="D33" s="5">
        <f t="shared" si="0"/>
        <v>10.658447354094285</v>
      </c>
      <c r="E33" s="5">
        <f t="shared" si="2"/>
        <v>18.599999999999973</v>
      </c>
      <c r="F33" s="6">
        <f t="shared" si="3"/>
        <v>-10.658447354094285</v>
      </c>
    </row>
    <row r="34" spans="2:6" x14ac:dyDescent="0.6">
      <c r="B34" s="21">
        <v>21</v>
      </c>
      <c r="C34" s="5">
        <f t="shared" si="1"/>
        <v>-17.999999999999972</v>
      </c>
      <c r="D34" s="5">
        <f t="shared" si="0"/>
        <v>10.062305898749026</v>
      </c>
      <c r="E34" s="5">
        <f t="shared" si="2"/>
        <v>17.999999999999972</v>
      </c>
      <c r="F34" s="6">
        <f t="shared" si="3"/>
        <v>-10.062305898749026</v>
      </c>
    </row>
    <row r="35" spans="2:6" x14ac:dyDescent="0.6">
      <c r="B35" s="21">
        <v>22</v>
      </c>
      <c r="C35" s="5">
        <f t="shared" si="1"/>
        <v>-17.39999999999997</v>
      </c>
      <c r="D35" s="5">
        <f t="shared" si="0"/>
        <v>9.4499999999999691</v>
      </c>
      <c r="E35" s="5">
        <f t="shared" si="2"/>
        <v>17.39999999999997</v>
      </c>
      <c r="F35" s="6">
        <f t="shared" si="3"/>
        <v>-9.4499999999999691</v>
      </c>
    </row>
    <row r="36" spans="2:6" x14ac:dyDescent="0.6">
      <c r="B36" s="21">
        <v>23</v>
      </c>
      <c r="C36" s="5">
        <f t="shared" si="1"/>
        <v>-16.799999999999969</v>
      </c>
      <c r="D36" s="5">
        <f t="shared" si="0"/>
        <v>8.8181630740194077</v>
      </c>
      <c r="E36" s="5">
        <f t="shared" si="2"/>
        <v>16.799999999999969</v>
      </c>
      <c r="F36" s="6">
        <f t="shared" si="3"/>
        <v>-8.8181630740194077</v>
      </c>
    </row>
    <row r="37" spans="2:6" x14ac:dyDescent="0.6">
      <c r="B37" s="21">
        <v>24</v>
      </c>
      <c r="C37" s="5">
        <f t="shared" si="1"/>
        <v>-16.199999999999967</v>
      </c>
      <c r="D37" s="5">
        <f t="shared" si="0"/>
        <v>8.162260716247637</v>
      </c>
      <c r="E37" s="5">
        <f t="shared" si="2"/>
        <v>16.199999999999967</v>
      </c>
      <c r="F37" s="6">
        <f t="shared" si="3"/>
        <v>-8.162260716247637</v>
      </c>
    </row>
    <row r="38" spans="2:6" x14ac:dyDescent="0.6">
      <c r="B38" s="21">
        <v>25</v>
      </c>
      <c r="C38" s="5">
        <f t="shared" si="1"/>
        <v>-15.599999999999968</v>
      </c>
      <c r="D38" s="5">
        <f t="shared" si="0"/>
        <v>7.4759614766262299</v>
      </c>
      <c r="E38" s="5">
        <f t="shared" si="2"/>
        <v>15.599999999999968</v>
      </c>
      <c r="F38" s="6">
        <f t="shared" si="3"/>
        <v>-7.4759614766262299</v>
      </c>
    </row>
    <row r="39" spans="2:6" x14ac:dyDescent="0.6">
      <c r="B39" s="21">
        <v>26</v>
      </c>
      <c r="C39" s="5">
        <f t="shared" si="1"/>
        <v>-14.999999999999968</v>
      </c>
      <c r="D39" s="5">
        <f t="shared" si="0"/>
        <v>6.74999999999996</v>
      </c>
      <c r="E39" s="5">
        <f t="shared" si="2"/>
        <v>14.999999999999968</v>
      </c>
      <c r="F39" s="6">
        <f t="shared" si="3"/>
        <v>-6.74999999999996</v>
      </c>
    </row>
    <row r="40" spans="2:6" x14ac:dyDescent="0.6">
      <c r="B40" s="21">
        <v>27</v>
      </c>
      <c r="C40" s="5">
        <f t="shared" si="1"/>
        <v>-14.399999999999968</v>
      </c>
      <c r="D40" s="5">
        <f t="shared" si="0"/>
        <v>5.9699246226396756</v>
      </c>
      <c r="E40" s="5">
        <f t="shared" si="2"/>
        <v>14.399999999999968</v>
      </c>
      <c r="F40" s="6">
        <f t="shared" si="3"/>
        <v>-5.9699246226396756</v>
      </c>
    </row>
    <row r="41" spans="2:6" x14ac:dyDescent="0.6">
      <c r="B41" s="21">
        <v>28</v>
      </c>
      <c r="C41" s="5">
        <f t="shared" si="1"/>
        <v>-13.799999999999969</v>
      </c>
      <c r="D41" s="5">
        <f t="shared" si="0"/>
        <v>5.111017511220199</v>
      </c>
      <c r="E41" s="5">
        <f t="shared" si="2"/>
        <v>13.799999999999969</v>
      </c>
      <c r="F41" s="6">
        <f t="shared" si="3"/>
        <v>-5.111017511220199</v>
      </c>
    </row>
    <row r="42" spans="2:6" x14ac:dyDescent="0.6">
      <c r="B42" s="21">
        <v>29</v>
      </c>
      <c r="C42" s="5">
        <f t="shared" si="1"/>
        <v>-13.199999999999969</v>
      </c>
      <c r="D42" s="5">
        <f t="shared" si="0"/>
        <v>4.124318125460201</v>
      </c>
      <c r="E42" s="5">
        <f t="shared" si="2"/>
        <v>13.199999999999969</v>
      </c>
      <c r="F42" s="6">
        <f t="shared" si="3"/>
        <v>-4.124318125460201</v>
      </c>
    </row>
    <row r="43" spans="2:6" x14ac:dyDescent="0.6">
      <c r="B43" s="21">
        <v>30</v>
      </c>
      <c r="C43" s="5">
        <f t="shared" si="1"/>
        <v>-12.599999999999969</v>
      </c>
      <c r="D43" s="5">
        <f t="shared" si="0"/>
        <v>2.8814059068447078</v>
      </c>
      <c r="E43" s="5">
        <f t="shared" si="2"/>
        <v>12.599999999999969</v>
      </c>
      <c r="F43" s="6">
        <f t="shared" si="3"/>
        <v>-2.8814059068447078</v>
      </c>
    </row>
    <row r="44" spans="2:6" x14ac:dyDescent="0.6">
      <c r="B44" s="21">
        <v>31</v>
      </c>
      <c r="C44" s="5">
        <f t="shared" si="1"/>
        <v>-11.99999999999997</v>
      </c>
      <c r="D44" s="5" t="str">
        <f t="shared" si="0"/>
        <v/>
      </c>
      <c r="E44" s="5">
        <f t="shared" si="2"/>
        <v>11.99999999999997</v>
      </c>
      <c r="F44" s="6" t="str">
        <f t="shared" si="3"/>
        <v/>
      </c>
    </row>
    <row r="45" spans="2:6" x14ac:dyDescent="0.6">
      <c r="B45" s="21">
        <v>32</v>
      </c>
      <c r="C45" s="5">
        <f t="shared" si="1"/>
        <v>-11.39999999999997</v>
      </c>
      <c r="D45" s="5" t="str">
        <f t="shared" si="0"/>
        <v/>
      </c>
      <c r="E45" s="5">
        <f t="shared" si="2"/>
        <v>11.39999999999997</v>
      </c>
      <c r="F45" s="6" t="str">
        <f t="shared" si="3"/>
        <v/>
      </c>
    </row>
    <row r="46" spans="2:6" x14ac:dyDescent="0.6">
      <c r="B46" s="21">
        <v>33</v>
      </c>
      <c r="C46" s="5">
        <f t="shared" si="1"/>
        <v>-10.799999999999971</v>
      </c>
      <c r="D46" s="5" t="str">
        <f t="shared" ref="D46:D77" si="4">IFERROR(((($C46^2/a_hiperbola^2)-1)*b_hiperbola^2)^0.5,"")</f>
        <v/>
      </c>
      <c r="E46" s="5">
        <f t="shared" si="2"/>
        <v>10.799999999999971</v>
      </c>
      <c r="F46" s="6" t="str">
        <f t="shared" si="3"/>
        <v/>
      </c>
    </row>
    <row r="47" spans="2:6" x14ac:dyDescent="0.6">
      <c r="B47" s="21">
        <v>34</v>
      </c>
      <c r="C47" s="5">
        <f t="shared" ref="C47:C78" si="5">IF(C46-(xstart_hiperbola-xend_hiperbola)/np_hiperbola&gt;xend_hiperbola,xend_hiperbola,C46-(xstart_hiperbola-xend_hiperbola)/np_hiperbola)</f>
        <v>-10.199999999999971</v>
      </c>
      <c r="D47" s="5" t="str">
        <f t="shared" si="4"/>
        <v/>
      </c>
      <c r="E47" s="5">
        <f t="shared" ref="E47:E78" si="6">-C47</f>
        <v>10.199999999999971</v>
      </c>
      <c r="F47" s="6" t="str">
        <f t="shared" si="3"/>
        <v/>
      </c>
    </row>
    <row r="48" spans="2:6" x14ac:dyDescent="0.6">
      <c r="B48" s="21">
        <v>35</v>
      </c>
      <c r="C48" s="5">
        <f t="shared" si="5"/>
        <v>-9.5999999999999712</v>
      </c>
      <c r="D48" s="5" t="str">
        <f t="shared" si="4"/>
        <v/>
      </c>
      <c r="E48" s="5">
        <f t="shared" si="6"/>
        <v>9.5999999999999712</v>
      </c>
      <c r="F48" s="6" t="str">
        <f t="shared" si="3"/>
        <v/>
      </c>
    </row>
    <row r="49" spans="2:6" x14ac:dyDescent="0.6">
      <c r="B49" s="21">
        <v>36</v>
      </c>
      <c r="C49" s="5">
        <f t="shared" si="5"/>
        <v>-8.9999999999999716</v>
      </c>
      <c r="D49" s="5" t="str">
        <f t="shared" si="4"/>
        <v/>
      </c>
      <c r="E49" s="5">
        <f t="shared" si="6"/>
        <v>8.9999999999999716</v>
      </c>
      <c r="F49" s="6" t="str">
        <f t="shared" si="3"/>
        <v/>
      </c>
    </row>
    <row r="50" spans="2:6" x14ac:dyDescent="0.6">
      <c r="B50" s="21">
        <v>37</v>
      </c>
      <c r="C50" s="5">
        <f t="shared" si="5"/>
        <v>-8.3999999999999719</v>
      </c>
      <c r="D50" s="5" t="str">
        <f t="shared" si="4"/>
        <v/>
      </c>
      <c r="E50" s="5">
        <f t="shared" si="6"/>
        <v>8.3999999999999719</v>
      </c>
      <c r="F50" s="6" t="str">
        <f t="shared" si="3"/>
        <v/>
      </c>
    </row>
    <row r="51" spans="2:6" x14ac:dyDescent="0.6">
      <c r="B51" s="21">
        <v>38</v>
      </c>
      <c r="C51" s="5">
        <f t="shared" si="5"/>
        <v>-7.7999999999999723</v>
      </c>
      <c r="D51" s="5" t="str">
        <f t="shared" si="4"/>
        <v/>
      </c>
      <c r="E51" s="5">
        <f t="shared" si="6"/>
        <v>7.7999999999999723</v>
      </c>
      <c r="F51" s="6" t="str">
        <f t="shared" si="3"/>
        <v/>
      </c>
    </row>
    <row r="52" spans="2:6" x14ac:dyDescent="0.6">
      <c r="B52" s="21">
        <v>39</v>
      </c>
      <c r="C52" s="5">
        <f t="shared" si="5"/>
        <v>-7.1999999999999726</v>
      </c>
      <c r="D52" s="5" t="str">
        <f t="shared" si="4"/>
        <v/>
      </c>
      <c r="E52" s="5">
        <f t="shared" si="6"/>
        <v>7.1999999999999726</v>
      </c>
      <c r="F52" s="6" t="str">
        <f t="shared" si="3"/>
        <v/>
      </c>
    </row>
    <row r="53" spans="2:6" x14ac:dyDescent="0.6">
      <c r="B53" s="21">
        <v>40</v>
      </c>
      <c r="C53" s="5">
        <f t="shared" si="5"/>
        <v>-6.599999999999973</v>
      </c>
      <c r="D53" s="5" t="str">
        <f t="shared" si="4"/>
        <v/>
      </c>
      <c r="E53" s="5">
        <f t="shared" si="6"/>
        <v>6.599999999999973</v>
      </c>
      <c r="F53" s="6" t="str">
        <f t="shared" si="3"/>
        <v/>
      </c>
    </row>
    <row r="54" spans="2:6" x14ac:dyDescent="0.6">
      <c r="B54" s="21">
        <v>41</v>
      </c>
      <c r="C54" s="5">
        <f t="shared" si="5"/>
        <v>-5.9999999999999734</v>
      </c>
      <c r="D54" s="5" t="str">
        <f t="shared" si="4"/>
        <v/>
      </c>
      <c r="E54" s="5">
        <f t="shared" si="6"/>
        <v>5.9999999999999734</v>
      </c>
      <c r="F54" s="6" t="str">
        <f t="shared" si="3"/>
        <v/>
      </c>
    </row>
    <row r="55" spans="2:6" x14ac:dyDescent="0.6">
      <c r="B55" s="21">
        <v>42</v>
      </c>
      <c r="C55" s="5">
        <f t="shared" si="5"/>
        <v>-5.3999999999999737</v>
      </c>
      <c r="D55" s="5" t="str">
        <f t="shared" si="4"/>
        <v/>
      </c>
      <c r="E55" s="5">
        <f t="shared" si="6"/>
        <v>5.3999999999999737</v>
      </c>
      <c r="F55" s="6" t="str">
        <f t="shared" si="3"/>
        <v/>
      </c>
    </row>
    <row r="56" spans="2:6" x14ac:dyDescent="0.6">
      <c r="B56" s="21">
        <v>43</v>
      </c>
      <c r="C56" s="5">
        <f t="shared" si="5"/>
        <v>-4.7999999999999741</v>
      </c>
      <c r="D56" s="5" t="str">
        <f t="shared" si="4"/>
        <v/>
      </c>
      <c r="E56" s="5">
        <f t="shared" si="6"/>
        <v>4.7999999999999741</v>
      </c>
      <c r="F56" s="6" t="str">
        <f t="shared" si="3"/>
        <v/>
      </c>
    </row>
    <row r="57" spans="2:6" x14ac:dyDescent="0.6">
      <c r="B57" s="21">
        <v>44</v>
      </c>
      <c r="C57" s="5">
        <f t="shared" si="5"/>
        <v>-4.1999999999999744</v>
      </c>
      <c r="D57" s="5" t="str">
        <f t="shared" si="4"/>
        <v/>
      </c>
      <c r="E57" s="5">
        <f t="shared" si="6"/>
        <v>4.1999999999999744</v>
      </c>
      <c r="F57" s="6" t="str">
        <f t="shared" si="3"/>
        <v/>
      </c>
    </row>
    <row r="58" spans="2:6" x14ac:dyDescent="0.6">
      <c r="B58" s="21">
        <v>45</v>
      </c>
      <c r="C58" s="5">
        <f t="shared" si="5"/>
        <v>-3.5999999999999743</v>
      </c>
      <c r="D58" s="5" t="str">
        <f t="shared" si="4"/>
        <v/>
      </c>
      <c r="E58" s="5">
        <f t="shared" si="6"/>
        <v>3.5999999999999743</v>
      </c>
      <c r="F58" s="6" t="str">
        <f t="shared" si="3"/>
        <v/>
      </c>
    </row>
    <row r="59" spans="2:6" x14ac:dyDescent="0.6">
      <c r="B59" s="21">
        <v>46</v>
      </c>
      <c r="C59" s="5">
        <f t="shared" si="5"/>
        <v>-2.9999999999999742</v>
      </c>
      <c r="D59" s="5" t="str">
        <f t="shared" si="4"/>
        <v/>
      </c>
      <c r="E59" s="5">
        <f t="shared" si="6"/>
        <v>2.9999999999999742</v>
      </c>
      <c r="F59" s="6" t="str">
        <f t="shared" si="3"/>
        <v/>
      </c>
    </row>
    <row r="60" spans="2:6" x14ac:dyDescent="0.6">
      <c r="B60" s="21">
        <v>47</v>
      </c>
      <c r="C60" s="5">
        <f t="shared" si="5"/>
        <v>-2.3999999999999742</v>
      </c>
      <c r="D60" s="5" t="str">
        <f t="shared" si="4"/>
        <v/>
      </c>
      <c r="E60" s="5">
        <f t="shared" si="6"/>
        <v>2.3999999999999742</v>
      </c>
      <c r="F60" s="6" t="str">
        <f t="shared" si="3"/>
        <v/>
      </c>
    </row>
    <row r="61" spans="2:6" x14ac:dyDescent="0.6">
      <c r="B61" s="21">
        <v>48</v>
      </c>
      <c r="C61" s="5">
        <f t="shared" si="5"/>
        <v>-1.7999999999999741</v>
      </c>
      <c r="D61" s="5" t="str">
        <f t="shared" si="4"/>
        <v/>
      </c>
      <c r="E61" s="5">
        <f t="shared" si="6"/>
        <v>1.7999999999999741</v>
      </c>
      <c r="F61" s="6" t="str">
        <f t="shared" si="3"/>
        <v/>
      </c>
    </row>
    <row r="62" spans="2:6" x14ac:dyDescent="0.6">
      <c r="B62" s="21">
        <v>49</v>
      </c>
      <c r="C62" s="5">
        <f t="shared" si="5"/>
        <v>-1.199999999999974</v>
      </c>
      <c r="D62" s="5" t="str">
        <f t="shared" si="4"/>
        <v/>
      </c>
      <c r="E62" s="5">
        <f t="shared" si="6"/>
        <v>1.199999999999974</v>
      </c>
      <c r="F62" s="6" t="str">
        <f t="shared" si="3"/>
        <v/>
      </c>
    </row>
    <row r="63" spans="2:6" x14ac:dyDescent="0.6">
      <c r="B63" s="21">
        <v>50</v>
      </c>
      <c r="C63" s="5">
        <f t="shared" si="5"/>
        <v>-0.599999999999974</v>
      </c>
      <c r="D63" s="5" t="str">
        <f t="shared" si="4"/>
        <v/>
      </c>
      <c r="E63" s="5">
        <f t="shared" si="6"/>
        <v>0.599999999999974</v>
      </c>
      <c r="F63" s="6" t="str">
        <f t="shared" si="3"/>
        <v/>
      </c>
    </row>
    <row r="64" spans="2:6" x14ac:dyDescent="0.6">
      <c r="B64" s="21">
        <v>51</v>
      </c>
      <c r="C64" s="5">
        <f t="shared" si="5"/>
        <v>2.5979218776228663E-14</v>
      </c>
      <c r="D64" s="5" t="str">
        <f t="shared" si="4"/>
        <v/>
      </c>
      <c r="E64" s="5">
        <f t="shared" si="6"/>
        <v>-2.5979218776228663E-14</v>
      </c>
      <c r="F64" s="6" t="str">
        <f t="shared" si="3"/>
        <v/>
      </c>
    </row>
    <row r="65" spans="2:6" x14ac:dyDescent="0.6">
      <c r="B65" s="21">
        <v>52</v>
      </c>
      <c r="C65" s="5">
        <f t="shared" si="5"/>
        <v>0.60000000000002596</v>
      </c>
      <c r="D65" s="5" t="str">
        <f t="shared" si="4"/>
        <v/>
      </c>
      <c r="E65" s="5">
        <f t="shared" si="6"/>
        <v>-0.60000000000002596</v>
      </c>
      <c r="F65" s="6" t="str">
        <f t="shared" si="3"/>
        <v/>
      </c>
    </row>
    <row r="66" spans="2:6" x14ac:dyDescent="0.6">
      <c r="B66" s="21">
        <v>53</v>
      </c>
      <c r="C66" s="5">
        <f t="shared" si="5"/>
        <v>1.2000000000000259</v>
      </c>
      <c r="D66" s="5" t="str">
        <f t="shared" si="4"/>
        <v/>
      </c>
      <c r="E66" s="5">
        <f t="shared" si="6"/>
        <v>-1.2000000000000259</v>
      </c>
      <c r="F66" s="6" t="str">
        <f t="shared" si="3"/>
        <v/>
      </c>
    </row>
    <row r="67" spans="2:6" x14ac:dyDescent="0.6">
      <c r="B67" s="21">
        <v>54</v>
      </c>
      <c r="C67" s="5">
        <f t="shared" si="5"/>
        <v>1.800000000000026</v>
      </c>
      <c r="D67" s="5" t="str">
        <f t="shared" si="4"/>
        <v/>
      </c>
      <c r="E67" s="5">
        <f t="shared" si="6"/>
        <v>-1.800000000000026</v>
      </c>
      <c r="F67" s="6" t="str">
        <f t="shared" si="3"/>
        <v/>
      </c>
    </row>
    <row r="68" spans="2:6" x14ac:dyDescent="0.6">
      <c r="B68" s="21">
        <v>55</v>
      </c>
      <c r="C68" s="5">
        <f t="shared" si="5"/>
        <v>2.4000000000000261</v>
      </c>
      <c r="D68" s="5" t="str">
        <f t="shared" si="4"/>
        <v/>
      </c>
      <c r="E68" s="5">
        <f t="shared" si="6"/>
        <v>-2.4000000000000261</v>
      </c>
      <c r="F68" s="6" t="str">
        <f t="shared" si="3"/>
        <v/>
      </c>
    </row>
    <row r="69" spans="2:6" x14ac:dyDescent="0.6">
      <c r="B69" s="21">
        <v>56</v>
      </c>
      <c r="C69" s="5">
        <f t="shared" si="5"/>
        <v>3.0000000000000262</v>
      </c>
      <c r="D69" s="5" t="str">
        <f t="shared" si="4"/>
        <v/>
      </c>
      <c r="E69" s="5">
        <f t="shared" si="6"/>
        <v>-3.0000000000000262</v>
      </c>
      <c r="F69" s="6" t="str">
        <f t="shared" si="3"/>
        <v/>
      </c>
    </row>
    <row r="70" spans="2:6" x14ac:dyDescent="0.6">
      <c r="B70" s="21">
        <v>57</v>
      </c>
      <c r="C70" s="5">
        <f t="shared" si="5"/>
        <v>3.6000000000000263</v>
      </c>
      <c r="D70" s="5" t="str">
        <f t="shared" si="4"/>
        <v/>
      </c>
      <c r="E70" s="5">
        <f t="shared" si="6"/>
        <v>-3.6000000000000263</v>
      </c>
      <c r="F70" s="6" t="str">
        <f t="shared" si="3"/>
        <v/>
      </c>
    </row>
    <row r="71" spans="2:6" x14ac:dyDescent="0.6">
      <c r="B71" s="21">
        <v>58</v>
      </c>
      <c r="C71" s="5">
        <f t="shared" si="5"/>
        <v>4.2000000000000259</v>
      </c>
      <c r="D71" s="5" t="str">
        <f t="shared" si="4"/>
        <v/>
      </c>
      <c r="E71" s="5">
        <f t="shared" si="6"/>
        <v>-4.2000000000000259</v>
      </c>
      <c r="F71" s="6" t="str">
        <f t="shared" si="3"/>
        <v/>
      </c>
    </row>
    <row r="72" spans="2:6" x14ac:dyDescent="0.6">
      <c r="B72" s="21">
        <v>59</v>
      </c>
      <c r="C72" s="5">
        <f t="shared" si="5"/>
        <v>4.8000000000000256</v>
      </c>
      <c r="D72" s="5" t="str">
        <f t="shared" si="4"/>
        <v/>
      </c>
      <c r="E72" s="5">
        <f t="shared" si="6"/>
        <v>-4.8000000000000256</v>
      </c>
      <c r="F72" s="6" t="str">
        <f t="shared" si="3"/>
        <v/>
      </c>
    </row>
    <row r="73" spans="2:6" x14ac:dyDescent="0.6">
      <c r="B73" s="21">
        <v>60</v>
      </c>
      <c r="C73" s="5">
        <f t="shared" si="5"/>
        <v>5.4000000000000252</v>
      </c>
      <c r="D73" s="5" t="str">
        <f t="shared" si="4"/>
        <v/>
      </c>
      <c r="E73" s="5">
        <f t="shared" si="6"/>
        <v>-5.4000000000000252</v>
      </c>
      <c r="F73" s="6" t="str">
        <f t="shared" si="3"/>
        <v/>
      </c>
    </row>
    <row r="74" spans="2:6" x14ac:dyDescent="0.6">
      <c r="B74" s="21">
        <v>61</v>
      </c>
      <c r="C74" s="5">
        <f t="shared" si="5"/>
        <v>6.0000000000000249</v>
      </c>
      <c r="D74" s="5" t="str">
        <f t="shared" si="4"/>
        <v/>
      </c>
      <c r="E74" s="5">
        <f t="shared" si="6"/>
        <v>-6.0000000000000249</v>
      </c>
      <c r="F74" s="6" t="str">
        <f t="shared" si="3"/>
        <v/>
      </c>
    </row>
    <row r="75" spans="2:6" x14ac:dyDescent="0.6">
      <c r="B75" s="21">
        <v>62</v>
      </c>
      <c r="C75" s="5">
        <f t="shared" si="5"/>
        <v>6.6000000000000245</v>
      </c>
      <c r="D75" s="5" t="str">
        <f t="shared" si="4"/>
        <v/>
      </c>
      <c r="E75" s="5">
        <f t="shared" si="6"/>
        <v>-6.6000000000000245</v>
      </c>
      <c r="F75" s="6" t="str">
        <f t="shared" si="3"/>
        <v/>
      </c>
    </row>
    <row r="76" spans="2:6" x14ac:dyDescent="0.6">
      <c r="B76" s="21">
        <v>63</v>
      </c>
      <c r="C76" s="5">
        <f t="shared" si="5"/>
        <v>7.2000000000000242</v>
      </c>
      <c r="D76" s="5" t="str">
        <f t="shared" si="4"/>
        <v/>
      </c>
      <c r="E76" s="5">
        <f t="shared" si="6"/>
        <v>-7.2000000000000242</v>
      </c>
      <c r="F76" s="6" t="str">
        <f t="shared" si="3"/>
        <v/>
      </c>
    </row>
    <row r="77" spans="2:6" x14ac:dyDescent="0.6">
      <c r="B77" s="21">
        <v>64</v>
      </c>
      <c r="C77" s="5">
        <f t="shared" si="5"/>
        <v>7.8000000000000238</v>
      </c>
      <c r="D77" s="5" t="str">
        <f t="shared" si="4"/>
        <v/>
      </c>
      <c r="E77" s="5">
        <f t="shared" si="6"/>
        <v>-7.8000000000000238</v>
      </c>
      <c r="F77" s="6" t="str">
        <f t="shared" si="3"/>
        <v/>
      </c>
    </row>
    <row r="78" spans="2:6" x14ac:dyDescent="0.6">
      <c r="B78" s="21">
        <v>65</v>
      </c>
      <c r="C78" s="5">
        <f t="shared" si="5"/>
        <v>8.4000000000000234</v>
      </c>
      <c r="D78" s="5" t="str">
        <f t="shared" ref="D78:D113" si="7">IFERROR(((($C78^2/a_hiperbola^2)-1)*b_hiperbola^2)^0.5,"")</f>
        <v/>
      </c>
      <c r="E78" s="5">
        <f t="shared" si="6"/>
        <v>-8.4000000000000234</v>
      </c>
      <c r="F78" s="6" t="str">
        <f t="shared" si="3"/>
        <v/>
      </c>
    </row>
    <row r="79" spans="2:6" x14ac:dyDescent="0.6">
      <c r="B79" s="21">
        <v>66</v>
      </c>
      <c r="C79" s="5">
        <f t="shared" ref="C79:C113" si="8">IF(C78-(xstart_hiperbola-xend_hiperbola)/np_hiperbola&gt;xend_hiperbola,xend_hiperbola,C78-(xstart_hiperbola-xend_hiperbola)/np_hiperbola)</f>
        <v>9.0000000000000231</v>
      </c>
      <c r="D79" s="5" t="str">
        <f t="shared" si="7"/>
        <v/>
      </c>
      <c r="E79" s="5">
        <f t="shared" ref="E79:E113" si="9">-C79</f>
        <v>-9.0000000000000231</v>
      </c>
      <c r="F79" s="6" t="str">
        <f t="shared" ref="F79:F113" si="10">IFERROR(-D79,"")</f>
        <v/>
      </c>
    </row>
    <row r="80" spans="2:6" x14ac:dyDescent="0.6">
      <c r="B80" s="21">
        <v>67</v>
      </c>
      <c r="C80" s="5">
        <f t="shared" si="8"/>
        <v>9.6000000000000227</v>
      </c>
      <c r="D80" s="5" t="str">
        <f t="shared" si="7"/>
        <v/>
      </c>
      <c r="E80" s="5">
        <f t="shared" si="9"/>
        <v>-9.6000000000000227</v>
      </c>
      <c r="F80" s="6" t="str">
        <f t="shared" si="10"/>
        <v/>
      </c>
    </row>
    <row r="81" spans="2:6" x14ac:dyDescent="0.6">
      <c r="B81" s="21">
        <v>68</v>
      </c>
      <c r="C81" s="5">
        <f t="shared" si="8"/>
        <v>10.200000000000022</v>
      </c>
      <c r="D81" s="5" t="str">
        <f t="shared" si="7"/>
        <v/>
      </c>
      <c r="E81" s="5">
        <f t="shared" si="9"/>
        <v>-10.200000000000022</v>
      </c>
      <c r="F81" s="6" t="str">
        <f t="shared" si="10"/>
        <v/>
      </c>
    </row>
    <row r="82" spans="2:6" x14ac:dyDescent="0.6">
      <c r="B82" s="21">
        <v>69</v>
      </c>
      <c r="C82" s="5">
        <f t="shared" si="8"/>
        <v>10.800000000000022</v>
      </c>
      <c r="D82" s="5" t="str">
        <f t="shared" si="7"/>
        <v/>
      </c>
      <c r="E82" s="5">
        <f t="shared" si="9"/>
        <v>-10.800000000000022</v>
      </c>
      <c r="F82" s="6" t="str">
        <f t="shared" si="10"/>
        <v/>
      </c>
    </row>
    <row r="83" spans="2:6" x14ac:dyDescent="0.6">
      <c r="B83" s="21">
        <v>70</v>
      </c>
      <c r="C83" s="5">
        <f t="shared" si="8"/>
        <v>11.400000000000022</v>
      </c>
      <c r="D83" s="5" t="str">
        <f t="shared" si="7"/>
        <v/>
      </c>
      <c r="E83" s="5">
        <f t="shared" si="9"/>
        <v>-11.400000000000022</v>
      </c>
      <c r="F83" s="6" t="str">
        <f t="shared" si="10"/>
        <v/>
      </c>
    </row>
    <row r="84" spans="2:6" x14ac:dyDescent="0.6">
      <c r="B84" s="21">
        <v>71</v>
      </c>
      <c r="C84" s="5">
        <f t="shared" si="8"/>
        <v>12.000000000000021</v>
      </c>
      <c r="D84" s="5">
        <f t="shared" si="7"/>
        <v>5.3644180297851563E-7</v>
      </c>
      <c r="E84" s="5">
        <f t="shared" si="9"/>
        <v>-12.000000000000021</v>
      </c>
      <c r="F84" s="6">
        <f t="shared" si="10"/>
        <v>-5.3644180297851563E-7</v>
      </c>
    </row>
    <row r="85" spans="2:6" x14ac:dyDescent="0.6">
      <c r="B85" s="21">
        <v>72</v>
      </c>
      <c r="C85" s="5">
        <f t="shared" si="8"/>
        <v>12.600000000000021</v>
      </c>
      <c r="D85" s="5">
        <f t="shared" si="7"/>
        <v>2.8814059068448321</v>
      </c>
      <c r="E85" s="5">
        <f t="shared" si="9"/>
        <v>-12.600000000000021</v>
      </c>
      <c r="F85" s="6">
        <f t="shared" si="10"/>
        <v>-2.8814059068448321</v>
      </c>
    </row>
    <row r="86" spans="2:6" x14ac:dyDescent="0.6">
      <c r="B86" s="21">
        <v>73</v>
      </c>
      <c r="C86" s="5">
        <f t="shared" si="8"/>
        <v>13.200000000000021</v>
      </c>
      <c r="D86" s="5">
        <f t="shared" si="7"/>
        <v>4.1243181254602925</v>
      </c>
      <c r="E86" s="5">
        <f t="shared" si="9"/>
        <v>-13.200000000000021</v>
      </c>
      <c r="F86" s="6">
        <f t="shared" si="10"/>
        <v>-4.1243181254602925</v>
      </c>
    </row>
    <row r="87" spans="2:6" x14ac:dyDescent="0.6">
      <c r="B87" s="21">
        <v>74</v>
      </c>
      <c r="C87" s="5">
        <f t="shared" si="8"/>
        <v>13.80000000000002</v>
      </c>
      <c r="D87" s="5">
        <f t="shared" si="7"/>
        <v>5.111017511220278</v>
      </c>
      <c r="E87" s="5">
        <f t="shared" si="9"/>
        <v>-13.80000000000002</v>
      </c>
      <c r="F87" s="6">
        <f t="shared" si="10"/>
        <v>-5.111017511220278</v>
      </c>
    </row>
    <row r="88" spans="2:6" x14ac:dyDescent="0.6">
      <c r="B88" s="21">
        <v>75</v>
      </c>
      <c r="C88" s="5">
        <f t="shared" si="8"/>
        <v>14.40000000000002</v>
      </c>
      <c r="D88" s="5">
        <f t="shared" si="7"/>
        <v>5.9699246226397467</v>
      </c>
      <c r="E88" s="5">
        <f t="shared" si="9"/>
        <v>-14.40000000000002</v>
      </c>
      <c r="F88" s="6">
        <f t="shared" si="10"/>
        <v>-5.9699246226397467</v>
      </c>
    </row>
    <row r="89" spans="2:6" x14ac:dyDescent="0.6">
      <c r="B89" s="21">
        <v>76</v>
      </c>
      <c r="C89" s="5">
        <f t="shared" si="8"/>
        <v>15.00000000000002</v>
      </c>
      <c r="D89" s="5">
        <f t="shared" si="7"/>
        <v>6.7500000000000249</v>
      </c>
      <c r="E89" s="5">
        <f t="shared" si="9"/>
        <v>-15.00000000000002</v>
      </c>
      <c r="F89" s="6">
        <f t="shared" si="10"/>
        <v>-6.7500000000000249</v>
      </c>
    </row>
    <row r="90" spans="2:6" x14ac:dyDescent="0.6">
      <c r="B90" s="21">
        <v>77</v>
      </c>
      <c r="C90" s="5">
        <f t="shared" si="8"/>
        <v>15.600000000000019</v>
      </c>
      <c r="D90" s="5">
        <f t="shared" si="7"/>
        <v>7.4759614766262894</v>
      </c>
      <c r="E90" s="5">
        <f t="shared" si="9"/>
        <v>-15.600000000000019</v>
      </c>
      <c r="F90" s="6">
        <f t="shared" si="10"/>
        <v>-7.4759614766262894</v>
      </c>
    </row>
    <row r="91" spans="2:6" x14ac:dyDescent="0.6">
      <c r="B91" s="21">
        <v>78</v>
      </c>
      <c r="C91" s="5">
        <f t="shared" si="8"/>
        <v>16.200000000000021</v>
      </c>
      <c r="D91" s="5">
        <f t="shared" si="7"/>
        <v>8.1622607162476974</v>
      </c>
      <c r="E91" s="5">
        <f t="shared" si="9"/>
        <v>-16.200000000000021</v>
      </c>
      <c r="F91" s="6">
        <f t="shared" si="10"/>
        <v>-8.1622607162476974</v>
      </c>
    </row>
    <row r="92" spans="2:6" x14ac:dyDescent="0.6">
      <c r="B92" s="21">
        <v>79</v>
      </c>
      <c r="C92" s="5">
        <f t="shared" si="8"/>
        <v>16.800000000000022</v>
      </c>
      <c r="D92" s="5">
        <f t="shared" si="7"/>
        <v>8.8181630740194663</v>
      </c>
      <c r="E92" s="5">
        <f t="shared" si="9"/>
        <v>-16.800000000000022</v>
      </c>
      <c r="F92" s="6">
        <f t="shared" si="10"/>
        <v>-8.8181630740194663</v>
      </c>
    </row>
    <row r="93" spans="2:6" x14ac:dyDescent="0.6">
      <c r="B93" s="21">
        <v>80</v>
      </c>
      <c r="C93" s="5">
        <f t="shared" si="8"/>
        <v>17.400000000000023</v>
      </c>
      <c r="D93" s="5">
        <f t="shared" si="7"/>
        <v>9.4500000000000242</v>
      </c>
      <c r="E93" s="5">
        <f t="shared" si="9"/>
        <v>-17.400000000000023</v>
      </c>
      <c r="F93" s="6">
        <f t="shared" si="10"/>
        <v>-9.4500000000000242</v>
      </c>
    </row>
    <row r="94" spans="2:6" x14ac:dyDescent="0.6">
      <c r="B94" s="21">
        <v>81</v>
      </c>
      <c r="C94" s="5">
        <f t="shared" si="8"/>
        <v>18.000000000000025</v>
      </c>
      <c r="D94" s="5">
        <f t="shared" si="7"/>
        <v>10.062305898749079</v>
      </c>
      <c r="E94" s="5">
        <f t="shared" si="9"/>
        <v>-18.000000000000025</v>
      </c>
      <c r="F94" s="6">
        <f t="shared" si="10"/>
        <v>-10.062305898749079</v>
      </c>
    </row>
    <row r="95" spans="2:6" x14ac:dyDescent="0.6">
      <c r="B95" s="21">
        <v>82</v>
      </c>
      <c r="C95" s="5">
        <f t="shared" si="8"/>
        <v>18.600000000000026</v>
      </c>
      <c r="D95" s="5">
        <f t="shared" si="7"/>
        <v>10.658447354094337</v>
      </c>
      <c r="E95" s="5">
        <f t="shared" si="9"/>
        <v>-18.600000000000026</v>
      </c>
      <c r="F95" s="6">
        <f t="shared" si="10"/>
        <v>-10.658447354094337</v>
      </c>
    </row>
    <row r="96" spans="2:6" x14ac:dyDescent="0.6">
      <c r="B96" s="21">
        <v>83</v>
      </c>
      <c r="C96" s="5">
        <f t="shared" si="8"/>
        <v>19.200000000000028</v>
      </c>
      <c r="D96" s="5">
        <f t="shared" si="7"/>
        <v>11.240996397117144</v>
      </c>
      <c r="E96" s="5">
        <f t="shared" si="9"/>
        <v>-19.200000000000028</v>
      </c>
      <c r="F96" s="6">
        <f t="shared" si="10"/>
        <v>-11.240996397117144</v>
      </c>
    </row>
    <row r="97" spans="2:6" x14ac:dyDescent="0.6">
      <c r="B97" s="21">
        <v>84</v>
      </c>
      <c r="C97" s="5">
        <f t="shared" si="8"/>
        <v>19.800000000000029</v>
      </c>
      <c r="D97" s="5">
        <f t="shared" si="7"/>
        <v>11.811964273566046</v>
      </c>
      <c r="E97" s="5">
        <f t="shared" si="9"/>
        <v>-19.800000000000029</v>
      </c>
      <c r="F97" s="6">
        <f t="shared" si="10"/>
        <v>-11.811964273566046</v>
      </c>
    </row>
    <row r="98" spans="2:6" x14ac:dyDescent="0.6">
      <c r="B98" s="21">
        <v>85</v>
      </c>
      <c r="C98" s="5">
        <f t="shared" si="8"/>
        <v>20.400000000000031</v>
      </c>
      <c r="D98" s="5">
        <f t="shared" si="7"/>
        <v>12.372954376380795</v>
      </c>
      <c r="E98" s="5">
        <f t="shared" si="9"/>
        <v>-20.400000000000031</v>
      </c>
      <c r="F98" s="6">
        <f t="shared" si="10"/>
        <v>-12.372954376380795</v>
      </c>
    </row>
    <row r="99" spans="2:6" x14ac:dyDescent="0.6">
      <c r="B99" s="21">
        <v>86</v>
      </c>
      <c r="C99" s="5">
        <f t="shared" si="8"/>
        <v>21.000000000000032</v>
      </c>
      <c r="D99" s="5">
        <f t="shared" si="7"/>
        <v>12.925265954710595</v>
      </c>
      <c r="E99" s="5">
        <f t="shared" si="9"/>
        <v>-21.000000000000032</v>
      </c>
      <c r="F99" s="6">
        <f t="shared" si="10"/>
        <v>-12.925265954710595</v>
      </c>
    </row>
    <row r="100" spans="2:6" x14ac:dyDescent="0.6">
      <c r="B100" s="21">
        <v>87</v>
      </c>
      <c r="C100" s="5">
        <f t="shared" si="8"/>
        <v>21.600000000000033</v>
      </c>
      <c r="D100" s="5">
        <f t="shared" si="7"/>
        <v>13.46996659238622</v>
      </c>
      <c r="E100" s="5">
        <f t="shared" si="9"/>
        <v>-21.600000000000033</v>
      </c>
      <c r="F100" s="6">
        <f t="shared" si="10"/>
        <v>-13.46996659238622</v>
      </c>
    </row>
    <row r="101" spans="2:6" x14ac:dyDescent="0.6">
      <c r="B101" s="21">
        <v>88</v>
      </c>
      <c r="C101" s="5">
        <f t="shared" si="8"/>
        <v>22.200000000000035</v>
      </c>
      <c r="D101" s="5">
        <f t="shared" si="7"/>
        <v>14.007944174646074</v>
      </c>
      <c r="E101" s="5">
        <f t="shared" si="9"/>
        <v>-22.200000000000035</v>
      </c>
      <c r="F101" s="6">
        <f t="shared" si="10"/>
        <v>-14.007944174646074</v>
      </c>
    </row>
    <row r="102" spans="2:6" x14ac:dyDescent="0.6">
      <c r="B102" s="21">
        <v>89</v>
      </c>
      <c r="C102" s="5">
        <f t="shared" si="8"/>
        <v>22.800000000000036</v>
      </c>
      <c r="D102" s="5">
        <f t="shared" si="7"/>
        <v>14.539944979263193</v>
      </c>
      <c r="E102" s="5">
        <f t="shared" si="9"/>
        <v>-22.800000000000036</v>
      </c>
      <c r="F102" s="6">
        <f t="shared" si="10"/>
        <v>-14.539944979263193</v>
      </c>
    </row>
    <row r="103" spans="2:6" x14ac:dyDescent="0.6">
      <c r="B103" s="21">
        <v>90</v>
      </c>
      <c r="C103" s="5">
        <f t="shared" si="8"/>
        <v>23.400000000000038</v>
      </c>
      <c r="D103" s="5">
        <f t="shared" si="7"/>
        <v>15.066602138504919</v>
      </c>
      <c r="E103" s="5">
        <f t="shared" si="9"/>
        <v>-23.400000000000038</v>
      </c>
      <c r="F103" s="6">
        <f t="shared" si="10"/>
        <v>-15.066602138504919</v>
      </c>
    </row>
    <row r="104" spans="2:6" x14ac:dyDescent="0.6">
      <c r="B104" s="21">
        <v>91</v>
      </c>
      <c r="C104" s="5">
        <f t="shared" si="8"/>
        <v>24.000000000000039</v>
      </c>
      <c r="D104" s="5">
        <f t="shared" si="7"/>
        <v>15.588457268119928</v>
      </c>
      <c r="E104" s="5">
        <f t="shared" si="9"/>
        <v>-24.000000000000039</v>
      </c>
      <c r="F104" s="6">
        <f t="shared" si="10"/>
        <v>-15.588457268119928</v>
      </c>
    </row>
    <row r="105" spans="2:6" x14ac:dyDescent="0.6">
      <c r="B105" s="21">
        <v>92</v>
      </c>
      <c r="C105" s="5">
        <f t="shared" si="8"/>
        <v>24.600000000000041</v>
      </c>
      <c r="D105" s="5">
        <f t="shared" si="7"/>
        <v>16.105977151355987</v>
      </c>
      <c r="E105" s="5">
        <f t="shared" si="9"/>
        <v>-24.600000000000041</v>
      </c>
      <c r="F105" s="6">
        <f t="shared" si="10"/>
        <v>-16.105977151355987</v>
      </c>
    </row>
    <row r="106" spans="2:6" x14ac:dyDescent="0.6">
      <c r="B106" s="21">
        <v>93</v>
      </c>
      <c r="C106" s="5">
        <f t="shared" si="8"/>
        <v>25.200000000000042</v>
      </c>
      <c r="D106" s="5">
        <f t="shared" si="7"/>
        <v>16.619566781357484</v>
      </c>
      <c r="E106" s="5">
        <f t="shared" si="9"/>
        <v>-25.200000000000042</v>
      </c>
      <c r="F106" s="6">
        <f t="shared" si="10"/>
        <v>-16.619566781357484</v>
      </c>
    </row>
    <row r="107" spans="2:6" x14ac:dyDescent="0.6">
      <c r="B107" s="21">
        <v>94</v>
      </c>
      <c r="C107" s="5">
        <f t="shared" si="8"/>
        <v>25.800000000000043</v>
      </c>
      <c r="D107" s="5">
        <f t="shared" si="7"/>
        <v>17.129579679606888</v>
      </c>
      <c r="E107" s="5">
        <f t="shared" si="9"/>
        <v>-25.800000000000043</v>
      </c>
      <c r="F107" s="6">
        <f t="shared" si="10"/>
        <v>-17.129579679606888</v>
      </c>
    </row>
    <row r="108" spans="2:6" x14ac:dyDescent="0.6">
      <c r="B108" s="21">
        <v>95</v>
      </c>
      <c r="C108" s="5">
        <f t="shared" si="8"/>
        <v>26.400000000000045</v>
      </c>
      <c r="D108" s="5">
        <f t="shared" si="7"/>
        <v>17.636326148038918</v>
      </c>
      <c r="E108" s="5">
        <f t="shared" si="9"/>
        <v>-26.400000000000045</v>
      </c>
      <c r="F108" s="6">
        <f t="shared" si="10"/>
        <v>-17.636326148038918</v>
      </c>
    </row>
    <row r="109" spans="2:6" x14ac:dyDescent="0.6">
      <c r="B109" s="21">
        <v>96</v>
      </c>
      <c r="C109" s="5">
        <f t="shared" si="8"/>
        <v>27.000000000000046</v>
      </c>
      <c r="D109" s="5">
        <f t="shared" si="7"/>
        <v>18.140079933671775</v>
      </c>
      <c r="E109" s="5">
        <f t="shared" si="9"/>
        <v>-27.000000000000046</v>
      </c>
      <c r="F109" s="6">
        <f t="shared" si="10"/>
        <v>-18.140079933671775</v>
      </c>
    </row>
    <row r="110" spans="2:6" x14ac:dyDescent="0.6">
      <c r="B110" s="21">
        <v>97</v>
      </c>
      <c r="C110" s="5">
        <f t="shared" si="8"/>
        <v>27.600000000000048</v>
      </c>
      <c r="D110" s="5">
        <f t="shared" si="7"/>
        <v>18.641083659487219</v>
      </c>
      <c r="E110" s="5">
        <f t="shared" si="9"/>
        <v>-27.600000000000048</v>
      </c>
      <c r="F110" s="6">
        <f t="shared" si="10"/>
        <v>-18.641083659487219</v>
      </c>
    </row>
    <row r="111" spans="2:6" x14ac:dyDescent="0.6">
      <c r="B111" s="21">
        <v>98</v>
      </c>
      <c r="C111" s="5">
        <f t="shared" si="8"/>
        <v>28.200000000000049</v>
      </c>
      <c r="D111" s="5">
        <f t="shared" si="7"/>
        <v>19.139553286323103</v>
      </c>
      <c r="E111" s="5">
        <f t="shared" si="9"/>
        <v>-28.200000000000049</v>
      </c>
      <c r="F111" s="6">
        <f t="shared" si="10"/>
        <v>-19.139553286323103</v>
      </c>
    </row>
    <row r="112" spans="2:6" x14ac:dyDescent="0.6">
      <c r="B112" s="21">
        <v>99</v>
      </c>
      <c r="C112" s="5">
        <f t="shared" si="8"/>
        <v>28.80000000000005</v>
      </c>
      <c r="D112" s="5">
        <f t="shared" si="7"/>
        <v>19.635681806344326</v>
      </c>
      <c r="E112" s="5">
        <f t="shared" si="9"/>
        <v>-28.80000000000005</v>
      </c>
      <c r="F112" s="6">
        <f t="shared" si="10"/>
        <v>-19.635681806344326</v>
      </c>
    </row>
    <row r="113" spans="2:6" x14ac:dyDescent="0.6">
      <c r="B113" s="22">
        <v>100</v>
      </c>
      <c r="C113" s="7">
        <f t="shared" si="8"/>
        <v>29.400000000000052</v>
      </c>
      <c r="D113" s="7">
        <f t="shared" si="7"/>
        <v>20.12964232171058</v>
      </c>
      <c r="E113" s="7">
        <f t="shared" si="9"/>
        <v>-29.400000000000052</v>
      </c>
      <c r="F113" s="8">
        <f t="shared" si="10"/>
        <v>-20.12964232171058</v>
      </c>
    </row>
  </sheetData>
  <sheetProtection algorithmName="SHA-512" hashValue="3UknFRm9G/4N7XpDFI3bZYDiXY2HTVErkUutb8pUlY6G7g24bEn1mU88tcO5mv8m2nxyKrEPbxOKAlQGHncVXQ==" saltValue="mirPsrisa6sWV4o2/LnbwA==" spinCount="100000" sheet="1" objects="1" scenarios="1"/>
  <mergeCells count="1">
    <mergeCell ref="B3:D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C8D5-DD2A-4045-B1C0-D60B4769BCD7}">
  <dimension ref="A1:B203"/>
  <sheetViews>
    <sheetView showGridLines="0" zoomScale="130" zoomScaleNormal="130" workbookViewId="0">
      <pane ySplit="1" topLeftCell="A2" activePane="bottomLeft" state="frozen"/>
      <selection pane="bottomLeft" activeCell="A2" sqref="A2"/>
    </sheetView>
  </sheetViews>
  <sheetFormatPr defaultColWidth="10.6640625" defaultRowHeight="16.5" x14ac:dyDescent="0.6"/>
  <cols>
    <col min="1" max="1" width="28.19921875" style="1" customWidth="1"/>
    <col min="2" max="2" width="33.46484375" style="1" customWidth="1"/>
    <col min="3" max="16384" width="10.6640625" style="1"/>
  </cols>
  <sheetData>
    <row r="1" spans="1:2" x14ac:dyDescent="0.6">
      <c r="A1" s="1" t="s">
        <v>16</v>
      </c>
    </row>
    <row r="2" spans="1:2" x14ac:dyDescent="0.6">
      <c r="A2" s="1" t="str">
        <f>_xlfn.CONCAT(HiperbolaTabla!$C14,",",HiperbolaTabla!D14)</f>
        <v>-30,20.6215906273013</v>
      </c>
      <c r="B2" s="1" t="str">
        <f>_xlfn.CONCAT("POINT ",A2)</f>
        <v>POINT -30,20.6215906273013</v>
      </c>
    </row>
    <row r="3" spans="1:2" x14ac:dyDescent="0.6">
      <c r="A3" s="1" t="str">
        <f>_xlfn.CONCAT(HiperbolaTabla!$C15,",",HiperbolaTabla!D15)</f>
        <v>-29.4,20.1296423217105</v>
      </c>
      <c r="B3" s="1" t="str">
        <f t="shared" ref="B3:B66" si="0">_xlfn.CONCAT("POINT ",A3)</f>
        <v>POINT -29.4,20.1296423217105</v>
      </c>
    </row>
    <row r="4" spans="1:2" x14ac:dyDescent="0.6">
      <c r="A4" s="1" t="str">
        <f>_xlfn.CONCAT(HiperbolaTabla!$C16,",",HiperbolaTabla!D16)</f>
        <v>-28.8,19.6356818063443</v>
      </c>
      <c r="B4" s="1" t="str">
        <f t="shared" si="0"/>
        <v>POINT -28.8,19.6356818063443</v>
      </c>
    </row>
    <row r="5" spans="1:2" x14ac:dyDescent="0.6">
      <c r="A5" s="1" t="str">
        <f>_xlfn.CONCAT(HiperbolaTabla!$C17,",",HiperbolaTabla!D17)</f>
        <v>-28.2,19.1395532863231</v>
      </c>
      <c r="B5" s="1" t="str">
        <f t="shared" si="0"/>
        <v>POINT -28.2,19.1395532863231</v>
      </c>
    </row>
    <row r="6" spans="1:2" x14ac:dyDescent="0.6">
      <c r="A6" s="1" t="str">
        <f>_xlfn.CONCAT(HiperbolaTabla!$C18,",",HiperbolaTabla!D18)</f>
        <v>-27.6,18.6410836594872</v>
      </c>
      <c r="B6" s="1" t="str">
        <f t="shared" si="0"/>
        <v>POINT -27.6,18.6410836594872</v>
      </c>
    </row>
    <row r="7" spans="1:2" x14ac:dyDescent="0.6">
      <c r="A7" s="1" t="str">
        <f>_xlfn.CONCAT(HiperbolaTabla!$C19,",",HiperbolaTabla!D19)</f>
        <v>-27,18.1400799336717</v>
      </c>
      <c r="B7" s="1" t="str">
        <f t="shared" si="0"/>
        <v>POINT -27,18.1400799336717</v>
      </c>
    </row>
    <row r="8" spans="1:2" x14ac:dyDescent="0.6">
      <c r="A8" s="1" t="str">
        <f>_xlfn.CONCAT(HiperbolaTabla!$C20,",",HiperbolaTabla!D20)</f>
        <v>-26.4,17.6363261480389</v>
      </c>
      <c r="B8" s="1" t="str">
        <f t="shared" si="0"/>
        <v>POINT -26.4,17.6363261480389</v>
      </c>
    </row>
    <row r="9" spans="1:2" x14ac:dyDescent="0.6">
      <c r="A9" s="1" t="str">
        <f>_xlfn.CONCAT(HiperbolaTabla!$C21,",",HiperbolaTabla!D21)</f>
        <v>-25.8,17.1295796796068</v>
      </c>
      <c r="B9" s="1" t="str">
        <f t="shared" si="0"/>
        <v>POINT -25.8,17.1295796796068</v>
      </c>
    </row>
    <row r="10" spans="1:2" x14ac:dyDescent="0.6">
      <c r="A10" s="1" t="str">
        <f>_xlfn.CONCAT(HiperbolaTabla!$C22,",",HiperbolaTabla!D22)</f>
        <v>-25.2,16.6195667813574</v>
      </c>
      <c r="B10" s="1" t="str">
        <f t="shared" si="0"/>
        <v>POINT -25.2,16.6195667813574</v>
      </c>
    </row>
    <row r="11" spans="1:2" x14ac:dyDescent="0.6">
      <c r="A11" s="1" t="str">
        <f>_xlfn.CONCAT(HiperbolaTabla!$C23,",",HiperbolaTabla!D23)</f>
        <v>-24.6,16.1059771513559</v>
      </c>
      <c r="B11" s="1" t="str">
        <f t="shared" si="0"/>
        <v>POINT -24.6,16.1059771513559</v>
      </c>
    </row>
    <row r="12" spans="1:2" x14ac:dyDescent="0.6">
      <c r="A12" s="1" t="str">
        <f>_xlfn.CONCAT(HiperbolaTabla!$C24,",",HiperbolaTabla!D24)</f>
        <v>-24,15.5884572681199</v>
      </c>
      <c r="B12" s="1" t="str">
        <f t="shared" si="0"/>
        <v>POINT -24,15.5884572681199</v>
      </c>
    </row>
    <row r="13" spans="1:2" x14ac:dyDescent="0.6">
      <c r="A13" s="1" t="str">
        <f>_xlfn.CONCAT(HiperbolaTabla!$C25,",",HiperbolaTabla!D25)</f>
        <v>-23.4,15.0666021385049</v>
      </c>
      <c r="B13" s="1" t="str">
        <f t="shared" si="0"/>
        <v>POINT -23.4,15.0666021385049</v>
      </c>
    </row>
    <row r="14" spans="1:2" x14ac:dyDescent="0.6">
      <c r="A14" s="1" t="str">
        <f>_xlfn.CONCAT(HiperbolaTabla!$C26,",",HiperbolaTabla!D26)</f>
        <v>-22.8,14.5399449792631</v>
      </c>
      <c r="B14" s="1" t="str">
        <f t="shared" si="0"/>
        <v>POINT -22.8,14.5399449792631</v>
      </c>
    </row>
    <row r="15" spans="1:2" x14ac:dyDescent="0.6">
      <c r="A15" s="1" t="str">
        <f>_xlfn.CONCAT(HiperbolaTabla!$C27,",",HiperbolaTabla!D27)</f>
        <v>-22.2,14.007944174646</v>
      </c>
      <c r="B15" s="1" t="str">
        <f t="shared" si="0"/>
        <v>POINT -22.2,14.007944174646</v>
      </c>
    </row>
    <row r="16" spans="1:2" x14ac:dyDescent="0.6">
      <c r="A16" s="1" t="str">
        <f>_xlfn.CONCAT(HiperbolaTabla!$C28,",",HiperbolaTabla!D28)</f>
        <v>-21.6,13.4699665923862</v>
      </c>
      <c r="B16" s="1" t="str">
        <f t="shared" si="0"/>
        <v>POINT -21.6,13.4699665923862</v>
      </c>
    </row>
    <row r="17" spans="1:2" x14ac:dyDescent="0.6">
      <c r="A17" s="1" t="str">
        <f>_xlfn.CONCAT(HiperbolaTabla!$C29,",",HiperbolaTabla!D29)</f>
        <v>-21,12.9252659547105</v>
      </c>
      <c r="B17" s="1" t="str">
        <f t="shared" si="0"/>
        <v>POINT -21,12.9252659547105</v>
      </c>
    </row>
    <row r="18" spans="1:2" x14ac:dyDescent="0.6">
      <c r="A18" s="1" t="str">
        <f>_xlfn.CONCAT(HiperbolaTabla!$C30,",",HiperbolaTabla!D30)</f>
        <v>-20.4,12.3729543763807</v>
      </c>
      <c r="B18" s="1" t="str">
        <f t="shared" si="0"/>
        <v>POINT -20.4,12.3729543763807</v>
      </c>
    </row>
    <row r="19" spans="1:2" x14ac:dyDescent="0.6">
      <c r="A19" s="1" t="str">
        <f>_xlfn.CONCAT(HiperbolaTabla!$C31,",",HiperbolaTabla!D31)</f>
        <v>-19.8,11.811964273566</v>
      </c>
      <c r="B19" s="1" t="str">
        <f t="shared" si="0"/>
        <v>POINT -19.8,11.811964273566</v>
      </c>
    </row>
    <row r="20" spans="1:2" x14ac:dyDescent="0.6">
      <c r="A20" s="1" t="str">
        <f>_xlfn.CONCAT(HiperbolaTabla!$C32,",",HiperbolaTabla!D32)</f>
        <v>-19.2,11.2409963971171</v>
      </c>
      <c r="B20" s="1" t="str">
        <f t="shared" si="0"/>
        <v>POINT -19.2,11.2409963971171</v>
      </c>
    </row>
    <row r="21" spans="1:2" x14ac:dyDescent="0.6">
      <c r="A21" s="1" t="str">
        <f>_xlfn.CONCAT(HiperbolaTabla!$C33,",",HiperbolaTabla!D33)</f>
        <v>-18.6,10.6584473540943</v>
      </c>
      <c r="B21" s="1" t="str">
        <f t="shared" si="0"/>
        <v>POINT -18.6,10.6584473540943</v>
      </c>
    </row>
    <row r="22" spans="1:2" x14ac:dyDescent="0.6">
      <c r="A22" s="1" t="str">
        <f>_xlfn.CONCAT(HiperbolaTabla!$C34,",",HiperbolaTabla!D34)</f>
        <v>-18,10.062305898749</v>
      </c>
      <c r="B22" s="1" t="str">
        <f t="shared" si="0"/>
        <v>POINT -18,10.062305898749</v>
      </c>
    </row>
    <row r="23" spans="1:2" x14ac:dyDescent="0.6">
      <c r="A23" s="1" t="str">
        <f>_xlfn.CONCAT(HiperbolaTabla!$C35,",",HiperbolaTabla!D35)</f>
        <v>-17.4,9.44999999999997</v>
      </c>
      <c r="B23" s="1" t="str">
        <f t="shared" si="0"/>
        <v>POINT -17.4,9.44999999999997</v>
      </c>
    </row>
    <row r="24" spans="1:2" x14ac:dyDescent="0.6">
      <c r="A24" s="1" t="str">
        <f>_xlfn.CONCAT(HiperbolaTabla!$C36,",",HiperbolaTabla!D36)</f>
        <v>-16.8,8.81816307401941</v>
      </c>
      <c r="B24" s="1" t="str">
        <f t="shared" si="0"/>
        <v>POINT -16.8,8.81816307401941</v>
      </c>
    </row>
    <row r="25" spans="1:2" x14ac:dyDescent="0.6">
      <c r="A25" s="1" t="str">
        <f>_xlfn.CONCAT(HiperbolaTabla!$C37,",",HiperbolaTabla!D37)</f>
        <v>-16.2,8.16226071624764</v>
      </c>
      <c r="B25" s="1" t="str">
        <f t="shared" si="0"/>
        <v>POINT -16.2,8.16226071624764</v>
      </c>
    </row>
    <row r="26" spans="1:2" x14ac:dyDescent="0.6">
      <c r="A26" s="1" t="str">
        <f>_xlfn.CONCAT(HiperbolaTabla!$C38,",",HiperbolaTabla!D38)</f>
        <v>-15.6,7.47596147662623</v>
      </c>
      <c r="B26" s="1" t="str">
        <f t="shared" si="0"/>
        <v>POINT -15.6,7.47596147662623</v>
      </c>
    </row>
    <row r="27" spans="1:2" x14ac:dyDescent="0.6">
      <c r="A27" s="1" t="str">
        <f>_xlfn.CONCAT(HiperbolaTabla!$C39,",",HiperbolaTabla!D39)</f>
        <v>-15,6.74999999999996</v>
      </c>
      <c r="B27" s="1" t="str">
        <f t="shared" si="0"/>
        <v>POINT -15,6.74999999999996</v>
      </c>
    </row>
    <row r="28" spans="1:2" x14ac:dyDescent="0.6">
      <c r="A28" s="1" t="str">
        <f>_xlfn.CONCAT(HiperbolaTabla!$C40,",",HiperbolaTabla!D40)</f>
        <v>-14.4,5.96992462263968</v>
      </c>
      <c r="B28" s="1" t="str">
        <f t="shared" si="0"/>
        <v>POINT -14.4,5.96992462263968</v>
      </c>
    </row>
    <row r="29" spans="1:2" x14ac:dyDescent="0.6">
      <c r="A29" s="1" t="str">
        <f>_xlfn.CONCAT(HiperbolaTabla!$C41,",",HiperbolaTabla!D41)</f>
        <v>-13.8,5.1110175112202</v>
      </c>
      <c r="B29" s="1" t="str">
        <f t="shared" si="0"/>
        <v>POINT -13.8,5.1110175112202</v>
      </c>
    </row>
    <row r="30" spans="1:2" x14ac:dyDescent="0.6">
      <c r="A30" s="1" t="str">
        <f>_xlfn.CONCAT(HiperbolaTabla!$C42,",",HiperbolaTabla!D42)</f>
        <v>-13.2,4.1243181254602</v>
      </c>
      <c r="B30" s="1" t="str">
        <f t="shared" si="0"/>
        <v>POINT -13.2,4.1243181254602</v>
      </c>
    </row>
    <row r="31" spans="1:2" x14ac:dyDescent="0.6">
      <c r="A31" s="1" t="str">
        <f>_xlfn.CONCAT(HiperbolaTabla!$C43,",",HiperbolaTabla!D43)</f>
        <v>-12.6,2.88140590684471</v>
      </c>
      <c r="B31" s="1" t="str">
        <f t="shared" si="0"/>
        <v>POINT -12.6,2.88140590684471</v>
      </c>
    </row>
    <row r="32" spans="1:2" x14ac:dyDescent="0.6">
      <c r="A32" s="1" t="str">
        <f>_xlfn.CONCAT(HiperbolaTabla!$C44,",",HiperbolaTabla!D44)</f>
        <v>-12,</v>
      </c>
      <c r="B32" s="1" t="str">
        <f t="shared" si="0"/>
        <v>POINT -12,</v>
      </c>
    </row>
    <row r="33" spans="1:2" x14ac:dyDescent="0.6">
      <c r="A33" s="1" t="str">
        <f>_xlfn.CONCAT(HiperbolaTabla!$C45,",",HiperbolaTabla!D45)</f>
        <v>-11.4,</v>
      </c>
      <c r="B33" s="1" t="str">
        <f t="shared" si="0"/>
        <v>POINT -11.4,</v>
      </c>
    </row>
    <row r="34" spans="1:2" x14ac:dyDescent="0.6">
      <c r="A34" s="1" t="str">
        <f>_xlfn.CONCAT(HiperbolaTabla!$C46,",",HiperbolaTabla!D46)</f>
        <v>-10.8,</v>
      </c>
      <c r="B34" s="1" t="str">
        <f t="shared" si="0"/>
        <v>POINT -10.8,</v>
      </c>
    </row>
    <row r="35" spans="1:2" x14ac:dyDescent="0.6">
      <c r="A35" s="1" t="str">
        <f>_xlfn.CONCAT(HiperbolaTabla!$C47,",",HiperbolaTabla!D47)</f>
        <v>-10.2,</v>
      </c>
      <c r="B35" s="1" t="str">
        <f t="shared" si="0"/>
        <v>POINT -10.2,</v>
      </c>
    </row>
    <row r="36" spans="1:2" x14ac:dyDescent="0.6">
      <c r="A36" s="1" t="str">
        <f>_xlfn.CONCAT(HiperbolaTabla!$C48,",",HiperbolaTabla!D48)</f>
        <v>-9.59999999999997,</v>
      </c>
      <c r="B36" s="1" t="str">
        <f t="shared" si="0"/>
        <v>POINT -9.59999999999997,</v>
      </c>
    </row>
    <row r="37" spans="1:2" x14ac:dyDescent="0.6">
      <c r="A37" s="1" t="str">
        <f>_xlfn.CONCAT(HiperbolaTabla!$C49,",",HiperbolaTabla!D49)</f>
        <v>-8.99999999999997,</v>
      </c>
      <c r="B37" s="1" t="str">
        <f t="shared" si="0"/>
        <v>POINT -8.99999999999997,</v>
      </c>
    </row>
    <row r="38" spans="1:2" x14ac:dyDescent="0.6">
      <c r="A38" s="1" t="str">
        <f>_xlfn.CONCAT(HiperbolaTabla!$C50,",",HiperbolaTabla!D50)</f>
        <v>-8.39999999999997,</v>
      </c>
      <c r="B38" s="1" t="str">
        <f t="shared" si="0"/>
        <v>POINT -8.39999999999997,</v>
      </c>
    </row>
    <row r="39" spans="1:2" x14ac:dyDescent="0.6">
      <c r="A39" s="1" t="str">
        <f>_xlfn.CONCAT(HiperbolaTabla!$C51,",",HiperbolaTabla!D51)</f>
        <v>-7.79999999999997,</v>
      </c>
      <c r="B39" s="1" t="str">
        <f t="shared" si="0"/>
        <v>POINT -7.79999999999997,</v>
      </c>
    </row>
    <row r="40" spans="1:2" x14ac:dyDescent="0.6">
      <c r="A40" s="1" t="str">
        <f>_xlfn.CONCAT(HiperbolaTabla!$C52,",",HiperbolaTabla!D52)</f>
        <v>-7.19999999999997,</v>
      </c>
      <c r="B40" s="1" t="str">
        <f t="shared" si="0"/>
        <v>POINT -7.19999999999997,</v>
      </c>
    </row>
    <row r="41" spans="1:2" x14ac:dyDescent="0.6">
      <c r="A41" s="1" t="str">
        <f>_xlfn.CONCAT(HiperbolaTabla!$C53,",",HiperbolaTabla!D53)</f>
        <v>-6.59999999999997,</v>
      </c>
      <c r="B41" s="1" t="str">
        <f t="shared" si="0"/>
        <v>POINT -6.59999999999997,</v>
      </c>
    </row>
    <row r="42" spans="1:2" x14ac:dyDescent="0.6">
      <c r="A42" s="1" t="str">
        <f>_xlfn.CONCAT(HiperbolaTabla!$C54,",",HiperbolaTabla!D54)</f>
        <v>-5.99999999999997,</v>
      </c>
      <c r="B42" s="1" t="str">
        <f t="shared" si="0"/>
        <v>POINT -5.99999999999997,</v>
      </c>
    </row>
    <row r="43" spans="1:2" x14ac:dyDescent="0.6">
      <c r="A43" s="1" t="str">
        <f>_xlfn.CONCAT(HiperbolaTabla!$C55,",",HiperbolaTabla!D55)</f>
        <v>-5.39999999999997,</v>
      </c>
      <c r="B43" s="1" t="str">
        <f t="shared" si="0"/>
        <v>POINT -5.39999999999997,</v>
      </c>
    </row>
    <row r="44" spans="1:2" x14ac:dyDescent="0.6">
      <c r="A44" s="1" t="str">
        <f>_xlfn.CONCAT(HiperbolaTabla!$C56,",",HiperbolaTabla!D56)</f>
        <v>-4.79999999999997,</v>
      </c>
      <c r="B44" s="1" t="str">
        <f t="shared" si="0"/>
        <v>POINT -4.79999999999997,</v>
      </c>
    </row>
    <row r="45" spans="1:2" x14ac:dyDescent="0.6">
      <c r="A45" s="1" t="str">
        <f>_xlfn.CONCAT(HiperbolaTabla!$C57,",",HiperbolaTabla!D57)</f>
        <v>-4.19999999999997,</v>
      </c>
      <c r="B45" s="1" t="str">
        <f t="shared" si="0"/>
        <v>POINT -4.19999999999997,</v>
      </c>
    </row>
    <row r="46" spans="1:2" x14ac:dyDescent="0.6">
      <c r="A46" s="1" t="str">
        <f>_xlfn.CONCAT(HiperbolaTabla!$C58,",",HiperbolaTabla!D58)</f>
        <v>-3.59999999999997,</v>
      </c>
      <c r="B46" s="1" t="str">
        <f t="shared" si="0"/>
        <v>POINT -3.59999999999997,</v>
      </c>
    </row>
    <row r="47" spans="1:2" x14ac:dyDescent="0.6">
      <c r="A47" s="1" t="str">
        <f>_xlfn.CONCAT(HiperbolaTabla!$C59,",",HiperbolaTabla!D59)</f>
        <v>-2.99999999999997,</v>
      </c>
      <c r="B47" s="1" t="str">
        <f t="shared" si="0"/>
        <v>POINT -2.99999999999997,</v>
      </c>
    </row>
    <row r="48" spans="1:2" x14ac:dyDescent="0.6">
      <c r="A48" s="1" t="str">
        <f>_xlfn.CONCAT(HiperbolaTabla!$C60,",",HiperbolaTabla!D60)</f>
        <v>-2.39999999999997,</v>
      </c>
      <c r="B48" s="1" t="str">
        <f t="shared" si="0"/>
        <v>POINT -2.39999999999997,</v>
      </c>
    </row>
    <row r="49" spans="1:2" x14ac:dyDescent="0.6">
      <c r="A49" s="1" t="str">
        <f>_xlfn.CONCAT(HiperbolaTabla!$C61,",",HiperbolaTabla!D61)</f>
        <v>-1.79999999999997,</v>
      </c>
      <c r="B49" s="1" t="str">
        <f t="shared" si="0"/>
        <v>POINT -1.79999999999997,</v>
      </c>
    </row>
    <row r="50" spans="1:2" x14ac:dyDescent="0.6">
      <c r="A50" s="1" t="str">
        <f>_xlfn.CONCAT(HiperbolaTabla!$C62,",",HiperbolaTabla!D62)</f>
        <v>-1.19999999999997,</v>
      </c>
      <c r="B50" s="1" t="str">
        <f t="shared" si="0"/>
        <v>POINT -1.19999999999997,</v>
      </c>
    </row>
    <row r="51" spans="1:2" x14ac:dyDescent="0.6">
      <c r="A51" s="1" t="str">
        <f>_xlfn.CONCAT(HiperbolaTabla!$C63,",",HiperbolaTabla!D63)</f>
        <v>-0.599999999999974,</v>
      </c>
      <c r="B51" s="1" t="str">
        <f t="shared" si="0"/>
        <v>POINT -0.599999999999974,</v>
      </c>
    </row>
    <row r="52" spans="1:2" x14ac:dyDescent="0.6">
      <c r="A52" s="1" t="str">
        <f>_xlfn.CONCAT(HiperbolaTabla!$C64,",",HiperbolaTabla!D64)</f>
        <v>2.59792187762287E-14,</v>
      </c>
      <c r="B52" s="1" t="str">
        <f t="shared" si="0"/>
        <v>POINT 2.59792187762287E-14,</v>
      </c>
    </row>
    <row r="53" spans="1:2" x14ac:dyDescent="0.6">
      <c r="A53" s="1" t="str">
        <f>_xlfn.CONCAT(HiperbolaTabla!$C65,",",HiperbolaTabla!D65)</f>
        <v>0.600000000000026,</v>
      </c>
      <c r="B53" s="1" t="str">
        <f t="shared" si="0"/>
        <v>POINT 0.600000000000026,</v>
      </c>
    </row>
    <row r="54" spans="1:2" x14ac:dyDescent="0.6">
      <c r="A54" s="1" t="str">
        <f>_xlfn.CONCAT(HiperbolaTabla!$C66,",",HiperbolaTabla!D66)</f>
        <v>1.20000000000003,</v>
      </c>
      <c r="B54" s="1" t="str">
        <f t="shared" si="0"/>
        <v>POINT 1.20000000000003,</v>
      </c>
    </row>
    <row r="55" spans="1:2" x14ac:dyDescent="0.6">
      <c r="A55" s="1" t="str">
        <f>_xlfn.CONCAT(HiperbolaTabla!$C67,",",HiperbolaTabla!D67)</f>
        <v>1.80000000000003,</v>
      </c>
      <c r="B55" s="1" t="str">
        <f t="shared" si="0"/>
        <v>POINT 1.80000000000003,</v>
      </c>
    </row>
    <row r="56" spans="1:2" x14ac:dyDescent="0.6">
      <c r="A56" s="1" t="str">
        <f>_xlfn.CONCAT(HiperbolaTabla!$C68,",",HiperbolaTabla!D68)</f>
        <v>2.40000000000003,</v>
      </c>
      <c r="B56" s="1" t="str">
        <f t="shared" si="0"/>
        <v>POINT 2.40000000000003,</v>
      </c>
    </row>
    <row r="57" spans="1:2" x14ac:dyDescent="0.6">
      <c r="A57" s="1" t="str">
        <f>_xlfn.CONCAT(HiperbolaTabla!$C69,",",HiperbolaTabla!D69)</f>
        <v>3.00000000000003,</v>
      </c>
      <c r="B57" s="1" t="str">
        <f t="shared" si="0"/>
        <v>POINT 3.00000000000003,</v>
      </c>
    </row>
    <row r="58" spans="1:2" x14ac:dyDescent="0.6">
      <c r="A58" s="1" t="str">
        <f>_xlfn.CONCAT(HiperbolaTabla!$C70,",",HiperbolaTabla!D70)</f>
        <v>3.60000000000003,</v>
      </c>
      <c r="B58" s="1" t="str">
        <f t="shared" si="0"/>
        <v>POINT 3.60000000000003,</v>
      </c>
    </row>
    <row r="59" spans="1:2" x14ac:dyDescent="0.6">
      <c r="A59" s="1" t="str">
        <f>_xlfn.CONCAT(HiperbolaTabla!$C71,",",HiperbolaTabla!D71)</f>
        <v>4.20000000000003,</v>
      </c>
      <c r="B59" s="1" t="str">
        <f t="shared" si="0"/>
        <v>POINT 4.20000000000003,</v>
      </c>
    </row>
    <row r="60" spans="1:2" x14ac:dyDescent="0.6">
      <c r="A60" s="1" t="str">
        <f>_xlfn.CONCAT(HiperbolaTabla!$C72,",",HiperbolaTabla!D72)</f>
        <v>4.80000000000003,</v>
      </c>
      <c r="B60" s="1" t="str">
        <f t="shared" si="0"/>
        <v>POINT 4.80000000000003,</v>
      </c>
    </row>
    <row r="61" spans="1:2" x14ac:dyDescent="0.6">
      <c r="A61" s="1" t="str">
        <f>_xlfn.CONCAT(HiperbolaTabla!$C73,",",HiperbolaTabla!D73)</f>
        <v>5.40000000000003,</v>
      </c>
      <c r="B61" s="1" t="str">
        <f t="shared" si="0"/>
        <v>POINT 5.40000000000003,</v>
      </c>
    </row>
    <row r="62" spans="1:2" x14ac:dyDescent="0.6">
      <c r="A62" s="1" t="str">
        <f>_xlfn.CONCAT(HiperbolaTabla!$C74,",",HiperbolaTabla!D74)</f>
        <v>6.00000000000002,</v>
      </c>
      <c r="B62" s="1" t="str">
        <f t="shared" si="0"/>
        <v>POINT 6.00000000000002,</v>
      </c>
    </row>
    <row r="63" spans="1:2" x14ac:dyDescent="0.6">
      <c r="A63" s="1" t="str">
        <f>_xlfn.CONCAT(HiperbolaTabla!$C75,",",HiperbolaTabla!D75)</f>
        <v>6.60000000000002,</v>
      </c>
      <c r="B63" s="1" t="str">
        <f t="shared" si="0"/>
        <v>POINT 6.60000000000002,</v>
      </c>
    </row>
    <row r="64" spans="1:2" x14ac:dyDescent="0.6">
      <c r="A64" s="1" t="str">
        <f>_xlfn.CONCAT(HiperbolaTabla!$C76,",",HiperbolaTabla!D76)</f>
        <v>7.20000000000002,</v>
      </c>
      <c r="B64" s="1" t="str">
        <f t="shared" si="0"/>
        <v>POINT 7.20000000000002,</v>
      </c>
    </row>
    <row r="65" spans="1:2" x14ac:dyDescent="0.6">
      <c r="A65" s="1" t="str">
        <f>_xlfn.CONCAT(HiperbolaTabla!$C77,",",HiperbolaTabla!D77)</f>
        <v>7.80000000000002,</v>
      </c>
      <c r="B65" s="1" t="str">
        <f t="shared" si="0"/>
        <v>POINT 7.80000000000002,</v>
      </c>
    </row>
    <row r="66" spans="1:2" x14ac:dyDescent="0.6">
      <c r="A66" s="1" t="str">
        <f>_xlfn.CONCAT(HiperbolaTabla!$C78,",",HiperbolaTabla!D78)</f>
        <v>8.40000000000002,</v>
      </c>
      <c r="B66" s="1" t="str">
        <f t="shared" si="0"/>
        <v>POINT 8.40000000000002,</v>
      </c>
    </row>
    <row r="67" spans="1:2" x14ac:dyDescent="0.6">
      <c r="A67" s="1" t="str">
        <f>_xlfn.CONCAT(HiperbolaTabla!$C79,",",HiperbolaTabla!D79)</f>
        <v>9.00000000000002,</v>
      </c>
      <c r="B67" s="1" t="str">
        <f t="shared" ref="B67:B101" si="1">_xlfn.CONCAT("POINT ",A67)</f>
        <v>POINT 9.00000000000002,</v>
      </c>
    </row>
    <row r="68" spans="1:2" x14ac:dyDescent="0.6">
      <c r="A68" s="1" t="str">
        <f>_xlfn.CONCAT(HiperbolaTabla!$C80,",",HiperbolaTabla!D80)</f>
        <v>9.60000000000002,</v>
      </c>
      <c r="B68" s="1" t="str">
        <f t="shared" si="1"/>
        <v>POINT 9.60000000000002,</v>
      </c>
    </row>
    <row r="69" spans="1:2" x14ac:dyDescent="0.6">
      <c r="A69" s="1" t="str">
        <f>_xlfn.CONCAT(HiperbolaTabla!$C81,",",HiperbolaTabla!D81)</f>
        <v>10.2,</v>
      </c>
      <c r="B69" s="1" t="str">
        <f t="shared" si="1"/>
        <v>POINT 10.2,</v>
      </c>
    </row>
    <row r="70" spans="1:2" x14ac:dyDescent="0.6">
      <c r="A70" s="1" t="str">
        <f>_xlfn.CONCAT(HiperbolaTabla!$C82,",",HiperbolaTabla!D82)</f>
        <v>10.8,</v>
      </c>
      <c r="B70" s="1" t="str">
        <f t="shared" si="1"/>
        <v>POINT 10.8,</v>
      </c>
    </row>
    <row r="71" spans="1:2" x14ac:dyDescent="0.6">
      <c r="A71" s="1" t="str">
        <f>_xlfn.CONCAT(HiperbolaTabla!$C83,",",HiperbolaTabla!D83)</f>
        <v>11.4,</v>
      </c>
      <c r="B71" s="1" t="str">
        <f t="shared" si="1"/>
        <v>POINT 11.4,</v>
      </c>
    </row>
    <row r="72" spans="1:2" x14ac:dyDescent="0.6">
      <c r="A72" s="1" t="str">
        <f>_xlfn.CONCAT(HiperbolaTabla!$C84,",",HiperbolaTabla!D84)</f>
        <v>12,5.36441802978516E-07</v>
      </c>
      <c r="B72" s="1" t="str">
        <f t="shared" si="1"/>
        <v>POINT 12,5.36441802978516E-07</v>
      </c>
    </row>
    <row r="73" spans="1:2" x14ac:dyDescent="0.6">
      <c r="A73" s="1" t="str">
        <f>_xlfn.CONCAT(HiperbolaTabla!$C85,",",HiperbolaTabla!D85)</f>
        <v>12.6,2.88140590684483</v>
      </c>
      <c r="B73" s="1" t="str">
        <f t="shared" si="1"/>
        <v>POINT 12.6,2.88140590684483</v>
      </c>
    </row>
    <row r="74" spans="1:2" x14ac:dyDescent="0.6">
      <c r="A74" s="1" t="str">
        <f>_xlfn.CONCAT(HiperbolaTabla!$C86,",",HiperbolaTabla!D86)</f>
        <v>13.2,4.12431812546029</v>
      </c>
      <c r="B74" s="1" t="str">
        <f t="shared" si="1"/>
        <v>POINT 13.2,4.12431812546029</v>
      </c>
    </row>
    <row r="75" spans="1:2" x14ac:dyDescent="0.6">
      <c r="A75" s="1" t="str">
        <f>_xlfn.CONCAT(HiperbolaTabla!$C87,",",HiperbolaTabla!D87)</f>
        <v>13.8,5.11101751122028</v>
      </c>
      <c r="B75" s="1" t="str">
        <f t="shared" si="1"/>
        <v>POINT 13.8,5.11101751122028</v>
      </c>
    </row>
    <row r="76" spans="1:2" x14ac:dyDescent="0.6">
      <c r="A76" s="1" t="str">
        <f>_xlfn.CONCAT(HiperbolaTabla!$C88,",",HiperbolaTabla!D88)</f>
        <v>14.4,5.96992462263975</v>
      </c>
      <c r="B76" s="1" t="str">
        <f t="shared" si="1"/>
        <v>POINT 14.4,5.96992462263975</v>
      </c>
    </row>
    <row r="77" spans="1:2" x14ac:dyDescent="0.6">
      <c r="A77" s="1" t="str">
        <f>_xlfn.CONCAT(HiperbolaTabla!$C89,",",HiperbolaTabla!D89)</f>
        <v>15,6.75000000000002</v>
      </c>
      <c r="B77" s="1" t="str">
        <f t="shared" si="1"/>
        <v>POINT 15,6.75000000000002</v>
      </c>
    </row>
    <row r="78" spans="1:2" x14ac:dyDescent="0.6">
      <c r="A78" s="1" t="str">
        <f>_xlfn.CONCAT(HiperbolaTabla!$C90,",",HiperbolaTabla!D90)</f>
        <v>15.6,7.47596147662629</v>
      </c>
      <c r="B78" s="1" t="str">
        <f t="shared" si="1"/>
        <v>POINT 15.6,7.47596147662629</v>
      </c>
    </row>
    <row r="79" spans="1:2" x14ac:dyDescent="0.6">
      <c r="A79" s="1" t="str">
        <f>_xlfn.CONCAT(HiperbolaTabla!$C91,",",HiperbolaTabla!D91)</f>
        <v>16.2,8.1622607162477</v>
      </c>
      <c r="B79" s="1" t="str">
        <f t="shared" si="1"/>
        <v>POINT 16.2,8.1622607162477</v>
      </c>
    </row>
    <row r="80" spans="1:2" x14ac:dyDescent="0.6">
      <c r="A80" s="1" t="str">
        <f>_xlfn.CONCAT(HiperbolaTabla!$C92,",",HiperbolaTabla!D92)</f>
        <v>16.8,8.81816307401947</v>
      </c>
      <c r="B80" s="1" t="str">
        <f t="shared" si="1"/>
        <v>POINT 16.8,8.81816307401947</v>
      </c>
    </row>
    <row r="81" spans="1:2" x14ac:dyDescent="0.6">
      <c r="A81" s="1" t="str">
        <f>_xlfn.CONCAT(HiperbolaTabla!$C93,",",HiperbolaTabla!D93)</f>
        <v>17.4,9.45000000000002</v>
      </c>
      <c r="B81" s="1" t="str">
        <f t="shared" si="1"/>
        <v>POINT 17.4,9.45000000000002</v>
      </c>
    </row>
    <row r="82" spans="1:2" x14ac:dyDescent="0.6">
      <c r="A82" s="1" t="str">
        <f>_xlfn.CONCAT(HiperbolaTabla!$C94,",",HiperbolaTabla!D94)</f>
        <v>18,10.0623058987491</v>
      </c>
      <c r="B82" s="1" t="str">
        <f t="shared" si="1"/>
        <v>POINT 18,10.0623058987491</v>
      </c>
    </row>
    <row r="83" spans="1:2" x14ac:dyDescent="0.6">
      <c r="A83" s="1" t="str">
        <f>_xlfn.CONCAT(HiperbolaTabla!$C95,",",HiperbolaTabla!D95)</f>
        <v>18.6,10.6584473540943</v>
      </c>
      <c r="B83" s="1" t="str">
        <f t="shared" si="1"/>
        <v>POINT 18.6,10.6584473540943</v>
      </c>
    </row>
    <row r="84" spans="1:2" x14ac:dyDescent="0.6">
      <c r="A84" s="1" t="str">
        <f>_xlfn.CONCAT(HiperbolaTabla!$C96,",",HiperbolaTabla!D96)</f>
        <v>19.2,11.2409963971171</v>
      </c>
      <c r="B84" s="1" t="str">
        <f t="shared" si="1"/>
        <v>POINT 19.2,11.2409963971171</v>
      </c>
    </row>
    <row r="85" spans="1:2" x14ac:dyDescent="0.6">
      <c r="A85" s="1" t="str">
        <f>_xlfn.CONCAT(HiperbolaTabla!$C97,",",HiperbolaTabla!D97)</f>
        <v>19.8,11.811964273566</v>
      </c>
      <c r="B85" s="1" t="str">
        <f t="shared" si="1"/>
        <v>POINT 19.8,11.811964273566</v>
      </c>
    </row>
    <row r="86" spans="1:2" x14ac:dyDescent="0.6">
      <c r="A86" s="1" t="str">
        <f>_xlfn.CONCAT(HiperbolaTabla!$C98,",",HiperbolaTabla!D98)</f>
        <v>20.4,12.3729543763808</v>
      </c>
      <c r="B86" s="1" t="str">
        <f t="shared" si="1"/>
        <v>POINT 20.4,12.3729543763808</v>
      </c>
    </row>
    <row r="87" spans="1:2" x14ac:dyDescent="0.6">
      <c r="A87" s="1" t="str">
        <f>_xlfn.CONCAT(HiperbolaTabla!$C99,",",HiperbolaTabla!D99)</f>
        <v>21,12.9252659547106</v>
      </c>
      <c r="B87" s="1" t="str">
        <f t="shared" si="1"/>
        <v>POINT 21,12.9252659547106</v>
      </c>
    </row>
    <row r="88" spans="1:2" x14ac:dyDescent="0.6">
      <c r="A88" s="1" t="str">
        <f>_xlfn.CONCAT(HiperbolaTabla!$C100,",",HiperbolaTabla!D100)</f>
        <v>21.6,13.4699665923862</v>
      </c>
      <c r="B88" s="1" t="str">
        <f t="shared" si="1"/>
        <v>POINT 21.6,13.4699665923862</v>
      </c>
    </row>
    <row r="89" spans="1:2" x14ac:dyDescent="0.6">
      <c r="A89" s="1" t="str">
        <f>_xlfn.CONCAT(HiperbolaTabla!$C101,",",HiperbolaTabla!D101)</f>
        <v>22.2,14.0079441746461</v>
      </c>
      <c r="B89" s="1" t="str">
        <f t="shared" si="1"/>
        <v>POINT 22.2,14.0079441746461</v>
      </c>
    </row>
    <row r="90" spans="1:2" x14ac:dyDescent="0.6">
      <c r="A90" s="1" t="str">
        <f>_xlfn.CONCAT(HiperbolaTabla!$C102,",",HiperbolaTabla!D102)</f>
        <v>22.8,14.5399449792632</v>
      </c>
      <c r="B90" s="1" t="str">
        <f t="shared" si="1"/>
        <v>POINT 22.8,14.5399449792632</v>
      </c>
    </row>
    <row r="91" spans="1:2" x14ac:dyDescent="0.6">
      <c r="A91" s="1" t="str">
        <f>_xlfn.CONCAT(HiperbolaTabla!$C103,",",HiperbolaTabla!D103)</f>
        <v>23.4,15.0666021385049</v>
      </c>
      <c r="B91" s="1" t="str">
        <f t="shared" si="1"/>
        <v>POINT 23.4,15.0666021385049</v>
      </c>
    </row>
    <row r="92" spans="1:2" x14ac:dyDescent="0.6">
      <c r="A92" s="1" t="str">
        <f>_xlfn.CONCAT(HiperbolaTabla!$C104,",",HiperbolaTabla!D104)</f>
        <v>24,15.5884572681199</v>
      </c>
      <c r="B92" s="1" t="str">
        <f t="shared" si="1"/>
        <v>POINT 24,15.5884572681199</v>
      </c>
    </row>
    <row r="93" spans="1:2" x14ac:dyDescent="0.6">
      <c r="A93" s="1" t="str">
        <f>_xlfn.CONCAT(HiperbolaTabla!$C105,",",HiperbolaTabla!D105)</f>
        <v>24.6,16.105977151356</v>
      </c>
      <c r="B93" s="1" t="str">
        <f t="shared" si="1"/>
        <v>POINT 24.6,16.105977151356</v>
      </c>
    </row>
    <row r="94" spans="1:2" x14ac:dyDescent="0.6">
      <c r="A94" s="1" t="str">
        <f>_xlfn.CONCAT(HiperbolaTabla!$C106,",",HiperbolaTabla!D106)</f>
        <v>25.2,16.6195667813575</v>
      </c>
      <c r="B94" s="1" t="str">
        <f t="shared" si="1"/>
        <v>POINT 25.2,16.6195667813575</v>
      </c>
    </row>
    <row r="95" spans="1:2" x14ac:dyDescent="0.6">
      <c r="A95" s="1" t="str">
        <f>_xlfn.CONCAT(HiperbolaTabla!$C107,",",HiperbolaTabla!D107)</f>
        <v>25.8,17.1295796796069</v>
      </c>
      <c r="B95" s="1" t="str">
        <f t="shared" si="1"/>
        <v>POINT 25.8,17.1295796796069</v>
      </c>
    </row>
    <row r="96" spans="1:2" x14ac:dyDescent="0.6">
      <c r="A96" s="1" t="str">
        <f>_xlfn.CONCAT(HiperbolaTabla!$C108,",",HiperbolaTabla!D108)</f>
        <v>26.4,17.6363261480389</v>
      </c>
      <c r="B96" s="1" t="str">
        <f t="shared" si="1"/>
        <v>POINT 26.4,17.6363261480389</v>
      </c>
    </row>
    <row r="97" spans="1:2" x14ac:dyDescent="0.6">
      <c r="A97" s="1" t="str">
        <f>_xlfn.CONCAT(HiperbolaTabla!$C109,",",HiperbolaTabla!D109)</f>
        <v>27,18.1400799336718</v>
      </c>
      <c r="B97" s="1" t="str">
        <f t="shared" si="1"/>
        <v>POINT 27,18.1400799336718</v>
      </c>
    </row>
    <row r="98" spans="1:2" x14ac:dyDescent="0.6">
      <c r="A98" s="1" t="str">
        <f>_xlfn.CONCAT(HiperbolaTabla!$C110,",",HiperbolaTabla!D110)</f>
        <v>27.6,18.6410836594872</v>
      </c>
      <c r="B98" s="1" t="str">
        <f t="shared" si="1"/>
        <v>POINT 27.6,18.6410836594872</v>
      </c>
    </row>
    <row r="99" spans="1:2" x14ac:dyDescent="0.6">
      <c r="A99" s="1" t="str">
        <f>_xlfn.CONCAT(HiperbolaTabla!$C111,",",HiperbolaTabla!D111)</f>
        <v>28.2,19.1395532863231</v>
      </c>
      <c r="B99" s="1" t="str">
        <f t="shared" si="1"/>
        <v>POINT 28.2,19.1395532863231</v>
      </c>
    </row>
    <row r="100" spans="1:2" x14ac:dyDescent="0.6">
      <c r="A100" s="1" t="str">
        <f>_xlfn.CONCAT(HiperbolaTabla!$C112,",",HiperbolaTabla!D112)</f>
        <v>28.8000000000001,19.6356818063443</v>
      </c>
      <c r="B100" s="1" t="str">
        <f t="shared" si="1"/>
        <v>POINT 28.8000000000001,19.6356818063443</v>
      </c>
    </row>
    <row r="101" spans="1:2" x14ac:dyDescent="0.6">
      <c r="A101" s="1" t="str">
        <f>_xlfn.CONCAT(HiperbolaTabla!$C113,",",HiperbolaTabla!D113)</f>
        <v>29.4000000000001,20.1296423217106</v>
      </c>
      <c r="B101" s="1" t="str">
        <f t="shared" si="1"/>
        <v>POINT 29.4000000000001,20.1296423217106</v>
      </c>
    </row>
    <row r="103" spans="1:2" x14ac:dyDescent="0.6">
      <c r="A103" s="1" t="s">
        <v>16</v>
      </c>
    </row>
    <row r="104" spans="1:2" x14ac:dyDescent="0.6">
      <c r="A104" s="1" t="str">
        <f>_xlfn.CONCAT(HiperbolaTabla!$E14,",",HiperbolaTabla!F14)</f>
        <v>30,-20.6215906273013</v>
      </c>
      <c r="B104" s="1" t="str">
        <f t="shared" ref="B104:B167" si="2">_xlfn.CONCAT("POINT ",A104)</f>
        <v>POINT 30,-20.6215906273013</v>
      </c>
    </row>
    <row r="105" spans="1:2" x14ac:dyDescent="0.6">
      <c r="A105" s="1" t="str">
        <f>_xlfn.CONCAT(HiperbolaTabla!$E15,",",HiperbolaTabla!F15)</f>
        <v>29.4,-20.1296423217105</v>
      </c>
      <c r="B105" s="1" t="str">
        <f t="shared" si="2"/>
        <v>POINT 29.4,-20.1296423217105</v>
      </c>
    </row>
    <row r="106" spans="1:2" x14ac:dyDescent="0.6">
      <c r="A106" s="1" t="str">
        <f>_xlfn.CONCAT(HiperbolaTabla!$E16,",",HiperbolaTabla!F16)</f>
        <v>28.8,-19.6356818063443</v>
      </c>
      <c r="B106" s="1" t="str">
        <f t="shared" si="2"/>
        <v>POINT 28.8,-19.6356818063443</v>
      </c>
    </row>
    <row r="107" spans="1:2" x14ac:dyDescent="0.6">
      <c r="A107" s="1" t="str">
        <f>_xlfn.CONCAT(HiperbolaTabla!$E17,",",HiperbolaTabla!F17)</f>
        <v>28.2,-19.1395532863231</v>
      </c>
      <c r="B107" s="1" t="str">
        <f t="shared" si="2"/>
        <v>POINT 28.2,-19.1395532863231</v>
      </c>
    </row>
    <row r="108" spans="1:2" x14ac:dyDescent="0.6">
      <c r="A108" s="1" t="str">
        <f>_xlfn.CONCAT(HiperbolaTabla!$E18,",",HiperbolaTabla!F18)</f>
        <v>27.6,-18.6410836594872</v>
      </c>
      <c r="B108" s="1" t="str">
        <f t="shared" si="2"/>
        <v>POINT 27.6,-18.6410836594872</v>
      </c>
    </row>
    <row r="109" spans="1:2" x14ac:dyDescent="0.6">
      <c r="A109" s="1" t="str">
        <f>_xlfn.CONCAT(HiperbolaTabla!$E19,",",HiperbolaTabla!F19)</f>
        <v>27,-18.1400799336717</v>
      </c>
      <c r="B109" s="1" t="str">
        <f t="shared" si="2"/>
        <v>POINT 27,-18.1400799336717</v>
      </c>
    </row>
    <row r="110" spans="1:2" x14ac:dyDescent="0.6">
      <c r="A110" s="1" t="str">
        <f>_xlfn.CONCAT(HiperbolaTabla!$E20,",",HiperbolaTabla!F20)</f>
        <v>26.4,-17.6363261480389</v>
      </c>
      <c r="B110" s="1" t="str">
        <f t="shared" si="2"/>
        <v>POINT 26.4,-17.6363261480389</v>
      </c>
    </row>
    <row r="111" spans="1:2" x14ac:dyDescent="0.6">
      <c r="A111" s="1" t="str">
        <f>_xlfn.CONCAT(HiperbolaTabla!$E21,",",HiperbolaTabla!F21)</f>
        <v>25.8,-17.1295796796068</v>
      </c>
      <c r="B111" s="1" t="str">
        <f t="shared" si="2"/>
        <v>POINT 25.8,-17.1295796796068</v>
      </c>
    </row>
    <row r="112" spans="1:2" x14ac:dyDescent="0.6">
      <c r="A112" s="1" t="str">
        <f>_xlfn.CONCAT(HiperbolaTabla!$E22,",",HiperbolaTabla!F22)</f>
        <v>25.2,-16.6195667813574</v>
      </c>
      <c r="B112" s="1" t="str">
        <f t="shared" si="2"/>
        <v>POINT 25.2,-16.6195667813574</v>
      </c>
    </row>
    <row r="113" spans="1:2" x14ac:dyDescent="0.6">
      <c r="A113" s="1" t="str">
        <f>_xlfn.CONCAT(HiperbolaTabla!$E23,",",HiperbolaTabla!F23)</f>
        <v>24.6,-16.1059771513559</v>
      </c>
      <c r="B113" s="1" t="str">
        <f t="shared" si="2"/>
        <v>POINT 24.6,-16.1059771513559</v>
      </c>
    </row>
    <row r="114" spans="1:2" x14ac:dyDescent="0.6">
      <c r="A114" s="1" t="str">
        <f>_xlfn.CONCAT(HiperbolaTabla!$E24,",",HiperbolaTabla!F24)</f>
        <v>24,-15.5884572681199</v>
      </c>
      <c r="B114" s="1" t="str">
        <f t="shared" si="2"/>
        <v>POINT 24,-15.5884572681199</v>
      </c>
    </row>
    <row r="115" spans="1:2" x14ac:dyDescent="0.6">
      <c r="A115" s="1" t="str">
        <f>_xlfn.CONCAT(HiperbolaTabla!$E25,",",HiperbolaTabla!F25)</f>
        <v>23.4,-15.0666021385049</v>
      </c>
      <c r="B115" s="1" t="str">
        <f t="shared" si="2"/>
        <v>POINT 23.4,-15.0666021385049</v>
      </c>
    </row>
    <row r="116" spans="1:2" x14ac:dyDescent="0.6">
      <c r="A116" s="1" t="str">
        <f>_xlfn.CONCAT(HiperbolaTabla!$E26,",",HiperbolaTabla!F26)</f>
        <v>22.8,-14.5399449792631</v>
      </c>
      <c r="B116" s="1" t="str">
        <f t="shared" si="2"/>
        <v>POINT 22.8,-14.5399449792631</v>
      </c>
    </row>
    <row r="117" spans="1:2" x14ac:dyDescent="0.6">
      <c r="A117" s="1" t="str">
        <f>_xlfn.CONCAT(HiperbolaTabla!$E27,",",HiperbolaTabla!F27)</f>
        <v>22.2,-14.007944174646</v>
      </c>
      <c r="B117" s="1" t="str">
        <f t="shared" si="2"/>
        <v>POINT 22.2,-14.007944174646</v>
      </c>
    </row>
    <row r="118" spans="1:2" x14ac:dyDescent="0.6">
      <c r="A118" s="1" t="str">
        <f>_xlfn.CONCAT(HiperbolaTabla!$E28,",",HiperbolaTabla!F28)</f>
        <v>21.6,-13.4699665923862</v>
      </c>
      <c r="B118" s="1" t="str">
        <f t="shared" si="2"/>
        <v>POINT 21.6,-13.4699665923862</v>
      </c>
    </row>
    <row r="119" spans="1:2" x14ac:dyDescent="0.6">
      <c r="A119" s="1" t="str">
        <f>_xlfn.CONCAT(HiperbolaTabla!$E29,",",HiperbolaTabla!F29)</f>
        <v>21,-12.9252659547105</v>
      </c>
      <c r="B119" s="1" t="str">
        <f t="shared" si="2"/>
        <v>POINT 21,-12.9252659547105</v>
      </c>
    </row>
    <row r="120" spans="1:2" x14ac:dyDescent="0.6">
      <c r="A120" s="1" t="str">
        <f>_xlfn.CONCAT(HiperbolaTabla!$E30,",",HiperbolaTabla!F30)</f>
        <v>20.4,-12.3729543763807</v>
      </c>
      <c r="B120" s="1" t="str">
        <f t="shared" si="2"/>
        <v>POINT 20.4,-12.3729543763807</v>
      </c>
    </row>
    <row r="121" spans="1:2" x14ac:dyDescent="0.6">
      <c r="A121" s="1" t="str">
        <f>_xlfn.CONCAT(HiperbolaTabla!$E31,",",HiperbolaTabla!F31)</f>
        <v>19.8,-11.811964273566</v>
      </c>
      <c r="B121" s="1" t="str">
        <f t="shared" si="2"/>
        <v>POINT 19.8,-11.811964273566</v>
      </c>
    </row>
    <row r="122" spans="1:2" x14ac:dyDescent="0.6">
      <c r="A122" s="1" t="str">
        <f>_xlfn.CONCAT(HiperbolaTabla!$E32,",",HiperbolaTabla!F32)</f>
        <v>19.2,-11.2409963971171</v>
      </c>
      <c r="B122" s="1" t="str">
        <f t="shared" si="2"/>
        <v>POINT 19.2,-11.2409963971171</v>
      </c>
    </row>
    <row r="123" spans="1:2" x14ac:dyDescent="0.6">
      <c r="A123" s="1" t="str">
        <f>_xlfn.CONCAT(HiperbolaTabla!$E33,",",HiperbolaTabla!F33)</f>
        <v>18.6,-10.6584473540943</v>
      </c>
      <c r="B123" s="1" t="str">
        <f t="shared" si="2"/>
        <v>POINT 18.6,-10.6584473540943</v>
      </c>
    </row>
    <row r="124" spans="1:2" x14ac:dyDescent="0.6">
      <c r="A124" s="1" t="str">
        <f>_xlfn.CONCAT(HiperbolaTabla!$E34,",",HiperbolaTabla!F34)</f>
        <v>18,-10.062305898749</v>
      </c>
      <c r="B124" s="1" t="str">
        <f t="shared" si="2"/>
        <v>POINT 18,-10.062305898749</v>
      </c>
    </row>
    <row r="125" spans="1:2" x14ac:dyDescent="0.6">
      <c r="A125" s="1" t="str">
        <f>_xlfn.CONCAT(HiperbolaTabla!$E35,",",HiperbolaTabla!F35)</f>
        <v>17.4,-9.44999999999997</v>
      </c>
      <c r="B125" s="1" t="str">
        <f t="shared" si="2"/>
        <v>POINT 17.4,-9.44999999999997</v>
      </c>
    </row>
    <row r="126" spans="1:2" x14ac:dyDescent="0.6">
      <c r="A126" s="1" t="str">
        <f>_xlfn.CONCAT(HiperbolaTabla!$E36,",",HiperbolaTabla!F36)</f>
        <v>16.8,-8.81816307401941</v>
      </c>
      <c r="B126" s="1" t="str">
        <f t="shared" si="2"/>
        <v>POINT 16.8,-8.81816307401941</v>
      </c>
    </row>
    <row r="127" spans="1:2" x14ac:dyDescent="0.6">
      <c r="A127" s="1" t="str">
        <f>_xlfn.CONCAT(HiperbolaTabla!$E37,",",HiperbolaTabla!F37)</f>
        <v>16.2,-8.16226071624764</v>
      </c>
      <c r="B127" s="1" t="str">
        <f t="shared" si="2"/>
        <v>POINT 16.2,-8.16226071624764</v>
      </c>
    </row>
    <row r="128" spans="1:2" x14ac:dyDescent="0.6">
      <c r="A128" s="1" t="str">
        <f>_xlfn.CONCAT(HiperbolaTabla!$E38,",",HiperbolaTabla!F38)</f>
        <v>15.6,-7.47596147662623</v>
      </c>
      <c r="B128" s="1" t="str">
        <f t="shared" si="2"/>
        <v>POINT 15.6,-7.47596147662623</v>
      </c>
    </row>
    <row r="129" spans="1:2" x14ac:dyDescent="0.6">
      <c r="A129" s="1" t="str">
        <f>_xlfn.CONCAT(HiperbolaTabla!$E39,",",HiperbolaTabla!F39)</f>
        <v>15,-6.74999999999996</v>
      </c>
      <c r="B129" s="1" t="str">
        <f t="shared" si="2"/>
        <v>POINT 15,-6.74999999999996</v>
      </c>
    </row>
    <row r="130" spans="1:2" x14ac:dyDescent="0.6">
      <c r="A130" s="1" t="str">
        <f>_xlfn.CONCAT(HiperbolaTabla!$E40,",",HiperbolaTabla!F40)</f>
        <v>14.4,-5.96992462263968</v>
      </c>
      <c r="B130" s="1" t="str">
        <f t="shared" si="2"/>
        <v>POINT 14.4,-5.96992462263968</v>
      </c>
    </row>
    <row r="131" spans="1:2" x14ac:dyDescent="0.6">
      <c r="A131" s="1" t="str">
        <f>_xlfn.CONCAT(HiperbolaTabla!$E41,",",HiperbolaTabla!F41)</f>
        <v>13.8,-5.1110175112202</v>
      </c>
      <c r="B131" s="1" t="str">
        <f t="shared" si="2"/>
        <v>POINT 13.8,-5.1110175112202</v>
      </c>
    </row>
    <row r="132" spans="1:2" x14ac:dyDescent="0.6">
      <c r="A132" s="1" t="str">
        <f>_xlfn.CONCAT(HiperbolaTabla!$E42,",",HiperbolaTabla!F42)</f>
        <v>13.2,-4.1243181254602</v>
      </c>
      <c r="B132" s="1" t="str">
        <f t="shared" si="2"/>
        <v>POINT 13.2,-4.1243181254602</v>
      </c>
    </row>
    <row r="133" spans="1:2" x14ac:dyDescent="0.6">
      <c r="A133" s="1" t="str">
        <f>_xlfn.CONCAT(HiperbolaTabla!$E43,",",HiperbolaTabla!F43)</f>
        <v>12.6,-2.88140590684471</v>
      </c>
      <c r="B133" s="1" t="str">
        <f t="shared" si="2"/>
        <v>POINT 12.6,-2.88140590684471</v>
      </c>
    </row>
    <row r="134" spans="1:2" x14ac:dyDescent="0.6">
      <c r="A134" s="1" t="str">
        <f>_xlfn.CONCAT(HiperbolaTabla!$E44,",",HiperbolaTabla!F44)</f>
        <v>12,</v>
      </c>
      <c r="B134" s="1" t="str">
        <f t="shared" si="2"/>
        <v>POINT 12,</v>
      </c>
    </row>
    <row r="135" spans="1:2" x14ac:dyDescent="0.6">
      <c r="A135" s="1" t="str">
        <f>_xlfn.CONCAT(HiperbolaTabla!$E45,",",HiperbolaTabla!F45)</f>
        <v>11.4,</v>
      </c>
      <c r="B135" s="1" t="str">
        <f t="shared" si="2"/>
        <v>POINT 11.4,</v>
      </c>
    </row>
    <row r="136" spans="1:2" x14ac:dyDescent="0.6">
      <c r="A136" s="1" t="str">
        <f>_xlfn.CONCAT(HiperbolaTabla!$E46,",",HiperbolaTabla!F46)</f>
        <v>10.8,</v>
      </c>
      <c r="B136" s="1" t="str">
        <f t="shared" si="2"/>
        <v>POINT 10.8,</v>
      </c>
    </row>
    <row r="137" spans="1:2" x14ac:dyDescent="0.6">
      <c r="A137" s="1" t="str">
        <f>_xlfn.CONCAT(HiperbolaTabla!$E47,",",HiperbolaTabla!F47)</f>
        <v>10.2,</v>
      </c>
      <c r="B137" s="1" t="str">
        <f t="shared" si="2"/>
        <v>POINT 10.2,</v>
      </c>
    </row>
    <row r="138" spans="1:2" x14ac:dyDescent="0.6">
      <c r="A138" s="1" t="str">
        <f>_xlfn.CONCAT(HiperbolaTabla!$E48,",",HiperbolaTabla!F48)</f>
        <v>9.59999999999997,</v>
      </c>
      <c r="B138" s="1" t="str">
        <f t="shared" si="2"/>
        <v>POINT 9.59999999999997,</v>
      </c>
    </row>
    <row r="139" spans="1:2" x14ac:dyDescent="0.6">
      <c r="A139" s="1" t="str">
        <f>_xlfn.CONCAT(HiperbolaTabla!$E49,",",HiperbolaTabla!F49)</f>
        <v>8.99999999999997,</v>
      </c>
      <c r="B139" s="1" t="str">
        <f t="shared" si="2"/>
        <v>POINT 8.99999999999997,</v>
      </c>
    </row>
    <row r="140" spans="1:2" x14ac:dyDescent="0.6">
      <c r="A140" s="1" t="str">
        <f>_xlfn.CONCAT(HiperbolaTabla!$E50,",",HiperbolaTabla!F50)</f>
        <v>8.39999999999997,</v>
      </c>
      <c r="B140" s="1" t="str">
        <f t="shared" si="2"/>
        <v>POINT 8.39999999999997,</v>
      </c>
    </row>
    <row r="141" spans="1:2" x14ac:dyDescent="0.6">
      <c r="A141" s="1" t="str">
        <f>_xlfn.CONCAT(HiperbolaTabla!$E51,",",HiperbolaTabla!F51)</f>
        <v>7.79999999999997,</v>
      </c>
      <c r="B141" s="1" t="str">
        <f t="shared" si="2"/>
        <v>POINT 7.79999999999997,</v>
      </c>
    </row>
    <row r="142" spans="1:2" x14ac:dyDescent="0.6">
      <c r="A142" s="1" t="str">
        <f>_xlfn.CONCAT(HiperbolaTabla!$E52,",",HiperbolaTabla!F52)</f>
        <v>7.19999999999997,</v>
      </c>
      <c r="B142" s="1" t="str">
        <f t="shared" si="2"/>
        <v>POINT 7.19999999999997,</v>
      </c>
    </row>
    <row r="143" spans="1:2" x14ac:dyDescent="0.6">
      <c r="A143" s="1" t="str">
        <f>_xlfn.CONCAT(HiperbolaTabla!$E53,",",HiperbolaTabla!F53)</f>
        <v>6.59999999999997,</v>
      </c>
      <c r="B143" s="1" t="str">
        <f t="shared" si="2"/>
        <v>POINT 6.59999999999997,</v>
      </c>
    </row>
    <row r="144" spans="1:2" x14ac:dyDescent="0.6">
      <c r="A144" s="1" t="str">
        <f>_xlfn.CONCAT(HiperbolaTabla!$E54,",",HiperbolaTabla!F54)</f>
        <v>5.99999999999997,</v>
      </c>
      <c r="B144" s="1" t="str">
        <f t="shared" si="2"/>
        <v>POINT 5.99999999999997,</v>
      </c>
    </row>
    <row r="145" spans="1:2" x14ac:dyDescent="0.6">
      <c r="A145" s="1" t="str">
        <f>_xlfn.CONCAT(HiperbolaTabla!$E55,",",HiperbolaTabla!F55)</f>
        <v>5.39999999999997,</v>
      </c>
      <c r="B145" s="1" t="str">
        <f t="shared" si="2"/>
        <v>POINT 5.39999999999997,</v>
      </c>
    </row>
    <row r="146" spans="1:2" x14ac:dyDescent="0.6">
      <c r="A146" s="1" t="str">
        <f>_xlfn.CONCAT(HiperbolaTabla!$E56,",",HiperbolaTabla!F56)</f>
        <v>4.79999999999997,</v>
      </c>
      <c r="B146" s="1" t="str">
        <f t="shared" si="2"/>
        <v>POINT 4.79999999999997,</v>
      </c>
    </row>
    <row r="147" spans="1:2" x14ac:dyDescent="0.6">
      <c r="A147" s="1" t="str">
        <f>_xlfn.CONCAT(HiperbolaTabla!$E57,",",HiperbolaTabla!F57)</f>
        <v>4.19999999999997,</v>
      </c>
      <c r="B147" s="1" t="str">
        <f t="shared" si="2"/>
        <v>POINT 4.19999999999997,</v>
      </c>
    </row>
    <row r="148" spans="1:2" x14ac:dyDescent="0.6">
      <c r="A148" s="1" t="str">
        <f>_xlfn.CONCAT(HiperbolaTabla!$E58,",",HiperbolaTabla!F58)</f>
        <v>3.59999999999997,</v>
      </c>
      <c r="B148" s="1" t="str">
        <f t="shared" si="2"/>
        <v>POINT 3.59999999999997,</v>
      </c>
    </row>
    <row r="149" spans="1:2" x14ac:dyDescent="0.6">
      <c r="A149" s="1" t="str">
        <f>_xlfn.CONCAT(HiperbolaTabla!$E59,",",HiperbolaTabla!F59)</f>
        <v>2.99999999999997,</v>
      </c>
      <c r="B149" s="1" t="str">
        <f t="shared" si="2"/>
        <v>POINT 2.99999999999997,</v>
      </c>
    </row>
    <row r="150" spans="1:2" x14ac:dyDescent="0.6">
      <c r="A150" s="1" t="str">
        <f>_xlfn.CONCAT(HiperbolaTabla!$E60,",",HiperbolaTabla!F60)</f>
        <v>2.39999999999997,</v>
      </c>
      <c r="B150" s="1" t="str">
        <f t="shared" si="2"/>
        <v>POINT 2.39999999999997,</v>
      </c>
    </row>
    <row r="151" spans="1:2" x14ac:dyDescent="0.6">
      <c r="A151" s="1" t="str">
        <f>_xlfn.CONCAT(HiperbolaTabla!$E61,",",HiperbolaTabla!F61)</f>
        <v>1.79999999999997,</v>
      </c>
      <c r="B151" s="1" t="str">
        <f t="shared" si="2"/>
        <v>POINT 1.79999999999997,</v>
      </c>
    </row>
    <row r="152" spans="1:2" x14ac:dyDescent="0.6">
      <c r="A152" s="1" t="str">
        <f>_xlfn.CONCAT(HiperbolaTabla!$E62,",",HiperbolaTabla!F62)</f>
        <v>1.19999999999997,</v>
      </c>
      <c r="B152" s="1" t="str">
        <f t="shared" si="2"/>
        <v>POINT 1.19999999999997,</v>
      </c>
    </row>
    <row r="153" spans="1:2" x14ac:dyDescent="0.6">
      <c r="A153" s="1" t="str">
        <f>_xlfn.CONCAT(HiperbolaTabla!$E63,",",HiperbolaTabla!F63)</f>
        <v>0.599999999999974,</v>
      </c>
      <c r="B153" s="1" t="str">
        <f t="shared" si="2"/>
        <v>POINT 0.599999999999974,</v>
      </c>
    </row>
    <row r="154" spans="1:2" x14ac:dyDescent="0.6">
      <c r="A154" s="1" t="str">
        <f>_xlfn.CONCAT(HiperbolaTabla!$E64,",",HiperbolaTabla!F64)</f>
        <v>-2.59792187762287E-14,</v>
      </c>
      <c r="B154" s="1" t="str">
        <f t="shared" si="2"/>
        <v>POINT -2.59792187762287E-14,</v>
      </c>
    </row>
    <row r="155" spans="1:2" x14ac:dyDescent="0.6">
      <c r="A155" s="1" t="str">
        <f>_xlfn.CONCAT(HiperbolaTabla!$E65,",",HiperbolaTabla!F65)</f>
        <v>-0.600000000000026,</v>
      </c>
      <c r="B155" s="1" t="str">
        <f t="shared" si="2"/>
        <v>POINT -0.600000000000026,</v>
      </c>
    </row>
    <row r="156" spans="1:2" x14ac:dyDescent="0.6">
      <c r="A156" s="1" t="str">
        <f>_xlfn.CONCAT(HiperbolaTabla!$E66,",",HiperbolaTabla!F66)</f>
        <v>-1.20000000000003,</v>
      </c>
      <c r="B156" s="1" t="str">
        <f t="shared" si="2"/>
        <v>POINT -1.20000000000003,</v>
      </c>
    </row>
    <row r="157" spans="1:2" x14ac:dyDescent="0.6">
      <c r="A157" s="1" t="str">
        <f>_xlfn.CONCAT(HiperbolaTabla!$E67,",",HiperbolaTabla!F67)</f>
        <v>-1.80000000000003,</v>
      </c>
      <c r="B157" s="1" t="str">
        <f t="shared" si="2"/>
        <v>POINT -1.80000000000003,</v>
      </c>
    </row>
    <row r="158" spans="1:2" x14ac:dyDescent="0.6">
      <c r="A158" s="1" t="str">
        <f>_xlfn.CONCAT(HiperbolaTabla!$E68,",",HiperbolaTabla!F68)</f>
        <v>-2.40000000000003,</v>
      </c>
      <c r="B158" s="1" t="str">
        <f t="shared" si="2"/>
        <v>POINT -2.40000000000003,</v>
      </c>
    </row>
    <row r="159" spans="1:2" x14ac:dyDescent="0.6">
      <c r="A159" s="1" t="str">
        <f>_xlfn.CONCAT(HiperbolaTabla!$E69,",",HiperbolaTabla!F69)</f>
        <v>-3.00000000000003,</v>
      </c>
      <c r="B159" s="1" t="str">
        <f t="shared" si="2"/>
        <v>POINT -3.00000000000003,</v>
      </c>
    </row>
    <row r="160" spans="1:2" x14ac:dyDescent="0.6">
      <c r="A160" s="1" t="str">
        <f>_xlfn.CONCAT(HiperbolaTabla!$E70,",",HiperbolaTabla!F70)</f>
        <v>-3.60000000000003,</v>
      </c>
      <c r="B160" s="1" t="str">
        <f t="shared" si="2"/>
        <v>POINT -3.60000000000003,</v>
      </c>
    </row>
    <row r="161" spans="1:2" x14ac:dyDescent="0.6">
      <c r="A161" s="1" t="str">
        <f>_xlfn.CONCAT(HiperbolaTabla!$E71,",",HiperbolaTabla!F71)</f>
        <v>-4.20000000000003,</v>
      </c>
      <c r="B161" s="1" t="str">
        <f t="shared" si="2"/>
        <v>POINT -4.20000000000003,</v>
      </c>
    </row>
    <row r="162" spans="1:2" x14ac:dyDescent="0.6">
      <c r="A162" s="1" t="str">
        <f>_xlfn.CONCAT(HiperbolaTabla!$E72,",",HiperbolaTabla!F72)</f>
        <v>-4.80000000000003,</v>
      </c>
      <c r="B162" s="1" t="str">
        <f t="shared" si="2"/>
        <v>POINT -4.80000000000003,</v>
      </c>
    </row>
    <row r="163" spans="1:2" x14ac:dyDescent="0.6">
      <c r="A163" s="1" t="str">
        <f>_xlfn.CONCAT(HiperbolaTabla!$E73,",",HiperbolaTabla!F73)</f>
        <v>-5.40000000000003,</v>
      </c>
      <c r="B163" s="1" t="str">
        <f t="shared" si="2"/>
        <v>POINT -5.40000000000003,</v>
      </c>
    </row>
    <row r="164" spans="1:2" x14ac:dyDescent="0.6">
      <c r="A164" s="1" t="str">
        <f>_xlfn.CONCAT(HiperbolaTabla!$E74,",",HiperbolaTabla!F74)</f>
        <v>-6.00000000000002,</v>
      </c>
      <c r="B164" s="1" t="str">
        <f t="shared" si="2"/>
        <v>POINT -6.00000000000002,</v>
      </c>
    </row>
    <row r="165" spans="1:2" x14ac:dyDescent="0.6">
      <c r="A165" s="1" t="str">
        <f>_xlfn.CONCAT(HiperbolaTabla!$E75,",",HiperbolaTabla!F75)</f>
        <v>-6.60000000000002,</v>
      </c>
      <c r="B165" s="1" t="str">
        <f t="shared" si="2"/>
        <v>POINT -6.60000000000002,</v>
      </c>
    </row>
    <row r="166" spans="1:2" x14ac:dyDescent="0.6">
      <c r="A166" s="1" t="str">
        <f>_xlfn.CONCAT(HiperbolaTabla!$E76,",",HiperbolaTabla!F76)</f>
        <v>-7.20000000000002,</v>
      </c>
      <c r="B166" s="1" t="str">
        <f t="shared" si="2"/>
        <v>POINT -7.20000000000002,</v>
      </c>
    </row>
    <row r="167" spans="1:2" x14ac:dyDescent="0.6">
      <c r="A167" s="1" t="str">
        <f>_xlfn.CONCAT(HiperbolaTabla!$E77,",",HiperbolaTabla!F77)</f>
        <v>-7.80000000000002,</v>
      </c>
      <c r="B167" s="1" t="str">
        <f t="shared" si="2"/>
        <v>POINT -7.80000000000002,</v>
      </c>
    </row>
    <row r="168" spans="1:2" x14ac:dyDescent="0.6">
      <c r="A168" s="1" t="str">
        <f>_xlfn.CONCAT(HiperbolaTabla!$E78,",",HiperbolaTabla!F78)</f>
        <v>-8.40000000000002,</v>
      </c>
      <c r="B168" s="1" t="str">
        <f t="shared" ref="B168:B203" si="3">_xlfn.CONCAT("POINT ",A168)</f>
        <v>POINT -8.40000000000002,</v>
      </c>
    </row>
    <row r="169" spans="1:2" x14ac:dyDescent="0.6">
      <c r="A169" s="1" t="str">
        <f>_xlfn.CONCAT(HiperbolaTabla!$E79,",",HiperbolaTabla!F79)</f>
        <v>-9.00000000000002,</v>
      </c>
      <c r="B169" s="1" t="str">
        <f t="shared" si="3"/>
        <v>POINT -9.00000000000002,</v>
      </c>
    </row>
    <row r="170" spans="1:2" x14ac:dyDescent="0.6">
      <c r="A170" s="1" t="str">
        <f>_xlfn.CONCAT(HiperbolaTabla!$E80,",",HiperbolaTabla!F80)</f>
        <v>-9.60000000000002,</v>
      </c>
      <c r="B170" s="1" t="str">
        <f t="shared" si="3"/>
        <v>POINT -9.60000000000002,</v>
      </c>
    </row>
    <row r="171" spans="1:2" x14ac:dyDescent="0.6">
      <c r="A171" s="1" t="str">
        <f>_xlfn.CONCAT(HiperbolaTabla!$E81,",",HiperbolaTabla!F81)</f>
        <v>-10.2,</v>
      </c>
      <c r="B171" s="1" t="str">
        <f t="shared" si="3"/>
        <v>POINT -10.2,</v>
      </c>
    </row>
    <row r="172" spans="1:2" x14ac:dyDescent="0.6">
      <c r="A172" s="1" t="str">
        <f>_xlfn.CONCAT(HiperbolaTabla!$E82,",",HiperbolaTabla!F82)</f>
        <v>-10.8,</v>
      </c>
      <c r="B172" s="1" t="str">
        <f t="shared" si="3"/>
        <v>POINT -10.8,</v>
      </c>
    </row>
    <row r="173" spans="1:2" x14ac:dyDescent="0.6">
      <c r="A173" s="1" t="str">
        <f>_xlfn.CONCAT(HiperbolaTabla!$E83,",",HiperbolaTabla!F83)</f>
        <v>-11.4,</v>
      </c>
      <c r="B173" s="1" t="str">
        <f t="shared" si="3"/>
        <v>POINT -11.4,</v>
      </c>
    </row>
    <row r="174" spans="1:2" x14ac:dyDescent="0.6">
      <c r="A174" s="1" t="str">
        <f>_xlfn.CONCAT(HiperbolaTabla!$E84,",",HiperbolaTabla!F84)</f>
        <v>-12,-5.36441802978516E-07</v>
      </c>
      <c r="B174" s="1" t="str">
        <f t="shared" si="3"/>
        <v>POINT -12,-5.36441802978516E-07</v>
      </c>
    </row>
    <row r="175" spans="1:2" x14ac:dyDescent="0.6">
      <c r="A175" s="1" t="str">
        <f>_xlfn.CONCAT(HiperbolaTabla!$E85,",",HiperbolaTabla!F85)</f>
        <v>-12.6,-2.88140590684483</v>
      </c>
      <c r="B175" s="1" t="str">
        <f t="shared" si="3"/>
        <v>POINT -12.6,-2.88140590684483</v>
      </c>
    </row>
    <row r="176" spans="1:2" x14ac:dyDescent="0.6">
      <c r="A176" s="1" t="str">
        <f>_xlfn.CONCAT(HiperbolaTabla!$E86,",",HiperbolaTabla!F86)</f>
        <v>-13.2,-4.12431812546029</v>
      </c>
      <c r="B176" s="1" t="str">
        <f t="shared" si="3"/>
        <v>POINT -13.2,-4.12431812546029</v>
      </c>
    </row>
    <row r="177" spans="1:2" x14ac:dyDescent="0.6">
      <c r="A177" s="1" t="str">
        <f>_xlfn.CONCAT(HiperbolaTabla!$E87,",",HiperbolaTabla!F87)</f>
        <v>-13.8,-5.11101751122028</v>
      </c>
      <c r="B177" s="1" t="str">
        <f t="shared" si="3"/>
        <v>POINT -13.8,-5.11101751122028</v>
      </c>
    </row>
    <row r="178" spans="1:2" x14ac:dyDescent="0.6">
      <c r="A178" s="1" t="str">
        <f>_xlfn.CONCAT(HiperbolaTabla!$E88,",",HiperbolaTabla!F88)</f>
        <v>-14.4,-5.96992462263975</v>
      </c>
      <c r="B178" s="1" t="str">
        <f t="shared" si="3"/>
        <v>POINT -14.4,-5.96992462263975</v>
      </c>
    </row>
    <row r="179" spans="1:2" x14ac:dyDescent="0.6">
      <c r="A179" s="1" t="str">
        <f>_xlfn.CONCAT(HiperbolaTabla!$E89,",",HiperbolaTabla!F89)</f>
        <v>-15,-6.75000000000002</v>
      </c>
      <c r="B179" s="1" t="str">
        <f t="shared" si="3"/>
        <v>POINT -15,-6.75000000000002</v>
      </c>
    </row>
    <row r="180" spans="1:2" x14ac:dyDescent="0.6">
      <c r="A180" s="1" t="str">
        <f>_xlfn.CONCAT(HiperbolaTabla!$E90,",",HiperbolaTabla!F90)</f>
        <v>-15.6,-7.47596147662629</v>
      </c>
      <c r="B180" s="1" t="str">
        <f t="shared" si="3"/>
        <v>POINT -15.6,-7.47596147662629</v>
      </c>
    </row>
    <row r="181" spans="1:2" x14ac:dyDescent="0.6">
      <c r="A181" s="1" t="str">
        <f>_xlfn.CONCAT(HiperbolaTabla!$E91,",",HiperbolaTabla!F91)</f>
        <v>-16.2,-8.1622607162477</v>
      </c>
      <c r="B181" s="1" t="str">
        <f t="shared" si="3"/>
        <v>POINT -16.2,-8.1622607162477</v>
      </c>
    </row>
    <row r="182" spans="1:2" x14ac:dyDescent="0.6">
      <c r="A182" s="1" t="str">
        <f>_xlfn.CONCAT(HiperbolaTabla!$E92,",",HiperbolaTabla!F92)</f>
        <v>-16.8,-8.81816307401947</v>
      </c>
      <c r="B182" s="1" t="str">
        <f t="shared" si="3"/>
        <v>POINT -16.8,-8.81816307401947</v>
      </c>
    </row>
    <row r="183" spans="1:2" x14ac:dyDescent="0.6">
      <c r="A183" s="1" t="str">
        <f>_xlfn.CONCAT(HiperbolaTabla!$E93,",",HiperbolaTabla!F93)</f>
        <v>-17.4,-9.45000000000002</v>
      </c>
      <c r="B183" s="1" t="str">
        <f t="shared" si="3"/>
        <v>POINT -17.4,-9.45000000000002</v>
      </c>
    </row>
    <row r="184" spans="1:2" x14ac:dyDescent="0.6">
      <c r="A184" s="1" t="str">
        <f>_xlfn.CONCAT(HiperbolaTabla!$E94,",",HiperbolaTabla!F94)</f>
        <v>-18,-10.0623058987491</v>
      </c>
      <c r="B184" s="1" t="str">
        <f t="shared" si="3"/>
        <v>POINT -18,-10.0623058987491</v>
      </c>
    </row>
    <row r="185" spans="1:2" x14ac:dyDescent="0.6">
      <c r="A185" s="1" t="str">
        <f>_xlfn.CONCAT(HiperbolaTabla!$E95,",",HiperbolaTabla!F95)</f>
        <v>-18.6,-10.6584473540943</v>
      </c>
      <c r="B185" s="1" t="str">
        <f t="shared" si="3"/>
        <v>POINT -18.6,-10.6584473540943</v>
      </c>
    </row>
    <row r="186" spans="1:2" x14ac:dyDescent="0.6">
      <c r="A186" s="1" t="str">
        <f>_xlfn.CONCAT(HiperbolaTabla!$E96,",",HiperbolaTabla!F96)</f>
        <v>-19.2,-11.2409963971171</v>
      </c>
      <c r="B186" s="1" t="str">
        <f t="shared" si="3"/>
        <v>POINT -19.2,-11.2409963971171</v>
      </c>
    </row>
    <row r="187" spans="1:2" x14ac:dyDescent="0.6">
      <c r="A187" s="1" t="str">
        <f>_xlfn.CONCAT(HiperbolaTabla!$E97,",",HiperbolaTabla!F97)</f>
        <v>-19.8,-11.811964273566</v>
      </c>
      <c r="B187" s="1" t="str">
        <f t="shared" si="3"/>
        <v>POINT -19.8,-11.811964273566</v>
      </c>
    </row>
    <row r="188" spans="1:2" x14ac:dyDescent="0.6">
      <c r="A188" s="1" t="str">
        <f>_xlfn.CONCAT(HiperbolaTabla!$E98,",",HiperbolaTabla!F98)</f>
        <v>-20.4,-12.3729543763808</v>
      </c>
      <c r="B188" s="1" t="str">
        <f t="shared" si="3"/>
        <v>POINT -20.4,-12.3729543763808</v>
      </c>
    </row>
    <row r="189" spans="1:2" x14ac:dyDescent="0.6">
      <c r="A189" s="1" t="str">
        <f>_xlfn.CONCAT(HiperbolaTabla!$E99,",",HiperbolaTabla!F99)</f>
        <v>-21,-12.9252659547106</v>
      </c>
      <c r="B189" s="1" t="str">
        <f t="shared" si="3"/>
        <v>POINT -21,-12.9252659547106</v>
      </c>
    </row>
    <row r="190" spans="1:2" x14ac:dyDescent="0.6">
      <c r="A190" s="1" t="str">
        <f>_xlfn.CONCAT(HiperbolaTabla!$E100,",",HiperbolaTabla!F100)</f>
        <v>-21.6,-13.4699665923862</v>
      </c>
      <c r="B190" s="1" t="str">
        <f t="shared" si="3"/>
        <v>POINT -21.6,-13.4699665923862</v>
      </c>
    </row>
    <row r="191" spans="1:2" x14ac:dyDescent="0.6">
      <c r="A191" s="1" t="str">
        <f>_xlfn.CONCAT(HiperbolaTabla!$E101,",",HiperbolaTabla!F101)</f>
        <v>-22.2,-14.0079441746461</v>
      </c>
      <c r="B191" s="1" t="str">
        <f t="shared" si="3"/>
        <v>POINT -22.2,-14.0079441746461</v>
      </c>
    </row>
    <row r="192" spans="1:2" x14ac:dyDescent="0.6">
      <c r="A192" s="1" t="str">
        <f>_xlfn.CONCAT(HiperbolaTabla!$E102,",",HiperbolaTabla!F102)</f>
        <v>-22.8,-14.5399449792632</v>
      </c>
      <c r="B192" s="1" t="str">
        <f t="shared" si="3"/>
        <v>POINT -22.8,-14.5399449792632</v>
      </c>
    </row>
    <row r="193" spans="1:2" x14ac:dyDescent="0.6">
      <c r="A193" s="1" t="str">
        <f>_xlfn.CONCAT(HiperbolaTabla!$E103,",",HiperbolaTabla!F103)</f>
        <v>-23.4,-15.0666021385049</v>
      </c>
      <c r="B193" s="1" t="str">
        <f t="shared" si="3"/>
        <v>POINT -23.4,-15.0666021385049</v>
      </c>
    </row>
    <row r="194" spans="1:2" x14ac:dyDescent="0.6">
      <c r="A194" s="1" t="str">
        <f>_xlfn.CONCAT(HiperbolaTabla!$E104,",",HiperbolaTabla!F104)</f>
        <v>-24,-15.5884572681199</v>
      </c>
      <c r="B194" s="1" t="str">
        <f t="shared" si="3"/>
        <v>POINT -24,-15.5884572681199</v>
      </c>
    </row>
    <row r="195" spans="1:2" x14ac:dyDescent="0.6">
      <c r="A195" s="1" t="str">
        <f>_xlfn.CONCAT(HiperbolaTabla!$E105,",",HiperbolaTabla!F105)</f>
        <v>-24.6,-16.105977151356</v>
      </c>
      <c r="B195" s="1" t="str">
        <f t="shared" si="3"/>
        <v>POINT -24.6,-16.105977151356</v>
      </c>
    </row>
    <row r="196" spans="1:2" x14ac:dyDescent="0.6">
      <c r="A196" s="1" t="str">
        <f>_xlfn.CONCAT(HiperbolaTabla!$E106,",",HiperbolaTabla!F106)</f>
        <v>-25.2,-16.6195667813575</v>
      </c>
      <c r="B196" s="1" t="str">
        <f t="shared" si="3"/>
        <v>POINT -25.2,-16.6195667813575</v>
      </c>
    </row>
    <row r="197" spans="1:2" x14ac:dyDescent="0.6">
      <c r="A197" s="1" t="str">
        <f>_xlfn.CONCAT(HiperbolaTabla!$E107,",",HiperbolaTabla!F107)</f>
        <v>-25.8,-17.1295796796069</v>
      </c>
      <c r="B197" s="1" t="str">
        <f t="shared" si="3"/>
        <v>POINT -25.8,-17.1295796796069</v>
      </c>
    </row>
    <row r="198" spans="1:2" x14ac:dyDescent="0.6">
      <c r="A198" s="1" t="str">
        <f>_xlfn.CONCAT(HiperbolaTabla!$E108,",",HiperbolaTabla!F108)</f>
        <v>-26.4,-17.6363261480389</v>
      </c>
      <c r="B198" s="1" t="str">
        <f t="shared" si="3"/>
        <v>POINT -26.4,-17.6363261480389</v>
      </c>
    </row>
    <row r="199" spans="1:2" x14ac:dyDescent="0.6">
      <c r="A199" s="1" t="str">
        <f>_xlfn.CONCAT(HiperbolaTabla!$E109,",",HiperbolaTabla!F109)</f>
        <v>-27,-18.1400799336718</v>
      </c>
      <c r="B199" s="1" t="str">
        <f t="shared" si="3"/>
        <v>POINT -27,-18.1400799336718</v>
      </c>
    </row>
    <row r="200" spans="1:2" x14ac:dyDescent="0.6">
      <c r="A200" s="1" t="str">
        <f>_xlfn.CONCAT(HiperbolaTabla!$E110,",",HiperbolaTabla!F110)</f>
        <v>-27.6,-18.6410836594872</v>
      </c>
      <c r="B200" s="1" t="str">
        <f t="shared" si="3"/>
        <v>POINT -27.6,-18.6410836594872</v>
      </c>
    </row>
    <row r="201" spans="1:2" x14ac:dyDescent="0.6">
      <c r="A201" s="1" t="str">
        <f>_xlfn.CONCAT(HiperbolaTabla!$E111,",",HiperbolaTabla!F111)</f>
        <v>-28.2,-19.1395532863231</v>
      </c>
      <c r="B201" s="1" t="str">
        <f t="shared" si="3"/>
        <v>POINT -28.2,-19.1395532863231</v>
      </c>
    </row>
    <row r="202" spans="1:2" x14ac:dyDescent="0.6">
      <c r="A202" s="1" t="str">
        <f>_xlfn.CONCAT(HiperbolaTabla!$E112,",",HiperbolaTabla!F112)</f>
        <v>-28.8000000000001,-19.6356818063443</v>
      </c>
      <c r="B202" s="1" t="str">
        <f t="shared" si="3"/>
        <v>POINT -28.8000000000001,-19.6356818063443</v>
      </c>
    </row>
    <row r="203" spans="1:2" x14ac:dyDescent="0.6">
      <c r="A203" s="1" t="str">
        <f>_xlfn.CONCAT(HiperbolaTabla!$E113,",",HiperbolaTabla!F113)</f>
        <v>-29.4000000000001,-20.1296423217106</v>
      </c>
      <c r="B203" s="1" t="str">
        <f t="shared" si="3"/>
        <v>POINT -29.4000000000001,-20.1296423217106</v>
      </c>
    </row>
  </sheetData>
  <sheetProtection algorithmName="SHA-512" hashValue="0R3kD7NbTMn86QtsC7IYQGdmMaZSSXw629TlwVKhBwzC5HEUt71w4QHZfbaJK9Q5X9PtbpgVPESqs8Eh0kQF3Q==" saltValue="l/63MWP8DsuUiIwnwO3HV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B22-0448-49EA-A013-BB33FF9063CA}">
  <dimension ref="B1:P378"/>
  <sheetViews>
    <sheetView showGridLines="0" zoomScale="115" zoomScaleNormal="115" workbookViewId="0">
      <pane ySplit="17" topLeftCell="A18" activePane="bottomLeft" state="frozen"/>
      <selection pane="bottomLeft" activeCell="I4" sqref="I4"/>
    </sheetView>
  </sheetViews>
  <sheetFormatPr defaultColWidth="9.1328125" defaultRowHeight="16.5" x14ac:dyDescent="0.6"/>
  <cols>
    <col min="1" max="1" width="2.53125" style="1" customWidth="1"/>
    <col min="2" max="2" width="10.46484375" style="23" customWidth="1"/>
    <col min="3" max="3" width="14.33203125" style="23" customWidth="1"/>
    <col min="4" max="9" width="9.1328125" style="23"/>
    <col min="10" max="10" width="2.53125" style="23" customWidth="1"/>
    <col min="11" max="11" width="36.19921875" style="1" bestFit="1" customWidth="1"/>
    <col min="12" max="13" width="35.796875" style="1" bestFit="1" customWidth="1"/>
    <col min="14" max="14" width="34.86328125" style="1" bestFit="1" customWidth="1"/>
    <col min="15" max="15" width="34" style="1" bestFit="1" customWidth="1"/>
    <col min="16" max="16" width="32.86328125" style="1" bestFit="1" customWidth="1"/>
    <col min="17" max="16384" width="9.1328125" style="1"/>
  </cols>
  <sheetData>
    <row r="1" spans="2:11" x14ac:dyDescent="0.6">
      <c r="I1" s="43" t="s">
        <v>39</v>
      </c>
    </row>
    <row r="3" spans="2:11" s="32" customFormat="1" x14ac:dyDescent="0.6">
      <c r="B3" s="42" t="s">
        <v>26</v>
      </c>
      <c r="C3" s="33"/>
      <c r="D3" s="33"/>
      <c r="E3" s="33"/>
      <c r="F3" s="33"/>
      <c r="G3" s="33"/>
      <c r="H3" s="34" t="s">
        <v>35</v>
      </c>
      <c r="I3" s="37">
        <v>11</v>
      </c>
      <c r="J3" s="38"/>
    </row>
    <row r="4" spans="2:11" s="32" customFormat="1" x14ac:dyDescent="0.6">
      <c r="B4" s="39"/>
      <c r="I4" s="36"/>
      <c r="J4" s="38"/>
    </row>
    <row r="5" spans="2:11" s="32" customFormat="1" x14ac:dyDescent="0.6">
      <c r="B5" s="35"/>
      <c r="H5" s="40"/>
      <c r="I5" s="36"/>
    </row>
    <row r="6" spans="2:11" s="32" customFormat="1" x14ac:dyDescent="0.6">
      <c r="B6" s="35"/>
      <c r="H6" s="40"/>
      <c r="I6" s="36"/>
    </row>
    <row r="7" spans="2:11" s="32" customFormat="1" x14ac:dyDescent="0.6">
      <c r="B7" s="35"/>
      <c r="H7" s="40"/>
      <c r="I7" s="36"/>
    </row>
    <row r="8" spans="2:11" s="32" customFormat="1" x14ac:dyDescent="0.6">
      <c r="B8" s="35"/>
      <c r="H8" s="40"/>
      <c r="I8" s="36"/>
    </row>
    <row r="9" spans="2:11" s="32" customFormat="1" x14ac:dyDescent="0.6">
      <c r="B9" s="35"/>
      <c r="H9" s="40"/>
      <c r="I9" s="36"/>
    </row>
    <row r="10" spans="2:11" s="32" customFormat="1" x14ac:dyDescent="0.6">
      <c r="B10" s="35"/>
      <c r="H10" s="40"/>
      <c r="I10" s="36"/>
    </row>
    <row r="11" spans="2:11" s="32" customFormat="1" x14ac:dyDescent="0.6">
      <c r="B11" s="35"/>
      <c r="H11" s="40"/>
      <c r="I11" s="36"/>
    </row>
    <row r="12" spans="2:11" s="32" customFormat="1" x14ac:dyDescent="0.6">
      <c r="B12" s="35"/>
      <c r="H12" s="40"/>
      <c r="I12" s="36"/>
    </row>
    <row r="13" spans="2:11" s="32" customFormat="1" x14ac:dyDescent="0.6">
      <c r="B13" s="35"/>
      <c r="H13" s="40"/>
      <c r="I13" s="36"/>
    </row>
    <row r="14" spans="2:11" s="32" customFormat="1" x14ac:dyDescent="0.6">
      <c r="B14" s="35"/>
      <c r="H14" s="40"/>
      <c r="I14" s="36"/>
    </row>
    <row r="15" spans="2:11" s="32" customFormat="1" x14ac:dyDescent="0.6">
      <c r="B15" s="35"/>
      <c r="H15" s="40"/>
      <c r="I15" s="36"/>
    </row>
    <row r="16" spans="2:11" s="32" customFormat="1" x14ac:dyDescent="0.6">
      <c r="B16" s="35"/>
      <c r="H16" s="40"/>
      <c r="I16" s="36"/>
      <c r="K16" s="32" t="s">
        <v>27</v>
      </c>
    </row>
    <row r="17" spans="2:16" x14ac:dyDescent="0.6">
      <c r="B17" s="27" t="s">
        <v>38</v>
      </c>
      <c r="C17" s="28" t="s">
        <v>37</v>
      </c>
      <c r="D17" s="28" t="s">
        <v>28</v>
      </c>
      <c r="E17" s="28" t="s">
        <v>29</v>
      </c>
      <c r="F17" s="28" t="s">
        <v>30</v>
      </c>
      <c r="G17" s="28" t="s">
        <v>31</v>
      </c>
      <c r="H17" s="28" t="s">
        <v>32</v>
      </c>
      <c r="I17" s="3" t="s">
        <v>33</v>
      </c>
      <c r="K17" s="1" t="s">
        <v>28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33</v>
      </c>
    </row>
    <row r="18" spans="2:16" x14ac:dyDescent="0.6">
      <c r="B18" s="25">
        <v>0</v>
      </c>
      <c r="C18" s="24">
        <f>B18*PI()/180</f>
        <v>0</v>
      </c>
      <c r="D18" s="24">
        <f t="shared" ref="D18:D49" si="0">IF(SIN(C18)&gt;$I$3,$I$3,(IF(SIN(C18)&lt;-$I$3,-$I$3,SIN(C18))))</f>
        <v>0</v>
      </c>
      <c r="E18" s="24">
        <f t="shared" ref="E18:E49" si="1">IF(COS(C18)&gt;$I$3,$I$3,(IF(COS(C18)&lt;-$I$3,-$I$3,COS(C18))))</f>
        <v>1</v>
      </c>
      <c r="F18" s="24">
        <f t="shared" ref="F18:F49" si="2">IF(TAN(C18)&gt;$I$3,$I$3,(IF(TAN(C18)&lt;-$I$3,-$I$3,TAN(C18))))</f>
        <v>0</v>
      </c>
      <c r="G18" s="24"/>
      <c r="H18" s="24">
        <f t="shared" ref="H18:H49" si="3">IF(_xlfn.SEC(C18)&gt;$I$3,$I$3,(IF(_xlfn.SEC(C18)&lt;-$I$3,-$I$3,_xlfn.SEC(C18))))</f>
        <v>1</v>
      </c>
      <c r="I18" s="29"/>
      <c r="K18" s="1" t="s">
        <v>34</v>
      </c>
      <c r="L18" s="1" t="s">
        <v>34</v>
      </c>
      <c r="M18" s="1" t="s">
        <v>16</v>
      </c>
      <c r="N18" s="1" t="s">
        <v>16</v>
      </c>
      <c r="O18" s="1" t="s">
        <v>16</v>
      </c>
      <c r="P18" s="1" t="s">
        <v>16</v>
      </c>
    </row>
    <row r="19" spans="2:16" x14ac:dyDescent="0.6">
      <c r="B19" s="25">
        <v>1</v>
      </c>
      <c r="C19" s="24">
        <f t="shared" ref="C19:C82" si="4">B19*PI()/180</f>
        <v>1.7453292519943295E-2</v>
      </c>
      <c r="D19" s="24">
        <f t="shared" si="0"/>
        <v>1.7452406437283512E-2</v>
      </c>
      <c r="E19" s="24">
        <f t="shared" si="1"/>
        <v>0.99984769515639127</v>
      </c>
      <c r="F19" s="24">
        <f t="shared" si="2"/>
        <v>1.7455064928217585E-2</v>
      </c>
      <c r="G19" s="24">
        <f t="shared" ref="G19:G50" si="5">IF(_xlfn.COT(C19)&gt;$I$3,$I$3,(IF(_xlfn.COT(C19)&lt;-$I$3,-$I$3,_xlfn.COT(C19))))</f>
        <v>11</v>
      </c>
      <c r="H19" s="24">
        <f t="shared" si="3"/>
        <v>1.0001523280439077</v>
      </c>
      <c r="I19" s="29">
        <f t="shared" ref="I19:I50" si="6">IF(_xlfn.CSC(C19)&gt;$I$3,$I$3,(IF(_xlfn.CSC(C19)&lt;-$I$3,-$I$3,_xlfn.CSC(C19))))</f>
        <v>11</v>
      </c>
      <c r="K19" s="1" t="str">
        <f>_xlfn.CONCAT($C18,",",D18)</f>
        <v>0,0</v>
      </c>
      <c r="L19" s="1" t="str">
        <f>_xlfn.CONCAT($C18,",",E18)</f>
        <v>0,1</v>
      </c>
      <c r="M19" s="1" t="str">
        <f>_xlfn.CONCAT($C18,",",F18)</f>
        <v>0,0</v>
      </c>
      <c r="N19" s="1" t="str">
        <f>N20</f>
        <v>0.0174532925199433,11</v>
      </c>
      <c r="O19" s="1" t="str">
        <f t="shared" ref="N19:P34" si="7">_xlfn.CONCAT($C18,",",H18)</f>
        <v>0,1</v>
      </c>
      <c r="P19" s="1" t="str">
        <f>P20</f>
        <v>0.0174532925199433,11</v>
      </c>
    </row>
    <row r="20" spans="2:16" x14ac:dyDescent="0.6">
      <c r="B20" s="25">
        <v>2</v>
      </c>
      <c r="C20" s="24">
        <f t="shared" si="4"/>
        <v>3.4906585039886591E-2</v>
      </c>
      <c r="D20" s="24">
        <f t="shared" si="0"/>
        <v>3.4899496702500969E-2</v>
      </c>
      <c r="E20" s="24">
        <f t="shared" si="1"/>
        <v>0.99939082701909576</v>
      </c>
      <c r="F20" s="24">
        <f t="shared" si="2"/>
        <v>3.492076949174773E-2</v>
      </c>
      <c r="G20" s="24">
        <f t="shared" si="5"/>
        <v>11</v>
      </c>
      <c r="H20" s="24">
        <f t="shared" si="3"/>
        <v>1.0006095442988217</v>
      </c>
      <c r="I20" s="29">
        <f t="shared" si="6"/>
        <v>11</v>
      </c>
      <c r="K20" s="1" t="str">
        <f t="shared" ref="K20:K83" si="8">_xlfn.CONCAT($C19,",",D19)</f>
        <v>0.0174532925199433,0.0174524064372835</v>
      </c>
      <c r="L20" s="1" t="str">
        <f t="shared" ref="L20:L83" si="9">_xlfn.CONCAT($C19,",",E19)</f>
        <v>0.0174532925199433,0.999847695156391</v>
      </c>
      <c r="M20" s="1" t="str">
        <f t="shared" ref="M20:M83" si="10">_xlfn.CONCAT($C19,",",F19)</f>
        <v>0.0174532925199433,0.0174550649282176</v>
      </c>
      <c r="N20" s="1" t="str">
        <f t="shared" si="7"/>
        <v>0.0174532925199433,11</v>
      </c>
      <c r="O20" s="1" t="str">
        <f t="shared" si="7"/>
        <v>0.0174532925199433,1.00015232804391</v>
      </c>
      <c r="P20" s="1" t="str">
        <f t="shared" si="7"/>
        <v>0.0174532925199433,11</v>
      </c>
    </row>
    <row r="21" spans="2:16" x14ac:dyDescent="0.6">
      <c r="B21" s="25">
        <v>3</v>
      </c>
      <c r="C21" s="24">
        <f t="shared" si="4"/>
        <v>5.2359877559829883E-2</v>
      </c>
      <c r="D21" s="24">
        <f t="shared" si="0"/>
        <v>5.2335956242943828E-2</v>
      </c>
      <c r="E21" s="24">
        <f t="shared" si="1"/>
        <v>0.99862953475457383</v>
      </c>
      <c r="F21" s="24">
        <f t="shared" si="2"/>
        <v>5.2407779283041196E-2</v>
      </c>
      <c r="G21" s="24">
        <f t="shared" si="5"/>
        <v>11</v>
      </c>
      <c r="H21" s="24">
        <f t="shared" si="3"/>
        <v>1.0013723459979209</v>
      </c>
      <c r="I21" s="29">
        <f t="shared" si="6"/>
        <v>11</v>
      </c>
      <c r="K21" s="1" t="str">
        <f t="shared" si="8"/>
        <v>0.0349065850398866,0.034899496702501</v>
      </c>
      <c r="L21" s="1" t="str">
        <f t="shared" si="9"/>
        <v>0.0349065850398866,0.999390827019096</v>
      </c>
      <c r="M21" s="1" t="str">
        <f t="shared" si="10"/>
        <v>0.0349065850398866,0.0349207694917477</v>
      </c>
      <c r="N21" s="1" t="str">
        <f t="shared" si="7"/>
        <v>0.0349065850398866,11</v>
      </c>
      <c r="O21" s="1" t="str">
        <f t="shared" si="7"/>
        <v>0.0349065850398866,1.00060954429882</v>
      </c>
      <c r="P21" s="1" t="str">
        <f t="shared" si="7"/>
        <v>0.0349065850398866,11</v>
      </c>
    </row>
    <row r="22" spans="2:16" x14ac:dyDescent="0.6">
      <c r="B22" s="25">
        <v>4</v>
      </c>
      <c r="C22" s="24">
        <f t="shared" si="4"/>
        <v>6.9813170079773182E-2</v>
      </c>
      <c r="D22" s="24">
        <f t="shared" si="0"/>
        <v>6.9756473744125302E-2</v>
      </c>
      <c r="E22" s="24">
        <f t="shared" si="1"/>
        <v>0.9975640502598242</v>
      </c>
      <c r="F22" s="24">
        <f t="shared" si="2"/>
        <v>6.9926811943510414E-2</v>
      </c>
      <c r="G22" s="24">
        <f t="shared" si="5"/>
        <v>11</v>
      </c>
      <c r="H22" s="24">
        <f t="shared" si="3"/>
        <v>1.0024418980811722</v>
      </c>
      <c r="I22" s="29">
        <f t="shared" si="6"/>
        <v>11</v>
      </c>
      <c r="K22" s="1" t="str">
        <f t="shared" si="8"/>
        <v>0.0523598775598299,0.0523359562429438</v>
      </c>
      <c r="L22" s="1" t="str">
        <f t="shared" si="9"/>
        <v>0.0523598775598299,0.998629534754574</v>
      </c>
      <c r="M22" s="1" t="str">
        <f t="shared" si="10"/>
        <v>0.0523598775598299,0.0524077792830412</v>
      </c>
      <c r="N22" s="1" t="str">
        <f t="shared" si="7"/>
        <v>0.0523598775598299,11</v>
      </c>
      <c r="O22" s="1" t="str">
        <f t="shared" si="7"/>
        <v>0.0523598775598299,1.00137234599792</v>
      </c>
      <c r="P22" s="1" t="str">
        <f t="shared" si="7"/>
        <v>0.0523598775598299,11</v>
      </c>
    </row>
    <row r="23" spans="2:16" x14ac:dyDescent="0.6">
      <c r="B23" s="25">
        <v>5</v>
      </c>
      <c r="C23" s="24">
        <f t="shared" si="4"/>
        <v>8.7266462599716474E-2</v>
      </c>
      <c r="D23" s="24">
        <f t="shared" si="0"/>
        <v>8.7155742747658166E-2</v>
      </c>
      <c r="E23" s="24">
        <f t="shared" si="1"/>
        <v>0.99619469809174555</v>
      </c>
      <c r="F23" s="24">
        <f t="shared" si="2"/>
        <v>8.7488663525924007E-2</v>
      </c>
      <c r="G23" s="24">
        <f t="shared" si="5"/>
        <v>11</v>
      </c>
      <c r="H23" s="24">
        <f t="shared" si="3"/>
        <v>1.0038198375433474</v>
      </c>
      <c r="I23" s="29">
        <f t="shared" si="6"/>
        <v>11</v>
      </c>
      <c r="K23" s="1" t="str">
        <f t="shared" si="8"/>
        <v>0.0698131700797732,0.0697564737441253</v>
      </c>
      <c r="L23" s="1" t="str">
        <f t="shared" si="9"/>
        <v>0.0698131700797732,0.997564050259824</v>
      </c>
      <c r="M23" s="1" t="str">
        <f t="shared" si="10"/>
        <v>0.0698131700797732,0.0699268119435104</v>
      </c>
      <c r="N23" s="1" t="str">
        <f t="shared" si="7"/>
        <v>0.0698131700797732,11</v>
      </c>
      <c r="O23" s="1" t="str">
        <f t="shared" si="7"/>
        <v>0.0698131700797732,1.00244189808117</v>
      </c>
      <c r="P23" s="1" t="str">
        <f t="shared" si="7"/>
        <v>0.0698131700797732,11</v>
      </c>
    </row>
    <row r="24" spans="2:16" x14ac:dyDescent="0.6">
      <c r="B24" s="25">
        <v>6</v>
      </c>
      <c r="C24" s="24">
        <f t="shared" si="4"/>
        <v>0.10471975511965977</v>
      </c>
      <c r="D24" s="24">
        <f t="shared" si="0"/>
        <v>0.10452846326765346</v>
      </c>
      <c r="E24" s="24">
        <f t="shared" si="1"/>
        <v>0.99452189536827329</v>
      </c>
      <c r="F24" s="24">
        <f t="shared" si="2"/>
        <v>0.10510423526567646</v>
      </c>
      <c r="G24" s="24">
        <f t="shared" si="5"/>
        <v>9.5143644542225854</v>
      </c>
      <c r="H24" s="24">
        <f t="shared" si="3"/>
        <v>1.0055082795635164</v>
      </c>
      <c r="I24" s="29">
        <f t="shared" si="6"/>
        <v>9.5667722335056276</v>
      </c>
      <c r="K24" s="1" t="str">
        <f t="shared" si="8"/>
        <v>0.0872664625997165,0.0871557427476582</v>
      </c>
      <c r="L24" s="1" t="str">
        <f t="shared" si="9"/>
        <v>0.0872664625997165,0.996194698091746</v>
      </c>
      <c r="M24" s="1" t="str">
        <f t="shared" si="10"/>
        <v>0.0872664625997165,0.087488663525924</v>
      </c>
      <c r="N24" s="1" t="str">
        <f t="shared" si="7"/>
        <v>0.0872664625997165,11</v>
      </c>
      <c r="O24" s="1" t="str">
        <f t="shared" si="7"/>
        <v>0.0872664625997165,1.00381983754335</v>
      </c>
      <c r="P24" s="1" t="str">
        <f t="shared" si="7"/>
        <v>0.0872664625997165,11</v>
      </c>
    </row>
    <row r="25" spans="2:16" x14ac:dyDescent="0.6">
      <c r="B25" s="25">
        <v>7</v>
      </c>
      <c r="C25" s="24">
        <f t="shared" si="4"/>
        <v>0.12217304763960307</v>
      </c>
      <c r="D25" s="24">
        <f t="shared" si="0"/>
        <v>0.12186934340514748</v>
      </c>
      <c r="E25" s="24">
        <f t="shared" si="1"/>
        <v>0.99254615164132198</v>
      </c>
      <c r="F25" s="24">
        <f t="shared" si="2"/>
        <v>0.1227845609029046</v>
      </c>
      <c r="G25" s="24">
        <f t="shared" si="5"/>
        <v>8.1443464279745932</v>
      </c>
      <c r="H25" s="24">
        <f t="shared" si="3"/>
        <v>1.0075098254588484</v>
      </c>
      <c r="I25" s="29">
        <f t="shared" si="6"/>
        <v>8.2055090481250783</v>
      </c>
      <c r="K25" s="1" t="str">
        <f t="shared" si="8"/>
        <v>0.10471975511966,0.104528463267653</v>
      </c>
      <c r="L25" s="1" t="str">
        <f t="shared" si="9"/>
        <v>0.10471975511966,0.994521895368273</v>
      </c>
      <c r="M25" s="1" t="str">
        <f t="shared" si="10"/>
        <v>0.10471975511966,0.105104235265676</v>
      </c>
      <c r="N25" s="1" t="str">
        <f t="shared" si="7"/>
        <v>0.10471975511966,9.51436445422259</v>
      </c>
      <c r="O25" s="1" t="str">
        <f t="shared" si="7"/>
        <v>0.10471975511966,1.00550827956352</v>
      </c>
      <c r="P25" s="1" t="str">
        <f t="shared" si="7"/>
        <v>0.10471975511966,9.56677223350563</v>
      </c>
    </row>
    <row r="26" spans="2:16" x14ac:dyDescent="0.6">
      <c r="B26" s="25">
        <v>8</v>
      </c>
      <c r="C26" s="24">
        <f t="shared" si="4"/>
        <v>0.13962634015954636</v>
      </c>
      <c r="D26" s="24">
        <f t="shared" si="0"/>
        <v>0.13917310096006544</v>
      </c>
      <c r="E26" s="24">
        <f t="shared" si="1"/>
        <v>0.99026806874157036</v>
      </c>
      <c r="F26" s="24">
        <f t="shared" si="2"/>
        <v>0.14054083470239145</v>
      </c>
      <c r="G26" s="24">
        <f t="shared" si="5"/>
        <v>7.1153697223842087</v>
      </c>
      <c r="H26" s="24">
        <f t="shared" si="3"/>
        <v>1.0098275725186181</v>
      </c>
      <c r="I26" s="29">
        <f t="shared" si="6"/>
        <v>7.1852965343277191</v>
      </c>
      <c r="K26" s="1" t="str">
        <f t="shared" si="8"/>
        <v>0.122173047639603,0.121869343405147</v>
      </c>
      <c r="L26" s="1" t="str">
        <f t="shared" si="9"/>
        <v>0.122173047639603,0.992546151641322</v>
      </c>
      <c r="M26" s="1" t="str">
        <f t="shared" si="10"/>
        <v>0.122173047639603,0.122784560902905</v>
      </c>
      <c r="N26" s="1" t="str">
        <f t="shared" si="7"/>
        <v>0.122173047639603,8.14434642797459</v>
      </c>
      <c r="O26" s="1" t="str">
        <f t="shared" si="7"/>
        <v>0.122173047639603,1.00750982545885</v>
      </c>
      <c r="P26" s="1" t="str">
        <f t="shared" si="7"/>
        <v>0.122173047639603,8.20550904812508</v>
      </c>
    </row>
    <row r="27" spans="2:16" x14ac:dyDescent="0.6">
      <c r="B27" s="25">
        <v>9</v>
      </c>
      <c r="C27" s="24">
        <f t="shared" si="4"/>
        <v>0.15707963267948966</v>
      </c>
      <c r="D27" s="24">
        <f t="shared" si="0"/>
        <v>0.15643446504023087</v>
      </c>
      <c r="E27" s="24">
        <f t="shared" si="1"/>
        <v>0.98768834059513777</v>
      </c>
      <c r="F27" s="24">
        <f t="shared" si="2"/>
        <v>0.15838444032453627</v>
      </c>
      <c r="G27" s="24">
        <f t="shared" si="5"/>
        <v>6.3137515146750438</v>
      </c>
      <c r="H27" s="24">
        <f t="shared" si="3"/>
        <v>1.0124651257880029</v>
      </c>
      <c r="I27" s="29">
        <f t="shared" si="6"/>
        <v>6.3924532214996619</v>
      </c>
      <c r="K27" s="1" t="str">
        <f t="shared" si="8"/>
        <v>0.139626340159546,0.139173100960065</v>
      </c>
      <c r="L27" s="1" t="str">
        <f t="shared" si="9"/>
        <v>0.139626340159546,0.99026806874157</v>
      </c>
      <c r="M27" s="1" t="str">
        <f t="shared" si="10"/>
        <v>0.139626340159546,0.140540834702391</v>
      </c>
      <c r="N27" s="1" t="str">
        <f t="shared" si="7"/>
        <v>0.139626340159546,7.11536972238421</v>
      </c>
      <c r="O27" s="1" t="str">
        <f t="shared" si="7"/>
        <v>0.139626340159546,1.00982757251862</v>
      </c>
      <c r="P27" s="1" t="str">
        <f t="shared" si="7"/>
        <v>0.139626340159546,7.18529653432772</v>
      </c>
    </row>
    <row r="28" spans="2:16" x14ac:dyDescent="0.6">
      <c r="B28" s="25">
        <v>10</v>
      </c>
      <c r="C28" s="24">
        <f t="shared" si="4"/>
        <v>0.17453292519943295</v>
      </c>
      <c r="D28" s="24">
        <f t="shared" si="0"/>
        <v>0.17364817766693033</v>
      </c>
      <c r="E28" s="24">
        <f t="shared" si="1"/>
        <v>0.98480775301220802</v>
      </c>
      <c r="F28" s="24">
        <f t="shared" si="2"/>
        <v>0.17632698070846498</v>
      </c>
      <c r="G28" s="24">
        <f t="shared" si="5"/>
        <v>5.6712818196177093</v>
      </c>
      <c r="H28" s="24">
        <f t="shared" si="3"/>
        <v>1.0154266118857451</v>
      </c>
      <c r="I28" s="29">
        <f t="shared" si="6"/>
        <v>5.7587704831436337</v>
      </c>
      <c r="K28" s="1" t="str">
        <f t="shared" si="8"/>
        <v>0.15707963267949,0.156434465040231</v>
      </c>
      <c r="L28" s="1" t="str">
        <f t="shared" si="9"/>
        <v>0.15707963267949,0.987688340595138</v>
      </c>
      <c r="M28" s="1" t="str">
        <f t="shared" si="10"/>
        <v>0.15707963267949,0.158384440324536</v>
      </c>
      <c r="N28" s="1" t="str">
        <f t="shared" si="7"/>
        <v>0.15707963267949,6.31375151467504</v>
      </c>
      <c r="O28" s="1" t="str">
        <f t="shared" si="7"/>
        <v>0.15707963267949,1.012465125788</v>
      </c>
      <c r="P28" s="1" t="str">
        <f t="shared" si="7"/>
        <v>0.15707963267949,6.39245322149966</v>
      </c>
    </row>
    <row r="29" spans="2:16" x14ac:dyDescent="0.6">
      <c r="B29" s="25">
        <v>11</v>
      </c>
      <c r="C29" s="24">
        <f t="shared" si="4"/>
        <v>0.19198621771937624</v>
      </c>
      <c r="D29" s="24">
        <f t="shared" si="0"/>
        <v>0.1908089953765448</v>
      </c>
      <c r="E29" s="24">
        <f t="shared" si="1"/>
        <v>0.98162718344766398</v>
      </c>
      <c r="F29" s="24">
        <f t="shared" si="2"/>
        <v>0.19438030913771848</v>
      </c>
      <c r="G29" s="24">
        <f t="shared" si="5"/>
        <v>5.1445540159703107</v>
      </c>
      <c r="H29" s="24">
        <f t="shared" si="3"/>
        <v>1.0187166949552142</v>
      </c>
      <c r="I29" s="29">
        <f t="shared" si="6"/>
        <v>5.2408430641678487</v>
      </c>
      <c r="K29" s="1" t="str">
        <f t="shared" si="8"/>
        <v>0.174532925199433,0.17364817766693</v>
      </c>
      <c r="L29" s="1" t="str">
        <f t="shared" si="9"/>
        <v>0.174532925199433,0.984807753012208</v>
      </c>
      <c r="M29" s="1" t="str">
        <f t="shared" si="10"/>
        <v>0.174532925199433,0.176326980708465</v>
      </c>
      <c r="N29" s="1" t="str">
        <f t="shared" si="7"/>
        <v>0.174532925199433,5.67128181961771</v>
      </c>
      <c r="O29" s="1" t="str">
        <f t="shared" si="7"/>
        <v>0.174532925199433,1.01542661188575</v>
      </c>
      <c r="P29" s="1" t="str">
        <f t="shared" si="7"/>
        <v>0.174532925199433,5.75877048314363</v>
      </c>
    </row>
    <row r="30" spans="2:16" x14ac:dyDescent="0.6">
      <c r="B30" s="25">
        <v>12</v>
      </c>
      <c r="C30" s="24">
        <f t="shared" si="4"/>
        <v>0.20943951023931953</v>
      </c>
      <c r="D30" s="24">
        <f t="shared" si="0"/>
        <v>0.20791169081775931</v>
      </c>
      <c r="E30" s="24">
        <f t="shared" si="1"/>
        <v>0.97814760073380569</v>
      </c>
      <c r="F30" s="24">
        <f t="shared" si="2"/>
        <v>0.2125565616700221</v>
      </c>
      <c r="G30" s="24">
        <f t="shared" si="5"/>
        <v>4.7046301094784546</v>
      </c>
      <c r="H30" s="24">
        <f t="shared" si="3"/>
        <v>1.0223405948650293</v>
      </c>
      <c r="I30" s="29">
        <f t="shared" si="6"/>
        <v>4.8097343447441316</v>
      </c>
      <c r="K30" s="1" t="str">
        <f t="shared" si="8"/>
        <v>0.191986217719376,0.190808995376545</v>
      </c>
      <c r="L30" s="1" t="str">
        <f t="shared" si="9"/>
        <v>0.191986217719376,0.981627183447664</v>
      </c>
      <c r="M30" s="1" t="str">
        <f t="shared" si="10"/>
        <v>0.191986217719376,0.194380309137718</v>
      </c>
      <c r="N30" s="1" t="str">
        <f t="shared" si="7"/>
        <v>0.191986217719376,5.14455401597031</v>
      </c>
      <c r="O30" s="1" t="str">
        <f t="shared" si="7"/>
        <v>0.191986217719376,1.01871669495521</v>
      </c>
      <c r="P30" s="1" t="str">
        <f t="shared" si="7"/>
        <v>0.191986217719376,5.24084306416785</v>
      </c>
    </row>
    <row r="31" spans="2:16" x14ac:dyDescent="0.6">
      <c r="B31" s="25">
        <v>13</v>
      </c>
      <c r="C31" s="24">
        <f t="shared" si="4"/>
        <v>0.22689280275926285</v>
      </c>
      <c r="D31" s="24">
        <f t="shared" si="0"/>
        <v>0.224951054343865</v>
      </c>
      <c r="E31" s="24">
        <f t="shared" si="1"/>
        <v>0.97437006478523525</v>
      </c>
      <c r="F31" s="24">
        <f t="shared" si="2"/>
        <v>0.23086819112556312</v>
      </c>
      <c r="G31" s="24">
        <f t="shared" si="5"/>
        <v>4.3314758742841555</v>
      </c>
      <c r="H31" s="24">
        <f t="shared" si="3"/>
        <v>1.0263041077933917</v>
      </c>
      <c r="I31" s="29">
        <f t="shared" si="6"/>
        <v>4.4454114825858007</v>
      </c>
      <c r="K31" s="1" t="str">
        <f t="shared" si="8"/>
        <v>0.20943951023932,0.207911690817759</v>
      </c>
      <c r="L31" s="1" t="str">
        <f t="shared" si="9"/>
        <v>0.20943951023932,0.978147600733806</v>
      </c>
      <c r="M31" s="1" t="str">
        <f t="shared" si="10"/>
        <v>0.20943951023932,0.212556561670022</v>
      </c>
      <c r="N31" s="1" t="str">
        <f t="shared" si="7"/>
        <v>0.20943951023932,4.70463010947845</v>
      </c>
      <c r="O31" s="1" t="str">
        <f t="shared" si="7"/>
        <v>0.20943951023932,1.02234059486503</v>
      </c>
      <c r="P31" s="1" t="str">
        <f t="shared" si="7"/>
        <v>0.20943951023932,4.80973434474413</v>
      </c>
    </row>
    <row r="32" spans="2:16" x14ac:dyDescent="0.6">
      <c r="B32" s="25">
        <v>14</v>
      </c>
      <c r="C32" s="24">
        <f t="shared" si="4"/>
        <v>0.24434609527920614</v>
      </c>
      <c r="D32" s="24">
        <f t="shared" si="0"/>
        <v>0.24192189559966773</v>
      </c>
      <c r="E32" s="24">
        <f t="shared" si="1"/>
        <v>0.97029572627599647</v>
      </c>
      <c r="F32" s="24">
        <f t="shared" si="2"/>
        <v>0.24932800284318068</v>
      </c>
      <c r="G32" s="24">
        <f t="shared" si="5"/>
        <v>4.0107809335358446</v>
      </c>
      <c r="H32" s="24">
        <f t="shared" si="3"/>
        <v>1.0306136293498982</v>
      </c>
      <c r="I32" s="29">
        <f t="shared" si="6"/>
        <v>4.1335654944387494</v>
      </c>
      <c r="K32" s="1" t="str">
        <f t="shared" si="8"/>
        <v>0.226892802759263,0.224951054343865</v>
      </c>
      <c r="L32" s="1" t="str">
        <f t="shared" si="9"/>
        <v>0.226892802759263,0.974370064785235</v>
      </c>
      <c r="M32" s="1" t="str">
        <f t="shared" si="10"/>
        <v>0.226892802759263,0.230868191125563</v>
      </c>
      <c r="N32" s="1" t="str">
        <f t="shared" si="7"/>
        <v>0.226892802759263,4.33147587428416</v>
      </c>
      <c r="O32" s="1" t="str">
        <f t="shared" si="7"/>
        <v>0.226892802759263,1.02630410779339</v>
      </c>
      <c r="P32" s="1" t="str">
        <f t="shared" si="7"/>
        <v>0.226892802759263,4.4454114825858</v>
      </c>
    </row>
    <row r="33" spans="2:16" x14ac:dyDescent="0.6">
      <c r="B33" s="25">
        <v>15</v>
      </c>
      <c r="C33" s="24">
        <f t="shared" si="4"/>
        <v>0.26179938779914941</v>
      </c>
      <c r="D33" s="24">
        <f t="shared" si="0"/>
        <v>0.25881904510252074</v>
      </c>
      <c r="E33" s="24">
        <f t="shared" si="1"/>
        <v>0.96592582628906831</v>
      </c>
      <c r="F33" s="24">
        <f t="shared" si="2"/>
        <v>0.2679491924311227</v>
      </c>
      <c r="G33" s="24">
        <f t="shared" si="5"/>
        <v>3.7320508075688776</v>
      </c>
      <c r="H33" s="24">
        <f t="shared" si="3"/>
        <v>1.035276180410083</v>
      </c>
      <c r="I33" s="29">
        <f t="shared" si="6"/>
        <v>3.8637033051562737</v>
      </c>
      <c r="K33" s="1" t="str">
        <f t="shared" si="8"/>
        <v>0.244346095279206,0.241921895599668</v>
      </c>
      <c r="L33" s="1" t="str">
        <f t="shared" si="9"/>
        <v>0.244346095279206,0.970295726275996</v>
      </c>
      <c r="M33" s="1" t="str">
        <f t="shared" si="10"/>
        <v>0.244346095279206,0.249328002843181</v>
      </c>
      <c r="N33" s="1" t="str">
        <f t="shared" si="7"/>
        <v>0.244346095279206,4.01078093353584</v>
      </c>
      <c r="O33" s="1" t="str">
        <f t="shared" si="7"/>
        <v>0.244346095279206,1.0306136293499</v>
      </c>
      <c r="P33" s="1" t="str">
        <f t="shared" si="7"/>
        <v>0.244346095279206,4.13356549443875</v>
      </c>
    </row>
    <row r="34" spans="2:16" x14ac:dyDescent="0.6">
      <c r="B34" s="25">
        <v>16</v>
      </c>
      <c r="C34" s="24">
        <f t="shared" si="4"/>
        <v>0.27925268031909273</v>
      </c>
      <c r="D34" s="24">
        <f t="shared" si="0"/>
        <v>0.27563735581699916</v>
      </c>
      <c r="E34" s="24">
        <f t="shared" si="1"/>
        <v>0.96126169593831889</v>
      </c>
      <c r="F34" s="24">
        <f t="shared" si="2"/>
        <v>0.28674538575880792</v>
      </c>
      <c r="G34" s="24">
        <f t="shared" si="5"/>
        <v>3.4874144438409087</v>
      </c>
      <c r="H34" s="24">
        <f t="shared" si="3"/>
        <v>1.040299435861602</v>
      </c>
      <c r="I34" s="29">
        <f t="shared" si="6"/>
        <v>3.6279552785433005</v>
      </c>
      <c r="K34" s="1" t="str">
        <f t="shared" si="8"/>
        <v>0.261799387799149,0.258819045102521</v>
      </c>
      <c r="L34" s="1" t="str">
        <f t="shared" si="9"/>
        <v>0.261799387799149,0.965925826289068</v>
      </c>
      <c r="M34" s="1" t="str">
        <f t="shared" si="10"/>
        <v>0.261799387799149,0.267949192431123</v>
      </c>
      <c r="N34" s="1" t="str">
        <f t="shared" si="7"/>
        <v>0.261799387799149,3.73205080756888</v>
      </c>
      <c r="O34" s="1" t="str">
        <f t="shared" si="7"/>
        <v>0.261799387799149,1.03527618041008</v>
      </c>
      <c r="P34" s="1" t="str">
        <f t="shared" si="7"/>
        <v>0.261799387799149,3.86370330515627</v>
      </c>
    </row>
    <row r="35" spans="2:16" x14ac:dyDescent="0.6">
      <c r="B35" s="25">
        <v>17</v>
      </c>
      <c r="C35" s="24">
        <f t="shared" si="4"/>
        <v>0.29670597283903605</v>
      </c>
      <c r="D35" s="24">
        <f t="shared" si="0"/>
        <v>0.29237170472273677</v>
      </c>
      <c r="E35" s="24">
        <f t="shared" si="1"/>
        <v>0.95630475596303544</v>
      </c>
      <c r="F35" s="24">
        <f t="shared" si="2"/>
        <v>0.30573068145866039</v>
      </c>
      <c r="G35" s="24">
        <f t="shared" si="5"/>
        <v>3.2708526184841404</v>
      </c>
      <c r="H35" s="24">
        <f t="shared" si="3"/>
        <v>1.045691756487148</v>
      </c>
      <c r="I35" s="29">
        <f t="shared" si="6"/>
        <v>3.4203036198332684</v>
      </c>
      <c r="K35" s="1" t="str">
        <f t="shared" si="8"/>
        <v>0.279252680319093,0.275637355816999</v>
      </c>
      <c r="L35" s="1" t="str">
        <f t="shared" si="9"/>
        <v>0.279252680319093,0.961261695938319</v>
      </c>
      <c r="M35" s="1" t="str">
        <f t="shared" si="10"/>
        <v>0.279252680319093,0.286745385758808</v>
      </c>
      <c r="N35" s="1" t="str">
        <f t="shared" ref="N35:P50" si="11">_xlfn.CONCAT($C34,",",G34)</f>
        <v>0.279252680319093,3.48741444384091</v>
      </c>
      <c r="O35" s="1" t="str">
        <f t="shared" si="11"/>
        <v>0.279252680319093,1.0402994358616</v>
      </c>
      <c r="P35" s="1" t="str">
        <f t="shared" si="11"/>
        <v>0.279252680319093,3.6279552785433</v>
      </c>
    </row>
    <row r="36" spans="2:16" x14ac:dyDescent="0.6">
      <c r="B36" s="25">
        <v>18</v>
      </c>
      <c r="C36" s="24">
        <f t="shared" si="4"/>
        <v>0.31415926535897931</v>
      </c>
      <c r="D36" s="24">
        <f t="shared" si="0"/>
        <v>0.3090169943749474</v>
      </c>
      <c r="E36" s="24">
        <f t="shared" si="1"/>
        <v>0.95105651629515353</v>
      </c>
      <c r="F36" s="24">
        <f t="shared" si="2"/>
        <v>0.32491969623290629</v>
      </c>
      <c r="G36" s="24">
        <f t="shared" si="5"/>
        <v>3.077683537175254</v>
      </c>
      <c r="H36" s="24">
        <f t="shared" si="3"/>
        <v>1.0514622242382672</v>
      </c>
      <c r="I36" s="29">
        <f t="shared" si="6"/>
        <v>3.2360679774997898</v>
      </c>
      <c r="K36" s="1" t="str">
        <f t="shared" si="8"/>
        <v>0.296705972839036,0.292371704722737</v>
      </c>
      <c r="L36" s="1" t="str">
        <f t="shared" si="9"/>
        <v>0.296705972839036,0.956304755963035</v>
      </c>
      <c r="M36" s="1" t="str">
        <f t="shared" si="10"/>
        <v>0.296705972839036,0.30573068145866</v>
      </c>
      <c r="N36" s="1" t="str">
        <f t="shared" si="11"/>
        <v>0.296705972839036,3.27085261848414</v>
      </c>
      <c r="O36" s="1" t="str">
        <f t="shared" si="11"/>
        <v>0.296705972839036,1.04569175648715</v>
      </c>
      <c r="P36" s="1" t="str">
        <f t="shared" si="11"/>
        <v>0.296705972839036,3.42030361983327</v>
      </c>
    </row>
    <row r="37" spans="2:16" x14ac:dyDescent="0.6">
      <c r="B37" s="25">
        <v>19</v>
      </c>
      <c r="C37" s="24">
        <f t="shared" si="4"/>
        <v>0.33161255787892258</v>
      </c>
      <c r="D37" s="24">
        <f t="shared" si="0"/>
        <v>0.32556815445715664</v>
      </c>
      <c r="E37" s="24">
        <f t="shared" si="1"/>
        <v>0.94551857559931685</v>
      </c>
      <c r="F37" s="24">
        <f t="shared" si="2"/>
        <v>0.34432761328966521</v>
      </c>
      <c r="G37" s="24">
        <f t="shared" si="5"/>
        <v>2.9042108776758231</v>
      </c>
      <c r="H37" s="24">
        <f t="shared" si="3"/>
        <v>1.0576206811866706</v>
      </c>
      <c r="I37" s="29">
        <f t="shared" si="6"/>
        <v>3.0715534867572427</v>
      </c>
      <c r="K37" s="1" t="str">
        <f t="shared" si="8"/>
        <v>0.314159265358979,0.309016994374947</v>
      </c>
      <c r="L37" s="1" t="str">
        <f t="shared" si="9"/>
        <v>0.314159265358979,0.951056516295154</v>
      </c>
      <c r="M37" s="1" t="str">
        <f t="shared" si="10"/>
        <v>0.314159265358979,0.324919696232906</v>
      </c>
      <c r="N37" s="1" t="str">
        <f t="shared" si="11"/>
        <v>0.314159265358979,3.07768353717525</v>
      </c>
      <c r="O37" s="1" t="str">
        <f t="shared" si="11"/>
        <v>0.314159265358979,1.05146222423827</v>
      </c>
      <c r="P37" s="1" t="str">
        <f t="shared" si="11"/>
        <v>0.314159265358979,3.23606797749979</v>
      </c>
    </row>
    <row r="38" spans="2:16" x14ac:dyDescent="0.6">
      <c r="B38" s="25">
        <v>20</v>
      </c>
      <c r="C38" s="24">
        <f t="shared" si="4"/>
        <v>0.3490658503988659</v>
      </c>
      <c r="D38" s="24">
        <f t="shared" si="0"/>
        <v>0.34202014332566871</v>
      </c>
      <c r="E38" s="24">
        <f t="shared" si="1"/>
        <v>0.93969262078590843</v>
      </c>
      <c r="F38" s="24">
        <f t="shared" si="2"/>
        <v>0.36397023426620234</v>
      </c>
      <c r="G38" s="24">
        <f t="shared" si="5"/>
        <v>2.7474774194546225</v>
      </c>
      <c r="H38" s="24">
        <f t="shared" si="3"/>
        <v>1.0641777724759121</v>
      </c>
      <c r="I38" s="29">
        <f t="shared" si="6"/>
        <v>2.9238044001630876</v>
      </c>
      <c r="K38" s="1" t="str">
        <f t="shared" si="8"/>
        <v>0.331612557878923,0.325568154457157</v>
      </c>
      <c r="L38" s="1" t="str">
        <f t="shared" si="9"/>
        <v>0.331612557878923,0.945518575599317</v>
      </c>
      <c r="M38" s="1" t="str">
        <f t="shared" si="10"/>
        <v>0.331612557878923,0.344327613289665</v>
      </c>
      <c r="N38" s="1" t="str">
        <f t="shared" si="11"/>
        <v>0.331612557878923,2.90421087767582</v>
      </c>
      <c r="O38" s="1" t="str">
        <f t="shared" si="11"/>
        <v>0.331612557878923,1.05762068118667</v>
      </c>
      <c r="P38" s="1" t="str">
        <f t="shared" si="11"/>
        <v>0.331612557878923,3.07155348675724</v>
      </c>
    </row>
    <row r="39" spans="2:16" x14ac:dyDescent="0.6">
      <c r="B39" s="25">
        <v>21</v>
      </c>
      <c r="C39" s="24">
        <f t="shared" si="4"/>
        <v>0.36651914291880922</v>
      </c>
      <c r="D39" s="24">
        <f t="shared" si="0"/>
        <v>0.35836794954530027</v>
      </c>
      <c r="E39" s="24">
        <f t="shared" si="1"/>
        <v>0.93358042649720174</v>
      </c>
      <c r="F39" s="24">
        <f t="shared" si="2"/>
        <v>0.38386403503541577</v>
      </c>
      <c r="G39" s="24">
        <f t="shared" si="5"/>
        <v>2.6050890646938019</v>
      </c>
      <c r="H39" s="24">
        <f t="shared" si="3"/>
        <v>1.071144993637029</v>
      </c>
      <c r="I39" s="29">
        <f t="shared" si="6"/>
        <v>2.7904281096253358</v>
      </c>
      <c r="K39" s="1" t="str">
        <f t="shared" si="8"/>
        <v>0.349065850398866,0.342020143325669</v>
      </c>
      <c r="L39" s="1" t="str">
        <f t="shared" si="9"/>
        <v>0.349065850398866,0.939692620785908</v>
      </c>
      <c r="M39" s="1" t="str">
        <f t="shared" si="10"/>
        <v>0.349065850398866,0.363970234266202</v>
      </c>
      <c r="N39" s="1" t="str">
        <f t="shared" si="11"/>
        <v>0.349065850398866,2.74747741945462</v>
      </c>
      <c r="O39" s="1" t="str">
        <f t="shared" si="11"/>
        <v>0.349065850398866,1.06417777247591</v>
      </c>
      <c r="P39" s="1" t="str">
        <f t="shared" si="11"/>
        <v>0.349065850398866,2.92380440016309</v>
      </c>
    </row>
    <row r="40" spans="2:16" x14ac:dyDescent="0.6">
      <c r="B40" s="25">
        <v>22</v>
      </c>
      <c r="C40" s="24">
        <f t="shared" si="4"/>
        <v>0.38397243543875248</v>
      </c>
      <c r="D40" s="24">
        <f t="shared" si="0"/>
        <v>0.37460659341591201</v>
      </c>
      <c r="E40" s="24">
        <f t="shared" si="1"/>
        <v>0.92718385456678742</v>
      </c>
      <c r="F40" s="24">
        <f t="shared" si="2"/>
        <v>0.40402622583515679</v>
      </c>
      <c r="G40" s="24">
        <f t="shared" si="5"/>
        <v>2.475086853416296</v>
      </c>
      <c r="H40" s="24">
        <f t="shared" si="3"/>
        <v>1.0785347426775833</v>
      </c>
      <c r="I40" s="29">
        <f t="shared" si="6"/>
        <v>2.6694671625540143</v>
      </c>
      <c r="K40" s="1" t="str">
        <f t="shared" si="8"/>
        <v>0.366519142918809,0.3583679495453</v>
      </c>
      <c r="L40" s="1" t="str">
        <f t="shared" si="9"/>
        <v>0.366519142918809,0.933580426497202</v>
      </c>
      <c r="M40" s="1" t="str">
        <f t="shared" si="10"/>
        <v>0.366519142918809,0.383864035035416</v>
      </c>
      <c r="N40" s="1" t="str">
        <f t="shared" si="11"/>
        <v>0.366519142918809,2.6050890646938</v>
      </c>
      <c r="O40" s="1" t="str">
        <f t="shared" si="11"/>
        <v>0.366519142918809,1.07114499363703</v>
      </c>
      <c r="P40" s="1" t="str">
        <f t="shared" si="11"/>
        <v>0.366519142918809,2.79042810962534</v>
      </c>
    </row>
    <row r="41" spans="2:16" x14ac:dyDescent="0.6">
      <c r="B41" s="25">
        <v>23</v>
      </c>
      <c r="C41" s="24">
        <f t="shared" si="4"/>
        <v>0.40142572795869574</v>
      </c>
      <c r="D41" s="24">
        <f t="shared" si="0"/>
        <v>0.39073112848927372</v>
      </c>
      <c r="E41" s="24">
        <f t="shared" si="1"/>
        <v>0.92050485345244037</v>
      </c>
      <c r="F41" s="24">
        <f t="shared" si="2"/>
        <v>0.4244748162096047</v>
      </c>
      <c r="G41" s="24">
        <f t="shared" si="5"/>
        <v>2.3558523658237531</v>
      </c>
      <c r="H41" s="24">
        <f t="shared" si="3"/>
        <v>1.0863603774052961</v>
      </c>
      <c r="I41" s="29">
        <f t="shared" si="6"/>
        <v>2.5593046652474523</v>
      </c>
      <c r="K41" s="1" t="str">
        <f t="shared" si="8"/>
        <v>0.383972435438752,0.374606593415912</v>
      </c>
      <c r="L41" s="1" t="str">
        <f t="shared" si="9"/>
        <v>0.383972435438752,0.927183854566787</v>
      </c>
      <c r="M41" s="1" t="str">
        <f t="shared" si="10"/>
        <v>0.383972435438752,0.404026225835157</v>
      </c>
      <c r="N41" s="1" t="str">
        <f t="shared" si="11"/>
        <v>0.383972435438752,2.4750868534163</v>
      </c>
      <c r="O41" s="1" t="str">
        <f t="shared" si="11"/>
        <v>0.383972435438752,1.07853474267758</v>
      </c>
      <c r="P41" s="1" t="str">
        <f t="shared" si="11"/>
        <v>0.383972435438752,2.66946716255401</v>
      </c>
    </row>
    <row r="42" spans="2:16" x14ac:dyDescent="0.6">
      <c r="B42" s="25">
        <v>24</v>
      </c>
      <c r="C42" s="24">
        <f t="shared" si="4"/>
        <v>0.41887902047863906</v>
      </c>
      <c r="D42" s="24">
        <f t="shared" si="0"/>
        <v>0.40673664307580015</v>
      </c>
      <c r="E42" s="24">
        <f t="shared" si="1"/>
        <v>0.91354545764260087</v>
      </c>
      <c r="F42" s="24">
        <f t="shared" si="2"/>
        <v>0.4452286853085361</v>
      </c>
      <c r="G42" s="24">
        <f t="shared" si="5"/>
        <v>2.2460367739042164</v>
      </c>
      <c r="H42" s="24">
        <f t="shared" si="3"/>
        <v>1.0946362785060468</v>
      </c>
      <c r="I42" s="29">
        <f t="shared" si="6"/>
        <v>2.4585933355742386</v>
      </c>
      <c r="K42" s="1" t="str">
        <f t="shared" si="8"/>
        <v>0.401425727958696,0.390731128489274</v>
      </c>
      <c r="L42" s="1" t="str">
        <f t="shared" si="9"/>
        <v>0.401425727958696,0.92050485345244</v>
      </c>
      <c r="M42" s="1" t="str">
        <f t="shared" si="10"/>
        <v>0.401425727958696,0.424474816209605</v>
      </c>
      <c r="N42" s="1" t="str">
        <f t="shared" si="11"/>
        <v>0.401425727958696,2.35585236582375</v>
      </c>
      <c r="O42" s="1" t="str">
        <f t="shared" si="11"/>
        <v>0.401425727958696,1.0863603774053</v>
      </c>
      <c r="P42" s="1" t="str">
        <f t="shared" si="11"/>
        <v>0.401425727958696,2.55930466524745</v>
      </c>
    </row>
    <row r="43" spans="2:16" x14ac:dyDescent="0.6">
      <c r="B43" s="25">
        <v>25</v>
      </c>
      <c r="C43" s="24">
        <f t="shared" si="4"/>
        <v>0.43633231299858238</v>
      </c>
      <c r="D43" s="24">
        <f t="shared" si="0"/>
        <v>0.42261826174069944</v>
      </c>
      <c r="E43" s="24">
        <f t="shared" si="1"/>
        <v>0.90630778703664994</v>
      </c>
      <c r="F43" s="24">
        <f t="shared" si="2"/>
        <v>0.46630765815499858</v>
      </c>
      <c r="G43" s="24">
        <f t="shared" si="5"/>
        <v>2.1445069205095586</v>
      </c>
      <c r="H43" s="24">
        <f t="shared" si="3"/>
        <v>1.1033779189624917</v>
      </c>
      <c r="I43" s="29">
        <f t="shared" si="6"/>
        <v>2.3662015831524985</v>
      </c>
      <c r="K43" s="1" t="str">
        <f t="shared" si="8"/>
        <v>0.418879020478639,0.4067366430758</v>
      </c>
      <c r="L43" s="1" t="str">
        <f t="shared" si="9"/>
        <v>0.418879020478639,0.913545457642601</v>
      </c>
      <c r="M43" s="1" t="str">
        <f t="shared" si="10"/>
        <v>0.418879020478639,0.445228685308536</v>
      </c>
      <c r="N43" s="1" t="str">
        <f t="shared" si="11"/>
        <v>0.418879020478639,2.24603677390422</v>
      </c>
      <c r="O43" s="1" t="str">
        <f t="shared" si="11"/>
        <v>0.418879020478639,1.09463627850605</v>
      </c>
      <c r="P43" s="1" t="str">
        <f t="shared" si="11"/>
        <v>0.418879020478639,2.45859333557424</v>
      </c>
    </row>
    <row r="44" spans="2:16" x14ac:dyDescent="0.6">
      <c r="B44" s="25">
        <v>26</v>
      </c>
      <c r="C44" s="24">
        <f t="shared" si="4"/>
        <v>0.4537856055185257</v>
      </c>
      <c r="D44" s="24">
        <f t="shared" si="0"/>
        <v>0.4383711467890774</v>
      </c>
      <c r="E44" s="24">
        <f t="shared" si="1"/>
        <v>0.89879404629916704</v>
      </c>
      <c r="F44" s="24">
        <f t="shared" si="2"/>
        <v>0.48773258856586144</v>
      </c>
      <c r="G44" s="24">
        <f t="shared" si="5"/>
        <v>2.050303841579296</v>
      </c>
      <c r="H44" s="24">
        <f t="shared" si="3"/>
        <v>1.1126019404751888</v>
      </c>
      <c r="I44" s="29">
        <f t="shared" si="6"/>
        <v>2.2811720327048595</v>
      </c>
      <c r="K44" s="1" t="str">
        <f t="shared" si="8"/>
        <v>0.436332312998582,0.422618261740699</v>
      </c>
      <c r="L44" s="1" t="str">
        <f t="shared" si="9"/>
        <v>0.436332312998582,0.90630778703665</v>
      </c>
      <c r="M44" s="1" t="str">
        <f t="shared" si="10"/>
        <v>0.436332312998582,0.466307658154999</v>
      </c>
      <c r="N44" s="1" t="str">
        <f t="shared" si="11"/>
        <v>0.436332312998582,2.14450692050956</v>
      </c>
      <c r="O44" s="1" t="str">
        <f t="shared" si="11"/>
        <v>0.436332312998582,1.10337791896249</v>
      </c>
      <c r="P44" s="1" t="str">
        <f t="shared" si="11"/>
        <v>0.436332312998582,2.3662015831525</v>
      </c>
    </row>
    <row r="45" spans="2:16" x14ac:dyDescent="0.6">
      <c r="B45" s="25">
        <v>27</v>
      </c>
      <c r="C45" s="24">
        <f t="shared" si="4"/>
        <v>0.47123889803846897</v>
      </c>
      <c r="D45" s="24">
        <f t="shared" si="0"/>
        <v>0.45399049973954675</v>
      </c>
      <c r="E45" s="24">
        <f t="shared" si="1"/>
        <v>0.8910065241883679</v>
      </c>
      <c r="F45" s="24">
        <f t="shared" si="2"/>
        <v>0.50952544949442879</v>
      </c>
      <c r="G45" s="24">
        <f t="shared" si="5"/>
        <v>1.9626105055051506</v>
      </c>
      <c r="H45" s="24">
        <f t="shared" si="3"/>
        <v>1.1223262376343608</v>
      </c>
      <c r="I45" s="29">
        <f t="shared" si="6"/>
        <v>2.2026892645852669</v>
      </c>
      <c r="K45" s="1" t="str">
        <f t="shared" si="8"/>
        <v>0.453785605518526,0.438371146789077</v>
      </c>
      <c r="L45" s="1" t="str">
        <f t="shared" si="9"/>
        <v>0.453785605518526,0.898794046299167</v>
      </c>
      <c r="M45" s="1" t="str">
        <f t="shared" si="10"/>
        <v>0.453785605518526,0.487732588565861</v>
      </c>
      <c r="N45" s="1" t="str">
        <f t="shared" si="11"/>
        <v>0.453785605518526,2.0503038415793</v>
      </c>
      <c r="O45" s="1" t="str">
        <f t="shared" si="11"/>
        <v>0.453785605518526,1.11260194047519</v>
      </c>
      <c r="P45" s="1" t="str">
        <f t="shared" si="11"/>
        <v>0.453785605518526,2.28117203270486</v>
      </c>
    </row>
    <row r="46" spans="2:16" x14ac:dyDescent="0.6">
      <c r="B46" s="25">
        <v>28</v>
      </c>
      <c r="C46" s="24">
        <f t="shared" si="4"/>
        <v>0.48869219055841229</v>
      </c>
      <c r="D46" s="24">
        <f t="shared" si="0"/>
        <v>0.46947156278589081</v>
      </c>
      <c r="E46" s="24">
        <f t="shared" si="1"/>
        <v>0.88294759285892699</v>
      </c>
      <c r="F46" s="24">
        <f t="shared" si="2"/>
        <v>0.53170943166147877</v>
      </c>
      <c r="G46" s="24">
        <f t="shared" si="5"/>
        <v>1.880726465346332</v>
      </c>
      <c r="H46" s="24">
        <f t="shared" si="3"/>
        <v>1.132570050689039</v>
      </c>
      <c r="I46" s="29">
        <f t="shared" si="6"/>
        <v>2.1300544681895124</v>
      </c>
      <c r="K46" s="1" t="str">
        <f t="shared" si="8"/>
        <v>0.471238898038469,0.453990499739547</v>
      </c>
      <c r="L46" s="1" t="str">
        <f t="shared" si="9"/>
        <v>0.471238898038469,0.891006524188368</v>
      </c>
      <c r="M46" s="1" t="str">
        <f t="shared" si="10"/>
        <v>0.471238898038469,0.509525449494429</v>
      </c>
      <c r="N46" s="1" t="str">
        <f t="shared" si="11"/>
        <v>0.471238898038469,1.96261050550515</v>
      </c>
      <c r="O46" s="1" t="str">
        <f t="shared" si="11"/>
        <v>0.471238898038469,1.12232623763436</v>
      </c>
      <c r="P46" s="1" t="str">
        <f t="shared" si="11"/>
        <v>0.471238898038469,2.20268926458527</v>
      </c>
    </row>
    <row r="47" spans="2:16" x14ac:dyDescent="0.6">
      <c r="B47" s="25">
        <v>29</v>
      </c>
      <c r="C47" s="24">
        <f t="shared" si="4"/>
        <v>0.50614548307835561</v>
      </c>
      <c r="D47" s="24">
        <f t="shared" si="0"/>
        <v>0.48480962024633706</v>
      </c>
      <c r="E47" s="24">
        <f t="shared" si="1"/>
        <v>0.87461970713939574</v>
      </c>
      <c r="F47" s="24">
        <f t="shared" si="2"/>
        <v>0.55430905145276899</v>
      </c>
      <c r="G47" s="24">
        <f t="shared" si="5"/>
        <v>1.8040477552714238</v>
      </c>
      <c r="H47" s="24">
        <f t="shared" si="3"/>
        <v>1.1433540678733201</v>
      </c>
      <c r="I47" s="29">
        <f t="shared" si="6"/>
        <v>2.0626653396273142</v>
      </c>
      <c r="K47" s="1" t="str">
        <f t="shared" si="8"/>
        <v>0.488692190558412,0.469471562785891</v>
      </c>
      <c r="L47" s="1" t="str">
        <f t="shared" si="9"/>
        <v>0.488692190558412,0.882947592858927</v>
      </c>
      <c r="M47" s="1" t="str">
        <f t="shared" si="10"/>
        <v>0.488692190558412,0.531709431661479</v>
      </c>
      <c r="N47" s="1" t="str">
        <f t="shared" si="11"/>
        <v>0.488692190558412,1.88072646534633</v>
      </c>
      <c r="O47" s="1" t="str">
        <f t="shared" si="11"/>
        <v>0.488692190558412,1.13257005068904</v>
      </c>
      <c r="P47" s="1" t="str">
        <f t="shared" si="11"/>
        <v>0.488692190558412,2.13005446818951</v>
      </c>
    </row>
    <row r="48" spans="2:16" x14ac:dyDescent="0.6">
      <c r="B48" s="25">
        <v>30</v>
      </c>
      <c r="C48" s="24">
        <f t="shared" si="4"/>
        <v>0.52359877559829882</v>
      </c>
      <c r="D48" s="24">
        <f t="shared" si="0"/>
        <v>0.49999999999999994</v>
      </c>
      <c r="E48" s="24">
        <f t="shared" si="1"/>
        <v>0.86602540378443871</v>
      </c>
      <c r="F48" s="24">
        <f t="shared" si="2"/>
        <v>0.57735026918962573</v>
      </c>
      <c r="G48" s="24">
        <f t="shared" si="5"/>
        <v>1.7320508075688774</v>
      </c>
      <c r="H48" s="24">
        <f t="shared" si="3"/>
        <v>1.1547005383792515</v>
      </c>
      <c r="I48" s="29">
        <f t="shared" si="6"/>
        <v>2</v>
      </c>
      <c r="K48" s="1" t="str">
        <f t="shared" si="8"/>
        <v>0.506145483078356,0.484809620246337</v>
      </c>
      <c r="L48" s="1" t="str">
        <f t="shared" si="9"/>
        <v>0.506145483078356,0.874619707139396</v>
      </c>
      <c r="M48" s="1" t="str">
        <f t="shared" si="10"/>
        <v>0.506145483078356,0.554309051452769</v>
      </c>
      <c r="N48" s="1" t="str">
        <f t="shared" si="11"/>
        <v>0.506145483078356,1.80404775527142</v>
      </c>
      <c r="O48" s="1" t="str">
        <f t="shared" si="11"/>
        <v>0.506145483078356,1.14335406787332</v>
      </c>
      <c r="P48" s="1" t="str">
        <f t="shared" si="11"/>
        <v>0.506145483078356,2.06266533962731</v>
      </c>
    </row>
    <row r="49" spans="2:16" x14ac:dyDescent="0.6">
      <c r="B49" s="25">
        <v>31</v>
      </c>
      <c r="C49" s="24">
        <f t="shared" si="4"/>
        <v>0.54105206811824214</v>
      </c>
      <c r="D49" s="24">
        <f t="shared" si="0"/>
        <v>0.51503807491005416</v>
      </c>
      <c r="E49" s="24">
        <f t="shared" si="1"/>
        <v>0.85716730070211233</v>
      </c>
      <c r="F49" s="24">
        <f t="shared" si="2"/>
        <v>0.60086061902756038</v>
      </c>
      <c r="G49" s="24">
        <f t="shared" si="5"/>
        <v>1.664279482350518</v>
      </c>
      <c r="H49" s="24">
        <f t="shared" si="3"/>
        <v>1.1666333972153304</v>
      </c>
      <c r="I49" s="29">
        <f t="shared" si="6"/>
        <v>1.9416040264103567</v>
      </c>
      <c r="K49" s="1" t="str">
        <f t="shared" si="8"/>
        <v>0.523598775598299,0.5</v>
      </c>
      <c r="L49" s="1" t="str">
        <f t="shared" si="9"/>
        <v>0.523598775598299,0.866025403784439</v>
      </c>
      <c r="M49" s="1" t="str">
        <f t="shared" si="10"/>
        <v>0.523598775598299,0.577350269189626</v>
      </c>
      <c r="N49" s="1" t="str">
        <f t="shared" si="11"/>
        <v>0.523598775598299,1.73205080756888</v>
      </c>
      <c r="O49" s="1" t="str">
        <f t="shared" si="11"/>
        <v>0.523598775598299,1.15470053837925</v>
      </c>
      <c r="P49" s="1" t="str">
        <f t="shared" si="11"/>
        <v>0.523598775598299,2</v>
      </c>
    </row>
    <row r="50" spans="2:16" x14ac:dyDescent="0.6">
      <c r="B50" s="25">
        <v>32</v>
      </c>
      <c r="C50" s="24">
        <f t="shared" si="4"/>
        <v>0.55850536063818546</v>
      </c>
      <c r="D50" s="24">
        <f t="shared" ref="D50:D67" si="12">IF(SIN(C50)&gt;$I$3,$I$3,(IF(SIN(C50)&lt;-$I$3,-$I$3,SIN(C50))))</f>
        <v>0.5299192642332049</v>
      </c>
      <c r="E50" s="24">
        <f t="shared" ref="E50:E67" si="13">IF(COS(C50)&gt;$I$3,$I$3,(IF(COS(C50)&lt;-$I$3,-$I$3,COS(C50))))</f>
        <v>0.84804809615642596</v>
      </c>
      <c r="F50" s="24">
        <f t="shared" ref="F50:F67" si="14">IF(TAN(C50)&gt;$I$3,$I$3,(IF(TAN(C50)&lt;-$I$3,-$I$3,TAN(C50))))</f>
        <v>0.62486935190932746</v>
      </c>
      <c r="G50" s="24">
        <f t="shared" si="5"/>
        <v>1.6003345290410504</v>
      </c>
      <c r="H50" s="24">
        <f t="shared" ref="H50:H67" si="15">IF(_xlfn.SEC(C50)&gt;$I$3,$I$3,(IF(_xlfn.SEC(C50)&lt;-$I$3,-$I$3,_xlfn.SEC(C50))))</f>
        <v>1.1791784033620965</v>
      </c>
      <c r="I50" s="29">
        <f t="shared" si="6"/>
        <v>1.8870799147998585</v>
      </c>
      <c r="K50" s="1" t="str">
        <f t="shared" si="8"/>
        <v>0.541052068118242,0.515038074910054</v>
      </c>
      <c r="L50" s="1" t="str">
        <f t="shared" si="9"/>
        <v>0.541052068118242,0.857167300702112</v>
      </c>
      <c r="M50" s="1" t="str">
        <f t="shared" si="10"/>
        <v>0.541052068118242,0.60086061902756</v>
      </c>
      <c r="N50" s="1" t="str">
        <f t="shared" si="11"/>
        <v>0.541052068118242,1.66427948235052</v>
      </c>
      <c r="O50" s="1" t="str">
        <f t="shared" si="11"/>
        <v>0.541052068118242,1.16663339721533</v>
      </c>
      <c r="P50" s="1" t="str">
        <f t="shared" si="11"/>
        <v>0.541052068118242,1.94160402641036</v>
      </c>
    </row>
    <row r="51" spans="2:16" x14ac:dyDescent="0.6">
      <c r="B51" s="25">
        <v>33</v>
      </c>
      <c r="C51" s="24">
        <f t="shared" si="4"/>
        <v>0.57595865315812877</v>
      </c>
      <c r="D51" s="24">
        <f t="shared" si="12"/>
        <v>0.54463903501502708</v>
      </c>
      <c r="E51" s="24">
        <f t="shared" si="13"/>
        <v>0.83867056794542405</v>
      </c>
      <c r="F51" s="24">
        <f t="shared" si="14"/>
        <v>0.64940759319751062</v>
      </c>
      <c r="G51" s="24">
        <f t="shared" ref="G51:G67" si="16">IF(_xlfn.COT(C51)&gt;$I$3,$I$3,(IF(_xlfn.COT(C51)&lt;-$I$3,-$I$3,_xlfn.COT(C51))))</f>
        <v>1.5398649638145827</v>
      </c>
      <c r="H51" s="24">
        <f t="shared" si="15"/>
        <v>1.1923632928359473</v>
      </c>
      <c r="I51" s="29">
        <f t="shared" ref="I51:I67" si="17">IF(_xlfn.CSC(C51)&gt;$I$3,$I$3,(IF(_xlfn.CSC(C51)&lt;-$I$3,-$I$3,_xlfn.CSC(C51))))</f>
        <v>1.8360784587766632</v>
      </c>
      <c r="K51" s="1" t="str">
        <f t="shared" si="8"/>
        <v>0.558505360638185,0.529919264233205</v>
      </c>
      <c r="L51" s="1" t="str">
        <f t="shared" si="9"/>
        <v>0.558505360638185,0.848048096156426</v>
      </c>
      <c r="M51" s="1" t="str">
        <f t="shared" si="10"/>
        <v>0.558505360638185,0.624869351909327</v>
      </c>
      <c r="N51" s="1" t="str">
        <f t="shared" ref="N51:P68" si="18">_xlfn.CONCAT($C50,",",G50)</f>
        <v>0.558505360638185,1.60033452904105</v>
      </c>
      <c r="O51" s="1" t="str">
        <f t="shared" si="18"/>
        <v>0.558505360638185,1.1791784033621</v>
      </c>
      <c r="P51" s="1" t="str">
        <f t="shared" si="18"/>
        <v>0.558505360638185,1.88707991479986</v>
      </c>
    </row>
    <row r="52" spans="2:16" x14ac:dyDescent="0.6">
      <c r="B52" s="25">
        <v>34</v>
      </c>
      <c r="C52" s="24">
        <f t="shared" si="4"/>
        <v>0.59341194567807209</v>
      </c>
      <c r="D52" s="24">
        <f t="shared" si="12"/>
        <v>0.5591929034707469</v>
      </c>
      <c r="E52" s="24">
        <f t="shared" si="13"/>
        <v>0.82903757255504162</v>
      </c>
      <c r="F52" s="24">
        <f t="shared" si="14"/>
        <v>0.67450851684242674</v>
      </c>
      <c r="G52" s="24">
        <f t="shared" si="16"/>
        <v>1.4825609685127401</v>
      </c>
      <c r="H52" s="24">
        <f t="shared" si="15"/>
        <v>1.2062179485039055</v>
      </c>
      <c r="I52" s="29">
        <f t="shared" si="17"/>
        <v>1.7882916499714003</v>
      </c>
      <c r="K52" s="1" t="str">
        <f t="shared" si="8"/>
        <v>0.575958653158129,0.544639035015027</v>
      </c>
      <c r="L52" s="1" t="str">
        <f t="shared" si="9"/>
        <v>0.575958653158129,0.838670567945424</v>
      </c>
      <c r="M52" s="1" t="str">
        <f t="shared" si="10"/>
        <v>0.575958653158129,0.649407593197511</v>
      </c>
      <c r="N52" s="1" t="str">
        <f t="shared" si="18"/>
        <v>0.575958653158129,1.53986496381458</v>
      </c>
      <c r="O52" s="1" t="str">
        <f t="shared" si="18"/>
        <v>0.575958653158129,1.19236329283595</v>
      </c>
      <c r="P52" s="1" t="str">
        <f t="shared" si="18"/>
        <v>0.575958653158129,1.83607845877666</v>
      </c>
    </row>
    <row r="53" spans="2:16" x14ac:dyDescent="0.6">
      <c r="B53" s="25">
        <v>35</v>
      </c>
      <c r="C53" s="24">
        <f t="shared" si="4"/>
        <v>0.6108652381980153</v>
      </c>
      <c r="D53" s="24">
        <f t="shared" si="12"/>
        <v>0.57357643635104605</v>
      </c>
      <c r="E53" s="24">
        <f t="shared" si="13"/>
        <v>0.8191520442889918</v>
      </c>
      <c r="F53" s="24">
        <f t="shared" si="14"/>
        <v>0.70020753820970971</v>
      </c>
      <c r="G53" s="24">
        <f t="shared" si="16"/>
        <v>1.4281480067421146</v>
      </c>
      <c r="H53" s="24">
        <f t="shared" si="15"/>
        <v>1.2207745887614561</v>
      </c>
      <c r="I53" s="29">
        <f t="shared" si="17"/>
        <v>1.7434467956210982</v>
      </c>
      <c r="K53" s="1" t="str">
        <f t="shared" si="8"/>
        <v>0.593411945678072,0.559192903470747</v>
      </c>
      <c r="L53" s="1" t="str">
        <f t="shared" si="9"/>
        <v>0.593411945678072,0.829037572555042</v>
      </c>
      <c r="M53" s="1" t="str">
        <f t="shared" si="10"/>
        <v>0.593411945678072,0.674508516842427</v>
      </c>
      <c r="N53" s="1" t="str">
        <f t="shared" si="18"/>
        <v>0.593411945678072,1.48256096851274</v>
      </c>
      <c r="O53" s="1" t="str">
        <f t="shared" si="18"/>
        <v>0.593411945678072,1.20621794850391</v>
      </c>
      <c r="P53" s="1" t="str">
        <f t="shared" si="18"/>
        <v>0.593411945678072,1.7882916499714</v>
      </c>
    </row>
    <row r="54" spans="2:16" x14ac:dyDescent="0.6">
      <c r="B54" s="25">
        <v>36</v>
      </c>
      <c r="C54" s="24">
        <f t="shared" si="4"/>
        <v>0.62831853071795862</v>
      </c>
      <c r="D54" s="24">
        <f t="shared" si="12"/>
        <v>0.58778525229247314</v>
      </c>
      <c r="E54" s="24">
        <f t="shared" si="13"/>
        <v>0.80901699437494745</v>
      </c>
      <c r="F54" s="24">
        <f t="shared" si="14"/>
        <v>0.7265425280053609</v>
      </c>
      <c r="G54" s="24">
        <f t="shared" si="16"/>
        <v>1.3763819204711736</v>
      </c>
      <c r="H54" s="24">
        <f t="shared" si="15"/>
        <v>1.2360679774997896</v>
      </c>
      <c r="I54" s="29">
        <f t="shared" si="17"/>
        <v>1.7013016167040798</v>
      </c>
      <c r="K54" s="1" t="str">
        <f t="shared" si="8"/>
        <v>0.610865238198015,0.573576436351046</v>
      </c>
      <c r="L54" s="1" t="str">
        <f t="shared" si="9"/>
        <v>0.610865238198015,0.819152044288992</v>
      </c>
      <c r="M54" s="1" t="str">
        <f t="shared" si="10"/>
        <v>0.610865238198015,0.70020753820971</v>
      </c>
      <c r="N54" s="1" t="str">
        <f t="shared" si="18"/>
        <v>0.610865238198015,1.42814800674211</v>
      </c>
      <c r="O54" s="1" t="str">
        <f t="shared" si="18"/>
        <v>0.610865238198015,1.22077458876146</v>
      </c>
      <c r="P54" s="1" t="str">
        <f t="shared" si="18"/>
        <v>0.610865238198015,1.7434467956211</v>
      </c>
    </row>
    <row r="55" spans="2:16" x14ac:dyDescent="0.6">
      <c r="B55" s="25">
        <v>37</v>
      </c>
      <c r="C55" s="24">
        <f t="shared" si="4"/>
        <v>0.64577182323790194</v>
      </c>
      <c r="D55" s="24">
        <f t="shared" si="12"/>
        <v>0.60181502315204827</v>
      </c>
      <c r="E55" s="24">
        <f t="shared" si="13"/>
        <v>0.79863551004729283</v>
      </c>
      <c r="F55" s="24">
        <f t="shared" si="14"/>
        <v>0.75355405010279419</v>
      </c>
      <c r="G55" s="24">
        <f t="shared" si="16"/>
        <v>1.32704482162041</v>
      </c>
      <c r="H55" s="24">
        <f t="shared" si="15"/>
        <v>1.2521356581562257</v>
      </c>
      <c r="I55" s="29">
        <f t="shared" si="17"/>
        <v>1.6616401411224833</v>
      </c>
      <c r="K55" s="1" t="str">
        <f t="shared" si="8"/>
        <v>0.628318530717959,0.587785252292473</v>
      </c>
      <c r="L55" s="1" t="str">
        <f t="shared" si="9"/>
        <v>0.628318530717959,0.809016994374947</v>
      </c>
      <c r="M55" s="1" t="str">
        <f t="shared" si="10"/>
        <v>0.628318530717959,0.726542528005361</v>
      </c>
      <c r="N55" s="1" t="str">
        <f t="shared" si="18"/>
        <v>0.628318530717959,1.37638192047117</v>
      </c>
      <c r="O55" s="1" t="str">
        <f t="shared" si="18"/>
        <v>0.628318530717959,1.23606797749979</v>
      </c>
      <c r="P55" s="1" t="str">
        <f t="shared" si="18"/>
        <v>0.628318530717959,1.70130161670408</v>
      </c>
    </row>
    <row r="56" spans="2:16" x14ac:dyDescent="0.6">
      <c r="B56" s="25">
        <v>38</v>
      </c>
      <c r="C56" s="24">
        <f t="shared" si="4"/>
        <v>0.66322511575784515</v>
      </c>
      <c r="D56" s="24">
        <f t="shared" si="12"/>
        <v>0.61566147532565818</v>
      </c>
      <c r="E56" s="24">
        <f t="shared" si="13"/>
        <v>0.78801075360672201</v>
      </c>
      <c r="F56" s="24">
        <f t="shared" si="14"/>
        <v>0.78128562650671729</v>
      </c>
      <c r="G56" s="24">
        <f t="shared" si="16"/>
        <v>1.279941632193079</v>
      </c>
      <c r="H56" s="24">
        <f t="shared" si="15"/>
        <v>1.2690182150725788</v>
      </c>
      <c r="I56" s="29">
        <f t="shared" si="17"/>
        <v>1.6242692454827443</v>
      </c>
      <c r="K56" s="1" t="str">
        <f t="shared" si="8"/>
        <v>0.645771823237902,0.601815023152048</v>
      </c>
      <c r="L56" s="1" t="str">
        <f t="shared" si="9"/>
        <v>0.645771823237902,0.798635510047293</v>
      </c>
      <c r="M56" s="1" t="str">
        <f t="shared" si="10"/>
        <v>0.645771823237902,0.753554050102794</v>
      </c>
      <c r="N56" s="1" t="str">
        <f t="shared" si="18"/>
        <v>0.645771823237902,1.32704482162041</v>
      </c>
      <c r="O56" s="1" t="str">
        <f t="shared" si="18"/>
        <v>0.645771823237902,1.25213565815623</v>
      </c>
      <c r="P56" s="1" t="str">
        <f t="shared" si="18"/>
        <v>0.645771823237902,1.66164014112248</v>
      </c>
    </row>
    <row r="57" spans="2:16" x14ac:dyDescent="0.6">
      <c r="B57" s="25">
        <v>39</v>
      </c>
      <c r="C57" s="24">
        <f t="shared" si="4"/>
        <v>0.68067840827778847</v>
      </c>
      <c r="D57" s="24">
        <f t="shared" si="12"/>
        <v>0.62932039104983739</v>
      </c>
      <c r="E57" s="24">
        <f t="shared" si="13"/>
        <v>0.7771459614569709</v>
      </c>
      <c r="F57" s="24">
        <f t="shared" si="14"/>
        <v>0.80978403319500702</v>
      </c>
      <c r="G57" s="24">
        <f t="shared" si="16"/>
        <v>1.2348971565350515</v>
      </c>
      <c r="H57" s="24">
        <f t="shared" si="15"/>
        <v>1.2867595658931672</v>
      </c>
      <c r="I57" s="29">
        <f t="shared" si="17"/>
        <v>1.5890157290657496</v>
      </c>
      <c r="K57" s="1" t="str">
        <f t="shared" si="8"/>
        <v>0.663225115757845,0.615661475325658</v>
      </c>
      <c r="L57" s="1" t="str">
        <f t="shared" si="9"/>
        <v>0.663225115757845,0.788010753606722</v>
      </c>
      <c r="M57" s="1" t="str">
        <f t="shared" si="10"/>
        <v>0.663225115757845,0.781285626506717</v>
      </c>
      <c r="N57" s="1" t="str">
        <f t="shared" si="18"/>
        <v>0.663225115757845,1.27994163219308</v>
      </c>
      <c r="O57" s="1" t="str">
        <f t="shared" si="18"/>
        <v>0.663225115757845,1.26901821507258</v>
      </c>
      <c r="P57" s="1" t="str">
        <f t="shared" si="18"/>
        <v>0.663225115757845,1.62426924548274</v>
      </c>
    </row>
    <row r="58" spans="2:16" x14ac:dyDescent="0.6">
      <c r="B58" s="25">
        <v>40</v>
      </c>
      <c r="C58" s="24">
        <f t="shared" si="4"/>
        <v>0.69813170079773179</v>
      </c>
      <c r="D58" s="24">
        <f t="shared" si="12"/>
        <v>0.64278760968653925</v>
      </c>
      <c r="E58" s="24">
        <f t="shared" si="13"/>
        <v>0.76604444311897801</v>
      </c>
      <c r="F58" s="24">
        <f t="shared" si="14"/>
        <v>0.83909963117727993</v>
      </c>
      <c r="G58" s="24">
        <f t="shared" si="16"/>
        <v>1.19175359259421</v>
      </c>
      <c r="H58" s="24">
        <f t="shared" si="15"/>
        <v>1.3054072893322786</v>
      </c>
      <c r="I58" s="29">
        <f t="shared" si="17"/>
        <v>1.5557238268604126</v>
      </c>
      <c r="K58" s="1" t="str">
        <f t="shared" si="8"/>
        <v>0.680678408277788,0.629320391049837</v>
      </c>
      <c r="L58" s="1" t="str">
        <f t="shared" si="9"/>
        <v>0.680678408277788,0.777145961456971</v>
      </c>
      <c r="M58" s="1" t="str">
        <f t="shared" si="10"/>
        <v>0.680678408277788,0.809784033195007</v>
      </c>
      <c r="N58" s="1" t="str">
        <f t="shared" si="18"/>
        <v>0.680678408277788,1.23489715653505</v>
      </c>
      <c r="O58" s="1" t="str">
        <f t="shared" si="18"/>
        <v>0.680678408277788,1.28675956589317</v>
      </c>
      <c r="P58" s="1" t="str">
        <f t="shared" si="18"/>
        <v>0.680678408277788,1.58901572906575</v>
      </c>
    </row>
    <row r="59" spans="2:16" x14ac:dyDescent="0.6">
      <c r="B59" s="25">
        <v>41</v>
      </c>
      <c r="C59" s="24">
        <f t="shared" si="4"/>
        <v>0.715584993317675</v>
      </c>
      <c r="D59" s="24">
        <f t="shared" si="12"/>
        <v>0.65605902899050716</v>
      </c>
      <c r="E59" s="24">
        <f t="shared" si="13"/>
        <v>0.75470958022277213</v>
      </c>
      <c r="F59" s="24">
        <f t="shared" si="14"/>
        <v>0.86928673781622645</v>
      </c>
      <c r="G59" s="24">
        <f t="shared" si="16"/>
        <v>1.1503684072210099</v>
      </c>
      <c r="H59" s="24">
        <f t="shared" si="15"/>
        <v>1.3250129933488111</v>
      </c>
      <c r="I59" s="29">
        <f t="shared" si="17"/>
        <v>1.5242530867058146</v>
      </c>
      <c r="K59" s="1" t="str">
        <f t="shared" si="8"/>
        <v>0.698131700797732,0.642787609686539</v>
      </c>
      <c r="L59" s="1" t="str">
        <f t="shared" si="9"/>
        <v>0.698131700797732,0.766044443118978</v>
      </c>
      <c r="M59" s="1" t="str">
        <f t="shared" si="10"/>
        <v>0.698131700797732,0.83909963117728</v>
      </c>
      <c r="N59" s="1" t="str">
        <f t="shared" si="18"/>
        <v>0.698131700797732,1.19175359259421</v>
      </c>
      <c r="O59" s="1" t="str">
        <f t="shared" si="18"/>
        <v>0.698131700797732,1.30540728933228</v>
      </c>
      <c r="P59" s="1" t="str">
        <f t="shared" si="18"/>
        <v>0.698131700797732,1.55572382686041</v>
      </c>
    </row>
    <row r="60" spans="2:16" x14ac:dyDescent="0.6">
      <c r="B60" s="25">
        <v>42</v>
      </c>
      <c r="C60" s="24">
        <f t="shared" si="4"/>
        <v>0.73303828583761843</v>
      </c>
      <c r="D60" s="24">
        <f t="shared" si="12"/>
        <v>0.66913060635885824</v>
      </c>
      <c r="E60" s="24">
        <f t="shared" si="13"/>
        <v>0.74314482547739424</v>
      </c>
      <c r="F60" s="24">
        <f t="shared" si="14"/>
        <v>0.90040404429783993</v>
      </c>
      <c r="G60" s="24">
        <f t="shared" si="16"/>
        <v>1.110612514829193</v>
      </c>
      <c r="H60" s="24">
        <f t="shared" si="15"/>
        <v>1.3456327296063761</v>
      </c>
      <c r="I60" s="29">
        <f t="shared" si="17"/>
        <v>1.4944765498646086</v>
      </c>
      <c r="K60" s="1" t="str">
        <f t="shared" si="8"/>
        <v>0.715584993317675,0.656059028990507</v>
      </c>
      <c r="L60" s="1" t="str">
        <f t="shared" si="9"/>
        <v>0.715584993317675,0.754709580222772</v>
      </c>
      <c r="M60" s="1" t="str">
        <f t="shared" si="10"/>
        <v>0.715584993317675,0.869286737816226</v>
      </c>
      <c r="N60" s="1" t="str">
        <f t="shared" si="18"/>
        <v>0.715584993317675,1.15036840722101</v>
      </c>
      <c r="O60" s="1" t="str">
        <f t="shared" si="18"/>
        <v>0.715584993317675,1.32501299334881</v>
      </c>
      <c r="P60" s="1" t="str">
        <f t="shared" si="18"/>
        <v>0.715584993317675,1.52425308670581</v>
      </c>
    </row>
    <row r="61" spans="2:16" x14ac:dyDescent="0.6">
      <c r="B61" s="25">
        <v>43</v>
      </c>
      <c r="C61" s="24">
        <f t="shared" si="4"/>
        <v>0.75049157835756164</v>
      </c>
      <c r="D61" s="24">
        <f t="shared" si="12"/>
        <v>0.68199836006249848</v>
      </c>
      <c r="E61" s="24">
        <f t="shared" si="13"/>
        <v>0.73135370161917057</v>
      </c>
      <c r="F61" s="24">
        <f t="shared" si="14"/>
        <v>0.93251508613766154</v>
      </c>
      <c r="G61" s="24">
        <f t="shared" si="16"/>
        <v>1.0723687100246828</v>
      </c>
      <c r="H61" s="24">
        <f t="shared" si="15"/>
        <v>1.367327461098595</v>
      </c>
      <c r="I61" s="29">
        <f t="shared" si="17"/>
        <v>1.4662791856396249</v>
      </c>
      <c r="K61" s="1" t="str">
        <f t="shared" si="8"/>
        <v>0.733038285837618,0.669130606358858</v>
      </c>
      <c r="L61" s="1" t="str">
        <f t="shared" si="9"/>
        <v>0.733038285837618,0.743144825477394</v>
      </c>
      <c r="M61" s="1" t="str">
        <f t="shared" si="10"/>
        <v>0.733038285837618,0.90040404429784</v>
      </c>
      <c r="N61" s="1" t="str">
        <f t="shared" si="18"/>
        <v>0.733038285837618,1.11061251482919</v>
      </c>
      <c r="O61" s="1" t="str">
        <f t="shared" si="18"/>
        <v>0.733038285837618,1.34563272960638</v>
      </c>
      <c r="P61" s="1" t="str">
        <f t="shared" si="18"/>
        <v>0.733038285837618,1.49447654986461</v>
      </c>
    </row>
    <row r="62" spans="2:16" x14ac:dyDescent="0.6">
      <c r="B62" s="25">
        <v>44</v>
      </c>
      <c r="C62" s="24">
        <f t="shared" si="4"/>
        <v>0.76794487087750496</v>
      </c>
      <c r="D62" s="24">
        <f t="shared" si="12"/>
        <v>0.69465837045899725</v>
      </c>
      <c r="E62" s="24">
        <f t="shared" si="13"/>
        <v>0.71933980033865119</v>
      </c>
      <c r="F62" s="24">
        <f t="shared" si="14"/>
        <v>0.96568877480707394</v>
      </c>
      <c r="G62" s="24">
        <f t="shared" si="16"/>
        <v>1.0355303137905696</v>
      </c>
      <c r="H62" s="24">
        <f t="shared" si="15"/>
        <v>1.3901635910166787</v>
      </c>
      <c r="I62" s="29">
        <f t="shared" si="17"/>
        <v>1.4395565396257264</v>
      </c>
      <c r="K62" s="1" t="str">
        <f t="shared" si="8"/>
        <v>0.750491578357562,0.681998360062498</v>
      </c>
      <c r="L62" s="1" t="str">
        <f t="shared" si="9"/>
        <v>0.750491578357562,0.731353701619171</v>
      </c>
      <c r="M62" s="1" t="str">
        <f t="shared" si="10"/>
        <v>0.750491578357562,0.932515086137662</v>
      </c>
      <c r="N62" s="1" t="str">
        <f t="shared" si="18"/>
        <v>0.750491578357562,1.07236871002468</v>
      </c>
      <c r="O62" s="1" t="str">
        <f t="shared" si="18"/>
        <v>0.750491578357562,1.3673274610986</v>
      </c>
      <c r="P62" s="1" t="str">
        <f t="shared" si="18"/>
        <v>0.750491578357562,1.46627918563962</v>
      </c>
    </row>
    <row r="63" spans="2:16" x14ac:dyDescent="0.6">
      <c r="B63" s="25">
        <v>45</v>
      </c>
      <c r="C63" s="24">
        <f t="shared" si="4"/>
        <v>0.78539816339744828</v>
      </c>
      <c r="D63" s="24">
        <f t="shared" si="12"/>
        <v>0.70710678118654746</v>
      </c>
      <c r="E63" s="24">
        <f t="shared" si="13"/>
        <v>0.70710678118654757</v>
      </c>
      <c r="F63" s="24">
        <f t="shared" si="14"/>
        <v>0.99999999999999989</v>
      </c>
      <c r="G63" s="24">
        <f t="shared" si="16"/>
        <v>1</v>
      </c>
      <c r="H63" s="24">
        <f t="shared" si="15"/>
        <v>1.4142135623730949</v>
      </c>
      <c r="I63" s="29">
        <f t="shared" si="17"/>
        <v>1.4142135623730951</v>
      </c>
      <c r="K63" s="1" t="str">
        <f t="shared" si="8"/>
        <v>0.767944870877505,0.694658370458997</v>
      </c>
      <c r="L63" s="1" t="str">
        <f t="shared" si="9"/>
        <v>0.767944870877505,0.719339800338651</v>
      </c>
      <c r="M63" s="1" t="str">
        <f t="shared" si="10"/>
        <v>0.767944870877505,0.965688774807074</v>
      </c>
      <c r="N63" s="1" t="str">
        <f t="shared" si="18"/>
        <v>0.767944870877505,1.03553031379057</v>
      </c>
      <c r="O63" s="1" t="str">
        <f t="shared" si="18"/>
        <v>0.767944870877505,1.39016359101668</v>
      </c>
      <c r="P63" s="1" t="str">
        <f t="shared" si="18"/>
        <v>0.767944870877505,1.43955653962573</v>
      </c>
    </row>
    <row r="64" spans="2:16" x14ac:dyDescent="0.6">
      <c r="B64" s="25">
        <v>46</v>
      </c>
      <c r="C64" s="24">
        <f t="shared" si="4"/>
        <v>0.80285145591739149</v>
      </c>
      <c r="D64" s="24">
        <f t="shared" si="12"/>
        <v>0.71933980033865108</v>
      </c>
      <c r="E64" s="24">
        <f t="shared" si="13"/>
        <v>0.69465837045899737</v>
      </c>
      <c r="F64" s="24">
        <f t="shared" si="14"/>
        <v>1.0355303137905694</v>
      </c>
      <c r="G64" s="24">
        <f t="shared" si="16"/>
        <v>0.96568877480707416</v>
      </c>
      <c r="H64" s="24">
        <f t="shared" si="15"/>
        <v>1.4395565396257262</v>
      </c>
      <c r="I64" s="29">
        <f t="shared" si="17"/>
        <v>1.390163591016679</v>
      </c>
      <c r="K64" s="1" t="str">
        <f t="shared" si="8"/>
        <v>0.785398163397448,0.707106781186547</v>
      </c>
      <c r="L64" s="1" t="str">
        <f t="shared" si="9"/>
        <v>0.785398163397448,0.707106781186548</v>
      </c>
      <c r="M64" s="1" t="str">
        <f t="shared" si="10"/>
        <v>0.785398163397448,1</v>
      </c>
      <c r="N64" s="1" t="str">
        <f t="shared" si="18"/>
        <v>0.785398163397448,1</v>
      </c>
      <c r="O64" s="1" t="str">
        <f t="shared" si="18"/>
        <v>0.785398163397448,1.41421356237309</v>
      </c>
      <c r="P64" s="1" t="str">
        <f t="shared" si="18"/>
        <v>0.785398163397448,1.4142135623731</v>
      </c>
    </row>
    <row r="65" spans="2:16" x14ac:dyDescent="0.6">
      <c r="B65" s="25">
        <v>47</v>
      </c>
      <c r="C65" s="24">
        <f t="shared" si="4"/>
        <v>0.82030474843733492</v>
      </c>
      <c r="D65" s="24">
        <f t="shared" si="12"/>
        <v>0.73135370161917046</v>
      </c>
      <c r="E65" s="24">
        <f t="shared" si="13"/>
        <v>0.68199836006249848</v>
      </c>
      <c r="F65" s="24">
        <f t="shared" si="14"/>
        <v>1.0723687100246826</v>
      </c>
      <c r="G65" s="24">
        <f t="shared" si="16"/>
        <v>0.93251508613766165</v>
      </c>
      <c r="H65" s="24">
        <f t="shared" si="15"/>
        <v>1.4662791856396249</v>
      </c>
      <c r="I65" s="29">
        <f t="shared" si="17"/>
        <v>1.3673274610985953</v>
      </c>
      <c r="K65" s="1" t="str">
        <f t="shared" si="8"/>
        <v>0.802851455917391,0.719339800338651</v>
      </c>
      <c r="L65" s="1" t="str">
        <f t="shared" si="9"/>
        <v>0.802851455917391,0.694658370458997</v>
      </c>
      <c r="M65" s="1" t="str">
        <f t="shared" si="10"/>
        <v>0.802851455917391,1.03553031379057</v>
      </c>
      <c r="N65" s="1" t="str">
        <f t="shared" si="18"/>
        <v>0.802851455917391,0.965688774807074</v>
      </c>
      <c r="O65" s="1" t="str">
        <f t="shared" si="18"/>
        <v>0.802851455917391,1.43955653962573</v>
      </c>
      <c r="P65" s="1" t="str">
        <f t="shared" si="18"/>
        <v>0.802851455917391,1.39016359101668</v>
      </c>
    </row>
    <row r="66" spans="2:16" x14ac:dyDescent="0.6">
      <c r="B66" s="25">
        <v>48</v>
      </c>
      <c r="C66" s="24">
        <f t="shared" si="4"/>
        <v>0.83775804095727813</v>
      </c>
      <c r="D66" s="24">
        <f t="shared" si="12"/>
        <v>0.74314482547739413</v>
      </c>
      <c r="E66" s="24">
        <f t="shared" si="13"/>
        <v>0.66913060635885824</v>
      </c>
      <c r="F66" s="24">
        <f t="shared" si="14"/>
        <v>1.1106125148291928</v>
      </c>
      <c r="G66" s="24">
        <f t="shared" si="16"/>
        <v>0.90040404429784004</v>
      </c>
      <c r="H66" s="24">
        <f t="shared" si="15"/>
        <v>1.4944765498646086</v>
      </c>
      <c r="I66" s="29">
        <f t="shared" si="17"/>
        <v>1.3456327296063764</v>
      </c>
      <c r="K66" s="1" t="str">
        <f t="shared" si="8"/>
        <v>0.820304748437335,0.73135370161917</v>
      </c>
      <c r="L66" s="1" t="str">
        <f t="shared" si="9"/>
        <v>0.820304748437335,0.681998360062498</v>
      </c>
      <c r="M66" s="1" t="str">
        <f t="shared" si="10"/>
        <v>0.820304748437335,1.07236871002468</v>
      </c>
      <c r="N66" s="1" t="str">
        <f t="shared" si="18"/>
        <v>0.820304748437335,0.932515086137662</v>
      </c>
      <c r="O66" s="1" t="str">
        <f t="shared" si="18"/>
        <v>0.820304748437335,1.46627918563962</v>
      </c>
      <c r="P66" s="1" t="str">
        <f t="shared" si="18"/>
        <v>0.820304748437335,1.3673274610986</v>
      </c>
    </row>
    <row r="67" spans="2:16" x14ac:dyDescent="0.6">
      <c r="B67" s="25">
        <v>49</v>
      </c>
      <c r="C67" s="24">
        <f t="shared" si="4"/>
        <v>0.85521133347722145</v>
      </c>
      <c r="D67" s="24">
        <f t="shared" si="12"/>
        <v>0.75470958022277201</v>
      </c>
      <c r="E67" s="24">
        <f t="shared" si="13"/>
        <v>0.65605902899050728</v>
      </c>
      <c r="F67" s="24">
        <f t="shared" si="14"/>
        <v>1.1503684072210094</v>
      </c>
      <c r="G67" s="24">
        <f t="shared" si="16"/>
        <v>0.86928673781622678</v>
      </c>
      <c r="H67" s="24">
        <f t="shared" si="15"/>
        <v>1.5242530867058142</v>
      </c>
      <c r="I67" s="29">
        <f t="shared" si="17"/>
        <v>1.3250129933488113</v>
      </c>
      <c r="K67" s="1" t="str">
        <f t="shared" si="8"/>
        <v>0.837758040957278,0.743144825477394</v>
      </c>
      <c r="L67" s="1" t="str">
        <f t="shared" si="9"/>
        <v>0.837758040957278,0.669130606358858</v>
      </c>
      <c r="M67" s="1" t="str">
        <f t="shared" si="10"/>
        <v>0.837758040957278,1.11061251482919</v>
      </c>
      <c r="N67" s="1" t="str">
        <f t="shared" si="18"/>
        <v>0.837758040957278,0.90040404429784</v>
      </c>
      <c r="O67" s="1" t="str">
        <f t="shared" si="18"/>
        <v>0.837758040957278,1.49447654986461</v>
      </c>
      <c r="P67" s="1" t="str">
        <f t="shared" si="18"/>
        <v>0.837758040957278,1.34563272960638</v>
      </c>
    </row>
    <row r="68" spans="2:16" x14ac:dyDescent="0.6">
      <c r="B68" s="25">
        <v>50</v>
      </c>
      <c r="C68" s="24">
        <f t="shared" si="4"/>
        <v>0.87266462599716477</v>
      </c>
      <c r="D68" s="24">
        <f t="shared" ref="D68:D131" si="19">IF(SIN(C68)&gt;$I$3,$I$3,(IF(SIN(C68)&lt;-$I$3,-$I$3,SIN(C68))))</f>
        <v>0.76604444311897801</v>
      </c>
      <c r="E68" s="24">
        <f t="shared" ref="E68:E131" si="20">IF(COS(C68)&gt;$I$3,$I$3,(IF(COS(C68)&lt;-$I$3,-$I$3,COS(C68))))</f>
        <v>0.64278760968653936</v>
      </c>
      <c r="F68" s="24">
        <f t="shared" ref="F68:F131" si="21">IF(TAN(C68)&gt;$I$3,$I$3,(IF(TAN(C68)&lt;-$I$3,-$I$3,TAN(C68))))</f>
        <v>1.19175359259421</v>
      </c>
      <c r="G68" s="24">
        <f t="shared" ref="G68:G131" si="22">IF(_xlfn.COT(C68)&gt;$I$3,$I$3,(IF(_xlfn.COT(C68)&lt;-$I$3,-$I$3,_xlfn.COT(C68))))</f>
        <v>0.83909963117728004</v>
      </c>
      <c r="H68" s="24">
        <f t="shared" ref="H68:H131" si="23">IF(_xlfn.SEC(C68)&gt;$I$3,$I$3,(IF(_xlfn.SEC(C68)&lt;-$I$3,-$I$3,_xlfn.SEC(C68))))</f>
        <v>1.5557238268604123</v>
      </c>
      <c r="I68" s="29">
        <f t="shared" ref="I68:I131" si="24">IF(_xlfn.CSC(C68)&gt;$I$3,$I$3,(IF(_xlfn.CSC(C68)&lt;-$I$3,-$I$3,_xlfn.CSC(C68))))</f>
        <v>1.3054072893322786</v>
      </c>
      <c r="K68" s="1" t="str">
        <f t="shared" si="8"/>
        <v>0.855211333477221,0.754709580222772</v>
      </c>
      <c r="L68" s="1" t="str">
        <f t="shared" si="9"/>
        <v>0.855211333477221,0.656059028990507</v>
      </c>
      <c r="M68" s="1" t="str">
        <f t="shared" si="10"/>
        <v>0.855211333477221,1.15036840722101</v>
      </c>
      <c r="N68" s="1" t="str">
        <f t="shared" si="18"/>
        <v>0.855211333477221,0.869286737816227</v>
      </c>
      <c r="O68" s="1" t="str">
        <f t="shared" si="18"/>
        <v>0.855211333477221,1.52425308670581</v>
      </c>
      <c r="P68" s="1" t="str">
        <f t="shared" si="18"/>
        <v>0.855211333477221,1.32501299334881</v>
      </c>
    </row>
    <row r="69" spans="2:16" x14ac:dyDescent="0.6">
      <c r="B69" s="25">
        <v>51</v>
      </c>
      <c r="C69" s="24">
        <f t="shared" si="4"/>
        <v>0.89011791851710798</v>
      </c>
      <c r="D69" s="24">
        <f t="shared" si="19"/>
        <v>0.77714596145697079</v>
      </c>
      <c r="E69" s="24">
        <f t="shared" si="20"/>
        <v>0.6293203910498375</v>
      </c>
      <c r="F69" s="24">
        <f t="shared" si="21"/>
        <v>1.2348971565350511</v>
      </c>
      <c r="G69" s="24">
        <f t="shared" si="22"/>
        <v>0.80978403319500736</v>
      </c>
      <c r="H69" s="24">
        <f t="shared" si="23"/>
        <v>1.5890157290657494</v>
      </c>
      <c r="I69" s="29">
        <f t="shared" si="24"/>
        <v>1.2867595658931674</v>
      </c>
      <c r="K69" s="1" t="str">
        <f t="shared" si="8"/>
        <v>0.872664625997165,0.766044443118978</v>
      </c>
      <c r="L69" s="1" t="str">
        <f t="shared" si="9"/>
        <v>0.872664625997165,0.642787609686539</v>
      </c>
      <c r="M69" s="1" t="str">
        <f t="shared" si="10"/>
        <v>0.872664625997165,1.19175359259421</v>
      </c>
      <c r="N69" s="1" t="str">
        <f t="shared" ref="N69:O132" si="25">_xlfn.CONCAT($C68,",",G68)</f>
        <v>0.872664625997165,0.83909963117728</v>
      </c>
      <c r="O69" s="1" t="str">
        <f t="shared" si="25"/>
        <v>0.872664625997165,1.55572382686041</v>
      </c>
      <c r="P69" s="1" t="str">
        <f t="shared" ref="P69:P132" si="26">_xlfn.CONCAT($C68,",",I68)</f>
        <v>0.872664625997165,1.30540728933228</v>
      </c>
    </row>
    <row r="70" spans="2:16" x14ac:dyDescent="0.6">
      <c r="B70" s="25">
        <v>52</v>
      </c>
      <c r="C70" s="24">
        <f t="shared" si="4"/>
        <v>0.90757121103705141</v>
      </c>
      <c r="D70" s="24">
        <f t="shared" si="19"/>
        <v>0.78801075360672201</v>
      </c>
      <c r="E70" s="24">
        <f t="shared" si="20"/>
        <v>0.61566147532565829</v>
      </c>
      <c r="F70" s="24">
        <f t="shared" si="21"/>
        <v>1.2799416321930788</v>
      </c>
      <c r="G70" s="24">
        <f t="shared" si="22"/>
        <v>0.7812856265067174</v>
      </c>
      <c r="H70" s="24">
        <f t="shared" si="23"/>
        <v>1.6242692454827441</v>
      </c>
      <c r="I70" s="29">
        <f t="shared" si="24"/>
        <v>1.2690182150725788</v>
      </c>
      <c r="K70" s="1" t="str">
        <f t="shared" si="8"/>
        <v>0.890117918517108,0.777145961456971</v>
      </c>
      <c r="L70" s="1" t="str">
        <f t="shared" si="9"/>
        <v>0.890117918517108,0.629320391049838</v>
      </c>
      <c r="M70" s="1" t="str">
        <f t="shared" si="10"/>
        <v>0.890117918517108,1.23489715653505</v>
      </c>
      <c r="N70" s="1" t="str">
        <f t="shared" si="25"/>
        <v>0.890117918517108,0.809784033195007</v>
      </c>
      <c r="O70" s="1" t="str">
        <f t="shared" si="25"/>
        <v>0.890117918517108,1.58901572906575</v>
      </c>
      <c r="P70" s="1" t="str">
        <f t="shared" si="26"/>
        <v>0.890117918517108,1.28675956589317</v>
      </c>
    </row>
    <row r="71" spans="2:16" x14ac:dyDescent="0.6">
      <c r="B71" s="25">
        <v>53</v>
      </c>
      <c r="C71" s="24">
        <f t="shared" si="4"/>
        <v>0.92502450355699462</v>
      </c>
      <c r="D71" s="24">
        <f t="shared" si="19"/>
        <v>0.79863551004729283</v>
      </c>
      <c r="E71" s="24">
        <f t="shared" si="20"/>
        <v>0.60181502315204838</v>
      </c>
      <c r="F71" s="24">
        <f t="shared" si="21"/>
        <v>1.3270448216204098</v>
      </c>
      <c r="G71" s="24">
        <f t="shared" si="22"/>
        <v>0.7535540501027943</v>
      </c>
      <c r="H71" s="24">
        <f t="shared" si="23"/>
        <v>1.661640141122483</v>
      </c>
      <c r="I71" s="29">
        <f t="shared" si="24"/>
        <v>1.2521356581562257</v>
      </c>
      <c r="K71" s="1" t="str">
        <f t="shared" si="8"/>
        <v>0.907571211037051,0.788010753606722</v>
      </c>
      <c r="L71" s="1" t="str">
        <f t="shared" si="9"/>
        <v>0.907571211037051,0.615661475325658</v>
      </c>
      <c r="M71" s="1" t="str">
        <f t="shared" si="10"/>
        <v>0.907571211037051,1.27994163219308</v>
      </c>
      <c r="N71" s="1" t="str">
        <f t="shared" si="25"/>
        <v>0.907571211037051,0.781285626506717</v>
      </c>
      <c r="O71" s="1" t="str">
        <f t="shared" si="25"/>
        <v>0.907571211037051,1.62426924548274</v>
      </c>
      <c r="P71" s="1" t="str">
        <f t="shared" si="26"/>
        <v>0.907571211037051,1.26901821507258</v>
      </c>
    </row>
    <row r="72" spans="2:16" x14ac:dyDescent="0.6">
      <c r="B72" s="25">
        <v>54</v>
      </c>
      <c r="C72" s="24">
        <f t="shared" si="4"/>
        <v>0.94247779607693793</v>
      </c>
      <c r="D72" s="24">
        <f t="shared" si="19"/>
        <v>0.80901699437494745</v>
      </c>
      <c r="E72" s="24">
        <f t="shared" si="20"/>
        <v>0.58778525229247314</v>
      </c>
      <c r="F72" s="24">
        <f t="shared" si="21"/>
        <v>1.3763819204711734</v>
      </c>
      <c r="G72" s="24">
        <f t="shared" si="22"/>
        <v>0.72654252800536101</v>
      </c>
      <c r="H72" s="24">
        <f t="shared" si="23"/>
        <v>1.7013016167040798</v>
      </c>
      <c r="I72" s="29">
        <f t="shared" si="24"/>
        <v>1.2360679774997896</v>
      </c>
      <c r="K72" s="1" t="str">
        <f t="shared" si="8"/>
        <v>0.925024503556995,0.798635510047293</v>
      </c>
      <c r="L72" s="1" t="str">
        <f t="shared" si="9"/>
        <v>0.925024503556995,0.601815023152048</v>
      </c>
      <c r="M72" s="1" t="str">
        <f t="shared" si="10"/>
        <v>0.925024503556995,1.32704482162041</v>
      </c>
      <c r="N72" s="1" t="str">
        <f t="shared" si="25"/>
        <v>0.925024503556995,0.753554050102794</v>
      </c>
      <c r="O72" s="1" t="str">
        <f t="shared" si="25"/>
        <v>0.925024503556995,1.66164014112248</v>
      </c>
      <c r="P72" s="1" t="str">
        <f t="shared" si="26"/>
        <v>0.925024503556995,1.25213565815623</v>
      </c>
    </row>
    <row r="73" spans="2:16" x14ac:dyDescent="0.6">
      <c r="B73" s="25">
        <v>55</v>
      </c>
      <c r="C73" s="24">
        <f t="shared" si="4"/>
        <v>0.95993108859688125</v>
      </c>
      <c r="D73" s="24">
        <f t="shared" si="19"/>
        <v>0.8191520442889918</v>
      </c>
      <c r="E73" s="24">
        <f t="shared" si="20"/>
        <v>0.57357643635104616</v>
      </c>
      <c r="F73" s="24">
        <f t="shared" si="21"/>
        <v>1.4281480067421144</v>
      </c>
      <c r="G73" s="24">
        <f t="shared" si="22"/>
        <v>0.70020753820970982</v>
      </c>
      <c r="H73" s="24">
        <f t="shared" si="23"/>
        <v>1.7434467956210977</v>
      </c>
      <c r="I73" s="29">
        <f t="shared" si="24"/>
        <v>1.2207745887614561</v>
      </c>
      <c r="K73" s="1" t="str">
        <f t="shared" si="8"/>
        <v>0.942477796076938,0.809016994374947</v>
      </c>
      <c r="L73" s="1" t="str">
        <f t="shared" si="9"/>
        <v>0.942477796076938,0.587785252292473</v>
      </c>
      <c r="M73" s="1" t="str">
        <f t="shared" si="10"/>
        <v>0.942477796076938,1.37638192047117</v>
      </c>
      <c r="N73" s="1" t="str">
        <f t="shared" si="25"/>
        <v>0.942477796076938,0.726542528005361</v>
      </c>
      <c r="O73" s="1" t="str">
        <f t="shared" si="25"/>
        <v>0.942477796076938,1.70130161670408</v>
      </c>
      <c r="P73" s="1" t="str">
        <f t="shared" si="26"/>
        <v>0.942477796076938,1.23606797749979</v>
      </c>
    </row>
    <row r="74" spans="2:16" x14ac:dyDescent="0.6">
      <c r="B74" s="25">
        <v>56</v>
      </c>
      <c r="C74" s="24">
        <f t="shared" si="4"/>
        <v>0.97738438111682457</v>
      </c>
      <c r="D74" s="24">
        <f t="shared" si="19"/>
        <v>0.82903757255504174</v>
      </c>
      <c r="E74" s="24">
        <f t="shared" si="20"/>
        <v>0.55919290347074679</v>
      </c>
      <c r="F74" s="24">
        <f t="shared" si="21"/>
        <v>1.4825609685127403</v>
      </c>
      <c r="G74" s="24">
        <f t="shared" si="22"/>
        <v>0.67450851684242663</v>
      </c>
      <c r="H74" s="24">
        <f t="shared" si="23"/>
        <v>1.7882916499714008</v>
      </c>
      <c r="I74" s="29">
        <f t="shared" si="24"/>
        <v>1.2062179485039053</v>
      </c>
      <c r="K74" s="1" t="str">
        <f t="shared" si="8"/>
        <v>0.959931088596881,0.819152044288992</v>
      </c>
      <c r="L74" s="1" t="str">
        <f t="shared" si="9"/>
        <v>0.959931088596881,0.573576436351046</v>
      </c>
      <c r="M74" s="1" t="str">
        <f t="shared" si="10"/>
        <v>0.959931088596881,1.42814800674211</v>
      </c>
      <c r="N74" s="1" t="str">
        <f t="shared" si="25"/>
        <v>0.959931088596881,0.70020753820971</v>
      </c>
      <c r="O74" s="1" t="str">
        <f t="shared" si="25"/>
        <v>0.959931088596881,1.7434467956211</v>
      </c>
      <c r="P74" s="1" t="str">
        <f t="shared" si="26"/>
        <v>0.959931088596881,1.22077458876146</v>
      </c>
    </row>
    <row r="75" spans="2:16" x14ac:dyDescent="0.6">
      <c r="B75" s="25">
        <v>57</v>
      </c>
      <c r="C75" s="24">
        <f t="shared" si="4"/>
        <v>0.99483767363676778</v>
      </c>
      <c r="D75" s="24">
        <f t="shared" si="19"/>
        <v>0.83867056794542394</v>
      </c>
      <c r="E75" s="24">
        <f t="shared" si="20"/>
        <v>0.5446390350150272</v>
      </c>
      <c r="F75" s="24">
        <f t="shared" si="21"/>
        <v>1.5398649638145827</v>
      </c>
      <c r="G75" s="24">
        <f t="shared" si="22"/>
        <v>0.64940759319751062</v>
      </c>
      <c r="H75" s="24">
        <f t="shared" si="23"/>
        <v>1.8360784587766628</v>
      </c>
      <c r="I75" s="29">
        <f t="shared" si="24"/>
        <v>1.1923632928359476</v>
      </c>
      <c r="K75" s="1" t="str">
        <f t="shared" si="8"/>
        <v>0.977384381116825,0.829037572555042</v>
      </c>
      <c r="L75" s="1" t="str">
        <f t="shared" si="9"/>
        <v>0.977384381116825,0.559192903470747</v>
      </c>
      <c r="M75" s="1" t="str">
        <f t="shared" si="10"/>
        <v>0.977384381116825,1.48256096851274</v>
      </c>
      <c r="N75" s="1" t="str">
        <f t="shared" si="25"/>
        <v>0.977384381116825,0.674508516842427</v>
      </c>
      <c r="O75" s="1" t="str">
        <f t="shared" si="25"/>
        <v>0.977384381116825,1.7882916499714</v>
      </c>
      <c r="P75" s="1" t="str">
        <f t="shared" si="26"/>
        <v>0.977384381116825,1.20621794850391</v>
      </c>
    </row>
    <row r="76" spans="2:16" x14ac:dyDescent="0.6">
      <c r="B76" s="25">
        <v>58</v>
      </c>
      <c r="C76" s="24">
        <f t="shared" si="4"/>
        <v>1.0122909661567112</v>
      </c>
      <c r="D76" s="24">
        <f t="shared" si="19"/>
        <v>0.84804809615642596</v>
      </c>
      <c r="E76" s="24">
        <f t="shared" si="20"/>
        <v>0.5299192642332049</v>
      </c>
      <c r="F76" s="24">
        <f t="shared" si="21"/>
        <v>1.6003345290410507</v>
      </c>
      <c r="G76" s="24">
        <f t="shared" si="22"/>
        <v>0.62486935190932735</v>
      </c>
      <c r="H76" s="24">
        <f t="shared" si="23"/>
        <v>1.8870799147998585</v>
      </c>
      <c r="I76" s="29">
        <f t="shared" si="24"/>
        <v>1.1791784033620965</v>
      </c>
      <c r="K76" s="1" t="str">
        <f t="shared" si="8"/>
        <v>0.994837673636768,0.838670567945424</v>
      </c>
      <c r="L76" s="1" t="str">
        <f t="shared" si="9"/>
        <v>0.994837673636768,0.544639035015027</v>
      </c>
      <c r="M76" s="1" t="str">
        <f t="shared" si="10"/>
        <v>0.994837673636768,1.53986496381458</v>
      </c>
      <c r="N76" s="1" t="str">
        <f t="shared" si="25"/>
        <v>0.994837673636768,0.649407593197511</v>
      </c>
      <c r="O76" s="1" t="str">
        <f t="shared" si="25"/>
        <v>0.994837673636768,1.83607845877666</v>
      </c>
      <c r="P76" s="1" t="str">
        <f t="shared" si="26"/>
        <v>0.994837673636768,1.19236329283595</v>
      </c>
    </row>
    <row r="77" spans="2:16" x14ac:dyDescent="0.6">
      <c r="B77" s="25">
        <v>59</v>
      </c>
      <c r="C77" s="24">
        <f t="shared" si="4"/>
        <v>1.0297442586766543</v>
      </c>
      <c r="D77" s="24">
        <f t="shared" si="19"/>
        <v>0.85716730070211222</v>
      </c>
      <c r="E77" s="24">
        <f t="shared" si="20"/>
        <v>0.51503807491005438</v>
      </c>
      <c r="F77" s="24">
        <f t="shared" si="21"/>
        <v>1.6642794823505174</v>
      </c>
      <c r="G77" s="24">
        <f t="shared" si="22"/>
        <v>0.60086061902756061</v>
      </c>
      <c r="H77" s="24">
        <f t="shared" si="23"/>
        <v>1.9416040264103558</v>
      </c>
      <c r="I77" s="29">
        <f t="shared" si="24"/>
        <v>1.1666333972153307</v>
      </c>
      <c r="K77" s="1" t="str">
        <f t="shared" si="8"/>
        <v>1.01229096615671,0.848048096156426</v>
      </c>
      <c r="L77" s="1" t="str">
        <f t="shared" si="9"/>
        <v>1.01229096615671,0.529919264233205</v>
      </c>
      <c r="M77" s="1" t="str">
        <f t="shared" si="10"/>
        <v>1.01229096615671,1.60033452904105</v>
      </c>
      <c r="N77" s="1" t="str">
        <f t="shared" si="25"/>
        <v>1.01229096615671,0.624869351909327</v>
      </c>
      <c r="O77" s="1" t="str">
        <f t="shared" si="25"/>
        <v>1.01229096615671,1.88707991479986</v>
      </c>
      <c r="P77" s="1" t="str">
        <f t="shared" si="26"/>
        <v>1.01229096615671,1.1791784033621</v>
      </c>
    </row>
    <row r="78" spans="2:16" x14ac:dyDescent="0.6">
      <c r="B78" s="25">
        <v>60</v>
      </c>
      <c r="C78" s="24">
        <f t="shared" si="4"/>
        <v>1.0471975511965976</v>
      </c>
      <c r="D78" s="24">
        <f t="shared" si="19"/>
        <v>0.8660254037844386</v>
      </c>
      <c r="E78" s="24">
        <f t="shared" si="20"/>
        <v>0.50000000000000011</v>
      </c>
      <c r="F78" s="24">
        <f t="shared" si="21"/>
        <v>1.7320508075688767</v>
      </c>
      <c r="G78" s="24">
        <f t="shared" si="22"/>
        <v>0.57735026918962595</v>
      </c>
      <c r="H78" s="24">
        <f t="shared" si="23"/>
        <v>1.9999999999999996</v>
      </c>
      <c r="I78" s="29">
        <f t="shared" si="24"/>
        <v>1.1547005383792517</v>
      </c>
      <c r="K78" s="1" t="str">
        <f t="shared" si="8"/>
        <v>1.02974425867665,0.857167300702112</v>
      </c>
      <c r="L78" s="1" t="str">
        <f t="shared" si="9"/>
        <v>1.02974425867665,0.515038074910054</v>
      </c>
      <c r="M78" s="1" t="str">
        <f t="shared" si="10"/>
        <v>1.02974425867665,1.66427948235052</v>
      </c>
      <c r="N78" s="1" t="str">
        <f t="shared" si="25"/>
        <v>1.02974425867665,0.600860619027561</v>
      </c>
      <c r="O78" s="1" t="str">
        <f t="shared" si="25"/>
        <v>1.02974425867665,1.94160402641036</v>
      </c>
      <c r="P78" s="1" t="str">
        <f t="shared" si="26"/>
        <v>1.02974425867665,1.16663339721533</v>
      </c>
    </row>
    <row r="79" spans="2:16" x14ac:dyDescent="0.6">
      <c r="B79" s="25">
        <v>61</v>
      </c>
      <c r="C79" s="24">
        <f t="shared" si="4"/>
        <v>1.064650843716541</v>
      </c>
      <c r="D79" s="24">
        <f t="shared" si="19"/>
        <v>0.87461970713939574</v>
      </c>
      <c r="E79" s="24">
        <f t="shared" si="20"/>
        <v>0.48480962024633711</v>
      </c>
      <c r="F79" s="24">
        <f t="shared" si="21"/>
        <v>1.8040477552714236</v>
      </c>
      <c r="G79" s="24">
        <f t="shared" si="22"/>
        <v>0.55430905145276899</v>
      </c>
      <c r="H79" s="24">
        <f t="shared" si="23"/>
        <v>2.0626653396273138</v>
      </c>
      <c r="I79" s="29">
        <f t="shared" si="24"/>
        <v>1.1433540678733201</v>
      </c>
      <c r="K79" s="1" t="str">
        <f t="shared" si="8"/>
        <v>1.0471975511966,0.866025403784439</v>
      </c>
      <c r="L79" s="1" t="str">
        <f t="shared" si="9"/>
        <v>1.0471975511966,0.5</v>
      </c>
      <c r="M79" s="1" t="str">
        <f t="shared" si="10"/>
        <v>1.0471975511966,1.73205080756888</v>
      </c>
      <c r="N79" s="1" t="str">
        <f t="shared" si="25"/>
        <v>1.0471975511966,0.577350269189626</v>
      </c>
      <c r="O79" s="1" t="str">
        <f t="shared" si="25"/>
        <v>1.0471975511966,2</v>
      </c>
      <c r="P79" s="1" t="str">
        <f t="shared" si="26"/>
        <v>1.0471975511966,1.15470053837925</v>
      </c>
    </row>
    <row r="80" spans="2:16" x14ac:dyDescent="0.6">
      <c r="B80" s="25">
        <v>62</v>
      </c>
      <c r="C80" s="24">
        <f t="shared" si="4"/>
        <v>1.0821041362364843</v>
      </c>
      <c r="D80" s="24">
        <f t="shared" si="19"/>
        <v>0.88294759285892688</v>
      </c>
      <c r="E80" s="24">
        <f t="shared" si="20"/>
        <v>0.46947156278589086</v>
      </c>
      <c r="F80" s="24">
        <f t="shared" si="21"/>
        <v>1.8807264653463318</v>
      </c>
      <c r="G80" s="24">
        <f t="shared" si="22"/>
        <v>0.53170943166147877</v>
      </c>
      <c r="H80" s="24">
        <f t="shared" si="23"/>
        <v>2.1300544681895124</v>
      </c>
      <c r="I80" s="29">
        <f t="shared" si="24"/>
        <v>1.1325700506890393</v>
      </c>
      <c r="K80" s="1" t="str">
        <f t="shared" si="8"/>
        <v>1.06465084371654,0.874619707139396</v>
      </c>
      <c r="L80" s="1" t="str">
        <f t="shared" si="9"/>
        <v>1.06465084371654,0.484809620246337</v>
      </c>
      <c r="M80" s="1" t="str">
        <f t="shared" si="10"/>
        <v>1.06465084371654,1.80404775527142</v>
      </c>
      <c r="N80" s="1" t="str">
        <f t="shared" si="25"/>
        <v>1.06465084371654,0.554309051452769</v>
      </c>
      <c r="O80" s="1" t="str">
        <f t="shared" si="25"/>
        <v>1.06465084371654,2.06266533962731</v>
      </c>
      <c r="P80" s="1" t="str">
        <f t="shared" si="26"/>
        <v>1.06465084371654,1.14335406787332</v>
      </c>
    </row>
    <row r="81" spans="2:16" x14ac:dyDescent="0.6">
      <c r="B81" s="25">
        <v>63</v>
      </c>
      <c r="C81" s="24">
        <f t="shared" si="4"/>
        <v>1.0995574287564276</v>
      </c>
      <c r="D81" s="24">
        <f t="shared" si="19"/>
        <v>0.89100652418836779</v>
      </c>
      <c r="E81" s="24">
        <f t="shared" si="20"/>
        <v>0.4539904997395468</v>
      </c>
      <c r="F81" s="24">
        <f t="shared" si="21"/>
        <v>1.9626105055051504</v>
      </c>
      <c r="G81" s="24">
        <f t="shared" si="22"/>
        <v>0.50952544949442891</v>
      </c>
      <c r="H81" s="24">
        <f t="shared" si="23"/>
        <v>2.2026892645852665</v>
      </c>
      <c r="I81" s="29">
        <f t="shared" si="24"/>
        <v>1.1223262376343608</v>
      </c>
      <c r="K81" s="1" t="str">
        <f t="shared" si="8"/>
        <v>1.08210413623648,0.882947592858927</v>
      </c>
      <c r="L81" s="1" t="str">
        <f t="shared" si="9"/>
        <v>1.08210413623648,0.469471562785891</v>
      </c>
      <c r="M81" s="1" t="str">
        <f t="shared" si="10"/>
        <v>1.08210413623648,1.88072646534633</v>
      </c>
      <c r="N81" s="1" t="str">
        <f t="shared" si="25"/>
        <v>1.08210413623648,0.531709431661479</v>
      </c>
      <c r="O81" s="1" t="str">
        <f t="shared" si="25"/>
        <v>1.08210413623648,2.13005446818951</v>
      </c>
      <c r="P81" s="1" t="str">
        <f t="shared" si="26"/>
        <v>1.08210413623648,1.13257005068904</v>
      </c>
    </row>
    <row r="82" spans="2:16" x14ac:dyDescent="0.6">
      <c r="B82" s="25">
        <v>64</v>
      </c>
      <c r="C82" s="24">
        <f t="shared" si="4"/>
        <v>1.1170107212763709</v>
      </c>
      <c r="D82" s="24">
        <f t="shared" si="19"/>
        <v>0.89879404629916704</v>
      </c>
      <c r="E82" s="24">
        <f t="shared" si="20"/>
        <v>0.43837114678907746</v>
      </c>
      <c r="F82" s="24">
        <f t="shared" si="21"/>
        <v>2.050303841579296</v>
      </c>
      <c r="G82" s="24">
        <f t="shared" si="22"/>
        <v>0.48773258856586149</v>
      </c>
      <c r="H82" s="24">
        <f t="shared" si="23"/>
        <v>2.281172032704859</v>
      </c>
      <c r="I82" s="29">
        <f t="shared" si="24"/>
        <v>1.1126019404751888</v>
      </c>
      <c r="K82" s="1" t="str">
        <f t="shared" si="8"/>
        <v>1.09955742875643,0.891006524188368</v>
      </c>
      <c r="L82" s="1" t="str">
        <f t="shared" si="9"/>
        <v>1.09955742875643,0.453990499739547</v>
      </c>
      <c r="M82" s="1" t="str">
        <f t="shared" si="10"/>
        <v>1.09955742875643,1.96261050550515</v>
      </c>
      <c r="N82" s="1" t="str">
        <f t="shared" si="25"/>
        <v>1.09955742875643,0.509525449494429</v>
      </c>
      <c r="O82" s="1" t="str">
        <f t="shared" si="25"/>
        <v>1.09955742875643,2.20268926458527</v>
      </c>
      <c r="P82" s="1" t="str">
        <f t="shared" si="26"/>
        <v>1.09955742875643,1.12232623763436</v>
      </c>
    </row>
    <row r="83" spans="2:16" x14ac:dyDescent="0.6">
      <c r="B83" s="25">
        <v>65</v>
      </c>
      <c r="C83" s="24">
        <f t="shared" ref="C83:C146" si="27">B83*PI()/180</f>
        <v>1.1344640137963142</v>
      </c>
      <c r="D83" s="24">
        <f t="shared" si="19"/>
        <v>0.90630778703664994</v>
      </c>
      <c r="E83" s="24">
        <f t="shared" si="20"/>
        <v>0.42261826174069944</v>
      </c>
      <c r="F83" s="24">
        <f t="shared" si="21"/>
        <v>2.1445069205095586</v>
      </c>
      <c r="G83" s="24">
        <f t="shared" si="22"/>
        <v>0.46630765815499858</v>
      </c>
      <c r="H83" s="24">
        <f t="shared" si="23"/>
        <v>2.3662015831524985</v>
      </c>
      <c r="I83" s="29">
        <f t="shared" si="24"/>
        <v>1.1033779189624917</v>
      </c>
      <c r="K83" s="1" t="str">
        <f t="shared" si="8"/>
        <v>1.11701072127637,0.898794046299167</v>
      </c>
      <c r="L83" s="1" t="str">
        <f t="shared" si="9"/>
        <v>1.11701072127637,0.438371146789077</v>
      </c>
      <c r="M83" s="1" t="str">
        <f t="shared" si="10"/>
        <v>1.11701072127637,2.0503038415793</v>
      </c>
      <c r="N83" s="1" t="str">
        <f t="shared" si="25"/>
        <v>1.11701072127637,0.487732588565861</v>
      </c>
      <c r="O83" s="1" t="str">
        <f t="shared" si="25"/>
        <v>1.11701072127637,2.28117203270486</v>
      </c>
      <c r="P83" s="1" t="str">
        <f t="shared" si="26"/>
        <v>1.11701072127637,1.11260194047519</v>
      </c>
    </row>
    <row r="84" spans="2:16" x14ac:dyDescent="0.6">
      <c r="B84" s="25">
        <v>66</v>
      </c>
      <c r="C84" s="24">
        <f t="shared" si="27"/>
        <v>1.1519173063162575</v>
      </c>
      <c r="D84" s="24">
        <f t="shared" si="19"/>
        <v>0.91354545764260087</v>
      </c>
      <c r="E84" s="24">
        <f t="shared" si="20"/>
        <v>0.40673664307580021</v>
      </c>
      <c r="F84" s="24">
        <f t="shared" si="21"/>
        <v>2.2460367739042164</v>
      </c>
      <c r="G84" s="24">
        <f t="shared" si="22"/>
        <v>0.4452286853085361</v>
      </c>
      <c r="H84" s="24">
        <f t="shared" si="23"/>
        <v>2.4585933355742382</v>
      </c>
      <c r="I84" s="29">
        <f t="shared" si="24"/>
        <v>1.0946362785060468</v>
      </c>
      <c r="K84" s="1" t="str">
        <f t="shared" ref="K84:K147" si="28">_xlfn.CONCAT($C83,",",D83)</f>
        <v>1.13446401379631,0.90630778703665</v>
      </c>
      <c r="L84" s="1" t="str">
        <f t="shared" ref="L84:L147" si="29">_xlfn.CONCAT($C83,",",E83)</f>
        <v>1.13446401379631,0.422618261740699</v>
      </c>
      <c r="M84" s="1" t="str">
        <f t="shared" ref="M84:M147" si="30">_xlfn.CONCAT($C83,",",F83)</f>
        <v>1.13446401379631,2.14450692050956</v>
      </c>
      <c r="N84" s="1" t="str">
        <f t="shared" si="25"/>
        <v>1.13446401379631,0.466307658154999</v>
      </c>
      <c r="O84" s="1" t="str">
        <f t="shared" si="25"/>
        <v>1.13446401379631,2.3662015831525</v>
      </c>
      <c r="P84" s="1" t="str">
        <f t="shared" si="26"/>
        <v>1.13446401379631,1.10337791896249</v>
      </c>
    </row>
    <row r="85" spans="2:16" x14ac:dyDescent="0.6">
      <c r="B85" s="25">
        <v>67</v>
      </c>
      <c r="C85" s="24">
        <f t="shared" si="27"/>
        <v>1.1693705988362006</v>
      </c>
      <c r="D85" s="24">
        <f t="shared" si="19"/>
        <v>0.92050485345244026</v>
      </c>
      <c r="E85" s="24">
        <f t="shared" si="20"/>
        <v>0.39073112848927394</v>
      </c>
      <c r="F85" s="24">
        <f t="shared" si="21"/>
        <v>2.3558523658237518</v>
      </c>
      <c r="G85" s="24">
        <f t="shared" si="22"/>
        <v>0.42447481620960492</v>
      </c>
      <c r="H85" s="24">
        <f t="shared" si="23"/>
        <v>2.5593046652474509</v>
      </c>
      <c r="I85" s="29">
        <f t="shared" si="24"/>
        <v>1.0863603774052963</v>
      </c>
      <c r="K85" s="1" t="str">
        <f t="shared" si="28"/>
        <v>1.15191730631626,0.913545457642601</v>
      </c>
      <c r="L85" s="1" t="str">
        <f t="shared" si="29"/>
        <v>1.15191730631626,0.4067366430758</v>
      </c>
      <c r="M85" s="1" t="str">
        <f t="shared" si="30"/>
        <v>1.15191730631626,2.24603677390422</v>
      </c>
      <c r="N85" s="1" t="str">
        <f t="shared" si="25"/>
        <v>1.15191730631626,0.445228685308536</v>
      </c>
      <c r="O85" s="1" t="str">
        <f t="shared" si="25"/>
        <v>1.15191730631626,2.45859333557424</v>
      </c>
      <c r="P85" s="1" t="str">
        <f t="shared" si="26"/>
        <v>1.15191730631626,1.09463627850605</v>
      </c>
    </row>
    <row r="86" spans="2:16" x14ac:dyDescent="0.6">
      <c r="B86" s="25">
        <v>68</v>
      </c>
      <c r="C86" s="24">
        <f t="shared" si="27"/>
        <v>1.1868238913561442</v>
      </c>
      <c r="D86" s="24">
        <f t="shared" si="19"/>
        <v>0.92718385456678742</v>
      </c>
      <c r="E86" s="24">
        <f t="shared" si="20"/>
        <v>0.37460659341591196</v>
      </c>
      <c r="F86" s="24">
        <f t="shared" si="21"/>
        <v>2.4750868534162964</v>
      </c>
      <c r="G86" s="24">
        <f t="shared" si="22"/>
        <v>0.40402622583515674</v>
      </c>
      <c r="H86" s="24">
        <f t="shared" si="23"/>
        <v>2.6694671625540147</v>
      </c>
      <c r="I86" s="29">
        <f t="shared" si="24"/>
        <v>1.0785347426775833</v>
      </c>
      <c r="K86" s="1" t="str">
        <f t="shared" si="28"/>
        <v>1.1693705988362,0.92050485345244</v>
      </c>
      <c r="L86" s="1" t="str">
        <f t="shared" si="29"/>
        <v>1.1693705988362,0.390731128489274</v>
      </c>
      <c r="M86" s="1" t="str">
        <f t="shared" si="30"/>
        <v>1.1693705988362,2.35585236582375</v>
      </c>
      <c r="N86" s="1" t="str">
        <f t="shared" si="25"/>
        <v>1.1693705988362,0.424474816209605</v>
      </c>
      <c r="O86" s="1" t="str">
        <f t="shared" si="25"/>
        <v>1.1693705988362,2.55930466524745</v>
      </c>
      <c r="P86" s="1" t="str">
        <f t="shared" si="26"/>
        <v>1.1693705988362,1.0863603774053</v>
      </c>
    </row>
    <row r="87" spans="2:16" x14ac:dyDescent="0.6">
      <c r="B87" s="25">
        <v>69</v>
      </c>
      <c r="C87" s="24">
        <f t="shared" si="27"/>
        <v>1.2042771838760873</v>
      </c>
      <c r="D87" s="24">
        <f t="shared" si="19"/>
        <v>0.93358042649720174</v>
      </c>
      <c r="E87" s="24">
        <f t="shared" si="20"/>
        <v>0.35836794954530038</v>
      </c>
      <c r="F87" s="24">
        <f t="shared" si="21"/>
        <v>2.6050890646938005</v>
      </c>
      <c r="G87" s="24">
        <f t="shared" si="22"/>
        <v>0.38386403503541594</v>
      </c>
      <c r="H87" s="24">
        <f t="shared" si="23"/>
        <v>2.7904281096253349</v>
      </c>
      <c r="I87" s="29">
        <f t="shared" si="24"/>
        <v>1.071144993637029</v>
      </c>
      <c r="K87" s="1" t="str">
        <f t="shared" si="28"/>
        <v>1.18682389135614,0.927183854566787</v>
      </c>
      <c r="L87" s="1" t="str">
        <f t="shared" si="29"/>
        <v>1.18682389135614,0.374606593415912</v>
      </c>
      <c r="M87" s="1" t="str">
        <f t="shared" si="30"/>
        <v>1.18682389135614,2.4750868534163</v>
      </c>
      <c r="N87" s="1" t="str">
        <f t="shared" si="25"/>
        <v>1.18682389135614,0.404026225835157</v>
      </c>
      <c r="O87" s="1" t="str">
        <f t="shared" si="25"/>
        <v>1.18682389135614,2.66946716255401</v>
      </c>
      <c r="P87" s="1" t="str">
        <f t="shared" si="26"/>
        <v>1.18682389135614,1.07853474267758</v>
      </c>
    </row>
    <row r="88" spans="2:16" x14ac:dyDescent="0.6">
      <c r="B88" s="25">
        <v>70</v>
      </c>
      <c r="C88" s="24">
        <f t="shared" si="27"/>
        <v>1.2217304763960306</v>
      </c>
      <c r="D88" s="24">
        <f t="shared" si="19"/>
        <v>0.93969262078590832</v>
      </c>
      <c r="E88" s="24">
        <f t="shared" si="20"/>
        <v>0.34202014332566882</v>
      </c>
      <c r="F88" s="24">
        <f t="shared" si="21"/>
        <v>2.7474774194546216</v>
      </c>
      <c r="G88" s="24">
        <f t="shared" si="22"/>
        <v>0.36397023426620245</v>
      </c>
      <c r="H88" s="24">
        <f t="shared" si="23"/>
        <v>2.9238044001630863</v>
      </c>
      <c r="I88" s="29">
        <f t="shared" si="24"/>
        <v>1.0641777724759123</v>
      </c>
      <c r="K88" s="1" t="str">
        <f t="shared" si="28"/>
        <v>1.20427718387609,0.933580426497202</v>
      </c>
      <c r="L88" s="1" t="str">
        <f t="shared" si="29"/>
        <v>1.20427718387609,0.3583679495453</v>
      </c>
      <c r="M88" s="1" t="str">
        <f t="shared" si="30"/>
        <v>1.20427718387609,2.6050890646938</v>
      </c>
      <c r="N88" s="1" t="str">
        <f t="shared" si="25"/>
        <v>1.20427718387609,0.383864035035416</v>
      </c>
      <c r="O88" s="1" t="str">
        <f t="shared" si="25"/>
        <v>1.20427718387609,2.79042810962533</v>
      </c>
      <c r="P88" s="1" t="str">
        <f t="shared" si="26"/>
        <v>1.20427718387609,1.07114499363703</v>
      </c>
    </row>
    <row r="89" spans="2:16" x14ac:dyDescent="0.6">
      <c r="B89" s="25">
        <v>71</v>
      </c>
      <c r="C89" s="24">
        <f t="shared" si="27"/>
        <v>1.2391837689159739</v>
      </c>
      <c r="D89" s="24">
        <f t="shared" si="19"/>
        <v>0.94551857559931674</v>
      </c>
      <c r="E89" s="24">
        <f t="shared" si="20"/>
        <v>0.32556815445715676</v>
      </c>
      <c r="F89" s="24">
        <f t="shared" si="21"/>
        <v>2.9042108776758222</v>
      </c>
      <c r="G89" s="24">
        <f t="shared" si="22"/>
        <v>0.34432761328966532</v>
      </c>
      <c r="H89" s="24">
        <f t="shared" si="23"/>
        <v>3.0715534867572414</v>
      </c>
      <c r="I89" s="29">
        <f t="shared" si="24"/>
        <v>1.0576206811866706</v>
      </c>
      <c r="K89" s="1" t="str">
        <f t="shared" si="28"/>
        <v>1.22173047639603,0.939692620785908</v>
      </c>
      <c r="L89" s="1" t="str">
        <f t="shared" si="29"/>
        <v>1.22173047639603,0.342020143325669</v>
      </c>
      <c r="M89" s="1" t="str">
        <f t="shared" si="30"/>
        <v>1.22173047639603,2.74747741945462</v>
      </c>
      <c r="N89" s="1" t="str">
        <f t="shared" si="25"/>
        <v>1.22173047639603,0.363970234266202</v>
      </c>
      <c r="O89" s="1" t="str">
        <f t="shared" si="25"/>
        <v>1.22173047639603,2.92380440016309</v>
      </c>
      <c r="P89" s="1" t="str">
        <f t="shared" si="26"/>
        <v>1.22173047639603,1.06417777247591</v>
      </c>
    </row>
    <row r="90" spans="2:16" x14ac:dyDescent="0.6">
      <c r="B90" s="25">
        <v>72</v>
      </c>
      <c r="C90" s="24">
        <f t="shared" si="27"/>
        <v>1.2566370614359172</v>
      </c>
      <c r="D90" s="24">
        <f t="shared" si="19"/>
        <v>0.95105651629515353</v>
      </c>
      <c r="E90" s="24">
        <f t="shared" si="20"/>
        <v>0.30901699437494745</v>
      </c>
      <c r="F90" s="24">
        <f t="shared" si="21"/>
        <v>3.0776835371752527</v>
      </c>
      <c r="G90" s="24">
        <f t="shared" si="22"/>
        <v>0.3249196962329064</v>
      </c>
      <c r="H90" s="24">
        <f t="shared" si="23"/>
        <v>3.2360679774997894</v>
      </c>
      <c r="I90" s="29">
        <f t="shared" si="24"/>
        <v>1.0514622242382672</v>
      </c>
      <c r="K90" s="1" t="str">
        <f t="shared" si="28"/>
        <v>1.23918376891597,0.945518575599317</v>
      </c>
      <c r="L90" s="1" t="str">
        <f t="shared" si="29"/>
        <v>1.23918376891597,0.325568154457157</v>
      </c>
      <c r="M90" s="1" t="str">
        <f t="shared" si="30"/>
        <v>1.23918376891597,2.90421087767582</v>
      </c>
      <c r="N90" s="1" t="str">
        <f t="shared" si="25"/>
        <v>1.23918376891597,0.344327613289665</v>
      </c>
      <c r="O90" s="1" t="str">
        <f t="shared" si="25"/>
        <v>1.23918376891597,3.07155348675724</v>
      </c>
      <c r="P90" s="1" t="str">
        <f t="shared" si="26"/>
        <v>1.23918376891597,1.05762068118667</v>
      </c>
    </row>
    <row r="91" spans="2:16" x14ac:dyDescent="0.6">
      <c r="B91" s="25">
        <v>73</v>
      </c>
      <c r="C91" s="24">
        <f t="shared" si="27"/>
        <v>1.2740903539558606</v>
      </c>
      <c r="D91" s="24">
        <f t="shared" si="19"/>
        <v>0.95630475596303544</v>
      </c>
      <c r="E91" s="24">
        <f t="shared" si="20"/>
        <v>0.29237170472273677</v>
      </c>
      <c r="F91" s="24">
        <f t="shared" si="21"/>
        <v>3.2708526184841404</v>
      </c>
      <c r="G91" s="24">
        <f t="shared" si="22"/>
        <v>0.30573068145866039</v>
      </c>
      <c r="H91" s="24">
        <f t="shared" si="23"/>
        <v>3.4203036198332684</v>
      </c>
      <c r="I91" s="29">
        <f t="shared" si="24"/>
        <v>1.045691756487148</v>
      </c>
      <c r="K91" s="1" t="str">
        <f t="shared" si="28"/>
        <v>1.25663706143592,0.951056516295154</v>
      </c>
      <c r="L91" s="1" t="str">
        <f t="shared" si="29"/>
        <v>1.25663706143592,0.309016994374947</v>
      </c>
      <c r="M91" s="1" t="str">
        <f t="shared" si="30"/>
        <v>1.25663706143592,3.07768353717525</v>
      </c>
      <c r="N91" s="1" t="str">
        <f t="shared" si="25"/>
        <v>1.25663706143592,0.324919696232906</v>
      </c>
      <c r="O91" s="1" t="str">
        <f t="shared" si="25"/>
        <v>1.25663706143592,3.23606797749979</v>
      </c>
      <c r="P91" s="1" t="str">
        <f t="shared" si="26"/>
        <v>1.25663706143592,1.05146222423827</v>
      </c>
    </row>
    <row r="92" spans="2:16" x14ac:dyDescent="0.6">
      <c r="B92" s="25">
        <v>74</v>
      </c>
      <c r="C92" s="24">
        <f t="shared" si="27"/>
        <v>1.2915436464758039</v>
      </c>
      <c r="D92" s="24">
        <f t="shared" si="19"/>
        <v>0.96126169593831889</v>
      </c>
      <c r="E92" s="24">
        <f t="shared" si="20"/>
        <v>0.27563735581699916</v>
      </c>
      <c r="F92" s="24">
        <f t="shared" si="21"/>
        <v>3.4874144438409087</v>
      </c>
      <c r="G92" s="24">
        <f t="shared" si="22"/>
        <v>0.28674538575880792</v>
      </c>
      <c r="H92" s="24">
        <f t="shared" si="23"/>
        <v>3.6279552785433005</v>
      </c>
      <c r="I92" s="29">
        <f t="shared" si="24"/>
        <v>1.040299435861602</v>
      </c>
      <c r="K92" s="1" t="str">
        <f t="shared" si="28"/>
        <v>1.27409035395586,0.956304755963035</v>
      </c>
      <c r="L92" s="1" t="str">
        <f t="shared" si="29"/>
        <v>1.27409035395586,0.292371704722737</v>
      </c>
      <c r="M92" s="1" t="str">
        <f t="shared" si="30"/>
        <v>1.27409035395586,3.27085261848414</v>
      </c>
      <c r="N92" s="1" t="str">
        <f t="shared" si="25"/>
        <v>1.27409035395586,0.30573068145866</v>
      </c>
      <c r="O92" s="1" t="str">
        <f t="shared" si="25"/>
        <v>1.27409035395586,3.42030361983327</v>
      </c>
      <c r="P92" s="1" t="str">
        <f t="shared" si="26"/>
        <v>1.27409035395586,1.04569175648715</v>
      </c>
    </row>
    <row r="93" spans="2:16" x14ac:dyDescent="0.6">
      <c r="B93" s="25">
        <v>75</v>
      </c>
      <c r="C93" s="24">
        <f t="shared" si="27"/>
        <v>1.3089969389957472</v>
      </c>
      <c r="D93" s="24">
        <f t="shared" si="19"/>
        <v>0.96592582628906831</v>
      </c>
      <c r="E93" s="24">
        <f t="shared" si="20"/>
        <v>0.25881904510252074</v>
      </c>
      <c r="F93" s="24">
        <f t="shared" si="21"/>
        <v>3.7320508075688776</v>
      </c>
      <c r="G93" s="24">
        <f t="shared" si="22"/>
        <v>0.2679491924311227</v>
      </c>
      <c r="H93" s="24">
        <f t="shared" si="23"/>
        <v>3.8637033051562737</v>
      </c>
      <c r="I93" s="29">
        <f t="shared" si="24"/>
        <v>1.035276180410083</v>
      </c>
      <c r="K93" s="1" t="str">
        <f t="shared" si="28"/>
        <v>1.2915436464758,0.961261695938319</v>
      </c>
      <c r="L93" s="1" t="str">
        <f t="shared" si="29"/>
        <v>1.2915436464758,0.275637355816999</v>
      </c>
      <c r="M93" s="1" t="str">
        <f t="shared" si="30"/>
        <v>1.2915436464758,3.48741444384091</v>
      </c>
      <c r="N93" s="1" t="str">
        <f t="shared" si="25"/>
        <v>1.2915436464758,0.286745385758808</v>
      </c>
      <c r="O93" s="1" t="str">
        <f t="shared" si="25"/>
        <v>1.2915436464758,3.6279552785433</v>
      </c>
      <c r="P93" s="1" t="str">
        <f t="shared" si="26"/>
        <v>1.2915436464758,1.0402994358616</v>
      </c>
    </row>
    <row r="94" spans="2:16" x14ac:dyDescent="0.6">
      <c r="B94" s="25">
        <v>76</v>
      </c>
      <c r="C94" s="24">
        <f t="shared" si="27"/>
        <v>1.3264502315156903</v>
      </c>
      <c r="D94" s="24">
        <f t="shared" si="19"/>
        <v>0.97029572627599647</v>
      </c>
      <c r="E94" s="24">
        <f t="shared" si="20"/>
        <v>0.2419218955996679</v>
      </c>
      <c r="F94" s="24">
        <f t="shared" si="21"/>
        <v>4.010780933535842</v>
      </c>
      <c r="G94" s="24">
        <f t="shared" si="22"/>
        <v>0.24932800284318085</v>
      </c>
      <c r="H94" s="24">
        <f t="shared" si="23"/>
        <v>4.1335654944387468</v>
      </c>
      <c r="I94" s="29">
        <f t="shared" si="24"/>
        <v>1.0306136293498982</v>
      </c>
      <c r="K94" s="1" t="str">
        <f t="shared" si="28"/>
        <v>1.30899693899575,0.965925826289068</v>
      </c>
      <c r="L94" s="1" t="str">
        <f t="shared" si="29"/>
        <v>1.30899693899575,0.258819045102521</v>
      </c>
      <c r="M94" s="1" t="str">
        <f t="shared" si="30"/>
        <v>1.30899693899575,3.73205080756888</v>
      </c>
      <c r="N94" s="1" t="str">
        <f t="shared" si="25"/>
        <v>1.30899693899575,0.267949192431123</v>
      </c>
      <c r="O94" s="1" t="str">
        <f t="shared" si="25"/>
        <v>1.30899693899575,3.86370330515627</v>
      </c>
      <c r="P94" s="1" t="str">
        <f t="shared" si="26"/>
        <v>1.30899693899575,1.03527618041008</v>
      </c>
    </row>
    <row r="95" spans="2:16" x14ac:dyDescent="0.6">
      <c r="B95" s="25">
        <v>77</v>
      </c>
      <c r="C95" s="24">
        <f t="shared" si="27"/>
        <v>1.3439035240356338</v>
      </c>
      <c r="D95" s="24">
        <f t="shared" si="19"/>
        <v>0.97437006478523525</v>
      </c>
      <c r="E95" s="24">
        <f t="shared" si="20"/>
        <v>0.22495105434386492</v>
      </c>
      <c r="F95" s="24">
        <f t="shared" si="21"/>
        <v>4.3314758742841573</v>
      </c>
      <c r="G95" s="24">
        <f t="shared" si="22"/>
        <v>0.23086819112556303</v>
      </c>
      <c r="H95" s="24">
        <f t="shared" si="23"/>
        <v>4.4454114825858024</v>
      </c>
      <c r="I95" s="29">
        <f t="shared" si="24"/>
        <v>1.0263041077933917</v>
      </c>
      <c r="K95" s="1" t="str">
        <f t="shared" si="28"/>
        <v>1.32645023151569,0.970295726275996</v>
      </c>
      <c r="L95" s="1" t="str">
        <f t="shared" si="29"/>
        <v>1.32645023151569,0.241921895599668</v>
      </c>
      <c r="M95" s="1" t="str">
        <f t="shared" si="30"/>
        <v>1.32645023151569,4.01078093353584</v>
      </c>
      <c r="N95" s="1" t="str">
        <f t="shared" si="25"/>
        <v>1.32645023151569,0.249328002843181</v>
      </c>
      <c r="O95" s="1" t="str">
        <f t="shared" si="25"/>
        <v>1.32645023151569,4.13356549443875</v>
      </c>
      <c r="P95" s="1" t="str">
        <f t="shared" si="26"/>
        <v>1.32645023151569,1.0306136293499</v>
      </c>
    </row>
    <row r="96" spans="2:16" x14ac:dyDescent="0.6">
      <c r="B96" s="25">
        <v>78</v>
      </c>
      <c r="C96" s="24">
        <f t="shared" si="27"/>
        <v>1.3613568165555769</v>
      </c>
      <c r="D96" s="24">
        <f t="shared" si="19"/>
        <v>0.97814760073380558</v>
      </c>
      <c r="E96" s="24">
        <f t="shared" si="20"/>
        <v>0.20791169081775945</v>
      </c>
      <c r="F96" s="24">
        <f t="shared" si="21"/>
        <v>4.7046301094784511</v>
      </c>
      <c r="G96" s="24">
        <f t="shared" si="22"/>
        <v>0.21255656167002226</v>
      </c>
      <c r="H96" s="24">
        <f t="shared" si="23"/>
        <v>4.8097343447441281</v>
      </c>
      <c r="I96" s="29">
        <f t="shared" si="24"/>
        <v>1.0223405948650293</v>
      </c>
      <c r="K96" s="1" t="str">
        <f t="shared" si="28"/>
        <v>1.34390352403563,0.974370064785235</v>
      </c>
      <c r="L96" s="1" t="str">
        <f t="shared" si="29"/>
        <v>1.34390352403563,0.224951054343865</v>
      </c>
      <c r="M96" s="1" t="str">
        <f t="shared" si="30"/>
        <v>1.34390352403563,4.33147587428416</v>
      </c>
      <c r="N96" s="1" t="str">
        <f t="shared" si="25"/>
        <v>1.34390352403563,0.230868191125563</v>
      </c>
      <c r="O96" s="1" t="str">
        <f t="shared" si="25"/>
        <v>1.34390352403563,4.4454114825858</v>
      </c>
      <c r="P96" s="1" t="str">
        <f t="shared" si="26"/>
        <v>1.34390352403563,1.02630410779339</v>
      </c>
    </row>
    <row r="97" spans="2:16" x14ac:dyDescent="0.6">
      <c r="B97" s="25">
        <v>79</v>
      </c>
      <c r="C97" s="24">
        <f t="shared" si="27"/>
        <v>1.3788101090755203</v>
      </c>
      <c r="D97" s="24">
        <f t="shared" si="19"/>
        <v>0.98162718344766398</v>
      </c>
      <c r="E97" s="24">
        <f t="shared" si="20"/>
        <v>0.19080899537654492</v>
      </c>
      <c r="F97" s="24">
        <f t="shared" si="21"/>
        <v>5.1445540159703071</v>
      </c>
      <c r="G97" s="24">
        <f t="shared" si="22"/>
        <v>0.19438030913771859</v>
      </c>
      <c r="H97" s="24">
        <f t="shared" si="23"/>
        <v>5.2408430641678461</v>
      </c>
      <c r="I97" s="29">
        <f t="shared" si="24"/>
        <v>1.0187166949552142</v>
      </c>
      <c r="K97" s="1" t="str">
        <f t="shared" si="28"/>
        <v>1.36135681655558,0.978147600733806</v>
      </c>
      <c r="L97" s="1" t="str">
        <f t="shared" si="29"/>
        <v>1.36135681655558,0.207911690817759</v>
      </c>
      <c r="M97" s="1" t="str">
        <f t="shared" si="30"/>
        <v>1.36135681655558,4.70463010947845</v>
      </c>
      <c r="N97" s="1" t="str">
        <f t="shared" si="25"/>
        <v>1.36135681655558,0.212556561670022</v>
      </c>
      <c r="O97" s="1" t="str">
        <f t="shared" si="25"/>
        <v>1.36135681655558,4.80973434474413</v>
      </c>
      <c r="P97" s="1" t="str">
        <f t="shared" si="26"/>
        <v>1.36135681655558,1.02234059486503</v>
      </c>
    </row>
    <row r="98" spans="2:16" x14ac:dyDescent="0.6">
      <c r="B98" s="25">
        <v>80</v>
      </c>
      <c r="C98" s="24">
        <f t="shared" si="27"/>
        <v>1.3962634015954636</v>
      </c>
      <c r="D98" s="24">
        <f t="shared" si="19"/>
        <v>0.98480775301220802</v>
      </c>
      <c r="E98" s="24">
        <f t="shared" si="20"/>
        <v>0.17364817766693041</v>
      </c>
      <c r="F98" s="24">
        <f t="shared" si="21"/>
        <v>5.6712818196177066</v>
      </c>
      <c r="G98" s="24">
        <f t="shared" si="22"/>
        <v>0.17632698070846506</v>
      </c>
      <c r="H98" s="24">
        <f t="shared" si="23"/>
        <v>5.758770483143631</v>
      </c>
      <c r="I98" s="29">
        <f t="shared" si="24"/>
        <v>1.0154266118857451</v>
      </c>
      <c r="K98" s="1" t="str">
        <f t="shared" si="28"/>
        <v>1.37881010907552,0.981627183447664</v>
      </c>
      <c r="L98" s="1" t="str">
        <f t="shared" si="29"/>
        <v>1.37881010907552,0.190808995376545</v>
      </c>
      <c r="M98" s="1" t="str">
        <f t="shared" si="30"/>
        <v>1.37881010907552,5.14455401597031</v>
      </c>
      <c r="N98" s="1" t="str">
        <f t="shared" si="25"/>
        <v>1.37881010907552,0.194380309137719</v>
      </c>
      <c r="O98" s="1" t="str">
        <f t="shared" si="25"/>
        <v>1.37881010907552,5.24084306416785</v>
      </c>
      <c r="P98" s="1" t="str">
        <f t="shared" si="26"/>
        <v>1.37881010907552,1.01871669495521</v>
      </c>
    </row>
    <row r="99" spans="2:16" x14ac:dyDescent="0.6">
      <c r="B99" s="25">
        <v>81</v>
      </c>
      <c r="C99" s="24">
        <f t="shared" si="27"/>
        <v>1.4137166941154069</v>
      </c>
      <c r="D99" s="24">
        <f t="shared" si="19"/>
        <v>0.98768834059513777</v>
      </c>
      <c r="E99" s="24">
        <f t="shared" si="20"/>
        <v>0.15643446504023092</v>
      </c>
      <c r="F99" s="24">
        <f t="shared" si="21"/>
        <v>6.3137515146750411</v>
      </c>
      <c r="G99" s="24">
        <f t="shared" si="22"/>
        <v>0.15838444032453633</v>
      </c>
      <c r="H99" s="24">
        <f t="shared" si="23"/>
        <v>6.3924532214996592</v>
      </c>
      <c r="I99" s="29">
        <f t="shared" si="24"/>
        <v>1.0124651257880029</v>
      </c>
      <c r="K99" s="1" t="str">
        <f t="shared" si="28"/>
        <v>1.39626340159546,0.984807753012208</v>
      </c>
      <c r="L99" s="1" t="str">
        <f t="shared" si="29"/>
        <v>1.39626340159546,0.17364817766693</v>
      </c>
      <c r="M99" s="1" t="str">
        <f t="shared" si="30"/>
        <v>1.39626340159546,5.67128181961771</v>
      </c>
      <c r="N99" s="1" t="str">
        <f t="shared" si="25"/>
        <v>1.39626340159546,0.176326980708465</v>
      </c>
      <c r="O99" s="1" t="str">
        <f t="shared" si="25"/>
        <v>1.39626340159546,5.75877048314363</v>
      </c>
      <c r="P99" s="1" t="str">
        <f t="shared" si="26"/>
        <v>1.39626340159546,1.01542661188575</v>
      </c>
    </row>
    <row r="100" spans="2:16" x14ac:dyDescent="0.6">
      <c r="B100" s="25">
        <v>82</v>
      </c>
      <c r="C100" s="24">
        <f t="shared" si="27"/>
        <v>1.43116998663535</v>
      </c>
      <c r="D100" s="24">
        <f t="shared" si="19"/>
        <v>0.99026806874157025</v>
      </c>
      <c r="E100" s="24">
        <f t="shared" si="20"/>
        <v>0.13917310096006569</v>
      </c>
      <c r="F100" s="24">
        <f t="shared" si="21"/>
        <v>7.1153697223841954</v>
      </c>
      <c r="G100" s="24">
        <f t="shared" si="22"/>
        <v>0.1405408347023917</v>
      </c>
      <c r="H100" s="24">
        <f t="shared" si="23"/>
        <v>7.1852965343277067</v>
      </c>
      <c r="I100" s="29">
        <f t="shared" si="24"/>
        <v>1.0098275725186181</v>
      </c>
      <c r="K100" s="1" t="str">
        <f t="shared" si="28"/>
        <v>1.41371669411541,0.987688340595138</v>
      </c>
      <c r="L100" s="1" t="str">
        <f t="shared" si="29"/>
        <v>1.41371669411541,0.156434465040231</v>
      </c>
      <c r="M100" s="1" t="str">
        <f t="shared" si="30"/>
        <v>1.41371669411541,6.31375151467504</v>
      </c>
      <c r="N100" s="1" t="str">
        <f t="shared" si="25"/>
        <v>1.41371669411541,0.158384440324536</v>
      </c>
      <c r="O100" s="1" t="str">
        <f t="shared" si="25"/>
        <v>1.41371669411541,6.39245322149966</v>
      </c>
      <c r="P100" s="1" t="str">
        <f t="shared" si="26"/>
        <v>1.41371669411541,1.012465125788</v>
      </c>
    </row>
    <row r="101" spans="2:16" x14ac:dyDescent="0.6">
      <c r="B101" s="25">
        <v>83</v>
      </c>
      <c r="C101" s="24">
        <f t="shared" si="27"/>
        <v>1.4486232791552935</v>
      </c>
      <c r="D101" s="24">
        <f t="shared" si="19"/>
        <v>0.99254615164132198</v>
      </c>
      <c r="E101" s="24">
        <f t="shared" si="20"/>
        <v>0.12186934340514749</v>
      </c>
      <c r="F101" s="24">
        <f t="shared" si="21"/>
        <v>8.1443464279745932</v>
      </c>
      <c r="G101" s="24">
        <f t="shared" si="22"/>
        <v>0.1227845609029046</v>
      </c>
      <c r="H101" s="24">
        <f t="shared" si="23"/>
        <v>8.2055090481250783</v>
      </c>
      <c r="I101" s="29">
        <f t="shared" si="24"/>
        <v>1.0075098254588484</v>
      </c>
      <c r="K101" s="1" t="str">
        <f t="shared" si="28"/>
        <v>1.43116998663535,0.99026806874157</v>
      </c>
      <c r="L101" s="1" t="str">
        <f t="shared" si="29"/>
        <v>1.43116998663535,0.139173100960066</v>
      </c>
      <c r="M101" s="1" t="str">
        <f t="shared" si="30"/>
        <v>1.43116998663535,7.1153697223842</v>
      </c>
      <c r="N101" s="1" t="str">
        <f t="shared" si="25"/>
        <v>1.43116998663535,0.140540834702392</v>
      </c>
      <c r="O101" s="1" t="str">
        <f t="shared" si="25"/>
        <v>1.43116998663535,7.18529653432771</v>
      </c>
      <c r="P101" s="1" t="str">
        <f t="shared" si="26"/>
        <v>1.43116998663535,1.00982757251862</v>
      </c>
    </row>
    <row r="102" spans="2:16" x14ac:dyDescent="0.6">
      <c r="B102" s="25">
        <v>84</v>
      </c>
      <c r="C102" s="24">
        <f t="shared" si="27"/>
        <v>1.4660765716752369</v>
      </c>
      <c r="D102" s="24">
        <f t="shared" si="19"/>
        <v>0.99452189536827329</v>
      </c>
      <c r="E102" s="24">
        <f t="shared" si="20"/>
        <v>0.10452846326765346</v>
      </c>
      <c r="F102" s="24">
        <f t="shared" si="21"/>
        <v>9.5143644542225871</v>
      </c>
      <c r="G102" s="24">
        <f t="shared" si="22"/>
        <v>0.10510423526567644</v>
      </c>
      <c r="H102" s="24">
        <f t="shared" si="23"/>
        <v>9.5667722335056276</v>
      </c>
      <c r="I102" s="29">
        <f t="shared" si="24"/>
        <v>1.0055082795635164</v>
      </c>
      <c r="K102" s="1" t="str">
        <f t="shared" si="28"/>
        <v>1.44862327915529,0.992546151641322</v>
      </c>
      <c r="L102" s="1" t="str">
        <f t="shared" si="29"/>
        <v>1.44862327915529,0.121869343405147</v>
      </c>
      <c r="M102" s="1" t="str">
        <f t="shared" si="30"/>
        <v>1.44862327915529,8.14434642797459</v>
      </c>
      <c r="N102" s="1" t="str">
        <f t="shared" si="25"/>
        <v>1.44862327915529,0.122784560902905</v>
      </c>
      <c r="O102" s="1" t="str">
        <f t="shared" si="25"/>
        <v>1.44862327915529,8.20550904812508</v>
      </c>
      <c r="P102" s="1" t="str">
        <f t="shared" si="26"/>
        <v>1.44862327915529,1.00750982545885</v>
      </c>
    </row>
    <row r="103" spans="2:16" x14ac:dyDescent="0.6">
      <c r="B103" s="25">
        <v>85</v>
      </c>
      <c r="C103" s="24">
        <f t="shared" si="27"/>
        <v>1.4835298641951802</v>
      </c>
      <c r="D103" s="24">
        <f t="shared" si="19"/>
        <v>0.99619469809174555</v>
      </c>
      <c r="E103" s="24">
        <f t="shared" si="20"/>
        <v>8.7155742747658138E-2</v>
      </c>
      <c r="F103" s="24">
        <f t="shared" si="21"/>
        <v>11</v>
      </c>
      <c r="G103" s="24">
        <f t="shared" si="22"/>
        <v>8.7488663525923965E-2</v>
      </c>
      <c r="H103" s="24">
        <f t="shared" si="23"/>
        <v>11</v>
      </c>
      <c r="I103" s="29">
        <f t="shared" si="24"/>
        <v>1.0038198375433474</v>
      </c>
      <c r="K103" s="1" t="str">
        <f t="shared" si="28"/>
        <v>1.46607657167524,0.994521895368273</v>
      </c>
      <c r="L103" s="1" t="str">
        <f t="shared" si="29"/>
        <v>1.46607657167524,0.104528463267653</v>
      </c>
      <c r="M103" s="1" t="str">
        <f t="shared" si="30"/>
        <v>1.46607657167524,9.51436445422259</v>
      </c>
      <c r="N103" s="1" t="str">
        <f t="shared" si="25"/>
        <v>1.46607657167524,0.105104235265676</v>
      </c>
      <c r="O103" s="1" t="str">
        <f t="shared" si="25"/>
        <v>1.46607657167524,9.56677223350563</v>
      </c>
      <c r="P103" s="1" t="str">
        <f t="shared" si="26"/>
        <v>1.46607657167524,1.00550827956352</v>
      </c>
    </row>
    <row r="104" spans="2:16" x14ac:dyDescent="0.6">
      <c r="B104" s="25">
        <v>86</v>
      </c>
      <c r="C104" s="24">
        <f t="shared" si="27"/>
        <v>1.5009831567151233</v>
      </c>
      <c r="D104" s="24">
        <f t="shared" si="19"/>
        <v>0.9975640502598242</v>
      </c>
      <c r="E104" s="24">
        <f t="shared" si="20"/>
        <v>6.9756473744125455E-2</v>
      </c>
      <c r="F104" s="24">
        <f t="shared" si="21"/>
        <v>11</v>
      </c>
      <c r="G104" s="24">
        <f t="shared" si="22"/>
        <v>6.9926811943510567E-2</v>
      </c>
      <c r="H104" s="24">
        <f t="shared" si="23"/>
        <v>11</v>
      </c>
      <c r="I104" s="29">
        <f t="shared" si="24"/>
        <v>1.0024418980811722</v>
      </c>
      <c r="K104" s="1" t="str">
        <f t="shared" si="28"/>
        <v>1.48352986419518,0.996194698091746</v>
      </c>
      <c r="L104" s="1" t="str">
        <f t="shared" si="29"/>
        <v>1.48352986419518,0.0871557427476581</v>
      </c>
      <c r="M104" s="1" t="str">
        <f t="shared" si="30"/>
        <v>1.48352986419518,11</v>
      </c>
      <c r="N104" s="1" t="str">
        <f t="shared" si="25"/>
        <v>1.48352986419518,0.087488663525924</v>
      </c>
      <c r="O104" s="1" t="str">
        <f t="shared" si="25"/>
        <v>1.48352986419518,11</v>
      </c>
      <c r="P104" s="1" t="str">
        <f t="shared" si="26"/>
        <v>1.48352986419518,1.00381983754335</v>
      </c>
    </row>
    <row r="105" spans="2:16" x14ac:dyDescent="0.6">
      <c r="B105" s="25">
        <v>87</v>
      </c>
      <c r="C105" s="24">
        <f t="shared" si="27"/>
        <v>1.5184364492350666</v>
      </c>
      <c r="D105" s="24">
        <f t="shared" si="19"/>
        <v>0.99862953475457383</v>
      </c>
      <c r="E105" s="24">
        <f t="shared" si="20"/>
        <v>5.2335956242943966E-2</v>
      </c>
      <c r="F105" s="24">
        <f t="shared" si="21"/>
        <v>11</v>
      </c>
      <c r="G105" s="24">
        <f t="shared" si="22"/>
        <v>5.2407779283041342E-2</v>
      </c>
      <c r="H105" s="24">
        <f t="shared" si="23"/>
        <v>11</v>
      </c>
      <c r="I105" s="29">
        <f t="shared" si="24"/>
        <v>1.0013723459979209</v>
      </c>
      <c r="K105" s="1" t="str">
        <f t="shared" si="28"/>
        <v>1.50098315671512,0.997564050259824</v>
      </c>
      <c r="L105" s="1" t="str">
        <f t="shared" si="29"/>
        <v>1.50098315671512,0.0697564737441255</v>
      </c>
      <c r="M105" s="1" t="str">
        <f t="shared" si="30"/>
        <v>1.50098315671512,11</v>
      </c>
      <c r="N105" s="1" t="str">
        <f t="shared" si="25"/>
        <v>1.50098315671512,0.0699268119435106</v>
      </c>
      <c r="O105" s="1" t="str">
        <f t="shared" si="25"/>
        <v>1.50098315671512,11</v>
      </c>
      <c r="P105" s="1" t="str">
        <f t="shared" si="26"/>
        <v>1.50098315671512,1.00244189808117</v>
      </c>
    </row>
    <row r="106" spans="2:16" x14ac:dyDescent="0.6">
      <c r="B106" s="25">
        <v>88</v>
      </c>
      <c r="C106" s="24">
        <f t="shared" si="27"/>
        <v>1.5358897417550099</v>
      </c>
      <c r="D106" s="24">
        <f t="shared" si="19"/>
        <v>0.99939082701909576</v>
      </c>
      <c r="E106" s="24">
        <f t="shared" si="20"/>
        <v>3.489949670250108E-2</v>
      </c>
      <c r="F106" s="24">
        <f t="shared" si="21"/>
        <v>11</v>
      </c>
      <c r="G106" s="24">
        <f t="shared" si="22"/>
        <v>3.4920769491747841E-2</v>
      </c>
      <c r="H106" s="24">
        <f t="shared" si="23"/>
        <v>11</v>
      </c>
      <c r="I106" s="29">
        <f t="shared" si="24"/>
        <v>1.0006095442988217</v>
      </c>
      <c r="K106" s="1" t="str">
        <f t="shared" si="28"/>
        <v>1.51843644923507,0.998629534754574</v>
      </c>
      <c r="L106" s="1" t="str">
        <f t="shared" si="29"/>
        <v>1.51843644923507,0.052335956242944</v>
      </c>
      <c r="M106" s="1" t="str">
        <f t="shared" si="30"/>
        <v>1.51843644923507,11</v>
      </c>
      <c r="N106" s="1" t="str">
        <f t="shared" si="25"/>
        <v>1.51843644923507,0.0524077792830413</v>
      </c>
      <c r="O106" s="1" t="str">
        <f t="shared" si="25"/>
        <v>1.51843644923507,11</v>
      </c>
      <c r="P106" s="1" t="str">
        <f t="shared" si="26"/>
        <v>1.51843644923507,1.00137234599792</v>
      </c>
    </row>
    <row r="107" spans="2:16" x14ac:dyDescent="0.6">
      <c r="B107" s="25">
        <v>89</v>
      </c>
      <c r="C107" s="24">
        <f t="shared" si="27"/>
        <v>1.5533430342749535</v>
      </c>
      <c r="D107" s="24">
        <f t="shared" si="19"/>
        <v>0.99984769515639127</v>
      </c>
      <c r="E107" s="24">
        <f t="shared" si="20"/>
        <v>1.7452406437283376E-2</v>
      </c>
      <c r="F107" s="24">
        <f t="shared" si="21"/>
        <v>11</v>
      </c>
      <c r="G107" s="24">
        <f t="shared" si="22"/>
        <v>1.7455064928217447E-2</v>
      </c>
      <c r="H107" s="24">
        <f t="shared" si="23"/>
        <v>11</v>
      </c>
      <c r="I107" s="29">
        <f t="shared" si="24"/>
        <v>1.0001523280439077</v>
      </c>
      <c r="K107" s="1" t="str">
        <f t="shared" si="28"/>
        <v>1.53588974175501,0.999390827019096</v>
      </c>
      <c r="L107" s="1" t="str">
        <f t="shared" si="29"/>
        <v>1.53588974175501,0.0348994967025011</v>
      </c>
      <c r="M107" s="1" t="str">
        <f t="shared" si="30"/>
        <v>1.53588974175501,11</v>
      </c>
      <c r="N107" s="1" t="str">
        <f t="shared" si="25"/>
        <v>1.53588974175501,0.0349207694917478</v>
      </c>
      <c r="O107" s="1" t="str">
        <f t="shared" si="25"/>
        <v>1.53588974175501,11</v>
      </c>
      <c r="P107" s="1" t="str">
        <f t="shared" si="26"/>
        <v>1.53588974175501,1.00060954429882</v>
      </c>
    </row>
    <row r="108" spans="2:16" x14ac:dyDescent="0.6">
      <c r="B108" s="25">
        <v>90</v>
      </c>
      <c r="C108" s="24">
        <f t="shared" si="27"/>
        <v>1.5707963267948966</v>
      </c>
      <c r="D108" s="24">
        <f t="shared" si="19"/>
        <v>1</v>
      </c>
      <c r="E108" s="24">
        <f t="shared" si="20"/>
        <v>6.1257422745431001E-17</v>
      </c>
      <c r="F108" s="24">
        <f t="shared" si="21"/>
        <v>11</v>
      </c>
      <c r="G108" s="24">
        <f t="shared" si="22"/>
        <v>6.1257422745431001E-17</v>
      </c>
      <c r="H108" s="24">
        <f t="shared" si="23"/>
        <v>11</v>
      </c>
      <c r="I108" s="29">
        <f t="shared" si="24"/>
        <v>1</v>
      </c>
      <c r="K108" s="1" t="str">
        <f t="shared" si="28"/>
        <v>1.55334303427495,0.999847695156391</v>
      </c>
      <c r="L108" s="1" t="str">
        <f t="shared" si="29"/>
        <v>1.55334303427495,0.0174524064372834</v>
      </c>
      <c r="M108" s="1" t="str">
        <f t="shared" si="30"/>
        <v>1.55334303427495,11</v>
      </c>
      <c r="N108" s="1" t="str">
        <f t="shared" si="25"/>
        <v>1.55334303427495,0.0174550649282174</v>
      </c>
      <c r="O108" s="1" t="str">
        <f t="shared" si="25"/>
        <v>1.55334303427495,11</v>
      </c>
      <c r="P108" s="1" t="str">
        <f t="shared" si="26"/>
        <v>1.55334303427495,1.00015232804391</v>
      </c>
    </row>
    <row r="109" spans="2:16" x14ac:dyDescent="0.6">
      <c r="B109" s="25">
        <v>91</v>
      </c>
      <c r="C109" s="24">
        <f t="shared" si="27"/>
        <v>1.5882496193148399</v>
      </c>
      <c r="D109" s="24">
        <f t="shared" si="19"/>
        <v>0.99984769515639127</v>
      </c>
      <c r="E109" s="24">
        <f t="shared" si="20"/>
        <v>-1.7452406437283477E-2</v>
      </c>
      <c r="F109" s="24">
        <f t="shared" si="21"/>
        <v>-11</v>
      </c>
      <c r="G109" s="24">
        <f t="shared" si="22"/>
        <v>-1.7455064928217547E-2</v>
      </c>
      <c r="H109" s="24">
        <f t="shared" si="23"/>
        <v>-11</v>
      </c>
      <c r="I109" s="29">
        <f t="shared" si="24"/>
        <v>1.0001523280439077</v>
      </c>
      <c r="K109" s="1" t="str">
        <f t="shared" si="28"/>
        <v>1.5707963267949,1</v>
      </c>
      <c r="L109" s="1" t="str">
        <f t="shared" si="29"/>
        <v>1.5707963267949,6.1257422745431E-17</v>
      </c>
      <c r="M109" s="1" t="str">
        <f t="shared" si="30"/>
        <v>1.5707963267949,11</v>
      </c>
      <c r="N109" s="1" t="str">
        <f t="shared" si="25"/>
        <v>1.5707963267949,6.1257422745431E-17</v>
      </c>
      <c r="O109" s="1" t="str">
        <f t="shared" si="25"/>
        <v>1.5707963267949,11</v>
      </c>
      <c r="P109" s="1" t="str">
        <f t="shared" si="26"/>
        <v>1.5707963267949,1</v>
      </c>
    </row>
    <row r="110" spans="2:16" x14ac:dyDescent="0.6">
      <c r="B110" s="25">
        <v>92</v>
      </c>
      <c r="C110" s="24">
        <f t="shared" si="27"/>
        <v>1.605702911834783</v>
      </c>
      <c r="D110" s="24">
        <f t="shared" si="19"/>
        <v>0.99939082701909576</v>
      </c>
      <c r="E110" s="24">
        <f t="shared" si="20"/>
        <v>-3.4899496702500733E-2</v>
      </c>
      <c r="F110" s="24">
        <f t="shared" si="21"/>
        <v>-11</v>
      </c>
      <c r="G110" s="24">
        <f t="shared" si="22"/>
        <v>-3.4920769491747494E-2</v>
      </c>
      <c r="H110" s="24">
        <f t="shared" si="23"/>
        <v>-11</v>
      </c>
      <c r="I110" s="29">
        <f t="shared" si="24"/>
        <v>1.0006095442988217</v>
      </c>
      <c r="K110" s="1" t="str">
        <f t="shared" si="28"/>
        <v>1.58824961931484,0.999847695156391</v>
      </c>
      <c r="L110" s="1" t="str">
        <f t="shared" si="29"/>
        <v>1.58824961931484,-0.0174524064372835</v>
      </c>
      <c r="M110" s="1" t="str">
        <f t="shared" si="30"/>
        <v>1.58824961931484,-11</v>
      </c>
      <c r="N110" s="1" t="str">
        <f t="shared" si="25"/>
        <v>1.58824961931484,-0.0174550649282175</v>
      </c>
      <c r="O110" s="1" t="str">
        <f t="shared" si="25"/>
        <v>1.58824961931484,-11</v>
      </c>
      <c r="P110" s="1" t="str">
        <f t="shared" si="26"/>
        <v>1.58824961931484,1.00015232804391</v>
      </c>
    </row>
    <row r="111" spans="2:16" x14ac:dyDescent="0.6">
      <c r="B111" s="25">
        <v>93</v>
      </c>
      <c r="C111" s="24">
        <f t="shared" si="27"/>
        <v>1.6231562043547263</v>
      </c>
      <c r="D111" s="24">
        <f t="shared" si="19"/>
        <v>0.99862953475457383</v>
      </c>
      <c r="E111" s="24">
        <f t="shared" si="20"/>
        <v>-5.233595624294362E-2</v>
      </c>
      <c r="F111" s="24">
        <f t="shared" si="21"/>
        <v>-11</v>
      </c>
      <c r="G111" s="24">
        <f t="shared" si="22"/>
        <v>-5.2407779283040988E-2</v>
      </c>
      <c r="H111" s="24">
        <f t="shared" si="23"/>
        <v>-11</v>
      </c>
      <c r="I111" s="29">
        <f t="shared" si="24"/>
        <v>1.0013723459979209</v>
      </c>
      <c r="K111" s="1" t="str">
        <f t="shared" si="28"/>
        <v>1.60570291183478,0.999390827019096</v>
      </c>
      <c r="L111" s="1" t="str">
        <f t="shared" si="29"/>
        <v>1.60570291183478,-0.0348994967025007</v>
      </c>
      <c r="M111" s="1" t="str">
        <f t="shared" si="30"/>
        <v>1.60570291183478,-11</v>
      </c>
      <c r="N111" s="1" t="str">
        <f t="shared" si="25"/>
        <v>1.60570291183478,-0.0349207694917475</v>
      </c>
      <c r="O111" s="1" t="str">
        <f t="shared" si="25"/>
        <v>1.60570291183478,-11</v>
      </c>
      <c r="P111" s="1" t="str">
        <f t="shared" si="26"/>
        <v>1.60570291183478,1.00060954429882</v>
      </c>
    </row>
    <row r="112" spans="2:16" x14ac:dyDescent="0.6">
      <c r="B112" s="25">
        <v>94</v>
      </c>
      <c r="C112" s="24">
        <f t="shared" si="27"/>
        <v>1.6406094968746698</v>
      </c>
      <c r="D112" s="24">
        <f t="shared" si="19"/>
        <v>0.9975640502598242</v>
      </c>
      <c r="E112" s="24">
        <f t="shared" si="20"/>
        <v>-6.975647374412533E-2</v>
      </c>
      <c r="F112" s="24">
        <f t="shared" si="21"/>
        <v>-11</v>
      </c>
      <c r="G112" s="24">
        <f t="shared" si="22"/>
        <v>-6.9926811943510456E-2</v>
      </c>
      <c r="H112" s="24">
        <f t="shared" si="23"/>
        <v>-11</v>
      </c>
      <c r="I112" s="29">
        <f t="shared" si="24"/>
        <v>1.0024418980811722</v>
      </c>
      <c r="K112" s="1" t="str">
        <f t="shared" si="28"/>
        <v>1.62315620435473,0.998629534754574</v>
      </c>
      <c r="L112" s="1" t="str">
        <f t="shared" si="29"/>
        <v>1.62315620435473,-0.0523359562429436</v>
      </c>
      <c r="M112" s="1" t="str">
        <f t="shared" si="30"/>
        <v>1.62315620435473,-11</v>
      </c>
      <c r="N112" s="1" t="str">
        <f t="shared" si="25"/>
        <v>1.62315620435473,-0.052407779283041</v>
      </c>
      <c r="O112" s="1" t="str">
        <f t="shared" si="25"/>
        <v>1.62315620435473,-11</v>
      </c>
      <c r="P112" s="1" t="str">
        <f t="shared" si="26"/>
        <v>1.62315620435473,1.00137234599792</v>
      </c>
    </row>
    <row r="113" spans="2:16" x14ac:dyDescent="0.6">
      <c r="B113" s="25">
        <v>95</v>
      </c>
      <c r="C113" s="24">
        <f t="shared" si="27"/>
        <v>1.6580627893946132</v>
      </c>
      <c r="D113" s="24">
        <f t="shared" si="19"/>
        <v>0.99619469809174555</v>
      </c>
      <c r="E113" s="24">
        <f t="shared" si="20"/>
        <v>-8.7155742747658235E-2</v>
      </c>
      <c r="F113" s="24">
        <f t="shared" si="21"/>
        <v>-11</v>
      </c>
      <c r="G113" s="24">
        <f t="shared" si="22"/>
        <v>-8.7488663525924062E-2</v>
      </c>
      <c r="H113" s="24">
        <f t="shared" si="23"/>
        <v>-11</v>
      </c>
      <c r="I113" s="29">
        <f t="shared" si="24"/>
        <v>1.0038198375433474</v>
      </c>
      <c r="K113" s="1" t="str">
        <f t="shared" si="28"/>
        <v>1.64060949687467,0.997564050259824</v>
      </c>
      <c r="L113" s="1" t="str">
        <f t="shared" si="29"/>
        <v>1.64060949687467,-0.0697564737441253</v>
      </c>
      <c r="M113" s="1" t="str">
        <f t="shared" si="30"/>
        <v>1.64060949687467,-11</v>
      </c>
      <c r="N113" s="1" t="str">
        <f t="shared" si="25"/>
        <v>1.64060949687467,-0.0699268119435105</v>
      </c>
      <c r="O113" s="1" t="str">
        <f t="shared" si="25"/>
        <v>1.64060949687467,-11</v>
      </c>
      <c r="P113" s="1" t="str">
        <f t="shared" si="26"/>
        <v>1.64060949687467,1.00244189808117</v>
      </c>
    </row>
    <row r="114" spans="2:16" x14ac:dyDescent="0.6">
      <c r="B114" s="25">
        <v>96</v>
      </c>
      <c r="C114" s="24">
        <f t="shared" si="27"/>
        <v>1.6755160819145563</v>
      </c>
      <c r="D114" s="24">
        <f t="shared" si="19"/>
        <v>0.9945218953682734</v>
      </c>
      <c r="E114" s="24">
        <f t="shared" si="20"/>
        <v>-0.10452846326765333</v>
      </c>
      <c r="F114" s="24">
        <f t="shared" si="21"/>
        <v>-9.5143644542225978</v>
      </c>
      <c r="G114" s="24">
        <f t="shared" si="22"/>
        <v>-0.10510423526567632</v>
      </c>
      <c r="H114" s="24">
        <f t="shared" si="23"/>
        <v>-9.5667722335056382</v>
      </c>
      <c r="I114" s="29">
        <f t="shared" si="24"/>
        <v>1.0055082795635164</v>
      </c>
      <c r="K114" s="1" t="str">
        <f t="shared" si="28"/>
        <v>1.65806278939461,0.996194698091746</v>
      </c>
      <c r="L114" s="1" t="str">
        <f t="shared" si="29"/>
        <v>1.65806278939461,-0.0871557427476582</v>
      </c>
      <c r="M114" s="1" t="str">
        <f t="shared" si="30"/>
        <v>1.65806278939461,-11</v>
      </c>
      <c r="N114" s="1" t="str">
        <f t="shared" si="25"/>
        <v>1.65806278939461,-0.0874886635259241</v>
      </c>
      <c r="O114" s="1" t="str">
        <f t="shared" si="25"/>
        <v>1.65806278939461,-11</v>
      </c>
      <c r="P114" s="1" t="str">
        <f t="shared" si="26"/>
        <v>1.65806278939461,1.00381983754335</v>
      </c>
    </row>
    <row r="115" spans="2:16" x14ac:dyDescent="0.6">
      <c r="B115" s="25">
        <v>97</v>
      </c>
      <c r="C115" s="24">
        <f t="shared" si="27"/>
        <v>1.6929693744344996</v>
      </c>
      <c r="D115" s="24">
        <f t="shared" si="19"/>
        <v>0.99254615164132209</v>
      </c>
      <c r="E115" s="24">
        <f t="shared" si="20"/>
        <v>-0.12186934340514737</v>
      </c>
      <c r="F115" s="24">
        <f t="shared" si="21"/>
        <v>-8.1443464279746021</v>
      </c>
      <c r="G115" s="24">
        <f t="shared" si="22"/>
        <v>-0.12278456090290447</v>
      </c>
      <c r="H115" s="24">
        <f t="shared" si="23"/>
        <v>-8.2055090481250854</v>
      </c>
      <c r="I115" s="29">
        <f t="shared" si="24"/>
        <v>1.0075098254588484</v>
      </c>
      <c r="K115" s="1" t="str">
        <f t="shared" si="28"/>
        <v>1.67551608191456,0.994521895368273</v>
      </c>
      <c r="L115" s="1" t="str">
        <f t="shared" si="29"/>
        <v>1.67551608191456,-0.104528463267653</v>
      </c>
      <c r="M115" s="1" t="str">
        <f t="shared" si="30"/>
        <v>1.67551608191456,-9.5143644542226</v>
      </c>
      <c r="N115" s="1" t="str">
        <f t="shared" si="25"/>
        <v>1.67551608191456,-0.105104235265676</v>
      </c>
      <c r="O115" s="1" t="str">
        <f t="shared" si="25"/>
        <v>1.67551608191456,-9.56677223350564</v>
      </c>
      <c r="P115" s="1" t="str">
        <f t="shared" si="26"/>
        <v>1.67551608191456,1.00550827956352</v>
      </c>
    </row>
    <row r="116" spans="2:16" x14ac:dyDescent="0.6">
      <c r="B116" s="25">
        <v>98</v>
      </c>
      <c r="C116" s="24">
        <f t="shared" si="27"/>
        <v>1.7104226669544429</v>
      </c>
      <c r="D116" s="24">
        <f t="shared" si="19"/>
        <v>0.99026806874157036</v>
      </c>
      <c r="E116" s="24">
        <f t="shared" si="20"/>
        <v>-0.13917310096006535</v>
      </c>
      <c r="F116" s="24">
        <f t="shared" si="21"/>
        <v>-7.1153697223842132</v>
      </c>
      <c r="G116" s="24">
        <f t="shared" si="22"/>
        <v>-0.14054083470239137</v>
      </c>
      <c r="H116" s="24">
        <f t="shared" si="23"/>
        <v>-7.1852965343277235</v>
      </c>
      <c r="I116" s="29">
        <f t="shared" si="24"/>
        <v>1.0098275725186181</v>
      </c>
      <c r="K116" s="1" t="str">
        <f t="shared" si="28"/>
        <v>1.6929693744345,0.992546151641322</v>
      </c>
      <c r="L116" s="1" t="str">
        <f t="shared" si="29"/>
        <v>1.6929693744345,-0.121869343405147</v>
      </c>
      <c r="M116" s="1" t="str">
        <f t="shared" si="30"/>
        <v>1.6929693744345,-8.1443464279746</v>
      </c>
      <c r="N116" s="1" t="str">
        <f t="shared" si="25"/>
        <v>1.6929693744345,-0.122784560902904</v>
      </c>
      <c r="O116" s="1" t="str">
        <f t="shared" si="25"/>
        <v>1.6929693744345,-8.20550904812509</v>
      </c>
      <c r="P116" s="1" t="str">
        <f t="shared" si="26"/>
        <v>1.6929693744345,1.00750982545885</v>
      </c>
    </row>
    <row r="117" spans="2:16" x14ac:dyDescent="0.6">
      <c r="B117" s="25">
        <v>99</v>
      </c>
      <c r="C117" s="24">
        <f t="shared" si="27"/>
        <v>1.7278759594743864</v>
      </c>
      <c r="D117" s="24">
        <f t="shared" si="19"/>
        <v>0.98768834059513766</v>
      </c>
      <c r="E117" s="24">
        <f t="shared" si="20"/>
        <v>-0.15643446504023104</v>
      </c>
      <c r="F117" s="24">
        <f t="shared" si="21"/>
        <v>-6.3137515146750367</v>
      </c>
      <c r="G117" s="24">
        <f t="shared" si="22"/>
        <v>-0.15838444032453644</v>
      </c>
      <c r="H117" s="24">
        <f t="shared" si="23"/>
        <v>-6.3924532214996548</v>
      </c>
      <c r="I117" s="29">
        <f t="shared" si="24"/>
        <v>1.0124651257880031</v>
      </c>
      <c r="K117" s="1" t="str">
        <f t="shared" si="28"/>
        <v>1.71042266695444,0.99026806874157</v>
      </c>
      <c r="L117" s="1" t="str">
        <f t="shared" si="29"/>
        <v>1.71042266695444,-0.139173100960065</v>
      </c>
      <c r="M117" s="1" t="str">
        <f t="shared" si="30"/>
        <v>1.71042266695444,-7.11536972238421</v>
      </c>
      <c r="N117" s="1" t="str">
        <f t="shared" si="25"/>
        <v>1.71042266695444,-0.140540834702391</v>
      </c>
      <c r="O117" s="1" t="str">
        <f t="shared" si="25"/>
        <v>1.71042266695444,-7.18529653432772</v>
      </c>
      <c r="P117" s="1" t="str">
        <f t="shared" si="26"/>
        <v>1.71042266695444,1.00982757251862</v>
      </c>
    </row>
    <row r="118" spans="2:16" x14ac:dyDescent="0.6">
      <c r="B118" s="25">
        <v>100</v>
      </c>
      <c r="C118" s="24">
        <f t="shared" si="27"/>
        <v>1.7453292519943295</v>
      </c>
      <c r="D118" s="24">
        <f t="shared" si="19"/>
        <v>0.98480775301220802</v>
      </c>
      <c r="E118" s="24">
        <f t="shared" si="20"/>
        <v>-0.1736481776669303</v>
      </c>
      <c r="F118" s="24">
        <f t="shared" si="21"/>
        <v>-5.6712818196177111</v>
      </c>
      <c r="G118" s="24">
        <f t="shared" si="22"/>
        <v>-0.17632698070846492</v>
      </c>
      <c r="H118" s="24">
        <f t="shared" si="23"/>
        <v>-5.7587704831436346</v>
      </c>
      <c r="I118" s="29">
        <f t="shared" si="24"/>
        <v>1.0154266118857451</v>
      </c>
      <c r="K118" s="1" t="str">
        <f t="shared" si="28"/>
        <v>1.72787595947439,0.987688340595138</v>
      </c>
      <c r="L118" s="1" t="str">
        <f t="shared" si="29"/>
        <v>1.72787595947439,-0.156434465040231</v>
      </c>
      <c r="M118" s="1" t="str">
        <f t="shared" si="30"/>
        <v>1.72787595947439,-6.31375151467504</v>
      </c>
      <c r="N118" s="1" t="str">
        <f t="shared" si="25"/>
        <v>1.72787595947439,-0.158384440324536</v>
      </c>
      <c r="O118" s="1" t="str">
        <f t="shared" si="25"/>
        <v>1.72787595947439,-6.39245322149965</v>
      </c>
      <c r="P118" s="1" t="str">
        <f t="shared" si="26"/>
        <v>1.72787595947439,1.012465125788</v>
      </c>
    </row>
    <row r="119" spans="2:16" x14ac:dyDescent="0.6">
      <c r="B119" s="25">
        <v>101</v>
      </c>
      <c r="C119" s="24">
        <f t="shared" si="27"/>
        <v>1.7627825445142729</v>
      </c>
      <c r="D119" s="24">
        <f t="shared" si="19"/>
        <v>0.98162718344766398</v>
      </c>
      <c r="E119" s="24">
        <f t="shared" si="20"/>
        <v>-0.1908089953765448</v>
      </c>
      <c r="F119" s="24">
        <f t="shared" si="21"/>
        <v>-5.1445540159703107</v>
      </c>
      <c r="G119" s="24">
        <f t="shared" si="22"/>
        <v>-0.19438030913771848</v>
      </c>
      <c r="H119" s="24">
        <f t="shared" si="23"/>
        <v>-5.2408430641678487</v>
      </c>
      <c r="I119" s="29">
        <f t="shared" si="24"/>
        <v>1.0187166949552142</v>
      </c>
      <c r="K119" s="1" t="str">
        <f t="shared" si="28"/>
        <v>1.74532925199433,0.984807753012208</v>
      </c>
      <c r="L119" s="1" t="str">
        <f t="shared" si="29"/>
        <v>1.74532925199433,-0.17364817766693</v>
      </c>
      <c r="M119" s="1" t="str">
        <f t="shared" si="30"/>
        <v>1.74532925199433,-5.67128181961771</v>
      </c>
      <c r="N119" s="1" t="str">
        <f t="shared" si="25"/>
        <v>1.74532925199433,-0.176326980708465</v>
      </c>
      <c r="O119" s="1" t="str">
        <f t="shared" si="25"/>
        <v>1.74532925199433,-5.75877048314363</v>
      </c>
      <c r="P119" s="1" t="str">
        <f t="shared" si="26"/>
        <v>1.74532925199433,1.01542661188575</v>
      </c>
    </row>
    <row r="120" spans="2:16" x14ac:dyDescent="0.6">
      <c r="B120" s="25">
        <v>102</v>
      </c>
      <c r="C120" s="24">
        <f t="shared" si="27"/>
        <v>1.780235837034216</v>
      </c>
      <c r="D120" s="24">
        <f t="shared" si="19"/>
        <v>0.97814760073380569</v>
      </c>
      <c r="E120" s="24">
        <f t="shared" si="20"/>
        <v>-0.20791169081775912</v>
      </c>
      <c r="F120" s="24">
        <f t="shared" si="21"/>
        <v>-4.7046301094784591</v>
      </c>
      <c r="G120" s="24">
        <f t="shared" si="22"/>
        <v>-0.2125565616700219</v>
      </c>
      <c r="H120" s="24">
        <f t="shared" si="23"/>
        <v>-4.8097343447441361</v>
      </c>
      <c r="I120" s="29">
        <f t="shared" si="24"/>
        <v>1.0223405948650293</v>
      </c>
      <c r="K120" s="1" t="str">
        <f t="shared" si="28"/>
        <v>1.76278254451427,0.981627183447664</v>
      </c>
      <c r="L120" s="1" t="str">
        <f t="shared" si="29"/>
        <v>1.76278254451427,-0.190808995376545</v>
      </c>
      <c r="M120" s="1" t="str">
        <f t="shared" si="30"/>
        <v>1.76278254451427,-5.14455401597031</v>
      </c>
      <c r="N120" s="1" t="str">
        <f t="shared" si="25"/>
        <v>1.76278254451427,-0.194380309137718</v>
      </c>
      <c r="O120" s="1" t="str">
        <f t="shared" si="25"/>
        <v>1.76278254451427,-5.24084306416785</v>
      </c>
      <c r="P120" s="1" t="str">
        <f t="shared" si="26"/>
        <v>1.76278254451427,1.01871669495521</v>
      </c>
    </row>
    <row r="121" spans="2:16" x14ac:dyDescent="0.6">
      <c r="B121" s="25">
        <v>103</v>
      </c>
      <c r="C121" s="24">
        <f t="shared" si="27"/>
        <v>1.7976891295541593</v>
      </c>
      <c r="D121" s="24">
        <f t="shared" si="19"/>
        <v>0.97437006478523525</v>
      </c>
      <c r="E121" s="24">
        <f t="shared" si="20"/>
        <v>-0.22495105434386481</v>
      </c>
      <c r="F121" s="24">
        <f t="shared" si="21"/>
        <v>-4.331475874284159</v>
      </c>
      <c r="G121" s="24">
        <f t="shared" si="22"/>
        <v>-0.23086819112556292</v>
      </c>
      <c r="H121" s="24">
        <f t="shared" si="23"/>
        <v>-4.4454114825858051</v>
      </c>
      <c r="I121" s="29">
        <f t="shared" si="24"/>
        <v>1.0263041077933917</v>
      </c>
      <c r="K121" s="1" t="str">
        <f t="shared" si="28"/>
        <v>1.78023583703422,0.978147600733806</v>
      </c>
      <c r="L121" s="1" t="str">
        <f t="shared" si="29"/>
        <v>1.78023583703422,-0.207911690817759</v>
      </c>
      <c r="M121" s="1" t="str">
        <f t="shared" si="30"/>
        <v>1.78023583703422,-4.70463010947846</v>
      </c>
      <c r="N121" s="1" t="str">
        <f t="shared" si="25"/>
        <v>1.78023583703422,-0.212556561670022</v>
      </c>
      <c r="O121" s="1" t="str">
        <f t="shared" si="25"/>
        <v>1.78023583703422,-4.80973434474414</v>
      </c>
      <c r="P121" s="1" t="str">
        <f t="shared" si="26"/>
        <v>1.78023583703422,1.02234059486503</v>
      </c>
    </row>
    <row r="122" spans="2:16" x14ac:dyDescent="0.6">
      <c r="B122" s="25">
        <v>104</v>
      </c>
      <c r="C122" s="24">
        <f t="shared" si="27"/>
        <v>1.8151424220741028</v>
      </c>
      <c r="D122" s="24">
        <f t="shared" si="19"/>
        <v>0.97029572627599647</v>
      </c>
      <c r="E122" s="24">
        <f t="shared" si="20"/>
        <v>-0.24192189559966779</v>
      </c>
      <c r="F122" s="24">
        <f t="shared" si="21"/>
        <v>-4.0107809335358438</v>
      </c>
      <c r="G122" s="24">
        <f t="shared" si="22"/>
        <v>-0.24932800284318074</v>
      </c>
      <c r="H122" s="24">
        <f t="shared" si="23"/>
        <v>-4.1335654944387485</v>
      </c>
      <c r="I122" s="29">
        <f t="shared" si="24"/>
        <v>1.0306136293498982</v>
      </c>
      <c r="K122" s="1" t="str">
        <f t="shared" si="28"/>
        <v>1.79768912955416,0.974370064785235</v>
      </c>
      <c r="L122" s="1" t="str">
        <f t="shared" si="29"/>
        <v>1.79768912955416,-0.224951054343865</v>
      </c>
      <c r="M122" s="1" t="str">
        <f t="shared" si="30"/>
        <v>1.79768912955416,-4.33147587428416</v>
      </c>
      <c r="N122" s="1" t="str">
        <f t="shared" si="25"/>
        <v>1.79768912955416,-0.230868191125563</v>
      </c>
      <c r="O122" s="1" t="str">
        <f t="shared" si="25"/>
        <v>1.79768912955416,-4.44541148258581</v>
      </c>
      <c r="P122" s="1" t="str">
        <f t="shared" si="26"/>
        <v>1.79768912955416,1.02630410779339</v>
      </c>
    </row>
    <row r="123" spans="2:16" x14ac:dyDescent="0.6">
      <c r="B123" s="25">
        <v>105</v>
      </c>
      <c r="C123" s="24">
        <f t="shared" si="27"/>
        <v>1.8325957145940461</v>
      </c>
      <c r="D123" s="24">
        <f t="shared" si="19"/>
        <v>0.96592582628906831</v>
      </c>
      <c r="E123" s="24">
        <f t="shared" si="20"/>
        <v>-0.25881904510252085</v>
      </c>
      <c r="F123" s="24">
        <f t="shared" si="21"/>
        <v>-3.7320508075688763</v>
      </c>
      <c r="G123" s="24">
        <f t="shared" si="22"/>
        <v>-0.26794919243112275</v>
      </c>
      <c r="H123" s="24">
        <f t="shared" si="23"/>
        <v>-3.8637033051562719</v>
      </c>
      <c r="I123" s="29">
        <f t="shared" si="24"/>
        <v>1.035276180410083</v>
      </c>
      <c r="K123" s="1" t="str">
        <f t="shared" si="28"/>
        <v>1.8151424220741,0.970295726275996</v>
      </c>
      <c r="L123" s="1" t="str">
        <f t="shared" si="29"/>
        <v>1.8151424220741,-0.241921895599668</v>
      </c>
      <c r="M123" s="1" t="str">
        <f t="shared" si="30"/>
        <v>1.8151424220741,-4.01078093353584</v>
      </c>
      <c r="N123" s="1" t="str">
        <f t="shared" si="25"/>
        <v>1.8151424220741,-0.249328002843181</v>
      </c>
      <c r="O123" s="1" t="str">
        <f t="shared" si="25"/>
        <v>1.8151424220741,-4.13356549443875</v>
      </c>
      <c r="P123" s="1" t="str">
        <f t="shared" si="26"/>
        <v>1.8151424220741,1.0306136293499</v>
      </c>
    </row>
    <row r="124" spans="2:16" x14ac:dyDescent="0.6">
      <c r="B124" s="25">
        <v>106</v>
      </c>
      <c r="C124" s="24">
        <f t="shared" si="27"/>
        <v>1.8500490071139892</v>
      </c>
      <c r="D124" s="24">
        <f t="shared" si="19"/>
        <v>0.96126169593831889</v>
      </c>
      <c r="E124" s="24">
        <f t="shared" si="20"/>
        <v>-0.27563735581699905</v>
      </c>
      <c r="F124" s="24">
        <f t="shared" si="21"/>
        <v>-3.48741444384091</v>
      </c>
      <c r="G124" s="24">
        <f t="shared" si="22"/>
        <v>-0.28674538575880781</v>
      </c>
      <c r="H124" s="24">
        <f t="shared" si="23"/>
        <v>-3.6279552785433018</v>
      </c>
      <c r="I124" s="29">
        <f t="shared" si="24"/>
        <v>1.040299435861602</v>
      </c>
      <c r="K124" s="1" t="str">
        <f t="shared" si="28"/>
        <v>1.83259571459405,0.965925826289068</v>
      </c>
      <c r="L124" s="1" t="str">
        <f t="shared" si="29"/>
        <v>1.83259571459405,-0.258819045102521</v>
      </c>
      <c r="M124" s="1" t="str">
        <f t="shared" si="30"/>
        <v>1.83259571459405,-3.73205080756888</v>
      </c>
      <c r="N124" s="1" t="str">
        <f t="shared" si="25"/>
        <v>1.83259571459405,-0.267949192431123</v>
      </c>
      <c r="O124" s="1" t="str">
        <f t="shared" si="25"/>
        <v>1.83259571459405,-3.86370330515627</v>
      </c>
      <c r="P124" s="1" t="str">
        <f t="shared" si="26"/>
        <v>1.83259571459405,1.03527618041008</v>
      </c>
    </row>
    <row r="125" spans="2:16" x14ac:dyDescent="0.6">
      <c r="B125" s="25">
        <v>107</v>
      </c>
      <c r="C125" s="24">
        <f t="shared" si="27"/>
        <v>1.8675022996339325</v>
      </c>
      <c r="D125" s="24">
        <f t="shared" si="19"/>
        <v>0.95630475596303555</v>
      </c>
      <c r="E125" s="24">
        <f t="shared" si="20"/>
        <v>-0.29237170472273666</v>
      </c>
      <c r="F125" s="24">
        <f t="shared" si="21"/>
        <v>-3.2708526184841422</v>
      </c>
      <c r="G125" s="24">
        <f t="shared" si="22"/>
        <v>-0.30573068145866023</v>
      </c>
      <c r="H125" s="24">
        <f t="shared" si="23"/>
        <v>-3.4203036198332697</v>
      </c>
      <c r="I125" s="29">
        <f t="shared" si="24"/>
        <v>1.045691756487148</v>
      </c>
      <c r="K125" s="1" t="str">
        <f t="shared" si="28"/>
        <v>1.85004900711399,0.961261695938319</v>
      </c>
      <c r="L125" s="1" t="str">
        <f t="shared" si="29"/>
        <v>1.85004900711399,-0.275637355816999</v>
      </c>
      <c r="M125" s="1" t="str">
        <f t="shared" si="30"/>
        <v>1.85004900711399,-3.48741444384091</v>
      </c>
      <c r="N125" s="1" t="str">
        <f t="shared" si="25"/>
        <v>1.85004900711399,-0.286745385758808</v>
      </c>
      <c r="O125" s="1" t="str">
        <f t="shared" si="25"/>
        <v>1.85004900711399,-3.6279552785433</v>
      </c>
      <c r="P125" s="1" t="str">
        <f t="shared" si="26"/>
        <v>1.85004900711399,1.0402994358616</v>
      </c>
    </row>
    <row r="126" spans="2:16" x14ac:dyDescent="0.6">
      <c r="B126" s="25">
        <v>108</v>
      </c>
      <c r="C126" s="24">
        <f t="shared" si="27"/>
        <v>1.8849555921538759</v>
      </c>
      <c r="D126" s="24">
        <f t="shared" si="19"/>
        <v>0.95105651629515364</v>
      </c>
      <c r="E126" s="24">
        <f t="shared" si="20"/>
        <v>-0.30901699437494734</v>
      </c>
      <c r="F126" s="24">
        <f t="shared" si="21"/>
        <v>-3.077683537175254</v>
      </c>
      <c r="G126" s="24">
        <f t="shared" si="22"/>
        <v>-0.32491969623290629</v>
      </c>
      <c r="H126" s="24">
        <f t="shared" si="23"/>
        <v>-3.2360679774997907</v>
      </c>
      <c r="I126" s="29">
        <f t="shared" si="24"/>
        <v>1.0514622242382672</v>
      </c>
      <c r="K126" s="1" t="str">
        <f t="shared" si="28"/>
        <v>1.86750229963393,0.956304755963036</v>
      </c>
      <c r="L126" s="1" t="str">
        <f t="shared" si="29"/>
        <v>1.86750229963393,-0.292371704722737</v>
      </c>
      <c r="M126" s="1" t="str">
        <f t="shared" si="30"/>
        <v>1.86750229963393,-3.27085261848414</v>
      </c>
      <c r="N126" s="1" t="str">
        <f t="shared" si="25"/>
        <v>1.86750229963393,-0.30573068145866</v>
      </c>
      <c r="O126" s="1" t="str">
        <f t="shared" si="25"/>
        <v>1.86750229963393,-3.42030361983327</v>
      </c>
      <c r="P126" s="1" t="str">
        <f t="shared" si="26"/>
        <v>1.86750229963393,1.04569175648715</v>
      </c>
    </row>
    <row r="127" spans="2:16" x14ac:dyDescent="0.6">
      <c r="B127" s="25">
        <v>109</v>
      </c>
      <c r="C127" s="24">
        <f t="shared" si="27"/>
        <v>1.902408884673819</v>
      </c>
      <c r="D127" s="24">
        <f t="shared" si="19"/>
        <v>0.94551857559931685</v>
      </c>
      <c r="E127" s="24">
        <f t="shared" si="20"/>
        <v>-0.32556815445715642</v>
      </c>
      <c r="F127" s="24">
        <f t="shared" si="21"/>
        <v>-2.9042108776758253</v>
      </c>
      <c r="G127" s="24">
        <f t="shared" si="22"/>
        <v>-0.34432761328966494</v>
      </c>
      <c r="H127" s="24">
        <f t="shared" si="23"/>
        <v>-3.0715534867572445</v>
      </c>
      <c r="I127" s="29">
        <f t="shared" si="24"/>
        <v>1.0576206811866706</v>
      </c>
      <c r="K127" s="1" t="str">
        <f t="shared" si="28"/>
        <v>1.88495559215388,0.951056516295154</v>
      </c>
      <c r="L127" s="1" t="str">
        <f t="shared" si="29"/>
        <v>1.88495559215388,-0.309016994374947</v>
      </c>
      <c r="M127" s="1" t="str">
        <f t="shared" si="30"/>
        <v>1.88495559215388,-3.07768353717525</v>
      </c>
      <c r="N127" s="1" t="str">
        <f t="shared" si="25"/>
        <v>1.88495559215388,-0.324919696232906</v>
      </c>
      <c r="O127" s="1" t="str">
        <f t="shared" si="25"/>
        <v>1.88495559215388,-3.23606797749979</v>
      </c>
      <c r="P127" s="1" t="str">
        <f t="shared" si="26"/>
        <v>1.88495559215388,1.05146222423827</v>
      </c>
    </row>
    <row r="128" spans="2:16" x14ac:dyDescent="0.6">
      <c r="B128" s="25">
        <v>110</v>
      </c>
      <c r="C128" s="24">
        <f t="shared" si="27"/>
        <v>1.9198621771937625</v>
      </c>
      <c r="D128" s="24">
        <f t="shared" si="19"/>
        <v>0.93969262078590843</v>
      </c>
      <c r="E128" s="24">
        <f t="shared" si="20"/>
        <v>-0.34202014332566871</v>
      </c>
      <c r="F128" s="24">
        <f t="shared" si="21"/>
        <v>-2.7474774194546225</v>
      </c>
      <c r="G128" s="24">
        <f t="shared" si="22"/>
        <v>-0.36397023426620234</v>
      </c>
      <c r="H128" s="24">
        <f t="shared" si="23"/>
        <v>-2.9238044001630876</v>
      </c>
      <c r="I128" s="29">
        <f t="shared" si="24"/>
        <v>1.0641777724759121</v>
      </c>
      <c r="K128" s="1" t="str">
        <f t="shared" si="28"/>
        <v>1.90240888467382,0.945518575599317</v>
      </c>
      <c r="L128" s="1" t="str">
        <f t="shared" si="29"/>
        <v>1.90240888467382,-0.325568154457156</v>
      </c>
      <c r="M128" s="1" t="str">
        <f t="shared" si="30"/>
        <v>1.90240888467382,-2.90421087767583</v>
      </c>
      <c r="N128" s="1" t="str">
        <f t="shared" si="25"/>
        <v>1.90240888467382,-0.344327613289665</v>
      </c>
      <c r="O128" s="1" t="str">
        <f t="shared" si="25"/>
        <v>1.90240888467382,-3.07155348675724</v>
      </c>
      <c r="P128" s="1" t="str">
        <f t="shared" si="26"/>
        <v>1.90240888467382,1.05762068118667</v>
      </c>
    </row>
    <row r="129" spans="2:16" x14ac:dyDescent="0.6">
      <c r="B129" s="25">
        <v>111</v>
      </c>
      <c r="C129" s="24">
        <f t="shared" si="27"/>
        <v>1.9373154697137058</v>
      </c>
      <c r="D129" s="24">
        <f t="shared" si="19"/>
        <v>0.93358042649720174</v>
      </c>
      <c r="E129" s="24">
        <f t="shared" si="20"/>
        <v>-0.35836794954530027</v>
      </c>
      <c r="F129" s="24">
        <f t="shared" si="21"/>
        <v>-2.6050890646938014</v>
      </c>
      <c r="G129" s="24">
        <f t="shared" si="22"/>
        <v>-0.38386403503541583</v>
      </c>
      <c r="H129" s="24">
        <f t="shared" si="23"/>
        <v>-2.7904281096253358</v>
      </c>
      <c r="I129" s="29">
        <f t="shared" si="24"/>
        <v>1.071144993637029</v>
      </c>
      <c r="K129" s="1" t="str">
        <f t="shared" si="28"/>
        <v>1.91986217719376,0.939692620785908</v>
      </c>
      <c r="L129" s="1" t="str">
        <f t="shared" si="29"/>
        <v>1.91986217719376,-0.342020143325669</v>
      </c>
      <c r="M129" s="1" t="str">
        <f t="shared" si="30"/>
        <v>1.91986217719376,-2.74747741945462</v>
      </c>
      <c r="N129" s="1" t="str">
        <f t="shared" si="25"/>
        <v>1.91986217719376,-0.363970234266202</v>
      </c>
      <c r="O129" s="1" t="str">
        <f t="shared" si="25"/>
        <v>1.91986217719376,-2.92380440016309</v>
      </c>
      <c r="P129" s="1" t="str">
        <f t="shared" si="26"/>
        <v>1.91986217719376,1.06417777247591</v>
      </c>
    </row>
    <row r="130" spans="2:16" x14ac:dyDescent="0.6">
      <c r="B130" s="25">
        <v>112</v>
      </c>
      <c r="C130" s="24">
        <f t="shared" si="27"/>
        <v>1.9547687622336491</v>
      </c>
      <c r="D130" s="24">
        <f t="shared" si="19"/>
        <v>0.92718385456678742</v>
      </c>
      <c r="E130" s="24">
        <f t="shared" si="20"/>
        <v>-0.37460659341591207</v>
      </c>
      <c r="F130" s="24">
        <f t="shared" si="21"/>
        <v>-2.4750868534162955</v>
      </c>
      <c r="G130" s="24">
        <f t="shared" si="22"/>
        <v>-0.40402622583515685</v>
      </c>
      <c r="H130" s="24">
        <f t="shared" si="23"/>
        <v>-2.6694671625540138</v>
      </c>
      <c r="I130" s="29">
        <f t="shared" si="24"/>
        <v>1.0785347426775833</v>
      </c>
      <c r="K130" s="1" t="str">
        <f t="shared" si="28"/>
        <v>1.93731546971371,0.933580426497202</v>
      </c>
      <c r="L130" s="1" t="str">
        <f t="shared" si="29"/>
        <v>1.93731546971371,-0.3583679495453</v>
      </c>
      <c r="M130" s="1" t="str">
        <f t="shared" si="30"/>
        <v>1.93731546971371,-2.6050890646938</v>
      </c>
      <c r="N130" s="1" t="str">
        <f t="shared" si="25"/>
        <v>1.93731546971371,-0.383864035035416</v>
      </c>
      <c r="O130" s="1" t="str">
        <f t="shared" si="25"/>
        <v>1.93731546971371,-2.79042810962534</v>
      </c>
      <c r="P130" s="1" t="str">
        <f t="shared" si="26"/>
        <v>1.93731546971371,1.07114499363703</v>
      </c>
    </row>
    <row r="131" spans="2:16" x14ac:dyDescent="0.6">
      <c r="B131" s="25">
        <v>113</v>
      </c>
      <c r="C131" s="24">
        <f t="shared" si="27"/>
        <v>1.9722220547535922</v>
      </c>
      <c r="D131" s="24">
        <f t="shared" si="19"/>
        <v>0.92050485345244037</v>
      </c>
      <c r="E131" s="24">
        <f t="shared" si="20"/>
        <v>-0.3907311284892736</v>
      </c>
      <c r="F131" s="24">
        <f t="shared" si="21"/>
        <v>-2.355852365823754</v>
      </c>
      <c r="G131" s="24">
        <f t="shared" si="22"/>
        <v>-0.42447481620960453</v>
      </c>
      <c r="H131" s="24">
        <f t="shared" si="23"/>
        <v>-2.5593046652474531</v>
      </c>
      <c r="I131" s="29">
        <f t="shared" si="24"/>
        <v>1.0863603774052961</v>
      </c>
      <c r="K131" s="1" t="str">
        <f t="shared" si="28"/>
        <v>1.95476876223365,0.927183854566787</v>
      </c>
      <c r="L131" s="1" t="str">
        <f t="shared" si="29"/>
        <v>1.95476876223365,-0.374606593415912</v>
      </c>
      <c r="M131" s="1" t="str">
        <f t="shared" si="30"/>
        <v>1.95476876223365,-2.4750868534163</v>
      </c>
      <c r="N131" s="1" t="str">
        <f t="shared" si="25"/>
        <v>1.95476876223365,-0.404026225835157</v>
      </c>
      <c r="O131" s="1" t="str">
        <f t="shared" si="25"/>
        <v>1.95476876223365,-2.66946716255401</v>
      </c>
      <c r="P131" s="1" t="str">
        <f t="shared" si="26"/>
        <v>1.95476876223365,1.07853474267758</v>
      </c>
    </row>
    <row r="132" spans="2:16" x14ac:dyDescent="0.6">
      <c r="B132" s="25">
        <v>114</v>
      </c>
      <c r="C132" s="24">
        <f t="shared" si="27"/>
        <v>1.9896753472735356</v>
      </c>
      <c r="D132" s="24">
        <f t="shared" ref="D132:D195" si="31">IF(SIN(C132)&gt;$I$3,$I$3,(IF(SIN(C132)&lt;-$I$3,-$I$3,SIN(C132))))</f>
        <v>0.91354545764260098</v>
      </c>
      <c r="E132" s="24">
        <f t="shared" ref="E132:E195" si="32">IF(COS(C132)&gt;$I$3,$I$3,(IF(COS(C132)&lt;-$I$3,-$I$3,COS(C132))))</f>
        <v>-0.40673664307580004</v>
      </c>
      <c r="F132" s="24">
        <f t="shared" ref="F132:F195" si="33">IF(TAN(C132)&gt;$I$3,$I$3,(IF(TAN(C132)&lt;-$I$3,-$I$3,TAN(C132))))</f>
        <v>-2.2460367739042169</v>
      </c>
      <c r="G132" s="24">
        <f t="shared" ref="G132:G195" si="34">IF(_xlfn.COT(C132)&gt;$I$3,$I$3,(IF(_xlfn.COT(C132)&lt;-$I$3,-$I$3,_xlfn.COT(C132))))</f>
        <v>-0.44522868530853599</v>
      </c>
      <c r="H132" s="24">
        <f t="shared" ref="H132:H195" si="35">IF(_xlfn.SEC(C132)&gt;$I$3,$I$3,(IF(_xlfn.SEC(C132)&lt;-$I$3,-$I$3,_xlfn.SEC(C132))))</f>
        <v>-2.4585933355742391</v>
      </c>
      <c r="I132" s="29">
        <f t="shared" ref="I132:I195" si="36">IF(_xlfn.CSC(C132)&gt;$I$3,$I$3,(IF(_xlfn.CSC(C132)&lt;-$I$3,-$I$3,_xlfn.CSC(C132))))</f>
        <v>1.0946362785060466</v>
      </c>
      <c r="K132" s="1" t="str">
        <f t="shared" si="28"/>
        <v>1.97222205475359,0.92050485345244</v>
      </c>
      <c r="L132" s="1" t="str">
        <f t="shared" si="29"/>
        <v>1.97222205475359,-0.390731128489274</v>
      </c>
      <c r="M132" s="1" t="str">
        <f t="shared" si="30"/>
        <v>1.97222205475359,-2.35585236582375</v>
      </c>
      <c r="N132" s="1" t="str">
        <f t="shared" si="25"/>
        <v>1.97222205475359,-0.424474816209605</v>
      </c>
      <c r="O132" s="1" t="str">
        <f t="shared" ref="O132:P195" si="37">_xlfn.CONCAT($C131,",",H131)</f>
        <v>1.97222205475359,-2.55930466524745</v>
      </c>
      <c r="P132" s="1" t="str">
        <f t="shared" si="26"/>
        <v>1.97222205475359,1.0863603774053</v>
      </c>
    </row>
    <row r="133" spans="2:16" x14ac:dyDescent="0.6">
      <c r="B133" s="25">
        <v>115</v>
      </c>
      <c r="C133" s="24">
        <f t="shared" si="27"/>
        <v>2.0071286397934789</v>
      </c>
      <c r="D133" s="24">
        <f t="shared" si="31"/>
        <v>0.90630778703665005</v>
      </c>
      <c r="E133" s="24">
        <f t="shared" si="32"/>
        <v>-0.42261826174069933</v>
      </c>
      <c r="F133" s="24">
        <f t="shared" si="33"/>
        <v>-2.1445069205095595</v>
      </c>
      <c r="G133" s="24">
        <f t="shared" si="34"/>
        <v>-0.46630765815499842</v>
      </c>
      <c r="H133" s="24">
        <f t="shared" si="35"/>
        <v>-2.366201583152499</v>
      </c>
      <c r="I133" s="29">
        <f t="shared" si="36"/>
        <v>1.1033779189624917</v>
      </c>
      <c r="K133" s="1" t="str">
        <f t="shared" si="28"/>
        <v>1.98967534727354,0.913545457642601</v>
      </c>
      <c r="L133" s="1" t="str">
        <f t="shared" si="29"/>
        <v>1.98967534727354,-0.4067366430758</v>
      </c>
      <c r="M133" s="1" t="str">
        <f t="shared" si="30"/>
        <v>1.98967534727354,-2.24603677390422</v>
      </c>
      <c r="N133" s="1" t="str">
        <f t="shared" ref="N133:P196" si="38">_xlfn.CONCAT($C132,",",G132)</f>
        <v>1.98967534727354,-0.445228685308536</v>
      </c>
      <c r="O133" s="1" t="str">
        <f t="shared" si="37"/>
        <v>1.98967534727354,-2.45859333557424</v>
      </c>
      <c r="P133" s="1" t="str">
        <f t="shared" si="37"/>
        <v>1.98967534727354,1.09463627850605</v>
      </c>
    </row>
    <row r="134" spans="2:16" x14ac:dyDescent="0.6">
      <c r="B134" s="25">
        <v>116</v>
      </c>
      <c r="C134" s="24">
        <f t="shared" si="27"/>
        <v>2.0245819323134224</v>
      </c>
      <c r="D134" s="24">
        <f t="shared" si="31"/>
        <v>0.89879404629916693</v>
      </c>
      <c r="E134" s="24">
        <f t="shared" si="32"/>
        <v>-0.43837114678907751</v>
      </c>
      <c r="F134" s="24">
        <f t="shared" si="33"/>
        <v>-2.0503038415792956</v>
      </c>
      <c r="G134" s="24">
        <f t="shared" si="34"/>
        <v>-0.4877325885658616</v>
      </c>
      <c r="H134" s="24">
        <f t="shared" si="35"/>
        <v>-2.281172032704859</v>
      </c>
      <c r="I134" s="29">
        <f t="shared" si="36"/>
        <v>1.112601940475189</v>
      </c>
      <c r="K134" s="1" t="str">
        <f t="shared" si="28"/>
        <v>2.00712863979348,0.90630778703665</v>
      </c>
      <c r="L134" s="1" t="str">
        <f t="shared" si="29"/>
        <v>2.00712863979348,-0.422618261740699</v>
      </c>
      <c r="M134" s="1" t="str">
        <f t="shared" si="30"/>
        <v>2.00712863979348,-2.14450692050956</v>
      </c>
      <c r="N134" s="1" t="str">
        <f t="shared" si="38"/>
        <v>2.00712863979348,-0.466307658154998</v>
      </c>
      <c r="O134" s="1" t="str">
        <f t="shared" si="37"/>
        <v>2.00712863979348,-2.3662015831525</v>
      </c>
      <c r="P134" s="1" t="str">
        <f t="shared" si="37"/>
        <v>2.00712863979348,1.10337791896249</v>
      </c>
    </row>
    <row r="135" spans="2:16" x14ac:dyDescent="0.6">
      <c r="B135" s="25">
        <v>117</v>
      </c>
      <c r="C135" s="24">
        <f t="shared" si="27"/>
        <v>2.0420352248333655</v>
      </c>
      <c r="D135" s="24">
        <f t="shared" si="31"/>
        <v>0.8910065241883679</v>
      </c>
      <c r="E135" s="24">
        <f t="shared" si="32"/>
        <v>-0.45399049973954669</v>
      </c>
      <c r="F135" s="24">
        <f t="shared" si="33"/>
        <v>-1.962610505505151</v>
      </c>
      <c r="G135" s="24">
        <f t="shared" si="34"/>
        <v>-0.50952544949442868</v>
      </c>
      <c r="H135" s="24">
        <f t="shared" si="35"/>
        <v>-2.2026892645852669</v>
      </c>
      <c r="I135" s="29">
        <f t="shared" si="36"/>
        <v>1.1223262376343608</v>
      </c>
      <c r="K135" s="1" t="str">
        <f t="shared" si="28"/>
        <v>2.02458193231342,0.898794046299167</v>
      </c>
      <c r="L135" s="1" t="str">
        <f t="shared" si="29"/>
        <v>2.02458193231342,-0.438371146789078</v>
      </c>
      <c r="M135" s="1" t="str">
        <f t="shared" si="30"/>
        <v>2.02458193231342,-2.0503038415793</v>
      </c>
      <c r="N135" s="1" t="str">
        <f t="shared" si="38"/>
        <v>2.02458193231342,-0.487732588565862</v>
      </c>
      <c r="O135" s="1" t="str">
        <f t="shared" si="37"/>
        <v>2.02458193231342,-2.28117203270486</v>
      </c>
      <c r="P135" s="1" t="str">
        <f t="shared" si="37"/>
        <v>2.02458193231342,1.11260194047519</v>
      </c>
    </row>
    <row r="136" spans="2:16" x14ac:dyDescent="0.6">
      <c r="B136" s="25">
        <v>118</v>
      </c>
      <c r="C136" s="24">
        <f t="shared" si="27"/>
        <v>2.0594885173533086</v>
      </c>
      <c r="D136" s="24">
        <f t="shared" si="31"/>
        <v>0.8829475928589271</v>
      </c>
      <c r="E136" s="24">
        <f t="shared" si="32"/>
        <v>-0.46947156278589053</v>
      </c>
      <c r="F136" s="24">
        <f t="shared" si="33"/>
        <v>-1.8807264653463334</v>
      </c>
      <c r="G136" s="24">
        <f t="shared" si="34"/>
        <v>-0.53170943166147833</v>
      </c>
      <c r="H136" s="24">
        <f t="shared" si="35"/>
        <v>-2.1300544681895137</v>
      </c>
      <c r="I136" s="29">
        <f t="shared" si="36"/>
        <v>1.132570050689039</v>
      </c>
      <c r="K136" s="1" t="str">
        <f t="shared" si="28"/>
        <v>2.04203522483337,0.891006524188368</v>
      </c>
      <c r="L136" s="1" t="str">
        <f t="shared" si="29"/>
        <v>2.04203522483337,-0.453990499739547</v>
      </c>
      <c r="M136" s="1" t="str">
        <f t="shared" si="30"/>
        <v>2.04203522483337,-1.96261050550515</v>
      </c>
      <c r="N136" s="1" t="str">
        <f t="shared" si="38"/>
        <v>2.04203522483337,-0.509525449494429</v>
      </c>
      <c r="O136" s="1" t="str">
        <f t="shared" si="37"/>
        <v>2.04203522483337,-2.20268926458527</v>
      </c>
      <c r="P136" s="1" t="str">
        <f t="shared" si="37"/>
        <v>2.04203522483337,1.12232623763436</v>
      </c>
    </row>
    <row r="137" spans="2:16" x14ac:dyDescent="0.6">
      <c r="B137" s="25">
        <v>119</v>
      </c>
      <c r="C137" s="24">
        <f t="shared" si="27"/>
        <v>2.0769418098732522</v>
      </c>
      <c r="D137" s="24">
        <f t="shared" si="31"/>
        <v>0.87461970713939585</v>
      </c>
      <c r="E137" s="24">
        <f t="shared" si="32"/>
        <v>-0.484809620246337</v>
      </c>
      <c r="F137" s="24">
        <f t="shared" si="33"/>
        <v>-1.804047755271424</v>
      </c>
      <c r="G137" s="24">
        <f t="shared" si="34"/>
        <v>-0.55430905145276888</v>
      </c>
      <c r="H137" s="24">
        <f t="shared" si="35"/>
        <v>-2.0626653396273142</v>
      </c>
      <c r="I137" s="29">
        <f t="shared" si="36"/>
        <v>1.1433540678733198</v>
      </c>
      <c r="K137" s="1" t="str">
        <f t="shared" si="28"/>
        <v>2.05948851735331,0.882947592858927</v>
      </c>
      <c r="L137" s="1" t="str">
        <f t="shared" si="29"/>
        <v>2.05948851735331,-0.469471562785891</v>
      </c>
      <c r="M137" s="1" t="str">
        <f t="shared" si="30"/>
        <v>2.05948851735331,-1.88072646534633</v>
      </c>
      <c r="N137" s="1" t="str">
        <f t="shared" si="38"/>
        <v>2.05948851735331,-0.531709431661478</v>
      </c>
      <c r="O137" s="1" t="str">
        <f t="shared" si="37"/>
        <v>2.05948851735331,-2.13005446818951</v>
      </c>
      <c r="P137" s="1" t="str">
        <f t="shared" si="37"/>
        <v>2.05948851735331,1.13257005068904</v>
      </c>
    </row>
    <row r="138" spans="2:16" x14ac:dyDescent="0.6">
      <c r="B138" s="25">
        <v>120</v>
      </c>
      <c r="C138" s="24">
        <f t="shared" si="27"/>
        <v>2.0943951023931953</v>
      </c>
      <c r="D138" s="24">
        <f t="shared" si="31"/>
        <v>0.86602540378443871</v>
      </c>
      <c r="E138" s="24">
        <f t="shared" si="32"/>
        <v>-0.49999999999999978</v>
      </c>
      <c r="F138" s="24">
        <f t="shared" si="33"/>
        <v>-1.7320508075688783</v>
      </c>
      <c r="G138" s="24">
        <f t="shared" si="34"/>
        <v>-0.5773502691896254</v>
      </c>
      <c r="H138" s="24">
        <f t="shared" si="35"/>
        <v>-2.0000000000000009</v>
      </c>
      <c r="I138" s="29">
        <f t="shared" si="36"/>
        <v>1.1547005383792515</v>
      </c>
      <c r="K138" s="1" t="str">
        <f t="shared" si="28"/>
        <v>2.07694180987325,0.874619707139396</v>
      </c>
      <c r="L138" s="1" t="str">
        <f t="shared" si="29"/>
        <v>2.07694180987325,-0.484809620246337</v>
      </c>
      <c r="M138" s="1" t="str">
        <f t="shared" si="30"/>
        <v>2.07694180987325,-1.80404775527142</v>
      </c>
      <c r="N138" s="1" t="str">
        <f t="shared" si="38"/>
        <v>2.07694180987325,-0.554309051452769</v>
      </c>
      <c r="O138" s="1" t="str">
        <f t="shared" si="37"/>
        <v>2.07694180987325,-2.06266533962731</v>
      </c>
      <c r="P138" s="1" t="str">
        <f t="shared" si="37"/>
        <v>2.07694180987325,1.14335406787332</v>
      </c>
    </row>
    <row r="139" spans="2:16" x14ac:dyDescent="0.6">
      <c r="B139" s="25">
        <v>121</v>
      </c>
      <c r="C139" s="24">
        <f t="shared" si="27"/>
        <v>2.1118483949131388</v>
      </c>
      <c r="D139" s="24">
        <f t="shared" si="31"/>
        <v>0.85716730070211233</v>
      </c>
      <c r="E139" s="24">
        <f t="shared" si="32"/>
        <v>-0.51503807491005427</v>
      </c>
      <c r="F139" s="24">
        <f t="shared" si="33"/>
        <v>-1.6642794823505178</v>
      </c>
      <c r="G139" s="24">
        <f t="shared" si="34"/>
        <v>-0.60086061902756049</v>
      </c>
      <c r="H139" s="24">
        <f t="shared" si="35"/>
        <v>-1.9416040264103562</v>
      </c>
      <c r="I139" s="29">
        <f t="shared" si="36"/>
        <v>1.1666333972153304</v>
      </c>
      <c r="K139" s="1" t="str">
        <f t="shared" si="28"/>
        <v>2.0943951023932,0.866025403784439</v>
      </c>
      <c r="L139" s="1" t="str">
        <f t="shared" si="29"/>
        <v>2.0943951023932,-0.5</v>
      </c>
      <c r="M139" s="1" t="str">
        <f t="shared" si="30"/>
        <v>2.0943951023932,-1.73205080756888</v>
      </c>
      <c r="N139" s="1" t="str">
        <f t="shared" si="38"/>
        <v>2.0943951023932,-0.577350269189625</v>
      </c>
      <c r="O139" s="1" t="str">
        <f t="shared" si="37"/>
        <v>2.0943951023932,-2</v>
      </c>
      <c r="P139" s="1" t="str">
        <f t="shared" si="37"/>
        <v>2.0943951023932,1.15470053837925</v>
      </c>
    </row>
    <row r="140" spans="2:16" x14ac:dyDescent="0.6">
      <c r="B140" s="25">
        <v>122</v>
      </c>
      <c r="C140" s="24">
        <f t="shared" si="27"/>
        <v>2.1293016874330819</v>
      </c>
      <c r="D140" s="24">
        <f t="shared" si="31"/>
        <v>0.84804809615642607</v>
      </c>
      <c r="E140" s="24">
        <f t="shared" si="32"/>
        <v>-0.52991926423320479</v>
      </c>
      <c r="F140" s="24">
        <f t="shared" si="33"/>
        <v>-1.6003345290410511</v>
      </c>
      <c r="G140" s="24">
        <f t="shared" si="34"/>
        <v>-0.62486935190932724</v>
      </c>
      <c r="H140" s="24">
        <f t="shared" si="35"/>
        <v>-1.8870799147998589</v>
      </c>
      <c r="I140" s="29">
        <f t="shared" si="36"/>
        <v>1.1791784033620962</v>
      </c>
      <c r="K140" s="1" t="str">
        <f t="shared" si="28"/>
        <v>2.11184839491314,0.857167300702112</v>
      </c>
      <c r="L140" s="1" t="str">
        <f t="shared" si="29"/>
        <v>2.11184839491314,-0.515038074910054</v>
      </c>
      <c r="M140" s="1" t="str">
        <f t="shared" si="30"/>
        <v>2.11184839491314,-1.66427948235052</v>
      </c>
      <c r="N140" s="1" t="str">
        <f t="shared" si="38"/>
        <v>2.11184839491314,-0.60086061902756</v>
      </c>
      <c r="O140" s="1" t="str">
        <f t="shared" si="37"/>
        <v>2.11184839491314,-1.94160402641036</v>
      </c>
      <c r="P140" s="1" t="str">
        <f t="shared" si="37"/>
        <v>2.11184839491314,1.16663339721533</v>
      </c>
    </row>
    <row r="141" spans="2:16" x14ac:dyDescent="0.6">
      <c r="B141" s="25">
        <v>123</v>
      </c>
      <c r="C141" s="24">
        <f t="shared" si="27"/>
        <v>2.1467549799530254</v>
      </c>
      <c r="D141" s="24">
        <f t="shared" si="31"/>
        <v>0.83867056794542394</v>
      </c>
      <c r="E141" s="24">
        <f t="shared" si="32"/>
        <v>-0.54463903501502708</v>
      </c>
      <c r="F141" s="24">
        <f t="shared" si="33"/>
        <v>-1.5398649638145827</v>
      </c>
      <c r="G141" s="24">
        <f t="shared" si="34"/>
        <v>-0.64940759319751062</v>
      </c>
      <c r="H141" s="24">
        <f t="shared" si="35"/>
        <v>-1.8360784587766632</v>
      </c>
      <c r="I141" s="29">
        <f t="shared" si="36"/>
        <v>1.1923632928359476</v>
      </c>
      <c r="K141" s="1" t="str">
        <f t="shared" si="28"/>
        <v>2.12930168743308,0.848048096156426</v>
      </c>
      <c r="L141" s="1" t="str">
        <f t="shared" si="29"/>
        <v>2.12930168743308,-0.529919264233205</v>
      </c>
      <c r="M141" s="1" t="str">
        <f t="shared" si="30"/>
        <v>2.12930168743308,-1.60033452904105</v>
      </c>
      <c r="N141" s="1" t="str">
        <f t="shared" si="38"/>
        <v>2.12930168743308,-0.624869351909327</v>
      </c>
      <c r="O141" s="1" t="str">
        <f t="shared" si="37"/>
        <v>2.12930168743308,-1.88707991479986</v>
      </c>
      <c r="P141" s="1" t="str">
        <f t="shared" si="37"/>
        <v>2.12930168743308,1.1791784033621</v>
      </c>
    </row>
    <row r="142" spans="2:16" x14ac:dyDescent="0.6">
      <c r="B142" s="25">
        <v>124</v>
      </c>
      <c r="C142" s="24">
        <f t="shared" si="27"/>
        <v>2.1642082724729685</v>
      </c>
      <c r="D142" s="24">
        <f t="shared" si="31"/>
        <v>0.82903757255504174</v>
      </c>
      <c r="E142" s="24">
        <f t="shared" si="32"/>
        <v>-0.55919290347074668</v>
      </c>
      <c r="F142" s="24">
        <f t="shared" si="33"/>
        <v>-1.4825609685127408</v>
      </c>
      <c r="G142" s="24">
        <f t="shared" si="34"/>
        <v>-0.67450851684242641</v>
      </c>
      <c r="H142" s="24">
        <f t="shared" si="35"/>
        <v>-1.788291649971401</v>
      </c>
      <c r="I142" s="29">
        <f t="shared" si="36"/>
        <v>1.2062179485039053</v>
      </c>
      <c r="K142" s="1" t="str">
        <f t="shared" si="28"/>
        <v>2.14675497995303,0.838670567945424</v>
      </c>
      <c r="L142" s="1" t="str">
        <f t="shared" si="29"/>
        <v>2.14675497995303,-0.544639035015027</v>
      </c>
      <c r="M142" s="1" t="str">
        <f t="shared" si="30"/>
        <v>2.14675497995303,-1.53986496381458</v>
      </c>
      <c r="N142" s="1" t="str">
        <f t="shared" si="38"/>
        <v>2.14675497995303,-0.649407593197511</v>
      </c>
      <c r="O142" s="1" t="str">
        <f t="shared" si="37"/>
        <v>2.14675497995303,-1.83607845877666</v>
      </c>
      <c r="P142" s="1" t="str">
        <f t="shared" si="37"/>
        <v>2.14675497995303,1.19236329283595</v>
      </c>
    </row>
    <row r="143" spans="2:16" x14ac:dyDescent="0.6">
      <c r="B143" s="25">
        <v>125</v>
      </c>
      <c r="C143" s="24">
        <f t="shared" si="27"/>
        <v>2.1816615649929116</v>
      </c>
      <c r="D143" s="24">
        <f t="shared" si="31"/>
        <v>0.81915204428899202</v>
      </c>
      <c r="E143" s="24">
        <f t="shared" si="32"/>
        <v>-0.57357643635104583</v>
      </c>
      <c r="F143" s="24">
        <f t="shared" si="33"/>
        <v>-1.4281480067421155</v>
      </c>
      <c r="G143" s="24">
        <f t="shared" si="34"/>
        <v>-0.70020753820970927</v>
      </c>
      <c r="H143" s="24">
        <f t="shared" si="35"/>
        <v>-1.7434467956210988</v>
      </c>
      <c r="I143" s="29">
        <f t="shared" si="36"/>
        <v>1.2207745887614556</v>
      </c>
      <c r="K143" s="1" t="str">
        <f t="shared" si="28"/>
        <v>2.16420827247297,0.829037572555042</v>
      </c>
      <c r="L143" s="1" t="str">
        <f t="shared" si="29"/>
        <v>2.16420827247297,-0.559192903470747</v>
      </c>
      <c r="M143" s="1" t="str">
        <f t="shared" si="30"/>
        <v>2.16420827247297,-1.48256096851274</v>
      </c>
      <c r="N143" s="1" t="str">
        <f t="shared" si="38"/>
        <v>2.16420827247297,-0.674508516842426</v>
      </c>
      <c r="O143" s="1" t="str">
        <f t="shared" si="37"/>
        <v>2.16420827247297,-1.7882916499714</v>
      </c>
      <c r="P143" s="1" t="str">
        <f t="shared" si="37"/>
        <v>2.16420827247297,1.20621794850391</v>
      </c>
    </row>
    <row r="144" spans="2:16" x14ac:dyDescent="0.6">
      <c r="B144" s="25">
        <v>126</v>
      </c>
      <c r="C144" s="24">
        <f t="shared" si="27"/>
        <v>2.1991148575128552</v>
      </c>
      <c r="D144" s="24">
        <f t="shared" si="31"/>
        <v>0.80901699437494745</v>
      </c>
      <c r="E144" s="24">
        <f t="shared" si="32"/>
        <v>-0.58778525229247303</v>
      </c>
      <c r="F144" s="24">
        <f t="shared" si="33"/>
        <v>-1.3763819204711738</v>
      </c>
      <c r="G144" s="24">
        <f t="shared" si="34"/>
        <v>-0.72654252800536079</v>
      </c>
      <c r="H144" s="24">
        <f t="shared" si="35"/>
        <v>-1.7013016167040802</v>
      </c>
      <c r="I144" s="29">
        <f t="shared" si="36"/>
        <v>1.2360679774997896</v>
      </c>
      <c r="K144" s="1" t="str">
        <f t="shared" si="28"/>
        <v>2.18166156499291,0.819152044288992</v>
      </c>
      <c r="L144" s="1" t="str">
        <f t="shared" si="29"/>
        <v>2.18166156499291,-0.573576436351046</v>
      </c>
      <c r="M144" s="1" t="str">
        <f t="shared" si="30"/>
        <v>2.18166156499291,-1.42814800674212</v>
      </c>
      <c r="N144" s="1" t="str">
        <f t="shared" si="38"/>
        <v>2.18166156499291,-0.700207538209709</v>
      </c>
      <c r="O144" s="1" t="str">
        <f t="shared" si="37"/>
        <v>2.18166156499291,-1.7434467956211</v>
      </c>
      <c r="P144" s="1" t="str">
        <f t="shared" si="37"/>
        <v>2.18166156499291,1.22077458876146</v>
      </c>
    </row>
    <row r="145" spans="2:16" x14ac:dyDescent="0.6">
      <c r="B145" s="25">
        <v>127</v>
      </c>
      <c r="C145" s="24">
        <f t="shared" si="27"/>
        <v>2.2165681500327987</v>
      </c>
      <c r="D145" s="24">
        <f t="shared" si="31"/>
        <v>0.79863551004729272</v>
      </c>
      <c r="E145" s="24">
        <f t="shared" si="32"/>
        <v>-0.60181502315204838</v>
      </c>
      <c r="F145" s="24">
        <f t="shared" si="33"/>
        <v>-1.3270448216204096</v>
      </c>
      <c r="G145" s="24">
        <f t="shared" si="34"/>
        <v>-0.75355405010279441</v>
      </c>
      <c r="H145" s="24">
        <f t="shared" si="35"/>
        <v>-1.661640141122483</v>
      </c>
      <c r="I145" s="29">
        <f t="shared" si="36"/>
        <v>1.252135658156226</v>
      </c>
      <c r="K145" s="1" t="str">
        <f t="shared" si="28"/>
        <v>2.19911485751286,0.809016994374947</v>
      </c>
      <c r="L145" s="1" t="str">
        <f t="shared" si="29"/>
        <v>2.19911485751286,-0.587785252292473</v>
      </c>
      <c r="M145" s="1" t="str">
        <f t="shared" si="30"/>
        <v>2.19911485751286,-1.37638192047117</v>
      </c>
      <c r="N145" s="1" t="str">
        <f t="shared" si="38"/>
        <v>2.19911485751286,-0.726542528005361</v>
      </c>
      <c r="O145" s="1" t="str">
        <f t="shared" si="37"/>
        <v>2.19911485751286,-1.70130161670408</v>
      </c>
      <c r="P145" s="1" t="str">
        <f t="shared" si="37"/>
        <v>2.19911485751286,1.23606797749979</v>
      </c>
    </row>
    <row r="146" spans="2:16" x14ac:dyDescent="0.6">
      <c r="B146" s="25">
        <v>128</v>
      </c>
      <c r="C146" s="24">
        <f t="shared" si="27"/>
        <v>2.2340214425527418</v>
      </c>
      <c r="D146" s="24">
        <f t="shared" si="31"/>
        <v>0.78801075360672201</v>
      </c>
      <c r="E146" s="24">
        <f t="shared" si="32"/>
        <v>-0.61566147532565829</v>
      </c>
      <c r="F146" s="24">
        <f t="shared" si="33"/>
        <v>-1.2799416321930788</v>
      </c>
      <c r="G146" s="24">
        <f t="shared" si="34"/>
        <v>-0.7812856265067174</v>
      </c>
      <c r="H146" s="24">
        <f t="shared" si="35"/>
        <v>-1.6242692454827441</v>
      </c>
      <c r="I146" s="29">
        <f t="shared" si="36"/>
        <v>1.2690182150725788</v>
      </c>
      <c r="K146" s="1" t="str">
        <f t="shared" si="28"/>
        <v>2.2165681500328,0.798635510047293</v>
      </c>
      <c r="L146" s="1" t="str">
        <f t="shared" si="29"/>
        <v>2.2165681500328,-0.601815023152048</v>
      </c>
      <c r="M146" s="1" t="str">
        <f t="shared" si="30"/>
        <v>2.2165681500328,-1.32704482162041</v>
      </c>
      <c r="N146" s="1" t="str">
        <f t="shared" si="38"/>
        <v>2.2165681500328,-0.753554050102794</v>
      </c>
      <c r="O146" s="1" t="str">
        <f t="shared" si="37"/>
        <v>2.2165681500328,-1.66164014112248</v>
      </c>
      <c r="P146" s="1" t="str">
        <f t="shared" si="37"/>
        <v>2.2165681500328,1.25213565815623</v>
      </c>
    </row>
    <row r="147" spans="2:16" x14ac:dyDescent="0.6">
      <c r="B147" s="25">
        <v>129</v>
      </c>
      <c r="C147" s="24">
        <f t="shared" ref="C147:C210" si="39">B147*PI()/180</f>
        <v>2.2514747350726849</v>
      </c>
      <c r="D147" s="24">
        <f t="shared" si="31"/>
        <v>0.77714596145697101</v>
      </c>
      <c r="E147" s="24">
        <f t="shared" si="32"/>
        <v>-0.62932039104983728</v>
      </c>
      <c r="F147" s="24">
        <f t="shared" si="33"/>
        <v>-1.2348971565350519</v>
      </c>
      <c r="G147" s="24">
        <f t="shared" si="34"/>
        <v>-0.8097840331950068</v>
      </c>
      <c r="H147" s="24">
        <f t="shared" si="35"/>
        <v>-1.5890157290657498</v>
      </c>
      <c r="I147" s="29">
        <f t="shared" si="36"/>
        <v>1.2867595658931672</v>
      </c>
      <c r="K147" s="1" t="str">
        <f t="shared" si="28"/>
        <v>2.23402144255274,0.788010753606722</v>
      </c>
      <c r="L147" s="1" t="str">
        <f t="shared" si="29"/>
        <v>2.23402144255274,-0.615661475325658</v>
      </c>
      <c r="M147" s="1" t="str">
        <f t="shared" si="30"/>
        <v>2.23402144255274,-1.27994163219308</v>
      </c>
      <c r="N147" s="1" t="str">
        <f t="shared" si="38"/>
        <v>2.23402144255274,-0.781285626506717</v>
      </c>
      <c r="O147" s="1" t="str">
        <f t="shared" si="37"/>
        <v>2.23402144255274,-1.62426924548274</v>
      </c>
      <c r="P147" s="1" t="str">
        <f t="shared" si="37"/>
        <v>2.23402144255274,1.26901821507258</v>
      </c>
    </row>
    <row r="148" spans="2:16" x14ac:dyDescent="0.6">
      <c r="B148" s="25">
        <v>130</v>
      </c>
      <c r="C148" s="24">
        <f t="shared" si="39"/>
        <v>2.2689280275926285</v>
      </c>
      <c r="D148" s="24">
        <f t="shared" si="31"/>
        <v>0.76604444311897801</v>
      </c>
      <c r="E148" s="24">
        <f t="shared" si="32"/>
        <v>-0.64278760968653936</v>
      </c>
      <c r="F148" s="24">
        <f t="shared" si="33"/>
        <v>-1.19175359259421</v>
      </c>
      <c r="G148" s="24">
        <f t="shared" si="34"/>
        <v>-0.83909963117728004</v>
      </c>
      <c r="H148" s="24">
        <f t="shared" si="35"/>
        <v>-1.5557238268604123</v>
      </c>
      <c r="I148" s="29">
        <f t="shared" si="36"/>
        <v>1.3054072893322786</v>
      </c>
      <c r="K148" s="1" t="str">
        <f t="shared" ref="K148:K211" si="40">_xlfn.CONCAT($C147,",",D147)</f>
        <v>2.25147473507268,0.777145961456971</v>
      </c>
      <c r="L148" s="1" t="str">
        <f t="shared" ref="L148:L211" si="41">_xlfn.CONCAT($C147,",",E147)</f>
        <v>2.25147473507268,-0.629320391049837</v>
      </c>
      <c r="M148" s="1" t="str">
        <f t="shared" ref="M148:M211" si="42">_xlfn.CONCAT($C147,",",F147)</f>
        <v>2.25147473507268,-1.23489715653505</v>
      </c>
      <c r="N148" s="1" t="str">
        <f t="shared" si="38"/>
        <v>2.25147473507268,-0.809784033195007</v>
      </c>
      <c r="O148" s="1" t="str">
        <f t="shared" si="37"/>
        <v>2.25147473507268,-1.58901572906575</v>
      </c>
      <c r="P148" s="1" t="str">
        <f t="shared" si="37"/>
        <v>2.25147473507268,1.28675956589317</v>
      </c>
    </row>
    <row r="149" spans="2:16" x14ac:dyDescent="0.6">
      <c r="B149" s="25">
        <v>131</v>
      </c>
      <c r="C149" s="24">
        <f t="shared" si="39"/>
        <v>2.286381320112572</v>
      </c>
      <c r="D149" s="24">
        <f t="shared" si="31"/>
        <v>0.75470958022277179</v>
      </c>
      <c r="E149" s="24">
        <f t="shared" si="32"/>
        <v>-0.6560590289905075</v>
      </c>
      <c r="F149" s="24">
        <f t="shared" si="33"/>
        <v>-1.150368407221009</v>
      </c>
      <c r="G149" s="24">
        <f t="shared" si="34"/>
        <v>-0.86928673781622712</v>
      </c>
      <c r="H149" s="24">
        <f t="shared" si="35"/>
        <v>-1.5242530867058137</v>
      </c>
      <c r="I149" s="29">
        <f t="shared" si="36"/>
        <v>1.3250129933488117</v>
      </c>
      <c r="K149" s="1" t="str">
        <f t="shared" si="40"/>
        <v>2.26892802759263,0.766044443118978</v>
      </c>
      <c r="L149" s="1" t="str">
        <f t="shared" si="41"/>
        <v>2.26892802759263,-0.642787609686539</v>
      </c>
      <c r="M149" s="1" t="str">
        <f t="shared" si="42"/>
        <v>2.26892802759263,-1.19175359259421</v>
      </c>
      <c r="N149" s="1" t="str">
        <f t="shared" si="38"/>
        <v>2.26892802759263,-0.83909963117728</v>
      </c>
      <c r="O149" s="1" t="str">
        <f t="shared" si="37"/>
        <v>2.26892802759263,-1.55572382686041</v>
      </c>
      <c r="P149" s="1" t="str">
        <f t="shared" si="37"/>
        <v>2.26892802759263,1.30540728933228</v>
      </c>
    </row>
    <row r="150" spans="2:16" x14ac:dyDescent="0.6">
      <c r="B150" s="25">
        <v>132</v>
      </c>
      <c r="C150" s="24">
        <f t="shared" si="39"/>
        <v>2.3038346126325151</v>
      </c>
      <c r="D150" s="24">
        <f t="shared" si="31"/>
        <v>0.74314482547739424</v>
      </c>
      <c r="E150" s="24">
        <f t="shared" si="32"/>
        <v>-0.66913060635885824</v>
      </c>
      <c r="F150" s="24">
        <f t="shared" si="33"/>
        <v>-1.1106125148291928</v>
      </c>
      <c r="G150" s="24">
        <f t="shared" si="34"/>
        <v>-0.90040404429784004</v>
      </c>
      <c r="H150" s="24">
        <f t="shared" si="35"/>
        <v>-1.4944765498646086</v>
      </c>
      <c r="I150" s="29">
        <f t="shared" si="36"/>
        <v>1.3456327296063761</v>
      </c>
      <c r="K150" s="1" t="str">
        <f t="shared" si="40"/>
        <v>2.28638132011257,0.754709580222772</v>
      </c>
      <c r="L150" s="1" t="str">
        <f t="shared" si="41"/>
        <v>2.28638132011257,-0.656059028990507</v>
      </c>
      <c r="M150" s="1" t="str">
        <f t="shared" si="42"/>
        <v>2.28638132011257,-1.15036840722101</v>
      </c>
      <c r="N150" s="1" t="str">
        <f t="shared" si="38"/>
        <v>2.28638132011257,-0.869286737816227</v>
      </c>
      <c r="O150" s="1" t="str">
        <f t="shared" si="37"/>
        <v>2.28638132011257,-1.52425308670581</v>
      </c>
      <c r="P150" s="1" t="str">
        <f t="shared" si="37"/>
        <v>2.28638132011257,1.32501299334881</v>
      </c>
    </row>
    <row r="151" spans="2:16" x14ac:dyDescent="0.6">
      <c r="B151" s="25">
        <v>133</v>
      </c>
      <c r="C151" s="24">
        <f t="shared" si="39"/>
        <v>2.3212879051524582</v>
      </c>
      <c r="D151" s="24">
        <f t="shared" si="31"/>
        <v>0.73135370161917057</v>
      </c>
      <c r="E151" s="24">
        <f t="shared" si="32"/>
        <v>-0.68199836006249837</v>
      </c>
      <c r="F151" s="24">
        <f t="shared" si="33"/>
        <v>-1.0723687100246828</v>
      </c>
      <c r="G151" s="24">
        <f t="shared" si="34"/>
        <v>-0.93251508613766143</v>
      </c>
      <c r="H151" s="24">
        <f t="shared" si="35"/>
        <v>-1.4662791856396251</v>
      </c>
      <c r="I151" s="29">
        <f t="shared" si="36"/>
        <v>1.367327461098595</v>
      </c>
      <c r="K151" s="1" t="str">
        <f t="shared" si="40"/>
        <v>2.30383461263252,0.743144825477394</v>
      </c>
      <c r="L151" s="1" t="str">
        <f t="shared" si="41"/>
        <v>2.30383461263252,-0.669130606358858</v>
      </c>
      <c r="M151" s="1" t="str">
        <f t="shared" si="42"/>
        <v>2.30383461263252,-1.11061251482919</v>
      </c>
      <c r="N151" s="1" t="str">
        <f t="shared" si="38"/>
        <v>2.30383461263252,-0.90040404429784</v>
      </c>
      <c r="O151" s="1" t="str">
        <f t="shared" si="37"/>
        <v>2.30383461263252,-1.49447654986461</v>
      </c>
      <c r="P151" s="1" t="str">
        <f t="shared" si="37"/>
        <v>2.30383461263252,1.34563272960638</v>
      </c>
    </row>
    <row r="152" spans="2:16" x14ac:dyDescent="0.6">
      <c r="B152" s="25">
        <v>134</v>
      </c>
      <c r="C152" s="24">
        <f t="shared" si="39"/>
        <v>2.3387411976724013</v>
      </c>
      <c r="D152" s="24">
        <f t="shared" si="31"/>
        <v>0.71933980033865141</v>
      </c>
      <c r="E152" s="24">
        <f t="shared" si="32"/>
        <v>-0.69465837045899703</v>
      </c>
      <c r="F152" s="24">
        <f t="shared" si="33"/>
        <v>-1.0355303137905703</v>
      </c>
      <c r="G152" s="24">
        <f t="shared" si="34"/>
        <v>-0.96568877480707338</v>
      </c>
      <c r="H152" s="24">
        <f t="shared" si="35"/>
        <v>-1.4395565396257268</v>
      </c>
      <c r="I152" s="29">
        <f t="shared" si="36"/>
        <v>1.3901635910166783</v>
      </c>
      <c r="K152" s="1" t="str">
        <f t="shared" si="40"/>
        <v>2.32128790515246,0.731353701619171</v>
      </c>
      <c r="L152" s="1" t="str">
        <f t="shared" si="41"/>
        <v>2.32128790515246,-0.681998360062498</v>
      </c>
      <c r="M152" s="1" t="str">
        <f t="shared" si="42"/>
        <v>2.32128790515246,-1.07236871002468</v>
      </c>
      <c r="N152" s="1" t="str">
        <f t="shared" si="38"/>
        <v>2.32128790515246,-0.932515086137661</v>
      </c>
      <c r="O152" s="1" t="str">
        <f t="shared" si="37"/>
        <v>2.32128790515246,-1.46627918563963</v>
      </c>
      <c r="P152" s="1" t="str">
        <f t="shared" si="37"/>
        <v>2.32128790515246,1.3673274610986</v>
      </c>
    </row>
    <row r="153" spans="2:16" x14ac:dyDescent="0.6">
      <c r="B153" s="25">
        <v>135</v>
      </c>
      <c r="C153" s="24">
        <f t="shared" si="39"/>
        <v>2.3561944901923448</v>
      </c>
      <c r="D153" s="24">
        <f t="shared" si="31"/>
        <v>0.70710678118654757</v>
      </c>
      <c r="E153" s="24">
        <f t="shared" si="32"/>
        <v>-0.70710678118654746</v>
      </c>
      <c r="F153" s="24">
        <f t="shared" si="33"/>
        <v>-1.0000000000000002</v>
      </c>
      <c r="G153" s="24">
        <f t="shared" si="34"/>
        <v>-0.99999999999999978</v>
      </c>
      <c r="H153" s="24">
        <f t="shared" si="35"/>
        <v>-1.4142135623730951</v>
      </c>
      <c r="I153" s="29">
        <f t="shared" si="36"/>
        <v>1.4142135623730949</v>
      </c>
      <c r="K153" s="1" t="str">
        <f t="shared" si="40"/>
        <v>2.3387411976724,0.719339800338651</v>
      </c>
      <c r="L153" s="1" t="str">
        <f t="shared" si="41"/>
        <v>2.3387411976724,-0.694658370458997</v>
      </c>
      <c r="M153" s="1" t="str">
        <f t="shared" si="42"/>
        <v>2.3387411976724,-1.03553031379057</v>
      </c>
      <c r="N153" s="1" t="str">
        <f t="shared" si="38"/>
        <v>2.3387411976724,-0.965688774807073</v>
      </c>
      <c r="O153" s="1" t="str">
        <f t="shared" si="37"/>
        <v>2.3387411976724,-1.43955653962573</v>
      </c>
      <c r="P153" s="1" t="str">
        <f t="shared" si="37"/>
        <v>2.3387411976724,1.39016359101668</v>
      </c>
    </row>
    <row r="154" spans="2:16" x14ac:dyDescent="0.6">
      <c r="B154" s="25">
        <v>136</v>
      </c>
      <c r="C154" s="24">
        <f t="shared" si="39"/>
        <v>2.3736477827122884</v>
      </c>
      <c r="D154" s="24">
        <f t="shared" si="31"/>
        <v>0.69465837045899714</v>
      </c>
      <c r="E154" s="24">
        <f t="shared" si="32"/>
        <v>-0.71933980033865119</v>
      </c>
      <c r="F154" s="24">
        <f t="shared" si="33"/>
        <v>-0.96568877480707371</v>
      </c>
      <c r="G154" s="24">
        <f t="shared" si="34"/>
        <v>-1.0355303137905698</v>
      </c>
      <c r="H154" s="24">
        <f t="shared" si="35"/>
        <v>-1.3901635910166787</v>
      </c>
      <c r="I154" s="29">
        <f t="shared" si="36"/>
        <v>1.4395565396257266</v>
      </c>
      <c r="K154" s="1" t="str">
        <f t="shared" si="40"/>
        <v>2.35619449019234,0.707106781186548</v>
      </c>
      <c r="L154" s="1" t="str">
        <f t="shared" si="41"/>
        <v>2.35619449019234,-0.707106781186547</v>
      </c>
      <c r="M154" s="1" t="str">
        <f t="shared" si="42"/>
        <v>2.35619449019234,-1</v>
      </c>
      <c r="N154" s="1" t="str">
        <f t="shared" si="38"/>
        <v>2.35619449019234,-1</v>
      </c>
      <c r="O154" s="1" t="str">
        <f t="shared" si="37"/>
        <v>2.35619449019234,-1.4142135623731</v>
      </c>
      <c r="P154" s="1" t="str">
        <f t="shared" si="37"/>
        <v>2.35619449019234,1.41421356237309</v>
      </c>
    </row>
    <row r="155" spans="2:16" x14ac:dyDescent="0.6">
      <c r="B155" s="25">
        <v>137</v>
      </c>
      <c r="C155" s="24">
        <f t="shared" si="39"/>
        <v>2.3911010752322315</v>
      </c>
      <c r="D155" s="24">
        <f t="shared" si="31"/>
        <v>0.68199836006249859</v>
      </c>
      <c r="E155" s="24">
        <f t="shared" si="32"/>
        <v>-0.73135370161917046</v>
      </c>
      <c r="F155" s="24">
        <f t="shared" si="33"/>
        <v>-0.93251508613766176</v>
      </c>
      <c r="G155" s="24">
        <f t="shared" si="34"/>
        <v>-1.0723687100246824</v>
      </c>
      <c r="H155" s="24">
        <f t="shared" si="35"/>
        <v>-1.3673274610985953</v>
      </c>
      <c r="I155" s="29">
        <f t="shared" si="36"/>
        <v>1.4662791856396247</v>
      </c>
      <c r="K155" s="1" t="str">
        <f t="shared" si="40"/>
        <v>2.37364778271229,0.694658370458997</v>
      </c>
      <c r="L155" s="1" t="str">
        <f t="shared" si="41"/>
        <v>2.37364778271229,-0.719339800338651</v>
      </c>
      <c r="M155" s="1" t="str">
        <f t="shared" si="42"/>
        <v>2.37364778271229,-0.965688774807074</v>
      </c>
      <c r="N155" s="1" t="str">
        <f t="shared" si="38"/>
        <v>2.37364778271229,-1.03553031379057</v>
      </c>
      <c r="O155" s="1" t="str">
        <f t="shared" si="37"/>
        <v>2.37364778271229,-1.39016359101668</v>
      </c>
      <c r="P155" s="1" t="str">
        <f t="shared" si="37"/>
        <v>2.37364778271229,1.43955653962573</v>
      </c>
    </row>
    <row r="156" spans="2:16" x14ac:dyDescent="0.6">
      <c r="B156" s="25">
        <v>138</v>
      </c>
      <c r="C156" s="24">
        <f t="shared" si="39"/>
        <v>2.4085543677521746</v>
      </c>
      <c r="D156" s="24">
        <f t="shared" si="31"/>
        <v>0.66913060635885835</v>
      </c>
      <c r="E156" s="24">
        <f t="shared" si="32"/>
        <v>-0.74314482547739402</v>
      </c>
      <c r="F156" s="24">
        <f t="shared" si="33"/>
        <v>-0.90040404429784038</v>
      </c>
      <c r="G156" s="24">
        <f t="shared" si="34"/>
        <v>-1.1106125148291923</v>
      </c>
      <c r="H156" s="24">
        <f t="shared" si="35"/>
        <v>-1.3456327296063766</v>
      </c>
      <c r="I156" s="29">
        <f t="shared" si="36"/>
        <v>1.4944765498646084</v>
      </c>
      <c r="K156" s="1" t="str">
        <f t="shared" si="40"/>
        <v>2.39110107523223,0.681998360062499</v>
      </c>
      <c r="L156" s="1" t="str">
        <f t="shared" si="41"/>
        <v>2.39110107523223,-0.73135370161917</v>
      </c>
      <c r="M156" s="1" t="str">
        <f t="shared" si="42"/>
        <v>2.39110107523223,-0.932515086137662</v>
      </c>
      <c r="N156" s="1" t="str">
        <f t="shared" si="38"/>
        <v>2.39110107523223,-1.07236871002468</v>
      </c>
      <c r="O156" s="1" t="str">
        <f t="shared" si="37"/>
        <v>2.39110107523223,-1.3673274610986</v>
      </c>
      <c r="P156" s="1" t="str">
        <f t="shared" si="37"/>
        <v>2.39110107523223,1.46627918563962</v>
      </c>
    </row>
    <row r="157" spans="2:16" x14ac:dyDescent="0.6">
      <c r="B157" s="25">
        <v>139</v>
      </c>
      <c r="C157" s="24">
        <f t="shared" si="39"/>
        <v>2.4260076602721181</v>
      </c>
      <c r="D157" s="24">
        <f t="shared" si="31"/>
        <v>0.65605902899050728</v>
      </c>
      <c r="E157" s="24">
        <f t="shared" si="32"/>
        <v>-0.75470958022277201</v>
      </c>
      <c r="F157" s="24">
        <f t="shared" si="33"/>
        <v>-0.86928673781622667</v>
      </c>
      <c r="G157" s="24">
        <f t="shared" si="34"/>
        <v>-1.1503684072210096</v>
      </c>
      <c r="H157" s="24">
        <f t="shared" si="35"/>
        <v>-1.3250129933488113</v>
      </c>
      <c r="I157" s="29">
        <f t="shared" si="36"/>
        <v>1.5242530867058142</v>
      </c>
      <c r="K157" s="1" t="str">
        <f t="shared" si="40"/>
        <v>2.40855436775217,0.669130606358858</v>
      </c>
      <c r="L157" s="1" t="str">
        <f t="shared" si="41"/>
        <v>2.40855436775217,-0.743144825477394</v>
      </c>
      <c r="M157" s="1" t="str">
        <f t="shared" si="42"/>
        <v>2.40855436775217,-0.90040404429784</v>
      </c>
      <c r="N157" s="1" t="str">
        <f t="shared" si="38"/>
        <v>2.40855436775217,-1.11061251482919</v>
      </c>
      <c r="O157" s="1" t="str">
        <f t="shared" si="37"/>
        <v>2.40855436775217,-1.34563272960638</v>
      </c>
      <c r="P157" s="1" t="str">
        <f t="shared" si="37"/>
        <v>2.40855436775217,1.49447654986461</v>
      </c>
    </row>
    <row r="158" spans="2:16" x14ac:dyDescent="0.6">
      <c r="B158" s="25">
        <v>140</v>
      </c>
      <c r="C158" s="24">
        <f t="shared" si="39"/>
        <v>2.4434609527920612</v>
      </c>
      <c r="D158" s="24">
        <f t="shared" si="31"/>
        <v>0.64278760968653947</v>
      </c>
      <c r="E158" s="24">
        <f t="shared" si="32"/>
        <v>-0.7660444431189779</v>
      </c>
      <c r="F158" s="24">
        <f t="shared" si="33"/>
        <v>-0.83909963117728037</v>
      </c>
      <c r="G158" s="24">
        <f t="shared" si="34"/>
        <v>-1.1917535925942095</v>
      </c>
      <c r="H158" s="24">
        <f t="shared" si="35"/>
        <v>-1.3054072893322788</v>
      </c>
      <c r="I158" s="29">
        <f t="shared" si="36"/>
        <v>1.5557238268604119</v>
      </c>
      <c r="K158" s="1" t="str">
        <f t="shared" si="40"/>
        <v>2.42600766027212,0.656059028990507</v>
      </c>
      <c r="L158" s="1" t="str">
        <f t="shared" si="41"/>
        <v>2.42600766027212,-0.754709580222772</v>
      </c>
      <c r="M158" s="1" t="str">
        <f t="shared" si="42"/>
        <v>2.42600766027212,-0.869286737816227</v>
      </c>
      <c r="N158" s="1" t="str">
        <f t="shared" si="38"/>
        <v>2.42600766027212,-1.15036840722101</v>
      </c>
      <c r="O158" s="1" t="str">
        <f t="shared" si="37"/>
        <v>2.42600766027212,-1.32501299334881</v>
      </c>
      <c r="P158" s="1" t="str">
        <f t="shared" si="37"/>
        <v>2.42600766027212,1.52425308670581</v>
      </c>
    </row>
    <row r="159" spans="2:16" x14ac:dyDescent="0.6">
      <c r="B159" s="25">
        <v>141</v>
      </c>
      <c r="C159" s="24">
        <f t="shared" si="39"/>
        <v>2.4609142453120043</v>
      </c>
      <c r="D159" s="24">
        <f t="shared" si="31"/>
        <v>0.62932039104983772</v>
      </c>
      <c r="E159" s="24">
        <f t="shared" si="32"/>
        <v>-0.77714596145697068</v>
      </c>
      <c r="F159" s="24">
        <f t="shared" si="33"/>
        <v>-0.8097840331950078</v>
      </c>
      <c r="G159" s="24">
        <f t="shared" si="34"/>
        <v>-1.2348971565350504</v>
      </c>
      <c r="H159" s="24">
        <f t="shared" si="35"/>
        <v>-1.2867595658931676</v>
      </c>
      <c r="I159" s="29">
        <f t="shared" si="36"/>
        <v>1.5890157290657487</v>
      </c>
      <c r="K159" s="1" t="str">
        <f t="shared" si="40"/>
        <v>2.44346095279206,0.642787609686539</v>
      </c>
      <c r="L159" s="1" t="str">
        <f t="shared" si="41"/>
        <v>2.44346095279206,-0.766044443118978</v>
      </c>
      <c r="M159" s="1" t="str">
        <f t="shared" si="42"/>
        <v>2.44346095279206,-0.83909963117728</v>
      </c>
      <c r="N159" s="1" t="str">
        <f t="shared" si="38"/>
        <v>2.44346095279206,-1.19175359259421</v>
      </c>
      <c r="O159" s="1" t="str">
        <f t="shared" si="37"/>
        <v>2.44346095279206,-1.30540728933228</v>
      </c>
      <c r="P159" s="1" t="str">
        <f t="shared" si="37"/>
        <v>2.44346095279206,1.55572382686041</v>
      </c>
    </row>
    <row r="160" spans="2:16" x14ac:dyDescent="0.6">
      <c r="B160" s="25">
        <v>142</v>
      </c>
      <c r="C160" s="24">
        <f t="shared" si="39"/>
        <v>2.4783675378319479</v>
      </c>
      <c r="D160" s="24">
        <f t="shared" si="31"/>
        <v>0.6156614753256584</v>
      </c>
      <c r="E160" s="24">
        <f t="shared" si="32"/>
        <v>-0.7880107536067219</v>
      </c>
      <c r="F160" s="24">
        <f t="shared" si="33"/>
        <v>-0.78128562650671762</v>
      </c>
      <c r="G160" s="24">
        <f t="shared" si="34"/>
        <v>-1.2799416321930783</v>
      </c>
      <c r="H160" s="24">
        <f t="shared" si="35"/>
        <v>-1.2690182150725788</v>
      </c>
      <c r="I160" s="29">
        <f t="shared" si="36"/>
        <v>1.6242692454827437</v>
      </c>
      <c r="K160" s="1" t="str">
        <f t="shared" si="40"/>
        <v>2.460914245312,0.629320391049838</v>
      </c>
      <c r="L160" s="1" t="str">
        <f t="shared" si="41"/>
        <v>2.460914245312,-0.777145961456971</v>
      </c>
      <c r="M160" s="1" t="str">
        <f t="shared" si="42"/>
        <v>2.460914245312,-0.809784033195008</v>
      </c>
      <c r="N160" s="1" t="str">
        <f t="shared" si="38"/>
        <v>2.460914245312,-1.23489715653505</v>
      </c>
      <c r="O160" s="1" t="str">
        <f t="shared" si="37"/>
        <v>2.460914245312,-1.28675956589317</v>
      </c>
      <c r="P160" s="1" t="str">
        <f t="shared" si="37"/>
        <v>2.460914245312,1.58901572906575</v>
      </c>
    </row>
    <row r="161" spans="2:16" x14ac:dyDescent="0.6">
      <c r="B161" s="25">
        <v>143</v>
      </c>
      <c r="C161" s="24">
        <f t="shared" si="39"/>
        <v>2.4958208303518914</v>
      </c>
      <c r="D161" s="24">
        <f t="shared" si="31"/>
        <v>0.60181502315204816</v>
      </c>
      <c r="E161" s="24">
        <f t="shared" si="32"/>
        <v>-0.79863551004729294</v>
      </c>
      <c r="F161" s="24">
        <f t="shared" si="33"/>
        <v>-0.75355405010279397</v>
      </c>
      <c r="G161" s="24">
        <f t="shared" si="34"/>
        <v>-1.3270448216204103</v>
      </c>
      <c r="H161" s="24">
        <f t="shared" si="35"/>
        <v>-1.2521356581562255</v>
      </c>
      <c r="I161" s="29">
        <f t="shared" si="36"/>
        <v>1.6616401411224835</v>
      </c>
      <c r="K161" s="1" t="str">
        <f t="shared" si="40"/>
        <v>2.47836753783195,0.615661475325658</v>
      </c>
      <c r="L161" s="1" t="str">
        <f t="shared" si="41"/>
        <v>2.47836753783195,-0.788010753606722</v>
      </c>
      <c r="M161" s="1" t="str">
        <f t="shared" si="42"/>
        <v>2.47836753783195,-0.781285626506718</v>
      </c>
      <c r="N161" s="1" t="str">
        <f t="shared" si="38"/>
        <v>2.47836753783195,-1.27994163219308</v>
      </c>
      <c r="O161" s="1" t="str">
        <f t="shared" si="37"/>
        <v>2.47836753783195,-1.26901821507258</v>
      </c>
      <c r="P161" s="1" t="str">
        <f t="shared" si="37"/>
        <v>2.47836753783195,1.62426924548274</v>
      </c>
    </row>
    <row r="162" spans="2:16" x14ac:dyDescent="0.6">
      <c r="B162" s="25">
        <v>144</v>
      </c>
      <c r="C162" s="24">
        <f t="shared" si="39"/>
        <v>2.5132741228718345</v>
      </c>
      <c r="D162" s="24">
        <f t="shared" si="31"/>
        <v>0.58778525229247325</v>
      </c>
      <c r="E162" s="24">
        <f t="shared" si="32"/>
        <v>-0.80901699437494734</v>
      </c>
      <c r="F162" s="24">
        <f t="shared" si="33"/>
        <v>-0.72654252800536101</v>
      </c>
      <c r="G162" s="24">
        <f t="shared" si="34"/>
        <v>-1.3763819204711734</v>
      </c>
      <c r="H162" s="24">
        <f t="shared" si="35"/>
        <v>-1.2360679774997898</v>
      </c>
      <c r="I162" s="29">
        <f t="shared" si="36"/>
        <v>1.7013016167040795</v>
      </c>
      <c r="K162" s="1" t="str">
        <f t="shared" si="40"/>
        <v>2.49582083035189,0.601815023152048</v>
      </c>
      <c r="L162" s="1" t="str">
        <f t="shared" si="41"/>
        <v>2.49582083035189,-0.798635510047293</v>
      </c>
      <c r="M162" s="1" t="str">
        <f t="shared" si="42"/>
        <v>2.49582083035189,-0.753554050102794</v>
      </c>
      <c r="N162" s="1" t="str">
        <f t="shared" si="38"/>
        <v>2.49582083035189,-1.32704482162041</v>
      </c>
      <c r="O162" s="1" t="str">
        <f t="shared" si="37"/>
        <v>2.49582083035189,-1.25213565815623</v>
      </c>
      <c r="P162" s="1" t="str">
        <f t="shared" si="37"/>
        <v>2.49582083035189,1.66164014112248</v>
      </c>
    </row>
    <row r="163" spans="2:16" x14ac:dyDescent="0.6">
      <c r="B163" s="25">
        <v>145</v>
      </c>
      <c r="C163" s="24">
        <f t="shared" si="39"/>
        <v>2.5307274153917776</v>
      </c>
      <c r="D163" s="24">
        <f t="shared" si="31"/>
        <v>0.57357643635104638</v>
      </c>
      <c r="E163" s="24">
        <f t="shared" si="32"/>
        <v>-0.81915204428899158</v>
      </c>
      <c r="F163" s="24">
        <f t="shared" si="33"/>
        <v>-0.70020753820971027</v>
      </c>
      <c r="G163" s="24">
        <f t="shared" si="34"/>
        <v>-1.4281480067421135</v>
      </c>
      <c r="H163" s="24">
        <f t="shared" si="35"/>
        <v>-1.2207745887614563</v>
      </c>
      <c r="I163" s="29">
        <f t="shared" si="36"/>
        <v>1.7434467956210971</v>
      </c>
      <c r="K163" s="1" t="str">
        <f t="shared" si="40"/>
        <v>2.51327412287183,0.587785252292473</v>
      </c>
      <c r="L163" s="1" t="str">
        <f t="shared" si="41"/>
        <v>2.51327412287183,-0.809016994374947</v>
      </c>
      <c r="M163" s="1" t="str">
        <f t="shared" si="42"/>
        <v>2.51327412287183,-0.726542528005361</v>
      </c>
      <c r="N163" s="1" t="str">
        <f t="shared" si="38"/>
        <v>2.51327412287183,-1.37638192047117</v>
      </c>
      <c r="O163" s="1" t="str">
        <f t="shared" si="37"/>
        <v>2.51327412287183,-1.23606797749979</v>
      </c>
      <c r="P163" s="1" t="str">
        <f t="shared" si="37"/>
        <v>2.51327412287183,1.70130161670408</v>
      </c>
    </row>
    <row r="164" spans="2:16" x14ac:dyDescent="0.6">
      <c r="B164" s="25">
        <v>146</v>
      </c>
      <c r="C164" s="24">
        <f t="shared" si="39"/>
        <v>2.5481807079117211</v>
      </c>
      <c r="D164" s="24">
        <f t="shared" si="31"/>
        <v>0.5591929034707469</v>
      </c>
      <c r="E164" s="24">
        <f t="shared" si="32"/>
        <v>-0.82903757255504162</v>
      </c>
      <c r="F164" s="24">
        <f t="shared" si="33"/>
        <v>-0.67450851684242674</v>
      </c>
      <c r="G164" s="24">
        <f t="shared" si="34"/>
        <v>-1.4825609685127401</v>
      </c>
      <c r="H164" s="24">
        <f t="shared" si="35"/>
        <v>-1.2062179485039055</v>
      </c>
      <c r="I164" s="29">
        <f t="shared" si="36"/>
        <v>1.7882916499714003</v>
      </c>
      <c r="K164" s="1" t="str">
        <f t="shared" si="40"/>
        <v>2.53072741539178,0.573576436351046</v>
      </c>
      <c r="L164" s="1" t="str">
        <f t="shared" si="41"/>
        <v>2.53072741539178,-0.819152044288992</v>
      </c>
      <c r="M164" s="1" t="str">
        <f t="shared" si="42"/>
        <v>2.53072741539178,-0.70020753820971</v>
      </c>
      <c r="N164" s="1" t="str">
        <f t="shared" si="38"/>
        <v>2.53072741539178,-1.42814800674211</v>
      </c>
      <c r="O164" s="1" t="str">
        <f t="shared" si="37"/>
        <v>2.53072741539178,-1.22077458876146</v>
      </c>
      <c r="P164" s="1" t="str">
        <f t="shared" si="37"/>
        <v>2.53072741539178,1.7434467956211</v>
      </c>
    </row>
    <row r="165" spans="2:16" x14ac:dyDescent="0.6">
      <c r="B165" s="25">
        <v>147</v>
      </c>
      <c r="C165" s="24">
        <f t="shared" si="39"/>
        <v>2.5656340004316647</v>
      </c>
      <c r="D165" s="24">
        <f t="shared" si="31"/>
        <v>0.54463903501502697</v>
      </c>
      <c r="E165" s="24">
        <f t="shared" si="32"/>
        <v>-0.83867056794542416</v>
      </c>
      <c r="F165" s="24">
        <f t="shared" si="33"/>
        <v>-0.64940759319751029</v>
      </c>
      <c r="G165" s="24">
        <f t="shared" si="34"/>
        <v>-1.5398649638145836</v>
      </c>
      <c r="H165" s="24">
        <f t="shared" si="35"/>
        <v>-1.1923632928359473</v>
      </c>
      <c r="I165" s="29">
        <f t="shared" si="36"/>
        <v>1.8360784587766634</v>
      </c>
      <c r="K165" s="1" t="str">
        <f t="shared" si="40"/>
        <v>2.54818070791172,0.559192903470747</v>
      </c>
      <c r="L165" s="1" t="str">
        <f t="shared" si="41"/>
        <v>2.54818070791172,-0.829037572555042</v>
      </c>
      <c r="M165" s="1" t="str">
        <f t="shared" si="42"/>
        <v>2.54818070791172,-0.674508516842427</v>
      </c>
      <c r="N165" s="1" t="str">
        <f t="shared" si="38"/>
        <v>2.54818070791172,-1.48256096851274</v>
      </c>
      <c r="O165" s="1" t="str">
        <f t="shared" si="37"/>
        <v>2.54818070791172,-1.20621794850391</v>
      </c>
      <c r="P165" s="1" t="str">
        <f t="shared" si="37"/>
        <v>2.54818070791172,1.7882916499714</v>
      </c>
    </row>
    <row r="166" spans="2:16" x14ac:dyDescent="0.6">
      <c r="B166" s="25">
        <v>148</v>
      </c>
      <c r="C166" s="24">
        <f t="shared" si="39"/>
        <v>2.5830872929516078</v>
      </c>
      <c r="D166" s="24">
        <f t="shared" si="31"/>
        <v>0.5299192642332049</v>
      </c>
      <c r="E166" s="24">
        <f t="shared" si="32"/>
        <v>-0.84804809615642596</v>
      </c>
      <c r="F166" s="24">
        <f t="shared" si="33"/>
        <v>-0.62486935190932746</v>
      </c>
      <c r="G166" s="24">
        <f t="shared" si="34"/>
        <v>-1.6003345290410504</v>
      </c>
      <c r="H166" s="24">
        <f t="shared" si="35"/>
        <v>-1.1791784033620965</v>
      </c>
      <c r="I166" s="29">
        <f t="shared" si="36"/>
        <v>1.8870799147998585</v>
      </c>
      <c r="K166" s="1" t="str">
        <f t="shared" si="40"/>
        <v>2.56563400043166,0.544639035015027</v>
      </c>
      <c r="L166" s="1" t="str">
        <f t="shared" si="41"/>
        <v>2.56563400043166,-0.838670567945424</v>
      </c>
      <c r="M166" s="1" t="str">
        <f t="shared" si="42"/>
        <v>2.56563400043166,-0.64940759319751</v>
      </c>
      <c r="N166" s="1" t="str">
        <f t="shared" si="38"/>
        <v>2.56563400043166,-1.53986496381458</v>
      </c>
      <c r="O166" s="1" t="str">
        <f t="shared" si="37"/>
        <v>2.56563400043166,-1.19236329283595</v>
      </c>
      <c r="P166" s="1" t="str">
        <f t="shared" si="37"/>
        <v>2.56563400043166,1.83607845877666</v>
      </c>
    </row>
    <row r="167" spans="2:16" x14ac:dyDescent="0.6">
      <c r="B167" s="25">
        <v>149</v>
      </c>
      <c r="C167" s="24">
        <f t="shared" si="39"/>
        <v>2.6005405854715509</v>
      </c>
      <c r="D167" s="24">
        <f t="shared" si="31"/>
        <v>0.51503807491005438</v>
      </c>
      <c r="E167" s="24">
        <f t="shared" si="32"/>
        <v>-0.85716730070211222</v>
      </c>
      <c r="F167" s="24">
        <f t="shared" si="33"/>
        <v>-0.60086061902756072</v>
      </c>
      <c r="G167" s="24">
        <f t="shared" si="34"/>
        <v>-1.6642794823505171</v>
      </c>
      <c r="H167" s="24">
        <f t="shared" si="35"/>
        <v>-1.1666333972153307</v>
      </c>
      <c r="I167" s="29">
        <f t="shared" si="36"/>
        <v>1.9416040264103558</v>
      </c>
      <c r="K167" s="1" t="str">
        <f t="shared" si="40"/>
        <v>2.58308729295161,0.529919264233205</v>
      </c>
      <c r="L167" s="1" t="str">
        <f t="shared" si="41"/>
        <v>2.58308729295161,-0.848048096156426</v>
      </c>
      <c r="M167" s="1" t="str">
        <f t="shared" si="42"/>
        <v>2.58308729295161,-0.624869351909327</v>
      </c>
      <c r="N167" s="1" t="str">
        <f t="shared" si="38"/>
        <v>2.58308729295161,-1.60033452904105</v>
      </c>
      <c r="O167" s="1" t="str">
        <f t="shared" si="37"/>
        <v>2.58308729295161,-1.1791784033621</v>
      </c>
      <c r="P167" s="1" t="str">
        <f t="shared" si="37"/>
        <v>2.58308729295161,1.88707991479986</v>
      </c>
    </row>
    <row r="168" spans="2:16" x14ac:dyDescent="0.6">
      <c r="B168" s="25">
        <v>150</v>
      </c>
      <c r="C168" s="24">
        <f t="shared" si="39"/>
        <v>2.6179938779914944</v>
      </c>
      <c r="D168" s="24">
        <f t="shared" si="31"/>
        <v>0.49999999999999994</v>
      </c>
      <c r="E168" s="24">
        <f t="shared" si="32"/>
        <v>-0.86602540378443871</v>
      </c>
      <c r="F168" s="24">
        <f t="shared" si="33"/>
        <v>-0.57735026918962573</v>
      </c>
      <c r="G168" s="24">
        <f t="shared" si="34"/>
        <v>-1.7320508075688774</v>
      </c>
      <c r="H168" s="24">
        <f t="shared" si="35"/>
        <v>-1.1547005383792515</v>
      </c>
      <c r="I168" s="29">
        <f t="shared" si="36"/>
        <v>2</v>
      </c>
      <c r="K168" s="1" t="str">
        <f t="shared" si="40"/>
        <v>2.60054058547155,0.515038074910054</v>
      </c>
      <c r="L168" s="1" t="str">
        <f t="shared" si="41"/>
        <v>2.60054058547155,-0.857167300702112</v>
      </c>
      <c r="M168" s="1" t="str">
        <f t="shared" si="42"/>
        <v>2.60054058547155,-0.600860619027561</v>
      </c>
      <c r="N168" s="1" t="str">
        <f t="shared" si="38"/>
        <v>2.60054058547155,-1.66427948235052</v>
      </c>
      <c r="O168" s="1" t="str">
        <f t="shared" si="37"/>
        <v>2.60054058547155,-1.16663339721533</v>
      </c>
      <c r="P168" s="1" t="str">
        <f t="shared" si="37"/>
        <v>2.60054058547155,1.94160402641036</v>
      </c>
    </row>
    <row r="169" spans="2:16" x14ac:dyDescent="0.6">
      <c r="B169" s="25">
        <v>151</v>
      </c>
      <c r="C169" s="24">
        <f t="shared" si="39"/>
        <v>2.6354471705114375</v>
      </c>
      <c r="D169" s="24">
        <f t="shared" si="31"/>
        <v>0.48480962024633717</v>
      </c>
      <c r="E169" s="24">
        <f t="shared" si="32"/>
        <v>-0.87461970713939574</v>
      </c>
      <c r="F169" s="24">
        <f t="shared" si="33"/>
        <v>-0.5543090514527691</v>
      </c>
      <c r="G169" s="24">
        <f t="shared" si="34"/>
        <v>-1.8040477552714234</v>
      </c>
      <c r="H169" s="24">
        <f t="shared" si="35"/>
        <v>-1.1433540678733201</v>
      </c>
      <c r="I169" s="29">
        <f t="shared" si="36"/>
        <v>2.0626653396273138</v>
      </c>
      <c r="K169" s="1" t="str">
        <f t="shared" si="40"/>
        <v>2.61799387799149,0.5</v>
      </c>
      <c r="L169" s="1" t="str">
        <f t="shared" si="41"/>
        <v>2.61799387799149,-0.866025403784439</v>
      </c>
      <c r="M169" s="1" t="str">
        <f t="shared" si="42"/>
        <v>2.61799387799149,-0.577350269189626</v>
      </c>
      <c r="N169" s="1" t="str">
        <f t="shared" si="38"/>
        <v>2.61799387799149,-1.73205080756888</v>
      </c>
      <c r="O169" s="1" t="str">
        <f t="shared" si="37"/>
        <v>2.61799387799149,-1.15470053837925</v>
      </c>
      <c r="P169" s="1" t="str">
        <f t="shared" si="37"/>
        <v>2.61799387799149,2</v>
      </c>
    </row>
    <row r="170" spans="2:16" x14ac:dyDescent="0.6">
      <c r="B170" s="25">
        <v>152</v>
      </c>
      <c r="C170" s="24">
        <f t="shared" si="39"/>
        <v>2.6529004630313806</v>
      </c>
      <c r="D170" s="24">
        <f t="shared" si="31"/>
        <v>0.46947156278589108</v>
      </c>
      <c r="E170" s="24">
        <f t="shared" si="32"/>
        <v>-0.88294759285892677</v>
      </c>
      <c r="F170" s="24">
        <f t="shared" si="33"/>
        <v>-0.53170943166147921</v>
      </c>
      <c r="G170" s="24">
        <f t="shared" si="34"/>
        <v>-1.8807264653463303</v>
      </c>
      <c r="H170" s="24">
        <f t="shared" si="35"/>
        <v>-1.1325700506890395</v>
      </c>
      <c r="I170" s="29">
        <f t="shared" si="36"/>
        <v>2.1300544681895115</v>
      </c>
      <c r="K170" s="1" t="str">
        <f t="shared" si="40"/>
        <v>2.63544717051144,0.484809620246337</v>
      </c>
      <c r="L170" s="1" t="str">
        <f t="shared" si="41"/>
        <v>2.63544717051144,-0.874619707139396</v>
      </c>
      <c r="M170" s="1" t="str">
        <f t="shared" si="42"/>
        <v>2.63544717051144,-0.554309051452769</v>
      </c>
      <c r="N170" s="1" t="str">
        <f t="shared" si="38"/>
        <v>2.63544717051144,-1.80404775527142</v>
      </c>
      <c r="O170" s="1" t="str">
        <f t="shared" si="37"/>
        <v>2.63544717051144,-1.14335406787332</v>
      </c>
      <c r="P170" s="1" t="str">
        <f t="shared" si="37"/>
        <v>2.63544717051144,2.06266533962731</v>
      </c>
    </row>
    <row r="171" spans="2:16" x14ac:dyDescent="0.6">
      <c r="B171" s="25">
        <v>153</v>
      </c>
      <c r="C171" s="24">
        <f t="shared" si="39"/>
        <v>2.6703537555513241</v>
      </c>
      <c r="D171" s="24">
        <f t="shared" si="31"/>
        <v>0.45399049973954686</v>
      </c>
      <c r="E171" s="24">
        <f t="shared" si="32"/>
        <v>-0.89100652418836779</v>
      </c>
      <c r="F171" s="24">
        <f t="shared" si="33"/>
        <v>-0.50952544949442891</v>
      </c>
      <c r="G171" s="24">
        <f t="shared" si="34"/>
        <v>-1.9626105055051501</v>
      </c>
      <c r="H171" s="24">
        <f t="shared" si="35"/>
        <v>-1.1223262376343608</v>
      </c>
      <c r="I171" s="29">
        <f t="shared" si="36"/>
        <v>2.2026892645852665</v>
      </c>
      <c r="K171" s="1" t="str">
        <f t="shared" si="40"/>
        <v>2.65290046303138,0.469471562785891</v>
      </c>
      <c r="L171" s="1" t="str">
        <f t="shared" si="41"/>
        <v>2.65290046303138,-0.882947592858927</v>
      </c>
      <c r="M171" s="1" t="str">
        <f t="shared" si="42"/>
        <v>2.65290046303138,-0.531709431661479</v>
      </c>
      <c r="N171" s="1" t="str">
        <f t="shared" si="38"/>
        <v>2.65290046303138,-1.88072646534633</v>
      </c>
      <c r="O171" s="1" t="str">
        <f t="shared" si="37"/>
        <v>2.65290046303138,-1.13257005068904</v>
      </c>
      <c r="P171" s="1" t="str">
        <f t="shared" si="37"/>
        <v>2.65290046303138,2.13005446818951</v>
      </c>
    </row>
    <row r="172" spans="2:16" x14ac:dyDescent="0.6">
      <c r="B172" s="25">
        <v>154</v>
      </c>
      <c r="C172" s="24">
        <f t="shared" si="39"/>
        <v>2.6878070480712677</v>
      </c>
      <c r="D172" s="24">
        <f t="shared" si="31"/>
        <v>0.43837114678907729</v>
      </c>
      <c r="E172" s="24">
        <f t="shared" si="32"/>
        <v>-0.89879404629916704</v>
      </c>
      <c r="F172" s="24">
        <f t="shared" si="33"/>
        <v>-0.48773258856586127</v>
      </c>
      <c r="G172" s="24">
        <f t="shared" si="34"/>
        <v>-2.0503038415792969</v>
      </c>
      <c r="H172" s="24">
        <f t="shared" si="35"/>
        <v>-1.1126019404751888</v>
      </c>
      <c r="I172" s="29">
        <f t="shared" si="36"/>
        <v>2.2811720327048599</v>
      </c>
      <c r="K172" s="1" t="str">
        <f t="shared" si="40"/>
        <v>2.67035375555132,0.453990499739547</v>
      </c>
      <c r="L172" s="1" t="str">
        <f t="shared" si="41"/>
        <v>2.67035375555132,-0.891006524188368</v>
      </c>
      <c r="M172" s="1" t="str">
        <f t="shared" si="42"/>
        <v>2.67035375555132,-0.509525449494429</v>
      </c>
      <c r="N172" s="1" t="str">
        <f t="shared" si="38"/>
        <v>2.67035375555132,-1.96261050550515</v>
      </c>
      <c r="O172" s="1" t="str">
        <f t="shared" si="37"/>
        <v>2.67035375555132,-1.12232623763436</v>
      </c>
      <c r="P172" s="1" t="str">
        <f t="shared" si="37"/>
        <v>2.67035375555132,2.20268926458527</v>
      </c>
    </row>
    <row r="173" spans="2:16" x14ac:dyDescent="0.6">
      <c r="B173" s="25">
        <v>155</v>
      </c>
      <c r="C173" s="24">
        <f t="shared" si="39"/>
        <v>2.7052603405912108</v>
      </c>
      <c r="D173" s="24">
        <f t="shared" si="31"/>
        <v>0.4226182617406995</v>
      </c>
      <c r="E173" s="24">
        <f t="shared" si="32"/>
        <v>-0.90630778703664994</v>
      </c>
      <c r="F173" s="24">
        <f t="shared" si="33"/>
        <v>-0.46630765815499864</v>
      </c>
      <c r="G173" s="24">
        <f t="shared" si="34"/>
        <v>-2.1445069205095586</v>
      </c>
      <c r="H173" s="24">
        <f t="shared" si="35"/>
        <v>-1.1033779189624917</v>
      </c>
      <c r="I173" s="29">
        <f t="shared" si="36"/>
        <v>2.3662015831524981</v>
      </c>
      <c r="K173" s="1" t="str">
        <f t="shared" si="40"/>
        <v>2.68780704807127,0.438371146789077</v>
      </c>
      <c r="L173" s="1" t="str">
        <f t="shared" si="41"/>
        <v>2.68780704807127,-0.898794046299167</v>
      </c>
      <c r="M173" s="1" t="str">
        <f t="shared" si="42"/>
        <v>2.68780704807127,-0.487732588565861</v>
      </c>
      <c r="N173" s="1" t="str">
        <f t="shared" si="38"/>
        <v>2.68780704807127,-2.0503038415793</v>
      </c>
      <c r="O173" s="1" t="str">
        <f t="shared" si="37"/>
        <v>2.68780704807127,-1.11260194047519</v>
      </c>
      <c r="P173" s="1" t="str">
        <f t="shared" si="37"/>
        <v>2.68780704807127,2.28117203270486</v>
      </c>
    </row>
    <row r="174" spans="2:16" x14ac:dyDescent="0.6">
      <c r="B174" s="25">
        <v>156</v>
      </c>
      <c r="C174" s="24">
        <f t="shared" si="39"/>
        <v>2.7227136331111539</v>
      </c>
      <c r="D174" s="24">
        <f t="shared" si="31"/>
        <v>0.40673664307580043</v>
      </c>
      <c r="E174" s="24">
        <f t="shared" si="32"/>
        <v>-0.91354545764260076</v>
      </c>
      <c r="F174" s="24">
        <f t="shared" si="33"/>
        <v>-0.44522868530853649</v>
      </c>
      <c r="G174" s="24">
        <f t="shared" si="34"/>
        <v>-2.2460367739042146</v>
      </c>
      <c r="H174" s="24">
        <f t="shared" si="35"/>
        <v>-1.0946362785060468</v>
      </c>
      <c r="I174" s="29">
        <f t="shared" si="36"/>
        <v>2.4585933355742369</v>
      </c>
      <c r="K174" s="1" t="str">
        <f t="shared" si="40"/>
        <v>2.70526034059121,0.422618261740699</v>
      </c>
      <c r="L174" s="1" t="str">
        <f t="shared" si="41"/>
        <v>2.70526034059121,-0.90630778703665</v>
      </c>
      <c r="M174" s="1" t="str">
        <f t="shared" si="42"/>
        <v>2.70526034059121,-0.466307658154999</v>
      </c>
      <c r="N174" s="1" t="str">
        <f t="shared" si="38"/>
        <v>2.70526034059121,-2.14450692050956</v>
      </c>
      <c r="O174" s="1" t="str">
        <f t="shared" si="37"/>
        <v>2.70526034059121,-1.10337791896249</v>
      </c>
      <c r="P174" s="1" t="str">
        <f t="shared" si="37"/>
        <v>2.70526034059121,2.3662015831525</v>
      </c>
    </row>
    <row r="175" spans="2:16" x14ac:dyDescent="0.6">
      <c r="B175" s="25">
        <v>157</v>
      </c>
      <c r="C175" s="24">
        <f t="shared" si="39"/>
        <v>2.740166925631097</v>
      </c>
      <c r="D175" s="24">
        <f t="shared" si="31"/>
        <v>0.39073112848927416</v>
      </c>
      <c r="E175" s="24">
        <f t="shared" si="32"/>
        <v>-0.92050485345244015</v>
      </c>
      <c r="F175" s="24">
        <f t="shared" si="33"/>
        <v>-0.42447481620960525</v>
      </c>
      <c r="G175" s="24">
        <f t="shared" si="34"/>
        <v>-2.35585236582375</v>
      </c>
      <c r="H175" s="24">
        <f t="shared" si="35"/>
        <v>-1.0863603774052966</v>
      </c>
      <c r="I175" s="29">
        <f t="shared" si="36"/>
        <v>2.5593046652474496</v>
      </c>
      <c r="K175" s="1" t="str">
        <f t="shared" si="40"/>
        <v>2.72271363311115,0.4067366430758</v>
      </c>
      <c r="L175" s="1" t="str">
        <f t="shared" si="41"/>
        <v>2.72271363311115,-0.913545457642601</v>
      </c>
      <c r="M175" s="1" t="str">
        <f t="shared" si="42"/>
        <v>2.72271363311115,-0.445228685308536</v>
      </c>
      <c r="N175" s="1" t="str">
        <f t="shared" si="38"/>
        <v>2.72271363311115,-2.24603677390421</v>
      </c>
      <c r="O175" s="1" t="str">
        <f t="shared" si="37"/>
        <v>2.72271363311115,-1.09463627850605</v>
      </c>
      <c r="P175" s="1" t="str">
        <f t="shared" si="37"/>
        <v>2.72271363311115,2.45859333557424</v>
      </c>
    </row>
    <row r="176" spans="2:16" x14ac:dyDescent="0.6">
      <c r="B176" s="25">
        <v>158</v>
      </c>
      <c r="C176" s="24">
        <f t="shared" si="39"/>
        <v>2.7576202181510405</v>
      </c>
      <c r="D176" s="24">
        <f t="shared" si="31"/>
        <v>0.37460659341591224</v>
      </c>
      <c r="E176" s="24">
        <f t="shared" si="32"/>
        <v>-0.92718385456678731</v>
      </c>
      <c r="F176" s="24">
        <f t="shared" si="33"/>
        <v>-0.40402622583515707</v>
      </c>
      <c r="G176" s="24">
        <f t="shared" si="34"/>
        <v>-2.4750868534162942</v>
      </c>
      <c r="H176" s="24">
        <f t="shared" si="35"/>
        <v>-1.0785347426775835</v>
      </c>
      <c r="I176" s="29">
        <f t="shared" si="36"/>
        <v>2.669467162554013</v>
      </c>
      <c r="K176" s="1" t="str">
        <f t="shared" si="40"/>
        <v>2.7401669256311,0.390731128489274</v>
      </c>
      <c r="L176" s="1" t="str">
        <f t="shared" si="41"/>
        <v>2.7401669256311,-0.92050485345244</v>
      </c>
      <c r="M176" s="1" t="str">
        <f t="shared" si="42"/>
        <v>2.7401669256311,-0.424474816209605</v>
      </c>
      <c r="N176" s="1" t="str">
        <f t="shared" si="38"/>
        <v>2.7401669256311,-2.35585236582375</v>
      </c>
      <c r="O176" s="1" t="str">
        <f t="shared" si="37"/>
        <v>2.7401669256311,-1.0863603774053</v>
      </c>
      <c r="P176" s="1" t="str">
        <f t="shared" si="37"/>
        <v>2.7401669256311,2.55930466524745</v>
      </c>
    </row>
    <row r="177" spans="2:16" x14ac:dyDescent="0.6">
      <c r="B177" s="25">
        <v>159</v>
      </c>
      <c r="C177" s="24">
        <f t="shared" si="39"/>
        <v>2.7750735106709841</v>
      </c>
      <c r="D177" s="24">
        <f t="shared" si="31"/>
        <v>0.35836794954530021</v>
      </c>
      <c r="E177" s="24">
        <f t="shared" si="32"/>
        <v>-0.93358042649720174</v>
      </c>
      <c r="F177" s="24">
        <f t="shared" si="33"/>
        <v>-0.38386403503541577</v>
      </c>
      <c r="G177" s="24">
        <f t="shared" si="34"/>
        <v>-2.6050890646938019</v>
      </c>
      <c r="H177" s="24">
        <f t="shared" si="35"/>
        <v>-1.071144993637029</v>
      </c>
      <c r="I177" s="29">
        <f t="shared" si="36"/>
        <v>2.7904281096253363</v>
      </c>
      <c r="K177" s="1" t="str">
        <f t="shared" si="40"/>
        <v>2.75762021815104,0.374606593415912</v>
      </c>
      <c r="L177" s="1" t="str">
        <f t="shared" si="41"/>
        <v>2.75762021815104,-0.927183854566787</v>
      </c>
      <c r="M177" s="1" t="str">
        <f t="shared" si="42"/>
        <v>2.75762021815104,-0.404026225835157</v>
      </c>
      <c r="N177" s="1" t="str">
        <f t="shared" si="38"/>
        <v>2.75762021815104,-2.47508685341629</v>
      </c>
      <c r="O177" s="1" t="str">
        <f t="shared" si="37"/>
        <v>2.75762021815104,-1.07853474267758</v>
      </c>
      <c r="P177" s="1" t="str">
        <f t="shared" si="37"/>
        <v>2.75762021815104,2.66946716255401</v>
      </c>
    </row>
    <row r="178" spans="2:16" x14ac:dyDescent="0.6">
      <c r="B178" s="25">
        <v>160</v>
      </c>
      <c r="C178" s="24">
        <f t="shared" si="39"/>
        <v>2.7925268031909272</v>
      </c>
      <c r="D178" s="24">
        <f t="shared" si="31"/>
        <v>0.34202014332566888</v>
      </c>
      <c r="E178" s="24">
        <f t="shared" si="32"/>
        <v>-0.93969262078590832</v>
      </c>
      <c r="F178" s="24">
        <f t="shared" si="33"/>
        <v>-0.36397023426620256</v>
      </c>
      <c r="G178" s="24">
        <f t="shared" si="34"/>
        <v>-2.7474774194546208</v>
      </c>
      <c r="H178" s="24">
        <f t="shared" si="35"/>
        <v>-1.0641777724759123</v>
      </c>
      <c r="I178" s="29">
        <f t="shared" si="36"/>
        <v>2.9238044001630858</v>
      </c>
      <c r="K178" s="1" t="str">
        <f t="shared" si="40"/>
        <v>2.77507351067098,0.3583679495453</v>
      </c>
      <c r="L178" s="1" t="str">
        <f t="shared" si="41"/>
        <v>2.77507351067098,-0.933580426497202</v>
      </c>
      <c r="M178" s="1" t="str">
        <f t="shared" si="42"/>
        <v>2.77507351067098,-0.383864035035416</v>
      </c>
      <c r="N178" s="1" t="str">
        <f t="shared" si="38"/>
        <v>2.77507351067098,-2.6050890646938</v>
      </c>
      <c r="O178" s="1" t="str">
        <f t="shared" si="37"/>
        <v>2.77507351067098,-1.07114499363703</v>
      </c>
      <c r="P178" s="1" t="str">
        <f t="shared" si="37"/>
        <v>2.77507351067098,2.79042810962534</v>
      </c>
    </row>
    <row r="179" spans="2:16" x14ac:dyDescent="0.6">
      <c r="B179" s="25">
        <v>161</v>
      </c>
      <c r="C179" s="24">
        <f t="shared" si="39"/>
        <v>2.8099800957108703</v>
      </c>
      <c r="D179" s="24">
        <f t="shared" si="31"/>
        <v>0.32556815445715703</v>
      </c>
      <c r="E179" s="24">
        <f t="shared" si="32"/>
        <v>-0.94551857559931674</v>
      </c>
      <c r="F179" s="24">
        <f t="shared" si="33"/>
        <v>-0.34432761328966566</v>
      </c>
      <c r="G179" s="24">
        <f t="shared" si="34"/>
        <v>-2.9042108776758191</v>
      </c>
      <c r="H179" s="24">
        <f t="shared" si="35"/>
        <v>-1.0576206811866706</v>
      </c>
      <c r="I179" s="29">
        <f t="shared" si="36"/>
        <v>3.0715534867572387</v>
      </c>
      <c r="K179" s="1" t="str">
        <f t="shared" si="40"/>
        <v>2.79252680319093,0.342020143325669</v>
      </c>
      <c r="L179" s="1" t="str">
        <f t="shared" si="41"/>
        <v>2.79252680319093,-0.939692620785908</v>
      </c>
      <c r="M179" s="1" t="str">
        <f t="shared" si="42"/>
        <v>2.79252680319093,-0.363970234266203</v>
      </c>
      <c r="N179" s="1" t="str">
        <f t="shared" si="38"/>
        <v>2.79252680319093,-2.74747741945462</v>
      </c>
      <c r="O179" s="1" t="str">
        <f t="shared" si="37"/>
        <v>2.79252680319093,-1.06417777247591</v>
      </c>
      <c r="P179" s="1" t="str">
        <f t="shared" si="37"/>
        <v>2.79252680319093,2.92380440016309</v>
      </c>
    </row>
    <row r="180" spans="2:16" x14ac:dyDescent="0.6">
      <c r="B180" s="25">
        <v>162</v>
      </c>
      <c r="C180" s="24">
        <f t="shared" si="39"/>
        <v>2.8274333882308138</v>
      </c>
      <c r="D180" s="24">
        <f t="shared" si="31"/>
        <v>0.30901699437494751</v>
      </c>
      <c r="E180" s="24">
        <f t="shared" si="32"/>
        <v>-0.95105651629515353</v>
      </c>
      <c r="F180" s="24">
        <f t="shared" si="33"/>
        <v>-0.32491969623290645</v>
      </c>
      <c r="G180" s="24">
        <f t="shared" si="34"/>
        <v>-3.0776835371752522</v>
      </c>
      <c r="H180" s="24">
        <f t="shared" si="35"/>
        <v>-1.0514622242382672</v>
      </c>
      <c r="I180" s="29">
        <f t="shared" si="36"/>
        <v>3.2360679774997889</v>
      </c>
      <c r="K180" s="1" t="str">
        <f t="shared" si="40"/>
        <v>2.80998009571087,0.325568154457157</v>
      </c>
      <c r="L180" s="1" t="str">
        <f t="shared" si="41"/>
        <v>2.80998009571087,-0.945518575599317</v>
      </c>
      <c r="M180" s="1" t="str">
        <f t="shared" si="42"/>
        <v>2.80998009571087,-0.344327613289666</v>
      </c>
      <c r="N180" s="1" t="str">
        <f t="shared" si="38"/>
        <v>2.80998009571087,-2.90421087767582</v>
      </c>
      <c r="O180" s="1" t="str">
        <f t="shared" si="37"/>
        <v>2.80998009571087,-1.05762068118667</v>
      </c>
      <c r="P180" s="1" t="str">
        <f t="shared" si="37"/>
        <v>2.80998009571087,3.07155348675724</v>
      </c>
    </row>
    <row r="181" spans="2:16" x14ac:dyDescent="0.6">
      <c r="B181" s="25">
        <v>163</v>
      </c>
      <c r="C181" s="24">
        <f t="shared" si="39"/>
        <v>2.8448866807507569</v>
      </c>
      <c r="D181" s="24">
        <f t="shared" si="31"/>
        <v>0.29237170472273705</v>
      </c>
      <c r="E181" s="24">
        <f t="shared" si="32"/>
        <v>-0.95630475596303544</v>
      </c>
      <c r="F181" s="24">
        <f t="shared" si="33"/>
        <v>-0.30573068145866067</v>
      </c>
      <c r="G181" s="24">
        <f t="shared" si="34"/>
        <v>-3.2708526184841373</v>
      </c>
      <c r="H181" s="24">
        <f t="shared" si="35"/>
        <v>-1.045691756487148</v>
      </c>
      <c r="I181" s="29">
        <f t="shared" si="36"/>
        <v>3.4203036198332648</v>
      </c>
      <c r="K181" s="1" t="str">
        <f t="shared" si="40"/>
        <v>2.82743338823081,0.309016994374948</v>
      </c>
      <c r="L181" s="1" t="str">
        <f t="shared" si="41"/>
        <v>2.82743338823081,-0.951056516295154</v>
      </c>
      <c r="M181" s="1" t="str">
        <f t="shared" si="42"/>
        <v>2.82743338823081,-0.324919696232906</v>
      </c>
      <c r="N181" s="1" t="str">
        <f t="shared" si="38"/>
        <v>2.82743338823081,-3.07768353717525</v>
      </c>
      <c r="O181" s="1" t="str">
        <f t="shared" si="37"/>
        <v>2.82743338823081,-1.05146222423827</v>
      </c>
      <c r="P181" s="1" t="str">
        <f t="shared" si="37"/>
        <v>2.82743338823081,3.23606797749979</v>
      </c>
    </row>
    <row r="182" spans="2:16" x14ac:dyDescent="0.6">
      <c r="B182" s="25">
        <v>164</v>
      </c>
      <c r="C182" s="24">
        <f t="shared" si="39"/>
        <v>2.8623399732707</v>
      </c>
      <c r="D182" s="24">
        <f t="shared" si="31"/>
        <v>0.27563735581699966</v>
      </c>
      <c r="E182" s="24">
        <f t="shared" si="32"/>
        <v>-0.96126169593831867</v>
      </c>
      <c r="F182" s="24">
        <f t="shared" si="33"/>
        <v>-0.28674538575880848</v>
      </c>
      <c r="G182" s="24">
        <f t="shared" si="34"/>
        <v>-3.487414443840902</v>
      </c>
      <c r="H182" s="24">
        <f t="shared" si="35"/>
        <v>-1.0402994358616022</v>
      </c>
      <c r="I182" s="29">
        <f t="shared" si="36"/>
        <v>3.6279552785432938</v>
      </c>
      <c r="K182" s="1" t="str">
        <f t="shared" si="40"/>
        <v>2.84488668075076,0.292371704722737</v>
      </c>
      <c r="L182" s="1" t="str">
        <f t="shared" si="41"/>
        <v>2.84488668075076,-0.956304755963035</v>
      </c>
      <c r="M182" s="1" t="str">
        <f t="shared" si="42"/>
        <v>2.84488668075076,-0.305730681458661</v>
      </c>
      <c r="N182" s="1" t="str">
        <f t="shared" si="38"/>
        <v>2.84488668075076,-3.27085261848414</v>
      </c>
      <c r="O182" s="1" t="str">
        <f t="shared" si="37"/>
        <v>2.84488668075076,-1.04569175648715</v>
      </c>
      <c r="P182" s="1" t="str">
        <f t="shared" si="37"/>
        <v>2.84488668075076,3.42030361983326</v>
      </c>
    </row>
    <row r="183" spans="2:16" x14ac:dyDescent="0.6">
      <c r="B183" s="25">
        <v>165</v>
      </c>
      <c r="C183" s="24">
        <f t="shared" si="39"/>
        <v>2.8797932657906435</v>
      </c>
      <c r="D183" s="24">
        <f t="shared" si="31"/>
        <v>0.25881904510252102</v>
      </c>
      <c r="E183" s="24">
        <f t="shared" si="32"/>
        <v>-0.9659258262890682</v>
      </c>
      <c r="F183" s="24">
        <f t="shared" si="33"/>
        <v>-0.26794919243112297</v>
      </c>
      <c r="G183" s="24">
        <f t="shared" si="34"/>
        <v>-3.7320508075688736</v>
      </c>
      <c r="H183" s="24">
        <f t="shared" si="35"/>
        <v>-1.0352761804100832</v>
      </c>
      <c r="I183" s="29">
        <f t="shared" si="36"/>
        <v>3.8637033051562693</v>
      </c>
      <c r="K183" s="1" t="str">
        <f t="shared" si="40"/>
        <v>2.8623399732707,0.275637355817</v>
      </c>
      <c r="L183" s="1" t="str">
        <f t="shared" si="41"/>
        <v>2.8623399732707,-0.961261695938319</v>
      </c>
      <c r="M183" s="1" t="str">
        <f t="shared" si="42"/>
        <v>2.8623399732707,-0.286745385758808</v>
      </c>
      <c r="N183" s="1" t="str">
        <f t="shared" si="38"/>
        <v>2.8623399732707,-3.4874144438409</v>
      </c>
      <c r="O183" s="1" t="str">
        <f t="shared" si="37"/>
        <v>2.8623399732707,-1.0402994358616</v>
      </c>
      <c r="P183" s="1" t="str">
        <f t="shared" si="37"/>
        <v>2.8623399732707,3.62795527854329</v>
      </c>
    </row>
    <row r="184" spans="2:16" x14ac:dyDescent="0.6">
      <c r="B184" s="25">
        <v>166</v>
      </c>
      <c r="C184" s="24">
        <f t="shared" si="39"/>
        <v>2.8972465583105871</v>
      </c>
      <c r="D184" s="24">
        <f t="shared" si="31"/>
        <v>0.24192189559966773</v>
      </c>
      <c r="E184" s="24">
        <f t="shared" si="32"/>
        <v>-0.97029572627599647</v>
      </c>
      <c r="F184" s="24">
        <f t="shared" si="33"/>
        <v>-0.24932800284318071</v>
      </c>
      <c r="G184" s="24">
        <f t="shared" si="34"/>
        <v>-4.0107809335358446</v>
      </c>
      <c r="H184" s="24">
        <f t="shared" si="35"/>
        <v>-1.0306136293498982</v>
      </c>
      <c r="I184" s="29">
        <f t="shared" si="36"/>
        <v>4.1335654944387494</v>
      </c>
      <c r="K184" s="1" t="str">
        <f t="shared" si="40"/>
        <v>2.87979326579064,0.258819045102521</v>
      </c>
      <c r="L184" s="1" t="str">
        <f t="shared" si="41"/>
        <v>2.87979326579064,-0.965925826289068</v>
      </c>
      <c r="M184" s="1" t="str">
        <f t="shared" si="42"/>
        <v>2.87979326579064,-0.267949192431123</v>
      </c>
      <c r="N184" s="1" t="str">
        <f t="shared" si="38"/>
        <v>2.87979326579064,-3.73205080756887</v>
      </c>
      <c r="O184" s="1" t="str">
        <f t="shared" si="37"/>
        <v>2.87979326579064,-1.03527618041008</v>
      </c>
      <c r="P184" s="1" t="str">
        <f t="shared" si="37"/>
        <v>2.87979326579064,3.86370330515627</v>
      </c>
    </row>
    <row r="185" spans="2:16" x14ac:dyDescent="0.6">
      <c r="B185" s="25">
        <v>167</v>
      </c>
      <c r="C185" s="24">
        <f t="shared" si="39"/>
        <v>2.9146998508305306</v>
      </c>
      <c r="D185" s="24">
        <f t="shared" si="31"/>
        <v>0.22495105434386478</v>
      </c>
      <c r="E185" s="24">
        <f t="shared" si="32"/>
        <v>-0.97437006478523525</v>
      </c>
      <c r="F185" s="24">
        <f t="shared" si="33"/>
        <v>-0.23086819112556287</v>
      </c>
      <c r="G185" s="24">
        <f t="shared" si="34"/>
        <v>-4.3314758742841599</v>
      </c>
      <c r="H185" s="24">
        <f t="shared" si="35"/>
        <v>-1.0263041077933917</v>
      </c>
      <c r="I185" s="29">
        <f t="shared" si="36"/>
        <v>4.4454114825858051</v>
      </c>
      <c r="K185" s="1" t="str">
        <f t="shared" si="40"/>
        <v>2.89724655831059,0.241921895599668</v>
      </c>
      <c r="L185" s="1" t="str">
        <f t="shared" si="41"/>
        <v>2.89724655831059,-0.970295726275996</v>
      </c>
      <c r="M185" s="1" t="str">
        <f t="shared" si="42"/>
        <v>2.89724655831059,-0.249328002843181</v>
      </c>
      <c r="N185" s="1" t="str">
        <f t="shared" si="38"/>
        <v>2.89724655831059,-4.01078093353584</v>
      </c>
      <c r="O185" s="1" t="str">
        <f t="shared" si="37"/>
        <v>2.89724655831059,-1.0306136293499</v>
      </c>
      <c r="P185" s="1" t="str">
        <f t="shared" si="37"/>
        <v>2.89724655831059,4.13356549443875</v>
      </c>
    </row>
    <row r="186" spans="2:16" x14ac:dyDescent="0.6">
      <c r="B186" s="25">
        <v>168</v>
      </c>
      <c r="C186" s="24">
        <f t="shared" si="39"/>
        <v>2.9321531433504737</v>
      </c>
      <c r="D186" s="24">
        <f t="shared" si="31"/>
        <v>0.20791169081775931</v>
      </c>
      <c r="E186" s="24">
        <f t="shared" si="32"/>
        <v>-0.97814760073380569</v>
      </c>
      <c r="F186" s="24">
        <f t="shared" si="33"/>
        <v>-0.2125565616700221</v>
      </c>
      <c r="G186" s="24">
        <f t="shared" si="34"/>
        <v>-4.7046301094784546</v>
      </c>
      <c r="H186" s="24">
        <f t="shared" si="35"/>
        <v>-1.0223405948650293</v>
      </c>
      <c r="I186" s="29">
        <f t="shared" si="36"/>
        <v>4.8097343447441316</v>
      </c>
      <c r="K186" s="1" t="str">
        <f t="shared" si="40"/>
        <v>2.91469985083053,0.224951054343865</v>
      </c>
      <c r="L186" s="1" t="str">
        <f t="shared" si="41"/>
        <v>2.91469985083053,-0.974370064785235</v>
      </c>
      <c r="M186" s="1" t="str">
        <f t="shared" si="42"/>
        <v>2.91469985083053,-0.230868191125563</v>
      </c>
      <c r="N186" s="1" t="str">
        <f t="shared" si="38"/>
        <v>2.91469985083053,-4.33147587428416</v>
      </c>
      <c r="O186" s="1" t="str">
        <f t="shared" si="37"/>
        <v>2.91469985083053,-1.02630410779339</v>
      </c>
      <c r="P186" s="1" t="str">
        <f t="shared" si="37"/>
        <v>2.91469985083053,4.44541148258581</v>
      </c>
    </row>
    <row r="187" spans="2:16" x14ac:dyDescent="0.6">
      <c r="B187" s="25">
        <v>169</v>
      </c>
      <c r="C187" s="24">
        <f t="shared" si="39"/>
        <v>2.9496064358704168</v>
      </c>
      <c r="D187" s="24">
        <f t="shared" si="31"/>
        <v>0.19080899537654497</v>
      </c>
      <c r="E187" s="24">
        <f t="shared" si="32"/>
        <v>-0.98162718344766398</v>
      </c>
      <c r="F187" s="24">
        <f t="shared" si="33"/>
        <v>-0.19438030913771864</v>
      </c>
      <c r="G187" s="24">
        <f t="shared" si="34"/>
        <v>-5.1445540159703063</v>
      </c>
      <c r="H187" s="24">
        <f t="shared" si="35"/>
        <v>-1.0187166949552142</v>
      </c>
      <c r="I187" s="29">
        <f t="shared" si="36"/>
        <v>5.2408430641678443</v>
      </c>
      <c r="K187" s="1" t="str">
        <f t="shared" si="40"/>
        <v>2.93215314335047,0.207911690817759</v>
      </c>
      <c r="L187" s="1" t="str">
        <f t="shared" si="41"/>
        <v>2.93215314335047,-0.978147600733806</v>
      </c>
      <c r="M187" s="1" t="str">
        <f t="shared" si="42"/>
        <v>2.93215314335047,-0.212556561670022</v>
      </c>
      <c r="N187" s="1" t="str">
        <f t="shared" si="38"/>
        <v>2.93215314335047,-4.70463010947845</v>
      </c>
      <c r="O187" s="1" t="str">
        <f t="shared" si="37"/>
        <v>2.93215314335047,-1.02234059486503</v>
      </c>
      <c r="P187" s="1" t="str">
        <f t="shared" si="37"/>
        <v>2.93215314335047,4.80973434474413</v>
      </c>
    </row>
    <row r="188" spans="2:16" x14ac:dyDescent="0.6">
      <c r="B188" s="25">
        <v>170</v>
      </c>
      <c r="C188" s="24">
        <f t="shared" si="39"/>
        <v>2.9670597283903604</v>
      </c>
      <c r="D188" s="24">
        <f t="shared" si="31"/>
        <v>0.17364817766693028</v>
      </c>
      <c r="E188" s="24">
        <f t="shared" si="32"/>
        <v>-0.98480775301220802</v>
      </c>
      <c r="F188" s="24">
        <f t="shared" si="33"/>
        <v>-0.17632698070846489</v>
      </c>
      <c r="G188" s="24">
        <f t="shared" si="34"/>
        <v>-5.6712818196177119</v>
      </c>
      <c r="H188" s="24">
        <f t="shared" si="35"/>
        <v>-1.0154266118857451</v>
      </c>
      <c r="I188" s="29">
        <f t="shared" si="36"/>
        <v>5.7587704831436364</v>
      </c>
      <c r="K188" s="1" t="str">
        <f t="shared" si="40"/>
        <v>2.94960643587042,0.190808995376545</v>
      </c>
      <c r="L188" s="1" t="str">
        <f t="shared" si="41"/>
        <v>2.94960643587042,-0.981627183447664</v>
      </c>
      <c r="M188" s="1" t="str">
        <f t="shared" si="42"/>
        <v>2.94960643587042,-0.194380309137719</v>
      </c>
      <c r="N188" s="1" t="str">
        <f t="shared" si="38"/>
        <v>2.94960643587042,-5.14455401597031</v>
      </c>
      <c r="O188" s="1" t="str">
        <f t="shared" si="37"/>
        <v>2.94960643587042,-1.01871669495521</v>
      </c>
      <c r="P188" s="1" t="str">
        <f t="shared" si="37"/>
        <v>2.94960643587042,5.24084306416784</v>
      </c>
    </row>
    <row r="189" spans="2:16" x14ac:dyDescent="0.6">
      <c r="B189" s="25">
        <v>171</v>
      </c>
      <c r="C189" s="24">
        <f t="shared" si="39"/>
        <v>2.9845130209103035</v>
      </c>
      <c r="D189" s="24">
        <f t="shared" si="31"/>
        <v>0.15643446504023098</v>
      </c>
      <c r="E189" s="24">
        <f t="shared" si="32"/>
        <v>-0.98768834059513766</v>
      </c>
      <c r="F189" s="24">
        <f t="shared" si="33"/>
        <v>-0.15838444032453641</v>
      </c>
      <c r="G189" s="24">
        <f t="shared" si="34"/>
        <v>-6.3137515146750385</v>
      </c>
      <c r="H189" s="24">
        <f t="shared" si="35"/>
        <v>-1.0124651257880031</v>
      </c>
      <c r="I189" s="29">
        <f t="shared" si="36"/>
        <v>6.3924532214996574</v>
      </c>
      <c r="K189" s="1" t="str">
        <f t="shared" si="40"/>
        <v>2.96705972839036,0.17364817766693</v>
      </c>
      <c r="L189" s="1" t="str">
        <f t="shared" si="41"/>
        <v>2.96705972839036,-0.984807753012208</v>
      </c>
      <c r="M189" s="1" t="str">
        <f t="shared" si="42"/>
        <v>2.96705972839036,-0.176326980708465</v>
      </c>
      <c r="N189" s="1" t="str">
        <f t="shared" si="38"/>
        <v>2.96705972839036,-5.67128181961771</v>
      </c>
      <c r="O189" s="1" t="str">
        <f t="shared" si="37"/>
        <v>2.96705972839036,-1.01542661188575</v>
      </c>
      <c r="P189" s="1" t="str">
        <f t="shared" si="37"/>
        <v>2.96705972839036,5.75877048314364</v>
      </c>
    </row>
    <row r="190" spans="2:16" x14ac:dyDescent="0.6">
      <c r="B190" s="25">
        <v>172</v>
      </c>
      <c r="C190" s="24">
        <f t="shared" si="39"/>
        <v>3.0019663134302466</v>
      </c>
      <c r="D190" s="24">
        <f t="shared" si="31"/>
        <v>0.13917310096006574</v>
      </c>
      <c r="E190" s="24">
        <f t="shared" si="32"/>
        <v>-0.99026806874157025</v>
      </c>
      <c r="F190" s="24">
        <f t="shared" si="33"/>
        <v>-0.14054083470239176</v>
      </c>
      <c r="G190" s="24">
        <f t="shared" si="34"/>
        <v>-7.1153697223841927</v>
      </c>
      <c r="H190" s="24">
        <f t="shared" si="35"/>
        <v>-1.0098275725186181</v>
      </c>
      <c r="I190" s="29">
        <f t="shared" si="36"/>
        <v>7.185296534327704</v>
      </c>
      <c r="K190" s="1" t="str">
        <f t="shared" si="40"/>
        <v>2.9845130209103,0.156434465040231</v>
      </c>
      <c r="L190" s="1" t="str">
        <f t="shared" si="41"/>
        <v>2.9845130209103,-0.987688340595138</v>
      </c>
      <c r="M190" s="1" t="str">
        <f t="shared" si="42"/>
        <v>2.9845130209103,-0.158384440324536</v>
      </c>
      <c r="N190" s="1" t="str">
        <f t="shared" si="38"/>
        <v>2.9845130209103,-6.31375151467504</v>
      </c>
      <c r="O190" s="1" t="str">
        <f t="shared" si="37"/>
        <v>2.9845130209103,-1.012465125788</v>
      </c>
      <c r="P190" s="1" t="str">
        <f t="shared" si="37"/>
        <v>2.9845130209103,6.39245322149966</v>
      </c>
    </row>
    <row r="191" spans="2:16" x14ac:dyDescent="0.6">
      <c r="B191" s="25">
        <v>173</v>
      </c>
      <c r="C191" s="24">
        <f t="shared" si="39"/>
        <v>3.0194196059501901</v>
      </c>
      <c r="D191" s="24">
        <f t="shared" si="31"/>
        <v>0.12186934340514755</v>
      </c>
      <c r="E191" s="24">
        <f t="shared" si="32"/>
        <v>-0.99254615164132198</v>
      </c>
      <c r="F191" s="24">
        <f t="shared" si="33"/>
        <v>-0.12278456090290465</v>
      </c>
      <c r="G191" s="24">
        <f t="shared" si="34"/>
        <v>-8.1443464279745896</v>
      </c>
      <c r="H191" s="24">
        <f t="shared" si="35"/>
        <v>-1.0075098254588484</v>
      </c>
      <c r="I191" s="29">
        <f t="shared" si="36"/>
        <v>8.2055090481250748</v>
      </c>
      <c r="K191" s="1" t="str">
        <f t="shared" si="40"/>
        <v>3.00196631343025,0.139173100960066</v>
      </c>
      <c r="L191" s="1" t="str">
        <f t="shared" si="41"/>
        <v>3.00196631343025,-0.99026806874157</v>
      </c>
      <c r="M191" s="1" t="str">
        <f t="shared" si="42"/>
        <v>3.00196631343025,-0.140540834702392</v>
      </c>
      <c r="N191" s="1" t="str">
        <f t="shared" si="38"/>
        <v>3.00196631343025,-7.11536972238419</v>
      </c>
      <c r="O191" s="1" t="str">
        <f t="shared" si="37"/>
        <v>3.00196631343025,-1.00982757251862</v>
      </c>
      <c r="P191" s="1" t="str">
        <f t="shared" si="37"/>
        <v>3.00196631343025,7.1852965343277</v>
      </c>
    </row>
    <row r="192" spans="2:16" x14ac:dyDescent="0.6">
      <c r="B192" s="25">
        <v>174</v>
      </c>
      <c r="C192" s="24">
        <f t="shared" si="39"/>
        <v>3.0368728984701332</v>
      </c>
      <c r="D192" s="24">
        <f t="shared" si="31"/>
        <v>0.10452846326765373</v>
      </c>
      <c r="E192" s="24">
        <f t="shared" si="32"/>
        <v>-0.99452189536827329</v>
      </c>
      <c r="F192" s="24">
        <f t="shared" si="33"/>
        <v>-0.10510423526567673</v>
      </c>
      <c r="G192" s="24">
        <f t="shared" si="34"/>
        <v>-9.5143644542225605</v>
      </c>
      <c r="H192" s="24">
        <f t="shared" si="35"/>
        <v>-1.0055082795635164</v>
      </c>
      <c r="I192" s="29">
        <f t="shared" si="36"/>
        <v>9.5667722335056027</v>
      </c>
      <c r="K192" s="1" t="str">
        <f t="shared" si="40"/>
        <v>3.01941960595019,0.121869343405148</v>
      </c>
      <c r="L192" s="1" t="str">
        <f t="shared" si="41"/>
        <v>3.01941960595019,-0.992546151641322</v>
      </c>
      <c r="M192" s="1" t="str">
        <f t="shared" si="42"/>
        <v>3.01941960595019,-0.122784560902905</v>
      </c>
      <c r="N192" s="1" t="str">
        <f t="shared" si="38"/>
        <v>3.01941960595019,-8.14434642797459</v>
      </c>
      <c r="O192" s="1" t="str">
        <f t="shared" si="37"/>
        <v>3.01941960595019,-1.00750982545885</v>
      </c>
      <c r="P192" s="1" t="str">
        <f t="shared" si="37"/>
        <v>3.01941960595019,8.20550904812507</v>
      </c>
    </row>
    <row r="193" spans="2:16" x14ac:dyDescent="0.6">
      <c r="B193" s="25">
        <v>175</v>
      </c>
      <c r="C193" s="24">
        <f t="shared" si="39"/>
        <v>3.0543261909900763</v>
      </c>
      <c r="D193" s="24">
        <f t="shared" si="31"/>
        <v>8.7155742747658638E-2</v>
      </c>
      <c r="E193" s="24">
        <f t="shared" si="32"/>
        <v>-0.99619469809174555</v>
      </c>
      <c r="F193" s="24">
        <f t="shared" si="33"/>
        <v>-8.7488663525924479E-2</v>
      </c>
      <c r="G193" s="24">
        <f t="shared" si="34"/>
        <v>-11</v>
      </c>
      <c r="H193" s="24">
        <f t="shared" si="35"/>
        <v>-1.0038198375433474</v>
      </c>
      <c r="I193" s="29">
        <f t="shared" si="36"/>
        <v>11</v>
      </c>
      <c r="K193" s="1" t="str">
        <f t="shared" si="40"/>
        <v>3.03687289847013,0.104528463267654</v>
      </c>
      <c r="L193" s="1" t="str">
        <f t="shared" si="41"/>
        <v>3.03687289847013,-0.994521895368273</v>
      </c>
      <c r="M193" s="1" t="str">
        <f t="shared" si="42"/>
        <v>3.03687289847013,-0.105104235265677</v>
      </c>
      <c r="N193" s="1" t="str">
        <f t="shared" si="38"/>
        <v>3.03687289847013,-9.51436445422256</v>
      </c>
      <c r="O193" s="1" t="str">
        <f t="shared" si="37"/>
        <v>3.03687289847013,-1.00550827956352</v>
      </c>
      <c r="P193" s="1" t="str">
        <f t="shared" si="37"/>
        <v>3.03687289847013,9.5667722335056</v>
      </c>
    </row>
    <row r="194" spans="2:16" x14ac:dyDescent="0.6">
      <c r="B194" s="25">
        <v>176</v>
      </c>
      <c r="C194" s="24">
        <f t="shared" si="39"/>
        <v>3.0717794835100198</v>
      </c>
      <c r="D194" s="24">
        <f t="shared" si="31"/>
        <v>6.9756473744125524E-2</v>
      </c>
      <c r="E194" s="24">
        <f t="shared" si="32"/>
        <v>-0.9975640502598242</v>
      </c>
      <c r="F194" s="24">
        <f t="shared" si="33"/>
        <v>-6.9926811943510636E-2</v>
      </c>
      <c r="G194" s="24">
        <f t="shared" si="34"/>
        <v>-11</v>
      </c>
      <c r="H194" s="24">
        <f t="shared" si="35"/>
        <v>-1.0024418980811722</v>
      </c>
      <c r="I194" s="29">
        <f t="shared" si="36"/>
        <v>11</v>
      </c>
      <c r="K194" s="1" t="str">
        <f t="shared" si="40"/>
        <v>3.05432619099008,0.0871557427476586</v>
      </c>
      <c r="L194" s="1" t="str">
        <f t="shared" si="41"/>
        <v>3.05432619099008,-0.996194698091746</v>
      </c>
      <c r="M194" s="1" t="str">
        <f t="shared" si="42"/>
        <v>3.05432619099008,-0.0874886635259245</v>
      </c>
      <c r="N194" s="1" t="str">
        <f t="shared" si="38"/>
        <v>3.05432619099008,-11</v>
      </c>
      <c r="O194" s="1" t="str">
        <f t="shared" si="37"/>
        <v>3.05432619099008,-1.00381983754335</v>
      </c>
      <c r="P194" s="1" t="str">
        <f t="shared" si="37"/>
        <v>3.05432619099008,11</v>
      </c>
    </row>
    <row r="195" spans="2:16" x14ac:dyDescent="0.6">
      <c r="B195" s="25">
        <v>177</v>
      </c>
      <c r="C195" s="24">
        <f t="shared" si="39"/>
        <v>3.0892327760299634</v>
      </c>
      <c r="D195" s="24">
        <f t="shared" si="31"/>
        <v>5.2335956242943807E-2</v>
      </c>
      <c r="E195" s="24">
        <f t="shared" si="32"/>
        <v>-0.99862953475457383</v>
      </c>
      <c r="F195" s="24">
        <f t="shared" si="33"/>
        <v>-5.2407779283041175E-2</v>
      </c>
      <c r="G195" s="24">
        <f t="shared" si="34"/>
        <v>-11</v>
      </c>
      <c r="H195" s="24">
        <f t="shared" si="35"/>
        <v>-1.0013723459979209</v>
      </c>
      <c r="I195" s="29">
        <f t="shared" si="36"/>
        <v>11</v>
      </c>
      <c r="K195" s="1" t="str">
        <f t="shared" si="40"/>
        <v>3.07177948351002,0.0697564737441255</v>
      </c>
      <c r="L195" s="1" t="str">
        <f t="shared" si="41"/>
        <v>3.07177948351002,-0.997564050259824</v>
      </c>
      <c r="M195" s="1" t="str">
        <f t="shared" si="42"/>
        <v>3.07177948351002,-0.0699268119435106</v>
      </c>
      <c r="N195" s="1" t="str">
        <f t="shared" si="38"/>
        <v>3.07177948351002,-11</v>
      </c>
      <c r="O195" s="1" t="str">
        <f t="shared" si="37"/>
        <v>3.07177948351002,-1.00244189808117</v>
      </c>
      <c r="P195" s="1" t="str">
        <f t="shared" si="37"/>
        <v>3.07177948351002,11</v>
      </c>
    </row>
    <row r="196" spans="2:16" x14ac:dyDescent="0.6">
      <c r="B196" s="25">
        <v>178</v>
      </c>
      <c r="C196" s="24">
        <f t="shared" si="39"/>
        <v>3.1066860685499069</v>
      </c>
      <c r="D196" s="24">
        <f t="shared" ref="D196:D259" si="43">IF(SIN(C196)&gt;$I$3,$I$3,(IF(SIN(C196)&lt;-$I$3,-$I$3,SIN(C196))))</f>
        <v>3.4899496702500699E-2</v>
      </c>
      <c r="E196" s="24">
        <f t="shared" ref="E196:E259" si="44">IF(COS(C196)&gt;$I$3,$I$3,(IF(COS(C196)&lt;-$I$3,-$I$3,COS(C196))))</f>
        <v>-0.99939082701909576</v>
      </c>
      <c r="F196" s="24">
        <f t="shared" ref="F196:F259" si="45">IF(TAN(C196)&gt;$I$3,$I$3,(IF(TAN(C196)&lt;-$I$3,-$I$3,TAN(C196))))</f>
        <v>-3.492076949174746E-2</v>
      </c>
      <c r="G196" s="24">
        <f t="shared" ref="G196:G259" si="46">IF(_xlfn.COT(C196)&gt;$I$3,$I$3,(IF(_xlfn.COT(C196)&lt;-$I$3,-$I$3,_xlfn.COT(C196))))</f>
        <v>-11</v>
      </c>
      <c r="H196" s="24">
        <f t="shared" ref="H196:H259" si="47">IF(_xlfn.SEC(C196)&gt;$I$3,$I$3,(IF(_xlfn.SEC(C196)&lt;-$I$3,-$I$3,_xlfn.SEC(C196))))</f>
        <v>-1.0006095442988217</v>
      </c>
      <c r="I196" s="29">
        <f t="shared" ref="I196:I259" si="48">IF(_xlfn.CSC(C196)&gt;$I$3,$I$3,(IF(_xlfn.CSC(C196)&lt;-$I$3,-$I$3,_xlfn.CSC(C196))))</f>
        <v>11</v>
      </c>
      <c r="K196" s="1" t="str">
        <f t="shared" si="40"/>
        <v>3.08923277602996,0.0523359562429438</v>
      </c>
      <c r="L196" s="1" t="str">
        <f t="shared" si="41"/>
        <v>3.08923277602996,-0.998629534754574</v>
      </c>
      <c r="M196" s="1" t="str">
        <f t="shared" si="42"/>
        <v>3.08923277602996,-0.0524077792830412</v>
      </c>
      <c r="N196" s="1" t="str">
        <f t="shared" si="38"/>
        <v>3.08923277602996,-11</v>
      </c>
      <c r="O196" s="1" t="str">
        <f t="shared" si="38"/>
        <v>3.08923277602996,-1.00137234599792</v>
      </c>
      <c r="P196" s="1" t="str">
        <f t="shared" si="38"/>
        <v>3.08923277602996,11</v>
      </c>
    </row>
    <row r="197" spans="2:16" x14ac:dyDescent="0.6">
      <c r="B197" s="25">
        <v>179</v>
      </c>
      <c r="C197" s="24">
        <f t="shared" si="39"/>
        <v>3.12413936106985</v>
      </c>
      <c r="D197" s="24">
        <f t="shared" si="43"/>
        <v>1.7452406437283439E-2</v>
      </c>
      <c r="E197" s="24">
        <f t="shared" si="44"/>
        <v>-0.99984769515639127</v>
      </c>
      <c r="F197" s="24">
        <f t="shared" si="45"/>
        <v>-1.7455064928217509E-2</v>
      </c>
      <c r="G197" s="24">
        <f t="shared" si="46"/>
        <v>-11</v>
      </c>
      <c r="H197" s="24">
        <f t="shared" si="47"/>
        <v>-1.0001523280439077</v>
      </c>
      <c r="I197" s="29">
        <f t="shared" si="48"/>
        <v>11</v>
      </c>
      <c r="K197" s="1" t="str">
        <f t="shared" si="40"/>
        <v>3.10668606854991,0.0348994967025007</v>
      </c>
      <c r="L197" s="1" t="str">
        <f t="shared" si="41"/>
        <v>3.10668606854991,-0.999390827019096</v>
      </c>
      <c r="M197" s="1" t="str">
        <f t="shared" si="42"/>
        <v>3.10668606854991,-0.0349207694917475</v>
      </c>
      <c r="N197" s="1" t="str">
        <f t="shared" ref="N197:O260" si="49">_xlfn.CONCAT($C196,",",G196)</f>
        <v>3.10668606854991,-11</v>
      </c>
      <c r="O197" s="1" t="str">
        <f t="shared" si="49"/>
        <v>3.10668606854991,-1.00060954429882</v>
      </c>
      <c r="P197" s="1" t="str">
        <f t="shared" ref="P197:P260" si="50">_xlfn.CONCAT($C196,",",I196)</f>
        <v>3.10668606854991,11</v>
      </c>
    </row>
    <row r="198" spans="2:16" x14ac:dyDescent="0.6">
      <c r="B198" s="25">
        <v>180</v>
      </c>
      <c r="C198" s="24">
        <f t="shared" si="39"/>
        <v>3.1415926535897931</v>
      </c>
      <c r="D198" s="24">
        <f t="shared" si="43"/>
        <v>1.22514845490862E-16</v>
      </c>
      <c r="E198" s="24">
        <f t="shared" si="44"/>
        <v>-1</v>
      </c>
      <c r="F198" s="24">
        <f t="shared" si="45"/>
        <v>-1.22514845490862E-16</v>
      </c>
      <c r="G198" s="24">
        <f t="shared" si="46"/>
        <v>-11</v>
      </c>
      <c r="H198" s="24">
        <f t="shared" si="47"/>
        <v>-1</v>
      </c>
      <c r="I198" s="29">
        <f t="shared" si="48"/>
        <v>11</v>
      </c>
      <c r="K198" s="1" t="str">
        <f t="shared" si="40"/>
        <v>3.12413936106985,0.0174524064372834</v>
      </c>
      <c r="L198" s="1" t="str">
        <f t="shared" si="41"/>
        <v>3.12413936106985,-0.999847695156391</v>
      </c>
      <c r="M198" s="1" t="str">
        <f t="shared" si="42"/>
        <v>3.12413936106985,-0.0174550649282175</v>
      </c>
      <c r="N198" s="1" t="str">
        <f t="shared" si="49"/>
        <v>3.12413936106985,-11</v>
      </c>
      <c r="O198" s="1" t="str">
        <f t="shared" si="49"/>
        <v>3.12413936106985,-1.00015232804391</v>
      </c>
      <c r="P198" s="1" t="str">
        <f t="shared" si="50"/>
        <v>3.12413936106985,11</v>
      </c>
    </row>
    <row r="199" spans="2:16" x14ac:dyDescent="0.6">
      <c r="B199" s="25">
        <v>181</v>
      </c>
      <c r="C199" s="24">
        <f t="shared" si="39"/>
        <v>3.1590459461097362</v>
      </c>
      <c r="D199" s="24">
        <f t="shared" si="43"/>
        <v>-1.7452406437283192E-2</v>
      </c>
      <c r="E199" s="24">
        <f t="shared" si="44"/>
        <v>-0.99984769515639127</v>
      </c>
      <c r="F199" s="24">
        <f t="shared" si="45"/>
        <v>1.7455064928217266E-2</v>
      </c>
      <c r="G199" s="24">
        <f t="shared" si="46"/>
        <v>11</v>
      </c>
      <c r="H199" s="24">
        <f t="shared" si="47"/>
        <v>-1.0001523280439077</v>
      </c>
      <c r="I199" s="29">
        <f t="shared" si="48"/>
        <v>-11</v>
      </c>
      <c r="K199" s="1" t="str">
        <f t="shared" si="40"/>
        <v>3.14159265358979,1.22514845490862E-16</v>
      </c>
      <c r="L199" s="1" t="str">
        <f t="shared" si="41"/>
        <v>3.14159265358979,-1</v>
      </c>
      <c r="M199" s="1" t="str">
        <f t="shared" si="42"/>
        <v>3.14159265358979,-1.22514845490862E-16</v>
      </c>
      <c r="N199" s="1" t="str">
        <f t="shared" si="49"/>
        <v>3.14159265358979,-11</v>
      </c>
      <c r="O199" s="1" t="str">
        <f t="shared" si="49"/>
        <v>3.14159265358979,-1</v>
      </c>
      <c r="P199" s="1" t="str">
        <f t="shared" si="50"/>
        <v>3.14159265358979,11</v>
      </c>
    </row>
    <row r="200" spans="2:16" x14ac:dyDescent="0.6">
      <c r="B200" s="25">
        <v>182</v>
      </c>
      <c r="C200" s="24">
        <f t="shared" si="39"/>
        <v>3.1764992386296798</v>
      </c>
      <c r="D200" s="24">
        <f t="shared" si="43"/>
        <v>-3.48994967025009E-2</v>
      </c>
      <c r="E200" s="24">
        <f t="shared" si="44"/>
        <v>-0.99939082701909576</v>
      </c>
      <c r="F200" s="24">
        <f t="shared" si="45"/>
        <v>3.4920769491747654E-2</v>
      </c>
      <c r="G200" s="24">
        <f t="shared" si="46"/>
        <v>11</v>
      </c>
      <c r="H200" s="24">
        <f t="shared" si="47"/>
        <v>-1.0006095442988217</v>
      </c>
      <c r="I200" s="29">
        <f t="shared" si="48"/>
        <v>-11</v>
      </c>
      <c r="K200" s="1" t="str">
        <f t="shared" si="40"/>
        <v>3.15904594610974,-0.0174524064372832</v>
      </c>
      <c r="L200" s="1" t="str">
        <f t="shared" si="41"/>
        <v>3.15904594610974,-0.999847695156391</v>
      </c>
      <c r="M200" s="1" t="str">
        <f t="shared" si="42"/>
        <v>3.15904594610974,0.0174550649282173</v>
      </c>
      <c r="N200" s="1" t="str">
        <f t="shared" si="49"/>
        <v>3.15904594610974,11</v>
      </c>
      <c r="O200" s="1" t="str">
        <f t="shared" si="49"/>
        <v>3.15904594610974,-1.00015232804391</v>
      </c>
      <c r="P200" s="1" t="str">
        <f t="shared" si="50"/>
        <v>3.15904594610974,-11</v>
      </c>
    </row>
    <row r="201" spans="2:16" x14ac:dyDescent="0.6">
      <c r="B201" s="25">
        <v>183</v>
      </c>
      <c r="C201" s="24">
        <f t="shared" si="39"/>
        <v>3.1939525311496229</v>
      </c>
      <c r="D201" s="24">
        <f t="shared" si="43"/>
        <v>-5.2335956242943557E-2</v>
      </c>
      <c r="E201" s="24">
        <f t="shared" si="44"/>
        <v>-0.99862953475457383</v>
      </c>
      <c r="F201" s="24">
        <f t="shared" si="45"/>
        <v>5.2407779283040933E-2</v>
      </c>
      <c r="G201" s="24">
        <f t="shared" si="46"/>
        <v>11</v>
      </c>
      <c r="H201" s="24">
        <f t="shared" si="47"/>
        <v>-1.0013723459979209</v>
      </c>
      <c r="I201" s="29">
        <f t="shared" si="48"/>
        <v>-11</v>
      </c>
      <c r="K201" s="1" t="str">
        <f t="shared" si="40"/>
        <v>3.17649923862968,-0.0348994967025009</v>
      </c>
      <c r="L201" s="1" t="str">
        <f t="shared" si="41"/>
        <v>3.17649923862968,-0.999390827019096</v>
      </c>
      <c r="M201" s="1" t="str">
        <f t="shared" si="42"/>
        <v>3.17649923862968,0.0349207694917477</v>
      </c>
      <c r="N201" s="1" t="str">
        <f t="shared" si="49"/>
        <v>3.17649923862968,11</v>
      </c>
      <c r="O201" s="1" t="str">
        <f t="shared" si="49"/>
        <v>3.17649923862968,-1.00060954429882</v>
      </c>
      <c r="P201" s="1" t="str">
        <f t="shared" si="50"/>
        <v>3.17649923862968,-11</v>
      </c>
    </row>
    <row r="202" spans="2:16" x14ac:dyDescent="0.6">
      <c r="B202" s="25">
        <v>184</v>
      </c>
      <c r="C202" s="24">
        <f t="shared" si="39"/>
        <v>3.211405823669566</v>
      </c>
      <c r="D202" s="24">
        <f t="shared" si="43"/>
        <v>-6.9756473744124831E-2</v>
      </c>
      <c r="E202" s="24">
        <f t="shared" si="44"/>
        <v>-0.99756405025982431</v>
      </c>
      <c r="F202" s="24">
        <f t="shared" si="45"/>
        <v>6.9926811943509942E-2</v>
      </c>
      <c r="G202" s="24">
        <f t="shared" si="46"/>
        <v>11</v>
      </c>
      <c r="H202" s="24">
        <f t="shared" si="47"/>
        <v>-1.002441898081172</v>
      </c>
      <c r="I202" s="29">
        <f t="shared" si="48"/>
        <v>-11</v>
      </c>
      <c r="K202" s="1" t="str">
        <f t="shared" si="40"/>
        <v>3.19395253114962,-0.0523359562429436</v>
      </c>
      <c r="L202" s="1" t="str">
        <f t="shared" si="41"/>
        <v>3.19395253114962,-0.998629534754574</v>
      </c>
      <c r="M202" s="1" t="str">
        <f t="shared" si="42"/>
        <v>3.19395253114962,0.0524077792830409</v>
      </c>
      <c r="N202" s="1" t="str">
        <f t="shared" si="49"/>
        <v>3.19395253114962,11</v>
      </c>
      <c r="O202" s="1" t="str">
        <f t="shared" si="49"/>
        <v>3.19395253114962,-1.00137234599792</v>
      </c>
      <c r="P202" s="1" t="str">
        <f t="shared" si="50"/>
        <v>3.19395253114962,-11</v>
      </c>
    </row>
    <row r="203" spans="2:16" x14ac:dyDescent="0.6">
      <c r="B203" s="25">
        <v>185</v>
      </c>
      <c r="C203" s="24">
        <f t="shared" si="39"/>
        <v>3.2288591161895095</v>
      </c>
      <c r="D203" s="24">
        <f t="shared" si="43"/>
        <v>-8.7155742747657944E-2</v>
      </c>
      <c r="E203" s="24">
        <f t="shared" si="44"/>
        <v>-0.99619469809174555</v>
      </c>
      <c r="F203" s="24">
        <f t="shared" si="45"/>
        <v>8.7488663525923785E-2</v>
      </c>
      <c r="G203" s="24">
        <f t="shared" si="46"/>
        <v>11</v>
      </c>
      <c r="H203" s="24">
        <f t="shared" si="47"/>
        <v>-1.0038198375433474</v>
      </c>
      <c r="I203" s="29">
        <f t="shared" si="48"/>
        <v>-11</v>
      </c>
      <c r="K203" s="1" t="str">
        <f t="shared" si="40"/>
        <v>3.21140582366957,-0.0697564737441248</v>
      </c>
      <c r="L203" s="1" t="str">
        <f t="shared" si="41"/>
        <v>3.21140582366957,-0.997564050259824</v>
      </c>
      <c r="M203" s="1" t="str">
        <f t="shared" si="42"/>
        <v>3.21140582366957,0.0699268119435099</v>
      </c>
      <c r="N203" s="1" t="str">
        <f t="shared" si="49"/>
        <v>3.21140582366957,11</v>
      </c>
      <c r="O203" s="1" t="str">
        <f t="shared" si="49"/>
        <v>3.21140582366957,-1.00244189808117</v>
      </c>
      <c r="P203" s="1" t="str">
        <f t="shared" si="50"/>
        <v>3.21140582366957,-11</v>
      </c>
    </row>
    <row r="204" spans="2:16" x14ac:dyDescent="0.6">
      <c r="B204" s="25">
        <v>186</v>
      </c>
      <c r="C204" s="24">
        <f t="shared" si="39"/>
        <v>3.2463124087094526</v>
      </c>
      <c r="D204" s="24">
        <f t="shared" si="43"/>
        <v>-0.10452846326765305</v>
      </c>
      <c r="E204" s="24">
        <f t="shared" si="44"/>
        <v>-0.9945218953682734</v>
      </c>
      <c r="F204" s="24">
        <f t="shared" si="45"/>
        <v>0.10510423526567604</v>
      </c>
      <c r="G204" s="24">
        <f t="shared" si="46"/>
        <v>9.5143644542226227</v>
      </c>
      <c r="H204" s="24">
        <f t="shared" si="47"/>
        <v>-1.0055082795635164</v>
      </c>
      <c r="I204" s="29">
        <f t="shared" si="48"/>
        <v>-9.5667722335056649</v>
      </c>
      <c r="K204" s="1" t="str">
        <f t="shared" si="40"/>
        <v>3.22885911618951,-0.0871557427476579</v>
      </c>
      <c r="L204" s="1" t="str">
        <f t="shared" si="41"/>
        <v>3.22885911618951,-0.996194698091746</v>
      </c>
      <c r="M204" s="1" t="str">
        <f t="shared" si="42"/>
        <v>3.22885911618951,0.0874886635259238</v>
      </c>
      <c r="N204" s="1" t="str">
        <f t="shared" si="49"/>
        <v>3.22885911618951,11</v>
      </c>
      <c r="O204" s="1" t="str">
        <f t="shared" si="49"/>
        <v>3.22885911618951,-1.00381983754335</v>
      </c>
      <c r="P204" s="1" t="str">
        <f t="shared" si="50"/>
        <v>3.22885911618951,-11</v>
      </c>
    </row>
    <row r="205" spans="2:16" x14ac:dyDescent="0.6">
      <c r="B205" s="25">
        <v>187</v>
      </c>
      <c r="C205" s="24">
        <f t="shared" si="39"/>
        <v>3.2637657012293966</v>
      </c>
      <c r="D205" s="24">
        <f t="shared" si="43"/>
        <v>-0.12186934340514774</v>
      </c>
      <c r="E205" s="24">
        <f t="shared" si="44"/>
        <v>-0.99254615164132198</v>
      </c>
      <c r="F205" s="24">
        <f t="shared" si="45"/>
        <v>0.12278456090290486</v>
      </c>
      <c r="G205" s="24">
        <f t="shared" si="46"/>
        <v>8.1443464279745754</v>
      </c>
      <c r="H205" s="24">
        <f t="shared" si="47"/>
        <v>-1.0075098254588484</v>
      </c>
      <c r="I205" s="29">
        <f t="shared" si="48"/>
        <v>-8.2055090481250605</v>
      </c>
      <c r="K205" s="1" t="str">
        <f t="shared" si="40"/>
        <v>3.24631240870945,-0.104528463267653</v>
      </c>
      <c r="L205" s="1" t="str">
        <f t="shared" si="41"/>
        <v>3.24631240870945,-0.994521895368273</v>
      </c>
      <c r="M205" s="1" t="str">
        <f t="shared" si="42"/>
        <v>3.24631240870945,0.105104235265676</v>
      </c>
      <c r="N205" s="1" t="str">
        <f t="shared" si="49"/>
        <v>3.24631240870945,9.51436445422262</v>
      </c>
      <c r="O205" s="1" t="str">
        <f t="shared" si="49"/>
        <v>3.24631240870945,-1.00550827956352</v>
      </c>
      <c r="P205" s="1" t="str">
        <f t="shared" si="50"/>
        <v>3.24631240870945,-9.56677223350566</v>
      </c>
    </row>
    <row r="206" spans="2:16" x14ac:dyDescent="0.6">
      <c r="B206" s="25">
        <v>188</v>
      </c>
      <c r="C206" s="24">
        <f t="shared" si="39"/>
        <v>3.2812189937493397</v>
      </c>
      <c r="D206" s="24">
        <f t="shared" si="43"/>
        <v>-0.13917310096006552</v>
      </c>
      <c r="E206" s="24">
        <f t="shared" si="44"/>
        <v>-0.99026806874157025</v>
      </c>
      <c r="F206" s="24">
        <f t="shared" si="45"/>
        <v>0.14054083470239151</v>
      </c>
      <c r="G206" s="24">
        <f t="shared" si="46"/>
        <v>7.1153697223842052</v>
      </c>
      <c r="H206" s="24">
        <f t="shared" si="47"/>
        <v>-1.0098275725186181</v>
      </c>
      <c r="I206" s="29">
        <f t="shared" si="48"/>
        <v>-7.1852965343277155</v>
      </c>
      <c r="K206" s="1" t="str">
        <f t="shared" si="40"/>
        <v>3.2637657012294,-0.121869343405148</v>
      </c>
      <c r="L206" s="1" t="str">
        <f t="shared" si="41"/>
        <v>3.2637657012294,-0.992546151641322</v>
      </c>
      <c r="M206" s="1" t="str">
        <f t="shared" si="42"/>
        <v>3.2637657012294,0.122784560902905</v>
      </c>
      <c r="N206" s="1" t="str">
        <f t="shared" si="49"/>
        <v>3.2637657012294,8.14434642797458</v>
      </c>
      <c r="O206" s="1" t="str">
        <f t="shared" si="49"/>
        <v>3.2637657012294,-1.00750982545885</v>
      </c>
      <c r="P206" s="1" t="str">
        <f t="shared" si="50"/>
        <v>3.2637657012294,-8.20550904812506</v>
      </c>
    </row>
    <row r="207" spans="2:16" x14ac:dyDescent="0.6">
      <c r="B207" s="25">
        <v>189</v>
      </c>
      <c r="C207" s="24">
        <f t="shared" si="39"/>
        <v>3.2986722862692828</v>
      </c>
      <c r="D207" s="24">
        <f t="shared" si="43"/>
        <v>-0.15643446504023073</v>
      </c>
      <c r="E207" s="24">
        <f t="shared" si="44"/>
        <v>-0.98768834059513777</v>
      </c>
      <c r="F207" s="24">
        <f t="shared" si="45"/>
        <v>0.15838444032453616</v>
      </c>
      <c r="G207" s="24">
        <f t="shared" si="46"/>
        <v>6.3137515146750482</v>
      </c>
      <c r="H207" s="24">
        <f t="shared" si="47"/>
        <v>-1.0124651257880029</v>
      </c>
      <c r="I207" s="29">
        <f t="shared" si="48"/>
        <v>-6.3924532214996672</v>
      </c>
      <c r="K207" s="1" t="str">
        <f t="shared" si="40"/>
        <v>3.28121899374934,-0.139173100960066</v>
      </c>
      <c r="L207" s="1" t="str">
        <f t="shared" si="41"/>
        <v>3.28121899374934,-0.99026806874157</v>
      </c>
      <c r="M207" s="1" t="str">
        <f t="shared" si="42"/>
        <v>3.28121899374934,0.140540834702392</v>
      </c>
      <c r="N207" s="1" t="str">
        <f t="shared" si="49"/>
        <v>3.28121899374934,7.11536972238421</v>
      </c>
      <c r="O207" s="1" t="str">
        <f t="shared" si="49"/>
        <v>3.28121899374934,-1.00982757251862</v>
      </c>
      <c r="P207" s="1" t="str">
        <f t="shared" si="50"/>
        <v>3.28121899374934,-7.18529653432772</v>
      </c>
    </row>
    <row r="208" spans="2:16" x14ac:dyDescent="0.6">
      <c r="B208" s="25">
        <v>190</v>
      </c>
      <c r="C208" s="24">
        <f t="shared" si="39"/>
        <v>3.3161255787892263</v>
      </c>
      <c r="D208" s="24">
        <f t="shared" si="43"/>
        <v>-0.17364817766693047</v>
      </c>
      <c r="E208" s="24">
        <f t="shared" si="44"/>
        <v>-0.98480775301220802</v>
      </c>
      <c r="F208" s="24">
        <f t="shared" si="45"/>
        <v>0.17632698070846509</v>
      </c>
      <c r="G208" s="24">
        <f t="shared" si="46"/>
        <v>5.6712818196177057</v>
      </c>
      <c r="H208" s="24">
        <f t="shared" si="47"/>
        <v>-1.0154266118857451</v>
      </c>
      <c r="I208" s="29">
        <f t="shared" si="48"/>
        <v>-5.7587704831436293</v>
      </c>
      <c r="K208" s="1" t="str">
        <f t="shared" si="40"/>
        <v>3.29867228626928,-0.156434465040231</v>
      </c>
      <c r="L208" s="1" t="str">
        <f t="shared" si="41"/>
        <v>3.29867228626928,-0.987688340595138</v>
      </c>
      <c r="M208" s="1" t="str">
        <f t="shared" si="42"/>
        <v>3.29867228626928,0.158384440324536</v>
      </c>
      <c r="N208" s="1" t="str">
        <f t="shared" si="49"/>
        <v>3.29867228626928,6.31375151467505</v>
      </c>
      <c r="O208" s="1" t="str">
        <f t="shared" si="49"/>
        <v>3.29867228626928,-1.012465125788</v>
      </c>
      <c r="P208" s="1" t="str">
        <f t="shared" si="50"/>
        <v>3.29867228626928,-6.39245322149967</v>
      </c>
    </row>
    <row r="209" spans="2:16" x14ac:dyDescent="0.6">
      <c r="B209" s="25">
        <v>191</v>
      </c>
      <c r="C209" s="24">
        <f t="shared" si="39"/>
        <v>3.3335788713091694</v>
      </c>
      <c r="D209" s="24">
        <f t="shared" si="43"/>
        <v>-0.19080899537654472</v>
      </c>
      <c r="E209" s="24">
        <f t="shared" si="44"/>
        <v>-0.98162718344766398</v>
      </c>
      <c r="F209" s="24">
        <f t="shared" si="45"/>
        <v>0.19438030913771839</v>
      </c>
      <c r="G209" s="24">
        <f t="shared" si="46"/>
        <v>5.1445540159703125</v>
      </c>
      <c r="H209" s="24">
        <f t="shared" si="47"/>
        <v>-1.0187166949552142</v>
      </c>
      <c r="I209" s="29">
        <f t="shared" si="48"/>
        <v>-5.2408430641678514</v>
      </c>
      <c r="K209" s="1" t="str">
        <f t="shared" si="40"/>
        <v>3.31612557878923,-0.17364817766693</v>
      </c>
      <c r="L209" s="1" t="str">
        <f t="shared" si="41"/>
        <v>3.31612557878923,-0.984807753012208</v>
      </c>
      <c r="M209" s="1" t="str">
        <f t="shared" si="42"/>
        <v>3.31612557878923,0.176326980708465</v>
      </c>
      <c r="N209" s="1" t="str">
        <f t="shared" si="49"/>
        <v>3.31612557878923,5.67128181961771</v>
      </c>
      <c r="O209" s="1" t="str">
        <f t="shared" si="49"/>
        <v>3.31612557878923,-1.01542661188575</v>
      </c>
      <c r="P209" s="1" t="str">
        <f t="shared" si="50"/>
        <v>3.31612557878923,-5.75877048314363</v>
      </c>
    </row>
    <row r="210" spans="2:16" x14ac:dyDescent="0.6">
      <c r="B210" s="25">
        <v>192</v>
      </c>
      <c r="C210" s="24">
        <f t="shared" si="39"/>
        <v>3.3510321638291125</v>
      </c>
      <c r="D210" s="24">
        <f t="shared" si="43"/>
        <v>-0.20791169081775907</v>
      </c>
      <c r="E210" s="24">
        <f t="shared" si="44"/>
        <v>-0.97814760073380569</v>
      </c>
      <c r="F210" s="24">
        <f t="shared" si="45"/>
        <v>0.21255656167002182</v>
      </c>
      <c r="G210" s="24">
        <f t="shared" si="46"/>
        <v>4.7046301094784608</v>
      </c>
      <c r="H210" s="24">
        <f t="shared" si="47"/>
        <v>-1.0223405948650293</v>
      </c>
      <c r="I210" s="29">
        <f t="shared" si="48"/>
        <v>-4.809734344744137</v>
      </c>
      <c r="K210" s="1" t="str">
        <f t="shared" si="40"/>
        <v>3.33357887130917,-0.190808995376545</v>
      </c>
      <c r="L210" s="1" t="str">
        <f t="shared" si="41"/>
        <v>3.33357887130917,-0.981627183447664</v>
      </c>
      <c r="M210" s="1" t="str">
        <f t="shared" si="42"/>
        <v>3.33357887130917,0.194380309137718</v>
      </c>
      <c r="N210" s="1" t="str">
        <f t="shared" si="49"/>
        <v>3.33357887130917,5.14455401597031</v>
      </c>
      <c r="O210" s="1" t="str">
        <f t="shared" si="49"/>
        <v>3.33357887130917,-1.01871669495521</v>
      </c>
      <c r="P210" s="1" t="str">
        <f t="shared" si="50"/>
        <v>3.33357887130917,-5.24084306416785</v>
      </c>
    </row>
    <row r="211" spans="2:16" x14ac:dyDescent="0.6">
      <c r="B211" s="25">
        <v>193</v>
      </c>
      <c r="C211" s="24">
        <f t="shared" ref="C211:C274" si="51">B211*PI()/180</f>
        <v>3.3684854563490561</v>
      </c>
      <c r="D211" s="24">
        <f t="shared" si="43"/>
        <v>-0.22495105434386498</v>
      </c>
      <c r="E211" s="24">
        <f t="shared" si="44"/>
        <v>-0.97437006478523525</v>
      </c>
      <c r="F211" s="24">
        <f t="shared" si="45"/>
        <v>0.23086819112556309</v>
      </c>
      <c r="G211" s="24">
        <f t="shared" si="46"/>
        <v>4.3314758742841564</v>
      </c>
      <c r="H211" s="24">
        <f t="shared" si="47"/>
        <v>-1.0263041077933917</v>
      </c>
      <c r="I211" s="29">
        <f t="shared" si="48"/>
        <v>-4.4454114825858015</v>
      </c>
      <c r="K211" s="1" t="str">
        <f t="shared" si="40"/>
        <v>3.35103216382911,-0.207911690817759</v>
      </c>
      <c r="L211" s="1" t="str">
        <f t="shared" si="41"/>
        <v>3.35103216382911,-0.978147600733806</v>
      </c>
      <c r="M211" s="1" t="str">
        <f t="shared" si="42"/>
        <v>3.35103216382911,0.212556561670022</v>
      </c>
      <c r="N211" s="1" t="str">
        <f t="shared" si="49"/>
        <v>3.35103216382911,4.70463010947846</v>
      </c>
      <c r="O211" s="1" t="str">
        <f t="shared" si="49"/>
        <v>3.35103216382911,-1.02234059486503</v>
      </c>
      <c r="P211" s="1" t="str">
        <f t="shared" si="50"/>
        <v>3.35103216382911,-4.80973434474414</v>
      </c>
    </row>
    <row r="212" spans="2:16" x14ac:dyDescent="0.6">
      <c r="B212" s="25">
        <v>194</v>
      </c>
      <c r="C212" s="24">
        <f t="shared" si="51"/>
        <v>3.3859387488689991</v>
      </c>
      <c r="D212" s="24">
        <f t="shared" si="43"/>
        <v>-0.24192189559966751</v>
      </c>
      <c r="E212" s="24">
        <f t="shared" si="44"/>
        <v>-0.97029572627599647</v>
      </c>
      <c r="F212" s="24">
        <f t="shared" si="45"/>
        <v>0.24932800284318044</v>
      </c>
      <c r="G212" s="24">
        <f t="shared" si="46"/>
        <v>4.0107809335358491</v>
      </c>
      <c r="H212" s="24">
        <f t="shared" si="47"/>
        <v>-1.0306136293498982</v>
      </c>
      <c r="I212" s="29">
        <f t="shared" si="48"/>
        <v>-4.133565494438753</v>
      </c>
      <c r="K212" s="1" t="str">
        <f t="shared" ref="K212:K275" si="52">_xlfn.CONCAT($C211,",",D211)</f>
        <v>3.36848545634906,-0.224951054343865</v>
      </c>
      <c r="L212" s="1" t="str">
        <f t="shared" ref="L212:L275" si="53">_xlfn.CONCAT($C211,",",E211)</f>
        <v>3.36848545634906,-0.974370064785235</v>
      </c>
      <c r="M212" s="1" t="str">
        <f t="shared" ref="M212:M275" si="54">_xlfn.CONCAT($C211,",",F211)</f>
        <v>3.36848545634906,0.230868191125563</v>
      </c>
      <c r="N212" s="1" t="str">
        <f t="shared" si="49"/>
        <v>3.36848545634906,4.33147587428416</v>
      </c>
      <c r="O212" s="1" t="str">
        <f t="shared" si="49"/>
        <v>3.36848545634906,-1.02630410779339</v>
      </c>
      <c r="P212" s="1" t="str">
        <f t="shared" si="50"/>
        <v>3.36848545634906,-4.4454114825858</v>
      </c>
    </row>
    <row r="213" spans="2:16" x14ac:dyDescent="0.6">
      <c r="B213" s="25">
        <v>195</v>
      </c>
      <c r="C213" s="24">
        <f t="shared" si="51"/>
        <v>3.4033920413889422</v>
      </c>
      <c r="D213" s="24">
        <f t="shared" si="43"/>
        <v>-0.25881904510252035</v>
      </c>
      <c r="E213" s="24">
        <f t="shared" si="44"/>
        <v>-0.96592582628906842</v>
      </c>
      <c r="F213" s="24">
        <f t="shared" si="45"/>
        <v>0.26794919243112225</v>
      </c>
      <c r="G213" s="24">
        <f t="shared" si="46"/>
        <v>3.7320508075688834</v>
      </c>
      <c r="H213" s="24">
        <f t="shared" si="47"/>
        <v>-1.035276180410083</v>
      </c>
      <c r="I213" s="29">
        <f t="shared" si="48"/>
        <v>-3.8637033051562795</v>
      </c>
      <c r="K213" s="1" t="str">
        <f t="shared" si="52"/>
        <v>3.385938748869,-0.241921895599668</v>
      </c>
      <c r="L213" s="1" t="str">
        <f t="shared" si="53"/>
        <v>3.385938748869,-0.970295726275996</v>
      </c>
      <c r="M213" s="1" t="str">
        <f t="shared" si="54"/>
        <v>3.385938748869,0.24932800284318</v>
      </c>
      <c r="N213" s="1" t="str">
        <f t="shared" si="49"/>
        <v>3.385938748869,4.01078093353585</v>
      </c>
      <c r="O213" s="1" t="str">
        <f t="shared" si="49"/>
        <v>3.385938748869,-1.0306136293499</v>
      </c>
      <c r="P213" s="1" t="str">
        <f t="shared" si="50"/>
        <v>3.385938748869,-4.13356549443875</v>
      </c>
    </row>
    <row r="214" spans="2:16" x14ac:dyDescent="0.6">
      <c r="B214" s="25">
        <v>196</v>
      </c>
      <c r="C214" s="24">
        <f t="shared" si="51"/>
        <v>3.4208453339088858</v>
      </c>
      <c r="D214" s="24">
        <f t="shared" si="43"/>
        <v>-0.275637355816999</v>
      </c>
      <c r="E214" s="24">
        <f t="shared" si="44"/>
        <v>-0.96126169593831889</v>
      </c>
      <c r="F214" s="24">
        <f t="shared" si="45"/>
        <v>0.28674538575880776</v>
      </c>
      <c r="G214" s="24">
        <f t="shared" si="46"/>
        <v>3.4874144438409109</v>
      </c>
      <c r="H214" s="24">
        <f t="shared" si="47"/>
        <v>-1.040299435861602</v>
      </c>
      <c r="I214" s="29">
        <f t="shared" si="48"/>
        <v>-3.6279552785433027</v>
      </c>
      <c r="K214" s="1" t="str">
        <f t="shared" si="52"/>
        <v>3.40339204138894,-0.25881904510252</v>
      </c>
      <c r="L214" s="1" t="str">
        <f t="shared" si="53"/>
        <v>3.40339204138894,-0.965925826289068</v>
      </c>
      <c r="M214" s="1" t="str">
        <f t="shared" si="54"/>
        <v>3.40339204138894,0.267949192431122</v>
      </c>
      <c r="N214" s="1" t="str">
        <f t="shared" si="49"/>
        <v>3.40339204138894,3.73205080756888</v>
      </c>
      <c r="O214" s="1" t="str">
        <f t="shared" si="49"/>
        <v>3.40339204138894,-1.03527618041008</v>
      </c>
      <c r="P214" s="1" t="str">
        <f t="shared" si="50"/>
        <v>3.40339204138894,-3.86370330515628</v>
      </c>
    </row>
    <row r="215" spans="2:16" x14ac:dyDescent="0.6">
      <c r="B215" s="25">
        <v>197</v>
      </c>
      <c r="C215" s="24">
        <f t="shared" si="51"/>
        <v>3.4382986264288289</v>
      </c>
      <c r="D215" s="24">
        <f t="shared" si="43"/>
        <v>-0.29237170472273638</v>
      </c>
      <c r="E215" s="24">
        <f t="shared" si="44"/>
        <v>-0.95630475596303555</v>
      </c>
      <c r="F215" s="24">
        <f t="shared" si="45"/>
        <v>0.30573068145865995</v>
      </c>
      <c r="G215" s="24">
        <f t="shared" si="46"/>
        <v>3.2708526184841453</v>
      </c>
      <c r="H215" s="24">
        <f t="shared" si="47"/>
        <v>-1.045691756487148</v>
      </c>
      <c r="I215" s="29">
        <f t="shared" si="48"/>
        <v>-3.4203036198332728</v>
      </c>
      <c r="K215" s="1" t="str">
        <f t="shared" si="52"/>
        <v>3.42084533390889,-0.275637355816999</v>
      </c>
      <c r="L215" s="1" t="str">
        <f t="shared" si="53"/>
        <v>3.42084533390889,-0.961261695938319</v>
      </c>
      <c r="M215" s="1" t="str">
        <f t="shared" si="54"/>
        <v>3.42084533390889,0.286745385758808</v>
      </c>
      <c r="N215" s="1" t="str">
        <f t="shared" si="49"/>
        <v>3.42084533390889,3.48741444384091</v>
      </c>
      <c r="O215" s="1" t="str">
        <f t="shared" si="49"/>
        <v>3.42084533390889,-1.0402994358616</v>
      </c>
      <c r="P215" s="1" t="str">
        <f t="shared" si="50"/>
        <v>3.42084533390889,-3.6279552785433</v>
      </c>
    </row>
    <row r="216" spans="2:16" x14ac:dyDescent="0.6">
      <c r="B216" s="25">
        <v>198</v>
      </c>
      <c r="C216" s="24">
        <f t="shared" si="51"/>
        <v>3.4557519189487729</v>
      </c>
      <c r="D216" s="24">
        <f t="shared" si="43"/>
        <v>-0.30901699437494773</v>
      </c>
      <c r="E216" s="24">
        <f t="shared" si="44"/>
        <v>-0.95105651629515353</v>
      </c>
      <c r="F216" s="24">
        <f t="shared" si="45"/>
        <v>0.32491969623290667</v>
      </c>
      <c r="G216" s="24">
        <f t="shared" si="46"/>
        <v>3.07768353717525</v>
      </c>
      <c r="H216" s="24">
        <f t="shared" si="47"/>
        <v>-1.0514622242382672</v>
      </c>
      <c r="I216" s="29">
        <f t="shared" si="48"/>
        <v>-3.2360679774997867</v>
      </c>
      <c r="K216" s="1" t="str">
        <f t="shared" si="52"/>
        <v>3.43829862642883,-0.292371704722736</v>
      </c>
      <c r="L216" s="1" t="str">
        <f t="shared" si="53"/>
        <v>3.43829862642883,-0.956304755963036</v>
      </c>
      <c r="M216" s="1" t="str">
        <f t="shared" si="54"/>
        <v>3.43829862642883,0.30573068145866</v>
      </c>
      <c r="N216" s="1" t="str">
        <f t="shared" si="49"/>
        <v>3.43829862642883,3.27085261848415</v>
      </c>
      <c r="O216" s="1" t="str">
        <f t="shared" si="49"/>
        <v>3.43829862642883,-1.04569175648715</v>
      </c>
      <c r="P216" s="1" t="str">
        <f t="shared" si="50"/>
        <v>3.43829862642883,-3.42030361983327</v>
      </c>
    </row>
    <row r="217" spans="2:16" x14ac:dyDescent="0.6">
      <c r="B217" s="25">
        <v>199</v>
      </c>
      <c r="C217" s="24">
        <f t="shared" si="51"/>
        <v>3.473205211468716</v>
      </c>
      <c r="D217" s="24">
        <f t="shared" si="43"/>
        <v>-0.32556815445715676</v>
      </c>
      <c r="E217" s="24">
        <f t="shared" si="44"/>
        <v>-0.94551857559931674</v>
      </c>
      <c r="F217" s="24">
        <f t="shared" si="45"/>
        <v>0.34432761328966538</v>
      </c>
      <c r="G217" s="24">
        <f t="shared" si="46"/>
        <v>2.9042108776758218</v>
      </c>
      <c r="H217" s="24">
        <f t="shared" si="47"/>
        <v>-1.0576206811866706</v>
      </c>
      <c r="I217" s="29">
        <f t="shared" si="48"/>
        <v>-3.0715534867572414</v>
      </c>
      <c r="K217" s="1" t="str">
        <f t="shared" si="52"/>
        <v>3.45575191894877,-0.309016994374948</v>
      </c>
      <c r="L217" s="1" t="str">
        <f t="shared" si="53"/>
        <v>3.45575191894877,-0.951056516295154</v>
      </c>
      <c r="M217" s="1" t="str">
        <f t="shared" si="54"/>
        <v>3.45575191894877,0.324919696232907</v>
      </c>
      <c r="N217" s="1" t="str">
        <f t="shared" si="49"/>
        <v>3.45575191894877,3.07768353717525</v>
      </c>
      <c r="O217" s="1" t="str">
        <f t="shared" si="49"/>
        <v>3.45575191894877,-1.05146222423827</v>
      </c>
      <c r="P217" s="1" t="str">
        <f t="shared" si="50"/>
        <v>3.45575191894877,-3.23606797749979</v>
      </c>
    </row>
    <row r="218" spans="2:16" x14ac:dyDescent="0.6">
      <c r="B218" s="25">
        <v>200</v>
      </c>
      <c r="C218" s="24">
        <f t="shared" si="51"/>
        <v>3.4906585039886591</v>
      </c>
      <c r="D218" s="24">
        <f t="shared" si="43"/>
        <v>-0.34202014332566866</v>
      </c>
      <c r="E218" s="24">
        <f t="shared" si="44"/>
        <v>-0.93969262078590843</v>
      </c>
      <c r="F218" s="24">
        <f t="shared" si="45"/>
        <v>0.36397023426620229</v>
      </c>
      <c r="G218" s="24">
        <f t="shared" si="46"/>
        <v>2.747477419454623</v>
      </c>
      <c r="H218" s="24">
        <f t="shared" si="47"/>
        <v>-1.0641777724759121</v>
      </c>
      <c r="I218" s="29">
        <f t="shared" si="48"/>
        <v>-2.9238044001630881</v>
      </c>
      <c r="K218" s="1" t="str">
        <f t="shared" si="52"/>
        <v>3.47320521146872,-0.325568154457157</v>
      </c>
      <c r="L218" s="1" t="str">
        <f t="shared" si="53"/>
        <v>3.47320521146872,-0.945518575599317</v>
      </c>
      <c r="M218" s="1" t="str">
        <f t="shared" si="54"/>
        <v>3.47320521146872,0.344327613289665</v>
      </c>
      <c r="N218" s="1" t="str">
        <f t="shared" si="49"/>
        <v>3.47320521146872,2.90421087767582</v>
      </c>
      <c r="O218" s="1" t="str">
        <f t="shared" si="49"/>
        <v>3.47320521146872,-1.05762068118667</v>
      </c>
      <c r="P218" s="1" t="str">
        <f t="shared" si="50"/>
        <v>3.47320521146872,-3.07155348675724</v>
      </c>
    </row>
    <row r="219" spans="2:16" x14ac:dyDescent="0.6">
      <c r="B219" s="25">
        <v>201</v>
      </c>
      <c r="C219" s="24">
        <f t="shared" si="51"/>
        <v>3.5081117965086026</v>
      </c>
      <c r="D219" s="24">
        <f t="shared" si="43"/>
        <v>-0.35836794954530043</v>
      </c>
      <c r="E219" s="24">
        <f t="shared" si="44"/>
        <v>-0.93358042649720174</v>
      </c>
      <c r="F219" s="24">
        <f t="shared" si="45"/>
        <v>0.383864035035416</v>
      </c>
      <c r="G219" s="24">
        <f t="shared" si="46"/>
        <v>2.6050890646938001</v>
      </c>
      <c r="H219" s="24">
        <f t="shared" si="47"/>
        <v>-1.071144993637029</v>
      </c>
      <c r="I219" s="29">
        <f t="shared" si="48"/>
        <v>-2.7904281096253345</v>
      </c>
      <c r="K219" s="1" t="str">
        <f t="shared" si="52"/>
        <v>3.49065850398866,-0.342020143325669</v>
      </c>
      <c r="L219" s="1" t="str">
        <f t="shared" si="53"/>
        <v>3.49065850398866,-0.939692620785908</v>
      </c>
      <c r="M219" s="1" t="str">
        <f t="shared" si="54"/>
        <v>3.49065850398866,0.363970234266202</v>
      </c>
      <c r="N219" s="1" t="str">
        <f t="shared" si="49"/>
        <v>3.49065850398866,2.74747741945462</v>
      </c>
      <c r="O219" s="1" t="str">
        <f t="shared" si="49"/>
        <v>3.49065850398866,-1.06417777247591</v>
      </c>
      <c r="P219" s="1" t="str">
        <f t="shared" si="50"/>
        <v>3.49065850398866,-2.92380440016309</v>
      </c>
    </row>
    <row r="220" spans="2:16" x14ac:dyDescent="0.6">
      <c r="B220" s="25">
        <v>202</v>
      </c>
      <c r="C220" s="24">
        <f t="shared" si="51"/>
        <v>3.5255650890285457</v>
      </c>
      <c r="D220" s="24">
        <f t="shared" si="43"/>
        <v>-0.37460659341591201</v>
      </c>
      <c r="E220" s="24">
        <f t="shared" si="44"/>
        <v>-0.92718385456678742</v>
      </c>
      <c r="F220" s="24">
        <f t="shared" si="45"/>
        <v>0.40402622583515679</v>
      </c>
      <c r="G220" s="24">
        <f t="shared" si="46"/>
        <v>2.475086853416296</v>
      </c>
      <c r="H220" s="24">
        <f t="shared" si="47"/>
        <v>-1.0785347426775833</v>
      </c>
      <c r="I220" s="29">
        <f t="shared" si="48"/>
        <v>-2.6694671625540143</v>
      </c>
      <c r="K220" s="1" t="str">
        <f t="shared" si="52"/>
        <v>3.5081117965086,-0.3583679495453</v>
      </c>
      <c r="L220" s="1" t="str">
        <f t="shared" si="53"/>
        <v>3.5081117965086,-0.933580426497202</v>
      </c>
      <c r="M220" s="1" t="str">
        <f t="shared" si="54"/>
        <v>3.5081117965086,0.383864035035416</v>
      </c>
      <c r="N220" s="1" t="str">
        <f t="shared" si="49"/>
        <v>3.5081117965086,2.6050890646938</v>
      </c>
      <c r="O220" s="1" t="str">
        <f t="shared" si="49"/>
        <v>3.5081117965086,-1.07114499363703</v>
      </c>
      <c r="P220" s="1" t="str">
        <f t="shared" si="50"/>
        <v>3.5081117965086,-2.79042810962533</v>
      </c>
    </row>
    <row r="221" spans="2:16" x14ac:dyDescent="0.6">
      <c r="B221" s="25">
        <v>203</v>
      </c>
      <c r="C221" s="24">
        <f t="shared" si="51"/>
        <v>3.5430183815484888</v>
      </c>
      <c r="D221" s="24">
        <f t="shared" si="43"/>
        <v>-0.39073112848927355</v>
      </c>
      <c r="E221" s="24">
        <f t="shared" si="44"/>
        <v>-0.92050485345244037</v>
      </c>
      <c r="F221" s="24">
        <f t="shared" si="45"/>
        <v>0.42447481620960448</v>
      </c>
      <c r="G221" s="24">
        <f t="shared" si="46"/>
        <v>2.3558523658237545</v>
      </c>
      <c r="H221" s="24">
        <f t="shared" si="47"/>
        <v>-1.0863603774052961</v>
      </c>
      <c r="I221" s="29">
        <f t="shared" si="48"/>
        <v>-2.5593046652474536</v>
      </c>
      <c r="K221" s="1" t="str">
        <f t="shared" si="52"/>
        <v>3.52556508902855,-0.374606593415912</v>
      </c>
      <c r="L221" s="1" t="str">
        <f t="shared" si="53"/>
        <v>3.52556508902855,-0.927183854566787</v>
      </c>
      <c r="M221" s="1" t="str">
        <f t="shared" si="54"/>
        <v>3.52556508902855,0.404026225835157</v>
      </c>
      <c r="N221" s="1" t="str">
        <f t="shared" si="49"/>
        <v>3.52556508902855,2.4750868534163</v>
      </c>
      <c r="O221" s="1" t="str">
        <f t="shared" si="49"/>
        <v>3.52556508902855,-1.07853474267758</v>
      </c>
      <c r="P221" s="1" t="str">
        <f t="shared" si="50"/>
        <v>3.52556508902855,-2.66946716255401</v>
      </c>
    </row>
    <row r="222" spans="2:16" x14ac:dyDescent="0.6">
      <c r="B222" s="25">
        <v>204</v>
      </c>
      <c r="C222" s="24">
        <f t="shared" si="51"/>
        <v>3.5604716740684319</v>
      </c>
      <c r="D222" s="24">
        <f t="shared" si="43"/>
        <v>-0.40673664307579982</v>
      </c>
      <c r="E222" s="24">
        <f t="shared" si="44"/>
        <v>-0.91354545764260109</v>
      </c>
      <c r="F222" s="24">
        <f t="shared" si="45"/>
        <v>0.44522868530853565</v>
      </c>
      <c r="G222" s="24">
        <f t="shared" si="46"/>
        <v>2.2460367739042186</v>
      </c>
      <c r="H222" s="24">
        <f t="shared" si="47"/>
        <v>-1.0946362785060466</v>
      </c>
      <c r="I222" s="29">
        <f t="shared" si="48"/>
        <v>-2.4585933355742404</v>
      </c>
      <c r="K222" s="1" t="str">
        <f t="shared" si="52"/>
        <v>3.54301838154849,-0.390731128489274</v>
      </c>
      <c r="L222" s="1" t="str">
        <f t="shared" si="53"/>
        <v>3.54301838154849,-0.92050485345244</v>
      </c>
      <c r="M222" s="1" t="str">
        <f t="shared" si="54"/>
        <v>3.54301838154849,0.424474816209604</v>
      </c>
      <c r="N222" s="1" t="str">
        <f t="shared" si="49"/>
        <v>3.54301838154849,2.35585236582375</v>
      </c>
      <c r="O222" s="1" t="str">
        <f t="shared" si="49"/>
        <v>3.54301838154849,-1.0863603774053</v>
      </c>
      <c r="P222" s="1" t="str">
        <f t="shared" si="50"/>
        <v>3.54301838154849,-2.55930466524745</v>
      </c>
    </row>
    <row r="223" spans="2:16" x14ac:dyDescent="0.6">
      <c r="B223" s="25">
        <v>205</v>
      </c>
      <c r="C223" s="24">
        <f t="shared" si="51"/>
        <v>3.5779249665883754</v>
      </c>
      <c r="D223" s="24">
        <f t="shared" si="43"/>
        <v>-0.42261826174069927</v>
      </c>
      <c r="E223" s="24">
        <f t="shared" si="44"/>
        <v>-0.90630778703665005</v>
      </c>
      <c r="F223" s="24">
        <f t="shared" si="45"/>
        <v>0.46630765815499836</v>
      </c>
      <c r="G223" s="24">
        <f t="shared" si="46"/>
        <v>2.1445069205095595</v>
      </c>
      <c r="H223" s="24">
        <f t="shared" si="47"/>
        <v>-1.1033779189624917</v>
      </c>
      <c r="I223" s="29">
        <f t="shared" si="48"/>
        <v>-2.3662015831524994</v>
      </c>
      <c r="K223" s="1" t="str">
        <f t="shared" si="52"/>
        <v>3.56047167406843,-0.4067366430758</v>
      </c>
      <c r="L223" s="1" t="str">
        <f t="shared" si="53"/>
        <v>3.56047167406843,-0.913545457642601</v>
      </c>
      <c r="M223" s="1" t="str">
        <f t="shared" si="54"/>
        <v>3.56047167406843,0.445228685308536</v>
      </c>
      <c r="N223" s="1" t="str">
        <f t="shared" si="49"/>
        <v>3.56047167406843,2.24603677390422</v>
      </c>
      <c r="O223" s="1" t="str">
        <f t="shared" si="49"/>
        <v>3.56047167406843,-1.09463627850605</v>
      </c>
      <c r="P223" s="1" t="str">
        <f t="shared" si="50"/>
        <v>3.56047167406843,-2.45859333557424</v>
      </c>
    </row>
    <row r="224" spans="2:16" x14ac:dyDescent="0.6">
      <c r="B224" s="25">
        <v>206</v>
      </c>
      <c r="C224" s="24">
        <f t="shared" si="51"/>
        <v>3.5953782591083185</v>
      </c>
      <c r="D224" s="24">
        <f t="shared" si="43"/>
        <v>-0.43837114678907707</v>
      </c>
      <c r="E224" s="24">
        <f t="shared" si="44"/>
        <v>-0.89879404629916715</v>
      </c>
      <c r="F224" s="24">
        <f t="shared" si="45"/>
        <v>0.48773258856586094</v>
      </c>
      <c r="G224" s="24">
        <f t="shared" si="46"/>
        <v>2.0503038415792982</v>
      </c>
      <c r="H224" s="24">
        <f t="shared" si="47"/>
        <v>-1.1126019404751888</v>
      </c>
      <c r="I224" s="29">
        <f t="shared" si="48"/>
        <v>-2.2811720327048612</v>
      </c>
      <c r="K224" s="1" t="str">
        <f t="shared" si="52"/>
        <v>3.57792496658838,-0.422618261740699</v>
      </c>
      <c r="L224" s="1" t="str">
        <f t="shared" si="53"/>
        <v>3.57792496658838,-0.90630778703665</v>
      </c>
      <c r="M224" s="1" t="str">
        <f t="shared" si="54"/>
        <v>3.57792496658838,0.466307658154998</v>
      </c>
      <c r="N224" s="1" t="str">
        <f t="shared" si="49"/>
        <v>3.57792496658838,2.14450692050956</v>
      </c>
      <c r="O224" s="1" t="str">
        <f t="shared" si="49"/>
        <v>3.57792496658838,-1.10337791896249</v>
      </c>
      <c r="P224" s="1" t="str">
        <f t="shared" si="50"/>
        <v>3.57792496658838,-2.3662015831525</v>
      </c>
    </row>
    <row r="225" spans="2:16" x14ac:dyDescent="0.6">
      <c r="B225" s="25">
        <v>207</v>
      </c>
      <c r="C225" s="24">
        <f t="shared" si="51"/>
        <v>3.6128315516282616</v>
      </c>
      <c r="D225" s="24">
        <f t="shared" si="43"/>
        <v>-0.45399049973954625</v>
      </c>
      <c r="E225" s="24">
        <f t="shared" si="44"/>
        <v>-0.89100652418836812</v>
      </c>
      <c r="F225" s="24">
        <f t="shared" si="45"/>
        <v>0.50952544949442813</v>
      </c>
      <c r="G225" s="24">
        <f t="shared" si="46"/>
        <v>1.9626105055051533</v>
      </c>
      <c r="H225" s="24">
        <f t="shared" si="47"/>
        <v>-1.1223262376343606</v>
      </c>
      <c r="I225" s="29">
        <f t="shared" si="48"/>
        <v>-2.2026892645852691</v>
      </c>
      <c r="K225" s="1" t="str">
        <f t="shared" si="52"/>
        <v>3.59537825910832,-0.438371146789077</v>
      </c>
      <c r="L225" s="1" t="str">
        <f t="shared" si="53"/>
        <v>3.59537825910832,-0.898794046299167</v>
      </c>
      <c r="M225" s="1" t="str">
        <f t="shared" si="54"/>
        <v>3.59537825910832,0.487732588565861</v>
      </c>
      <c r="N225" s="1" t="str">
        <f t="shared" si="49"/>
        <v>3.59537825910832,2.0503038415793</v>
      </c>
      <c r="O225" s="1" t="str">
        <f t="shared" si="49"/>
        <v>3.59537825910832,-1.11260194047519</v>
      </c>
      <c r="P225" s="1" t="str">
        <f t="shared" si="50"/>
        <v>3.59537825910832,-2.28117203270486</v>
      </c>
    </row>
    <row r="226" spans="2:16" x14ac:dyDescent="0.6">
      <c r="B226" s="25">
        <v>208</v>
      </c>
      <c r="C226" s="24">
        <f t="shared" si="51"/>
        <v>3.6302848441482056</v>
      </c>
      <c r="D226" s="24">
        <f t="shared" si="43"/>
        <v>-0.46947156278589086</v>
      </c>
      <c r="E226" s="24">
        <f t="shared" si="44"/>
        <v>-0.88294759285892688</v>
      </c>
      <c r="F226" s="24">
        <f t="shared" si="45"/>
        <v>0.53170943166147888</v>
      </c>
      <c r="G226" s="24">
        <f t="shared" si="46"/>
        <v>1.8807264653463316</v>
      </c>
      <c r="H226" s="24">
        <f t="shared" si="47"/>
        <v>-1.1325700506890393</v>
      </c>
      <c r="I226" s="29">
        <f t="shared" si="48"/>
        <v>-2.1300544681895124</v>
      </c>
      <c r="K226" s="1" t="str">
        <f t="shared" si="52"/>
        <v>3.61283155162826,-0.453990499739546</v>
      </c>
      <c r="L226" s="1" t="str">
        <f t="shared" si="53"/>
        <v>3.61283155162826,-0.891006524188368</v>
      </c>
      <c r="M226" s="1" t="str">
        <f t="shared" si="54"/>
        <v>3.61283155162826,0.509525449494428</v>
      </c>
      <c r="N226" s="1" t="str">
        <f t="shared" si="49"/>
        <v>3.61283155162826,1.96261050550515</v>
      </c>
      <c r="O226" s="1" t="str">
        <f t="shared" si="49"/>
        <v>3.61283155162826,-1.12232623763436</v>
      </c>
      <c r="P226" s="1" t="str">
        <f t="shared" si="50"/>
        <v>3.61283155162826,-2.20268926458527</v>
      </c>
    </row>
    <row r="227" spans="2:16" x14ac:dyDescent="0.6">
      <c r="B227" s="25">
        <v>209</v>
      </c>
      <c r="C227" s="24">
        <f t="shared" si="51"/>
        <v>3.6477381366681487</v>
      </c>
      <c r="D227" s="24">
        <f t="shared" si="43"/>
        <v>-0.48480962024633695</v>
      </c>
      <c r="E227" s="24">
        <f t="shared" si="44"/>
        <v>-0.87461970713939585</v>
      </c>
      <c r="F227" s="24">
        <f t="shared" si="45"/>
        <v>0.55430905145276876</v>
      </c>
      <c r="G227" s="24">
        <f t="shared" si="46"/>
        <v>1.8040477552714245</v>
      </c>
      <c r="H227" s="24">
        <f t="shared" si="47"/>
        <v>-1.1433540678733198</v>
      </c>
      <c r="I227" s="29">
        <f t="shared" si="48"/>
        <v>-2.0626653396273147</v>
      </c>
      <c r="K227" s="1" t="str">
        <f t="shared" si="52"/>
        <v>3.63028484414821,-0.469471562785891</v>
      </c>
      <c r="L227" s="1" t="str">
        <f t="shared" si="53"/>
        <v>3.63028484414821,-0.882947592858927</v>
      </c>
      <c r="M227" s="1" t="str">
        <f t="shared" si="54"/>
        <v>3.63028484414821,0.531709431661479</v>
      </c>
      <c r="N227" s="1" t="str">
        <f t="shared" si="49"/>
        <v>3.63028484414821,1.88072646534633</v>
      </c>
      <c r="O227" s="1" t="str">
        <f t="shared" si="49"/>
        <v>3.63028484414821,-1.13257005068904</v>
      </c>
      <c r="P227" s="1" t="str">
        <f t="shared" si="50"/>
        <v>3.63028484414821,-2.13005446818951</v>
      </c>
    </row>
    <row r="228" spans="2:16" x14ac:dyDescent="0.6">
      <c r="B228" s="25">
        <v>210</v>
      </c>
      <c r="C228" s="24">
        <f t="shared" si="51"/>
        <v>3.6651914291880923</v>
      </c>
      <c r="D228" s="24">
        <f t="shared" si="43"/>
        <v>-0.50000000000000011</v>
      </c>
      <c r="E228" s="24">
        <f t="shared" si="44"/>
        <v>-0.8660254037844386</v>
      </c>
      <c r="F228" s="24">
        <f t="shared" si="45"/>
        <v>0.57735026918962595</v>
      </c>
      <c r="G228" s="24">
        <f t="shared" si="46"/>
        <v>1.7320508075688767</v>
      </c>
      <c r="H228" s="24">
        <f t="shared" si="47"/>
        <v>-1.1547005383792517</v>
      </c>
      <c r="I228" s="29">
        <f t="shared" si="48"/>
        <v>-1.9999999999999996</v>
      </c>
      <c r="K228" s="1" t="str">
        <f t="shared" si="52"/>
        <v>3.64773813666815,-0.484809620246337</v>
      </c>
      <c r="L228" s="1" t="str">
        <f t="shared" si="53"/>
        <v>3.64773813666815,-0.874619707139396</v>
      </c>
      <c r="M228" s="1" t="str">
        <f t="shared" si="54"/>
        <v>3.64773813666815,0.554309051452769</v>
      </c>
      <c r="N228" s="1" t="str">
        <f t="shared" si="49"/>
        <v>3.64773813666815,1.80404775527142</v>
      </c>
      <c r="O228" s="1" t="str">
        <f t="shared" si="49"/>
        <v>3.64773813666815,-1.14335406787332</v>
      </c>
      <c r="P228" s="1" t="str">
        <f t="shared" si="50"/>
        <v>3.64773813666815,-2.06266533962731</v>
      </c>
    </row>
    <row r="229" spans="2:16" x14ac:dyDescent="0.6">
      <c r="B229" s="25">
        <v>211</v>
      </c>
      <c r="C229" s="24">
        <f t="shared" si="51"/>
        <v>3.6826447217080354</v>
      </c>
      <c r="D229" s="24">
        <f t="shared" si="43"/>
        <v>-0.51503807491005416</v>
      </c>
      <c r="E229" s="24">
        <f t="shared" si="44"/>
        <v>-0.85716730070211233</v>
      </c>
      <c r="F229" s="24">
        <f t="shared" si="45"/>
        <v>0.60086061902756038</v>
      </c>
      <c r="G229" s="24">
        <f t="shared" si="46"/>
        <v>1.664279482350518</v>
      </c>
      <c r="H229" s="24">
        <f t="shared" si="47"/>
        <v>-1.1666333972153304</v>
      </c>
      <c r="I229" s="29">
        <f t="shared" si="48"/>
        <v>-1.9416040264103567</v>
      </c>
      <c r="K229" s="1" t="str">
        <f t="shared" si="52"/>
        <v>3.66519142918809,-0.5</v>
      </c>
      <c r="L229" s="1" t="str">
        <f t="shared" si="53"/>
        <v>3.66519142918809,-0.866025403784439</v>
      </c>
      <c r="M229" s="1" t="str">
        <f t="shared" si="54"/>
        <v>3.66519142918809,0.577350269189626</v>
      </c>
      <c r="N229" s="1" t="str">
        <f t="shared" si="49"/>
        <v>3.66519142918809,1.73205080756888</v>
      </c>
      <c r="O229" s="1" t="str">
        <f t="shared" si="49"/>
        <v>3.66519142918809,-1.15470053837925</v>
      </c>
      <c r="P229" s="1" t="str">
        <f t="shared" si="50"/>
        <v>3.66519142918809,-2</v>
      </c>
    </row>
    <row r="230" spans="2:16" x14ac:dyDescent="0.6">
      <c r="B230" s="25">
        <v>212</v>
      </c>
      <c r="C230" s="24">
        <f t="shared" si="51"/>
        <v>3.7000980142279785</v>
      </c>
      <c r="D230" s="24">
        <f t="shared" si="43"/>
        <v>-0.52991926423320479</v>
      </c>
      <c r="E230" s="24">
        <f t="shared" si="44"/>
        <v>-0.84804809615642607</v>
      </c>
      <c r="F230" s="24">
        <f t="shared" si="45"/>
        <v>0.62486935190932713</v>
      </c>
      <c r="G230" s="24">
        <f t="shared" si="46"/>
        <v>1.6003345290410513</v>
      </c>
      <c r="H230" s="24">
        <f t="shared" si="47"/>
        <v>-1.1791784033620962</v>
      </c>
      <c r="I230" s="29">
        <f t="shared" si="48"/>
        <v>-1.8870799147998589</v>
      </c>
      <c r="K230" s="1" t="str">
        <f t="shared" si="52"/>
        <v>3.68264472170804,-0.515038074910054</v>
      </c>
      <c r="L230" s="1" t="str">
        <f t="shared" si="53"/>
        <v>3.68264472170804,-0.857167300702112</v>
      </c>
      <c r="M230" s="1" t="str">
        <f t="shared" si="54"/>
        <v>3.68264472170804,0.60086061902756</v>
      </c>
      <c r="N230" s="1" t="str">
        <f t="shared" si="49"/>
        <v>3.68264472170804,1.66427948235052</v>
      </c>
      <c r="O230" s="1" t="str">
        <f t="shared" si="49"/>
        <v>3.68264472170804,-1.16663339721533</v>
      </c>
      <c r="P230" s="1" t="str">
        <f t="shared" si="50"/>
        <v>3.68264472170804,-1.94160402641036</v>
      </c>
    </row>
    <row r="231" spans="2:16" x14ac:dyDescent="0.6">
      <c r="B231" s="25">
        <v>213</v>
      </c>
      <c r="C231" s="24">
        <f t="shared" si="51"/>
        <v>3.717551306747922</v>
      </c>
      <c r="D231" s="24">
        <f t="shared" si="43"/>
        <v>-0.54463903501502708</v>
      </c>
      <c r="E231" s="24">
        <f t="shared" si="44"/>
        <v>-0.83867056794542405</v>
      </c>
      <c r="F231" s="24">
        <f t="shared" si="45"/>
        <v>0.64940759319751062</v>
      </c>
      <c r="G231" s="24">
        <f t="shared" si="46"/>
        <v>1.5398649638145827</v>
      </c>
      <c r="H231" s="24">
        <f t="shared" si="47"/>
        <v>-1.1923632928359473</v>
      </c>
      <c r="I231" s="29">
        <f t="shared" si="48"/>
        <v>-1.8360784587766632</v>
      </c>
      <c r="K231" s="1" t="str">
        <f t="shared" si="52"/>
        <v>3.70009801422798,-0.529919264233205</v>
      </c>
      <c r="L231" s="1" t="str">
        <f t="shared" si="53"/>
        <v>3.70009801422798,-0.848048096156426</v>
      </c>
      <c r="M231" s="1" t="str">
        <f t="shared" si="54"/>
        <v>3.70009801422798,0.624869351909327</v>
      </c>
      <c r="N231" s="1" t="str">
        <f t="shared" si="49"/>
        <v>3.70009801422798,1.60033452904105</v>
      </c>
      <c r="O231" s="1" t="str">
        <f t="shared" si="49"/>
        <v>3.70009801422798,-1.1791784033621</v>
      </c>
      <c r="P231" s="1" t="str">
        <f t="shared" si="50"/>
        <v>3.70009801422798,-1.88707991479986</v>
      </c>
    </row>
    <row r="232" spans="2:16" x14ac:dyDescent="0.6">
      <c r="B232" s="25">
        <v>214</v>
      </c>
      <c r="C232" s="24">
        <f t="shared" si="51"/>
        <v>3.7350045992678651</v>
      </c>
      <c r="D232" s="24">
        <f t="shared" si="43"/>
        <v>-0.55919290347074668</v>
      </c>
      <c r="E232" s="24">
        <f t="shared" si="44"/>
        <v>-0.82903757255504185</v>
      </c>
      <c r="F232" s="24">
        <f t="shared" si="45"/>
        <v>0.6745085168424263</v>
      </c>
      <c r="G232" s="24">
        <f t="shared" si="46"/>
        <v>1.482560968512741</v>
      </c>
      <c r="H232" s="24">
        <f t="shared" si="47"/>
        <v>-1.2062179485039051</v>
      </c>
      <c r="I232" s="29">
        <f t="shared" si="48"/>
        <v>-1.788291649971401</v>
      </c>
      <c r="K232" s="1" t="str">
        <f t="shared" si="52"/>
        <v>3.71755130674792,-0.544639035015027</v>
      </c>
      <c r="L232" s="1" t="str">
        <f t="shared" si="53"/>
        <v>3.71755130674792,-0.838670567945424</v>
      </c>
      <c r="M232" s="1" t="str">
        <f t="shared" si="54"/>
        <v>3.71755130674792,0.649407593197511</v>
      </c>
      <c r="N232" s="1" t="str">
        <f t="shared" si="49"/>
        <v>3.71755130674792,1.53986496381458</v>
      </c>
      <c r="O232" s="1" t="str">
        <f t="shared" si="49"/>
        <v>3.71755130674792,-1.19236329283595</v>
      </c>
      <c r="P232" s="1" t="str">
        <f t="shared" si="50"/>
        <v>3.71755130674792,-1.83607845877666</v>
      </c>
    </row>
    <row r="233" spans="2:16" x14ac:dyDescent="0.6">
      <c r="B233" s="25">
        <v>215</v>
      </c>
      <c r="C233" s="24">
        <f t="shared" si="51"/>
        <v>3.7524578917878082</v>
      </c>
      <c r="D233" s="24">
        <f t="shared" si="43"/>
        <v>-0.57357643635104583</v>
      </c>
      <c r="E233" s="24">
        <f t="shared" si="44"/>
        <v>-0.81915204428899202</v>
      </c>
      <c r="F233" s="24">
        <f t="shared" si="45"/>
        <v>0.70020753820970916</v>
      </c>
      <c r="G233" s="24">
        <f t="shared" si="46"/>
        <v>1.4281480067421157</v>
      </c>
      <c r="H233" s="24">
        <f t="shared" si="47"/>
        <v>-1.2207745887614556</v>
      </c>
      <c r="I233" s="29">
        <f t="shared" si="48"/>
        <v>-1.7434467956210988</v>
      </c>
      <c r="K233" s="1" t="str">
        <f t="shared" si="52"/>
        <v>3.73500459926787,-0.559192903470747</v>
      </c>
      <c r="L233" s="1" t="str">
        <f t="shared" si="53"/>
        <v>3.73500459926787,-0.829037572555042</v>
      </c>
      <c r="M233" s="1" t="str">
        <f t="shared" si="54"/>
        <v>3.73500459926787,0.674508516842426</v>
      </c>
      <c r="N233" s="1" t="str">
        <f t="shared" si="49"/>
        <v>3.73500459926787,1.48256096851274</v>
      </c>
      <c r="O233" s="1" t="str">
        <f t="shared" si="49"/>
        <v>3.73500459926787,-1.20621794850391</v>
      </c>
      <c r="P233" s="1" t="str">
        <f t="shared" si="50"/>
        <v>3.73500459926787,-1.7882916499714</v>
      </c>
    </row>
    <row r="234" spans="2:16" x14ac:dyDescent="0.6">
      <c r="B234" s="25">
        <v>216</v>
      </c>
      <c r="C234" s="24">
        <f t="shared" si="51"/>
        <v>3.7699111843077517</v>
      </c>
      <c r="D234" s="24">
        <f t="shared" si="43"/>
        <v>-0.58778525229247303</v>
      </c>
      <c r="E234" s="24">
        <f t="shared" si="44"/>
        <v>-0.80901699437494756</v>
      </c>
      <c r="F234" s="24">
        <f t="shared" si="45"/>
        <v>0.72654252800536068</v>
      </c>
      <c r="G234" s="24">
        <f t="shared" si="46"/>
        <v>1.376381920471174</v>
      </c>
      <c r="H234" s="24">
        <f t="shared" si="47"/>
        <v>-1.2360679774997896</v>
      </c>
      <c r="I234" s="29">
        <f t="shared" si="48"/>
        <v>-1.7013016167040802</v>
      </c>
      <c r="K234" s="1" t="str">
        <f t="shared" si="52"/>
        <v>3.75245789178781,-0.573576436351046</v>
      </c>
      <c r="L234" s="1" t="str">
        <f t="shared" si="53"/>
        <v>3.75245789178781,-0.819152044288992</v>
      </c>
      <c r="M234" s="1" t="str">
        <f t="shared" si="54"/>
        <v>3.75245789178781,0.700207538209709</v>
      </c>
      <c r="N234" s="1" t="str">
        <f t="shared" si="49"/>
        <v>3.75245789178781,1.42814800674212</v>
      </c>
      <c r="O234" s="1" t="str">
        <f t="shared" si="49"/>
        <v>3.75245789178781,-1.22077458876146</v>
      </c>
      <c r="P234" s="1" t="str">
        <f t="shared" si="50"/>
        <v>3.75245789178781,-1.7434467956211</v>
      </c>
    </row>
    <row r="235" spans="2:16" x14ac:dyDescent="0.6">
      <c r="B235" s="25">
        <v>217</v>
      </c>
      <c r="C235" s="24">
        <f t="shared" si="51"/>
        <v>3.7873644768276948</v>
      </c>
      <c r="D235" s="24">
        <f t="shared" si="43"/>
        <v>-0.60181502315204805</v>
      </c>
      <c r="E235" s="24">
        <f t="shared" si="44"/>
        <v>-0.79863551004729305</v>
      </c>
      <c r="F235" s="24">
        <f t="shared" si="45"/>
        <v>0.75355405010279364</v>
      </c>
      <c r="G235" s="24">
        <f t="shared" si="46"/>
        <v>1.3270448216204109</v>
      </c>
      <c r="H235" s="24">
        <f t="shared" si="47"/>
        <v>-1.2521356581562253</v>
      </c>
      <c r="I235" s="29">
        <f t="shared" si="48"/>
        <v>-1.6616401411224839</v>
      </c>
      <c r="K235" s="1" t="str">
        <f t="shared" si="52"/>
        <v>3.76991118430775,-0.587785252292473</v>
      </c>
      <c r="L235" s="1" t="str">
        <f t="shared" si="53"/>
        <v>3.76991118430775,-0.809016994374948</v>
      </c>
      <c r="M235" s="1" t="str">
        <f t="shared" si="54"/>
        <v>3.76991118430775,0.726542528005361</v>
      </c>
      <c r="N235" s="1" t="str">
        <f t="shared" si="49"/>
        <v>3.76991118430775,1.37638192047117</v>
      </c>
      <c r="O235" s="1" t="str">
        <f t="shared" si="49"/>
        <v>3.76991118430775,-1.23606797749979</v>
      </c>
      <c r="P235" s="1" t="str">
        <f t="shared" si="50"/>
        <v>3.76991118430775,-1.70130161670408</v>
      </c>
    </row>
    <row r="236" spans="2:16" x14ac:dyDescent="0.6">
      <c r="B236" s="25">
        <v>218</v>
      </c>
      <c r="C236" s="24">
        <f t="shared" si="51"/>
        <v>3.8048177693476379</v>
      </c>
      <c r="D236" s="24">
        <f t="shared" si="43"/>
        <v>-0.61566147532565785</v>
      </c>
      <c r="E236" s="24">
        <f t="shared" si="44"/>
        <v>-0.78801075360672224</v>
      </c>
      <c r="F236" s="24">
        <f t="shared" si="45"/>
        <v>0.78128562650671651</v>
      </c>
      <c r="G236" s="24">
        <f t="shared" si="46"/>
        <v>1.2799416321930803</v>
      </c>
      <c r="H236" s="24">
        <f t="shared" si="47"/>
        <v>-1.2690182150725784</v>
      </c>
      <c r="I236" s="29">
        <f t="shared" si="48"/>
        <v>-1.6242692454827452</v>
      </c>
      <c r="K236" s="1" t="str">
        <f t="shared" si="52"/>
        <v>3.78736447682769,-0.601815023152048</v>
      </c>
      <c r="L236" s="1" t="str">
        <f t="shared" si="53"/>
        <v>3.78736447682769,-0.798635510047293</v>
      </c>
      <c r="M236" s="1" t="str">
        <f t="shared" si="54"/>
        <v>3.78736447682769,0.753554050102794</v>
      </c>
      <c r="N236" s="1" t="str">
        <f t="shared" si="49"/>
        <v>3.78736447682769,1.32704482162041</v>
      </c>
      <c r="O236" s="1" t="str">
        <f t="shared" si="49"/>
        <v>3.78736447682769,-1.25213565815623</v>
      </c>
      <c r="P236" s="1" t="str">
        <f t="shared" si="50"/>
        <v>3.78736447682769,-1.66164014112248</v>
      </c>
    </row>
    <row r="237" spans="2:16" x14ac:dyDescent="0.6">
      <c r="B237" s="25">
        <v>219</v>
      </c>
      <c r="C237" s="24">
        <f t="shared" si="51"/>
        <v>3.8222710618675819</v>
      </c>
      <c r="D237" s="24">
        <f t="shared" si="43"/>
        <v>-0.62932039104983761</v>
      </c>
      <c r="E237" s="24">
        <f t="shared" si="44"/>
        <v>-0.77714596145697079</v>
      </c>
      <c r="F237" s="24">
        <f t="shared" si="45"/>
        <v>0.80978403319500736</v>
      </c>
      <c r="G237" s="24">
        <f t="shared" si="46"/>
        <v>1.2348971565350511</v>
      </c>
      <c r="H237" s="24">
        <f t="shared" si="47"/>
        <v>-1.2867595658931674</v>
      </c>
      <c r="I237" s="29">
        <f t="shared" si="48"/>
        <v>-1.5890157290657489</v>
      </c>
      <c r="K237" s="1" t="str">
        <f t="shared" si="52"/>
        <v>3.80481776934764,-0.615661475325658</v>
      </c>
      <c r="L237" s="1" t="str">
        <f t="shared" si="53"/>
        <v>3.80481776934764,-0.788010753606722</v>
      </c>
      <c r="M237" s="1" t="str">
        <f t="shared" si="54"/>
        <v>3.80481776934764,0.781285626506717</v>
      </c>
      <c r="N237" s="1" t="str">
        <f t="shared" si="49"/>
        <v>3.80481776934764,1.27994163219308</v>
      </c>
      <c r="O237" s="1" t="str">
        <f t="shared" si="49"/>
        <v>3.80481776934764,-1.26901821507258</v>
      </c>
      <c r="P237" s="1" t="str">
        <f t="shared" si="50"/>
        <v>3.80481776934764,-1.62426924548275</v>
      </c>
    </row>
    <row r="238" spans="2:16" x14ac:dyDescent="0.6">
      <c r="B238" s="25">
        <v>220</v>
      </c>
      <c r="C238" s="24">
        <f t="shared" si="51"/>
        <v>3.839724354387525</v>
      </c>
      <c r="D238" s="24">
        <f t="shared" si="43"/>
        <v>-0.64278760968653925</v>
      </c>
      <c r="E238" s="24">
        <f t="shared" si="44"/>
        <v>-0.76604444311897801</v>
      </c>
      <c r="F238" s="24">
        <f t="shared" si="45"/>
        <v>0.83909963117727993</v>
      </c>
      <c r="G238" s="24">
        <f t="shared" si="46"/>
        <v>1.19175359259421</v>
      </c>
      <c r="H238" s="24">
        <f t="shared" si="47"/>
        <v>-1.3054072893322786</v>
      </c>
      <c r="I238" s="29">
        <f t="shared" si="48"/>
        <v>-1.5557238268604126</v>
      </c>
      <c r="K238" s="1" t="str">
        <f t="shared" si="52"/>
        <v>3.82227106186758,-0.629320391049838</v>
      </c>
      <c r="L238" s="1" t="str">
        <f t="shared" si="53"/>
        <v>3.82227106186758,-0.777145961456971</v>
      </c>
      <c r="M238" s="1" t="str">
        <f t="shared" si="54"/>
        <v>3.82227106186758,0.809784033195007</v>
      </c>
      <c r="N238" s="1" t="str">
        <f t="shared" si="49"/>
        <v>3.82227106186758,1.23489715653505</v>
      </c>
      <c r="O238" s="1" t="str">
        <f t="shared" si="49"/>
        <v>3.82227106186758,-1.28675956589317</v>
      </c>
      <c r="P238" s="1" t="str">
        <f t="shared" si="50"/>
        <v>3.82227106186758,-1.58901572906575</v>
      </c>
    </row>
    <row r="239" spans="2:16" x14ac:dyDescent="0.6">
      <c r="B239" s="25">
        <v>221</v>
      </c>
      <c r="C239" s="24">
        <f t="shared" si="51"/>
        <v>3.8571776469074686</v>
      </c>
      <c r="D239" s="24">
        <f t="shared" si="43"/>
        <v>-0.65605902899050739</v>
      </c>
      <c r="E239" s="24">
        <f t="shared" si="44"/>
        <v>-0.7547095802227719</v>
      </c>
      <c r="F239" s="24">
        <f t="shared" si="45"/>
        <v>0.86928673781622701</v>
      </c>
      <c r="G239" s="24">
        <f t="shared" si="46"/>
        <v>1.1503684072210092</v>
      </c>
      <c r="H239" s="24">
        <f t="shared" si="47"/>
        <v>-1.3250129933488115</v>
      </c>
      <c r="I239" s="29">
        <f t="shared" si="48"/>
        <v>-1.5242530867058139</v>
      </c>
      <c r="K239" s="1" t="str">
        <f t="shared" si="52"/>
        <v>3.83972435438753,-0.642787609686539</v>
      </c>
      <c r="L239" s="1" t="str">
        <f t="shared" si="53"/>
        <v>3.83972435438753,-0.766044443118978</v>
      </c>
      <c r="M239" s="1" t="str">
        <f t="shared" si="54"/>
        <v>3.83972435438753,0.83909963117728</v>
      </c>
      <c r="N239" s="1" t="str">
        <f t="shared" si="49"/>
        <v>3.83972435438753,1.19175359259421</v>
      </c>
      <c r="O239" s="1" t="str">
        <f t="shared" si="49"/>
        <v>3.83972435438753,-1.30540728933228</v>
      </c>
      <c r="P239" s="1" t="str">
        <f t="shared" si="50"/>
        <v>3.83972435438753,-1.55572382686041</v>
      </c>
    </row>
    <row r="240" spans="2:16" x14ac:dyDescent="0.6">
      <c r="B240" s="25">
        <v>222</v>
      </c>
      <c r="C240" s="24">
        <f t="shared" si="51"/>
        <v>3.8746309394274117</v>
      </c>
      <c r="D240" s="24">
        <f t="shared" si="43"/>
        <v>-0.66913060635885824</v>
      </c>
      <c r="E240" s="24">
        <f t="shared" si="44"/>
        <v>-0.74314482547739424</v>
      </c>
      <c r="F240" s="24">
        <f t="shared" si="45"/>
        <v>0.90040404429783993</v>
      </c>
      <c r="G240" s="24">
        <f t="shared" si="46"/>
        <v>1.110612514829193</v>
      </c>
      <c r="H240" s="24">
        <f t="shared" si="47"/>
        <v>-1.3456327296063761</v>
      </c>
      <c r="I240" s="29">
        <f t="shared" si="48"/>
        <v>-1.4944765498646086</v>
      </c>
      <c r="K240" s="1" t="str">
        <f t="shared" si="52"/>
        <v>3.85717764690747,-0.656059028990507</v>
      </c>
      <c r="L240" s="1" t="str">
        <f t="shared" si="53"/>
        <v>3.85717764690747,-0.754709580222772</v>
      </c>
      <c r="M240" s="1" t="str">
        <f t="shared" si="54"/>
        <v>3.85717764690747,0.869286737816227</v>
      </c>
      <c r="N240" s="1" t="str">
        <f t="shared" si="49"/>
        <v>3.85717764690747,1.15036840722101</v>
      </c>
      <c r="O240" s="1" t="str">
        <f t="shared" si="49"/>
        <v>3.85717764690747,-1.32501299334881</v>
      </c>
      <c r="P240" s="1" t="str">
        <f t="shared" si="50"/>
        <v>3.85717764690747,-1.52425308670581</v>
      </c>
    </row>
    <row r="241" spans="2:16" x14ac:dyDescent="0.6">
      <c r="B241" s="25">
        <v>223</v>
      </c>
      <c r="C241" s="24">
        <f t="shared" si="51"/>
        <v>3.8920842319473548</v>
      </c>
      <c r="D241" s="24">
        <f t="shared" si="43"/>
        <v>-0.68199836006249837</v>
      </c>
      <c r="E241" s="24">
        <f t="shared" si="44"/>
        <v>-0.73135370161917057</v>
      </c>
      <c r="F241" s="24">
        <f t="shared" si="45"/>
        <v>0.93251508613766132</v>
      </c>
      <c r="G241" s="24">
        <f t="shared" si="46"/>
        <v>1.072368710024683</v>
      </c>
      <c r="H241" s="24">
        <f t="shared" si="47"/>
        <v>-1.367327461098595</v>
      </c>
      <c r="I241" s="29">
        <f t="shared" si="48"/>
        <v>-1.4662791856396251</v>
      </c>
      <c r="K241" s="1" t="str">
        <f t="shared" si="52"/>
        <v>3.87463093942741,-0.669130606358858</v>
      </c>
      <c r="L241" s="1" t="str">
        <f t="shared" si="53"/>
        <v>3.87463093942741,-0.743144825477394</v>
      </c>
      <c r="M241" s="1" t="str">
        <f t="shared" si="54"/>
        <v>3.87463093942741,0.90040404429784</v>
      </c>
      <c r="N241" s="1" t="str">
        <f t="shared" si="49"/>
        <v>3.87463093942741,1.11061251482919</v>
      </c>
      <c r="O241" s="1" t="str">
        <f t="shared" si="49"/>
        <v>3.87463093942741,-1.34563272960638</v>
      </c>
      <c r="P241" s="1" t="str">
        <f t="shared" si="50"/>
        <v>3.87463093942741,-1.49447654986461</v>
      </c>
    </row>
    <row r="242" spans="2:16" x14ac:dyDescent="0.6">
      <c r="B242" s="25">
        <v>224</v>
      </c>
      <c r="C242" s="24">
        <f t="shared" si="51"/>
        <v>3.9095375244672983</v>
      </c>
      <c r="D242" s="24">
        <f t="shared" si="43"/>
        <v>-0.69465837045899737</v>
      </c>
      <c r="E242" s="24">
        <f t="shared" si="44"/>
        <v>-0.71933980033865108</v>
      </c>
      <c r="F242" s="24">
        <f t="shared" si="45"/>
        <v>0.96568877480707416</v>
      </c>
      <c r="G242" s="24">
        <f t="shared" si="46"/>
        <v>1.0355303137905694</v>
      </c>
      <c r="H242" s="24">
        <f t="shared" si="47"/>
        <v>-1.390163591016679</v>
      </c>
      <c r="I242" s="29">
        <f t="shared" si="48"/>
        <v>-1.4395565396257262</v>
      </c>
      <c r="K242" s="1" t="str">
        <f t="shared" si="52"/>
        <v>3.89208423194735,-0.681998360062498</v>
      </c>
      <c r="L242" s="1" t="str">
        <f t="shared" si="53"/>
        <v>3.89208423194735,-0.731353701619171</v>
      </c>
      <c r="M242" s="1" t="str">
        <f t="shared" si="54"/>
        <v>3.89208423194735,0.932515086137661</v>
      </c>
      <c r="N242" s="1" t="str">
        <f t="shared" si="49"/>
        <v>3.89208423194735,1.07236871002468</v>
      </c>
      <c r="O242" s="1" t="str">
        <f t="shared" si="49"/>
        <v>3.89208423194735,-1.3673274610986</v>
      </c>
      <c r="P242" s="1" t="str">
        <f t="shared" si="50"/>
        <v>3.89208423194735,-1.46627918563963</v>
      </c>
    </row>
    <row r="243" spans="2:16" x14ac:dyDescent="0.6">
      <c r="B243" s="25">
        <v>225</v>
      </c>
      <c r="C243" s="24">
        <f t="shared" si="51"/>
        <v>3.9269908169872414</v>
      </c>
      <c r="D243" s="24">
        <f t="shared" si="43"/>
        <v>-0.70710678118654746</v>
      </c>
      <c r="E243" s="24">
        <f t="shared" si="44"/>
        <v>-0.70710678118654768</v>
      </c>
      <c r="F243" s="24">
        <f t="shared" si="45"/>
        <v>0.99999999999999967</v>
      </c>
      <c r="G243" s="24">
        <f t="shared" si="46"/>
        <v>1.0000000000000004</v>
      </c>
      <c r="H243" s="24">
        <f t="shared" si="47"/>
        <v>-1.4142135623730947</v>
      </c>
      <c r="I243" s="29">
        <f t="shared" si="48"/>
        <v>-1.4142135623730951</v>
      </c>
      <c r="K243" s="1" t="str">
        <f t="shared" si="52"/>
        <v>3.9095375244673,-0.694658370458997</v>
      </c>
      <c r="L243" s="1" t="str">
        <f t="shared" si="53"/>
        <v>3.9095375244673,-0.719339800338651</v>
      </c>
      <c r="M243" s="1" t="str">
        <f t="shared" si="54"/>
        <v>3.9095375244673,0.965688774807074</v>
      </c>
      <c r="N243" s="1" t="str">
        <f t="shared" si="49"/>
        <v>3.9095375244673,1.03553031379057</v>
      </c>
      <c r="O243" s="1" t="str">
        <f t="shared" si="49"/>
        <v>3.9095375244673,-1.39016359101668</v>
      </c>
      <c r="P243" s="1" t="str">
        <f t="shared" si="50"/>
        <v>3.9095375244673,-1.43955653962573</v>
      </c>
    </row>
    <row r="244" spans="2:16" x14ac:dyDescent="0.6">
      <c r="B244" s="25">
        <v>226</v>
      </c>
      <c r="C244" s="24">
        <f t="shared" si="51"/>
        <v>3.9444441095071845</v>
      </c>
      <c r="D244" s="24">
        <f t="shared" si="43"/>
        <v>-0.71933980033865086</v>
      </c>
      <c r="E244" s="24">
        <f t="shared" si="44"/>
        <v>-0.69465837045899759</v>
      </c>
      <c r="F244" s="24">
        <f t="shared" si="45"/>
        <v>1.0355303137905687</v>
      </c>
      <c r="G244" s="24">
        <f t="shared" si="46"/>
        <v>0.96568877480707482</v>
      </c>
      <c r="H244" s="24">
        <f t="shared" si="47"/>
        <v>-1.4395565396257257</v>
      </c>
      <c r="I244" s="29">
        <f t="shared" si="48"/>
        <v>-1.3901635910166794</v>
      </c>
      <c r="K244" s="1" t="str">
        <f t="shared" si="52"/>
        <v>3.92699081698724,-0.707106781186547</v>
      </c>
      <c r="L244" s="1" t="str">
        <f t="shared" si="53"/>
        <v>3.92699081698724,-0.707106781186548</v>
      </c>
      <c r="M244" s="1" t="str">
        <f t="shared" si="54"/>
        <v>3.92699081698724,1</v>
      </c>
      <c r="N244" s="1" t="str">
        <f t="shared" si="49"/>
        <v>3.92699081698724,1</v>
      </c>
      <c r="O244" s="1" t="str">
        <f t="shared" si="49"/>
        <v>3.92699081698724,-1.41421356237309</v>
      </c>
      <c r="P244" s="1" t="str">
        <f t="shared" si="50"/>
        <v>3.92699081698724,-1.4142135623731</v>
      </c>
    </row>
    <row r="245" spans="2:16" x14ac:dyDescent="0.6">
      <c r="B245" s="25">
        <v>227</v>
      </c>
      <c r="C245" s="24">
        <f t="shared" si="51"/>
        <v>3.9618974020271276</v>
      </c>
      <c r="D245" s="24">
        <f t="shared" si="43"/>
        <v>-0.73135370161917013</v>
      </c>
      <c r="E245" s="24">
        <f t="shared" si="44"/>
        <v>-0.68199836006249892</v>
      </c>
      <c r="F245" s="24">
        <f t="shared" si="45"/>
        <v>1.0723687100246813</v>
      </c>
      <c r="G245" s="24">
        <f t="shared" si="46"/>
        <v>0.93251508613766276</v>
      </c>
      <c r="H245" s="24">
        <f t="shared" si="47"/>
        <v>-1.466279185639624</v>
      </c>
      <c r="I245" s="29">
        <f t="shared" si="48"/>
        <v>-1.3673274610985959</v>
      </c>
      <c r="K245" s="1" t="str">
        <f t="shared" si="52"/>
        <v>3.94444410950718,-0.719339800338651</v>
      </c>
      <c r="L245" s="1" t="str">
        <f t="shared" si="53"/>
        <v>3.94444410950718,-0.694658370458998</v>
      </c>
      <c r="M245" s="1" t="str">
        <f t="shared" si="54"/>
        <v>3.94444410950718,1.03553031379057</v>
      </c>
      <c r="N245" s="1" t="str">
        <f t="shared" si="49"/>
        <v>3.94444410950718,0.965688774807075</v>
      </c>
      <c r="O245" s="1" t="str">
        <f t="shared" si="49"/>
        <v>3.94444410950718,-1.43955653962573</v>
      </c>
      <c r="P245" s="1" t="str">
        <f t="shared" si="50"/>
        <v>3.94444410950718,-1.39016359101668</v>
      </c>
    </row>
    <row r="246" spans="2:16" x14ac:dyDescent="0.6">
      <c r="B246" s="25">
        <v>228</v>
      </c>
      <c r="C246" s="24">
        <f t="shared" si="51"/>
        <v>3.9793506945470711</v>
      </c>
      <c r="D246" s="24">
        <f t="shared" si="43"/>
        <v>-0.74314482547739402</v>
      </c>
      <c r="E246" s="24">
        <f t="shared" si="44"/>
        <v>-0.66913060635885846</v>
      </c>
      <c r="F246" s="24">
        <f t="shared" si="45"/>
        <v>1.1106125148291921</v>
      </c>
      <c r="G246" s="24">
        <f t="shared" si="46"/>
        <v>0.9004040442978406</v>
      </c>
      <c r="H246" s="24">
        <f t="shared" si="47"/>
        <v>-1.4944765498646082</v>
      </c>
      <c r="I246" s="29">
        <f t="shared" si="48"/>
        <v>-1.3456327296063766</v>
      </c>
      <c r="K246" s="1" t="str">
        <f t="shared" si="52"/>
        <v>3.96189740202713,-0.73135370161917</v>
      </c>
      <c r="L246" s="1" t="str">
        <f t="shared" si="53"/>
        <v>3.96189740202713,-0.681998360062499</v>
      </c>
      <c r="M246" s="1" t="str">
        <f t="shared" si="54"/>
        <v>3.96189740202713,1.07236871002468</v>
      </c>
      <c r="N246" s="1" t="str">
        <f t="shared" si="49"/>
        <v>3.96189740202713,0.932515086137663</v>
      </c>
      <c r="O246" s="1" t="str">
        <f t="shared" si="49"/>
        <v>3.96189740202713,-1.46627918563962</v>
      </c>
      <c r="P246" s="1" t="str">
        <f t="shared" si="50"/>
        <v>3.96189740202713,-1.3673274610986</v>
      </c>
    </row>
    <row r="247" spans="2:16" x14ac:dyDescent="0.6">
      <c r="B247" s="25">
        <v>229</v>
      </c>
      <c r="C247" s="24">
        <f t="shared" si="51"/>
        <v>3.9968039870670142</v>
      </c>
      <c r="D247" s="24">
        <f t="shared" si="43"/>
        <v>-0.75470958022277168</v>
      </c>
      <c r="E247" s="24">
        <f t="shared" si="44"/>
        <v>-0.65605902899050761</v>
      </c>
      <c r="F247" s="24">
        <f t="shared" si="45"/>
        <v>1.1503684072210083</v>
      </c>
      <c r="G247" s="24">
        <f t="shared" si="46"/>
        <v>0.86928673781622756</v>
      </c>
      <c r="H247" s="24">
        <f t="shared" si="47"/>
        <v>-1.5242530867058135</v>
      </c>
      <c r="I247" s="29">
        <f t="shared" si="48"/>
        <v>-1.325012993348812</v>
      </c>
      <c r="K247" s="1" t="str">
        <f t="shared" si="52"/>
        <v>3.97935069454707,-0.743144825477394</v>
      </c>
      <c r="L247" s="1" t="str">
        <f t="shared" si="53"/>
        <v>3.97935069454707,-0.669130606358858</v>
      </c>
      <c r="M247" s="1" t="str">
        <f t="shared" si="54"/>
        <v>3.97935069454707,1.11061251482919</v>
      </c>
      <c r="N247" s="1" t="str">
        <f t="shared" si="49"/>
        <v>3.97935069454707,0.900404044297841</v>
      </c>
      <c r="O247" s="1" t="str">
        <f t="shared" si="49"/>
        <v>3.97935069454707,-1.49447654986461</v>
      </c>
      <c r="P247" s="1" t="str">
        <f t="shared" si="50"/>
        <v>3.97935069454707,-1.34563272960638</v>
      </c>
    </row>
    <row r="248" spans="2:16" x14ac:dyDescent="0.6">
      <c r="B248" s="25">
        <v>230</v>
      </c>
      <c r="C248" s="24">
        <f t="shared" si="51"/>
        <v>4.0142572795869578</v>
      </c>
      <c r="D248" s="24">
        <f t="shared" si="43"/>
        <v>-0.7660444431189779</v>
      </c>
      <c r="E248" s="24">
        <f t="shared" si="44"/>
        <v>-0.64278760968653947</v>
      </c>
      <c r="F248" s="24">
        <f t="shared" si="45"/>
        <v>1.1917535925942093</v>
      </c>
      <c r="G248" s="24">
        <f t="shared" si="46"/>
        <v>0.83909963117728048</v>
      </c>
      <c r="H248" s="24">
        <f t="shared" si="47"/>
        <v>-1.5557238268604119</v>
      </c>
      <c r="I248" s="29">
        <f t="shared" si="48"/>
        <v>-1.3054072893322788</v>
      </c>
      <c r="K248" s="1" t="str">
        <f t="shared" si="52"/>
        <v>3.99680398706701,-0.754709580222772</v>
      </c>
      <c r="L248" s="1" t="str">
        <f t="shared" si="53"/>
        <v>3.99680398706701,-0.656059028990508</v>
      </c>
      <c r="M248" s="1" t="str">
        <f t="shared" si="54"/>
        <v>3.99680398706701,1.15036840722101</v>
      </c>
      <c r="N248" s="1" t="str">
        <f t="shared" si="49"/>
        <v>3.99680398706701,0.869286737816228</v>
      </c>
      <c r="O248" s="1" t="str">
        <f t="shared" si="49"/>
        <v>3.99680398706701,-1.52425308670581</v>
      </c>
      <c r="P248" s="1" t="str">
        <f t="shared" si="50"/>
        <v>3.99680398706701,-1.32501299334881</v>
      </c>
    </row>
    <row r="249" spans="2:16" x14ac:dyDescent="0.6">
      <c r="B249" s="25">
        <v>231</v>
      </c>
      <c r="C249" s="24">
        <f t="shared" si="51"/>
        <v>4.0317105721069018</v>
      </c>
      <c r="D249" s="24">
        <f t="shared" si="43"/>
        <v>-0.77714596145697112</v>
      </c>
      <c r="E249" s="24">
        <f t="shared" si="44"/>
        <v>-0.62932039104983717</v>
      </c>
      <c r="F249" s="24">
        <f t="shared" si="45"/>
        <v>1.2348971565350524</v>
      </c>
      <c r="G249" s="24">
        <f t="shared" si="46"/>
        <v>0.80978403319500647</v>
      </c>
      <c r="H249" s="24">
        <f t="shared" si="47"/>
        <v>-1.5890157290657501</v>
      </c>
      <c r="I249" s="29">
        <f t="shared" si="48"/>
        <v>-1.286759565893167</v>
      </c>
      <c r="K249" s="1" t="str">
        <f t="shared" si="52"/>
        <v>4.01425727958696,-0.766044443118978</v>
      </c>
      <c r="L249" s="1" t="str">
        <f t="shared" si="53"/>
        <v>4.01425727958696,-0.642787609686539</v>
      </c>
      <c r="M249" s="1" t="str">
        <f t="shared" si="54"/>
        <v>4.01425727958696,1.19175359259421</v>
      </c>
      <c r="N249" s="1" t="str">
        <f t="shared" si="49"/>
        <v>4.01425727958696,0.83909963117728</v>
      </c>
      <c r="O249" s="1" t="str">
        <f t="shared" si="49"/>
        <v>4.01425727958696,-1.55572382686041</v>
      </c>
      <c r="P249" s="1" t="str">
        <f t="shared" si="50"/>
        <v>4.01425727958696,-1.30540728933228</v>
      </c>
    </row>
    <row r="250" spans="2:16" x14ac:dyDescent="0.6">
      <c r="B250" s="25">
        <v>232</v>
      </c>
      <c r="C250" s="24">
        <f t="shared" si="51"/>
        <v>4.0491638646268449</v>
      </c>
      <c r="D250" s="24">
        <f t="shared" si="43"/>
        <v>-0.78801075360672213</v>
      </c>
      <c r="E250" s="24">
        <f t="shared" si="44"/>
        <v>-0.61566147532565807</v>
      </c>
      <c r="F250" s="24">
        <f t="shared" si="45"/>
        <v>1.2799416321930794</v>
      </c>
      <c r="G250" s="24">
        <f t="shared" si="46"/>
        <v>0.78128562650671696</v>
      </c>
      <c r="H250" s="24">
        <f t="shared" si="47"/>
        <v>-1.6242692454827445</v>
      </c>
      <c r="I250" s="29">
        <f t="shared" si="48"/>
        <v>-1.2690182150725786</v>
      </c>
      <c r="K250" s="1" t="str">
        <f t="shared" si="52"/>
        <v>4.0317105721069,-0.777145961456971</v>
      </c>
      <c r="L250" s="1" t="str">
        <f t="shared" si="53"/>
        <v>4.0317105721069,-0.629320391049837</v>
      </c>
      <c r="M250" s="1" t="str">
        <f t="shared" si="54"/>
        <v>4.0317105721069,1.23489715653505</v>
      </c>
      <c r="N250" s="1" t="str">
        <f t="shared" si="49"/>
        <v>4.0317105721069,0.809784033195006</v>
      </c>
      <c r="O250" s="1" t="str">
        <f t="shared" si="49"/>
        <v>4.0317105721069,-1.58901572906575</v>
      </c>
      <c r="P250" s="1" t="str">
        <f t="shared" si="50"/>
        <v>4.0317105721069,-1.28675956589317</v>
      </c>
    </row>
    <row r="251" spans="2:16" x14ac:dyDescent="0.6">
      <c r="B251" s="25">
        <v>233</v>
      </c>
      <c r="C251" s="24">
        <f t="shared" si="51"/>
        <v>4.066617157146788</v>
      </c>
      <c r="D251" s="24">
        <f t="shared" si="43"/>
        <v>-0.79863551004729283</v>
      </c>
      <c r="E251" s="24">
        <f t="shared" si="44"/>
        <v>-0.60181502315204827</v>
      </c>
      <c r="F251" s="24">
        <f t="shared" si="45"/>
        <v>1.32704482162041</v>
      </c>
      <c r="G251" s="24">
        <f t="shared" si="46"/>
        <v>0.75355405010279419</v>
      </c>
      <c r="H251" s="24">
        <f t="shared" si="47"/>
        <v>-1.6616401411224833</v>
      </c>
      <c r="I251" s="29">
        <f t="shared" si="48"/>
        <v>-1.2521356581562257</v>
      </c>
      <c r="K251" s="1" t="str">
        <f t="shared" si="52"/>
        <v>4.04916386462684,-0.788010753606722</v>
      </c>
      <c r="L251" s="1" t="str">
        <f t="shared" si="53"/>
        <v>4.04916386462684,-0.615661475325658</v>
      </c>
      <c r="M251" s="1" t="str">
        <f t="shared" si="54"/>
        <v>4.04916386462684,1.27994163219308</v>
      </c>
      <c r="N251" s="1" t="str">
        <f t="shared" si="49"/>
        <v>4.04916386462684,0.781285626506717</v>
      </c>
      <c r="O251" s="1" t="str">
        <f t="shared" si="49"/>
        <v>4.04916386462684,-1.62426924548274</v>
      </c>
      <c r="P251" s="1" t="str">
        <f t="shared" si="50"/>
        <v>4.04916386462684,-1.26901821507258</v>
      </c>
    </row>
    <row r="252" spans="2:16" x14ac:dyDescent="0.6">
      <c r="B252" s="25">
        <v>234</v>
      </c>
      <c r="C252" s="24">
        <f t="shared" si="51"/>
        <v>4.0840704496667311</v>
      </c>
      <c r="D252" s="24">
        <f t="shared" si="43"/>
        <v>-0.80901699437494734</v>
      </c>
      <c r="E252" s="24">
        <f t="shared" si="44"/>
        <v>-0.58778525229247325</v>
      </c>
      <c r="F252" s="24">
        <f t="shared" si="45"/>
        <v>1.3763819204711731</v>
      </c>
      <c r="G252" s="24">
        <f t="shared" si="46"/>
        <v>0.72654252800536112</v>
      </c>
      <c r="H252" s="24">
        <f t="shared" si="47"/>
        <v>-1.7013016167040795</v>
      </c>
      <c r="I252" s="29">
        <f t="shared" si="48"/>
        <v>-1.2360679774997898</v>
      </c>
      <c r="K252" s="1" t="str">
        <f t="shared" si="52"/>
        <v>4.06661715714679,-0.798635510047293</v>
      </c>
      <c r="L252" s="1" t="str">
        <f t="shared" si="53"/>
        <v>4.06661715714679,-0.601815023152048</v>
      </c>
      <c r="M252" s="1" t="str">
        <f t="shared" si="54"/>
        <v>4.06661715714679,1.32704482162041</v>
      </c>
      <c r="N252" s="1" t="str">
        <f t="shared" si="49"/>
        <v>4.06661715714679,0.753554050102794</v>
      </c>
      <c r="O252" s="1" t="str">
        <f t="shared" si="49"/>
        <v>4.06661715714679,-1.66164014112248</v>
      </c>
      <c r="P252" s="1" t="str">
        <f t="shared" si="50"/>
        <v>4.06661715714679,-1.25213565815623</v>
      </c>
    </row>
    <row r="253" spans="2:16" x14ac:dyDescent="0.6">
      <c r="B253" s="25">
        <v>235</v>
      </c>
      <c r="C253" s="24">
        <f t="shared" si="51"/>
        <v>4.1015237421866741</v>
      </c>
      <c r="D253" s="24">
        <f t="shared" si="43"/>
        <v>-0.81915204428899158</v>
      </c>
      <c r="E253" s="24">
        <f t="shared" si="44"/>
        <v>-0.57357643635104638</v>
      </c>
      <c r="F253" s="24">
        <f t="shared" si="45"/>
        <v>1.4281480067421135</v>
      </c>
      <c r="G253" s="24">
        <f t="shared" si="46"/>
        <v>0.70020753820971027</v>
      </c>
      <c r="H253" s="24">
        <f t="shared" si="47"/>
        <v>-1.7434467956210971</v>
      </c>
      <c r="I253" s="29">
        <f t="shared" si="48"/>
        <v>-1.2207745887614563</v>
      </c>
      <c r="K253" s="1" t="str">
        <f t="shared" si="52"/>
        <v>4.08407044966673,-0.809016994374947</v>
      </c>
      <c r="L253" s="1" t="str">
        <f t="shared" si="53"/>
        <v>4.08407044966673,-0.587785252292473</v>
      </c>
      <c r="M253" s="1" t="str">
        <f t="shared" si="54"/>
        <v>4.08407044966673,1.37638192047117</v>
      </c>
      <c r="N253" s="1" t="str">
        <f t="shared" si="49"/>
        <v>4.08407044966673,0.726542528005361</v>
      </c>
      <c r="O253" s="1" t="str">
        <f t="shared" si="49"/>
        <v>4.08407044966673,-1.70130161670408</v>
      </c>
      <c r="P253" s="1" t="str">
        <f t="shared" si="50"/>
        <v>4.08407044966673,-1.23606797749979</v>
      </c>
    </row>
    <row r="254" spans="2:16" x14ac:dyDescent="0.6">
      <c r="B254" s="25">
        <v>236</v>
      </c>
      <c r="C254" s="24">
        <f t="shared" si="51"/>
        <v>4.1189770347066172</v>
      </c>
      <c r="D254" s="24">
        <f t="shared" si="43"/>
        <v>-0.8290375725550414</v>
      </c>
      <c r="E254" s="24">
        <f t="shared" si="44"/>
        <v>-0.55919290347074724</v>
      </c>
      <c r="F254" s="24">
        <f t="shared" si="45"/>
        <v>1.4825609685127386</v>
      </c>
      <c r="G254" s="24">
        <f t="shared" si="46"/>
        <v>0.67450851684242741</v>
      </c>
      <c r="H254" s="24">
        <f t="shared" si="47"/>
        <v>-1.7882916499713992</v>
      </c>
      <c r="I254" s="29">
        <f t="shared" si="48"/>
        <v>-1.2062179485039057</v>
      </c>
      <c r="K254" s="1" t="str">
        <f t="shared" si="52"/>
        <v>4.10152374218667,-0.819152044288992</v>
      </c>
      <c r="L254" s="1" t="str">
        <f t="shared" si="53"/>
        <v>4.10152374218667,-0.573576436351046</v>
      </c>
      <c r="M254" s="1" t="str">
        <f t="shared" si="54"/>
        <v>4.10152374218667,1.42814800674211</v>
      </c>
      <c r="N254" s="1" t="str">
        <f t="shared" si="49"/>
        <v>4.10152374218667,0.70020753820971</v>
      </c>
      <c r="O254" s="1" t="str">
        <f t="shared" si="49"/>
        <v>4.10152374218667,-1.7434467956211</v>
      </c>
      <c r="P254" s="1" t="str">
        <f t="shared" si="50"/>
        <v>4.10152374218667,-1.22077458876146</v>
      </c>
    </row>
    <row r="255" spans="2:16" x14ac:dyDescent="0.6">
      <c r="B255" s="25">
        <v>237</v>
      </c>
      <c r="C255" s="24">
        <f t="shared" si="51"/>
        <v>4.1364303272265612</v>
      </c>
      <c r="D255" s="24">
        <f t="shared" si="43"/>
        <v>-0.83867056794542405</v>
      </c>
      <c r="E255" s="24">
        <f t="shared" si="44"/>
        <v>-0.54463903501502697</v>
      </c>
      <c r="F255" s="24">
        <f t="shared" si="45"/>
        <v>1.5398649638145834</v>
      </c>
      <c r="G255" s="24">
        <f t="shared" si="46"/>
        <v>0.6494075931975104</v>
      </c>
      <c r="H255" s="24">
        <f t="shared" si="47"/>
        <v>-1.8360784587766634</v>
      </c>
      <c r="I255" s="29">
        <f t="shared" si="48"/>
        <v>-1.1923632928359473</v>
      </c>
      <c r="K255" s="1" t="str">
        <f t="shared" si="52"/>
        <v>4.11897703470662,-0.829037572555041</v>
      </c>
      <c r="L255" s="1" t="str">
        <f t="shared" si="53"/>
        <v>4.11897703470662,-0.559192903470747</v>
      </c>
      <c r="M255" s="1" t="str">
        <f t="shared" si="54"/>
        <v>4.11897703470662,1.48256096851274</v>
      </c>
      <c r="N255" s="1" t="str">
        <f t="shared" si="49"/>
        <v>4.11897703470662,0.674508516842427</v>
      </c>
      <c r="O255" s="1" t="str">
        <f t="shared" si="49"/>
        <v>4.11897703470662,-1.7882916499714</v>
      </c>
      <c r="P255" s="1" t="str">
        <f t="shared" si="50"/>
        <v>4.11897703470662,-1.20621794850391</v>
      </c>
    </row>
    <row r="256" spans="2:16" x14ac:dyDescent="0.6">
      <c r="B256" s="25">
        <v>238</v>
      </c>
      <c r="C256" s="24">
        <f t="shared" si="51"/>
        <v>4.1538836197465043</v>
      </c>
      <c r="D256" s="24">
        <f t="shared" si="43"/>
        <v>-0.84804809615642596</v>
      </c>
      <c r="E256" s="24">
        <f t="shared" si="44"/>
        <v>-0.52991926423320501</v>
      </c>
      <c r="F256" s="24">
        <f t="shared" si="45"/>
        <v>1.6003345290410502</v>
      </c>
      <c r="G256" s="24">
        <f t="shared" si="46"/>
        <v>0.62486935190932758</v>
      </c>
      <c r="H256" s="24">
        <f t="shared" si="47"/>
        <v>-1.887079914799858</v>
      </c>
      <c r="I256" s="29">
        <f t="shared" si="48"/>
        <v>-1.1791784033620965</v>
      </c>
      <c r="K256" s="1" t="str">
        <f t="shared" si="52"/>
        <v>4.13643032722656,-0.838670567945424</v>
      </c>
      <c r="L256" s="1" t="str">
        <f t="shared" si="53"/>
        <v>4.13643032722656,-0.544639035015027</v>
      </c>
      <c r="M256" s="1" t="str">
        <f t="shared" si="54"/>
        <v>4.13643032722656,1.53986496381458</v>
      </c>
      <c r="N256" s="1" t="str">
        <f t="shared" si="49"/>
        <v>4.13643032722656,0.64940759319751</v>
      </c>
      <c r="O256" s="1" t="str">
        <f t="shared" si="49"/>
        <v>4.13643032722656,-1.83607845877666</v>
      </c>
      <c r="P256" s="1" t="str">
        <f t="shared" si="50"/>
        <v>4.13643032722656,-1.19236329283595</v>
      </c>
    </row>
    <row r="257" spans="2:16" x14ac:dyDescent="0.6">
      <c r="B257" s="25">
        <v>239</v>
      </c>
      <c r="C257" s="24">
        <f t="shared" si="51"/>
        <v>4.1713369122664474</v>
      </c>
      <c r="D257" s="24">
        <f t="shared" si="43"/>
        <v>-0.85716730070211211</v>
      </c>
      <c r="E257" s="24">
        <f t="shared" si="44"/>
        <v>-0.51503807491005449</v>
      </c>
      <c r="F257" s="24">
        <f t="shared" si="45"/>
        <v>1.6642794823505169</v>
      </c>
      <c r="G257" s="24">
        <f t="shared" si="46"/>
        <v>0.60086061902756072</v>
      </c>
      <c r="H257" s="24">
        <f t="shared" si="47"/>
        <v>-1.9416040264103553</v>
      </c>
      <c r="I257" s="29">
        <f t="shared" si="48"/>
        <v>-1.1666333972153307</v>
      </c>
      <c r="K257" s="1" t="str">
        <f t="shared" si="52"/>
        <v>4.1538836197465,-0.848048096156426</v>
      </c>
      <c r="L257" s="1" t="str">
        <f t="shared" si="53"/>
        <v>4.1538836197465,-0.529919264233205</v>
      </c>
      <c r="M257" s="1" t="str">
        <f t="shared" si="54"/>
        <v>4.1538836197465,1.60033452904105</v>
      </c>
      <c r="N257" s="1" t="str">
        <f t="shared" si="49"/>
        <v>4.1538836197465,0.624869351909328</v>
      </c>
      <c r="O257" s="1" t="str">
        <f t="shared" si="49"/>
        <v>4.1538836197465,-1.88707991479986</v>
      </c>
      <c r="P257" s="1" t="str">
        <f t="shared" si="50"/>
        <v>4.1538836197465,-1.1791784033621</v>
      </c>
    </row>
    <row r="258" spans="2:16" x14ac:dyDescent="0.6">
      <c r="B258" s="25">
        <v>240</v>
      </c>
      <c r="C258" s="24">
        <f t="shared" si="51"/>
        <v>4.1887902047863905</v>
      </c>
      <c r="D258" s="24">
        <f t="shared" si="43"/>
        <v>-0.86602540378443837</v>
      </c>
      <c r="E258" s="24">
        <f t="shared" si="44"/>
        <v>-0.50000000000000044</v>
      </c>
      <c r="F258" s="24">
        <f t="shared" si="45"/>
        <v>1.7320508075688754</v>
      </c>
      <c r="G258" s="24">
        <f t="shared" si="46"/>
        <v>0.5773502691896264</v>
      </c>
      <c r="H258" s="24">
        <f t="shared" si="47"/>
        <v>-1.9999999999999982</v>
      </c>
      <c r="I258" s="29">
        <f t="shared" si="48"/>
        <v>-1.1547005383792519</v>
      </c>
      <c r="K258" s="1" t="str">
        <f t="shared" si="52"/>
        <v>4.17133691226645,-0.857167300702112</v>
      </c>
      <c r="L258" s="1" t="str">
        <f t="shared" si="53"/>
        <v>4.17133691226645,-0.515038074910054</v>
      </c>
      <c r="M258" s="1" t="str">
        <f t="shared" si="54"/>
        <v>4.17133691226645,1.66427948235052</v>
      </c>
      <c r="N258" s="1" t="str">
        <f t="shared" si="49"/>
        <v>4.17133691226645,0.600860619027561</v>
      </c>
      <c r="O258" s="1" t="str">
        <f t="shared" si="49"/>
        <v>4.17133691226645,-1.94160402641036</v>
      </c>
      <c r="P258" s="1" t="str">
        <f t="shared" si="50"/>
        <v>4.17133691226645,-1.16663339721533</v>
      </c>
    </row>
    <row r="259" spans="2:16" x14ac:dyDescent="0.6">
      <c r="B259" s="25">
        <v>241</v>
      </c>
      <c r="C259" s="24">
        <f t="shared" si="51"/>
        <v>4.2062434973063345</v>
      </c>
      <c r="D259" s="24">
        <f t="shared" si="43"/>
        <v>-0.87461970713939596</v>
      </c>
      <c r="E259" s="24">
        <f t="shared" si="44"/>
        <v>-0.48480962024633684</v>
      </c>
      <c r="F259" s="24">
        <f t="shared" si="45"/>
        <v>1.8040477552714249</v>
      </c>
      <c r="G259" s="24">
        <f t="shared" si="46"/>
        <v>0.55430905145276865</v>
      </c>
      <c r="H259" s="24">
        <f t="shared" si="47"/>
        <v>-2.0626653396273151</v>
      </c>
      <c r="I259" s="29">
        <f t="shared" si="48"/>
        <v>-1.1433540678733198</v>
      </c>
      <c r="K259" s="1" t="str">
        <f t="shared" si="52"/>
        <v>4.18879020478639,-0.866025403784438</v>
      </c>
      <c r="L259" s="1" t="str">
        <f t="shared" si="53"/>
        <v>4.18879020478639,-0.5</v>
      </c>
      <c r="M259" s="1" t="str">
        <f t="shared" si="54"/>
        <v>4.18879020478639,1.73205080756888</v>
      </c>
      <c r="N259" s="1" t="str">
        <f t="shared" si="49"/>
        <v>4.18879020478639,0.577350269189626</v>
      </c>
      <c r="O259" s="1" t="str">
        <f t="shared" si="49"/>
        <v>4.18879020478639,-2</v>
      </c>
      <c r="P259" s="1" t="str">
        <f t="shared" si="50"/>
        <v>4.18879020478639,-1.15470053837925</v>
      </c>
    </row>
    <row r="260" spans="2:16" x14ac:dyDescent="0.6">
      <c r="B260" s="25">
        <v>242</v>
      </c>
      <c r="C260" s="24">
        <f t="shared" si="51"/>
        <v>4.2236967898262776</v>
      </c>
      <c r="D260" s="24">
        <f t="shared" ref="D260:D323" si="55">IF(SIN(C260)&gt;$I$3,$I$3,(IF(SIN(C260)&lt;-$I$3,-$I$3,SIN(C260))))</f>
        <v>-0.88294759285892699</v>
      </c>
      <c r="E260" s="24">
        <f t="shared" ref="E260:E323" si="56">IF(COS(C260)&gt;$I$3,$I$3,(IF(COS(C260)&lt;-$I$3,-$I$3,COS(C260))))</f>
        <v>-0.46947156278589075</v>
      </c>
      <c r="F260" s="24">
        <f t="shared" ref="F260:F323" si="57">IF(TAN(C260)&gt;$I$3,$I$3,(IF(TAN(C260)&lt;-$I$3,-$I$3,TAN(C260))))</f>
        <v>1.8807264653463323</v>
      </c>
      <c r="G260" s="24">
        <f t="shared" ref="G260:G323" si="58">IF(_xlfn.COT(C260)&gt;$I$3,$I$3,(IF(_xlfn.COT(C260)&lt;-$I$3,-$I$3,_xlfn.COT(C260))))</f>
        <v>0.53170943166147866</v>
      </c>
      <c r="H260" s="24">
        <f t="shared" ref="H260:H323" si="59">IF(_xlfn.SEC(C260)&gt;$I$3,$I$3,(IF(_xlfn.SEC(C260)&lt;-$I$3,-$I$3,_xlfn.SEC(C260))))</f>
        <v>-2.1300544681895128</v>
      </c>
      <c r="I260" s="29">
        <f t="shared" ref="I260:I323" si="60">IF(_xlfn.CSC(C260)&gt;$I$3,$I$3,(IF(_xlfn.CSC(C260)&lt;-$I$3,-$I$3,_xlfn.CSC(C260))))</f>
        <v>-1.132570050689039</v>
      </c>
      <c r="K260" s="1" t="str">
        <f t="shared" si="52"/>
        <v>4.20624349730633,-0.874619707139396</v>
      </c>
      <c r="L260" s="1" t="str">
        <f t="shared" si="53"/>
        <v>4.20624349730633,-0.484809620246337</v>
      </c>
      <c r="M260" s="1" t="str">
        <f t="shared" si="54"/>
        <v>4.20624349730633,1.80404775527142</v>
      </c>
      <c r="N260" s="1" t="str">
        <f t="shared" si="49"/>
        <v>4.20624349730633,0.554309051452769</v>
      </c>
      <c r="O260" s="1" t="str">
        <f t="shared" ref="O260:P323" si="61">_xlfn.CONCAT($C259,",",H259)</f>
        <v>4.20624349730633,-2.06266533962732</v>
      </c>
      <c r="P260" s="1" t="str">
        <f t="shared" si="50"/>
        <v>4.20624349730633,-1.14335406787332</v>
      </c>
    </row>
    <row r="261" spans="2:16" x14ac:dyDescent="0.6">
      <c r="B261" s="25">
        <v>243</v>
      </c>
      <c r="C261" s="24">
        <f t="shared" si="51"/>
        <v>4.2411500823462207</v>
      </c>
      <c r="D261" s="24">
        <f t="shared" si="55"/>
        <v>-0.89100652418836779</v>
      </c>
      <c r="E261" s="24">
        <f t="shared" si="56"/>
        <v>-0.45399049973954692</v>
      </c>
      <c r="F261" s="24">
        <f t="shared" si="57"/>
        <v>1.9626105055051497</v>
      </c>
      <c r="G261" s="24">
        <f t="shared" si="58"/>
        <v>0.50952544949442902</v>
      </c>
      <c r="H261" s="24">
        <f t="shared" si="59"/>
        <v>-2.202689264585266</v>
      </c>
      <c r="I261" s="29">
        <f t="shared" si="60"/>
        <v>-1.1223262376343608</v>
      </c>
      <c r="K261" s="1" t="str">
        <f t="shared" si="52"/>
        <v>4.22369678982628,-0.882947592858927</v>
      </c>
      <c r="L261" s="1" t="str">
        <f t="shared" si="53"/>
        <v>4.22369678982628,-0.469471562785891</v>
      </c>
      <c r="M261" s="1" t="str">
        <f t="shared" si="54"/>
        <v>4.22369678982628,1.88072646534633</v>
      </c>
      <c r="N261" s="1" t="str">
        <f t="shared" ref="N261:P324" si="62">_xlfn.CONCAT($C260,",",G260)</f>
        <v>4.22369678982628,0.531709431661479</v>
      </c>
      <c r="O261" s="1" t="str">
        <f t="shared" si="61"/>
        <v>4.22369678982628,-2.13005446818951</v>
      </c>
      <c r="P261" s="1" t="str">
        <f t="shared" si="61"/>
        <v>4.22369678982628,-1.13257005068904</v>
      </c>
    </row>
    <row r="262" spans="2:16" x14ac:dyDescent="0.6">
      <c r="B262" s="25">
        <v>244</v>
      </c>
      <c r="C262" s="24">
        <f t="shared" si="51"/>
        <v>4.2586033748661638</v>
      </c>
      <c r="D262" s="24">
        <f t="shared" si="55"/>
        <v>-0.89879404629916682</v>
      </c>
      <c r="E262" s="24">
        <f t="shared" si="56"/>
        <v>-0.43837114678907774</v>
      </c>
      <c r="F262" s="24">
        <f t="shared" si="57"/>
        <v>2.0503038415792942</v>
      </c>
      <c r="G262" s="24">
        <f t="shared" si="58"/>
        <v>0.48773258856586188</v>
      </c>
      <c r="H262" s="24">
        <f t="shared" si="59"/>
        <v>-2.2811720327048577</v>
      </c>
      <c r="I262" s="29">
        <f t="shared" si="60"/>
        <v>-1.1126019404751892</v>
      </c>
      <c r="K262" s="1" t="str">
        <f t="shared" si="52"/>
        <v>4.24115008234622,-0.891006524188368</v>
      </c>
      <c r="L262" s="1" t="str">
        <f t="shared" si="53"/>
        <v>4.24115008234622,-0.453990499739547</v>
      </c>
      <c r="M262" s="1" t="str">
        <f t="shared" si="54"/>
        <v>4.24115008234622,1.96261050550515</v>
      </c>
      <c r="N262" s="1" t="str">
        <f t="shared" si="62"/>
        <v>4.24115008234622,0.509525449494429</v>
      </c>
      <c r="O262" s="1" t="str">
        <f t="shared" si="61"/>
        <v>4.24115008234622,-2.20268926458527</v>
      </c>
      <c r="P262" s="1" t="str">
        <f t="shared" si="61"/>
        <v>4.24115008234622,-1.12232623763436</v>
      </c>
    </row>
    <row r="263" spans="2:16" x14ac:dyDescent="0.6">
      <c r="B263" s="25">
        <v>245</v>
      </c>
      <c r="C263" s="24">
        <f t="shared" si="51"/>
        <v>4.2760566673861069</v>
      </c>
      <c r="D263" s="24">
        <f t="shared" si="55"/>
        <v>-0.90630778703664971</v>
      </c>
      <c r="E263" s="24">
        <f t="shared" si="56"/>
        <v>-0.42261826174069994</v>
      </c>
      <c r="F263" s="24">
        <f t="shared" si="57"/>
        <v>2.1445069205095555</v>
      </c>
      <c r="G263" s="24">
        <f t="shared" si="58"/>
        <v>0.46630765815499925</v>
      </c>
      <c r="H263" s="24">
        <f t="shared" si="59"/>
        <v>-2.3662015831524958</v>
      </c>
      <c r="I263" s="29">
        <f t="shared" si="60"/>
        <v>-1.1033779189624922</v>
      </c>
      <c r="K263" s="1" t="str">
        <f t="shared" si="52"/>
        <v>4.25860337486616,-0.898794046299167</v>
      </c>
      <c r="L263" s="1" t="str">
        <f t="shared" si="53"/>
        <v>4.25860337486616,-0.438371146789078</v>
      </c>
      <c r="M263" s="1" t="str">
        <f t="shared" si="54"/>
        <v>4.25860337486616,2.05030384157929</v>
      </c>
      <c r="N263" s="1" t="str">
        <f t="shared" si="62"/>
        <v>4.25860337486616,0.487732588565862</v>
      </c>
      <c r="O263" s="1" t="str">
        <f t="shared" si="61"/>
        <v>4.25860337486616,-2.28117203270486</v>
      </c>
      <c r="P263" s="1" t="str">
        <f t="shared" si="61"/>
        <v>4.25860337486616,-1.11260194047519</v>
      </c>
    </row>
    <row r="264" spans="2:16" x14ac:dyDescent="0.6">
      <c r="B264" s="25">
        <v>246</v>
      </c>
      <c r="C264" s="24">
        <f t="shared" si="51"/>
        <v>4.2935099599060509</v>
      </c>
      <c r="D264" s="24">
        <f t="shared" si="55"/>
        <v>-0.91354545764260098</v>
      </c>
      <c r="E264" s="24">
        <f t="shared" si="56"/>
        <v>-0.4067366430758001</v>
      </c>
      <c r="F264" s="24">
        <f t="shared" si="57"/>
        <v>2.2460367739042169</v>
      </c>
      <c r="G264" s="24">
        <f t="shared" si="58"/>
        <v>0.44522868530853599</v>
      </c>
      <c r="H264" s="24">
        <f t="shared" si="59"/>
        <v>-2.4585933355742386</v>
      </c>
      <c r="I264" s="29">
        <f t="shared" si="60"/>
        <v>-1.0946362785060466</v>
      </c>
      <c r="K264" s="1" t="str">
        <f t="shared" si="52"/>
        <v>4.27605666738611,-0.90630778703665</v>
      </c>
      <c r="L264" s="1" t="str">
        <f t="shared" si="53"/>
        <v>4.27605666738611,-0.4226182617407</v>
      </c>
      <c r="M264" s="1" t="str">
        <f t="shared" si="54"/>
        <v>4.27605666738611,2.14450692050956</v>
      </c>
      <c r="N264" s="1" t="str">
        <f t="shared" si="62"/>
        <v>4.27605666738611,0.466307658154999</v>
      </c>
      <c r="O264" s="1" t="str">
        <f t="shared" si="61"/>
        <v>4.27605666738611,-2.3662015831525</v>
      </c>
      <c r="P264" s="1" t="str">
        <f t="shared" si="61"/>
        <v>4.27605666738611,-1.10337791896249</v>
      </c>
    </row>
    <row r="265" spans="2:16" x14ac:dyDescent="0.6">
      <c r="B265" s="25">
        <v>247</v>
      </c>
      <c r="C265" s="24">
        <f t="shared" si="51"/>
        <v>4.310963252425994</v>
      </c>
      <c r="D265" s="24">
        <f t="shared" si="55"/>
        <v>-0.92050485345244026</v>
      </c>
      <c r="E265" s="24">
        <f t="shared" si="56"/>
        <v>-0.39073112848927383</v>
      </c>
      <c r="F265" s="24">
        <f t="shared" si="57"/>
        <v>2.3558523658237522</v>
      </c>
      <c r="G265" s="24">
        <f t="shared" si="58"/>
        <v>0.42447481620960487</v>
      </c>
      <c r="H265" s="24">
        <f t="shared" si="59"/>
        <v>-2.5593046652474518</v>
      </c>
      <c r="I265" s="29">
        <f t="shared" si="60"/>
        <v>-1.0863603774052963</v>
      </c>
      <c r="K265" s="1" t="str">
        <f t="shared" si="52"/>
        <v>4.29350995990605,-0.913545457642601</v>
      </c>
      <c r="L265" s="1" t="str">
        <f t="shared" si="53"/>
        <v>4.29350995990605,-0.4067366430758</v>
      </c>
      <c r="M265" s="1" t="str">
        <f t="shared" si="54"/>
        <v>4.29350995990605,2.24603677390422</v>
      </c>
      <c r="N265" s="1" t="str">
        <f t="shared" si="62"/>
        <v>4.29350995990605,0.445228685308536</v>
      </c>
      <c r="O265" s="1" t="str">
        <f t="shared" si="61"/>
        <v>4.29350995990605,-2.45859333557424</v>
      </c>
      <c r="P265" s="1" t="str">
        <f t="shared" si="61"/>
        <v>4.29350995990605,-1.09463627850605</v>
      </c>
    </row>
    <row r="266" spans="2:16" x14ac:dyDescent="0.6">
      <c r="B266" s="25">
        <v>248</v>
      </c>
      <c r="C266" s="24">
        <f t="shared" si="51"/>
        <v>4.3284165449459371</v>
      </c>
      <c r="D266" s="24">
        <f t="shared" si="55"/>
        <v>-0.92718385456678731</v>
      </c>
      <c r="E266" s="24">
        <f t="shared" si="56"/>
        <v>-0.37460659341591229</v>
      </c>
      <c r="F266" s="24">
        <f t="shared" si="57"/>
        <v>2.4750868534162938</v>
      </c>
      <c r="G266" s="24">
        <f t="shared" si="58"/>
        <v>0.40402622583515713</v>
      </c>
      <c r="H266" s="24">
        <f t="shared" si="59"/>
        <v>-2.6694671625540125</v>
      </c>
      <c r="I266" s="29">
        <f t="shared" si="60"/>
        <v>-1.0785347426775835</v>
      </c>
      <c r="K266" s="1" t="str">
        <f t="shared" si="52"/>
        <v>4.31096325242599,-0.92050485345244</v>
      </c>
      <c r="L266" s="1" t="str">
        <f t="shared" si="53"/>
        <v>4.31096325242599,-0.390731128489274</v>
      </c>
      <c r="M266" s="1" t="str">
        <f t="shared" si="54"/>
        <v>4.31096325242599,2.35585236582375</v>
      </c>
      <c r="N266" s="1" t="str">
        <f t="shared" si="62"/>
        <v>4.31096325242599,0.424474816209605</v>
      </c>
      <c r="O266" s="1" t="str">
        <f t="shared" si="61"/>
        <v>4.31096325242599,-2.55930466524745</v>
      </c>
      <c r="P266" s="1" t="str">
        <f t="shared" si="61"/>
        <v>4.31096325242599,-1.0863603774053</v>
      </c>
    </row>
    <row r="267" spans="2:16" x14ac:dyDescent="0.6">
      <c r="B267" s="25">
        <v>249</v>
      </c>
      <c r="C267" s="24">
        <f t="shared" si="51"/>
        <v>4.3458698374658802</v>
      </c>
      <c r="D267" s="24">
        <f t="shared" si="55"/>
        <v>-0.93358042649720163</v>
      </c>
      <c r="E267" s="24">
        <f t="shared" si="56"/>
        <v>-0.35836794954530071</v>
      </c>
      <c r="F267" s="24">
        <f t="shared" si="57"/>
        <v>2.6050890646937979</v>
      </c>
      <c r="G267" s="24">
        <f t="shared" si="58"/>
        <v>0.38386403503541633</v>
      </c>
      <c r="H267" s="24">
        <f t="shared" si="59"/>
        <v>-2.7904281096253323</v>
      </c>
      <c r="I267" s="29">
        <f t="shared" si="60"/>
        <v>-1.0711449936370292</v>
      </c>
      <c r="K267" s="1" t="str">
        <f t="shared" si="52"/>
        <v>4.32841654494594,-0.927183854566787</v>
      </c>
      <c r="L267" s="1" t="str">
        <f t="shared" si="53"/>
        <v>4.32841654494594,-0.374606593415912</v>
      </c>
      <c r="M267" s="1" t="str">
        <f t="shared" si="54"/>
        <v>4.32841654494594,2.47508685341629</v>
      </c>
      <c r="N267" s="1" t="str">
        <f t="shared" si="62"/>
        <v>4.32841654494594,0.404026225835157</v>
      </c>
      <c r="O267" s="1" t="str">
        <f t="shared" si="61"/>
        <v>4.32841654494594,-2.66946716255401</v>
      </c>
      <c r="P267" s="1" t="str">
        <f t="shared" si="61"/>
        <v>4.32841654494594,-1.07853474267758</v>
      </c>
    </row>
    <row r="268" spans="2:16" x14ac:dyDescent="0.6">
      <c r="B268" s="25">
        <v>250</v>
      </c>
      <c r="C268" s="24">
        <f t="shared" si="51"/>
        <v>4.3633231299858233</v>
      </c>
      <c r="D268" s="24">
        <f t="shared" si="55"/>
        <v>-0.93969262078590821</v>
      </c>
      <c r="E268" s="24">
        <f t="shared" si="56"/>
        <v>-0.34202014332566938</v>
      </c>
      <c r="F268" s="24">
        <f t="shared" si="57"/>
        <v>2.7474774194546168</v>
      </c>
      <c r="G268" s="24">
        <f t="shared" si="58"/>
        <v>0.36397023426620312</v>
      </c>
      <c r="H268" s="24">
        <f t="shared" si="59"/>
        <v>-2.9238044001630819</v>
      </c>
      <c r="I268" s="29">
        <f t="shared" si="60"/>
        <v>-1.0641777724759123</v>
      </c>
      <c r="K268" s="1" t="str">
        <f t="shared" si="52"/>
        <v>4.34586983746588,-0.933580426497202</v>
      </c>
      <c r="L268" s="1" t="str">
        <f t="shared" si="53"/>
        <v>4.34586983746588,-0.358367949545301</v>
      </c>
      <c r="M268" s="1" t="str">
        <f t="shared" si="54"/>
        <v>4.34586983746588,2.6050890646938</v>
      </c>
      <c r="N268" s="1" t="str">
        <f t="shared" si="62"/>
        <v>4.34586983746588,0.383864035035416</v>
      </c>
      <c r="O268" s="1" t="str">
        <f t="shared" si="61"/>
        <v>4.34586983746588,-2.79042810962533</v>
      </c>
      <c r="P268" s="1" t="str">
        <f t="shared" si="61"/>
        <v>4.34586983746588,-1.07114499363703</v>
      </c>
    </row>
    <row r="269" spans="2:16" x14ac:dyDescent="0.6">
      <c r="B269" s="25">
        <v>251</v>
      </c>
      <c r="C269" s="24">
        <f t="shared" si="51"/>
        <v>4.3807764225057673</v>
      </c>
      <c r="D269" s="24">
        <f t="shared" si="55"/>
        <v>-0.94551857559931685</v>
      </c>
      <c r="E269" s="24">
        <f t="shared" si="56"/>
        <v>-0.32556815445715664</v>
      </c>
      <c r="F269" s="24">
        <f t="shared" si="57"/>
        <v>2.9042108776758231</v>
      </c>
      <c r="G269" s="24">
        <f t="shared" si="58"/>
        <v>0.34432761328966521</v>
      </c>
      <c r="H269" s="24">
        <f t="shared" si="59"/>
        <v>-3.0715534867572427</v>
      </c>
      <c r="I269" s="29">
        <f t="shared" si="60"/>
        <v>-1.0576206811866706</v>
      </c>
      <c r="K269" s="1" t="str">
        <f t="shared" si="52"/>
        <v>4.36332312998582,-0.939692620785908</v>
      </c>
      <c r="L269" s="1" t="str">
        <f t="shared" si="53"/>
        <v>4.36332312998582,-0.342020143325669</v>
      </c>
      <c r="M269" s="1" t="str">
        <f t="shared" si="54"/>
        <v>4.36332312998582,2.74747741945462</v>
      </c>
      <c r="N269" s="1" t="str">
        <f t="shared" si="62"/>
        <v>4.36332312998582,0.363970234266203</v>
      </c>
      <c r="O269" s="1" t="str">
        <f t="shared" si="61"/>
        <v>4.36332312998582,-2.92380440016308</v>
      </c>
      <c r="P269" s="1" t="str">
        <f t="shared" si="61"/>
        <v>4.36332312998582,-1.06417777247591</v>
      </c>
    </row>
    <row r="270" spans="2:16" x14ac:dyDescent="0.6">
      <c r="B270" s="25">
        <v>252</v>
      </c>
      <c r="C270" s="24">
        <f t="shared" si="51"/>
        <v>4.3982297150257104</v>
      </c>
      <c r="D270" s="24">
        <f t="shared" si="55"/>
        <v>-0.95105651629515353</v>
      </c>
      <c r="E270" s="24">
        <f t="shared" si="56"/>
        <v>-0.30901699437494756</v>
      </c>
      <c r="F270" s="24">
        <f t="shared" si="57"/>
        <v>3.0776835371752518</v>
      </c>
      <c r="G270" s="24">
        <f t="shared" si="58"/>
        <v>0.32491969623290651</v>
      </c>
      <c r="H270" s="24">
        <f t="shared" si="59"/>
        <v>-3.236067977499788</v>
      </c>
      <c r="I270" s="29">
        <f t="shared" si="60"/>
        <v>-1.0514622242382672</v>
      </c>
      <c r="K270" s="1" t="str">
        <f t="shared" si="52"/>
        <v>4.38077642250577,-0.945518575599317</v>
      </c>
      <c r="L270" s="1" t="str">
        <f t="shared" si="53"/>
        <v>4.38077642250577,-0.325568154457157</v>
      </c>
      <c r="M270" s="1" t="str">
        <f t="shared" si="54"/>
        <v>4.38077642250577,2.90421087767582</v>
      </c>
      <c r="N270" s="1" t="str">
        <f t="shared" si="62"/>
        <v>4.38077642250577,0.344327613289665</v>
      </c>
      <c r="O270" s="1" t="str">
        <f t="shared" si="61"/>
        <v>4.38077642250577,-3.07155348675724</v>
      </c>
      <c r="P270" s="1" t="str">
        <f t="shared" si="61"/>
        <v>4.38077642250577,-1.05762068118667</v>
      </c>
    </row>
    <row r="271" spans="2:16" x14ac:dyDescent="0.6">
      <c r="B271" s="25">
        <v>253</v>
      </c>
      <c r="C271" s="24">
        <f t="shared" si="51"/>
        <v>4.4156830075456535</v>
      </c>
      <c r="D271" s="24">
        <f t="shared" si="55"/>
        <v>-0.95630475596303532</v>
      </c>
      <c r="E271" s="24">
        <f t="shared" si="56"/>
        <v>-0.2923717047227371</v>
      </c>
      <c r="F271" s="24">
        <f t="shared" si="57"/>
        <v>3.2708526184841364</v>
      </c>
      <c r="G271" s="24">
        <f t="shared" si="58"/>
        <v>0.30573068145866078</v>
      </c>
      <c r="H271" s="24">
        <f t="shared" si="59"/>
        <v>-3.4203036198332644</v>
      </c>
      <c r="I271" s="29">
        <f t="shared" si="60"/>
        <v>-1.0456917564871482</v>
      </c>
      <c r="K271" s="1" t="str">
        <f t="shared" si="52"/>
        <v>4.39822971502571,-0.951056516295154</v>
      </c>
      <c r="L271" s="1" t="str">
        <f t="shared" si="53"/>
        <v>4.39822971502571,-0.309016994374948</v>
      </c>
      <c r="M271" s="1" t="str">
        <f t="shared" si="54"/>
        <v>4.39822971502571,3.07768353717525</v>
      </c>
      <c r="N271" s="1" t="str">
        <f t="shared" si="62"/>
        <v>4.39822971502571,0.324919696232907</v>
      </c>
      <c r="O271" s="1" t="str">
        <f t="shared" si="61"/>
        <v>4.39822971502571,-3.23606797749979</v>
      </c>
      <c r="P271" s="1" t="str">
        <f t="shared" si="61"/>
        <v>4.39822971502571,-1.05146222423827</v>
      </c>
    </row>
    <row r="272" spans="2:16" x14ac:dyDescent="0.6">
      <c r="B272" s="25">
        <v>254</v>
      </c>
      <c r="C272" s="24">
        <f t="shared" si="51"/>
        <v>4.4331363000655974</v>
      </c>
      <c r="D272" s="24">
        <f t="shared" si="55"/>
        <v>-0.96126169593831901</v>
      </c>
      <c r="E272" s="24">
        <f t="shared" si="56"/>
        <v>-0.27563735581699889</v>
      </c>
      <c r="F272" s="24">
        <f t="shared" si="57"/>
        <v>3.4874144438409127</v>
      </c>
      <c r="G272" s="24">
        <f t="shared" si="58"/>
        <v>0.28674538575880759</v>
      </c>
      <c r="H272" s="24">
        <f t="shared" si="59"/>
        <v>-3.627955278543304</v>
      </c>
      <c r="I272" s="29">
        <f t="shared" si="60"/>
        <v>-1.040299435861602</v>
      </c>
      <c r="K272" s="1" t="str">
        <f t="shared" si="52"/>
        <v>4.41568300754565,-0.956304755963035</v>
      </c>
      <c r="L272" s="1" t="str">
        <f t="shared" si="53"/>
        <v>4.41568300754565,-0.292371704722737</v>
      </c>
      <c r="M272" s="1" t="str">
        <f t="shared" si="54"/>
        <v>4.41568300754565,3.27085261848414</v>
      </c>
      <c r="N272" s="1" t="str">
        <f t="shared" si="62"/>
        <v>4.41568300754565,0.305730681458661</v>
      </c>
      <c r="O272" s="1" t="str">
        <f t="shared" si="61"/>
        <v>4.41568300754565,-3.42030361983326</v>
      </c>
      <c r="P272" s="1" t="str">
        <f t="shared" si="61"/>
        <v>4.41568300754565,-1.04569175648715</v>
      </c>
    </row>
    <row r="273" spans="2:16" x14ac:dyDescent="0.6">
      <c r="B273" s="25">
        <v>255</v>
      </c>
      <c r="C273" s="24">
        <f t="shared" si="51"/>
        <v>4.4505895925855405</v>
      </c>
      <c r="D273" s="24">
        <f t="shared" si="55"/>
        <v>-0.96592582628906831</v>
      </c>
      <c r="E273" s="24">
        <f t="shared" si="56"/>
        <v>-0.25881904510252063</v>
      </c>
      <c r="F273" s="24">
        <f t="shared" si="57"/>
        <v>3.732050807568879</v>
      </c>
      <c r="G273" s="24">
        <f t="shared" si="58"/>
        <v>0.26794919243112258</v>
      </c>
      <c r="H273" s="24">
        <f t="shared" si="59"/>
        <v>-3.863703305156275</v>
      </c>
      <c r="I273" s="29">
        <f t="shared" si="60"/>
        <v>-1.035276180410083</v>
      </c>
      <c r="K273" s="1" t="str">
        <f t="shared" si="52"/>
        <v>4.4331363000656,-0.961261695938319</v>
      </c>
      <c r="L273" s="1" t="str">
        <f t="shared" si="53"/>
        <v>4.4331363000656,-0.275637355816999</v>
      </c>
      <c r="M273" s="1" t="str">
        <f t="shared" si="54"/>
        <v>4.4331363000656,3.48741444384091</v>
      </c>
      <c r="N273" s="1" t="str">
        <f t="shared" si="62"/>
        <v>4.4331363000656,0.286745385758808</v>
      </c>
      <c r="O273" s="1" t="str">
        <f t="shared" si="61"/>
        <v>4.4331363000656,-3.6279552785433</v>
      </c>
      <c r="P273" s="1" t="str">
        <f t="shared" si="61"/>
        <v>4.4331363000656,-1.0402994358616</v>
      </c>
    </row>
    <row r="274" spans="2:16" x14ac:dyDescent="0.6">
      <c r="B274" s="25">
        <v>256</v>
      </c>
      <c r="C274" s="24">
        <f t="shared" si="51"/>
        <v>4.4680428851054836</v>
      </c>
      <c r="D274" s="24">
        <f t="shared" si="55"/>
        <v>-0.97029572627599647</v>
      </c>
      <c r="E274" s="24">
        <f t="shared" si="56"/>
        <v>-0.24192189559966779</v>
      </c>
      <c r="F274" s="24">
        <f t="shared" si="57"/>
        <v>4.0107809335358438</v>
      </c>
      <c r="G274" s="24">
        <f t="shared" si="58"/>
        <v>0.24932800284318074</v>
      </c>
      <c r="H274" s="24">
        <f t="shared" si="59"/>
        <v>-4.1335654944387485</v>
      </c>
      <c r="I274" s="29">
        <f t="shared" si="60"/>
        <v>-1.0306136293498982</v>
      </c>
      <c r="K274" s="1" t="str">
        <f t="shared" si="52"/>
        <v>4.45058959258554,-0.965925826289068</v>
      </c>
      <c r="L274" s="1" t="str">
        <f t="shared" si="53"/>
        <v>4.45058959258554,-0.258819045102521</v>
      </c>
      <c r="M274" s="1" t="str">
        <f t="shared" si="54"/>
        <v>4.45058959258554,3.73205080756888</v>
      </c>
      <c r="N274" s="1" t="str">
        <f t="shared" si="62"/>
        <v>4.45058959258554,0.267949192431123</v>
      </c>
      <c r="O274" s="1" t="str">
        <f t="shared" si="61"/>
        <v>4.45058959258554,-3.86370330515628</v>
      </c>
      <c r="P274" s="1" t="str">
        <f t="shared" si="61"/>
        <v>4.45058959258554,-1.03527618041008</v>
      </c>
    </row>
    <row r="275" spans="2:16" x14ac:dyDescent="0.6">
      <c r="B275" s="25">
        <v>257</v>
      </c>
      <c r="C275" s="24">
        <f t="shared" ref="C275:C338" si="63">B275*PI()/180</f>
        <v>4.4854961776254267</v>
      </c>
      <c r="D275" s="24">
        <f t="shared" si="55"/>
        <v>-0.97437006478523513</v>
      </c>
      <c r="E275" s="24">
        <f t="shared" si="56"/>
        <v>-0.22495105434386525</v>
      </c>
      <c r="F275" s="24">
        <f t="shared" si="57"/>
        <v>4.3314758742841502</v>
      </c>
      <c r="G275" s="24">
        <f t="shared" si="58"/>
        <v>0.23086819112556339</v>
      </c>
      <c r="H275" s="24">
        <f t="shared" si="59"/>
        <v>-4.4454114825857962</v>
      </c>
      <c r="I275" s="29">
        <f t="shared" si="60"/>
        <v>-1.0263041077933917</v>
      </c>
      <c r="K275" s="1" t="str">
        <f t="shared" si="52"/>
        <v>4.46804288510548,-0.970295726275996</v>
      </c>
      <c r="L275" s="1" t="str">
        <f t="shared" si="53"/>
        <v>4.46804288510548,-0.241921895599668</v>
      </c>
      <c r="M275" s="1" t="str">
        <f t="shared" si="54"/>
        <v>4.46804288510548,4.01078093353584</v>
      </c>
      <c r="N275" s="1" t="str">
        <f t="shared" si="62"/>
        <v>4.46804288510548,0.249328002843181</v>
      </c>
      <c r="O275" s="1" t="str">
        <f t="shared" si="61"/>
        <v>4.46804288510548,-4.13356549443875</v>
      </c>
      <c r="P275" s="1" t="str">
        <f t="shared" si="61"/>
        <v>4.46804288510548,-1.0306136293499</v>
      </c>
    </row>
    <row r="276" spans="2:16" x14ac:dyDescent="0.6">
      <c r="B276" s="25">
        <v>258</v>
      </c>
      <c r="C276" s="24">
        <f t="shared" si="63"/>
        <v>4.5029494701453698</v>
      </c>
      <c r="D276" s="24">
        <f t="shared" si="55"/>
        <v>-0.97814760073380558</v>
      </c>
      <c r="E276" s="24">
        <f t="shared" si="56"/>
        <v>-0.20791169081775979</v>
      </c>
      <c r="F276" s="24">
        <f t="shared" si="57"/>
        <v>4.7046301094784431</v>
      </c>
      <c r="G276" s="24">
        <f t="shared" si="58"/>
        <v>0.21255656167002263</v>
      </c>
      <c r="H276" s="24">
        <f t="shared" si="59"/>
        <v>-4.8097343447441201</v>
      </c>
      <c r="I276" s="29">
        <f t="shared" si="60"/>
        <v>-1.0223405948650293</v>
      </c>
      <c r="K276" s="1" t="str">
        <f t="shared" ref="K276:K339" si="64">_xlfn.CONCAT($C275,",",D275)</f>
        <v>4.48549617762543,-0.974370064785235</v>
      </c>
      <c r="L276" s="1" t="str">
        <f t="shared" ref="L276:L339" si="65">_xlfn.CONCAT($C275,",",E275)</f>
        <v>4.48549617762543,-0.224951054343865</v>
      </c>
      <c r="M276" s="1" t="str">
        <f t="shared" ref="M276:M339" si="66">_xlfn.CONCAT($C275,",",F275)</f>
        <v>4.48549617762543,4.33147587428415</v>
      </c>
      <c r="N276" s="1" t="str">
        <f t="shared" si="62"/>
        <v>4.48549617762543,0.230868191125563</v>
      </c>
      <c r="O276" s="1" t="str">
        <f t="shared" si="61"/>
        <v>4.48549617762543,-4.4454114825858</v>
      </c>
      <c r="P276" s="1" t="str">
        <f t="shared" si="61"/>
        <v>4.48549617762543,-1.02630410779339</v>
      </c>
    </row>
    <row r="277" spans="2:16" x14ac:dyDescent="0.6">
      <c r="B277" s="25">
        <v>259</v>
      </c>
      <c r="C277" s="24">
        <f t="shared" si="63"/>
        <v>4.5204027626653129</v>
      </c>
      <c r="D277" s="24">
        <f t="shared" si="55"/>
        <v>-0.98162718344766386</v>
      </c>
      <c r="E277" s="24">
        <f t="shared" si="56"/>
        <v>-0.19080899537654547</v>
      </c>
      <c r="F277" s="24">
        <f t="shared" si="57"/>
        <v>5.144554015970292</v>
      </c>
      <c r="G277" s="24">
        <f t="shared" si="58"/>
        <v>0.19438030913771917</v>
      </c>
      <c r="H277" s="24">
        <f t="shared" si="59"/>
        <v>-5.240843064167831</v>
      </c>
      <c r="I277" s="29">
        <f t="shared" si="60"/>
        <v>-1.0187166949552142</v>
      </c>
      <c r="K277" s="1" t="str">
        <f t="shared" si="64"/>
        <v>4.50294947014537,-0.978147600733806</v>
      </c>
      <c r="L277" s="1" t="str">
        <f t="shared" si="65"/>
        <v>4.50294947014537,-0.20791169081776</v>
      </c>
      <c r="M277" s="1" t="str">
        <f t="shared" si="66"/>
        <v>4.50294947014537,4.70463010947844</v>
      </c>
      <c r="N277" s="1" t="str">
        <f t="shared" si="62"/>
        <v>4.50294947014537,0.212556561670023</v>
      </c>
      <c r="O277" s="1" t="str">
        <f t="shared" si="61"/>
        <v>4.50294947014537,-4.80973434474412</v>
      </c>
      <c r="P277" s="1" t="str">
        <f t="shared" si="61"/>
        <v>4.50294947014537,-1.02234059486503</v>
      </c>
    </row>
    <row r="278" spans="2:16" x14ac:dyDescent="0.6">
      <c r="B278" s="25">
        <v>260</v>
      </c>
      <c r="C278" s="24">
        <f t="shared" si="63"/>
        <v>4.5378560551852569</v>
      </c>
      <c r="D278" s="24">
        <f t="shared" si="55"/>
        <v>-0.98480775301220802</v>
      </c>
      <c r="E278" s="24">
        <f t="shared" si="56"/>
        <v>-0.17364817766693033</v>
      </c>
      <c r="F278" s="24">
        <f t="shared" si="57"/>
        <v>5.6712818196177102</v>
      </c>
      <c r="G278" s="24">
        <f t="shared" si="58"/>
        <v>0.17632698070846495</v>
      </c>
      <c r="H278" s="24">
        <f t="shared" si="59"/>
        <v>-5.7587704831436337</v>
      </c>
      <c r="I278" s="29">
        <f t="shared" si="60"/>
        <v>-1.0154266118857451</v>
      </c>
      <c r="K278" s="1" t="str">
        <f t="shared" si="64"/>
        <v>4.52040276266531,-0.981627183447664</v>
      </c>
      <c r="L278" s="1" t="str">
        <f t="shared" si="65"/>
        <v>4.52040276266531,-0.190808995376545</v>
      </c>
      <c r="M278" s="1" t="str">
        <f t="shared" si="66"/>
        <v>4.52040276266531,5.14455401597029</v>
      </c>
      <c r="N278" s="1" t="str">
        <f t="shared" si="62"/>
        <v>4.52040276266531,0.194380309137719</v>
      </c>
      <c r="O278" s="1" t="str">
        <f t="shared" si="61"/>
        <v>4.52040276266531,-5.24084306416783</v>
      </c>
      <c r="P278" s="1" t="str">
        <f t="shared" si="61"/>
        <v>4.52040276266531,-1.01871669495521</v>
      </c>
    </row>
    <row r="279" spans="2:16" x14ac:dyDescent="0.6">
      <c r="B279" s="25">
        <v>261</v>
      </c>
      <c r="C279" s="24">
        <f t="shared" si="63"/>
        <v>4.5553093477052</v>
      </c>
      <c r="D279" s="24">
        <f t="shared" si="55"/>
        <v>-0.98768834059513766</v>
      </c>
      <c r="E279" s="24">
        <f t="shared" si="56"/>
        <v>-0.15643446504023104</v>
      </c>
      <c r="F279" s="24">
        <f t="shared" si="57"/>
        <v>6.3137515146750358</v>
      </c>
      <c r="G279" s="24">
        <f t="shared" si="58"/>
        <v>0.15838444032453647</v>
      </c>
      <c r="H279" s="24">
        <f t="shared" si="59"/>
        <v>-6.3924532214996548</v>
      </c>
      <c r="I279" s="29">
        <f t="shared" si="60"/>
        <v>-1.0124651257880031</v>
      </c>
      <c r="K279" s="1" t="str">
        <f t="shared" si="64"/>
        <v>4.53785605518526,-0.984807753012208</v>
      </c>
      <c r="L279" s="1" t="str">
        <f t="shared" si="65"/>
        <v>4.53785605518526,-0.17364817766693</v>
      </c>
      <c r="M279" s="1" t="str">
        <f t="shared" si="66"/>
        <v>4.53785605518526,5.67128181961771</v>
      </c>
      <c r="N279" s="1" t="str">
        <f t="shared" si="62"/>
        <v>4.53785605518526,0.176326980708465</v>
      </c>
      <c r="O279" s="1" t="str">
        <f t="shared" si="61"/>
        <v>4.53785605518526,-5.75877048314363</v>
      </c>
      <c r="P279" s="1" t="str">
        <f t="shared" si="61"/>
        <v>4.53785605518526,-1.01542661188575</v>
      </c>
    </row>
    <row r="280" spans="2:16" x14ac:dyDescent="0.6">
      <c r="B280" s="25">
        <v>262</v>
      </c>
      <c r="C280" s="24">
        <f t="shared" si="63"/>
        <v>4.572762640225144</v>
      </c>
      <c r="D280" s="24">
        <f t="shared" si="55"/>
        <v>-0.99026806874157036</v>
      </c>
      <c r="E280" s="24">
        <f t="shared" si="56"/>
        <v>-0.13917310096006494</v>
      </c>
      <c r="F280" s="24">
        <f t="shared" si="57"/>
        <v>7.1153697223842354</v>
      </c>
      <c r="G280" s="24">
        <f t="shared" si="58"/>
        <v>0.14054083470239093</v>
      </c>
      <c r="H280" s="24">
        <f t="shared" si="59"/>
        <v>-7.1852965343277448</v>
      </c>
      <c r="I280" s="29">
        <f t="shared" si="60"/>
        <v>-1.0098275725186181</v>
      </c>
      <c r="K280" s="1" t="str">
        <f t="shared" si="64"/>
        <v>4.5553093477052,-0.987688340595138</v>
      </c>
      <c r="L280" s="1" t="str">
        <f t="shared" si="65"/>
        <v>4.5553093477052,-0.156434465040231</v>
      </c>
      <c r="M280" s="1" t="str">
        <f t="shared" si="66"/>
        <v>4.5553093477052,6.31375151467504</v>
      </c>
      <c r="N280" s="1" t="str">
        <f t="shared" si="62"/>
        <v>4.5553093477052,0.158384440324536</v>
      </c>
      <c r="O280" s="1" t="str">
        <f t="shared" si="61"/>
        <v>4.5553093477052,-6.39245322149965</v>
      </c>
      <c r="P280" s="1" t="str">
        <f t="shared" si="61"/>
        <v>4.5553093477052,-1.012465125788</v>
      </c>
    </row>
    <row r="281" spans="2:16" x14ac:dyDescent="0.6">
      <c r="B281" s="25">
        <v>263</v>
      </c>
      <c r="C281" s="24">
        <f t="shared" si="63"/>
        <v>4.5902159327450871</v>
      </c>
      <c r="D281" s="24">
        <f t="shared" si="55"/>
        <v>-0.99254615164132209</v>
      </c>
      <c r="E281" s="24">
        <f t="shared" si="56"/>
        <v>-0.12186934340514717</v>
      </c>
      <c r="F281" s="24">
        <f t="shared" si="57"/>
        <v>8.1443464279746145</v>
      </c>
      <c r="G281" s="24">
        <f t="shared" si="58"/>
        <v>0.12278456090290428</v>
      </c>
      <c r="H281" s="24">
        <f t="shared" si="59"/>
        <v>-8.2055090481250996</v>
      </c>
      <c r="I281" s="29">
        <f t="shared" si="60"/>
        <v>-1.0075098254588484</v>
      </c>
      <c r="K281" s="1" t="str">
        <f t="shared" si="64"/>
        <v>4.57276264022514,-0.99026806874157</v>
      </c>
      <c r="L281" s="1" t="str">
        <f t="shared" si="65"/>
        <v>4.57276264022514,-0.139173100960065</v>
      </c>
      <c r="M281" s="1" t="str">
        <f t="shared" si="66"/>
        <v>4.57276264022514,7.11536972238424</v>
      </c>
      <c r="N281" s="1" t="str">
        <f t="shared" si="62"/>
        <v>4.57276264022514,0.140540834702391</v>
      </c>
      <c r="O281" s="1" t="str">
        <f t="shared" si="61"/>
        <v>4.57276264022514,-7.18529653432774</v>
      </c>
      <c r="P281" s="1" t="str">
        <f t="shared" si="61"/>
        <v>4.57276264022514,-1.00982757251862</v>
      </c>
    </row>
    <row r="282" spans="2:16" x14ac:dyDescent="0.6">
      <c r="B282" s="25">
        <v>264</v>
      </c>
      <c r="C282" s="24">
        <f t="shared" si="63"/>
        <v>4.6076692252650302</v>
      </c>
      <c r="D282" s="24">
        <f t="shared" si="55"/>
        <v>-0.9945218953682734</v>
      </c>
      <c r="E282" s="24">
        <f t="shared" si="56"/>
        <v>-0.10452846326765336</v>
      </c>
      <c r="F282" s="24">
        <f t="shared" si="57"/>
        <v>9.514364454222596</v>
      </c>
      <c r="G282" s="24">
        <f t="shared" si="58"/>
        <v>0.10510423526567635</v>
      </c>
      <c r="H282" s="24">
        <f t="shared" si="59"/>
        <v>-9.5667722335056364</v>
      </c>
      <c r="I282" s="29">
        <f t="shared" si="60"/>
        <v>-1.0055082795635164</v>
      </c>
      <c r="K282" s="1" t="str">
        <f t="shared" si="64"/>
        <v>4.59021593274509,-0.992546151641322</v>
      </c>
      <c r="L282" s="1" t="str">
        <f t="shared" si="65"/>
        <v>4.59021593274509,-0.121869343405147</v>
      </c>
      <c r="M282" s="1" t="str">
        <f t="shared" si="66"/>
        <v>4.59021593274509,8.14434642797461</v>
      </c>
      <c r="N282" s="1" t="str">
        <f t="shared" si="62"/>
        <v>4.59021593274509,0.122784560902904</v>
      </c>
      <c r="O282" s="1" t="str">
        <f t="shared" si="61"/>
        <v>4.59021593274509,-8.2055090481251</v>
      </c>
      <c r="P282" s="1" t="str">
        <f t="shared" si="61"/>
        <v>4.59021593274509,-1.00750982545885</v>
      </c>
    </row>
    <row r="283" spans="2:16" x14ac:dyDescent="0.6">
      <c r="B283" s="25">
        <v>265</v>
      </c>
      <c r="C283" s="24">
        <f t="shared" si="63"/>
        <v>4.6251225177849733</v>
      </c>
      <c r="D283" s="24">
        <f t="shared" si="55"/>
        <v>-0.99619469809174555</v>
      </c>
      <c r="E283" s="24">
        <f t="shared" si="56"/>
        <v>-8.7155742747658249E-2</v>
      </c>
      <c r="F283" s="24">
        <f t="shared" si="57"/>
        <v>11</v>
      </c>
      <c r="G283" s="24">
        <f t="shared" si="58"/>
        <v>8.748866352592409E-2</v>
      </c>
      <c r="H283" s="24">
        <f t="shared" si="59"/>
        <v>-11</v>
      </c>
      <c r="I283" s="29">
        <f t="shared" si="60"/>
        <v>-1.0038198375433474</v>
      </c>
      <c r="K283" s="1" t="str">
        <f t="shared" si="64"/>
        <v>4.60766922526503,-0.994521895368273</v>
      </c>
      <c r="L283" s="1" t="str">
        <f t="shared" si="65"/>
        <v>4.60766922526503,-0.104528463267653</v>
      </c>
      <c r="M283" s="1" t="str">
        <f t="shared" si="66"/>
        <v>4.60766922526503,9.5143644542226</v>
      </c>
      <c r="N283" s="1" t="str">
        <f t="shared" si="62"/>
        <v>4.60766922526503,0.105104235265676</v>
      </c>
      <c r="O283" s="1" t="str">
        <f t="shared" si="61"/>
        <v>4.60766922526503,-9.56677223350564</v>
      </c>
      <c r="P283" s="1" t="str">
        <f t="shared" si="61"/>
        <v>4.60766922526503,-1.00550827956352</v>
      </c>
    </row>
    <row r="284" spans="2:16" x14ac:dyDescent="0.6">
      <c r="B284" s="25">
        <v>266</v>
      </c>
      <c r="C284" s="24">
        <f t="shared" si="63"/>
        <v>4.6425758103049164</v>
      </c>
      <c r="D284" s="24">
        <f t="shared" si="55"/>
        <v>-0.9975640502598242</v>
      </c>
      <c r="E284" s="24">
        <f t="shared" si="56"/>
        <v>-6.975647374412558E-2</v>
      </c>
      <c r="F284" s="24">
        <f t="shared" si="57"/>
        <v>11</v>
      </c>
      <c r="G284" s="24">
        <f t="shared" si="58"/>
        <v>6.9926811943510692E-2</v>
      </c>
      <c r="H284" s="24">
        <f t="shared" si="59"/>
        <v>-11</v>
      </c>
      <c r="I284" s="29">
        <f t="shared" si="60"/>
        <v>-1.0024418980811722</v>
      </c>
      <c r="K284" s="1" t="str">
        <f t="shared" si="64"/>
        <v>4.62512251778497,-0.996194698091746</v>
      </c>
      <c r="L284" s="1" t="str">
        <f t="shared" si="65"/>
        <v>4.62512251778497,-0.0871557427476582</v>
      </c>
      <c r="M284" s="1" t="str">
        <f t="shared" si="66"/>
        <v>4.62512251778497,11</v>
      </c>
      <c r="N284" s="1" t="str">
        <f t="shared" si="62"/>
        <v>4.62512251778497,0.0874886635259241</v>
      </c>
      <c r="O284" s="1" t="str">
        <f t="shared" si="61"/>
        <v>4.62512251778497,-11</v>
      </c>
      <c r="P284" s="1" t="str">
        <f t="shared" si="61"/>
        <v>4.62512251778497,-1.00381983754335</v>
      </c>
    </row>
    <row r="285" spans="2:16" x14ac:dyDescent="0.6">
      <c r="B285" s="25">
        <v>267</v>
      </c>
      <c r="C285" s="24">
        <f t="shared" si="63"/>
        <v>4.6600291028248595</v>
      </c>
      <c r="D285" s="24">
        <f t="shared" si="55"/>
        <v>-0.99862953475457383</v>
      </c>
      <c r="E285" s="24">
        <f t="shared" si="56"/>
        <v>-5.2335956242944306E-2</v>
      </c>
      <c r="F285" s="24">
        <f t="shared" si="57"/>
        <v>11</v>
      </c>
      <c r="G285" s="24">
        <f t="shared" si="58"/>
        <v>5.2407779283041682E-2</v>
      </c>
      <c r="H285" s="24">
        <f t="shared" si="59"/>
        <v>-11</v>
      </c>
      <c r="I285" s="29">
        <f t="shared" si="60"/>
        <v>-1.0013723459979209</v>
      </c>
      <c r="K285" s="1" t="str">
        <f t="shared" si="64"/>
        <v>4.64257581030492,-0.997564050259824</v>
      </c>
      <c r="L285" s="1" t="str">
        <f t="shared" si="65"/>
        <v>4.64257581030492,-0.0697564737441256</v>
      </c>
      <c r="M285" s="1" t="str">
        <f t="shared" si="66"/>
        <v>4.64257581030492,11</v>
      </c>
      <c r="N285" s="1" t="str">
        <f t="shared" si="62"/>
        <v>4.64257581030492,0.0699268119435107</v>
      </c>
      <c r="O285" s="1" t="str">
        <f t="shared" si="61"/>
        <v>4.64257581030492,-11</v>
      </c>
      <c r="P285" s="1" t="str">
        <f t="shared" si="61"/>
        <v>4.64257581030492,-1.00244189808117</v>
      </c>
    </row>
    <row r="286" spans="2:16" x14ac:dyDescent="0.6">
      <c r="B286" s="25">
        <v>268</v>
      </c>
      <c r="C286" s="24">
        <f t="shared" si="63"/>
        <v>4.6774823953448026</v>
      </c>
      <c r="D286" s="24">
        <f t="shared" si="55"/>
        <v>-0.99939082701909565</v>
      </c>
      <c r="E286" s="24">
        <f t="shared" si="56"/>
        <v>-3.4899496702501649E-2</v>
      </c>
      <c r="F286" s="24">
        <f t="shared" si="57"/>
        <v>11</v>
      </c>
      <c r="G286" s="24">
        <f t="shared" si="58"/>
        <v>3.4920769491748403E-2</v>
      </c>
      <c r="H286" s="24">
        <f t="shared" si="59"/>
        <v>-11</v>
      </c>
      <c r="I286" s="29">
        <f t="shared" si="60"/>
        <v>-1.0006095442988219</v>
      </c>
      <c r="K286" s="1" t="str">
        <f t="shared" si="64"/>
        <v>4.66002910282486,-0.998629534754574</v>
      </c>
      <c r="L286" s="1" t="str">
        <f t="shared" si="65"/>
        <v>4.66002910282486,-0.0523359562429443</v>
      </c>
      <c r="M286" s="1" t="str">
        <f t="shared" si="66"/>
        <v>4.66002910282486,11</v>
      </c>
      <c r="N286" s="1" t="str">
        <f t="shared" si="62"/>
        <v>4.66002910282486,0.0524077792830417</v>
      </c>
      <c r="O286" s="1" t="str">
        <f t="shared" si="61"/>
        <v>4.66002910282486,-11</v>
      </c>
      <c r="P286" s="1" t="str">
        <f t="shared" si="61"/>
        <v>4.66002910282486,-1.00137234599792</v>
      </c>
    </row>
    <row r="287" spans="2:16" x14ac:dyDescent="0.6">
      <c r="B287" s="25">
        <v>269</v>
      </c>
      <c r="C287" s="24">
        <f t="shared" si="63"/>
        <v>4.6949356878647466</v>
      </c>
      <c r="D287" s="24">
        <f t="shared" si="55"/>
        <v>-0.99984769515639127</v>
      </c>
      <c r="E287" s="24">
        <f t="shared" si="56"/>
        <v>-1.7452406437283498E-2</v>
      </c>
      <c r="F287" s="24">
        <f t="shared" si="57"/>
        <v>11</v>
      </c>
      <c r="G287" s="24">
        <f t="shared" si="58"/>
        <v>1.7455064928217572E-2</v>
      </c>
      <c r="H287" s="24">
        <f t="shared" si="59"/>
        <v>-11</v>
      </c>
      <c r="I287" s="29">
        <f t="shared" si="60"/>
        <v>-1.0001523280439077</v>
      </c>
      <c r="K287" s="1" t="str">
        <f t="shared" si="64"/>
        <v>4.6774823953448,-0.999390827019096</v>
      </c>
      <c r="L287" s="1" t="str">
        <f t="shared" si="65"/>
        <v>4.6774823953448,-0.0348994967025016</v>
      </c>
      <c r="M287" s="1" t="str">
        <f t="shared" si="66"/>
        <v>4.6774823953448,11</v>
      </c>
      <c r="N287" s="1" t="str">
        <f t="shared" si="62"/>
        <v>4.6774823953448,0.0349207694917484</v>
      </c>
      <c r="O287" s="1" t="str">
        <f t="shared" si="61"/>
        <v>4.6774823953448,-11</v>
      </c>
      <c r="P287" s="1" t="str">
        <f t="shared" si="61"/>
        <v>4.6774823953448,-1.00060954429882</v>
      </c>
    </row>
    <row r="288" spans="2:16" x14ac:dyDescent="0.6">
      <c r="B288" s="25">
        <v>270</v>
      </c>
      <c r="C288" s="24">
        <f t="shared" si="63"/>
        <v>4.7123889803846897</v>
      </c>
      <c r="D288" s="24">
        <f t="shared" si="55"/>
        <v>-1</v>
      </c>
      <c r="E288" s="24">
        <f t="shared" si="56"/>
        <v>-1.83772268236293E-16</v>
      </c>
      <c r="F288" s="24">
        <f t="shared" si="57"/>
        <v>11</v>
      </c>
      <c r="G288" s="24">
        <f t="shared" si="58"/>
        <v>1.83772268236293E-16</v>
      </c>
      <c r="H288" s="24">
        <f t="shared" si="59"/>
        <v>-11</v>
      </c>
      <c r="I288" s="29">
        <f t="shared" si="60"/>
        <v>-1</v>
      </c>
      <c r="K288" s="1" t="str">
        <f t="shared" si="64"/>
        <v>4.69493568786475,-0.999847695156391</v>
      </c>
      <c r="L288" s="1" t="str">
        <f t="shared" si="65"/>
        <v>4.69493568786475,-0.0174524064372835</v>
      </c>
      <c r="M288" s="1" t="str">
        <f t="shared" si="66"/>
        <v>4.69493568786475,11</v>
      </c>
      <c r="N288" s="1" t="str">
        <f t="shared" si="62"/>
        <v>4.69493568786475,0.0174550649282176</v>
      </c>
      <c r="O288" s="1" t="str">
        <f t="shared" si="61"/>
        <v>4.69493568786475,-11</v>
      </c>
      <c r="P288" s="1" t="str">
        <f t="shared" si="61"/>
        <v>4.69493568786475,-1.00015232804391</v>
      </c>
    </row>
    <row r="289" spans="2:16" x14ac:dyDescent="0.6">
      <c r="B289" s="25">
        <v>271</v>
      </c>
      <c r="C289" s="24">
        <f t="shared" si="63"/>
        <v>4.7298422729046328</v>
      </c>
      <c r="D289" s="24">
        <f t="shared" si="55"/>
        <v>-0.99984769515639127</v>
      </c>
      <c r="E289" s="24">
        <f t="shared" si="56"/>
        <v>1.745240643728313E-2</v>
      </c>
      <c r="F289" s="24">
        <f t="shared" si="57"/>
        <v>-11</v>
      </c>
      <c r="G289" s="24">
        <f t="shared" si="58"/>
        <v>-1.7455064928217204E-2</v>
      </c>
      <c r="H289" s="24">
        <f t="shared" si="59"/>
        <v>11</v>
      </c>
      <c r="I289" s="29">
        <f t="shared" si="60"/>
        <v>-1.0001523280439077</v>
      </c>
      <c r="K289" s="1" t="str">
        <f t="shared" si="64"/>
        <v>4.71238898038469,-1</v>
      </c>
      <c r="L289" s="1" t="str">
        <f t="shared" si="65"/>
        <v>4.71238898038469,-1.83772268236293E-16</v>
      </c>
      <c r="M289" s="1" t="str">
        <f t="shared" si="66"/>
        <v>4.71238898038469,11</v>
      </c>
      <c r="N289" s="1" t="str">
        <f t="shared" si="62"/>
        <v>4.71238898038469,1.83772268236293E-16</v>
      </c>
      <c r="O289" s="1" t="str">
        <f t="shared" si="61"/>
        <v>4.71238898038469,-11</v>
      </c>
      <c r="P289" s="1" t="str">
        <f t="shared" si="61"/>
        <v>4.71238898038469,-1</v>
      </c>
    </row>
    <row r="290" spans="2:16" x14ac:dyDescent="0.6">
      <c r="B290" s="25">
        <v>272</v>
      </c>
      <c r="C290" s="24">
        <f t="shared" si="63"/>
        <v>4.7472955654245768</v>
      </c>
      <c r="D290" s="24">
        <f t="shared" si="55"/>
        <v>-0.99939082701909576</v>
      </c>
      <c r="E290" s="24">
        <f t="shared" si="56"/>
        <v>3.4899496702501281E-2</v>
      </c>
      <c r="F290" s="24">
        <f t="shared" si="57"/>
        <v>-11</v>
      </c>
      <c r="G290" s="24">
        <f t="shared" si="58"/>
        <v>-3.4920769491748035E-2</v>
      </c>
      <c r="H290" s="24">
        <f t="shared" si="59"/>
        <v>11</v>
      </c>
      <c r="I290" s="29">
        <f t="shared" si="60"/>
        <v>-1.0006095442988217</v>
      </c>
      <c r="K290" s="1" t="str">
        <f t="shared" si="64"/>
        <v>4.72984227290463,-0.999847695156391</v>
      </c>
      <c r="L290" s="1" t="str">
        <f t="shared" si="65"/>
        <v>4.72984227290463,0.0174524064372831</v>
      </c>
      <c r="M290" s="1" t="str">
        <f t="shared" si="66"/>
        <v>4.72984227290463,-11</v>
      </c>
      <c r="N290" s="1" t="str">
        <f t="shared" si="62"/>
        <v>4.72984227290463,-0.0174550649282172</v>
      </c>
      <c r="O290" s="1" t="str">
        <f t="shared" si="61"/>
        <v>4.72984227290463,11</v>
      </c>
      <c r="P290" s="1" t="str">
        <f t="shared" si="61"/>
        <v>4.72984227290463,-1.00015232804391</v>
      </c>
    </row>
    <row r="291" spans="2:16" x14ac:dyDescent="0.6">
      <c r="B291" s="25">
        <v>273</v>
      </c>
      <c r="C291" s="24">
        <f t="shared" si="63"/>
        <v>4.7647488579445199</v>
      </c>
      <c r="D291" s="24">
        <f t="shared" si="55"/>
        <v>-0.99862953475457383</v>
      </c>
      <c r="E291" s="24">
        <f t="shared" si="56"/>
        <v>5.2335956242943946E-2</v>
      </c>
      <c r="F291" s="24">
        <f t="shared" si="57"/>
        <v>-11</v>
      </c>
      <c r="G291" s="24">
        <f t="shared" si="58"/>
        <v>-5.2407779283041314E-2</v>
      </c>
      <c r="H291" s="24">
        <f t="shared" si="59"/>
        <v>11</v>
      </c>
      <c r="I291" s="29">
        <f t="shared" si="60"/>
        <v>-1.0013723459979209</v>
      </c>
      <c r="K291" s="1" t="str">
        <f t="shared" si="64"/>
        <v>4.74729556542458,-0.999390827019096</v>
      </c>
      <c r="L291" s="1" t="str">
        <f t="shared" si="65"/>
        <v>4.74729556542458,0.0348994967025013</v>
      </c>
      <c r="M291" s="1" t="str">
        <f t="shared" si="66"/>
        <v>4.74729556542458,-11</v>
      </c>
      <c r="N291" s="1" t="str">
        <f t="shared" si="62"/>
        <v>4.74729556542458,-0.034920769491748</v>
      </c>
      <c r="O291" s="1" t="str">
        <f t="shared" si="61"/>
        <v>4.74729556542458,11</v>
      </c>
      <c r="P291" s="1" t="str">
        <f t="shared" si="61"/>
        <v>4.74729556542458,-1.00060954429882</v>
      </c>
    </row>
    <row r="292" spans="2:16" x14ac:dyDescent="0.6">
      <c r="B292" s="25">
        <v>274</v>
      </c>
      <c r="C292" s="24">
        <f t="shared" si="63"/>
        <v>4.782202150464463</v>
      </c>
      <c r="D292" s="24">
        <f t="shared" si="55"/>
        <v>-0.99756405025982431</v>
      </c>
      <c r="E292" s="24">
        <f t="shared" si="56"/>
        <v>6.9756473744125219E-2</v>
      </c>
      <c r="F292" s="24">
        <f t="shared" si="57"/>
        <v>-11</v>
      </c>
      <c r="G292" s="24">
        <f t="shared" si="58"/>
        <v>-6.9926811943510331E-2</v>
      </c>
      <c r="H292" s="24">
        <f t="shared" si="59"/>
        <v>11</v>
      </c>
      <c r="I292" s="29">
        <f t="shared" si="60"/>
        <v>-1.002441898081172</v>
      </c>
      <c r="K292" s="1" t="str">
        <f t="shared" si="64"/>
        <v>4.76474885794452,-0.998629534754574</v>
      </c>
      <c r="L292" s="1" t="str">
        <f t="shared" si="65"/>
        <v>4.76474885794452,0.0523359562429439</v>
      </c>
      <c r="M292" s="1" t="str">
        <f t="shared" si="66"/>
        <v>4.76474885794452,-11</v>
      </c>
      <c r="N292" s="1" t="str">
        <f t="shared" si="62"/>
        <v>4.76474885794452,-0.0524077792830413</v>
      </c>
      <c r="O292" s="1" t="str">
        <f t="shared" si="61"/>
        <v>4.76474885794452,11</v>
      </c>
      <c r="P292" s="1" t="str">
        <f t="shared" si="61"/>
        <v>4.76474885794452,-1.00137234599792</v>
      </c>
    </row>
    <row r="293" spans="2:16" x14ac:dyDescent="0.6">
      <c r="B293" s="25">
        <v>275</v>
      </c>
      <c r="C293" s="24">
        <f t="shared" si="63"/>
        <v>4.7996554429844061</v>
      </c>
      <c r="D293" s="24">
        <f t="shared" si="55"/>
        <v>-0.99619469809174555</v>
      </c>
      <c r="E293" s="24">
        <f t="shared" si="56"/>
        <v>8.7155742747657888E-2</v>
      </c>
      <c r="F293" s="24">
        <f t="shared" si="57"/>
        <v>-11</v>
      </c>
      <c r="G293" s="24">
        <f t="shared" si="58"/>
        <v>-8.7488663525923716E-2</v>
      </c>
      <c r="H293" s="24">
        <f t="shared" si="59"/>
        <v>11</v>
      </c>
      <c r="I293" s="29">
        <f t="shared" si="60"/>
        <v>-1.0038198375433474</v>
      </c>
      <c r="K293" s="1" t="str">
        <f t="shared" si="64"/>
        <v>4.78220215046446,-0.997564050259824</v>
      </c>
      <c r="L293" s="1" t="str">
        <f t="shared" si="65"/>
        <v>4.78220215046446,0.0697564737441252</v>
      </c>
      <c r="M293" s="1" t="str">
        <f t="shared" si="66"/>
        <v>4.78220215046446,-11</v>
      </c>
      <c r="N293" s="1" t="str">
        <f t="shared" si="62"/>
        <v>4.78220215046446,-0.0699268119435103</v>
      </c>
      <c r="O293" s="1" t="str">
        <f t="shared" si="61"/>
        <v>4.78220215046446,11</v>
      </c>
      <c r="P293" s="1" t="str">
        <f t="shared" si="61"/>
        <v>4.78220215046446,-1.00244189808117</v>
      </c>
    </row>
    <row r="294" spans="2:16" x14ac:dyDescent="0.6">
      <c r="B294" s="25">
        <v>276</v>
      </c>
      <c r="C294" s="24">
        <f t="shared" si="63"/>
        <v>4.8171087355043491</v>
      </c>
      <c r="D294" s="24">
        <f t="shared" si="55"/>
        <v>-0.9945218953682734</v>
      </c>
      <c r="E294" s="24">
        <f t="shared" si="56"/>
        <v>0.10452846326765299</v>
      </c>
      <c r="F294" s="24">
        <f t="shared" si="57"/>
        <v>-9.5143644542226298</v>
      </c>
      <c r="G294" s="24">
        <f t="shared" si="58"/>
        <v>-0.10510423526567597</v>
      </c>
      <c r="H294" s="24">
        <f t="shared" si="59"/>
        <v>9.5667722335056702</v>
      </c>
      <c r="I294" s="29">
        <f t="shared" si="60"/>
        <v>-1.0055082795635164</v>
      </c>
      <c r="K294" s="1" t="str">
        <f t="shared" si="64"/>
        <v>4.79965544298441,-0.996194698091746</v>
      </c>
      <c r="L294" s="1" t="str">
        <f t="shared" si="65"/>
        <v>4.79965544298441,0.0871557427476579</v>
      </c>
      <c r="M294" s="1" t="str">
        <f t="shared" si="66"/>
        <v>4.79965544298441,-11</v>
      </c>
      <c r="N294" s="1" t="str">
        <f t="shared" si="62"/>
        <v>4.79965544298441,-0.0874886635259237</v>
      </c>
      <c r="O294" s="1" t="str">
        <f t="shared" si="61"/>
        <v>4.79965544298441,11</v>
      </c>
      <c r="P294" s="1" t="str">
        <f t="shared" si="61"/>
        <v>4.79965544298441,-1.00381983754335</v>
      </c>
    </row>
    <row r="295" spans="2:16" x14ac:dyDescent="0.6">
      <c r="B295" s="25">
        <v>277</v>
      </c>
      <c r="C295" s="24">
        <f t="shared" si="63"/>
        <v>4.8345620280242931</v>
      </c>
      <c r="D295" s="24">
        <f t="shared" si="55"/>
        <v>-0.99254615164132198</v>
      </c>
      <c r="E295" s="24">
        <f t="shared" si="56"/>
        <v>0.12186934340514768</v>
      </c>
      <c r="F295" s="24">
        <f t="shared" si="57"/>
        <v>-8.1443464279745807</v>
      </c>
      <c r="G295" s="24">
        <f t="shared" si="58"/>
        <v>-0.12278456090290479</v>
      </c>
      <c r="H295" s="24">
        <f t="shared" si="59"/>
        <v>8.2055090481250641</v>
      </c>
      <c r="I295" s="29">
        <f t="shared" si="60"/>
        <v>-1.0075098254588484</v>
      </c>
      <c r="K295" s="1" t="str">
        <f t="shared" si="64"/>
        <v>4.81710873550435,-0.994521895368273</v>
      </c>
      <c r="L295" s="1" t="str">
        <f t="shared" si="65"/>
        <v>4.81710873550435,0.104528463267653</v>
      </c>
      <c r="M295" s="1" t="str">
        <f t="shared" si="66"/>
        <v>4.81710873550435,-9.51436445422263</v>
      </c>
      <c r="N295" s="1" t="str">
        <f t="shared" si="62"/>
        <v>4.81710873550435,-0.105104235265676</v>
      </c>
      <c r="O295" s="1" t="str">
        <f t="shared" si="61"/>
        <v>4.81710873550435,9.56677223350567</v>
      </c>
      <c r="P295" s="1" t="str">
        <f t="shared" si="61"/>
        <v>4.81710873550435,-1.00550827956352</v>
      </c>
    </row>
    <row r="296" spans="2:16" x14ac:dyDescent="0.6">
      <c r="B296" s="25">
        <v>278</v>
      </c>
      <c r="C296" s="24">
        <f t="shared" si="63"/>
        <v>4.8520153205442362</v>
      </c>
      <c r="D296" s="24">
        <f t="shared" si="55"/>
        <v>-0.99026806874157036</v>
      </c>
      <c r="E296" s="24">
        <f t="shared" si="56"/>
        <v>0.13917310096006547</v>
      </c>
      <c r="F296" s="24">
        <f t="shared" si="57"/>
        <v>-7.1153697223842087</v>
      </c>
      <c r="G296" s="24">
        <f t="shared" si="58"/>
        <v>-0.14054083470239145</v>
      </c>
      <c r="H296" s="24">
        <f t="shared" si="59"/>
        <v>7.1852965343277182</v>
      </c>
      <c r="I296" s="29">
        <f t="shared" si="60"/>
        <v>-1.0098275725186181</v>
      </c>
      <c r="K296" s="1" t="str">
        <f t="shared" si="64"/>
        <v>4.83456202802429,-0.992546151641322</v>
      </c>
      <c r="L296" s="1" t="str">
        <f t="shared" si="65"/>
        <v>4.83456202802429,0.121869343405148</v>
      </c>
      <c r="M296" s="1" t="str">
        <f t="shared" si="66"/>
        <v>4.83456202802429,-8.14434642797458</v>
      </c>
      <c r="N296" s="1" t="str">
        <f t="shared" si="62"/>
        <v>4.83456202802429,-0.122784560902905</v>
      </c>
      <c r="O296" s="1" t="str">
        <f t="shared" si="61"/>
        <v>4.83456202802429,8.20550904812506</v>
      </c>
      <c r="P296" s="1" t="str">
        <f t="shared" si="61"/>
        <v>4.83456202802429,-1.00750982545885</v>
      </c>
    </row>
    <row r="297" spans="2:16" x14ac:dyDescent="0.6">
      <c r="B297" s="25">
        <v>279</v>
      </c>
      <c r="C297" s="24">
        <f t="shared" si="63"/>
        <v>4.8694686130641793</v>
      </c>
      <c r="D297" s="24">
        <f t="shared" si="55"/>
        <v>-0.98768834059513777</v>
      </c>
      <c r="E297" s="24">
        <f t="shared" si="56"/>
        <v>0.15643446504023067</v>
      </c>
      <c r="F297" s="24">
        <f t="shared" si="57"/>
        <v>-6.3137515146750509</v>
      </c>
      <c r="G297" s="24">
        <f t="shared" si="58"/>
        <v>-0.15838444032453611</v>
      </c>
      <c r="H297" s="24">
        <f t="shared" si="59"/>
        <v>6.3924532214996699</v>
      </c>
      <c r="I297" s="29">
        <f t="shared" si="60"/>
        <v>-1.0124651257880029</v>
      </c>
      <c r="K297" s="1" t="str">
        <f t="shared" si="64"/>
        <v>4.85201532054424,-0.99026806874157</v>
      </c>
      <c r="L297" s="1" t="str">
        <f t="shared" si="65"/>
        <v>4.85201532054424,0.139173100960065</v>
      </c>
      <c r="M297" s="1" t="str">
        <f t="shared" si="66"/>
        <v>4.85201532054424,-7.11536972238421</v>
      </c>
      <c r="N297" s="1" t="str">
        <f t="shared" si="62"/>
        <v>4.85201532054424,-0.140540834702391</v>
      </c>
      <c r="O297" s="1" t="str">
        <f t="shared" si="61"/>
        <v>4.85201532054424,7.18529653432772</v>
      </c>
      <c r="P297" s="1" t="str">
        <f t="shared" si="61"/>
        <v>4.85201532054424,-1.00982757251862</v>
      </c>
    </row>
    <row r="298" spans="2:16" x14ac:dyDescent="0.6">
      <c r="B298" s="25">
        <v>280</v>
      </c>
      <c r="C298" s="24">
        <f t="shared" si="63"/>
        <v>4.8869219055841224</v>
      </c>
      <c r="D298" s="24">
        <f t="shared" si="55"/>
        <v>-0.98480775301220813</v>
      </c>
      <c r="E298" s="24">
        <f t="shared" si="56"/>
        <v>0.17364817766692997</v>
      </c>
      <c r="F298" s="24">
        <f t="shared" si="57"/>
        <v>-5.6712818196177226</v>
      </c>
      <c r="G298" s="24">
        <f t="shared" si="58"/>
        <v>-0.17632698070846456</v>
      </c>
      <c r="H298" s="24">
        <f t="shared" si="59"/>
        <v>5.7587704831436461</v>
      </c>
      <c r="I298" s="29">
        <f t="shared" si="60"/>
        <v>-1.0154266118857449</v>
      </c>
      <c r="K298" s="1" t="str">
        <f t="shared" si="64"/>
        <v>4.86946861306418,-0.987688340595138</v>
      </c>
      <c r="L298" s="1" t="str">
        <f t="shared" si="65"/>
        <v>4.86946861306418,0.156434465040231</v>
      </c>
      <c r="M298" s="1" t="str">
        <f t="shared" si="66"/>
        <v>4.86946861306418,-6.31375151467505</v>
      </c>
      <c r="N298" s="1" t="str">
        <f t="shared" si="62"/>
        <v>4.86946861306418,-0.158384440324536</v>
      </c>
      <c r="O298" s="1" t="str">
        <f t="shared" si="61"/>
        <v>4.86946861306418,6.39245322149967</v>
      </c>
      <c r="P298" s="1" t="str">
        <f t="shared" si="61"/>
        <v>4.86946861306418,-1.012465125788</v>
      </c>
    </row>
    <row r="299" spans="2:16" x14ac:dyDescent="0.6">
      <c r="B299" s="25">
        <v>281</v>
      </c>
      <c r="C299" s="24">
        <f t="shared" si="63"/>
        <v>4.9043751981040655</v>
      </c>
      <c r="D299" s="24">
        <f t="shared" si="55"/>
        <v>-0.98162718344766409</v>
      </c>
      <c r="E299" s="24">
        <f t="shared" si="56"/>
        <v>0.19080899537654425</v>
      </c>
      <c r="F299" s="24">
        <f t="shared" si="57"/>
        <v>-5.1445540159703258</v>
      </c>
      <c r="G299" s="24">
        <f t="shared" si="58"/>
        <v>-0.19438030913771789</v>
      </c>
      <c r="H299" s="24">
        <f t="shared" si="59"/>
        <v>5.2408430641678638</v>
      </c>
      <c r="I299" s="29">
        <f t="shared" si="60"/>
        <v>-1.018716694955214</v>
      </c>
      <c r="K299" s="1" t="str">
        <f t="shared" si="64"/>
        <v>4.88692190558412,-0.984807753012208</v>
      </c>
      <c r="L299" s="1" t="str">
        <f t="shared" si="65"/>
        <v>4.88692190558412,0.17364817766693</v>
      </c>
      <c r="M299" s="1" t="str">
        <f t="shared" si="66"/>
        <v>4.88692190558412,-5.67128181961772</v>
      </c>
      <c r="N299" s="1" t="str">
        <f t="shared" si="62"/>
        <v>4.88692190558412,-0.176326980708465</v>
      </c>
      <c r="O299" s="1" t="str">
        <f t="shared" si="61"/>
        <v>4.88692190558412,5.75877048314365</v>
      </c>
      <c r="P299" s="1" t="str">
        <f t="shared" si="61"/>
        <v>4.88692190558412,-1.01542661188574</v>
      </c>
    </row>
    <row r="300" spans="2:16" x14ac:dyDescent="0.6">
      <c r="B300" s="25">
        <v>282</v>
      </c>
      <c r="C300" s="24">
        <f t="shared" si="63"/>
        <v>4.9218284906240086</v>
      </c>
      <c r="D300" s="24">
        <f t="shared" si="55"/>
        <v>-0.9781476007338058</v>
      </c>
      <c r="E300" s="24">
        <f t="shared" si="56"/>
        <v>0.20791169081775857</v>
      </c>
      <c r="F300" s="24">
        <f t="shared" si="57"/>
        <v>-4.7046301094784724</v>
      </c>
      <c r="G300" s="24">
        <f t="shared" si="58"/>
        <v>-0.21255656167002129</v>
      </c>
      <c r="H300" s="24">
        <f t="shared" si="59"/>
        <v>4.8097343447441485</v>
      </c>
      <c r="I300" s="29">
        <f t="shared" si="60"/>
        <v>-1.022340594865029</v>
      </c>
      <c r="K300" s="1" t="str">
        <f t="shared" si="64"/>
        <v>4.90437519810407,-0.981627183447664</v>
      </c>
      <c r="L300" s="1" t="str">
        <f t="shared" si="65"/>
        <v>4.90437519810407,0.190808995376544</v>
      </c>
      <c r="M300" s="1" t="str">
        <f t="shared" si="66"/>
        <v>4.90437519810407,-5.14455401597033</v>
      </c>
      <c r="N300" s="1" t="str">
        <f t="shared" si="62"/>
        <v>4.90437519810407,-0.194380309137718</v>
      </c>
      <c r="O300" s="1" t="str">
        <f t="shared" si="61"/>
        <v>4.90437519810407,5.24084306416786</v>
      </c>
      <c r="P300" s="1" t="str">
        <f t="shared" si="61"/>
        <v>4.90437519810407,-1.01871669495521</v>
      </c>
    </row>
    <row r="301" spans="2:16" x14ac:dyDescent="0.6">
      <c r="B301" s="25">
        <v>283</v>
      </c>
      <c r="C301" s="24">
        <f t="shared" si="63"/>
        <v>4.9392817831439526</v>
      </c>
      <c r="D301" s="24">
        <f t="shared" si="55"/>
        <v>-0.97437006478523525</v>
      </c>
      <c r="E301" s="24">
        <f t="shared" si="56"/>
        <v>0.22495105434386492</v>
      </c>
      <c r="F301" s="24">
        <f t="shared" si="57"/>
        <v>-4.3314758742841573</v>
      </c>
      <c r="G301" s="24">
        <f t="shared" si="58"/>
        <v>-0.23086819112556303</v>
      </c>
      <c r="H301" s="24">
        <f t="shared" si="59"/>
        <v>4.4454114825858024</v>
      </c>
      <c r="I301" s="29">
        <f t="shared" si="60"/>
        <v>-1.0263041077933917</v>
      </c>
      <c r="K301" s="1" t="str">
        <f t="shared" si="64"/>
        <v>4.92182849062401,-0.978147600733806</v>
      </c>
      <c r="L301" s="1" t="str">
        <f t="shared" si="65"/>
        <v>4.92182849062401,0.207911690817759</v>
      </c>
      <c r="M301" s="1" t="str">
        <f t="shared" si="66"/>
        <v>4.92182849062401,-4.70463010947847</v>
      </c>
      <c r="N301" s="1" t="str">
        <f t="shared" si="62"/>
        <v>4.92182849062401,-0.212556561670021</v>
      </c>
      <c r="O301" s="1" t="str">
        <f t="shared" si="61"/>
        <v>4.92182849062401,4.80973434474415</v>
      </c>
      <c r="P301" s="1" t="str">
        <f t="shared" si="61"/>
        <v>4.92182849062401,-1.02234059486503</v>
      </c>
    </row>
    <row r="302" spans="2:16" x14ac:dyDescent="0.6">
      <c r="B302" s="25">
        <v>284</v>
      </c>
      <c r="C302" s="24">
        <f t="shared" si="63"/>
        <v>4.9567350756638957</v>
      </c>
      <c r="D302" s="24">
        <f t="shared" si="55"/>
        <v>-0.97029572627599658</v>
      </c>
      <c r="E302" s="24">
        <f t="shared" si="56"/>
        <v>0.24192189559966745</v>
      </c>
      <c r="F302" s="24">
        <f t="shared" si="57"/>
        <v>-4.01078093353585</v>
      </c>
      <c r="G302" s="24">
        <f t="shared" si="58"/>
        <v>-0.24932800284318035</v>
      </c>
      <c r="H302" s="24">
        <f t="shared" si="59"/>
        <v>4.1335654944387539</v>
      </c>
      <c r="I302" s="29">
        <f t="shared" si="60"/>
        <v>-1.030613629349898</v>
      </c>
      <c r="K302" s="1" t="str">
        <f t="shared" si="64"/>
        <v>4.93928178314395,-0.974370064785235</v>
      </c>
      <c r="L302" s="1" t="str">
        <f t="shared" si="65"/>
        <v>4.93928178314395,0.224951054343865</v>
      </c>
      <c r="M302" s="1" t="str">
        <f t="shared" si="66"/>
        <v>4.93928178314395,-4.33147587428416</v>
      </c>
      <c r="N302" s="1" t="str">
        <f t="shared" si="62"/>
        <v>4.93928178314395,-0.230868191125563</v>
      </c>
      <c r="O302" s="1" t="str">
        <f t="shared" si="61"/>
        <v>4.93928178314395,4.4454114825858</v>
      </c>
      <c r="P302" s="1" t="str">
        <f t="shared" si="61"/>
        <v>4.93928178314395,-1.02630410779339</v>
      </c>
    </row>
    <row r="303" spans="2:16" x14ac:dyDescent="0.6">
      <c r="B303" s="25">
        <v>285</v>
      </c>
      <c r="C303" s="24">
        <f t="shared" si="63"/>
        <v>4.9741883681838397</v>
      </c>
      <c r="D303" s="24">
        <f t="shared" si="55"/>
        <v>-0.9659258262890682</v>
      </c>
      <c r="E303" s="24">
        <f t="shared" si="56"/>
        <v>0.25881904510252113</v>
      </c>
      <c r="F303" s="24">
        <f t="shared" si="57"/>
        <v>-3.7320508075688714</v>
      </c>
      <c r="G303" s="24">
        <f t="shared" si="58"/>
        <v>-0.26794919243112314</v>
      </c>
      <c r="H303" s="24">
        <f t="shared" si="59"/>
        <v>3.8637033051562675</v>
      </c>
      <c r="I303" s="29">
        <f t="shared" si="60"/>
        <v>-1.0352761804100832</v>
      </c>
      <c r="K303" s="1" t="str">
        <f t="shared" si="64"/>
        <v>4.9567350756639,-0.970295726275997</v>
      </c>
      <c r="L303" s="1" t="str">
        <f t="shared" si="65"/>
        <v>4.9567350756639,0.241921895599667</v>
      </c>
      <c r="M303" s="1" t="str">
        <f t="shared" si="66"/>
        <v>4.9567350756639,-4.01078093353585</v>
      </c>
      <c r="N303" s="1" t="str">
        <f t="shared" si="62"/>
        <v>4.9567350756639,-0.24932800284318</v>
      </c>
      <c r="O303" s="1" t="str">
        <f t="shared" si="61"/>
        <v>4.9567350756639,4.13356549443875</v>
      </c>
      <c r="P303" s="1" t="str">
        <f t="shared" si="61"/>
        <v>4.9567350756639,-1.0306136293499</v>
      </c>
    </row>
    <row r="304" spans="2:16" x14ac:dyDescent="0.6">
      <c r="B304" s="25">
        <v>286</v>
      </c>
      <c r="C304" s="24">
        <f t="shared" si="63"/>
        <v>4.9916416607037828</v>
      </c>
      <c r="D304" s="24">
        <f t="shared" si="55"/>
        <v>-0.96126169593831878</v>
      </c>
      <c r="E304" s="24">
        <f t="shared" si="56"/>
        <v>0.27563735581699939</v>
      </c>
      <c r="F304" s="24">
        <f t="shared" si="57"/>
        <v>-3.487414443840906</v>
      </c>
      <c r="G304" s="24">
        <f t="shared" si="58"/>
        <v>-0.28674538575880815</v>
      </c>
      <c r="H304" s="24">
        <f t="shared" si="59"/>
        <v>3.6279552785432974</v>
      </c>
      <c r="I304" s="29">
        <f t="shared" si="60"/>
        <v>-1.0402994358616022</v>
      </c>
      <c r="K304" s="1" t="str">
        <f t="shared" si="64"/>
        <v>4.97418836818384,-0.965925826289068</v>
      </c>
      <c r="L304" s="1" t="str">
        <f t="shared" si="65"/>
        <v>4.97418836818384,0.258819045102521</v>
      </c>
      <c r="M304" s="1" t="str">
        <f t="shared" si="66"/>
        <v>4.97418836818384,-3.73205080756887</v>
      </c>
      <c r="N304" s="1" t="str">
        <f t="shared" si="62"/>
        <v>4.97418836818384,-0.267949192431123</v>
      </c>
      <c r="O304" s="1" t="str">
        <f t="shared" si="61"/>
        <v>4.97418836818384,3.86370330515627</v>
      </c>
      <c r="P304" s="1" t="str">
        <f t="shared" si="61"/>
        <v>4.97418836818384,-1.03527618041008</v>
      </c>
    </row>
    <row r="305" spans="2:16" x14ac:dyDescent="0.6">
      <c r="B305" s="25">
        <v>287</v>
      </c>
      <c r="C305" s="24">
        <f t="shared" si="63"/>
        <v>5.0090949532237259</v>
      </c>
      <c r="D305" s="24">
        <f t="shared" si="55"/>
        <v>-0.95630475596303544</v>
      </c>
      <c r="E305" s="24">
        <f t="shared" si="56"/>
        <v>0.29237170472273671</v>
      </c>
      <c r="F305" s="24">
        <f t="shared" si="57"/>
        <v>-3.2708526184841409</v>
      </c>
      <c r="G305" s="24">
        <f t="shared" si="58"/>
        <v>-0.30573068145866034</v>
      </c>
      <c r="H305" s="24">
        <f t="shared" si="59"/>
        <v>3.4203036198332688</v>
      </c>
      <c r="I305" s="29">
        <f t="shared" si="60"/>
        <v>-1.045691756487148</v>
      </c>
      <c r="K305" s="1" t="str">
        <f t="shared" si="64"/>
        <v>4.99164166070378,-0.961261695938319</v>
      </c>
      <c r="L305" s="1" t="str">
        <f t="shared" si="65"/>
        <v>4.99164166070378,0.275637355816999</v>
      </c>
      <c r="M305" s="1" t="str">
        <f t="shared" si="66"/>
        <v>4.99164166070378,-3.48741444384091</v>
      </c>
      <c r="N305" s="1" t="str">
        <f t="shared" si="62"/>
        <v>4.99164166070378,-0.286745385758808</v>
      </c>
      <c r="O305" s="1" t="str">
        <f t="shared" si="61"/>
        <v>4.99164166070378,3.6279552785433</v>
      </c>
      <c r="P305" s="1" t="str">
        <f t="shared" si="61"/>
        <v>4.99164166070378,-1.0402994358616</v>
      </c>
    </row>
    <row r="306" spans="2:16" x14ac:dyDescent="0.6">
      <c r="B306" s="25">
        <v>288</v>
      </c>
      <c r="C306" s="24">
        <f t="shared" si="63"/>
        <v>5.026548245743669</v>
      </c>
      <c r="D306" s="24">
        <f t="shared" si="55"/>
        <v>-0.95105651629515364</v>
      </c>
      <c r="E306" s="24">
        <f t="shared" si="56"/>
        <v>0.30901699437494723</v>
      </c>
      <c r="F306" s="24">
        <f t="shared" si="57"/>
        <v>-3.0776835371752553</v>
      </c>
      <c r="G306" s="24">
        <f t="shared" si="58"/>
        <v>-0.32491969623290612</v>
      </c>
      <c r="H306" s="24">
        <f t="shared" si="59"/>
        <v>3.2360679774997916</v>
      </c>
      <c r="I306" s="29">
        <f t="shared" si="60"/>
        <v>-1.0514622242382672</v>
      </c>
      <c r="K306" s="1" t="str">
        <f t="shared" si="64"/>
        <v>5.00909495322373,-0.956304755963035</v>
      </c>
      <c r="L306" s="1" t="str">
        <f t="shared" si="65"/>
        <v>5.00909495322373,0.292371704722737</v>
      </c>
      <c r="M306" s="1" t="str">
        <f t="shared" si="66"/>
        <v>5.00909495322373,-3.27085261848414</v>
      </c>
      <c r="N306" s="1" t="str">
        <f t="shared" si="62"/>
        <v>5.00909495322373,-0.30573068145866</v>
      </c>
      <c r="O306" s="1" t="str">
        <f t="shared" si="61"/>
        <v>5.00909495322373,3.42030361983327</v>
      </c>
      <c r="P306" s="1" t="str">
        <f t="shared" si="61"/>
        <v>5.00909495322373,-1.04569175648715</v>
      </c>
    </row>
    <row r="307" spans="2:16" x14ac:dyDescent="0.6">
      <c r="B307" s="25">
        <v>289</v>
      </c>
      <c r="C307" s="24">
        <f t="shared" si="63"/>
        <v>5.0440015382636121</v>
      </c>
      <c r="D307" s="24">
        <f t="shared" si="55"/>
        <v>-0.94551857559931696</v>
      </c>
      <c r="E307" s="24">
        <f t="shared" si="56"/>
        <v>0.32556815445715631</v>
      </c>
      <c r="F307" s="24">
        <f t="shared" si="57"/>
        <v>-2.9042108776758266</v>
      </c>
      <c r="G307" s="24">
        <f t="shared" si="58"/>
        <v>-0.34432761328966477</v>
      </c>
      <c r="H307" s="24">
        <f t="shared" si="59"/>
        <v>3.0715534867572458</v>
      </c>
      <c r="I307" s="29">
        <f t="shared" si="60"/>
        <v>-1.0576206811866704</v>
      </c>
      <c r="K307" s="1" t="str">
        <f t="shared" si="64"/>
        <v>5.02654824574367,-0.951056516295154</v>
      </c>
      <c r="L307" s="1" t="str">
        <f t="shared" si="65"/>
        <v>5.02654824574367,0.309016994374947</v>
      </c>
      <c r="M307" s="1" t="str">
        <f t="shared" si="66"/>
        <v>5.02654824574367,-3.07768353717526</v>
      </c>
      <c r="N307" s="1" t="str">
        <f t="shared" si="62"/>
        <v>5.02654824574367,-0.324919696232906</v>
      </c>
      <c r="O307" s="1" t="str">
        <f t="shared" si="61"/>
        <v>5.02654824574367,3.23606797749979</v>
      </c>
      <c r="P307" s="1" t="str">
        <f t="shared" si="61"/>
        <v>5.02654824574367,-1.05146222423827</v>
      </c>
    </row>
    <row r="308" spans="2:16" x14ac:dyDescent="0.6">
      <c r="B308" s="25">
        <v>290</v>
      </c>
      <c r="C308" s="24">
        <f t="shared" si="63"/>
        <v>5.0614548307835552</v>
      </c>
      <c r="D308" s="24">
        <f t="shared" si="55"/>
        <v>-0.93969262078590854</v>
      </c>
      <c r="E308" s="24">
        <f t="shared" si="56"/>
        <v>0.34202014332566816</v>
      </c>
      <c r="F308" s="24">
        <f t="shared" si="57"/>
        <v>-2.7474774194546274</v>
      </c>
      <c r="G308" s="24">
        <f t="shared" si="58"/>
        <v>-0.36397023426620168</v>
      </c>
      <c r="H308" s="24">
        <f t="shared" si="59"/>
        <v>2.9238044001630921</v>
      </c>
      <c r="I308" s="29">
        <f t="shared" si="60"/>
        <v>-1.0641777724759121</v>
      </c>
      <c r="K308" s="1" t="str">
        <f t="shared" si="64"/>
        <v>5.04400153826361,-0.945518575599317</v>
      </c>
      <c r="L308" s="1" t="str">
        <f t="shared" si="65"/>
        <v>5.04400153826361,0.325568154457156</v>
      </c>
      <c r="M308" s="1" t="str">
        <f t="shared" si="66"/>
        <v>5.04400153826361,-2.90421087767583</v>
      </c>
      <c r="N308" s="1" t="str">
        <f t="shared" si="62"/>
        <v>5.04400153826361,-0.344327613289665</v>
      </c>
      <c r="O308" s="1" t="str">
        <f t="shared" si="61"/>
        <v>5.04400153826361,3.07155348675725</v>
      </c>
      <c r="P308" s="1" t="str">
        <f t="shared" si="61"/>
        <v>5.04400153826361,-1.05762068118667</v>
      </c>
    </row>
    <row r="309" spans="2:16" x14ac:dyDescent="0.6">
      <c r="B309" s="25">
        <v>291</v>
      </c>
      <c r="C309" s="24">
        <f t="shared" si="63"/>
        <v>5.0789081233034983</v>
      </c>
      <c r="D309" s="24">
        <f t="shared" si="55"/>
        <v>-0.93358042649720208</v>
      </c>
      <c r="E309" s="24">
        <f t="shared" si="56"/>
        <v>0.35836794954529955</v>
      </c>
      <c r="F309" s="24">
        <f t="shared" si="57"/>
        <v>-2.6050890646938076</v>
      </c>
      <c r="G309" s="24">
        <f t="shared" si="58"/>
        <v>-0.38386403503541489</v>
      </c>
      <c r="H309" s="24">
        <f t="shared" si="59"/>
        <v>2.7904281096253416</v>
      </c>
      <c r="I309" s="29">
        <f t="shared" si="60"/>
        <v>-1.0711449936370285</v>
      </c>
      <c r="K309" s="1" t="str">
        <f t="shared" si="64"/>
        <v>5.06145483078356,-0.939692620785909</v>
      </c>
      <c r="L309" s="1" t="str">
        <f t="shared" si="65"/>
        <v>5.06145483078356,0.342020143325668</v>
      </c>
      <c r="M309" s="1" t="str">
        <f t="shared" si="66"/>
        <v>5.06145483078356,-2.74747741945463</v>
      </c>
      <c r="N309" s="1" t="str">
        <f t="shared" si="62"/>
        <v>5.06145483078356,-0.363970234266202</v>
      </c>
      <c r="O309" s="1" t="str">
        <f t="shared" si="61"/>
        <v>5.06145483078356,2.92380440016309</v>
      </c>
      <c r="P309" s="1" t="str">
        <f t="shared" si="61"/>
        <v>5.06145483078356,-1.06417777247591</v>
      </c>
    </row>
    <row r="310" spans="2:16" x14ac:dyDescent="0.6">
      <c r="B310" s="25">
        <v>292</v>
      </c>
      <c r="C310" s="24">
        <f t="shared" si="63"/>
        <v>5.0963614158234423</v>
      </c>
      <c r="D310" s="24">
        <f t="shared" si="55"/>
        <v>-0.92718385456678742</v>
      </c>
      <c r="E310" s="24">
        <f t="shared" si="56"/>
        <v>0.37460659341591196</v>
      </c>
      <c r="F310" s="24">
        <f t="shared" si="57"/>
        <v>-2.4750868534162964</v>
      </c>
      <c r="G310" s="24">
        <f t="shared" si="58"/>
        <v>-0.40402622583515674</v>
      </c>
      <c r="H310" s="24">
        <f t="shared" si="59"/>
        <v>2.6694671625540147</v>
      </c>
      <c r="I310" s="29">
        <f t="shared" si="60"/>
        <v>-1.0785347426775833</v>
      </c>
      <c r="K310" s="1" t="str">
        <f t="shared" si="64"/>
        <v>5.0789081233035,-0.933580426497202</v>
      </c>
      <c r="L310" s="1" t="str">
        <f t="shared" si="65"/>
        <v>5.0789081233035,0.3583679495453</v>
      </c>
      <c r="M310" s="1" t="str">
        <f t="shared" si="66"/>
        <v>5.0789081233035,-2.60508906469381</v>
      </c>
      <c r="N310" s="1" t="str">
        <f t="shared" si="62"/>
        <v>5.0789081233035,-0.383864035035415</v>
      </c>
      <c r="O310" s="1" t="str">
        <f t="shared" si="61"/>
        <v>5.0789081233035,2.79042810962534</v>
      </c>
      <c r="P310" s="1" t="str">
        <f t="shared" si="61"/>
        <v>5.0789081233035,-1.07114499363703</v>
      </c>
    </row>
    <row r="311" spans="2:16" x14ac:dyDescent="0.6">
      <c r="B311" s="25">
        <v>293</v>
      </c>
      <c r="C311" s="24">
        <f t="shared" si="63"/>
        <v>5.1138147083433854</v>
      </c>
      <c r="D311" s="24">
        <f t="shared" si="55"/>
        <v>-0.92050485345244049</v>
      </c>
      <c r="E311" s="24">
        <f t="shared" si="56"/>
        <v>0.39073112848927349</v>
      </c>
      <c r="F311" s="24">
        <f t="shared" si="57"/>
        <v>-2.3558523658237549</v>
      </c>
      <c r="G311" s="24">
        <f t="shared" si="58"/>
        <v>-0.42447481620960437</v>
      </c>
      <c r="H311" s="24">
        <f t="shared" si="59"/>
        <v>2.559304665247454</v>
      </c>
      <c r="I311" s="29">
        <f t="shared" si="60"/>
        <v>-1.0863603774052961</v>
      </c>
      <c r="K311" s="1" t="str">
        <f t="shared" si="64"/>
        <v>5.09636141582344,-0.927183854566787</v>
      </c>
      <c r="L311" s="1" t="str">
        <f t="shared" si="65"/>
        <v>5.09636141582344,0.374606593415912</v>
      </c>
      <c r="M311" s="1" t="str">
        <f t="shared" si="66"/>
        <v>5.09636141582344,-2.4750868534163</v>
      </c>
      <c r="N311" s="1" t="str">
        <f t="shared" si="62"/>
        <v>5.09636141582344,-0.404026225835157</v>
      </c>
      <c r="O311" s="1" t="str">
        <f t="shared" si="61"/>
        <v>5.09636141582344,2.66946716255401</v>
      </c>
      <c r="P311" s="1" t="str">
        <f t="shared" si="61"/>
        <v>5.09636141582344,-1.07853474267758</v>
      </c>
    </row>
    <row r="312" spans="2:16" x14ac:dyDescent="0.6">
      <c r="B312" s="25">
        <v>294</v>
      </c>
      <c r="C312" s="24">
        <f t="shared" si="63"/>
        <v>5.1312680008633293</v>
      </c>
      <c r="D312" s="24">
        <f t="shared" si="55"/>
        <v>-0.91354545764260076</v>
      </c>
      <c r="E312" s="24">
        <f t="shared" si="56"/>
        <v>0.40673664307580054</v>
      </c>
      <c r="F312" s="24">
        <f t="shared" si="57"/>
        <v>-2.2460367739042137</v>
      </c>
      <c r="G312" s="24">
        <f t="shared" si="58"/>
        <v>-0.4452286853085366</v>
      </c>
      <c r="H312" s="24">
        <f t="shared" si="59"/>
        <v>2.458593335574236</v>
      </c>
      <c r="I312" s="29">
        <f t="shared" si="60"/>
        <v>-1.0946362785060468</v>
      </c>
      <c r="K312" s="1" t="str">
        <f t="shared" si="64"/>
        <v>5.11381470834339,-0.92050485345244</v>
      </c>
      <c r="L312" s="1" t="str">
        <f t="shared" si="65"/>
        <v>5.11381470834339,0.390731128489273</v>
      </c>
      <c r="M312" s="1" t="str">
        <f t="shared" si="66"/>
        <v>5.11381470834339,-2.35585236582375</v>
      </c>
      <c r="N312" s="1" t="str">
        <f t="shared" si="62"/>
        <v>5.11381470834339,-0.424474816209604</v>
      </c>
      <c r="O312" s="1" t="str">
        <f t="shared" si="61"/>
        <v>5.11381470834339,2.55930466524745</v>
      </c>
      <c r="P312" s="1" t="str">
        <f t="shared" si="61"/>
        <v>5.11381470834339,-1.0863603774053</v>
      </c>
    </row>
    <row r="313" spans="2:16" x14ac:dyDescent="0.6">
      <c r="B313" s="25">
        <v>295</v>
      </c>
      <c r="C313" s="24">
        <f t="shared" si="63"/>
        <v>5.1487212933832724</v>
      </c>
      <c r="D313" s="24">
        <f t="shared" si="55"/>
        <v>-0.90630778703664994</v>
      </c>
      <c r="E313" s="24">
        <f t="shared" si="56"/>
        <v>0.42261826174069961</v>
      </c>
      <c r="F313" s="24">
        <f t="shared" si="57"/>
        <v>-2.1445069205095577</v>
      </c>
      <c r="G313" s="24">
        <f t="shared" si="58"/>
        <v>-0.46630765815499881</v>
      </c>
      <c r="H313" s="24">
        <f t="shared" si="59"/>
        <v>2.3662015831524976</v>
      </c>
      <c r="I313" s="29">
        <f t="shared" si="60"/>
        <v>-1.1033779189624917</v>
      </c>
      <c r="K313" s="1" t="str">
        <f t="shared" si="64"/>
        <v>5.13126800086333,-0.913545457642601</v>
      </c>
      <c r="L313" s="1" t="str">
        <f t="shared" si="65"/>
        <v>5.13126800086333,0.406736643075801</v>
      </c>
      <c r="M313" s="1" t="str">
        <f t="shared" si="66"/>
        <v>5.13126800086333,-2.24603677390421</v>
      </c>
      <c r="N313" s="1" t="str">
        <f t="shared" si="62"/>
        <v>5.13126800086333,-0.445228685308537</v>
      </c>
      <c r="O313" s="1" t="str">
        <f t="shared" si="61"/>
        <v>5.13126800086333,2.45859333557424</v>
      </c>
      <c r="P313" s="1" t="str">
        <f t="shared" si="61"/>
        <v>5.13126800086333,-1.09463627850605</v>
      </c>
    </row>
    <row r="314" spans="2:16" x14ac:dyDescent="0.6">
      <c r="B314" s="25">
        <v>296</v>
      </c>
      <c r="C314" s="24">
        <f t="shared" si="63"/>
        <v>5.1661745859032155</v>
      </c>
      <c r="D314" s="24">
        <f t="shared" si="55"/>
        <v>-0.89879404629916704</v>
      </c>
      <c r="E314" s="24">
        <f t="shared" si="56"/>
        <v>0.4383711467890774</v>
      </c>
      <c r="F314" s="24">
        <f t="shared" si="57"/>
        <v>-2.0503038415792965</v>
      </c>
      <c r="G314" s="24">
        <f t="shared" si="58"/>
        <v>-0.48773258856586138</v>
      </c>
      <c r="H314" s="24">
        <f t="shared" si="59"/>
        <v>2.2811720327048595</v>
      </c>
      <c r="I314" s="29">
        <f t="shared" si="60"/>
        <v>-1.1126019404751888</v>
      </c>
      <c r="K314" s="1" t="str">
        <f t="shared" si="64"/>
        <v>5.14872129338327,-0.90630778703665</v>
      </c>
      <c r="L314" s="1" t="str">
        <f t="shared" si="65"/>
        <v>5.14872129338327,0.4226182617407</v>
      </c>
      <c r="M314" s="1" t="str">
        <f t="shared" si="66"/>
        <v>5.14872129338327,-2.14450692050956</v>
      </c>
      <c r="N314" s="1" t="str">
        <f t="shared" si="62"/>
        <v>5.14872129338327,-0.466307658154999</v>
      </c>
      <c r="O314" s="1" t="str">
        <f t="shared" si="61"/>
        <v>5.14872129338327,2.3662015831525</v>
      </c>
      <c r="P314" s="1" t="str">
        <f t="shared" si="61"/>
        <v>5.14872129338327,-1.10337791896249</v>
      </c>
    </row>
    <row r="315" spans="2:16" x14ac:dyDescent="0.6">
      <c r="B315" s="25">
        <v>297</v>
      </c>
      <c r="C315" s="24">
        <f t="shared" si="63"/>
        <v>5.1836278784231586</v>
      </c>
      <c r="D315" s="24">
        <f t="shared" si="55"/>
        <v>-0.8910065241883679</v>
      </c>
      <c r="E315" s="24">
        <f t="shared" si="56"/>
        <v>0.45399049973954664</v>
      </c>
      <c r="F315" s="24">
        <f t="shared" si="57"/>
        <v>-1.9626105055051515</v>
      </c>
      <c r="G315" s="24">
        <f t="shared" si="58"/>
        <v>-0.50952544949442857</v>
      </c>
      <c r="H315" s="24">
        <f t="shared" si="59"/>
        <v>2.2026892645852674</v>
      </c>
      <c r="I315" s="29">
        <f t="shared" si="60"/>
        <v>-1.1223262376343608</v>
      </c>
      <c r="K315" s="1" t="str">
        <f t="shared" si="64"/>
        <v>5.16617458590322,-0.898794046299167</v>
      </c>
      <c r="L315" s="1" t="str">
        <f t="shared" si="65"/>
        <v>5.16617458590322,0.438371146789077</v>
      </c>
      <c r="M315" s="1" t="str">
        <f t="shared" si="66"/>
        <v>5.16617458590322,-2.0503038415793</v>
      </c>
      <c r="N315" s="1" t="str">
        <f t="shared" si="62"/>
        <v>5.16617458590322,-0.487732588565861</v>
      </c>
      <c r="O315" s="1" t="str">
        <f t="shared" si="61"/>
        <v>5.16617458590322,2.28117203270486</v>
      </c>
      <c r="P315" s="1" t="str">
        <f t="shared" si="61"/>
        <v>5.16617458590322,-1.11260194047519</v>
      </c>
    </row>
    <row r="316" spans="2:16" x14ac:dyDescent="0.6">
      <c r="B316" s="25">
        <v>298</v>
      </c>
      <c r="C316" s="24">
        <f t="shared" si="63"/>
        <v>5.2010811709431017</v>
      </c>
      <c r="D316" s="24">
        <f t="shared" si="55"/>
        <v>-0.8829475928589271</v>
      </c>
      <c r="E316" s="24">
        <f t="shared" si="56"/>
        <v>0.46947156278589042</v>
      </c>
      <c r="F316" s="24">
        <f t="shared" si="57"/>
        <v>-1.8807264653463338</v>
      </c>
      <c r="G316" s="24">
        <f t="shared" si="58"/>
        <v>-0.53170943166147822</v>
      </c>
      <c r="H316" s="24">
        <f t="shared" si="59"/>
        <v>2.1300544681895142</v>
      </c>
      <c r="I316" s="29">
        <f t="shared" si="60"/>
        <v>-1.132570050689039</v>
      </c>
      <c r="K316" s="1" t="str">
        <f t="shared" si="64"/>
        <v>5.18362787842316,-0.891006524188368</v>
      </c>
      <c r="L316" s="1" t="str">
        <f t="shared" si="65"/>
        <v>5.18362787842316,0.453990499739547</v>
      </c>
      <c r="M316" s="1" t="str">
        <f t="shared" si="66"/>
        <v>5.18362787842316,-1.96261050550515</v>
      </c>
      <c r="N316" s="1" t="str">
        <f t="shared" si="62"/>
        <v>5.18362787842316,-0.509525449494429</v>
      </c>
      <c r="O316" s="1" t="str">
        <f t="shared" si="61"/>
        <v>5.18362787842316,2.20268926458527</v>
      </c>
      <c r="P316" s="1" t="str">
        <f t="shared" si="61"/>
        <v>5.18362787842316,-1.12232623763436</v>
      </c>
    </row>
    <row r="317" spans="2:16" x14ac:dyDescent="0.6">
      <c r="B317" s="25">
        <v>299</v>
      </c>
      <c r="C317" s="24">
        <f t="shared" si="63"/>
        <v>5.2185344634630448</v>
      </c>
      <c r="D317" s="24">
        <f t="shared" si="55"/>
        <v>-0.87461970713939607</v>
      </c>
      <c r="E317" s="24">
        <f t="shared" si="56"/>
        <v>0.4848096202463365</v>
      </c>
      <c r="F317" s="24">
        <f t="shared" si="57"/>
        <v>-1.8040477552714265</v>
      </c>
      <c r="G317" s="24">
        <f t="shared" si="58"/>
        <v>-0.5543090514527681</v>
      </c>
      <c r="H317" s="24">
        <f t="shared" si="59"/>
        <v>2.0626653396273165</v>
      </c>
      <c r="I317" s="29">
        <f t="shared" si="60"/>
        <v>-1.1433540678733196</v>
      </c>
      <c r="K317" s="1" t="str">
        <f t="shared" si="64"/>
        <v>5.2010811709431,-0.882947592858927</v>
      </c>
      <c r="L317" s="1" t="str">
        <f t="shared" si="65"/>
        <v>5.2010811709431,0.46947156278589</v>
      </c>
      <c r="M317" s="1" t="str">
        <f t="shared" si="66"/>
        <v>5.2010811709431,-1.88072646534633</v>
      </c>
      <c r="N317" s="1" t="str">
        <f t="shared" si="62"/>
        <v>5.2010811709431,-0.531709431661478</v>
      </c>
      <c r="O317" s="1" t="str">
        <f t="shared" si="61"/>
        <v>5.2010811709431,2.13005446818951</v>
      </c>
      <c r="P317" s="1" t="str">
        <f t="shared" si="61"/>
        <v>5.2010811709431,-1.13257005068904</v>
      </c>
    </row>
    <row r="318" spans="2:16" x14ac:dyDescent="0.6">
      <c r="B318" s="25">
        <v>300</v>
      </c>
      <c r="C318" s="24">
        <f t="shared" si="63"/>
        <v>5.2359877559829888</v>
      </c>
      <c r="D318" s="24">
        <f t="shared" si="55"/>
        <v>-0.8660254037844386</v>
      </c>
      <c r="E318" s="24">
        <f t="shared" si="56"/>
        <v>0.50000000000000011</v>
      </c>
      <c r="F318" s="24">
        <f t="shared" si="57"/>
        <v>-1.732050807568877</v>
      </c>
      <c r="G318" s="24">
        <f t="shared" si="58"/>
        <v>-0.57735026918962584</v>
      </c>
      <c r="H318" s="24">
        <f t="shared" si="59"/>
        <v>1.9999999999999996</v>
      </c>
      <c r="I318" s="29">
        <f t="shared" si="60"/>
        <v>-1.1547005383792517</v>
      </c>
      <c r="K318" s="1" t="str">
        <f t="shared" si="64"/>
        <v>5.21853446346304,-0.874619707139396</v>
      </c>
      <c r="L318" s="1" t="str">
        <f t="shared" si="65"/>
        <v>5.21853446346304,0.484809620246337</v>
      </c>
      <c r="M318" s="1" t="str">
        <f t="shared" si="66"/>
        <v>5.21853446346304,-1.80404775527143</v>
      </c>
      <c r="N318" s="1" t="str">
        <f t="shared" si="62"/>
        <v>5.21853446346304,-0.554309051452768</v>
      </c>
      <c r="O318" s="1" t="str">
        <f t="shared" si="61"/>
        <v>5.21853446346304,2.06266533962732</v>
      </c>
      <c r="P318" s="1" t="str">
        <f t="shared" si="61"/>
        <v>5.21853446346304,-1.14335406787332</v>
      </c>
    </row>
    <row r="319" spans="2:16" x14ac:dyDescent="0.6">
      <c r="B319" s="25">
        <v>301</v>
      </c>
      <c r="C319" s="24">
        <f t="shared" si="63"/>
        <v>5.2534410485029319</v>
      </c>
      <c r="D319" s="24">
        <f t="shared" si="55"/>
        <v>-0.85716730070211233</v>
      </c>
      <c r="E319" s="24">
        <f t="shared" si="56"/>
        <v>0.51503807491005416</v>
      </c>
      <c r="F319" s="24">
        <f t="shared" si="57"/>
        <v>-1.6642794823505183</v>
      </c>
      <c r="G319" s="24">
        <f t="shared" si="58"/>
        <v>-0.60086061902756027</v>
      </c>
      <c r="H319" s="24">
        <f t="shared" si="59"/>
        <v>1.9416040264103567</v>
      </c>
      <c r="I319" s="29">
        <f t="shared" si="60"/>
        <v>-1.1666333972153304</v>
      </c>
      <c r="K319" s="1" t="str">
        <f t="shared" si="64"/>
        <v>5.23598775598299,-0.866025403784439</v>
      </c>
      <c r="L319" s="1" t="str">
        <f t="shared" si="65"/>
        <v>5.23598775598299,0.5</v>
      </c>
      <c r="M319" s="1" t="str">
        <f t="shared" si="66"/>
        <v>5.23598775598299,-1.73205080756888</v>
      </c>
      <c r="N319" s="1" t="str">
        <f t="shared" si="62"/>
        <v>5.23598775598299,-0.577350269189626</v>
      </c>
      <c r="O319" s="1" t="str">
        <f t="shared" si="61"/>
        <v>5.23598775598299,2</v>
      </c>
      <c r="P319" s="1" t="str">
        <f t="shared" si="61"/>
        <v>5.23598775598299,-1.15470053837925</v>
      </c>
    </row>
    <row r="320" spans="2:16" x14ac:dyDescent="0.6">
      <c r="B320" s="25">
        <v>302</v>
      </c>
      <c r="C320" s="24">
        <f t="shared" si="63"/>
        <v>5.270894341022875</v>
      </c>
      <c r="D320" s="24">
        <f t="shared" si="55"/>
        <v>-0.84804809615642618</v>
      </c>
      <c r="E320" s="24">
        <f t="shared" si="56"/>
        <v>0.52991926423320468</v>
      </c>
      <c r="F320" s="24">
        <f t="shared" si="57"/>
        <v>-1.6003345290410513</v>
      </c>
      <c r="G320" s="24">
        <f t="shared" si="58"/>
        <v>-0.62486935190932713</v>
      </c>
      <c r="H320" s="24">
        <f t="shared" si="59"/>
        <v>1.8870799147998594</v>
      </c>
      <c r="I320" s="29">
        <f t="shared" si="60"/>
        <v>-1.1791784033620962</v>
      </c>
      <c r="K320" s="1" t="str">
        <f t="shared" si="64"/>
        <v>5.25344104850293,-0.857167300702112</v>
      </c>
      <c r="L320" s="1" t="str">
        <f t="shared" si="65"/>
        <v>5.25344104850293,0.515038074910054</v>
      </c>
      <c r="M320" s="1" t="str">
        <f t="shared" si="66"/>
        <v>5.25344104850293,-1.66427948235052</v>
      </c>
      <c r="N320" s="1" t="str">
        <f t="shared" si="62"/>
        <v>5.25344104850293,-0.60086061902756</v>
      </c>
      <c r="O320" s="1" t="str">
        <f t="shared" si="61"/>
        <v>5.25344104850293,1.94160402641036</v>
      </c>
      <c r="P320" s="1" t="str">
        <f t="shared" si="61"/>
        <v>5.25344104850293,-1.16663339721533</v>
      </c>
    </row>
    <row r="321" spans="2:16" x14ac:dyDescent="0.6">
      <c r="B321" s="25">
        <v>303</v>
      </c>
      <c r="C321" s="24">
        <f t="shared" si="63"/>
        <v>5.2883476335428181</v>
      </c>
      <c r="D321" s="24">
        <f t="shared" si="55"/>
        <v>-0.83867056794542427</v>
      </c>
      <c r="E321" s="24">
        <f t="shared" si="56"/>
        <v>0.54463903501502664</v>
      </c>
      <c r="F321" s="24">
        <f t="shared" si="57"/>
        <v>-1.5398649638145847</v>
      </c>
      <c r="G321" s="24">
        <f t="shared" si="58"/>
        <v>-0.64940759319750985</v>
      </c>
      <c r="H321" s="24">
        <f t="shared" si="59"/>
        <v>1.8360784587766645</v>
      </c>
      <c r="I321" s="29">
        <f t="shared" si="60"/>
        <v>-1.1923632928359471</v>
      </c>
      <c r="K321" s="1" t="str">
        <f t="shared" si="64"/>
        <v>5.27089434102288,-0.848048096156426</v>
      </c>
      <c r="L321" s="1" t="str">
        <f t="shared" si="65"/>
        <v>5.27089434102288,0.529919264233205</v>
      </c>
      <c r="M321" s="1" t="str">
        <f t="shared" si="66"/>
        <v>5.27089434102288,-1.60033452904105</v>
      </c>
      <c r="N321" s="1" t="str">
        <f t="shared" si="62"/>
        <v>5.27089434102288,-0.624869351909327</v>
      </c>
      <c r="O321" s="1" t="str">
        <f t="shared" si="61"/>
        <v>5.27089434102288,1.88707991479986</v>
      </c>
      <c r="P321" s="1" t="str">
        <f t="shared" si="61"/>
        <v>5.27089434102288,-1.1791784033621</v>
      </c>
    </row>
    <row r="322" spans="2:16" x14ac:dyDescent="0.6">
      <c r="B322" s="25">
        <v>304</v>
      </c>
      <c r="C322" s="24">
        <f t="shared" si="63"/>
        <v>5.3058009260627612</v>
      </c>
      <c r="D322" s="24">
        <f t="shared" si="55"/>
        <v>-0.82903757255504207</v>
      </c>
      <c r="E322" s="24">
        <f t="shared" si="56"/>
        <v>0.55919290347074624</v>
      </c>
      <c r="F322" s="24">
        <f t="shared" si="57"/>
        <v>-1.4825609685127425</v>
      </c>
      <c r="G322" s="24">
        <f t="shared" si="58"/>
        <v>-0.67450851684242563</v>
      </c>
      <c r="H322" s="24">
        <f t="shared" si="59"/>
        <v>1.7882916499714026</v>
      </c>
      <c r="I322" s="29">
        <f t="shared" si="60"/>
        <v>-1.2062179485039048</v>
      </c>
      <c r="K322" s="1" t="str">
        <f t="shared" si="64"/>
        <v>5.28834763354282,-0.838670567945424</v>
      </c>
      <c r="L322" s="1" t="str">
        <f t="shared" si="65"/>
        <v>5.28834763354282,0.544639035015027</v>
      </c>
      <c r="M322" s="1" t="str">
        <f t="shared" si="66"/>
        <v>5.28834763354282,-1.53986496381458</v>
      </c>
      <c r="N322" s="1" t="str">
        <f t="shared" si="62"/>
        <v>5.28834763354282,-0.64940759319751</v>
      </c>
      <c r="O322" s="1" t="str">
        <f t="shared" si="61"/>
        <v>5.28834763354282,1.83607845877666</v>
      </c>
      <c r="P322" s="1" t="str">
        <f t="shared" si="61"/>
        <v>5.28834763354282,-1.19236329283595</v>
      </c>
    </row>
    <row r="323" spans="2:16" x14ac:dyDescent="0.6">
      <c r="B323" s="25">
        <v>305</v>
      </c>
      <c r="C323" s="24">
        <f t="shared" si="63"/>
        <v>5.3232542185827052</v>
      </c>
      <c r="D323" s="24">
        <f t="shared" si="55"/>
        <v>-0.8191520442889918</v>
      </c>
      <c r="E323" s="24">
        <f t="shared" si="56"/>
        <v>0.57357643635104605</v>
      </c>
      <c r="F323" s="24">
        <f t="shared" si="57"/>
        <v>-1.4281480067421146</v>
      </c>
      <c r="G323" s="24">
        <f t="shared" si="58"/>
        <v>-0.70020753820970971</v>
      </c>
      <c r="H323" s="24">
        <f t="shared" si="59"/>
        <v>1.7434467956210982</v>
      </c>
      <c r="I323" s="29">
        <f t="shared" si="60"/>
        <v>-1.2207745887614561</v>
      </c>
      <c r="K323" s="1" t="str">
        <f t="shared" si="64"/>
        <v>5.30580092606276,-0.829037572555042</v>
      </c>
      <c r="L323" s="1" t="str">
        <f t="shared" si="65"/>
        <v>5.30580092606276,0.559192903470746</v>
      </c>
      <c r="M323" s="1" t="str">
        <f t="shared" si="66"/>
        <v>5.30580092606276,-1.48256096851274</v>
      </c>
      <c r="N323" s="1" t="str">
        <f t="shared" si="62"/>
        <v>5.30580092606276,-0.674508516842426</v>
      </c>
      <c r="O323" s="1" t="str">
        <f t="shared" si="61"/>
        <v>5.30580092606276,1.7882916499714</v>
      </c>
      <c r="P323" s="1" t="str">
        <f t="shared" si="61"/>
        <v>5.30580092606276,-1.2062179485039</v>
      </c>
    </row>
    <row r="324" spans="2:16" x14ac:dyDescent="0.6">
      <c r="B324" s="25">
        <v>306</v>
      </c>
      <c r="C324" s="24">
        <f t="shared" si="63"/>
        <v>5.3407075111026483</v>
      </c>
      <c r="D324" s="24">
        <f t="shared" ref="D324:D378" si="67">IF(SIN(C324)&gt;$I$3,$I$3,(IF(SIN(C324)&lt;-$I$3,-$I$3,SIN(C324))))</f>
        <v>-0.80901699437494756</v>
      </c>
      <c r="E324" s="24">
        <f t="shared" ref="E324:E378" si="68">IF(COS(C324)&gt;$I$3,$I$3,(IF(COS(C324)&lt;-$I$3,-$I$3,COS(C324))))</f>
        <v>0.58778525229247292</v>
      </c>
      <c r="F324" s="24">
        <f t="shared" ref="F324:F378" si="69">IF(TAN(C324)&gt;$I$3,$I$3,(IF(TAN(C324)&lt;-$I$3,-$I$3,TAN(C324))))</f>
        <v>-1.3763819204711742</v>
      </c>
      <c r="G324" s="24">
        <f t="shared" ref="G324:G378" si="70">IF(_xlfn.COT(C324)&gt;$I$3,$I$3,(IF(_xlfn.COT(C324)&lt;-$I$3,-$I$3,_xlfn.COT(C324))))</f>
        <v>-0.72654252800536057</v>
      </c>
      <c r="H324" s="24">
        <f t="shared" ref="H324:H378" si="71">IF(_xlfn.SEC(C324)&gt;$I$3,$I$3,(IF(_xlfn.SEC(C324)&lt;-$I$3,-$I$3,_xlfn.SEC(C324))))</f>
        <v>1.7013016167040804</v>
      </c>
      <c r="I324" s="29">
        <f t="shared" ref="I324:I378" si="72">IF(_xlfn.CSC(C324)&gt;$I$3,$I$3,(IF(_xlfn.CSC(C324)&lt;-$I$3,-$I$3,_xlfn.CSC(C324))))</f>
        <v>-1.2360679774997896</v>
      </c>
      <c r="K324" s="1" t="str">
        <f t="shared" si="64"/>
        <v>5.32325421858271,-0.819152044288992</v>
      </c>
      <c r="L324" s="1" t="str">
        <f t="shared" si="65"/>
        <v>5.32325421858271,0.573576436351046</v>
      </c>
      <c r="M324" s="1" t="str">
        <f t="shared" si="66"/>
        <v>5.32325421858271,-1.42814800674211</v>
      </c>
      <c r="N324" s="1" t="str">
        <f t="shared" si="62"/>
        <v>5.32325421858271,-0.70020753820971</v>
      </c>
      <c r="O324" s="1" t="str">
        <f t="shared" si="62"/>
        <v>5.32325421858271,1.7434467956211</v>
      </c>
      <c r="P324" s="1" t="str">
        <f t="shared" si="62"/>
        <v>5.32325421858271,-1.22077458876146</v>
      </c>
    </row>
    <row r="325" spans="2:16" x14ac:dyDescent="0.6">
      <c r="B325" s="25">
        <v>307</v>
      </c>
      <c r="C325" s="24">
        <f t="shared" si="63"/>
        <v>5.3581608036225914</v>
      </c>
      <c r="D325" s="24">
        <f t="shared" si="67"/>
        <v>-0.79863551004729305</v>
      </c>
      <c r="E325" s="24">
        <f t="shared" si="68"/>
        <v>0.60181502315204793</v>
      </c>
      <c r="F325" s="24">
        <f t="shared" si="69"/>
        <v>-1.3270448216204112</v>
      </c>
      <c r="G325" s="24">
        <f t="shared" si="70"/>
        <v>-0.75355405010279353</v>
      </c>
      <c r="H325" s="24">
        <f t="shared" si="71"/>
        <v>1.6616401411224841</v>
      </c>
      <c r="I325" s="29">
        <f t="shared" si="72"/>
        <v>-1.2521356581562253</v>
      </c>
      <c r="K325" s="1" t="str">
        <f t="shared" si="64"/>
        <v>5.34070751110265,-0.809016994374948</v>
      </c>
      <c r="L325" s="1" t="str">
        <f t="shared" si="65"/>
        <v>5.34070751110265,0.587785252292473</v>
      </c>
      <c r="M325" s="1" t="str">
        <f t="shared" si="66"/>
        <v>5.34070751110265,-1.37638192047117</v>
      </c>
      <c r="N325" s="1" t="str">
        <f t="shared" ref="N325:P376" si="73">_xlfn.CONCAT($C324,",",G324)</f>
        <v>5.34070751110265,-0.726542528005361</v>
      </c>
      <c r="O325" s="1" t="str">
        <f t="shared" si="73"/>
        <v>5.34070751110265,1.70130161670408</v>
      </c>
      <c r="P325" s="1" t="str">
        <f t="shared" si="73"/>
        <v>5.34070751110265,-1.23606797749979</v>
      </c>
    </row>
    <row r="326" spans="2:16" x14ac:dyDescent="0.6">
      <c r="B326" s="25">
        <v>308</v>
      </c>
      <c r="C326" s="24">
        <f t="shared" si="63"/>
        <v>5.3756140961425354</v>
      </c>
      <c r="D326" s="24">
        <f t="shared" si="67"/>
        <v>-0.78801075360672179</v>
      </c>
      <c r="E326" s="24">
        <f t="shared" si="68"/>
        <v>0.61566147532565851</v>
      </c>
      <c r="F326" s="24">
        <f t="shared" si="69"/>
        <v>-1.2799416321930781</v>
      </c>
      <c r="G326" s="24">
        <f t="shared" si="70"/>
        <v>-0.78128562650671785</v>
      </c>
      <c r="H326" s="24">
        <f t="shared" si="71"/>
        <v>1.6242692454827434</v>
      </c>
      <c r="I326" s="29">
        <f t="shared" si="72"/>
        <v>-1.2690182150725791</v>
      </c>
      <c r="K326" s="1" t="str">
        <f t="shared" si="64"/>
        <v>5.35816080362259,-0.798635510047293</v>
      </c>
      <c r="L326" s="1" t="str">
        <f t="shared" si="65"/>
        <v>5.35816080362259,0.601815023152048</v>
      </c>
      <c r="M326" s="1" t="str">
        <f t="shared" si="66"/>
        <v>5.35816080362259,-1.32704482162041</v>
      </c>
      <c r="N326" s="1" t="str">
        <f t="shared" si="73"/>
        <v>5.35816080362259,-0.753554050102794</v>
      </c>
      <c r="O326" s="1" t="str">
        <f t="shared" si="73"/>
        <v>5.35816080362259,1.66164014112248</v>
      </c>
      <c r="P326" s="1" t="str">
        <f t="shared" si="73"/>
        <v>5.35816080362259,-1.25213565815623</v>
      </c>
    </row>
    <row r="327" spans="2:16" x14ac:dyDescent="0.6">
      <c r="B327" s="25">
        <v>309</v>
      </c>
      <c r="C327" s="24">
        <f t="shared" si="63"/>
        <v>5.3930673886624785</v>
      </c>
      <c r="D327" s="24">
        <f t="shared" si="67"/>
        <v>-0.77714596145697079</v>
      </c>
      <c r="E327" s="24">
        <f t="shared" si="68"/>
        <v>0.6293203910498375</v>
      </c>
      <c r="F327" s="24">
        <f t="shared" si="69"/>
        <v>-1.2348971565350513</v>
      </c>
      <c r="G327" s="24">
        <f t="shared" si="70"/>
        <v>-0.80978403319500725</v>
      </c>
      <c r="H327" s="24">
        <f t="shared" si="71"/>
        <v>1.5890157290657494</v>
      </c>
      <c r="I327" s="29">
        <f t="shared" si="72"/>
        <v>-1.2867595658931674</v>
      </c>
      <c r="K327" s="1" t="str">
        <f t="shared" si="64"/>
        <v>5.37561409614254,-0.788010753606722</v>
      </c>
      <c r="L327" s="1" t="str">
        <f t="shared" si="65"/>
        <v>5.37561409614254,0.615661475325659</v>
      </c>
      <c r="M327" s="1" t="str">
        <f t="shared" si="66"/>
        <v>5.37561409614254,-1.27994163219308</v>
      </c>
      <c r="N327" s="1" t="str">
        <f t="shared" si="73"/>
        <v>5.37561409614254,-0.781285626506718</v>
      </c>
      <c r="O327" s="1" t="str">
        <f t="shared" si="73"/>
        <v>5.37561409614254,1.62426924548274</v>
      </c>
      <c r="P327" s="1" t="str">
        <f t="shared" si="73"/>
        <v>5.37561409614254,-1.26901821507258</v>
      </c>
    </row>
    <row r="328" spans="2:16" x14ac:dyDescent="0.6">
      <c r="B328" s="25">
        <v>310</v>
      </c>
      <c r="C328" s="24">
        <f t="shared" si="63"/>
        <v>5.4105206811824216</v>
      </c>
      <c r="D328" s="24">
        <f t="shared" si="67"/>
        <v>-0.76604444311897812</v>
      </c>
      <c r="E328" s="24">
        <f t="shared" si="68"/>
        <v>0.64278760968653925</v>
      </c>
      <c r="F328" s="24">
        <f t="shared" si="69"/>
        <v>-1.1917535925942102</v>
      </c>
      <c r="G328" s="24">
        <f t="shared" si="70"/>
        <v>-0.83909963117727981</v>
      </c>
      <c r="H328" s="24">
        <f t="shared" si="71"/>
        <v>1.5557238268604126</v>
      </c>
      <c r="I328" s="29">
        <f t="shared" si="72"/>
        <v>-1.3054072893322783</v>
      </c>
      <c r="K328" s="1" t="str">
        <f t="shared" si="64"/>
        <v>5.39306738866248,-0.777145961456971</v>
      </c>
      <c r="L328" s="1" t="str">
        <f t="shared" si="65"/>
        <v>5.39306738866248,0.629320391049838</v>
      </c>
      <c r="M328" s="1" t="str">
        <f t="shared" si="66"/>
        <v>5.39306738866248,-1.23489715653505</v>
      </c>
      <c r="N328" s="1" t="str">
        <f t="shared" si="73"/>
        <v>5.39306738866248,-0.809784033195007</v>
      </c>
      <c r="O328" s="1" t="str">
        <f t="shared" si="73"/>
        <v>5.39306738866248,1.58901572906575</v>
      </c>
      <c r="P328" s="1" t="str">
        <f t="shared" si="73"/>
        <v>5.39306738866248,-1.28675956589317</v>
      </c>
    </row>
    <row r="329" spans="2:16" x14ac:dyDescent="0.6">
      <c r="B329" s="25">
        <v>311</v>
      </c>
      <c r="C329" s="24">
        <f t="shared" si="63"/>
        <v>5.4279739737023647</v>
      </c>
      <c r="D329" s="24">
        <f t="shared" si="67"/>
        <v>-0.75470958022277224</v>
      </c>
      <c r="E329" s="24">
        <f t="shared" si="68"/>
        <v>0.65605902899050705</v>
      </c>
      <c r="F329" s="24">
        <f t="shared" si="69"/>
        <v>-1.1503684072210103</v>
      </c>
      <c r="G329" s="24">
        <f t="shared" si="70"/>
        <v>-0.86928673781622612</v>
      </c>
      <c r="H329" s="24">
        <f t="shared" si="71"/>
        <v>1.5242530867058148</v>
      </c>
      <c r="I329" s="29">
        <f t="shared" si="72"/>
        <v>-1.3250129933488108</v>
      </c>
      <c r="K329" s="1" t="str">
        <f t="shared" si="64"/>
        <v>5.41052068118242,-0.766044443118978</v>
      </c>
      <c r="L329" s="1" t="str">
        <f t="shared" si="65"/>
        <v>5.41052068118242,0.642787609686539</v>
      </c>
      <c r="M329" s="1" t="str">
        <f t="shared" si="66"/>
        <v>5.41052068118242,-1.19175359259421</v>
      </c>
      <c r="N329" s="1" t="str">
        <f t="shared" si="73"/>
        <v>5.41052068118242,-0.83909963117728</v>
      </c>
      <c r="O329" s="1" t="str">
        <f t="shared" si="73"/>
        <v>5.41052068118242,1.55572382686041</v>
      </c>
      <c r="P329" s="1" t="str">
        <f t="shared" si="73"/>
        <v>5.41052068118242,-1.30540728933228</v>
      </c>
    </row>
    <row r="330" spans="2:16" x14ac:dyDescent="0.6">
      <c r="B330" s="25">
        <v>312</v>
      </c>
      <c r="C330" s="24">
        <f t="shared" si="63"/>
        <v>5.4454272662223078</v>
      </c>
      <c r="D330" s="24">
        <f t="shared" si="67"/>
        <v>-0.74314482547739458</v>
      </c>
      <c r="E330" s="24">
        <f t="shared" si="68"/>
        <v>0.66913060635885779</v>
      </c>
      <c r="F330" s="24">
        <f t="shared" si="69"/>
        <v>-1.1106125148291941</v>
      </c>
      <c r="G330" s="24">
        <f t="shared" si="70"/>
        <v>-0.90040404429783893</v>
      </c>
      <c r="H330" s="24">
        <f t="shared" si="71"/>
        <v>1.4944765498646095</v>
      </c>
      <c r="I330" s="29">
        <f t="shared" si="72"/>
        <v>-1.3456327296063755</v>
      </c>
      <c r="K330" s="1" t="str">
        <f t="shared" si="64"/>
        <v>5.42797397370236,-0.754709580222772</v>
      </c>
      <c r="L330" s="1" t="str">
        <f t="shared" si="65"/>
        <v>5.42797397370236,0.656059028990507</v>
      </c>
      <c r="M330" s="1" t="str">
        <f t="shared" si="66"/>
        <v>5.42797397370236,-1.15036840722101</v>
      </c>
      <c r="N330" s="1" t="str">
        <f t="shared" si="73"/>
        <v>5.42797397370236,-0.869286737816226</v>
      </c>
      <c r="O330" s="1" t="str">
        <f t="shared" si="73"/>
        <v>5.42797397370236,1.52425308670581</v>
      </c>
      <c r="P330" s="1" t="str">
        <f t="shared" si="73"/>
        <v>5.42797397370236,-1.32501299334881</v>
      </c>
    </row>
    <row r="331" spans="2:16" x14ac:dyDescent="0.6">
      <c r="B331" s="25">
        <v>313</v>
      </c>
      <c r="C331" s="24">
        <f t="shared" si="63"/>
        <v>5.4628805587422509</v>
      </c>
      <c r="D331" s="24">
        <f t="shared" si="67"/>
        <v>-0.73135370161917101</v>
      </c>
      <c r="E331" s="24">
        <f t="shared" si="68"/>
        <v>0.68199836006249803</v>
      </c>
      <c r="F331" s="24">
        <f t="shared" si="69"/>
        <v>-1.0723687100246841</v>
      </c>
      <c r="G331" s="24">
        <f t="shared" si="70"/>
        <v>-0.93251508613766032</v>
      </c>
      <c r="H331" s="24">
        <f t="shared" si="71"/>
        <v>1.466279185639626</v>
      </c>
      <c r="I331" s="29">
        <f t="shared" si="72"/>
        <v>-1.3673274610985944</v>
      </c>
      <c r="K331" s="1" t="str">
        <f t="shared" si="64"/>
        <v>5.44542726622231,-0.743144825477395</v>
      </c>
      <c r="L331" s="1" t="str">
        <f t="shared" si="65"/>
        <v>5.44542726622231,0.669130606358858</v>
      </c>
      <c r="M331" s="1" t="str">
        <f t="shared" si="66"/>
        <v>5.44542726622231,-1.11061251482919</v>
      </c>
      <c r="N331" s="1" t="str">
        <f t="shared" si="73"/>
        <v>5.44542726622231,-0.900404044297839</v>
      </c>
      <c r="O331" s="1" t="str">
        <f t="shared" si="73"/>
        <v>5.44542726622231,1.49447654986461</v>
      </c>
      <c r="P331" s="1" t="str">
        <f t="shared" si="73"/>
        <v>5.44542726622231,-1.34563272960638</v>
      </c>
    </row>
    <row r="332" spans="2:16" x14ac:dyDescent="0.6">
      <c r="B332" s="25">
        <v>314</v>
      </c>
      <c r="C332" s="24">
        <f t="shared" si="63"/>
        <v>5.480333851262194</v>
      </c>
      <c r="D332" s="24">
        <f t="shared" si="67"/>
        <v>-0.71933980033865175</v>
      </c>
      <c r="E332" s="24">
        <f t="shared" si="68"/>
        <v>0.69465837045899659</v>
      </c>
      <c r="F332" s="24">
        <f t="shared" si="69"/>
        <v>-1.0355303137905714</v>
      </c>
      <c r="G332" s="24">
        <f t="shared" si="70"/>
        <v>-0.96568877480707227</v>
      </c>
      <c r="H332" s="24">
        <f t="shared" si="71"/>
        <v>1.4395565396257277</v>
      </c>
      <c r="I332" s="29">
        <f t="shared" si="72"/>
        <v>-1.3901635910166776</v>
      </c>
      <c r="K332" s="1" t="str">
        <f t="shared" si="64"/>
        <v>5.46288055874225,-0.731353701619171</v>
      </c>
      <c r="L332" s="1" t="str">
        <f t="shared" si="65"/>
        <v>5.46288055874225,0.681998360062498</v>
      </c>
      <c r="M332" s="1" t="str">
        <f t="shared" si="66"/>
        <v>5.46288055874225,-1.07236871002468</v>
      </c>
      <c r="N332" s="1" t="str">
        <f t="shared" si="73"/>
        <v>5.46288055874225,-0.93251508613766</v>
      </c>
      <c r="O332" s="1" t="str">
        <f t="shared" si="73"/>
        <v>5.46288055874225,1.46627918563963</v>
      </c>
      <c r="P332" s="1" t="str">
        <f t="shared" si="73"/>
        <v>5.46288055874225,-1.36732746109859</v>
      </c>
    </row>
    <row r="333" spans="2:16" x14ac:dyDescent="0.6">
      <c r="B333" s="25">
        <v>315</v>
      </c>
      <c r="C333" s="24">
        <f t="shared" si="63"/>
        <v>5.497787143782138</v>
      </c>
      <c r="D333" s="24">
        <f t="shared" si="67"/>
        <v>-0.70710678118654768</v>
      </c>
      <c r="E333" s="24">
        <f t="shared" si="68"/>
        <v>0.70710678118654735</v>
      </c>
      <c r="F333" s="24">
        <f t="shared" si="69"/>
        <v>-1.0000000000000004</v>
      </c>
      <c r="G333" s="24">
        <f t="shared" si="70"/>
        <v>-0.99999999999999956</v>
      </c>
      <c r="H333" s="24">
        <f t="shared" si="71"/>
        <v>1.4142135623730954</v>
      </c>
      <c r="I333" s="29">
        <f t="shared" si="72"/>
        <v>-1.4142135623730947</v>
      </c>
      <c r="K333" s="1" t="str">
        <f t="shared" si="64"/>
        <v>5.48033385126219,-0.719339800338652</v>
      </c>
      <c r="L333" s="1" t="str">
        <f t="shared" si="65"/>
        <v>5.48033385126219,0.694658370458997</v>
      </c>
      <c r="M333" s="1" t="str">
        <f t="shared" si="66"/>
        <v>5.48033385126219,-1.03553031379057</v>
      </c>
      <c r="N333" s="1" t="str">
        <f t="shared" si="73"/>
        <v>5.48033385126219,-0.965688774807072</v>
      </c>
      <c r="O333" s="1" t="str">
        <f t="shared" si="73"/>
        <v>5.48033385126219,1.43955653962573</v>
      </c>
      <c r="P333" s="1" t="str">
        <f t="shared" si="73"/>
        <v>5.48033385126219,-1.39016359101668</v>
      </c>
    </row>
    <row r="334" spans="2:16" x14ac:dyDescent="0.6">
      <c r="B334" s="25">
        <v>316</v>
      </c>
      <c r="C334" s="24">
        <f t="shared" si="63"/>
        <v>5.5152404363020811</v>
      </c>
      <c r="D334" s="24">
        <f t="shared" si="67"/>
        <v>-0.69465837045899759</v>
      </c>
      <c r="E334" s="24">
        <f t="shared" si="68"/>
        <v>0.71933980033865086</v>
      </c>
      <c r="F334" s="24">
        <f t="shared" si="69"/>
        <v>-0.96568877480707482</v>
      </c>
      <c r="G334" s="24">
        <f t="shared" si="70"/>
        <v>-1.0355303137905687</v>
      </c>
      <c r="H334" s="24">
        <f t="shared" si="71"/>
        <v>1.3901635910166794</v>
      </c>
      <c r="I334" s="29">
        <f t="shared" si="72"/>
        <v>-1.4395565396257257</v>
      </c>
      <c r="K334" s="1" t="str">
        <f t="shared" si="64"/>
        <v>5.49778714378214,-0.707106781186548</v>
      </c>
      <c r="L334" s="1" t="str">
        <f t="shared" si="65"/>
        <v>5.49778714378214,0.707106781186547</v>
      </c>
      <c r="M334" s="1" t="str">
        <f t="shared" si="66"/>
        <v>5.49778714378214,-1</v>
      </c>
      <c r="N334" s="1" t="str">
        <f t="shared" si="73"/>
        <v>5.49778714378214,-1</v>
      </c>
      <c r="O334" s="1" t="str">
        <f t="shared" si="73"/>
        <v>5.49778714378214,1.4142135623731</v>
      </c>
      <c r="P334" s="1" t="str">
        <f t="shared" si="73"/>
        <v>5.49778714378214,-1.41421356237309</v>
      </c>
    </row>
    <row r="335" spans="2:16" x14ac:dyDescent="0.6">
      <c r="B335" s="25">
        <v>317</v>
      </c>
      <c r="C335" s="24">
        <f t="shared" si="63"/>
        <v>5.532693728822025</v>
      </c>
      <c r="D335" s="24">
        <f t="shared" si="67"/>
        <v>-0.68199836006249825</v>
      </c>
      <c r="E335" s="24">
        <f t="shared" si="68"/>
        <v>0.73135370161917068</v>
      </c>
      <c r="F335" s="24">
        <f t="shared" si="69"/>
        <v>-0.93251508613766121</v>
      </c>
      <c r="G335" s="24">
        <f t="shared" si="70"/>
        <v>-1.072368710024683</v>
      </c>
      <c r="H335" s="24">
        <f t="shared" si="71"/>
        <v>1.3673274610985948</v>
      </c>
      <c r="I335" s="29">
        <f t="shared" si="72"/>
        <v>-1.4662791856396256</v>
      </c>
      <c r="K335" s="1" t="str">
        <f t="shared" si="64"/>
        <v>5.51524043630208,-0.694658370458998</v>
      </c>
      <c r="L335" s="1" t="str">
        <f t="shared" si="65"/>
        <v>5.51524043630208,0.719339800338651</v>
      </c>
      <c r="M335" s="1" t="str">
        <f t="shared" si="66"/>
        <v>5.51524043630208,-0.965688774807075</v>
      </c>
      <c r="N335" s="1" t="str">
        <f t="shared" si="73"/>
        <v>5.51524043630208,-1.03553031379057</v>
      </c>
      <c r="O335" s="1" t="str">
        <f t="shared" si="73"/>
        <v>5.51524043630208,1.39016359101668</v>
      </c>
      <c r="P335" s="1" t="str">
        <f t="shared" si="73"/>
        <v>5.51524043630208,-1.43955653962573</v>
      </c>
    </row>
    <row r="336" spans="2:16" x14ac:dyDescent="0.6">
      <c r="B336" s="25">
        <v>318</v>
      </c>
      <c r="C336" s="24">
        <f t="shared" si="63"/>
        <v>5.5501470213419681</v>
      </c>
      <c r="D336" s="24">
        <f t="shared" si="67"/>
        <v>-0.66913060635885813</v>
      </c>
      <c r="E336" s="24">
        <f t="shared" si="68"/>
        <v>0.74314482547739424</v>
      </c>
      <c r="F336" s="24">
        <f t="shared" si="69"/>
        <v>-0.90040404429783982</v>
      </c>
      <c r="G336" s="24">
        <f t="shared" si="70"/>
        <v>-1.110612514829193</v>
      </c>
      <c r="H336" s="24">
        <f t="shared" si="71"/>
        <v>1.3456327296063761</v>
      </c>
      <c r="I336" s="29">
        <f t="shared" si="72"/>
        <v>-1.4944765498646089</v>
      </c>
      <c r="K336" s="1" t="str">
        <f t="shared" si="64"/>
        <v>5.53269372882203,-0.681998360062498</v>
      </c>
      <c r="L336" s="1" t="str">
        <f t="shared" si="65"/>
        <v>5.53269372882203,0.731353701619171</v>
      </c>
      <c r="M336" s="1" t="str">
        <f t="shared" si="66"/>
        <v>5.53269372882203,-0.932515086137661</v>
      </c>
      <c r="N336" s="1" t="str">
        <f t="shared" si="73"/>
        <v>5.53269372882203,-1.07236871002468</v>
      </c>
      <c r="O336" s="1" t="str">
        <f t="shared" si="73"/>
        <v>5.53269372882203,1.36732746109859</v>
      </c>
      <c r="P336" s="1" t="str">
        <f t="shared" si="73"/>
        <v>5.53269372882203,-1.46627918563963</v>
      </c>
    </row>
    <row r="337" spans="2:16" x14ac:dyDescent="0.6">
      <c r="B337" s="25">
        <v>319</v>
      </c>
      <c r="C337" s="24">
        <f t="shared" si="63"/>
        <v>5.5676003138619112</v>
      </c>
      <c r="D337" s="24">
        <f t="shared" si="67"/>
        <v>-0.65605902899050739</v>
      </c>
      <c r="E337" s="24">
        <f t="shared" si="68"/>
        <v>0.7547095802227719</v>
      </c>
      <c r="F337" s="24">
        <f t="shared" si="69"/>
        <v>-0.8692867378162269</v>
      </c>
      <c r="G337" s="24">
        <f t="shared" si="70"/>
        <v>-1.1503684072210092</v>
      </c>
      <c r="H337" s="24">
        <f t="shared" si="71"/>
        <v>1.3250129933488115</v>
      </c>
      <c r="I337" s="29">
        <f t="shared" si="72"/>
        <v>-1.5242530867058139</v>
      </c>
      <c r="K337" s="1" t="str">
        <f t="shared" si="64"/>
        <v>5.55014702134197,-0.669130606358858</v>
      </c>
      <c r="L337" s="1" t="str">
        <f t="shared" si="65"/>
        <v>5.55014702134197,0.743144825477394</v>
      </c>
      <c r="M337" s="1" t="str">
        <f t="shared" si="66"/>
        <v>5.55014702134197,-0.90040404429784</v>
      </c>
      <c r="N337" s="1" t="str">
        <f t="shared" si="73"/>
        <v>5.55014702134197,-1.11061251482919</v>
      </c>
      <c r="O337" s="1" t="str">
        <f t="shared" si="73"/>
        <v>5.55014702134197,1.34563272960638</v>
      </c>
      <c r="P337" s="1" t="str">
        <f t="shared" si="73"/>
        <v>5.55014702134197,-1.49447654986461</v>
      </c>
    </row>
    <row r="338" spans="2:16" x14ac:dyDescent="0.6">
      <c r="B338" s="25">
        <v>320</v>
      </c>
      <c r="C338" s="24">
        <f t="shared" si="63"/>
        <v>5.5850536063818543</v>
      </c>
      <c r="D338" s="24">
        <f t="shared" si="67"/>
        <v>-0.64278760968653958</v>
      </c>
      <c r="E338" s="24">
        <f t="shared" si="68"/>
        <v>0.76604444311897779</v>
      </c>
      <c r="F338" s="24">
        <f t="shared" si="69"/>
        <v>-0.83909963117728059</v>
      </c>
      <c r="G338" s="24">
        <f t="shared" si="70"/>
        <v>-1.1917535925942091</v>
      </c>
      <c r="H338" s="24">
        <f t="shared" si="71"/>
        <v>1.305407289332279</v>
      </c>
      <c r="I338" s="29">
        <f t="shared" si="72"/>
        <v>-1.5557238268604117</v>
      </c>
      <c r="K338" s="1" t="str">
        <f t="shared" si="64"/>
        <v>5.56760031386191,-0.656059028990507</v>
      </c>
      <c r="L338" s="1" t="str">
        <f t="shared" si="65"/>
        <v>5.56760031386191,0.754709580222772</v>
      </c>
      <c r="M338" s="1" t="str">
        <f t="shared" si="66"/>
        <v>5.56760031386191,-0.869286737816227</v>
      </c>
      <c r="N338" s="1" t="str">
        <f t="shared" si="73"/>
        <v>5.56760031386191,-1.15036840722101</v>
      </c>
      <c r="O338" s="1" t="str">
        <f t="shared" si="73"/>
        <v>5.56760031386191,1.32501299334881</v>
      </c>
      <c r="P338" s="1" t="str">
        <f t="shared" si="73"/>
        <v>5.56760031386191,-1.52425308670581</v>
      </c>
    </row>
    <row r="339" spans="2:16" x14ac:dyDescent="0.6">
      <c r="B339" s="25">
        <v>321</v>
      </c>
      <c r="C339" s="24">
        <f t="shared" ref="C339:C378" si="74">B339*PI()/180</f>
        <v>5.6025068989017974</v>
      </c>
      <c r="D339" s="24">
        <f t="shared" si="67"/>
        <v>-0.62932039104983784</v>
      </c>
      <c r="E339" s="24">
        <f t="shared" si="68"/>
        <v>0.77714596145697057</v>
      </c>
      <c r="F339" s="24">
        <f t="shared" si="69"/>
        <v>-0.80978403319500802</v>
      </c>
      <c r="G339" s="24">
        <f t="shared" si="70"/>
        <v>-1.2348971565350502</v>
      </c>
      <c r="H339" s="24">
        <f t="shared" si="71"/>
        <v>1.2867595658931679</v>
      </c>
      <c r="I339" s="29">
        <f t="shared" si="72"/>
        <v>-1.5890157290657485</v>
      </c>
      <c r="K339" s="1" t="str">
        <f t="shared" si="64"/>
        <v>5.58505360638185,-0.64278760968654</v>
      </c>
      <c r="L339" s="1" t="str">
        <f t="shared" si="65"/>
        <v>5.58505360638185,0.766044443118978</v>
      </c>
      <c r="M339" s="1" t="str">
        <f t="shared" si="66"/>
        <v>5.58505360638185,-0.839099631177281</v>
      </c>
      <c r="N339" s="1" t="str">
        <f t="shared" si="73"/>
        <v>5.58505360638185,-1.19175359259421</v>
      </c>
      <c r="O339" s="1" t="str">
        <f t="shared" si="73"/>
        <v>5.58505360638185,1.30540728933228</v>
      </c>
      <c r="P339" s="1" t="str">
        <f t="shared" si="73"/>
        <v>5.58505360638185,-1.55572382686041</v>
      </c>
    </row>
    <row r="340" spans="2:16" x14ac:dyDescent="0.6">
      <c r="B340" s="25">
        <v>322</v>
      </c>
      <c r="C340" s="24">
        <f t="shared" si="74"/>
        <v>5.6199601914217405</v>
      </c>
      <c r="D340" s="24">
        <f t="shared" si="67"/>
        <v>-0.61566147532565885</v>
      </c>
      <c r="E340" s="24">
        <f t="shared" si="68"/>
        <v>0.78801075360672157</v>
      </c>
      <c r="F340" s="24">
        <f t="shared" si="69"/>
        <v>-0.78128562650671851</v>
      </c>
      <c r="G340" s="24">
        <f t="shared" si="70"/>
        <v>-1.279941632193077</v>
      </c>
      <c r="H340" s="24">
        <f t="shared" si="71"/>
        <v>1.2690182150725795</v>
      </c>
      <c r="I340" s="29">
        <f t="shared" si="72"/>
        <v>-1.6242692454827425</v>
      </c>
      <c r="K340" s="1" t="str">
        <f t="shared" ref="K340:K378" si="75">_xlfn.CONCAT($C339,",",D339)</f>
        <v>5.6025068989018,-0.629320391049838</v>
      </c>
      <c r="L340" s="1" t="str">
        <f t="shared" ref="L340:L378" si="76">_xlfn.CONCAT($C339,",",E339)</f>
        <v>5.6025068989018,0.777145961456971</v>
      </c>
      <c r="M340" s="1" t="str">
        <f t="shared" ref="M340:M378" si="77">_xlfn.CONCAT($C339,",",F339)</f>
        <v>5.6025068989018,-0.809784033195008</v>
      </c>
      <c r="N340" s="1" t="str">
        <f t="shared" si="73"/>
        <v>5.6025068989018,-1.23489715653505</v>
      </c>
      <c r="O340" s="1" t="str">
        <f t="shared" si="73"/>
        <v>5.6025068989018,1.28675956589317</v>
      </c>
      <c r="P340" s="1" t="str">
        <f t="shared" si="73"/>
        <v>5.6025068989018,-1.58901572906575</v>
      </c>
    </row>
    <row r="341" spans="2:16" x14ac:dyDescent="0.6">
      <c r="B341" s="25">
        <v>323</v>
      </c>
      <c r="C341" s="24">
        <f t="shared" si="74"/>
        <v>5.6374134839416845</v>
      </c>
      <c r="D341" s="24">
        <f t="shared" si="67"/>
        <v>-0.60181502315204827</v>
      </c>
      <c r="E341" s="24">
        <f t="shared" si="68"/>
        <v>0.79863551004729283</v>
      </c>
      <c r="F341" s="24">
        <f t="shared" si="69"/>
        <v>-0.75355405010279419</v>
      </c>
      <c r="G341" s="24">
        <f t="shared" si="70"/>
        <v>-1.32704482162041</v>
      </c>
      <c r="H341" s="24">
        <f t="shared" si="71"/>
        <v>1.2521356581562257</v>
      </c>
      <c r="I341" s="29">
        <f t="shared" si="72"/>
        <v>-1.6616401411224833</v>
      </c>
      <c r="K341" s="1" t="str">
        <f t="shared" si="75"/>
        <v>5.61996019142174,-0.615661475325659</v>
      </c>
      <c r="L341" s="1" t="str">
        <f t="shared" si="76"/>
        <v>5.61996019142174,0.788010753606722</v>
      </c>
      <c r="M341" s="1" t="str">
        <f t="shared" si="77"/>
        <v>5.61996019142174,-0.781285626506719</v>
      </c>
      <c r="N341" s="1" t="str">
        <f t="shared" si="73"/>
        <v>5.61996019142174,-1.27994163219308</v>
      </c>
      <c r="O341" s="1" t="str">
        <f t="shared" si="73"/>
        <v>5.61996019142174,1.26901821507258</v>
      </c>
      <c r="P341" s="1" t="str">
        <f t="shared" si="73"/>
        <v>5.61996019142174,-1.62426924548274</v>
      </c>
    </row>
    <row r="342" spans="2:16" x14ac:dyDescent="0.6">
      <c r="B342" s="25">
        <v>324</v>
      </c>
      <c r="C342" s="24">
        <f t="shared" si="74"/>
        <v>5.6548667764616276</v>
      </c>
      <c r="D342" s="24">
        <f t="shared" si="67"/>
        <v>-0.58778525229247336</v>
      </c>
      <c r="E342" s="24">
        <f t="shared" si="68"/>
        <v>0.80901699437494734</v>
      </c>
      <c r="F342" s="24">
        <f t="shared" si="69"/>
        <v>-0.72654252800536123</v>
      </c>
      <c r="G342" s="24">
        <f t="shared" si="70"/>
        <v>-1.3763819204711729</v>
      </c>
      <c r="H342" s="24">
        <f t="shared" si="71"/>
        <v>1.2360679774997898</v>
      </c>
      <c r="I342" s="29">
        <f t="shared" si="72"/>
        <v>-1.7013016167040791</v>
      </c>
      <c r="K342" s="1" t="str">
        <f t="shared" si="75"/>
        <v>5.63741348394168,-0.601815023152048</v>
      </c>
      <c r="L342" s="1" t="str">
        <f t="shared" si="76"/>
        <v>5.63741348394168,0.798635510047293</v>
      </c>
      <c r="M342" s="1" t="str">
        <f t="shared" si="77"/>
        <v>5.63741348394168,-0.753554050102794</v>
      </c>
      <c r="N342" s="1" t="str">
        <f t="shared" si="73"/>
        <v>5.63741348394168,-1.32704482162041</v>
      </c>
      <c r="O342" s="1" t="str">
        <f t="shared" si="73"/>
        <v>5.63741348394168,1.25213565815623</v>
      </c>
      <c r="P342" s="1" t="str">
        <f t="shared" si="73"/>
        <v>5.63741348394168,-1.66164014112248</v>
      </c>
    </row>
    <row r="343" spans="2:16" x14ac:dyDescent="0.6">
      <c r="B343" s="25">
        <v>325</v>
      </c>
      <c r="C343" s="24">
        <f t="shared" si="74"/>
        <v>5.6723200689815707</v>
      </c>
      <c r="D343" s="24">
        <f t="shared" si="67"/>
        <v>-0.57357643635104649</v>
      </c>
      <c r="E343" s="24">
        <f t="shared" si="68"/>
        <v>0.81915204428899158</v>
      </c>
      <c r="F343" s="24">
        <f t="shared" si="69"/>
        <v>-0.70020753820971038</v>
      </c>
      <c r="G343" s="24">
        <f t="shared" si="70"/>
        <v>-1.4281480067421133</v>
      </c>
      <c r="H343" s="24">
        <f t="shared" si="71"/>
        <v>1.2207745887614563</v>
      </c>
      <c r="I343" s="29">
        <f t="shared" si="72"/>
        <v>-1.7434467956210968</v>
      </c>
      <c r="K343" s="1" t="str">
        <f t="shared" si="75"/>
        <v>5.65486677646163,-0.587785252292473</v>
      </c>
      <c r="L343" s="1" t="str">
        <f t="shared" si="76"/>
        <v>5.65486677646163,0.809016994374947</v>
      </c>
      <c r="M343" s="1" t="str">
        <f t="shared" si="77"/>
        <v>5.65486677646163,-0.726542528005361</v>
      </c>
      <c r="N343" s="1" t="str">
        <f t="shared" si="73"/>
        <v>5.65486677646163,-1.37638192047117</v>
      </c>
      <c r="O343" s="1" t="str">
        <f t="shared" si="73"/>
        <v>5.65486677646163,1.23606797749979</v>
      </c>
      <c r="P343" s="1" t="str">
        <f t="shared" si="73"/>
        <v>5.65486677646163,-1.70130161670408</v>
      </c>
    </row>
    <row r="344" spans="2:16" x14ac:dyDescent="0.6">
      <c r="B344" s="25">
        <v>326</v>
      </c>
      <c r="C344" s="24">
        <f t="shared" si="74"/>
        <v>5.6897733615015138</v>
      </c>
      <c r="D344" s="24">
        <f t="shared" si="67"/>
        <v>-0.55919290347074735</v>
      </c>
      <c r="E344" s="24">
        <f t="shared" si="68"/>
        <v>0.8290375725550414</v>
      </c>
      <c r="F344" s="24">
        <f t="shared" si="69"/>
        <v>-0.67450851684242752</v>
      </c>
      <c r="G344" s="24">
        <f t="shared" si="70"/>
        <v>-1.4825609685127383</v>
      </c>
      <c r="H344" s="24">
        <f t="shared" si="71"/>
        <v>1.2062179485039057</v>
      </c>
      <c r="I344" s="29">
        <f t="shared" si="72"/>
        <v>-1.788291649971399</v>
      </c>
      <c r="K344" s="1" t="str">
        <f t="shared" si="75"/>
        <v>5.67232006898157,-0.573576436351046</v>
      </c>
      <c r="L344" s="1" t="str">
        <f t="shared" si="76"/>
        <v>5.67232006898157,0.819152044288992</v>
      </c>
      <c r="M344" s="1" t="str">
        <f t="shared" si="77"/>
        <v>5.67232006898157,-0.70020753820971</v>
      </c>
      <c r="N344" s="1" t="str">
        <f t="shared" si="73"/>
        <v>5.67232006898157,-1.42814800674211</v>
      </c>
      <c r="O344" s="1" t="str">
        <f t="shared" si="73"/>
        <v>5.67232006898157,1.22077458876146</v>
      </c>
      <c r="P344" s="1" t="str">
        <f t="shared" si="73"/>
        <v>5.67232006898157,-1.7434467956211</v>
      </c>
    </row>
    <row r="345" spans="2:16" x14ac:dyDescent="0.6">
      <c r="B345" s="25">
        <v>327</v>
      </c>
      <c r="C345" s="24">
        <f t="shared" si="74"/>
        <v>5.7072266540214578</v>
      </c>
      <c r="D345" s="24">
        <f t="shared" si="67"/>
        <v>-0.54463903501502697</v>
      </c>
      <c r="E345" s="24">
        <f t="shared" si="68"/>
        <v>0.83867056794542405</v>
      </c>
      <c r="F345" s="24">
        <f t="shared" si="69"/>
        <v>-0.64940759319751051</v>
      </c>
      <c r="G345" s="24">
        <f t="shared" si="70"/>
        <v>-1.5398649638145832</v>
      </c>
      <c r="H345" s="24">
        <f t="shared" si="71"/>
        <v>1.1923632928359473</v>
      </c>
      <c r="I345" s="29">
        <f t="shared" si="72"/>
        <v>-1.8360784587766634</v>
      </c>
      <c r="K345" s="1" t="str">
        <f t="shared" si="75"/>
        <v>5.68977336150151,-0.559192903470747</v>
      </c>
      <c r="L345" s="1" t="str">
        <f t="shared" si="76"/>
        <v>5.68977336150151,0.829037572555041</v>
      </c>
      <c r="M345" s="1" t="str">
        <f t="shared" si="77"/>
        <v>5.68977336150151,-0.674508516842428</v>
      </c>
      <c r="N345" s="1" t="str">
        <f t="shared" si="73"/>
        <v>5.68977336150151,-1.48256096851274</v>
      </c>
      <c r="O345" s="1" t="str">
        <f t="shared" si="73"/>
        <v>5.68977336150151,1.20621794850391</v>
      </c>
      <c r="P345" s="1" t="str">
        <f t="shared" si="73"/>
        <v>5.68977336150151,-1.7882916499714</v>
      </c>
    </row>
    <row r="346" spans="2:16" x14ac:dyDescent="0.6">
      <c r="B346" s="25">
        <v>328</v>
      </c>
      <c r="C346" s="24">
        <f t="shared" si="74"/>
        <v>5.7246799465414</v>
      </c>
      <c r="D346" s="24">
        <f t="shared" si="67"/>
        <v>-0.52991926423320579</v>
      </c>
      <c r="E346" s="24">
        <f t="shared" si="68"/>
        <v>0.8480480961564254</v>
      </c>
      <c r="F346" s="24">
        <f t="shared" si="69"/>
        <v>-0.62486935190932891</v>
      </c>
      <c r="G346" s="24">
        <f t="shared" si="70"/>
        <v>-1.6003345290410467</v>
      </c>
      <c r="H346" s="24">
        <f t="shared" si="71"/>
        <v>1.1791784033620971</v>
      </c>
      <c r="I346" s="29">
        <f t="shared" si="72"/>
        <v>-1.8870799147998554</v>
      </c>
      <c r="K346" s="1" t="str">
        <f t="shared" si="75"/>
        <v>5.70722665402146,-0.544639035015027</v>
      </c>
      <c r="L346" s="1" t="str">
        <f t="shared" si="76"/>
        <v>5.70722665402146,0.838670567945424</v>
      </c>
      <c r="M346" s="1" t="str">
        <f t="shared" si="77"/>
        <v>5.70722665402146,-0.649407593197511</v>
      </c>
      <c r="N346" s="1" t="str">
        <f t="shared" si="73"/>
        <v>5.70722665402146,-1.53986496381458</v>
      </c>
      <c r="O346" s="1" t="str">
        <f t="shared" si="73"/>
        <v>5.70722665402146,1.19236329283595</v>
      </c>
      <c r="P346" s="1" t="str">
        <f t="shared" si="73"/>
        <v>5.70722665402146,-1.83607845877666</v>
      </c>
    </row>
    <row r="347" spans="2:16" x14ac:dyDescent="0.6">
      <c r="B347" s="25">
        <v>329</v>
      </c>
      <c r="C347" s="24">
        <f t="shared" si="74"/>
        <v>5.742133239061344</v>
      </c>
      <c r="D347" s="24">
        <f t="shared" si="67"/>
        <v>-0.51503807491005449</v>
      </c>
      <c r="E347" s="24">
        <f t="shared" si="68"/>
        <v>0.85716730070211211</v>
      </c>
      <c r="F347" s="24">
        <f t="shared" si="69"/>
        <v>-0.60086061902756083</v>
      </c>
      <c r="G347" s="24">
        <f t="shared" si="70"/>
        <v>-1.6642794823505167</v>
      </c>
      <c r="H347" s="24">
        <f t="shared" si="71"/>
        <v>1.1666333972153307</v>
      </c>
      <c r="I347" s="29">
        <f t="shared" si="72"/>
        <v>-1.9416040264103553</v>
      </c>
      <c r="K347" s="1" t="str">
        <f t="shared" si="75"/>
        <v>5.7246799465414,-0.529919264233206</v>
      </c>
      <c r="L347" s="1" t="str">
        <f t="shared" si="76"/>
        <v>5.7246799465414,0.848048096156425</v>
      </c>
      <c r="M347" s="1" t="str">
        <f t="shared" si="77"/>
        <v>5.7246799465414,-0.624869351909329</v>
      </c>
      <c r="N347" s="1" t="str">
        <f t="shared" si="73"/>
        <v>5.7246799465414,-1.60033452904105</v>
      </c>
      <c r="O347" s="1" t="str">
        <f t="shared" si="73"/>
        <v>5.7246799465414,1.1791784033621</v>
      </c>
      <c r="P347" s="1" t="str">
        <f t="shared" si="73"/>
        <v>5.7246799465414,-1.88707991479986</v>
      </c>
    </row>
    <row r="348" spans="2:16" x14ac:dyDescent="0.6">
      <c r="B348" s="25">
        <v>330</v>
      </c>
      <c r="C348" s="24">
        <f t="shared" si="74"/>
        <v>5.7595865315812871</v>
      </c>
      <c r="D348" s="24">
        <f t="shared" si="67"/>
        <v>-0.50000000000000044</v>
      </c>
      <c r="E348" s="24">
        <f t="shared" si="68"/>
        <v>0.86602540378443837</v>
      </c>
      <c r="F348" s="24">
        <f t="shared" si="69"/>
        <v>-0.57735026918962651</v>
      </c>
      <c r="G348" s="24">
        <f t="shared" si="70"/>
        <v>-1.732050807568875</v>
      </c>
      <c r="H348" s="24">
        <f t="shared" si="71"/>
        <v>1.1547005383792519</v>
      </c>
      <c r="I348" s="29">
        <f t="shared" si="72"/>
        <v>-1.9999999999999982</v>
      </c>
      <c r="K348" s="1" t="str">
        <f t="shared" si="75"/>
        <v>5.74213323906134,-0.515038074910054</v>
      </c>
      <c r="L348" s="1" t="str">
        <f t="shared" si="76"/>
        <v>5.74213323906134,0.857167300702112</v>
      </c>
      <c r="M348" s="1" t="str">
        <f t="shared" si="77"/>
        <v>5.74213323906134,-0.600860619027561</v>
      </c>
      <c r="N348" s="1" t="str">
        <f t="shared" si="73"/>
        <v>5.74213323906134,-1.66427948235052</v>
      </c>
      <c r="O348" s="1" t="str">
        <f t="shared" si="73"/>
        <v>5.74213323906134,1.16663339721533</v>
      </c>
      <c r="P348" s="1" t="str">
        <f t="shared" si="73"/>
        <v>5.74213323906134,-1.94160402641036</v>
      </c>
    </row>
    <row r="349" spans="2:16" x14ac:dyDescent="0.6">
      <c r="B349" s="25">
        <v>331</v>
      </c>
      <c r="C349" s="24">
        <f t="shared" si="74"/>
        <v>5.7770398241012311</v>
      </c>
      <c r="D349" s="24">
        <f t="shared" si="67"/>
        <v>-0.48480962024633689</v>
      </c>
      <c r="E349" s="24">
        <f t="shared" si="68"/>
        <v>0.87461970713939585</v>
      </c>
      <c r="F349" s="24">
        <f t="shared" si="69"/>
        <v>-0.55430905145276865</v>
      </c>
      <c r="G349" s="24">
        <f t="shared" si="70"/>
        <v>-1.8040477552714247</v>
      </c>
      <c r="H349" s="24">
        <f t="shared" si="71"/>
        <v>1.1433540678733198</v>
      </c>
      <c r="I349" s="29">
        <f t="shared" si="72"/>
        <v>-2.0626653396273147</v>
      </c>
      <c r="K349" s="1" t="str">
        <f t="shared" si="75"/>
        <v>5.75958653158129,-0.5</v>
      </c>
      <c r="L349" s="1" t="str">
        <f t="shared" si="76"/>
        <v>5.75958653158129,0.866025403784438</v>
      </c>
      <c r="M349" s="1" t="str">
        <f t="shared" si="77"/>
        <v>5.75958653158129,-0.577350269189627</v>
      </c>
      <c r="N349" s="1" t="str">
        <f t="shared" si="73"/>
        <v>5.75958653158129,-1.73205080756887</v>
      </c>
      <c r="O349" s="1" t="str">
        <f t="shared" si="73"/>
        <v>5.75958653158129,1.15470053837925</v>
      </c>
      <c r="P349" s="1" t="str">
        <f t="shared" si="73"/>
        <v>5.75958653158129,-2</v>
      </c>
    </row>
    <row r="350" spans="2:16" x14ac:dyDescent="0.6">
      <c r="B350" s="25">
        <v>332</v>
      </c>
      <c r="C350" s="24">
        <f t="shared" si="74"/>
        <v>5.7944931166211742</v>
      </c>
      <c r="D350" s="24">
        <f t="shared" si="67"/>
        <v>-0.46947156278589081</v>
      </c>
      <c r="E350" s="24">
        <f t="shared" si="68"/>
        <v>0.88294759285892688</v>
      </c>
      <c r="F350" s="24">
        <f t="shared" si="69"/>
        <v>-0.53170943166147877</v>
      </c>
      <c r="G350" s="24">
        <f t="shared" si="70"/>
        <v>-1.880726465346332</v>
      </c>
      <c r="H350" s="24">
        <f t="shared" si="71"/>
        <v>1.1325700506890393</v>
      </c>
      <c r="I350" s="29">
        <f t="shared" si="72"/>
        <v>-2.1300544681895124</v>
      </c>
      <c r="K350" s="1" t="str">
        <f t="shared" si="75"/>
        <v>5.77703982410123,-0.484809620246337</v>
      </c>
      <c r="L350" s="1" t="str">
        <f t="shared" si="76"/>
        <v>5.77703982410123,0.874619707139396</v>
      </c>
      <c r="M350" s="1" t="str">
        <f t="shared" si="77"/>
        <v>5.77703982410123,-0.554309051452769</v>
      </c>
      <c r="N350" s="1" t="str">
        <f t="shared" si="73"/>
        <v>5.77703982410123,-1.80404775527142</v>
      </c>
      <c r="O350" s="1" t="str">
        <f t="shared" si="73"/>
        <v>5.77703982410123,1.14335406787332</v>
      </c>
      <c r="P350" s="1" t="str">
        <f t="shared" si="73"/>
        <v>5.77703982410123,-2.06266533962731</v>
      </c>
    </row>
    <row r="351" spans="2:16" x14ac:dyDescent="0.6">
      <c r="B351" s="25">
        <v>333</v>
      </c>
      <c r="C351" s="24">
        <f t="shared" si="74"/>
        <v>5.8119464091411173</v>
      </c>
      <c r="D351" s="24">
        <f t="shared" si="67"/>
        <v>-0.45399049973954697</v>
      </c>
      <c r="E351" s="24">
        <f t="shared" si="68"/>
        <v>0.89100652418836779</v>
      </c>
      <c r="F351" s="24">
        <f t="shared" si="69"/>
        <v>-0.50952544949442913</v>
      </c>
      <c r="G351" s="24">
        <f t="shared" si="70"/>
        <v>-1.9626105055051493</v>
      </c>
      <c r="H351" s="24">
        <f t="shared" si="71"/>
        <v>1.1223262376343608</v>
      </c>
      <c r="I351" s="29">
        <f t="shared" si="72"/>
        <v>-2.2026892645852656</v>
      </c>
      <c r="K351" s="1" t="str">
        <f t="shared" si="75"/>
        <v>5.79449311662117,-0.469471562785891</v>
      </c>
      <c r="L351" s="1" t="str">
        <f t="shared" si="76"/>
        <v>5.79449311662117,0.882947592858927</v>
      </c>
      <c r="M351" s="1" t="str">
        <f t="shared" si="77"/>
        <v>5.79449311662117,-0.531709431661479</v>
      </c>
      <c r="N351" s="1" t="str">
        <f t="shared" si="73"/>
        <v>5.79449311662117,-1.88072646534633</v>
      </c>
      <c r="O351" s="1" t="str">
        <f t="shared" si="73"/>
        <v>5.79449311662117,1.13257005068904</v>
      </c>
      <c r="P351" s="1" t="str">
        <f t="shared" si="73"/>
        <v>5.79449311662117,-2.13005446818951</v>
      </c>
    </row>
    <row r="352" spans="2:16" x14ac:dyDescent="0.6">
      <c r="B352" s="25">
        <v>334</v>
      </c>
      <c r="C352" s="24">
        <f t="shared" si="74"/>
        <v>5.8293997016610613</v>
      </c>
      <c r="D352" s="24">
        <f t="shared" si="67"/>
        <v>-0.43837114678907702</v>
      </c>
      <c r="E352" s="24">
        <f t="shared" si="68"/>
        <v>0.89879404629916715</v>
      </c>
      <c r="F352" s="24">
        <f t="shared" si="69"/>
        <v>-0.48773258856586083</v>
      </c>
      <c r="G352" s="24">
        <f t="shared" si="70"/>
        <v>-2.0503038415792987</v>
      </c>
      <c r="H352" s="24">
        <f t="shared" si="71"/>
        <v>1.1126019404751888</v>
      </c>
      <c r="I352" s="29">
        <f t="shared" si="72"/>
        <v>-2.2811720327048612</v>
      </c>
      <c r="K352" s="1" t="str">
        <f t="shared" si="75"/>
        <v>5.81194640914112,-0.453990499739547</v>
      </c>
      <c r="L352" s="1" t="str">
        <f t="shared" si="76"/>
        <v>5.81194640914112,0.891006524188368</v>
      </c>
      <c r="M352" s="1" t="str">
        <f t="shared" si="77"/>
        <v>5.81194640914112,-0.509525449494429</v>
      </c>
      <c r="N352" s="1" t="str">
        <f t="shared" si="73"/>
        <v>5.81194640914112,-1.96261050550515</v>
      </c>
      <c r="O352" s="1" t="str">
        <f t="shared" si="73"/>
        <v>5.81194640914112,1.12232623763436</v>
      </c>
      <c r="P352" s="1" t="str">
        <f t="shared" si="73"/>
        <v>5.81194640914112,-2.20268926458527</v>
      </c>
    </row>
    <row r="353" spans="2:16" x14ac:dyDescent="0.6">
      <c r="B353" s="25">
        <v>335</v>
      </c>
      <c r="C353" s="24">
        <f t="shared" si="74"/>
        <v>5.8468529941810035</v>
      </c>
      <c r="D353" s="24">
        <f t="shared" si="67"/>
        <v>-0.4226182617407</v>
      </c>
      <c r="E353" s="24">
        <f t="shared" si="68"/>
        <v>0.90630778703664971</v>
      </c>
      <c r="F353" s="24">
        <f t="shared" si="69"/>
        <v>-0.46630765815499936</v>
      </c>
      <c r="G353" s="24">
        <f t="shared" si="70"/>
        <v>-2.144506920509555</v>
      </c>
      <c r="H353" s="24">
        <f t="shared" si="71"/>
        <v>1.1033779189624922</v>
      </c>
      <c r="I353" s="29">
        <f t="shared" si="72"/>
        <v>-2.3662015831524954</v>
      </c>
      <c r="K353" s="1" t="str">
        <f t="shared" si="75"/>
        <v>5.82939970166106,-0.438371146789077</v>
      </c>
      <c r="L353" s="1" t="str">
        <f t="shared" si="76"/>
        <v>5.82939970166106,0.898794046299167</v>
      </c>
      <c r="M353" s="1" t="str">
        <f t="shared" si="77"/>
        <v>5.82939970166106,-0.487732588565861</v>
      </c>
      <c r="N353" s="1" t="str">
        <f t="shared" si="73"/>
        <v>5.82939970166106,-2.0503038415793</v>
      </c>
      <c r="O353" s="1" t="str">
        <f t="shared" si="73"/>
        <v>5.82939970166106,1.11260194047519</v>
      </c>
      <c r="P353" s="1" t="str">
        <f t="shared" si="73"/>
        <v>5.82939970166106,-2.28117203270486</v>
      </c>
    </row>
    <row r="354" spans="2:16" x14ac:dyDescent="0.6">
      <c r="B354" s="25">
        <v>336</v>
      </c>
      <c r="C354" s="24">
        <f t="shared" si="74"/>
        <v>5.8643062867009474</v>
      </c>
      <c r="D354" s="24">
        <f t="shared" si="67"/>
        <v>-0.40673664307580015</v>
      </c>
      <c r="E354" s="24">
        <f t="shared" si="68"/>
        <v>0.91354545764260098</v>
      </c>
      <c r="F354" s="24">
        <f t="shared" si="69"/>
        <v>-0.4452286853085361</v>
      </c>
      <c r="G354" s="24">
        <f t="shared" si="70"/>
        <v>-2.2460367739042164</v>
      </c>
      <c r="H354" s="24">
        <f t="shared" si="71"/>
        <v>1.0946362785060466</v>
      </c>
      <c r="I354" s="29">
        <f t="shared" si="72"/>
        <v>-2.4585933355742386</v>
      </c>
      <c r="K354" s="1" t="str">
        <f t="shared" si="75"/>
        <v>5.846852994181,-0.4226182617407</v>
      </c>
      <c r="L354" s="1" t="str">
        <f t="shared" si="76"/>
        <v>5.846852994181,0.90630778703665</v>
      </c>
      <c r="M354" s="1" t="str">
        <f t="shared" si="77"/>
        <v>5.846852994181,-0.466307658154999</v>
      </c>
      <c r="N354" s="1" t="str">
        <f t="shared" si="73"/>
        <v>5.846852994181,-2.14450692050956</v>
      </c>
      <c r="O354" s="1" t="str">
        <f t="shared" si="73"/>
        <v>5.846852994181,1.10337791896249</v>
      </c>
      <c r="P354" s="1" t="str">
        <f t="shared" si="73"/>
        <v>5.846852994181,-2.3662015831525</v>
      </c>
    </row>
    <row r="355" spans="2:16" x14ac:dyDescent="0.6">
      <c r="B355" s="25">
        <v>337</v>
      </c>
      <c r="C355" s="24">
        <f t="shared" si="74"/>
        <v>5.8817595792208897</v>
      </c>
      <c r="D355" s="24">
        <f t="shared" si="67"/>
        <v>-0.39073112848927471</v>
      </c>
      <c r="E355" s="24">
        <f t="shared" si="68"/>
        <v>0.92050485345243993</v>
      </c>
      <c r="F355" s="24">
        <f t="shared" si="69"/>
        <v>-0.42447481620960592</v>
      </c>
      <c r="G355" s="24">
        <f t="shared" si="70"/>
        <v>-2.3558523658237465</v>
      </c>
      <c r="H355" s="24">
        <f t="shared" si="71"/>
        <v>1.0863603774052968</v>
      </c>
      <c r="I355" s="29">
        <f t="shared" si="72"/>
        <v>-2.559304665247446</v>
      </c>
      <c r="K355" s="1" t="str">
        <f t="shared" si="75"/>
        <v>5.86430628670095,-0.4067366430758</v>
      </c>
      <c r="L355" s="1" t="str">
        <f t="shared" si="76"/>
        <v>5.86430628670095,0.913545457642601</v>
      </c>
      <c r="M355" s="1" t="str">
        <f t="shared" si="77"/>
        <v>5.86430628670095,-0.445228685308536</v>
      </c>
      <c r="N355" s="1" t="str">
        <f t="shared" si="73"/>
        <v>5.86430628670095,-2.24603677390422</v>
      </c>
      <c r="O355" s="1" t="str">
        <f t="shared" si="73"/>
        <v>5.86430628670095,1.09463627850605</v>
      </c>
      <c r="P355" s="1" t="str">
        <f t="shared" si="73"/>
        <v>5.86430628670095,-2.45859333557424</v>
      </c>
    </row>
    <row r="356" spans="2:16" x14ac:dyDescent="0.6">
      <c r="B356" s="25">
        <v>338</v>
      </c>
      <c r="C356" s="24">
        <f t="shared" si="74"/>
        <v>5.8992128717408336</v>
      </c>
      <c r="D356" s="24">
        <f t="shared" si="67"/>
        <v>-0.37460659341591235</v>
      </c>
      <c r="E356" s="24">
        <f t="shared" si="68"/>
        <v>0.92718385456678731</v>
      </c>
      <c r="F356" s="24">
        <f t="shared" si="69"/>
        <v>-0.40402622583515718</v>
      </c>
      <c r="G356" s="24">
        <f t="shared" si="70"/>
        <v>-2.4750868534162938</v>
      </c>
      <c r="H356" s="24">
        <f t="shared" si="71"/>
        <v>1.0785347426775835</v>
      </c>
      <c r="I356" s="29">
        <f t="shared" si="72"/>
        <v>-2.6694671625540121</v>
      </c>
      <c r="K356" s="1" t="str">
        <f t="shared" si="75"/>
        <v>5.88175957922089,-0.390731128489275</v>
      </c>
      <c r="L356" s="1" t="str">
        <f t="shared" si="76"/>
        <v>5.88175957922089,0.92050485345244</v>
      </c>
      <c r="M356" s="1" t="str">
        <f t="shared" si="77"/>
        <v>5.88175957922089,-0.424474816209606</v>
      </c>
      <c r="N356" s="1" t="str">
        <f t="shared" si="73"/>
        <v>5.88175957922089,-2.35585236582375</v>
      </c>
      <c r="O356" s="1" t="str">
        <f t="shared" si="73"/>
        <v>5.88175957922089,1.0863603774053</v>
      </c>
      <c r="P356" s="1" t="str">
        <f t="shared" si="73"/>
        <v>5.88175957922089,-2.55930466524745</v>
      </c>
    </row>
    <row r="357" spans="2:16" x14ac:dyDescent="0.6">
      <c r="B357" s="25">
        <v>339</v>
      </c>
      <c r="C357" s="24">
        <f t="shared" si="74"/>
        <v>5.9166661642607767</v>
      </c>
      <c r="D357" s="24">
        <f t="shared" si="67"/>
        <v>-0.35836794954530077</v>
      </c>
      <c r="E357" s="24">
        <f t="shared" si="68"/>
        <v>0.93358042649720152</v>
      </c>
      <c r="F357" s="24">
        <f t="shared" si="69"/>
        <v>-0.38386403503541638</v>
      </c>
      <c r="G357" s="24">
        <f t="shared" si="70"/>
        <v>-2.6050890646937974</v>
      </c>
      <c r="H357" s="24">
        <f t="shared" si="71"/>
        <v>1.0711449936370292</v>
      </c>
      <c r="I357" s="29">
        <f t="shared" si="72"/>
        <v>-2.7904281096253323</v>
      </c>
      <c r="K357" s="1" t="str">
        <f t="shared" si="75"/>
        <v>5.89921287174083,-0.374606593415912</v>
      </c>
      <c r="L357" s="1" t="str">
        <f t="shared" si="76"/>
        <v>5.89921287174083,0.927183854566787</v>
      </c>
      <c r="M357" s="1" t="str">
        <f t="shared" si="77"/>
        <v>5.89921287174083,-0.404026225835157</v>
      </c>
      <c r="N357" s="1" t="str">
        <f t="shared" si="73"/>
        <v>5.89921287174083,-2.47508685341629</v>
      </c>
      <c r="O357" s="1" t="str">
        <f t="shared" si="73"/>
        <v>5.89921287174083,1.07853474267758</v>
      </c>
      <c r="P357" s="1" t="str">
        <f t="shared" si="73"/>
        <v>5.89921287174083,-2.66946716255401</v>
      </c>
    </row>
    <row r="358" spans="2:16" x14ac:dyDescent="0.6">
      <c r="B358" s="25">
        <v>340</v>
      </c>
      <c r="C358" s="24">
        <f t="shared" si="74"/>
        <v>5.9341194567807207</v>
      </c>
      <c r="D358" s="24">
        <f t="shared" si="67"/>
        <v>-0.3420201433256686</v>
      </c>
      <c r="E358" s="24">
        <f t="shared" si="68"/>
        <v>0.93969262078590843</v>
      </c>
      <c r="F358" s="24">
        <f t="shared" si="69"/>
        <v>-0.36397023426620218</v>
      </c>
      <c r="G358" s="24">
        <f t="shared" si="70"/>
        <v>-2.7474774194546239</v>
      </c>
      <c r="H358" s="24">
        <f t="shared" si="71"/>
        <v>1.0641777724759121</v>
      </c>
      <c r="I358" s="29">
        <f t="shared" si="72"/>
        <v>-2.9238044001630885</v>
      </c>
      <c r="K358" s="1" t="str">
        <f t="shared" si="75"/>
        <v>5.91666616426078,-0.358367949545301</v>
      </c>
      <c r="L358" s="1" t="str">
        <f t="shared" si="76"/>
        <v>5.91666616426078,0.933580426497202</v>
      </c>
      <c r="M358" s="1" t="str">
        <f t="shared" si="77"/>
        <v>5.91666616426078,-0.383864035035416</v>
      </c>
      <c r="N358" s="1" t="str">
        <f t="shared" si="73"/>
        <v>5.91666616426078,-2.6050890646938</v>
      </c>
      <c r="O358" s="1" t="str">
        <f t="shared" si="73"/>
        <v>5.91666616426078,1.07114499363703</v>
      </c>
      <c r="P358" s="1" t="str">
        <f t="shared" si="73"/>
        <v>5.91666616426078,-2.79042810962533</v>
      </c>
    </row>
    <row r="359" spans="2:16" x14ac:dyDescent="0.6">
      <c r="B359" s="25">
        <v>341</v>
      </c>
      <c r="C359" s="24">
        <f t="shared" si="74"/>
        <v>5.9515727493006629</v>
      </c>
      <c r="D359" s="24">
        <f t="shared" si="67"/>
        <v>-0.32556815445715753</v>
      </c>
      <c r="E359" s="24">
        <f t="shared" si="68"/>
        <v>0.94551857559931651</v>
      </c>
      <c r="F359" s="24">
        <f t="shared" si="69"/>
        <v>-0.34432761328966627</v>
      </c>
      <c r="G359" s="24">
        <f t="shared" si="70"/>
        <v>-2.9042108776758142</v>
      </c>
      <c r="H359" s="24">
        <f t="shared" si="71"/>
        <v>1.0576206811866711</v>
      </c>
      <c r="I359" s="29">
        <f t="shared" si="72"/>
        <v>-3.0715534867572343</v>
      </c>
      <c r="K359" s="1" t="str">
        <f t="shared" si="75"/>
        <v>5.93411945678072,-0.342020143325669</v>
      </c>
      <c r="L359" s="1" t="str">
        <f t="shared" si="76"/>
        <v>5.93411945678072,0.939692620785908</v>
      </c>
      <c r="M359" s="1" t="str">
        <f t="shared" si="77"/>
        <v>5.93411945678072,-0.363970234266202</v>
      </c>
      <c r="N359" s="1" t="str">
        <f t="shared" si="73"/>
        <v>5.93411945678072,-2.74747741945462</v>
      </c>
      <c r="O359" s="1" t="str">
        <f t="shared" si="73"/>
        <v>5.93411945678072,1.06417777247591</v>
      </c>
      <c r="P359" s="1" t="str">
        <f t="shared" si="73"/>
        <v>5.93411945678072,-2.92380440016309</v>
      </c>
    </row>
    <row r="360" spans="2:16" x14ac:dyDescent="0.6">
      <c r="B360" s="25">
        <v>342</v>
      </c>
      <c r="C360" s="24">
        <f t="shared" si="74"/>
        <v>5.9690260418206069</v>
      </c>
      <c r="D360" s="24">
        <f t="shared" si="67"/>
        <v>-0.30901699437494762</v>
      </c>
      <c r="E360" s="24">
        <f t="shared" si="68"/>
        <v>0.95105651629515353</v>
      </c>
      <c r="F360" s="24">
        <f t="shared" si="69"/>
        <v>-0.32491969623290656</v>
      </c>
      <c r="G360" s="24">
        <f t="shared" si="70"/>
        <v>-3.0776835371752513</v>
      </c>
      <c r="H360" s="24">
        <f t="shared" si="71"/>
        <v>1.0514622242382672</v>
      </c>
      <c r="I360" s="29">
        <f t="shared" si="72"/>
        <v>-3.2360679774997876</v>
      </c>
      <c r="K360" s="1" t="str">
        <f t="shared" si="75"/>
        <v>5.95157274930066,-0.325568154457158</v>
      </c>
      <c r="L360" s="1" t="str">
        <f t="shared" si="76"/>
        <v>5.95157274930066,0.945518575599317</v>
      </c>
      <c r="M360" s="1" t="str">
        <f t="shared" si="77"/>
        <v>5.95157274930066,-0.344327613289666</v>
      </c>
      <c r="N360" s="1" t="str">
        <f t="shared" si="73"/>
        <v>5.95157274930066,-2.90421087767581</v>
      </c>
      <c r="O360" s="1" t="str">
        <f t="shared" si="73"/>
        <v>5.95157274930066,1.05762068118667</v>
      </c>
      <c r="P360" s="1" t="str">
        <f t="shared" si="73"/>
        <v>5.95157274930066,-3.07155348675723</v>
      </c>
    </row>
    <row r="361" spans="2:16" x14ac:dyDescent="0.6">
      <c r="B361" s="25">
        <v>343</v>
      </c>
      <c r="C361" s="24">
        <f t="shared" si="74"/>
        <v>5.9864793343405509</v>
      </c>
      <c r="D361" s="24">
        <f t="shared" si="67"/>
        <v>-0.29237170472273627</v>
      </c>
      <c r="E361" s="24">
        <f t="shared" si="68"/>
        <v>0.95630475596303566</v>
      </c>
      <c r="F361" s="24">
        <f t="shared" si="69"/>
        <v>-0.30573068145865984</v>
      </c>
      <c r="G361" s="24">
        <f t="shared" si="70"/>
        <v>-3.2708526184841462</v>
      </c>
      <c r="H361" s="24">
        <f t="shared" si="71"/>
        <v>1.0456917564871477</v>
      </c>
      <c r="I361" s="29">
        <f t="shared" si="72"/>
        <v>-3.4203036198332741</v>
      </c>
      <c r="K361" s="1" t="str">
        <f t="shared" si="75"/>
        <v>5.96902604182061,-0.309016994374948</v>
      </c>
      <c r="L361" s="1" t="str">
        <f t="shared" si="76"/>
        <v>5.96902604182061,0.951056516295154</v>
      </c>
      <c r="M361" s="1" t="str">
        <f t="shared" si="77"/>
        <v>5.96902604182061,-0.324919696232907</v>
      </c>
      <c r="N361" s="1" t="str">
        <f t="shared" si="73"/>
        <v>5.96902604182061,-3.07768353717525</v>
      </c>
      <c r="O361" s="1" t="str">
        <f t="shared" si="73"/>
        <v>5.96902604182061,1.05146222423827</v>
      </c>
      <c r="P361" s="1" t="str">
        <f t="shared" si="73"/>
        <v>5.96902604182061,-3.23606797749979</v>
      </c>
    </row>
    <row r="362" spans="2:16" x14ac:dyDescent="0.6">
      <c r="B362" s="25">
        <v>344</v>
      </c>
      <c r="C362" s="24">
        <f t="shared" si="74"/>
        <v>6.0039326268604931</v>
      </c>
      <c r="D362" s="24">
        <f t="shared" si="67"/>
        <v>-0.27563735581699977</v>
      </c>
      <c r="E362" s="24">
        <f t="shared" si="68"/>
        <v>0.96126169593831867</v>
      </c>
      <c r="F362" s="24">
        <f t="shared" si="69"/>
        <v>-0.28674538575880865</v>
      </c>
      <c r="G362" s="24">
        <f t="shared" si="70"/>
        <v>-3.4874144438409003</v>
      </c>
      <c r="H362" s="24">
        <f t="shared" si="71"/>
        <v>1.0402994358616022</v>
      </c>
      <c r="I362" s="29">
        <f t="shared" si="72"/>
        <v>-3.6279552785432925</v>
      </c>
      <c r="K362" s="1" t="str">
        <f t="shared" si="75"/>
        <v>5.98647933434055,-0.292371704722736</v>
      </c>
      <c r="L362" s="1" t="str">
        <f t="shared" si="76"/>
        <v>5.98647933434055,0.956304755963036</v>
      </c>
      <c r="M362" s="1" t="str">
        <f t="shared" si="77"/>
        <v>5.98647933434055,-0.30573068145866</v>
      </c>
      <c r="N362" s="1" t="str">
        <f t="shared" si="73"/>
        <v>5.98647933434055,-3.27085261848415</v>
      </c>
      <c r="O362" s="1" t="str">
        <f t="shared" si="73"/>
        <v>5.98647933434055,1.04569175648715</v>
      </c>
      <c r="P362" s="1" t="str">
        <f t="shared" si="73"/>
        <v>5.98647933434055,-3.42030361983327</v>
      </c>
    </row>
    <row r="363" spans="2:16" x14ac:dyDescent="0.6">
      <c r="B363" s="25">
        <v>345</v>
      </c>
      <c r="C363" s="24">
        <f t="shared" si="74"/>
        <v>6.0213859193804371</v>
      </c>
      <c r="D363" s="24">
        <f t="shared" si="67"/>
        <v>-0.25881904510252068</v>
      </c>
      <c r="E363" s="24">
        <f t="shared" si="68"/>
        <v>0.96592582628906831</v>
      </c>
      <c r="F363" s="24">
        <f t="shared" si="69"/>
        <v>-0.26794919243112264</v>
      </c>
      <c r="G363" s="24">
        <f t="shared" si="70"/>
        <v>-3.7320508075688781</v>
      </c>
      <c r="H363" s="24">
        <f t="shared" si="71"/>
        <v>1.035276180410083</v>
      </c>
      <c r="I363" s="29">
        <f t="shared" si="72"/>
        <v>-3.8637033051562741</v>
      </c>
      <c r="K363" s="1" t="str">
        <f t="shared" si="75"/>
        <v>6.00393262686049,-0.275637355817</v>
      </c>
      <c r="L363" s="1" t="str">
        <f t="shared" si="76"/>
        <v>6.00393262686049,0.961261695938319</v>
      </c>
      <c r="M363" s="1" t="str">
        <f t="shared" si="77"/>
        <v>6.00393262686049,-0.286745385758809</v>
      </c>
      <c r="N363" s="1" t="str">
        <f t="shared" si="73"/>
        <v>6.00393262686049,-3.4874144438409</v>
      </c>
      <c r="O363" s="1" t="str">
        <f t="shared" si="73"/>
        <v>6.00393262686049,1.0402994358616</v>
      </c>
      <c r="P363" s="1" t="str">
        <f t="shared" si="73"/>
        <v>6.00393262686049,-3.62795527854329</v>
      </c>
    </row>
    <row r="364" spans="2:16" x14ac:dyDescent="0.6">
      <c r="B364" s="25">
        <v>346</v>
      </c>
      <c r="C364" s="24">
        <f t="shared" si="74"/>
        <v>6.0388392119003802</v>
      </c>
      <c r="D364" s="24">
        <f t="shared" si="67"/>
        <v>-0.24192189559966787</v>
      </c>
      <c r="E364" s="24">
        <f t="shared" si="68"/>
        <v>0.97029572627599647</v>
      </c>
      <c r="F364" s="24">
        <f t="shared" si="69"/>
        <v>-0.24932800284318082</v>
      </c>
      <c r="G364" s="24">
        <f t="shared" si="70"/>
        <v>-4.0107809335358429</v>
      </c>
      <c r="H364" s="24">
        <f t="shared" si="71"/>
        <v>1.0306136293498982</v>
      </c>
      <c r="I364" s="29">
        <f t="shared" si="72"/>
        <v>-4.1335654944387468</v>
      </c>
      <c r="K364" s="1" t="str">
        <f t="shared" si="75"/>
        <v>6.02138591938044,-0.258819045102521</v>
      </c>
      <c r="L364" s="1" t="str">
        <f t="shared" si="76"/>
        <v>6.02138591938044,0.965925826289068</v>
      </c>
      <c r="M364" s="1" t="str">
        <f t="shared" si="77"/>
        <v>6.02138591938044,-0.267949192431123</v>
      </c>
      <c r="N364" s="1" t="str">
        <f t="shared" si="73"/>
        <v>6.02138591938044,-3.73205080756888</v>
      </c>
      <c r="O364" s="1" t="str">
        <f t="shared" si="73"/>
        <v>6.02138591938044,1.03527618041008</v>
      </c>
      <c r="P364" s="1" t="str">
        <f t="shared" si="73"/>
        <v>6.02138591938044,-3.86370330515627</v>
      </c>
    </row>
    <row r="365" spans="2:16" x14ac:dyDescent="0.6">
      <c r="B365" s="25">
        <v>347</v>
      </c>
      <c r="C365" s="24">
        <f t="shared" si="74"/>
        <v>6.0562925044203233</v>
      </c>
      <c r="D365" s="24">
        <f t="shared" si="67"/>
        <v>-0.22495105434386534</v>
      </c>
      <c r="E365" s="24">
        <f t="shared" si="68"/>
        <v>0.97437006478523513</v>
      </c>
      <c r="F365" s="24">
        <f t="shared" si="69"/>
        <v>-0.23086819112556348</v>
      </c>
      <c r="G365" s="24">
        <f t="shared" si="70"/>
        <v>-4.3314758742841484</v>
      </c>
      <c r="H365" s="24">
        <f t="shared" si="71"/>
        <v>1.0263041077933917</v>
      </c>
      <c r="I365" s="29">
        <f t="shared" si="72"/>
        <v>-4.4454114825857944</v>
      </c>
      <c r="K365" s="1" t="str">
        <f t="shared" si="75"/>
        <v>6.03883921190038,-0.241921895599668</v>
      </c>
      <c r="L365" s="1" t="str">
        <f t="shared" si="76"/>
        <v>6.03883921190038,0.970295726275996</v>
      </c>
      <c r="M365" s="1" t="str">
        <f t="shared" si="77"/>
        <v>6.03883921190038,-0.249328002843181</v>
      </c>
      <c r="N365" s="1" t="str">
        <f t="shared" si="73"/>
        <v>6.03883921190038,-4.01078093353584</v>
      </c>
      <c r="O365" s="1" t="str">
        <f t="shared" si="73"/>
        <v>6.03883921190038,1.0306136293499</v>
      </c>
      <c r="P365" s="1" t="str">
        <f t="shared" si="73"/>
        <v>6.03883921190038,-4.13356549443875</v>
      </c>
    </row>
    <row r="366" spans="2:16" x14ac:dyDescent="0.6">
      <c r="B366" s="25">
        <v>348</v>
      </c>
      <c r="C366" s="24">
        <f t="shared" si="74"/>
        <v>6.0737457969402664</v>
      </c>
      <c r="D366" s="24">
        <f t="shared" si="67"/>
        <v>-0.20791169081775987</v>
      </c>
      <c r="E366" s="24">
        <f t="shared" si="68"/>
        <v>0.97814760073380558</v>
      </c>
      <c r="F366" s="24">
        <f t="shared" si="69"/>
        <v>-0.21255656167002268</v>
      </c>
      <c r="G366" s="24">
        <f t="shared" si="70"/>
        <v>-4.7046301094784422</v>
      </c>
      <c r="H366" s="24">
        <f t="shared" si="71"/>
        <v>1.0223405948650293</v>
      </c>
      <c r="I366" s="29">
        <f t="shared" si="72"/>
        <v>-4.8097343447441183</v>
      </c>
      <c r="K366" s="1" t="str">
        <f t="shared" si="75"/>
        <v>6.05629250442032,-0.224951054343865</v>
      </c>
      <c r="L366" s="1" t="str">
        <f t="shared" si="76"/>
        <v>6.05629250442032,0.974370064785235</v>
      </c>
      <c r="M366" s="1" t="str">
        <f t="shared" si="77"/>
        <v>6.05629250442032,-0.230868191125563</v>
      </c>
      <c r="N366" s="1" t="str">
        <f t="shared" si="73"/>
        <v>6.05629250442032,-4.33147587428415</v>
      </c>
      <c r="O366" s="1" t="str">
        <f t="shared" si="73"/>
        <v>6.05629250442032,1.02630410779339</v>
      </c>
      <c r="P366" s="1" t="str">
        <f t="shared" si="73"/>
        <v>6.05629250442032,-4.44541148258579</v>
      </c>
    </row>
    <row r="367" spans="2:16" x14ac:dyDescent="0.6">
      <c r="B367" s="25">
        <v>349</v>
      </c>
      <c r="C367" s="24">
        <f t="shared" si="74"/>
        <v>6.0911990894602104</v>
      </c>
      <c r="D367" s="24">
        <f t="shared" si="67"/>
        <v>-0.19080899537654467</v>
      </c>
      <c r="E367" s="24">
        <f t="shared" si="68"/>
        <v>0.98162718344766398</v>
      </c>
      <c r="F367" s="24">
        <f t="shared" si="69"/>
        <v>-0.19438030913771831</v>
      </c>
      <c r="G367" s="24">
        <f t="shared" si="70"/>
        <v>-5.1445540159703151</v>
      </c>
      <c r="H367" s="24">
        <f t="shared" si="71"/>
        <v>1.0187166949552142</v>
      </c>
      <c r="I367" s="29">
        <f t="shared" si="72"/>
        <v>-5.2408430641678532</v>
      </c>
      <c r="K367" s="1" t="str">
        <f t="shared" si="75"/>
        <v>6.07374579694027,-0.20791169081776</v>
      </c>
      <c r="L367" s="1" t="str">
        <f t="shared" si="76"/>
        <v>6.07374579694027,0.978147600733806</v>
      </c>
      <c r="M367" s="1" t="str">
        <f t="shared" si="77"/>
        <v>6.07374579694027,-0.212556561670023</v>
      </c>
      <c r="N367" s="1" t="str">
        <f t="shared" si="73"/>
        <v>6.07374579694027,-4.70463010947844</v>
      </c>
      <c r="O367" s="1" t="str">
        <f t="shared" si="73"/>
        <v>6.07374579694027,1.02234059486503</v>
      </c>
      <c r="P367" s="1" t="str">
        <f t="shared" si="73"/>
        <v>6.07374579694027,-4.80973434474412</v>
      </c>
    </row>
    <row r="368" spans="2:16" x14ac:dyDescent="0.6">
      <c r="B368" s="25">
        <v>350</v>
      </c>
      <c r="C368" s="24">
        <f t="shared" si="74"/>
        <v>6.1086523819801526</v>
      </c>
      <c r="D368" s="24">
        <f t="shared" si="67"/>
        <v>-0.17364817766693127</v>
      </c>
      <c r="E368" s="24">
        <f t="shared" si="68"/>
        <v>0.98480775301220791</v>
      </c>
      <c r="F368" s="24">
        <f t="shared" si="69"/>
        <v>-0.17632698070846592</v>
      </c>
      <c r="G368" s="24">
        <f t="shared" si="70"/>
        <v>-5.6712818196176791</v>
      </c>
      <c r="H368" s="24">
        <f t="shared" si="71"/>
        <v>1.0154266118857451</v>
      </c>
      <c r="I368" s="29">
        <f t="shared" si="72"/>
        <v>-5.7587704831436026</v>
      </c>
      <c r="K368" s="1" t="str">
        <f t="shared" si="75"/>
        <v>6.09119908946021,-0.190808995376545</v>
      </c>
      <c r="L368" s="1" t="str">
        <f t="shared" si="76"/>
        <v>6.09119908946021,0.981627183447664</v>
      </c>
      <c r="M368" s="1" t="str">
        <f t="shared" si="77"/>
        <v>6.09119908946021,-0.194380309137718</v>
      </c>
      <c r="N368" s="1" t="str">
        <f t="shared" si="73"/>
        <v>6.09119908946021,-5.14455401597032</v>
      </c>
      <c r="O368" s="1" t="str">
        <f t="shared" si="73"/>
        <v>6.09119908946021,1.01871669495521</v>
      </c>
      <c r="P368" s="1" t="str">
        <f t="shared" si="73"/>
        <v>6.09119908946021,-5.24084306416785</v>
      </c>
    </row>
    <row r="369" spans="2:16" x14ac:dyDescent="0.6">
      <c r="B369" s="25">
        <v>351</v>
      </c>
      <c r="C369" s="24">
        <f t="shared" si="74"/>
        <v>6.1261056745000966</v>
      </c>
      <c r="D369" s="24">
        <f t="shared" si="67"/>
        <v>-0.15643446504023112</v>
      </c>
      <c r="E369" s="24">
        <f t="shared" si="68"/>
        <v>0.98768834059513766</v>
      </c>
      <c r="F369" s="24">
        <f t="shared" si="69"/>
        <v>-0.15838444032453655</v>
      </c>
      <c r="G369" s="24">
        <f t="shared" si="70"/>
        <v>-6.3137515146750331</v>
      </c>
      <c r="H369" s="24">
        <f t="shared" si="71"/>
        <v>1.0124651257880031</v>
      </c>
      <c r="I369" s="29">
        <f t="shared" si="72"/>
        <v>-6.3924532214996512</v>
      </c>
      <c r="K369" s="1" t="str">
        <f t="shared" si="75"/>
        <v>6.10865238198015,-0.173648177666931</v>
      </c>
      <c r="L369" s="1" t="str">
        <f t="shared" si="76"/>
        <v>6.10865238198015,0.984807753012208</v>
      </c>
      <c r="M369" s="1" t="str">
        <f t="shared" si="77"/>
        <v>6.10865238198015,-0.176326980708466</v>
      </c>
      <c r="N369" s="1" t="str">
        <f t="shared" si="73"/>
        <v>6.10865238198015,-5.67128181961768</v>
      </c>
      <c r="O369" s="1" t="str">
        <f t="shared" si="73"/>
        <v>6.10865238198015,1.01542661188575</v>
      </c>
      <c r="P369" s="1" t="str">
        <f t="shared" si="73"/>
        <v>6.10865238198015,-5.7587704831436</v>
      </c>
    </row>
    <row r="370" spans="2:16" x14ac:dyDescent="0.6">
      <c r="B370" s="25">
        <v>352</v>
      </c>
      <c r="C370" s="24">
        <f t="shared" si="74"/>
        <v>6.1435589670200397</v>
      </c>
      <c r="D370" s="24">
        <f t="shared" si="67"/>
        <v>-0.13917310096006588</v>
      </c>
      <c r="E370" s="24">
        <f t="shared" si="68"/>
        <v>0.99026806874157025</v>
      </c>
      <c r="F370" s="24">
        <f t="shared" si="69"/>
        <v>-0.1405408347023919</v>
      </c>
      <c r="G370" s="24">
        <f t="shared" si="70"/>
        <v>-7.1153697223841856</v>
      </c>
      <c r="H370" s="24">
        <f t="shared" si="71"/>
        <v>1.0098275725186181</v>
      </c>
      <c r="I370" s="29">
        <f t="shared" si="72"/>
        <v>-7.1852965343276969</v>
      </c>
      <c r="K370" s="1" t="str">
        <f t="shared" si="75"/>
        <v>6.1261056745001,-0.156434465040231</v>
      </c>
      <c r="L370" s="1" t="str">
        <f t="shared" si="76"/>
        <v>6.1261056745001,0.987688340595138</v>
      </c>
      <c r="M370" s="1" t="str">
        <f t="shared" si="77"/>
        <v>6.1261056745001,-0.158384440324537</v>
      </c>
      <c r="N370" s="1" t="str">
        <f t="shared" si="73"/>
        <v>6.1261056745001,-6.31375151467503</v>
      </c>
      <c r="O370" s="1" t="str">
        <f t="shared" si="73"/>
        <v>6.1261056745001,1.012465125788</v>
      </c>
      <c r="P370" s="1" t="str">
        <f t="shared" si="73"/>
        <v>6.1261056745001,-6.39245322149965</v>
      </c>
    </row>
    <row r="371" spans="2:16" x14ac:dyDescent="0.6">
      <c r="B371" s="25">
        <v>353</v>
      </c>
      <c r="C371" s="24">
        <f t="shared" si="74"/>
        <v>6.1610122595399828</v>
      </c>
      <c r="D371" s="24">
        <f t="shared" si="67"/>
        <v>-0.12186934340514811</v>
      </c>
      <c r="E371" s="24">
        <f t="shared" si="68"/>
        <v>0.99254615164132198</v>
      </c>
      <c r="F371" s="24">
        <f t="shared" si="69"/>
        <v>-0.12278456090290524</v>
      </c>
      <c r="G371" s="24">
        <f t="shared" si="70"/>
        <v>-8.1443464279745506</v>
      </c>
      <c r="H371" s="24">
        <f t="shared" si="71"/>
        <v>1.0075098254588484</v>
      </c>
      <c r="I371" s="29">
        <f t="shared" si="72"/>
        <v>-8.2055090481250357</v>
      </c>
      <c r="K371" s="1" t="str">
        <f t="shared" si="75"/>
        <v>6.14355896702004,-0.139173100960066</v>
      </c>
      <c r="L371" s="1" t="str">
        <f t="shared" si="76"/>
        <v>6.14355896702004,0.99026806874157</v>
      </c>
      <c r="M371" s="1" t="str">
        <f t="shared" si="77"/>
        <v>6.14355896702004,-0.140540834702392</v>
      </c>
      <c r="N371" s="1" t="str">
        <f t="shared" si="73"/>
        <v>6.14355896702004,-7.11536972238419</v>
      </c>
      <c r="O371" s="1" t="str">
        <f t="shared" si="73"/>
        <v>6.14355896702004,1.00982757251862</v>
      </c>
      <c r="P371" s="1" t="str">
        <f t="shared" ref="P371:P378" si="78">_xlfn.CONCAT($C370,",",I370)</f>
        <v>6.14355896702004,-7.1852965343277</v>
      </c>
    </row>
    <row r="372" spans="2:16" x14ac:dyDescent="0.6">
      <c r="B372" s="25">
        <v>354</v>
      </c>
      <c r="C372" s="24">
        <f t="shared" si="74"/>
        <v>6.1784655520599268</v>
      </c>
      <c r="D372" s="24">
        <f t="shared" si="67"/>
        <v>-0.10452846326765342</v>
      </c>
      <c r="E372" s="24">
        <f t="shared" si="68"/>
        <v>0.99452189536827329</v>
      </c>
      <c r="F372" s="24">
        <f t="shared" si="69"/>
        <v>-0.1051042352656764</v>
      </c>
      <c r="G372" s="24">
        <f t="shared" si="70"/>
        <v>-9.5143644542225907</v>
      </c>
      <c r="H372" s="24">
        <f t="shared" si="71"/>
        <v>1.0055082795635164</v>
      </c>
      <c r="I372" s="29">
        <f t="shared" si="72"/>
        <v>-9.5667722335056311</v>
      </c>
      <c r="K372" s="1" t="str">
        <f t="shared" si="75"/>
        <v>6.16101225953998,-0.121869343405148</v>
      </c>
      <c r="L372" s="1" t="str">
        <f t="shared" si="76"/>
        <v>6.16101225953998,0.992546151641322</v>
      </c>
      <c r="M372" s="1" t="str">
        <f t="shared" si="77"/>
        <v>6.16101225953998,-0.122784560902905</v>
      </c>
      <c r="N372" s="1" t="str">
        <f t="shared" si="73"/>
        <v>6.16101225953998,-8.14434642797455</v>
      </c>
      <c r="O372" s="1" t="str">
        <f t="shared" si="73"/>
        <v>6.16101225953998,1.00750982545885</v>
      </c>
      <c r="P372" s="1" t="str">
        <f t="shared" si="78"/>
        <v>6.16101225953998,-8.20550904812504</v>
      </c>
    </row>
    <row r="373" spans="2:16" x14ac:dyDescent="0.6">
      <c r="B373" s="25">
        <v>355</v>
      </c>
      <c r="C373" s="24">
        <f t="shared" si="74"/>
        <v>6.1959188445798699</v>
      </c>
      <c r="D373" s="24">
        <f t="shared" si="67"/>
        <v>-8.7155742747658319E-2</v>
      </c>
      <c r="E373" s="24">
        <f t="shared" si="68"/>
        <v>0.99619469809174555</v>
      </c>
      <c r="F373" s="24">
        <f t="shared" si="69"/>
        <v>-8.7488663525924146E-2</v>
      </c>
      <c r="G373" s="24">
        <f t="shared" si="70"/>
        <v>-11</v>
      </c>
      <c r="H373" s="24">
        <f t="shared" si="71"/>
        <v>1.0038198375433474</v>
      </c>
      <c r="I373" s="29">
        <f t="shared" si="72"/>
        <v>-11</v>
      </c>
      <c r="K373" s="1" t="str">
        <f t="shared" si="75"/>
        <v>6.17846555205993,-0.104528463267653</v>
      </c>
      <c r="L373" s="1" t="str">
        <f t="shared" si="76"/>
        <v>6.17846555205993,0.994521895368273</v>
      </c>
      <c r="M373" s="1" t="str">
        <f t="shared" si="77"/>
        <v>6.17846555205993,-0.105104235265676</v>
      </c>
      <c r="N373" s="1" t="str">
        <f t="shared" si="73"/>
        <v>6.17846555205993,-9.51436445422259</v>
      </c>
      <c r="O373" s="1" t="str">
        <f t="shared" si="73"/>
        <v>6.17846555205993,1.00550827956352</v>
      </c>
      <c r="P373" s="1" t="str">
        <f t="shared" si="78"/>
        <v>6.17846555205993,-9.56677223350563</v>
      </c>
    </row>
    <row r="374" spans="2:16" x14ac:dyDescent="0.6">
      <c r="B374" s="25">
        <v>356</v>
      </c>
      <c r="C374" s="24">
        <f t="shared" si="74"/>
        <v>6.2133721370998138</v>
      </c>
      <c r="D374" s="24">
        <f t="shared" si="67"/>
        <v>-6.9756473744124761E-2</v>
      </c>
      <c r="E374" s="24">
        <f t="shared" si="68"/>
        <v>0.99756405025982431</v>
      </c>
      <c r="F374" s="24">
        <f t="shared" si="69"/>
        <v>-6.9926811943509859E-2</v>
      </c>
      <c r="G374" s="24">
        <f t="shared" si="70"/>
        <v>-11</v>
      </c>
      <c r="H374" s="24">
        <f t="shared" si="71"/>
        <v>1.002441898081172</v>
      </c>
      <c r="I374" s="29">
        <f t="shared" si="72"/>
        <v>-11</v>
      </c>
      <c r="K374" s="1" t="str">
        <f t="shared" si="75"/>
        <v>6.19591884457987,-0.0871557427476583</v>
      </c>
      <c r="L374" s="1" t="str">
        <f t="shared" si="76"/>
        <v>6.19591884457987,0.996194698091746</v>
      </c>
      <c r="M374" s="1" t="str">
        <f t="shared" si="77"/>
        <v>6.19591884457987,-0.0874886635259241</v>
      </c>
      <c r="N374" s="1" t="str">
        <f t="shared" si="73"/>
        <v>6.19591884457987,-11</v>
      </c>
      <c r="O374" s="1" t="str">
        <f t="shared" si="73"/>
        <v>6.19591884457987,1.00381983754335</v>
      </c>
      <c r="P374" s="1" t="str">
        <f t="shared" si="78"/>
        <v>6.19591884457987,-11</v>
      </c>
    </row>
    <row r="375" spans="2:16" x14ac:dyDescent="0.6">
      <c r="B375" s="25">
        <v>357</v>
      </c>
      <c r="C375" s="24">
        <f t="shared" si="74"/>
        <v>6.2308254296197561</v>
      </c>
      <c r="D375" s="24">
        <f t="shared" si="67"/>
        <v>-5.2335956242944369E-2</v>
      </c>
      <c r="E375" s="24">
        <f t="shared" si="68"/>
        <v>0.99862953475457383</v>
      </c>
      <c r="F375" s="24">
        <f t="shared" si="69"/>
        <v>-5.2407779283041744E-2</v>
      </c>
      <c r="G375" s="24">
        <f t="shared" si="70"/>
        <v>-11</v>
      </c>
      <c r="H375" s="24">
        <f t="shared" si="71"/>
        <v>1.0013723459979209</v>
      </c>
      <c r="I375" s="29">
        <f t="shared" si="72"/>
        <v>-11</v>
      </c>
      <c r="K375" s="1" t="str">
        <f t="shared" si="75"/>
        <v>6.21337213709981,-0.0697564737441248</v>
      </c>
      <c r="L375" s="1" t="str">
        <f t="shared" si="76"/>
        <v>6.21337213709981,0.997564050259824</v>
      </c>
      <c r="M375" s="1" t="str">
        <f t="shared" si="77"/>
        <v>6.21337213709981,-0.0699268119435099</v>
      </c>
      <c r="N375" s="1" t="str">
        <f t="shared" si="73"/>
        <v>6.21337213709981,-11</v>
      </c>
      <c r="O375" s="1" t="str">
        <f t="shared" si="73"/>
        <v>6.21337213709981,1.00244189808117</v>
      </c>
      <c r="P375" s="1" t="str">
        <f t="shared" si="78"/>
        <v>6.21337213709981,-11</v>
      </c>
    </row>
    <row r="376" spans="2:16" x14ac:dyDescent="0.6">
      <c r="B376" s="25">
        <v>358</v>
      </c>
      <c r="C376" s="24">
        <f t="shared" si="74"/>
        <v>6.2482787221397</v>
      </c>
      <c r="D376" s="24">
        <f t="shared" si="67"/>
        <v>-3.4899496702500823E-2</v>
      </c>
      <c r="E376" s="24">
        <f t="shared" si="68"/>
        <v>0.99939082701909576</v>
      </c>
      <c r="F376" s="24">
        <f t="shared" si="69"/>
        <v>-3.4920769491747577E-2</v>
      </c>
      <c r="G376" s="24">
        <f t="shared" si="70"/>
        <v>-11</v>
      </c>
      <c r="H376" s="24">
        <f t="shared" si="71"/>
        <v>1.0006095442988217</v>
      </c>
      <c r="I376" s="29">
        <f t="shared" si="72"/>
        <v>-11</v>
      </c>
      <c r="K376" s="1" t="str">
        <f t="shared" si="75"/>
        <v>6.23082542961976,-0.0523359562429444</v>
      </c>
      <c r="L376" s="1" t="str">
        <f t="shared" si="76"/>
        <v>6.23082542961976,0.998629534754574</v>
      </c>
      <c r="M376" s="1" t="str">
        <f t="shared" si="77"/>
        <v>6.23082542961976,-0.0524077792830417</v>
      </c>
      <c r="N376" s="1" t="str">
        <f t="shared" si="73"/>
        <v>6.23082542961976,-11</v>
      </c>
      <c r="O376" s="1" t="str">
        <f t="shared" si="73"/>
        <v>6.23082542961976,1.00137234599792</v>
      </c>
      <c r="P376" s="1" t="str">
        <f t="shared" si="78"/>
        <v>6.23082542961976,-11</v>
      </c>
    </row>
    <row r="377" spans="2:16" x14ac:dyDescent="0.6">
      <c r="B377" s="25">
        <v>359</v>
      </c>
      <c r="C377" s="24">
        <f t="shared" si="74"/>
        <v>6.2657320146596422</v>
      </c>
      <c r="D377" s="24">
        <f t="shared" si="67"/>
        <v>-1.7452406437284448E-2</v>
      </c>
      <c r="E377" s="24">
        <f t="shared" ref="E377" si="79">IF(COS(C377)&gt;$I$3,$I$3,(IF(COS(C377)&lt;-$I$3,-$I$3,COS(C377))))</f>
        <v>0.99984769515639127</v>
      </c>
      <c r="F377" s="24">
        <f t="shared" ref="F377" si="80">IF(TAN(C377)&gt;$I$3,$I$3,(IF(TAN(C377)&lt;-$I$3,-$I$3,TAN(C377))))</f>
        <v>-1.7455064928218522E-2</v>
      </c>
      <c r="G377" s="24">
        <f t="shared" ref="G377" si="81">IF(_xlfn.COT(C377)&gt;$I$3,$I$3,(IF(_xlfn.COT(C377)&lt;-$I$3,-$I$3,_xlfn.COT(C377))))</f>
        <v>-11</v>
      </c>
      <c r="H377" s="24">
        <f t="shared" ref="H377" si="82">IF(_xlfn.SEC(C377)&gt;$I$3,$I$3,(IF(_xlfn.SEC(C377)&lt;-$I$3,-$I$3,_xlfn.SEC(C377))))</f>
        <v>1.0001523280439077</v>
      </c>
      <c r="I377" s="29">
        <f t="shared" ref="I377" si="83">IF(_xlfn.CSC(C377)&gt;$I$3,$I$3,(IF(_xlfn.CSC(C377)&lt;-$I$3,-$I$3,_xlfn.CSC(C377))))</f>
        <v>-11</v>
      </c>
      <c r="K377" s="1" t="str">
        <f t="shared" si="75"/>
        <v>6.2482787221397,-0.0348994967025008</v>
      </c>
      <c r="L377" s="1" t="str">
        <f t="shared" si="76"/>
        <v>6.2482787221397,0.999390827019096</v>
      </c>
      <c r="M377" s="1" t="str">
        <f t="shared" si="77"/>
        <v>6.2482787221397,-0.0349207694917476</v>
      </c>
      <c r="N377" s="1" t="str">
        <f t="shared" ref="N377:O378" si="84">_xlfn.CONCAT($C376,",",G376)</f>
        <v>6.2482787221397,-11</v>
      </c>
      <c r="O377" s="1" t="str">
        <f t="shared" si="84"/>
        <v>6.2482787221397,1.00060954429882</v>
      </c>
      <c r="P377" s="1" t="str">
        <f t="shared" si="78"/>
        <v>6.2482787221397,-11</v>
      </c>
    </row>
    <row r="378" spans="2:16" x14ac:dyDescent="0.6">
      <c r="B378" s="26">
        <v>360</v>
      </c>
      <c r="C378" s="30">
        <f t="shared" si="74"/>
        <v>6.2831853071795862</v>
      </c>
      <c r="D378" s="30">
        <f t="shared" si="67"/>
        <v>-2.45029690981724E-16</v>
      </c>
      <c r="E378" s="30">
        <f t="shared" si="68"/>
        <v>1</v>
      </c>
      <c r="F378" s="30">
        <f t="shared" si="69"/>
        <v>-2.45029690981724E-16</v>
      </c>
      <c r="G378" s="30">
        <f t="shared" si="70"/>
        <v>-11</v>
      </c>
      <c r="H378" s="30">
        <f t="shared" si="71"/>
        <v>1</v>
      </c>
      <c r="I378" s="31">
        <f t="shared" si="72"/>
        <v>-11</v>
      </c>
      <c r="K378" s="1" t="str">
        <f t="shared" si="75"/>
        <v>6.26573201465964,-0.0174524064372844</v>
      </c>
      <c r="L378" s="1" t="str">
        <f t="shared" si="76"/>
        <v>6.26573201465964,0.999847695156391</v>
      </c>
      <c r="M378" s="1" t="str">
        <f t="shared" si="77"/>
        <v>6.26573201465964,-0.0174550649282185</v>
      </c>
      <c r="N378" s="1" t="str">
        <f t="shared" si="84"/>
        <v>6.26573201465964,-11</v>
      </c>
      <c r="O378" s="1" t="str">
        <f t="shared" si="84"/>
        <v>6.26573201465964,1.00015232804391</v>
      </c>
      <c r="P378" s="1" t="str">
        <f t="shared" si="78"/>
        <v>6.26573201465964,-11</v>
      </c>
    </row>
  </sheetData>
  <sheetProtection algorithmName="SHA-512" hashValue="JbUDpoSNVUqzFLL23IAjWcJUqk2uQ3a9un4Cl6dCaIn7Gh2mhcyEaoh/IDcmpReF41FywFOyY64rZ78JkzMWpQ==" saltValue="2hriaGTtk7A37S19fpJjXA==" spinCount="100000" sheet="1" objects="1" scenarios="1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71B1-BB0F-44A0-A1EF-065B17838543}">
  <dimension ref="B1:C10"/>
  <sheetViews>
    <sheetView showGridLines="0" zoomScale="160" zoomScaleNormal="160" workbookViewId="0">
      <selection activeCell="F16" sqref="F16"/>
    </sheetView>
  </sheetViews>
  <sheetFormatPr defaultRowHeight="16.5" x14ac:dyDescent="0.6"/>
  <cols>
    <col min="1" max="1" width="2.59765625" style="1" customWidth="1"/>
    <col min="2" max="2" width="21.19921875" style="1" customWidth="1"/>
    <col min="3" max="3" width="23.46484375" style="1" bestFit="1" customWidth="1"/>
    <col min="4" max="16384" width="9.06640625" style="1"/>
  </cols>
  <sheetData>
    <row r="1" spans="2:3" x14ac:dyDescent="0.6">
      <c r="C1" s="53" t="s">
        <v>39</v>
      </c>
    </row>
    <row r="3" spans="2:3" x14ac:dyDescent="0.6">
      <c r="B3" s="1" t="s">
        <v>49</v>
      </c>
    </row>
    <row r="4" spans="2:3" x14ac:dyDescent="0.6">
      <c r="B4" s="2" t="s">
        <v>13</v>
      </c>
      <c r="C4" s="60" t="s">
        <v>14</v>
      </c>
    </row>
    <row r="5" spans="2:3" x14ac:dyDescent="0.6">
      <c r="B5" s="54" t="s">
        <v>44</v>
      </c>
      <c r="C5" s="55">
        <v>100</v>
      </c>
    </row>
    <row r="6" spans="2:3" x14ac:dyDescent="0.6">
      <c r="B6" s="54" t="s">
        <v>45</v>
      </c>
      <c r="C6" s="55">
        <v>100</v>
      </c>
    </row>
    <row r="7" spans="2:3" x14ac:dyDescent="0.6">
      <c r="B7" s="54" t="s">
        <v>48</v>
      </c>
      <c r="C7" s="56">
        <f>C5*2+C6*2</f>
        <v>400</v>
      </c>
    </row>
    <row r="8" spans="2:3" x14ac:dyDescent="0.6">
      <c r="B8" s="54" t="s">
        <v>50</v>
      </c>
      <c r="C8" s="57">
        <f>C5/PI()</f>
        <v>31.830988618379067</v>
      </c>
    </row>
    <row r="9" spans="2:3" x14ac:dyDescent="0.6">
      <c r="B9" s="54" t="s">
        <v>46</v>
      </c>
      <c r="C9" s="57">
        <f>C6</f>
        <v>100</v>
      </c>
    </row>
    <row r="10" spans="2:3" x14ac:dyDescent="0.6">
      <c r="B10" s="58" t="s">
        <v>47</v>
      </c>
      <c r="C10" s="59">
        <f>C8*2</f>
        <v>63.661977236758133</v>
      </c>
    </row>
  </sheetData>
  <sheetProtection algorithmName="SHA-512" hashValue="A+GSdHsdFrDae9c+uy1g7SZ26TSIp8JjAO6LXXdklKniEkuCboAXKzsWTAdNFN2pjep9qq+nAjGyevSrNwZusw==" saltValue="R0VWJUqn9K3y+s08+KrgXw==" spinCount="100000"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4A28-7A0A-4CE9-8CDF-F0A2576C2004}">
  <dimension ref="B2:B4"/>
  <sheetViews>
    <sheetView showGridLines="0" zoomScale="130" zoomScaleNormal="130" workbookViewId="0">
      <selection activeCell="E13" sqref="E13"/>
    </sheetView>
  </sheetViews>
  <sheetFormatPr defaultColWidth="10.6640625" defaultRowHeight="16.5" x14ac:dyDescent="0.6"/>
  <cols>
    <col min="1" max="1" width="2.53125" style="1" customWidth="1"/>
    <col min="2" max="2" width="27.53125" style="1" customWidth="1"/>
    <col min="3" max="16384" width="10.6640625" style="1"/>
  </cols>
  <sheetData>
    <row r="2" spans="2:2" x14ac:dyDescent="0.6">
      <c r="B2" s="1" t="s">
        <v>17</v>
      </c>
    </row>
    <row r="3" spans="2:2" x14ac:dyDescent="0.6">
      <c r="B3" s="1" t="s">
        <v>18</v>
      </c>
    </row>
    <row r="4" spans="2:2" x14ac:dyDescent="0.6">
      <c r="B4" s="44" t="s">
        <v>19</v>
      </c>
    </row>
  </sheetData>
  <sheetProtection algorithmName="SHA-512" hashValue="GnGyC5aXBUpQDAGF5Ma3OeFqjS+9LJgHJsRBs93LV7wF2zyE9hL4jigJlkCr5otuWexjlu5FQWKxxjN0HyhGIQ==" saltValue="q8v7TqyXrxJ9TpAGOVmEj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ElipseTabla</vt:lpstr>
      <vt:lpstr>ElipseAutoCAD</vt:lpstr>
      <vt:lpstr>SuperElipseTabla</vt:lpstr>
      <vt:lpstr>SuperElipseAutoCAD</vt:lpstr>
      <vt:lpstr>HiperbolaTabla</vt:lpstr>
      <vt:lpstr>HiperbolaAutoCAD</vt:lpstr>
      <vt:lpstr>Trigonometrica</vt:lpstr>
      <vt:lpstr>PistaAtlDiscoRect</vt:lpstr>
      <vt:lpstr>Metadata</vt:lpstr>
      <vt:lpstr>ElipseGráfico</vt:lpstr>
      <vt:lpstr>a_elipse</vt:lpstr>
      <vt:lpstr>a_hiperbola</vt:lpstr>
      <vt:lpstr>SuperElipseTabla!a_superelipse</vt:lpstr>
      <vt:lpstr>b_elipse</vt:lpstr>
      <vt:lpstr>b_hiperbola</vt:lpstr>
      <vt:lpstr>SuperElipseTabla!b_superelipse</vt:lpstr>
      <vt:lpstr>h_elipse</vt:lpstr>
      <vt:lpstr>k_elipse</vt:lpstr>
      <vt:lpstr>n_superelipse</vt:lpstr>
      <vt:lpstr>np_elipse</vt:lpstr>
      <vt:lpstr>np_hiperbola</vt:lpstr>
      <vt:lpstr>SuperElipseTabla!np_superelipse</vt:lpstr>
      <vt:lpstr>xend_hiperbola</vt:lpstr>
      <vt:lpstr>xstart_hiperbola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2025-06-28T13:37:21Z</dcterms:created>
  <dcterms:modified xsi:type="dcterms:W3CDTF">2026-02-06T20:20:06Z</dcterms:modified>
</cp:coreProperties>
</file>