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1BC063EF-BB1A-4A9C-894A-C10E0ADBC14D}" xr6:coauthVersionLast="47" xr6:coauthVersionMax="47" xr10:uidLastSave="{00000000-0000-0000-0000-000000000000}"/>
  <bookViews>
    <workbookView xWindow="-98" yWindow="-98" windowWidth="28996" windowHeight="15675" tabRatio="684" activeTab="3" xr2:uid="{9A4D6CE6-1E62-441D-8A43-C5F05171BE31}"/>
  </bookViews>
  <sheets>
    <sheet name="ElipseTabla" sheetId="1" r:id="rId1"/>
    <sheet name="ElipseGráfico" sheetId="3" r:id="rId2"/>
    <sheet name="ElipseAutoCAD" sheetId="4" r:id="rId3"/>
    <sheet name="SuperElipseTabla" sheetId="9" r:id="rId4"/>
    <sheet name="SuperElipseAutoCAD" sheetId="10" r:id="rId5"/>
    <sheet name="HiperbolaTabla" sheetId="6" r:id="rId6"/>
    <sheet name="HiperbolaAutoCAD" sheetId="7" r:id="rId7"/>
    <sheet name="Trigonometrica" sheetId="8" r:id="rId8"/>
    <sheet name="Metadata" sheetId="5" r:id="rId9"/>
  </sheets>
  <definedNames>
    <definedName name="a_elipse">ElipseTabla!$D$8</definedName>
    <definedName name="a_hiperbola">HiperbolaTabla!$D$8</definedName>
    <definedName name="a_superelipse" localSheetId="3">SuperElipseTabla!$D$7</definedName>
    <definedName name="b_elipse">ElipseTabla!$D$9</definedName>
    <definedName name="b_hiperbola">HiperbolaTabla!$D$9</definedName>
    <definedName name="b_superelipse" localSheetId="3">SuperElipseTabla!$D$8</definedName>
    <definedName name="h_elipse">ElipseTabla!$D$6</definedName>
    <definedName name="h_superelipse" localSheetId="3">SuperElipseTabla!#REF!</definedName>
    <definedName name="k_elipse">ElipseTabla!$D$7</definedName>
    <definedName name="k_superelipse" localSheetId="3">SuperElipseTabla!#REF!</definedName>
    <definedName name="n_superelipse">SuperElipseTabla!$D$6</definedName>
    <definedName name="np_elipse">ElipseTabla!$D$10</definedName>
    <definedName name="np_hiperbola">HiperbolaTabla!$D$10</definedName>
    <definedName name="np_superelipse" localSheetId="3">SuperElipseTabla!$D$9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D11" i="9"/>
  <c r="A2" i="10" s="1"/>
  <c r="C377" i="8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E11" i="9" l="1"/>
  <c r="G11" i="9"/>
  <c r="A206" i="10" s="1"/>
  <c r="F11" i="9"/>
  <c r="D372" i="8"/>
  <c r="K373" i="8" s="1"/>
  <c r="H18" i="8"/>
  <c r="O19" i="8" s="1"/>
  <c r="D371" i="8"/>
  <c r="K372" i="8" s="1"/>
  <c r="D363" i="8"/>
  <c r="K364" i="8" s="1"/>
  <c r="D355" i="8"/>
  <c r="K356" i="8" s="1"/>
  <c r="D347" i="8"/>
  <c r="K348" i="8" s="1"/>
  <c r="E291" i="8"/>
  <c r="L292" i="8" s="1"/>
  <c r="G283" i="8"/>
  <c r="N284" i="8" s="1"/>
  <c r="E275" i="8"/>
  <c r="L276" i="8" s="1"/>
  <c r="E259" i="8"/>
  <c r="L260" i="8" s="1"/>
  <c r="E243" i="8"/>
  <c r="L244" i="8" s="1"/>
  <c r="E227" i="8"/>
  <c r="L228" i="8" s="1"/>
  <c r="I123" i="8"/>
  <c r="P124" i="8" s="1"/>
  <c r="H377" i="8"/>
  <c r="O378" i="8" s="1"/>
  <c r="F362" i="8"/>
  <c r="M363" i="8" s="1"/>
  <c r="E330" i="8"/>
  <c r="L331" i="8" s="1"/>
  <c r="I314" i="8"/>
  <c r="P315" i="8" s="1"/>
  <c r="I266" i="8"/>
  <c r="P267" i="8" s="1"/>
  <c r="I194" i="8"/>
  <c r="P195" i="8" s="1"/>
  <c r="H346" i="8"/>
  <c r="O347" i="8" s="1"/>
  <c r="E298" i="8"/>
  <c r="L299" i="8" s="1"/>
  <c r="F369" i="8"/>
  <c r="M370" i="8" s="1"/>
  <c r="F361" i="8"/>
  <c r="M362" i="8" s="1"/>
  <c r="F353" i="8"/>
  <c r="M354" i="8" s="1"/>
  <c r="F345" i="8"/>
  <c r="M346" i="8" s="1"/>
  <c r="D348" i="8"/>
  <c r="K349" i="8" s="1"/>
  <c r="I300" i="8"/>
  <c r="P301" i="8" s="1"/>
  <c r="F370" i="8"/>
  <c r="M371" i="8" s="1"/>
  <c r="H354" i="8"/>
  <c r="O355" i="8" s="1"/>
  <c r="G338" i="8"/>
  <c r="N339" i="8" s="1"/>
  <c r="I322" i="8"/>
  <c r="P323" i="8" s="1"/>
  <c r="E306" i="8"/>
  <c r="L307" i="8" s="1"/>
  <c r="D376" i="8"/>
  <c r="K377" i="8" s="1"/>
  <c r="D360" i="8"/>
  <c r="K361" i="8" s="1"/>
  <c r="D352" i="8"/>
  <c r="K353" i="8" s="1"/>
  <c r="E320" i="8"/>
  <c r="L321" i="8" s="1"/>
  <c r="I304" i="8"/>
  <c r="P305" i="8" s="1"/>
  <c r="G264" i="8"/>
  <c r="N265" i="8" s="1"/>
  <c r="G248" i="8"/>
  <c r="N249" i="8" s="1"/>
  <c r="G232" i="8"/>
  <c r="N233" i="8" s="1"/>
  <c r="E216" i="8"/>
  <c r="L217" i="8" s="1"/>
  <c r="D377" i="8"/>
  <c r="K378" i="8" s="1"/>
  <c r="M378" i="8"/>
  <c r="L378" i="8"/>
  <c r="D364" i="8"/>
  <c r="K365" i="8" s="1"/>
  <c r="E308" i="8"/>
  <c r="L309" i="8" s="1"/>
  <c r="D368" i="8"/>
  <c r="K369" i="8" s="1"/>
  <c r="D344" i="8"/>
  <c r="K345" i="8" s="1"/>
  <c r="E328" i="8"/>
  <c r="L329" i="8" s="1"/>
  <c r="I312" i="8"/>
  <c r="P313" i="8"/>
  <c r="I375" i="8"/>
  <c r="P376" i="8" s="1"/>
  <c r="D367" i="8"/>
  <c r="K368" i="8" s="1"/>
  <c r="D359" i="8"/>
  <c r="K360" i="8" s="1"/>
  <c r="D351" i="8"/>
  <c r="K352" i="8" s="1"/>
  <c r="D343" i="8"/>
  <c r="K344" i="8" s="1"/>
  <c r="D340" i="8"/>
  <c r="K341" i="8" s="1"/>
  <c r="F374" i="8"/>
  <c r="M375" i="8" s="1"/>
  <c r="F358" i="8"/>
  <c r="M359" i="8" s="1"/>
  <c r="H342" i="8"/>
  <c r="O343" i="8" s="1"/>
  <c r="E310" i="8"/>
  <c r="L311" i="8" s="1"/>
  <c r="E294" i="8"/>
  <c r="L295" i="8" s="1"/>
  <c r="H270" i="8"/>
  <c r="O271" i="8" s="1"/>
  <c r="H254" i="8"/>
  <c r="O255" i="8" s="1"/>
  <c r="H238" i="8"/>
  <c r="O239" i="8" s="1"/>
  <c r="H222" i="8"/>
  <c r="O223" i="8" s="1"/>
  <c r="H206" i="8"/>
  <c r="O207" i="8" s="1"/>
  <c r="H190" i="8"/>
  <c r="O191" i="8" s="1"/>
  <c r="G102" i="8"/>
  <c r="N103" i="8" s="1"/>
  <c r="D356" i="8"/>
  <c r="K357" i="8" s="1"/>
  <c r="F366" i="8"/>
  <c r="M367" i="8" s="1"/>
  <c r="H350" i="8"/>
  <c r="O351" i="8" s="1"/>
  <c r="G334" i="8"/>
  <c r="N335" i="8" s="1"/>
  <c r="H278" i="8"/>
  <c r="O279" i="8" s="1"/>
  <c r="H198" i="8"/>
  <c r="O199" i="8" s="1"/>
  <c r="F373" i="8"/>
  <c r="M374" i="8" s="1"/>
  <c r="F365" i="8"/>
  <c r="M366" i="8" s="1"/>
  <c r="F357" i="8"/>
  <c r="M358" i="8" s="1"/>
  <c r="F349" i="8"/>
  <c r="M350" i="8"/>
  <c r="F341" i="8"/>
  <c r="M342" i="8" s="1"/>
  <c r="E317" i="8"/>
  <c r="L318" i="8" s="1"/>
  <c r="E309" i="8"/>
  <c r="L310" i="8" s="1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L366" i="8" s="1"/>
  <c r="I352" i="8"/>
  <c r="P353" i="8" s="1"/>
  <c r="G362" i="8"/>
  <c r="N363" i="8" s="1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M293" i="8" s="1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N283" i="8" s="1"/>
  <c r="G274" i="8"/>
  <c r="N275" i="8" s="1"/>
  <c r="E266" i="8"/>
  <c r="L267" i="8" s="1"/>
  <c r="F258" i="8"/>
  <c r="M259" i="8" s="1"/>
  <c r="F250" i="8"/>
  <c r="M251" i="8" s="1"/>
  <c r="F242" i="8"/>
  <c r="M243" i="8" s="1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L357" i="8" s="1"/>
  <c r="I350" i="8"/>
  <c r="P351" i="8" s="1"/>
  <c r="I346" i="8"/>
  <c r="P347" i="8" s="1"/>
  <c r="E341" i="8"/>
  <c r="L342" i="8" s="1"/>
  <c r="I336" i="8"/>
  <c r="P337" i="8" s="1"/>
  <c r="I331" i="8"/>
  <c r="P332" i="8" s="1"/>
  <c r="G326" i="8"/>
  <c r="N327" i="8" s="1"/>
  <c r="G322" i="8"/>
  <c r="N323" i="8" s="1"/>
  <c r="I316" i="8"/>
  <c r="P317" i="8" s="1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P359" i="8" s="1"/>
  <c r="I355" i="8"/>
  <c r="P356" i="8" s="1"/>
  <c r="G350" i="8"/>
  <c r="N351" i="8" s="1"/>
  <c r="G346" i="8"/>
  <c r="N347" i="8" s="1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L301" i="8" s="1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K313" i="8" s="1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K371" i="8" s="1"/>
  <c r="D366" i="8"/>
  <c r="K367" i="8" s="1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P335" i="8" s="1"/>
  <c r="I330" i="8"/>
  <c r="P331" i="8" s="1"/>
  <c r="E325" i="8"/>
  <c r="L326" i="8" s="1"/>
  <c r="I320" i="8"/>
  <c r="P321" i="8" s="1"/>
  <c r="I315" i="8"/>
  <c r="P316" i="8" s="1"/>
  <c r="G310" i="8"/>
  <c r="N311" i="8" s="1"/>
  <c r="G306" i="8"/>
  <c r="N307" i="8" s="1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K312" i="8" s="1"/>
  <c r="D295" i="8"/>
  <c r="K296" i="8" s="1"/>
  <c r="E271" i="8"/>
  <c r="L272" i="8" s="1"/>
  <c r="E255" i="8"/>
  <c r="L256" i="8" s="1"/>
  <c r="E247" i="8"/>
  <c r="L248" i="8" s="1"/>
  <c r="E223" i="8"/>
  <c r="L224" i="8" s="1"/>
  <c r="E215" i="8"/>
  <c r="L216" i="8" s="1"/>
  <c r="H374" i="8"/>
  <c r="O375" i="8" s="1"/>
  <c r="I371" i="8"/>
  <c r="P372" i="8" s="1"/>
  <c r="G358" i="8"/>
  <c r="N359" i="8" s="1"/>
  <c r="I339" i="8"/>
  <c r="P340" i="8" s="1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P365" i="8" s="1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O311" i="8" s="1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M318" i="8" s="1"/>
  <c r="F309" i="8"/>
  <c r="M310" i="8" s="1"/>
  <c r="F301" i="8"/>
  <c r="M302" i="8" s="1"/>
  <c r="I293" i="8"/>
  <c r="P294" i="8" s="1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M206" i="8" s="1"/>
  <c r="I197" i="8"/>
  <c r="P198" i="8" s="1"/>
  <c r="G189" i="8"/>
  <c r="N190" i="8" s="1"/>
  <c r="F181" i="8"/>
  <c r="M182" i="8" s="1"/>
  <c r="E374" i="8"/>
  <c r="L375" i="8" s="1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P329" i="8" s="1"/>
  <c r="I323" i="8"/>
  <c r="P324" i="8" s="1"/>
  <c r="G318" i="8"/>
  <c r="N319" i="8" s="1"/>
  <c r="G314" i="8"/>
  <c r="N315" i="8" s="1"/>
  <c r="I308" i="8"/>
  <c r="P309" i="8" s="1"/>
  <c r="I302" i="8"/>
  <c r="P303" i="8" s="1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P187" i="8" s="1"/>
  <c r="D316" i="8"/>
  <c r="K317" i="8" s="1"/>
  <c r="F276" i="8"/>
  <c r="M277" i="8" s="1"/>
  <c r="D212" i="8"/>
  <c r="K213" i="8" s="1"/>
  <c r="G204" i="8"/>
  <c r="N205" i="8" s="1"/>
  <c r="D374" i="8"/>
  <c r="K375" i="8" s="1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L212" i="8" s="1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P295" i="8" s="1"/>
  <c r="D284" i="8"/>
  <c r="K285" i="8" s="1"/>
  <c r="G275" i="8"/>
  <c r="N276" i="8" s="1"/>
  <c r="H262" i="8"/>
  <c r="O263" i="8" s="1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L152" i="8" s="1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L104" i="8" s="1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P296" i="8" s="1"/>
  <c r="F289" i="8"/>
  <c r="M290" i="8" s="1"/>
  <c r="G287" i="8"/>
  <c r="N288" i="8" s="1"/>
  <c r="I285" i="8"/>
  <c r="P286" i="8" s="1"/>
  <c r="F273" i="8"/>
  <c r="M274" i="8" s="1"/>
  <c r="I261" i="8"/>
  <c r="P262" i="8" s="1"/>
  <c r="I253" i="8"/>
  <c r="P254" i="8" s="1"/>
  <c r="I245" i="8"/>
  <c r="P246" i="8" s="1"/>
  <c r="I237" i="8"/>
  <c r="P238" i="8" s="1"/>
  <c r="I229" i="8"/>
  <c r="P230" i="8" s="1"/>
  <c r="I221" i="8"/>
  <c r="P222" i="8" s="1"/>
  <c r="G205" i="8"/>
  <c r="N206" i="8" s="1"/>
  <c r="I201" i="8"/>
  <c r="P202" i="8" s="1"/>
  <c r="E191" i="8"/>
  <c r="L192" i="8" s="1"/>
  <c r="D270" i="8"/>
  <c r="K271" i="8" s="1"/>
  <c r="G270" i="8"/>
  <c r="N271" i="8" s="1"/>
  <c r="D262" i="8"/>
  <c r="K263" i="8" s="1"/>
  <c r="E262" i="8"/>
  <c r="L263" i="8" s="1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N247" i="8" s="1"/>
  <c r="D238" i="8"/>
  <c r="K239" i="8" s="1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M175" i="8" s="1"/>
  <c r="D174" i="8"/>
  <c r="K175" i="8" s="1"/>
  <c r="E174" i="8"/>
  <c r="L175" i="8" s="1"/>
  <c r="H166" i="8"/>
  <c r="O167" i="8" s="1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P159" i="8" s="1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P151" i="8" s="1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N143" i="8" s="1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P127" i="8" s="1"/>
  <c r="D126" i="8"/>
  <c r="K127" i="8" s="1"/>
  <c r="F126" i="8"/>
  <c r="M127" i="8" s="1"/>
  <c r="E126" i="8"/>
  <c r="L127" i="8" s="1"/>
  <c r="G126" i="8"/>
  <c r="N127" i="8" s="1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M111" i="8" s="1"/>
  <c r="E110" i="8"/>
  <c r="L111" i="8" s="1"/>
  <c r="G110" i="8"/>
  <c r="N111" i="8" s="1"/>
  <c r="H102" i="8"/>
  <c r="O103" i="8" s="1"/>
  <c r="I102" i="8"/>
  <c r="P103" i="8" s="1"/>
  <c r="D102" i="8"/>
  <c r="K103" i="8" s="1"/>
  <c r="F102" i="8"/>
  <c r="M103" i="8" s="1"/>
  <c r="E102" i="8"/>
  <c r="L103" i="8" s="1"/>
  <c r="H94" i="8"/>
  <c r="O95" i="8" s="1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P87" i="8" s="1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N79" i="8" s="1"/>
  <c r="H70" i="8"/>
  <c r="O71" i="8" s="1"/>
  <c r="I70" i="8"/>
  <c r="P71" i="8" s="1"/>
  <c r="D70" i="8"/>
  <c r="K71" i="8" s="1"/>
  <c r="E70" i="8"/>
  <c r="L71" i="8" s="1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K366" i="8" s="1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K334" i="8" s="1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M288" i="8" s="1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N246" i="8" s="1"/>
  <c r="I242" i="8"/>
  <c r="P243" i="8" s="1"/>
  <c r="E240" i="8"/>
  <c r="L241" i="8" s="1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K200" i="8" s="1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L168" i="8" s="1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L136" i="8" s="1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L80" i="8" s="1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L278" i="8" s="1"/>
  <c r="H253" i="8"/>
  <c r="O254" i="8" s="1"/>
  <c r="E253" i="8"/>
  <c r="L254" i="8" s="1"/>
  <c r="H229" i="8"/>
  <c r="O230" i="8" s="1"/>
  <c r="E229" i="8"/>
  <c r="L230" i="8" s="1"/>
  <c r="H197" i="8"/>
  <c r="O198" i="8" s="1"/>
  <c r="D197" i="8"/>
  <c r="K198" i="8" s="1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K166" i="8" s="1"/>
  <c r="E165" i="8"/>
  <c r="L166" i="8" s="1"/>
  <c r="F125" i="8"/>
  <c r="M126" i="8" s="1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M78" i="8" s="1"/>
  <c r="G77" i="8"/>
  <c r="N78" i="8" s="1"/>
  <c r="H77" i="8"/>
  <c r="O78" i="8" s="1"/>
  <c r="I77" i="8"/>
  <c r="P78" i="8" s="1"/>
  <c r="D77" i="8"/>
  <c r="K78" i="8" s="1"/>
  <c r="E77" i="8"/>
  <c r="L78" i="8" s="1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M254" i="8" s="1"/>
  <c r="F237" i="8"/>
  <c r="M238" i="8" s="1"/>
  <c r="F229" i="8"/>
  <c r="M230" i="8" s="1"/>
  <c r="F221" i="8"/>
  <c r="M222" i="8" s="1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L144" i="8" s="1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L96" i="8" s="1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K214" i="8" s="1"/>
  <c r="E213" i="8"/>
  <c r="L214" i="8" s="1"/>
  <c r="D181" i="8"/>
  <c r="K182" i="8" s="1"/>
  <c r="G181" i="8"/>
  <c r="N182" i="8" s="1"/>
  <c r="H181" i="8"/>
  <c r="O182" i="8" s="1"/>
  <c r="I181" i="8"/>
  <c r="P182" i="8" s="1"/>
  <c r="E181" i="8"/>
  <c r="L182" i="8" s="1"/>
  <c r="F149" i="8"/>
  <c r="M150" i="8" s="1"/>
  <c r="G149" i="8"/>
  <c r="N150" i="8" s="1"/>
  <c r="H149" i="8"/>
  <c r="O150" i="8" s="1"/>
  <c r="I149" i="8"/>
  <c r="P150" i="8" s="1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P134" i="8" s="1"/>
  <c r="D133" i="8"/>
  <c r="K134" i="8" s="1"/>
  <c r="E133" i="8"/>
  <c r="L134" i="8" s="1"/>
  <c r="F101" i="8"/>
  <c r="M102" i="8" s="1"/>
  <c r="G101" i="8"/>
  <c r="N102" i="8" s="1"/>
  <c r="H101" i="8"/>
  <c r="O102" i="8" s="1"/>
  <c r="I101" i="8"/>
  <c r="P102" i="8" s="1"/>
  <c r="D101" i="8"/>
  <c r="K102" i="8" s="1"/>
  <c r="E101" i="8"/>
  <c r="L102" i="8" s="1"/>
  <c r="F93" i="8"/>
  <c r="M94" i="8" s="1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P70" i="8" s="1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P245" i="8" s="1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L173" i="8" s="1"/>
  <c r="F172" i="8"/>
  <c r="M173" i="8" s="1"/>
  <c r="G172" i="8"/>
  <c r="N173" i="8" s="1"/>
  <c r="H172" i="8"/>
  <c r="O173" i="8" s="1"/>
  <c r="I172" i="8"/>
  <c r="P173" i="8" s="1"/>
  <c r="D156" i="8"/>
  <c r="K157" i="8" s="1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O141" i="8" s="1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K331" i="8" s="1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M320" i="8" s="1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K307" i="8" s="1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M291" i="8" s="1"/>
  <c r="H288" i="8"/>
  <c r="O289" i="8" s="1"/>
  <c r="I286" i="8"/>
  <c r="P287" i="8" s="1"/>
  <c r="D285" i="8"/>
  <c r="K286" i="8" s="1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K246" i="8" s="1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M174" i="8" s="1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P118" i="8" s="1"/>
  <c r="D117" i="8"/>
  <c r="K118" i="8" s="1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K101" i="8" s="1"/>
  <c r="E100" i="8"/>
  <c r="L101" i="8" s="1"/>
  <c r="F100" i="8"/>
  <c r="M101" i="8" s="1"/>
  <c r="G100" i="8"/>
  <c r="N101" i="8" s="1"/>
  <c r="H100" i="8"/>
  <c r="O101" i="8" s="1"/>
  <c r="I100" i="8"/>
  <c r="P101" i="8" s="1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N196" i="8" s="1"/>
  <c r="H195" i="8"/>
  <c r="O196" i="8" s="1"/>
  <c r="I195" i="8"/>
  <c r="P196" i="8" s="1"/>
  <c r="D187" i="8"/>
  <c r="K188" i="8" s="1"/>
  <c r="F187" i="8"/>
  <c r="M188" i="8" s="1"/>
  <c r="G187" i="8"/>
  <c r="N188" i="8" s="1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O156" i="8" s="1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P116" i="8" s="1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M84" i="8" s="1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P374" i="8" s="1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N349" i="8" s="1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P314" i="8" s="1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L304" i="8" s="1"/>
  <c r="I301" i="8"/>
  <c r="P302" i="8" s="1"/>
  <c r="G300" i="8"/>
  <c r="N301" i="8" s="1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L273" i="8" s="1"/>
  <c r="E270" i="8"/>
  <c r="L271" i="8" s="1"/>
  <c r="D268" i="8"/>
  <c r="K269" i="8" s="1"/>
  <c r="I265" i="8"/>
  <c r="P266" i="8" s="1"/>
  <c r="E263" i="8"/>
  <c r="L264" i="8" s="1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N237" i="8" s="1"/>
  <c r="I233" i="8"/>
  <c r="P234" i="8" s="1"/>
  <c r="E231" i="8"/>
  <c r="L232" i="8" s="1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L208" i="8" s="1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L184" i="8" s="1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L120" i="8" s="1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L88" i="8" s="1"/>
  <c r="F87" i="8"/>
  <c r="M88" i="8" s="1"/>
  <c r="H87" i="8"/>
  <c r="O88" i="8" s="1"/>
  <c r="G87" i="8"/>
  <c r="N88" i="8" s="1"/>
  <c r="I87" i="8"/>
  <c r="P88" i="8" s="1"/>
  <c r="D71" i="8"/>
  <c r="K72" i="8" s="1"/>
  <c r="E71" i="8"/>
  <c r="L72" i="8" s="1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M158" i="8" s="1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P86" i="8" s="1"/>
  <c r="D85" i="8"/>
  <c r="K86" i="8" s="1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K259" i="8" s="1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K227" i="8" s="1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O179" i="8" s="1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P155" i="8" s="1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P139" i="8" s="1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N131" i="8" s="1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N115" i="8" s="1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O99" i="8" s="1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L75" i="8" s="1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O362" i="8" s="1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M341" i="8" s="1"/>
  <c r="H337" i="8"/>
  <c r="O338" i="8" s="1"/>
  <c r="F336" i="8"/>
  <c r="M337" i="8" s="1"/>
  <c r="H333" i="8"/>
  <c r="O334" i="8" s="1"/>
  <c r="F332" i="8"/>
  <c r="M333" i="8" s="1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P255" i="8" s="1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L221" i="8" s="1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M190" i="8" s="1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K176" i="8" s="1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N178" i="8" s="1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L138" i="8" s="1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O90" i="8" s="1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L74" i="8" s="1"/>
  <c r="G369" i="8"/>
  <c r="N370" i="8" s="1"/>
  <c r="G365" i="8"/>
  <c r="N366" i="8" s="1"/>
  <c r="G361" i="8"/>
  <c r="N362" i="8" s="1"/>
  <c r="G357" i="8"/>
  <c r="N358" i="8" s="1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L266" i="8" s="1"/>
  <c r="H249" i="8"/>
  <c r="O250" i="8" s="1"/>
  <c r="E249" i="8"/>
  <c r="L250" i="8" s="1"/>
  <c r="H233" i="8"/>
  <c r="O234" i="8" s="1"/>
  <c r="E233" i="8"/>
  <c r="L234" i="8" s="1"/>
  <c r="H217" i="8"/>
  <c r="O218" i="8" s="1"/>
  <c r="D217" i="8"/>
  <c r="K218" i="8" s="1"/>
  <c r="E217" i="8"/>
  <c r="L218" i="8" s="1"/>
  <c r="H201" i="8"/>
  <c r="O202" i="8" s="1"/>
  <c r="D201" i="8"/>
  <c r="K202" i="8" s="1"/>
  <c r="E201" i="8"/>
  <c r="L202" i="8" s="1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N114" i="8" s="1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M265" i="8" s="1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M217" i="8" s="1"/>
  <c r="H216" i="8"/>
  <c r="O217" i="8" s="1"/>
  <c r="I216" i="8"/>
  <c r="P217" i="8" s="1"/>
  <c r="F208" i="8"/>
  <c r="M209" i="8" s="1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P185" i="8" s="1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P177" i="8" s="1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O153" i="8" s="1"/>
  <c r="I152" i="8"/>
  <c r="P153" i="8" s="1"/>
  <c r="D144" i="8"/>
  <c r="K145" i="8" s="1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O137" i="8" s="1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K121" i="8" s="1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K113" i="8" s="1"/>
  <c r="E112" i="8"/>
  <c r="L113" i="8" s="1"/>
  <c r="F112" i="8"/>
  <c r="M113" i="8" s="1"/>
  <c r="G112" i="8"/>
  <c r="N113" i="8" s="1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L89" i="8" s="1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N81" i="8" s="1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N119" i="8" s="1"/>
  <c r="I75" i="8"/>
  <c r="P76" i="8" s="1"/>
  <c r="D61" i="8"/>
  <c r="K62" i="8" s="1"/>
  <c r="F18" i="8"/>
  <c r="M19" i="8" s="1"/>
  <c r="D18" i="8"/>
  <c r="K19" i="8" s="1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O56" i="8" s="1"/>
  <c r="H34" i="8"/>
  <c r="O35" i="8" s="1"/>
  <c r="I54" i="8"/>
  <c r="P55" i="8" s="1"/>
  <c r="I32" i="8"/>
  <c r="P33" i="8" s="1"/>
  <c r="G49" i="8"/>
  <c r="N50" i="8" s="1"/>
  <c r="G28" i="8"/>
  <c r="N29" i="8" s="1"/>
  <c r="H31" i="8"/>
  <c r="O32" i="8" s="1"/>
  <c r="I51" i="8"/>
  <c r="P52" i="8" s="1"/>
  <c r="I30" i="8"/>
  <c r="P31" i="8" s="1"/>
  <c r="G47" i="8"/>
  <c r="N48" i="8" s="1"/>
  <c r="G25" i="8"/>
  <c r="N26" i="8" s="1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O48" i="8" s="1"/>
  <c r="H26" i="8"/>
  <c r="O27" i="8" s="1"/>
  <c r="I46" i="8"/>
  <c r="P47" i="8" s="1"/>
  <c r="I24" i="8"/>
  <c r="P25" i="8" s="1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O49" i="8" s="1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N43" i="8" s="1"/>
  <c r="G34" i="8"/>
  <c r="N35" i="8" s="1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P30" i="8" s="1"/>
  <c r="I21" i="8"/>
  <c r="P22" i="8" s="1"/>
  <c r="G54" i="8"/>
  <c r="N55" i="8" s="1"/>
  <c r="G46" i="8"/>
  <c r="N47" i="8" s="1"/>
  <c r="G38" i="8"/>
  <c r="N39" i="8" s="1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K27" i="8" s="1"/>
  <c r="F55" i="8"/>
  <c r="M56" i="8" s="1"/>
  <c r="F47" i="8"/>
  <c r="M48" i="8" s="1"/>
  <c r="F39" i="8"/>
  <c r="M40" i="8" s="1"/>
  <c r="F31" i="8"/>
  <c r="M32" i="8" s="1"/>
  <c r="D57" i="8"/>
  <c r="K58" i="8" s="1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K23" i="8" s="1"/>
  <c r="E56" i="8"/>
  <c r="L57" i="8" s="1"/>
  <c r="E48" i="8"/>
  <c r="L49" i="8" s="1"/>
  <c r="E40" i="8"/>
  <c r="L41" i="8" s="1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L46" i="8" s="1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H11" i="9" l="1"/>
  <c r="A308" i="10" s="1"/>
  <c r="A104" i="10"/>
  <c r="B104" i="10" s="1"/>
  <c r="B308" i="10"/>
  <c r="C16" i="1"/>
  <c r="B2" i="10"/>
  <c r="D12" i="9"/>
  <c r="F12" i="9"/>
  <c r="A2" i="7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E12" i="9" l="1"/>
  <c r="A3" i="10"/>
  <c r="B3" i="10" s="1"/>
  <c r="B206" i="10"/>
  <c r="D16" i="1"/>
  <c r="A4" i="4" s="1"/>
  <c r="B4" i="4" s="1"/>
  <c r="C17" i="1"/>
  <c r="D13" i="9"/>
  <c r="G12" i="9"/>
  <c r="A207" i="10" s="1"/>
  <c r="B207" i="10" s="1"/>
  <c r="F13" i="9"/>
  <c r="A105" i="7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E13" i="9" l="1"/>
  <c r="A106" i="10" s="1"/>
  <c r="A4" i="10"/>
  <c r="B4" i="10" s="1"/>
  <c r="H12" i="9"/>
  <c r="A309" i="10" s="1"/>
  <c r="A105" i="10"/>
  <c r="B105" i="10" s="1"/>
  <c r="G13" i="9"/>
  <c r="A208" i="10" s="1"/>
  <c r="B208" i="10" s="1"/>
  <c r="D15" i="9"/>
  <c r="D14" i="9"/>
  <c r="F14" i="9"/>
  <c r="F15" i="9" s="1"/>
  <c r="H13" i="9"/>
  <c r="A310" i="10" s="1"/>
  <c r="B105" i="7"/>
  <c r="E16" i="1"/>
  <c r="H15" i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A208" i="4"/>
  <c r="B208" i="4" s="1"/>
  <c r="C19" i="1"/>
  <c r="D18" i="1"/>
  <c r="A6" i="4" s="1"/>
  <c r="B6" i="4" s="1"/>
  <c r="G17" i="1"/>
  <c r="E15" i="9" l="1"/>
  <c r="A6" i="10"/>
  <c r="B6" i="10" s="1"/>
  <c r="E14" i="9"/>
  <c r="A5" i="10"/>
  <c r="B5" i="10" s="1"/>
  <c r="A309" i="4"/>
  <c r="B309" i="4" s="1"/>
  <c r="B309" i="10"/>
  <c r="E17" i="1"/>
  <c r="B106" i="10"/>
  <c r="F18" i="1"/>
  <c r="G15" i="9"/>
  <c r="A210" i="10" s="1"/>
  <c r="G14" i="9"/>
  <c r="A209" i="10" s="1"/>
  <c r="B209" i="10" s="1"/>
  <c r="D16" i="9"/>
  <c r="F16" i="9"/>
  <c r="A106" i="4"/>
  <c r="B106" i="4" s="1"/>
  <c r="H16" i="1"/>
  <c r="A5" i="7"/>
  <c r="B5" i="7" s="1"/>
  <c r="A107" i="7"/>
  <c r="B107" i="7" s="1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A209" i="4"/>
  <c r="B209" i="4" s="1"/>
  <c r="C19" i="6"/>
  <c r="E18" i="6"/>
  <c r="F19" i="1"/>
  <c r="C20" i="1"/>
  <c r="D19" i="1"/>
  <c r="A7" i="4" s="1"/>
  <c r="B7" i="4" s="1"/>
  <c r="G18" i="1"/>
  <c r="A210" i="4" s="1"/>
  <c r="B210" i="4" s="1"/>
  <c r="H14" i="9" l="1"/>
  <c r="A311" i="10" s="1"/>
  <c r="A107" i="10"/>
  <c r="B107" i="10" s="1"/>
  <c r="E16" i="9"/>
  <c r="A7" i="10"/>
  <c r="B7" i="10" s="1"/>
  <c r="H15" i="9"/>
  <c r="A312" i="10" s="1"/>
  <c r="A108" i="10"/>
  <c r="E18" i="1"/>
  <c r="A310" i="4"/>
  <c r="B310" i="4" s="1"/>
  <c r="B310" i="10"/>
  <c r="A107" i="4"/>
  <c r="B107" i="4" s="1"/>
  <c r="H17" i="1"/>
  <c r="B210" i="10"/>
  <c r="G16" i="9"/>
  <c r="A211" i="10" s="1"/>
  <c r="D17" i="9"/>
  <c r="F17" i="9"/>
  <c r="A108" i="7"/>
  <c r="B108" i="7" s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C20" i="6"/>
  <c r="E19" i="6"/>
  <c r="F20" i="1"/>
  <c r="E19" i="1"/>
  <c r="C21" i="1"/>
  <c r="D20" i="1"/>
  <c r="A8" i="4" s="1"/>
  <c r="B8" i="4" s="1"/>
  <c r="G19" i="1"/>
  <c r="A211" i="4" s="1"/>
  <c r="B211" i="4" s="1"/>
  <c r="B108" i="10" l="1"/>
  <c r="E17" i="9"/>
  <c r="A8" i="10"/>
  <c r="H16" i="9"/>
  <c r="A313" i="10" s="1"/>
  <c r="A109" i="10"/>
  <c r="B109" i="10" s="1"/>
  <c r="B8" i="10"/>
  <c r="A108" i="4"/>
  <c r="B108" i="4" s="1"/>
  <c r="H18" i="1"/>
  <c r="B312" i="10" s="1"/>
  <c r="A311" i="4"/>
  <c r="B311" i="4" s="1"/>
  <c r="B311" i="10"/>
  <c r="B211" i="10"/>
  <c r="G17" i="9"/>
  <c r="A212" i="10" s="1"/>
  <c r="D18" i="9"/>
  <c r="F18" i="9"/>
  <c r="A109" i="7"/>
  <c r="B109" i="7" s="1"/>
  <c r="H67" i="8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C21" i="6"/>
  <c r="E20" i="6"/>
  <c r="F21" i="1"/>
  <c r="E20" i="1"/>
  <c r="H19" i="1"/>
  <c r="B313" i="10" s="1"/>
  <c r="C22" i="1"/>
  <c r="D21" i="1"/>
  <c r="A9" i="4" s="1"/>
  <c r="B9" i="4" s="1"/>
  <c r="G20" i="1"/>
  <c r="A212" i="4" s="1"/>
  <c r="B212" i="4" s="1"/>
  <c r="H17" i="9" l="1"/>
  <c r="A314" i="10" s="1"/>
  <c r="A110" i="10"/>
  <c r="B110" i="10" s="1"/>
  <c r="E18" i="9"/>
  <c r="A111" i="10" s="1"/>
  <c r="A9" i="10"/>
  <c r="B9" i="10" s="1"/>
  <c r="B212" i="10"/>
  <c r="G18" i="9"/>
  <c r="A213" i="10" s="1"/>
  <c r="B213" i="10" s="1"/>
  <c r="D19" i="9"/>
  <c r="F19" i="9"/>
  <c r="A110" i="7"/>
  <c r="B110" i="7" s="1"/>
  <c r="D21" i="6"/>
  <c r="F21" i="6" s="1"/>
  <c r="A9" i="7"/>
  <c r="B9" i="7" s="1"/>
  <c r="A8" i="7"/>
  <c r="B8" i="7" s="1"/>
  <c r="A313" i="4"/>
  <c r="B313" i="4" s="1"/>
  <c r="A110" i="4"/>
  <c r="B110" i="4" s="1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B314" i="10" l="1"/>
  <c r="B111" i="10"/>
  <c r="E19" i="9"/>
  <c r="A112" i="10" s="1"/>
  <c r="A10" i="10"/>
  <c r="B10" i="10" s="1"/>
  <c r="G19" i="9"/>
  <c r="A214" i="10" s="1"/>
  <c r="D20" i="9"/>
  <c r="H18" i="9"/>
  <c r="A315" i="10" s="1"/>
  <c r="F20" i="9"/>
  <c r="A111" i="7"/>
  <c r="D22" i="6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B315" i="10" l="1"/>
  <c r="B112" i="10"/>
  <c r="G20" i="9"/>
  <c r="A215" i="10" s="1"/>
  <c r="B215" i="10" s="1"/>
  <c r="A11" i="10"/>
  <c r="B11" i="10" s="1"/>
  <c r="B214" i="10"/>
  <c r="E20" i="9"/>
  <c r="A113" i="10" s="1"/>
  <c r="D21" i="9"/>
  <c r="F21" i="9"/>
  <c r="H19" i="9"/>
  <c r="A316" i="10" s="1"/>
  <c r="A10" i="7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E21" i="9" l="1"/>
  <c r="A114" i="10" s="1"/>
  <c r="A12" i="10"/>
  <c r="B12" i="10" s="1"/>
  <c r="B113" i="10"/>
  <c r="B316" i="10"/>
  <c r="G21" i="9"/>
  <c r="A216" i="10" s="1"/>
  <c r="D22" i="9"/>
  <c r="F22" i="9"/>
  <c r="H20" i="9"/>
  <c r="A317" i="10" s="1"/>
  <c r="D24" i="6"/>
  <c r="F24" i="6" s="1"/>
  <c r="A11" i="7"/>
  <c r="B11" i="7" s="1"/>
  <c r="A316" i="4"/>
  <c r="B316" i="4" s="1"/>
  <c r="A113" i="4"/>
  <c r="B113" i="4" s="1"/>
  <c r="B113" i="7"/>
  <c r="C25" i="6"/>
  <c r="E24" i="6"/>
  <c r="H23" i="1"/>
  <c r="E24" i="1"/>
  <c r="F25" i="1"/>
  <c r="C26" i="1"/>
  <c r="D25" i="1"/>
  <c r="G24" i="1"/>
  <c r="A216" i="4" s="1"/>
  <c r="B216" i="4" s="1"/>
  <c r="B114" i="10" l="1"/>
  <c r="B317" i="10"/>
  <c r="G22" i="9"/>
  <c r="A217" i="10" s="1"/>
  <c r="A13" i="10"/>
  <c r="B13" i="10" s="1"/>
  <c r="B216" i="10"/>
  <c r="E22" i="9"/>
  <c r="A115" i="10" s="1"/>
  <c r="D23" i="9"/>
  <c r="H21" i="9"/>
  <c r="A318" i="10" s="1"/>
  <c r="F23" i="9"/>
  <c r="A114" i="7"/>
  <c r="B114" i="7" s="1"/>
  <c r="A12" i="7"/>
  <c r="B12" i="7" s="1"/>
  <c r="D25" i="6"/>
  <c r="F25" i="6" s="1"/>
  <c r="A317" i="4"/>
  <c r="B317" i="4" s="1"/>
  <c r="A114" i="4"/>
  <c r="B114" i="4" s="1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E23" i="9" l="1"/>
  <c r="A116" i="10" s="1"/>
  <c r="A14" i="10"/>
  <c r="B14" i="10" s="1"/>
  <c r="B318" i="10"/>
  <c r="B115" i="10"/>
  <c r="B217" i="10"/>
  <c r="G23" i="9"/>
  <c r="A218" i="10" s="1"/>
  <c r="D24" i="9"/>
  <c r="F24" i="9"/>
  <c r="H22" i="9"/>
  <c r="A319" i="10" s="1"/>
  <c r="A13" i="7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B116" i="10" l="1"/>
  <c r="G24" i="9"/>
  <c r="A219" i="10" s="1"/>
  <c r="A15" i="10"/>
  <c r="B15" i="10" s="1"/>
  <c r="B319" i="10"/>
  <c r="B218" i="10"/>
  <c r="E24" i="9"/>
  <c r="A117" i="10" s="1"/>
  <c r="D25" i="9"/>
  <c r="F25" i="9"/>
  <c r="H23" i="9"/>
  <c r="A320" i="10" s="1"/>
  <c r="A14" i="7"/>
  <c r="B14" i="7" s="1"/>
  <c r="A116" i="7"/>
  <c r="B116" i="7" s="1"/>
  <c r="D27" i="6"/>
  <c r="F27" i="6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B117" i="10" l="1"/>
  <c r="G25" i="9"/>
  <c r="A220" i="10" s="1"/>
  <c r="A16" i="10"/>
  <c r="B16" i="10" s="1"/>
  <c r="B320" i="10"/>
  <c r="A15" i="7"/>
  <c r="B15" i="7" s="1"/>
  <c r="B219" i="10"/>
  <c r="E25" i="9"/>
  <c r="A118" i="10" s="1"/>
  <c r="D26" i="9"/>
  <c r="H24" i="9"/>
  <c r="A321" i="10" s="1"/>
  <c r="F26" i="9"/>
  <c r="A117" i="7"/>
  <c r="B117" i="7" s="1"/>
  <c r="E28" i="1"/>
  <c r="D28" i="6"/>
  <c r="F28" i="6" s="1"/>
  <c r="A320" i="4"/>
  <c r="B320" i="4" s="1"/>
  <c r="A117" i="4"/>
  <c r="B117" i="4" s="1"/>
  <c r="C29" i="6"/>
  <c r="E28" i="6"/>
  <c r="A16" i="4"/>
  <c r="B16" i="4" s="1"/>
  <c r="F29" i="1"/>
  <c r="H27" i="1"/>
  <c r="C30" i="1"/>
  <c r="D29" i="1"/>
  <c r="G28" i="1"/>
  <c r="A220" i="4" s="1"/>
  <c r="B220" i="4" s="1"/>
  <c r="E26" i="9" l="1"/>
  <c r="A119" i="10" s="1"/>
  <c r="A17" i="10"/>
  <c r="B17" i="10" s="1"/>
  <c r="B321" i="10"/>
  <c r="A118" i="4"/>
  <c r="B118" i="4" s="1"/>
  <c r="B118" i="10"/>
  <c r="B220" i="10"/>
  <c r="G26" i="9"/>
  <c r="A221" i="10" s="1"/>
  <c r="D27" i="9"/>
  <c r="F27" i="9"/>
  <c r="H25" i="9"/>
  <c r="A322" i="10" s="1"/>
  <c r="H28" i="1"/>
  <c r="E29" i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E27" i="9" l="1"/>
  <c r="A120" i="10" s="1"/>
  <c r="A18" i="10"/>
  <c r="B18" i="10" s="1"/>
  <c r="A322" i="4"/>
  <c r="B322" i="4" s="1"/>
  <c r="B322" i="10"/>
  <c r="A119" i="4"/>
  <c r="B119" i="4" s="1"/>
  <c r="B119" i="10"/>
  <c r="B221" i="10"/>
  <c r="G27" i="9"/>
  <c r="A222" i="10" s="1"/>
  <c r="B222" i="10" s="1"/>
  <c r="D28" i="9"/>
  <c r="H26" i="9"/>
  <c r="A323" i="10" s="1"/>
  <c r="F28" i="9"/>
  <c r="A17" i="7"/>
  <c r="B17" i="7" s="1"/>
  <c r="A119" i="7"/>
  <c r="B119" i="7" s="1"/>
  <c r="E30" i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B323" i="10" l="1"/>
  <c r="E28" i="9"/>
  <c r="A121" i="10" s="1"/>
  <c r="A19" i="10"/>
  <c r="B19" i="10" s="1"/>
  <c r="A120" i="4"/>
  <c r="B120" i="4" s="1"/>
  <c r="B120" i="10"/>
  <c r="G28" i="9"/>
  <c r="A223" i="10" s="1"/>
  <c r="D29" i="9"/>
  <c r="F29" i="9"/>
  <c r="H27" i="9"/>
  <c r="A324" i="10" s="1"/>
  <c r="A120" i="7"/>
  <c r="B120" i="7" s="1"/>
  <c r="E31" i="1"/>
  <c r="A18" i="7"/>
  <c r="B18" i="7" s="1"/>
  <c r="D31" i="6"/>
  <c r="F31" i="6" s="1"/>
  <c r="A323" i="4"/>
  <c r="B323" i="4" s="1"/>
  <c r="C32" i="6"/>
  <c r="E31" i="6"/>
  <c r="A19" i="4"/>
  <c r="B19" i="4" s="1"/>
  <c r="F32" i="1"/>
  <c r="H30" i="1"/>
  <c r="G31" i="1"/>
  <c r="A223" i="4" s="1"/>
  <c r="B223" i="4" s="1"/>
  <c r="C33" i="1"/>
  <c r="D32" i="1"/>
  <c r="E29" i="9" l="1"/>
  <c r="A122" i="10" s="1"/>
  <c r="A20" i="10"/>
  <c r="B20" i="10"/>
  <c r="B324" i="10"/>
  <c r="A121" i="4"/>
  <c r="B121" i="4" s="1"/>
  <c r="B121" i="10"/>
  <c r="B223" i="10"/>
  <c r="A121" i="7"/>
  <c r="B121" i="7" s="1"/>
  <c r="G29" i="9"/>
  <c r="A224" i="10" s="1"/>
  <c r="D30" i="9"/>
  <c r="H28" i="9"/>
  <c r="A325" i="10" s="1"/>
  <c r="F30" i="9"/>
  <c r="E32" i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0" i="9" l="1"/>
  <c r="A123" i="10" s="1"/>
  <c r="A21" i="10"/>
  <c r="B21" i="10" s="1"/>
  <c r="B325" i="10"/>
  <c r="A122" i="4"/>
  <c r="B122" i="4" s="1"/>
  <c r="B122" i="10"/>
  <c r="B224" i="10"/>
  <c r="G30" i="9"/>
  <c r="A225" i="10" s="1"/>
  <c r="B225" i="10" s="1"/>
  <c r="D31" i="9"/>
  <c r="F31" i="9"/>
  <c r="H29" i="9"/>
  <c r="A326" i="10" s="1"/>
  <c r="E33" i="1"/>
  <c r="H32" i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1" i="9" l="1"/>
  <c r="A124" i="10" s="1"/>
  <c r="A22" i="10"/>
  <c r="B22" i="10" s="1"/>
  <c r="A326" i="4"/>
  <c r="B326" i="4" s="1"/>
  <c r="B326" i="10"/>
  <c r="A123" i="4"/>
  <c r="B123" i="4" s="1"/>
  <c r="B123" i="10"/>
  <c r="G31" i="9"/>
  <c r="A226" i="10" s="1"/>
  <c r="B226" i="10" s="1"/>
  <c r="D32" i="9"/>
  <c r="E34" i="1"/>
  <c r="H30" i="9"/>
  <c r="A327" i="10" s="1"/>
  <c r="F32" i="9"/>
  <c r="H33" i="1"/>
  <c r="D34" i="6"/>
  <c r="F34" i="6" s="1"/>
  <c r="A123" i="7"/>
  <c r="B123" i="7" s="1"/>
  <c r="A21" i="7"/>
  <c r="B21" i="7" s="1"/>
  <c r="C35" i="6"/>
  <c r="E34" i="6"/>
  <c r="A22" i="4"/>
  <c r="B22" i="4" s="1"/>
  <c r="F35" i="1"/>
  <c r="C36" i="1"/>
  <c r="D35" i="1"/>
  <c r="G34" i="1"/>
  <c r="A226" i="4" s="1"/>
  <c r="B226" i="4" s="1"/>
  <c r="E32" i="9" l="1"/>
  <c r="A125" i="10" s="1"/>
  <c r="A23" i="10"/>
  <c r="B23" i="10" s="1"/>
  <c r="A327" i="4"/>
  <c r="B327" i="4" s="1"/>
  <c r="B327" i="10"/>
  <c r="A124" i="4"/>
  <c r="B124" i="4" s="1"/>
  <c r="B124" i="10"/>
  <c r="A124" i="7"/>
  <c r="B124" i="7" s="1"/>
  <c r="G32" i="9"/>
  <c r="A227" i="10" s="1"/>
  <c r="B227" i="10" s="1"/>
  <c r="D33" i="9"/>
  <c r="F33" i="9"/>
  <c r="H31" i="9"/>
  <c r="A328" i="10" s="1"/>
  <c r="E35" i="1"/>
  <c r="A22" i="7"/>
  <c r="B22" i="7" s="1"/>
  <c r="D35" i="6"/>
  <c r="F35" i="6" s="1"/>
  <c r="A23" i="7"/>
  <c r="B23" i="7" s="1"/>
  <c r="C36" i="6"/>
  <c r="E35" i="6"/>
  <c r="F36" i="1"/>
  <c r="A23" i="4"/>
  <c r="B23" i="4" s="1"/>
  <c r="H34" i="1"/>
  <c r="G35" i="1"/>
  <c r="A227" i="4" s="1"/>
  <c r="B227" i="4" s="1"/>
  <c r="C37" i="1"/>
  <c r="D36" i="1"/>
  <c r="G36" i="1" s="1"/>
  <c r="B328" i="10" l="1"/>
  <c r="E33" i="9"/>
  <c r="A126" i="10" s="1"/>
  <c r="A24" i="10"/>
  <c r="B24" i="10" s="1"/>
  <c r="A125" i="4"/>
  <c r="B125" i="4" s="1"/>
  <c r="B125" i="10"/>
  <c r="A125" i="7"/>
  <c r="B125" i="7" s="1"/>
  <c r="G33" i="9"/>
  <c r="A228" i="10" s="1"/>
  <c r="B228" i="10" s="1"/>
  <c r="D34" i="9"/>
  <c r="H35" i="1"/>
  <c r="H32" i="9"/>
  <c r="A329" i="10" s="1"/>
  <c r="F34" i="9"/>
  <c r="D36" i="6"/>
  <c r="F36" i="6" s="1"/>
  <c r="A328" i="4"/>
  <c r="B328" i="4" s="1"/>
  <c r="C37" i="6"/>
  <c r="E36" i="6"/>
  <c r="F37" i="1"/>
  <c r="A24" i="4"/>
  <c r="B24" i="4" s="1"/>
  <c r="A228" i="4"/>
  <c r="B228" i="4" s="1"/>
  <c r="E36" i="1"/>
  <c r="C38" i="1"/>
  <c r="D37" i="1"/>
  <c r="A25" i="4" s="1"/>
  <c r="B25" i="4" s="1"/>
  <c r="B126" i="10" l="1"/>
  <c r="E34" i="9"/>
  <c r="A127" i="10" s="1"/>
  <c r="A25" i="10"/>
  <c r="B25" i="10" s="1"/>
  <c r="A329" i="4"/>
  <c r="B329" i="4" s="1"/>
  <c r="B329" i="10"/>
  <c r="G34" i="9"/>
  <c r="A229" i="10" s="1"/>
  <c r="D35" i="9"/>
  <c r="F35" i="9"/>
  <c r="H33" i="9"/>
  <c r="A330" i="10" s="1"/>
  <c r="A126" i="7"/>
  <c r="B126" i="7" s="1"/>
  <c r="A24" i="7"/>
  <c r="B24" i="7" s="1"/>
  <c r="D37" i="6"/>
  <c r="F37" i="6" s="1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B127" i="10" l="1"/>
  <c r="B330" i="10"/>
  <c r="E35" i="9"/>
  <c r="A128" i="10" s="1"/>
  <c r="A26" i="10"/>
  <c r="B229" i="10"/>
  <c r="B26" i="10"/>
  <c r="G35" i="9"/>
  <c r="A230" i="10" s="1"/>
  <c r="B230" i="10" s="1"/>
  <c r="D36" i="9"/>
  <c r="F36" i="9"/>
  <c r="H34" i="9"/>
  <c r="A331" i="10" s="1"/>
  <c r="A25" i="7"/>
  <c r="B25" i="7" s="1"/>
  <c r="D38" i="6"/>
  <c r="F38" i="6" s="1"/>
  <c r="A127" i="7"/>
  <c r="B127" i="7" s="1"/>
  <c r="A127" i="4"/>
  <c r="B127" i="4" s="1"/>
  <c r="A330" i="4"/>
  <c r="B330" i="4" s="1"/>
  <c r="C39" i="6"/>
  <c r="E38" i="6"/>
  <c r="F39" i="1"/>
  <c r="E38" i="1"/>
  <c r="H37" i="1"/>
  <c r="G38" i="1"/>
  <c r="A230" i="4" s="1"/>
  <c r="B230" i="4" s="1"/>
  <c r="C40" i="1"/>
  <c r="D39" i="1"/>
  <c r="A27" i="4" s="1"/>
  <c r="B27" i="4" s="1"/>
  <c r="B331" i="10" l="1"/>
  <c r="E36" i="9"/>
  <c r="A129" i="10" s="1"/>
  <c r="A27" i="10"/>
  <c r="B27" i="10" s="1"/>
  <c r="B128" i="10"/>
  <c r="G36" i="9"/>
  <c r="A231" i="10" s="1"/>
  <c r="D37" i="9"/>
  <c r="F37" i="9"/>
  <c r="H35" i="9"/>
  <c r="A332" i="10" s="1"/>
  <c r="A128" i="7"/>
  <c r="B128" i="7" s="1"/>
  <c r="A26" i="7"/>
  <c r="B26" i="7" s="1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B129" i="10" l="1"/>
  <c r="B332" i="10"/>
  <c r="E37" i="9"/>
  <c r="A130" i="10" s="1"/>
  <c r="A28" i="10"/>
  <c r="B28" i="10" s="1"/>
  <c r="B231" i="10"/>
  <c r="G37" i="9"/>
  <c r="A232" i="10" s="1"/>
  <c r="D38" i="9"/>
  <c r="H36" i="9"/>
  <c r="A333" i="10" s="1"/>
  <c r="F38" i="9"/>
  <c r="A27" i="7"/>
  <c r="B27" i="7" s="1"/>
  <c r="A129" i="7"/>
  <c r="B129" i="7" s="1"/>
  <c r="D40" i="6"/>
  <c r="F40" i="6" s="1"/>
  <c r="A28" i="7"/>
  <c r="B28" i="7" s="1"/>
  <c r="A332" i="4"/>
  <c r="B332" i="4" s="1"/>
  <c r="C41" i="6"/>
  <c r="E40" i="6"/>
  <c r="F41" i="1"/>
  <c r="H39" i="1"/>
  <c r="A129" i="4"/>
  <c r="B129" i="4" s="1"/>
  <c r="E40" i="1"/>
  <c r="B130" i="10" s="1"/>
  <c r="C42" i="1"/>
  <c r="D41" i="1"/>
  <c r="A29" i="4" s="1"/>
  <c r="B29" i="4" s="1"/>
  <c r="G40" i="1"/>
  <c r="A232" i="4" s="1"/>
  <c r="B232" i="4" s="1"/>
  <c r="E38" i="9" l="1"/>
  <c r="A131" i="10" s="1"/>
  <c r="A29" i="10"/>
  <c r="B29" i="10" s="1"/>
  <c r="B333" i="10"/>
  <c r="B232" i="10"/>
  <c r="A130" i="7"/>
  <c r="B130" i="7" s="1"/>
  <c r="G38" i="9"/>
  <c r="A233" i="10" s="1"/>
  <c r="D39" i="9"/>
  <c r="F39" i="9"/>
  <c r="H37" i="9"/>
  <c r="A334" i="10" s="1"/>
  <c r="D41" i="6"/>
  <c r="F41" i="6" s="1"/>
  <c r="A333" i="4"/>
  <c r="B333" i="4" s="1"/>
  <c r="C42" i="6"/>
  <c r="E41" i="6"/>
  <c r="F42" i="1"/>
  <c r="H40" i="1"/>
  <c r="A130" i="4"/>
  <c r="B130" i="4" s="1"/>
  <c r="E41" i="1"/>
  <c r="B131" i="10" s="1"/>
  <c r="C43" i="1"/>
  <c r="D42" i="1"/>
  <c r="A30" i="4" s="1"/>
  <c r="B30" i="4" s="1"/>
  <c r="G41" i="1"/>
  <c r="A233" i="4" s="1"/>
  <c r="B233" i="4" s="1"/>
  <c r="B334" i="10" l="1"/>
  <c r="E39" i="9"/>
  <c r="A132" i="10" s="1"/>
  <c r="A30" i="10"/>
  <c r="B30" i="10" s="1"/>
  <c r="B233" i="10"/>
  <c r="G39" i="9"/>
  <c r="A234" i="10" s="1"/>
  <c r="D40" i="9"/>
  <c r="F40" i="9"/>
  <c r="H38" i="9"/>
  <c r="A335" i="10" s="1"/>
  <c r="A131" i="7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B335" i="10" l="1"/>
  <c r="E40" i="9"/>
  <c r="A133" i="10" s="1"/>
  <c r="A31" i="10"/>
  <c r="B31" i="10" s="1"/>
  <c r="B132" i="10"/>
  <c r="B234" i="10"/>
  <c r="G40" i="9"/>
  <c r="A235" i="10" s="1"/>
  <c r="D41" i="9"/>
  <c r="H39" i="9"/>
  <c r="A336" i="10" s="1"/>
  <c r="F41" i="9"/>
  <c r="A30" i="7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E41" i="9" l="1"/>
  <c r="A134" i="10" s="1"/>
  <c r="A32" i="10"/>
  <c r="B133" i="10"/>
  <c r="B336" i="10"/>
  <c r="B235" i="10"/>
  <c r="B32" i="10"/>
  <c r="G41" i="9"/>
  <c r="A236" i="10" s="1"/>
  <c r="D42" i="9"/>
  <c r="F42" i="9"/>
  <c r="H40" i="9"/>
  <c r="A337" i="10" s="1"/>
  <c r="A133" i="7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B134" i="10" l="1"/>
  <c r="E42" i="9"/>
  <c r="A135" i="10" s="1"/>
  <c r="A33" i="10"/>
  <c r="B33" i="10" s="1"/>
  <c r="B337" i="10"/>
  <c r="B236" i="10"/>
  <c r="G42" i="9"/>
  <c r="A237" i="10" s="1"/>
  <c r="D43" i="9"/>
  <c r="H41" i="9"/>
  <c r="A338" i="10" s="1"/>
  <c r="F43" i="9"/>
  <c r="A32" i="7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B135" i="10" s="1"/>
  <c r="C47" i="1"/>
  <c r="D46" i="1"/>
  <c r="A34" i="4" s="1"/>
  <c r="B34" i="4" s="1"/>
  <c r="G45" i="1"/>
  <c r="A237" i="4" s="1"/>
  <c r="B237" i="4" s="1"/>
  <c r="E43" i="9" l="1"/>
  <c r="A136" i="10" s="1"/>
  <c r="A34" i="10"/>
  <c r="B34" i="10" s="1"/>
  <c r="B338" i="10"/>
  <c r="B237" i="10"/>
  <c r="G43" i="9"/>
  <c r="A238" i="10" s="1"/>
  <c r="D44" i="9"/>
  <c r="F44" i="9"/>
  <c r="H42" i="9"/>
  <c r="A339" i="10" s="1"/>
  <c r="A135" i="7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B136" i="10" l="1"/>
  <c r="E44" i="9"/>
  <c r="A137" i="10" s="1"/>
  <c r="A35" i="10"/>
  <c r="B35" i="10" s="1"/>
  <c r="B339" i="10"/>
  <c r="B238" i="10"/>
  <c r="G44" i="9"/>
  <c r="A239" i="10" s="1"/>
  <c r="D45" i="9"/>
  <c r="H43" i="9"/>
  <c r="A340" i="10" s="1"/>
  <c r="F45" i="9"/>
  <c r="A34" i="7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B137" i="10" l="1"/>
  <c r="E45" i="9"/>
  <c r="A138" i="10" s="1"/>
  <c r="A36" i="10"/>
  <c r="B36" i="10" s="1"/>
  <c r="B340" i="10"/>
  <c r="B239" i="10"/>
  <c r="G45" i="9"/>
  <c r="A240" i="10" s="1"/>
  <c r="D46" i="9"/>
  <c r="F46" i="9"/>
  <c r="H44" i="9"/>
  <c r="A341" i="10" s="1"/>
  <c r="A137" i="7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B138" i="10" l="1"/>
  <c r="B341" i="10"/>
  <c r="E46" i="9"/>
  <c r="A139" i="10" s="1"/>
  <c r="A37" i="10"/>
  <c r="B37" i="10" s="1"/>
  <c r="B240" i="10"/>
  <c r="G46" i="9"/>
  <c r="A241" i="10" s="1"/>
  <c r="D47" i="9"/>
  <c r="H45" i="9"/>
  <c r="A342" i="10" s="1"/>
  <c r="F47" i="9"/>
  <c r="A138" i="7"/>
  <c r="B138" i="7" s="1"/>
  <c r="A36" i="7"/>
  <c r="B36" i="7" s="1"/>
  <c r="D49" i="6"/>
  <c r="F49" i="6" s="1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B139" i="10" l="1"/>
  <c r="B342" i="10"/>
  <c r="E47" i="9"/>
  <c r="A140" i="10" s="1"/>
  <c r="A38" i="10"/>
  <c r="B38" i="10" s="1"/>
  <c r="B241" i="10"/>
  <c r="G47" i="9"/>
  <c r="A242" i="10" s="1"/>
  <c r="D48" i="9"/>
  <c r="F48" i="9"/>
  <c r="H46" i="9"/>
  <c r="A343" i="10" s="1"/>
  <c r="A37" i="7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B140" i="10" l="1"/>
  <c r="B343" i="10"/>
  <c r="E48" i="9"/>
  <c r="A141" i="10" s="1"/>
  <c r="A39" i="10"/>
  <c r="B39" i="10" s="1"/>
  <c r="B242" i="10"/>
  <c r="G48" i="9"/>
  <c r="A243" i="10" s="1"/>
  <c r="D49" i="9"/>
  <c r="H47" i="9"/>
  <c r="A344" i="10" s="1"/>
  <c r="F49" i="9"/>
  <c r="A140" i="7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B141" i="10" l="1"/>
  <c r="E49" i="9"/>
  <c r="A142" i="10" s="1"/>
  <c r="A40" i="10"/>
  <c r="B40" i="10" s="1"/>
  <c r="B344" i="10"/>
  <c r="B243" i="10"/>
  <c r="G49" i="9"/>
  <c r="A244" i="10" s="1"/>
  <c r="D50" i="9"/>
  <c r="F50" i="9"/>
  <c r="H48" i="9"/>
  <c r="A345" i="10" s="1"/>
  <c r="A39" i="7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B142" i="10" l="1"/>
  <c r="B345" i="10"/>
  <c r="E50" i="9"/>
  <c r="A143" i="10" s="1"/>
  <c r="A41" i="10"/>
  <c r="B41" i="10" s="1"/>
  <c r="B244" i="10"/>
  <c r="G50" i="9"/>
  <c r="A245" i="10" s="1"/>
  <c r="D51" i="9"/>
  <c r="H49" i="9"/>
  <c r="A346" i="10" s="1"/>
  <c r="F51" i="9"/>
  <c r="A40" i="7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E51" i="9" l="1"/>
  <c r="A144" i="10" s="1"/>
  <c r="A42" i="10"/>
  <c r="B42" i="10" s="1"/>
  <c r="B143" i="10"/>
  <c r="B346" i="10"/>
  <c r="B245" i="10"/>
  <c r="G51" i="9"/>
  <c r="A246" i="10" s="1"/>
  <c r="D52" i="9"/>
  <c r="F52" i="9"/>
  <c r="H50" i="9"/>
  <c r="A347" i="10" s="1"/>
  <c r="A143" i="7"/>
  <c r="B143" i="7" s="1"/>
  <c r="D54" i="6"/>
  <c r="F54" i="6" s="1"/>
  <c r="A346" i="4"/>
  <c r="B346" i="4" s="1"/>
  <c r="C55" i="6"/>
  <c r="E54" i="6"/>
  <c r="E54" i="1"/>
  <c r="B144" i="10" s="1"/>
  <c r="H53" i="1"/>
  <c r="A143" i="4"/>
  <c r="B143" i="4" s="1"/>
  <c r="A42" i="4"/>
  <c r="B42" i="4" s="1"/>
  <c r="F55" i="1"/>
  <c r="C56" i="1"/>
  <c r="D55" i="1"/>
  <c r="G54" i="1"/>
  <c r="A246" i="4" s="1"/>
  <c r="B246" i="4" s="1"/>
  <c r="E52" i="9" l="1"/>
  <c r="A145" i="10" s="1"/>
  <c r="A43" i="10"/>
  <c r="B43" i="10" s="1"/>
  <c r="B347" i="10"/>
  <c r="B246" i="10"/>
  <c r="D53" i="9"/>
  <c r="G52" i="9"/>
  <c r="A247" i="10" s="1"/>
  <c r="H51" i="9"/>
  <c r="A348" i="10" s="1"/>
  <c r="F53" i="9"/>
  <c r="E55" i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E53" i="9" l="1"/>
  <c r="A146" i="10" s="1"/>
  <c r="A44" i="10"/>
  <c r="B44" i="10" s="1"/>
  <c r="B348" i="10"/>
  <c r="A145" i="4"/>
  <c r="B145" i="4" s="1"/>
  <c r="B145" i="10"/>
  <c r="B247" i="10"/>
  <c r="G53" i="9"/>
  <c r="A248" i="10" s="1"/>
  <c r="D54" i="9"/>
  <c r="F54" i="9"/>
  <c r="H52" i="9"/>
  <c r="A349" i="10" s="1"/>
  <c r="H55" i="1"/>
  <c r="E56" i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G56" i="1"/>
  <c r="A248" i="4" s="1"/>
  <c r="B248" i="4" s="1"/>
  <c r="E54" i="9" l="1"/>
  <c r="A147" i="10" s="1"/>
  <c r="A45" i="10"/>
  <c r="B45" i="10" s="1"/>
  <c r="A349" i="4"/>
  <c r="B349" i="4" s="1"/>
  <c r="B349" i="10"/>
  <c r="B248" i="10"/>
  <c r="A146" i="4"/>
  <c r="B146" i="4" s="1"/>
  <c r="B146" i="10"/>
  <c r="G54" i="9"/>
  <c r="A249" i="10" s="1"/>
  <c r="B249" i="10" s="1"/>
  <c r="D55" i="9"/>
  <c r="H56" i="1"/>
  <c r="H53" i="9"/>
  <c r="A350" i="10" s="1"/>
  <c r="E57" i="1"/>
  <c r="F55" i="9"/>
  <c r="A146" i="7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G57" i="1"/>
  <c r="A249" i="4" s="1"/>
  <c r="B249" i="4" s="1"/>
  <c r="E55" i="9" l="1"/>
  <c r="A148" i="10" s="1"/>
  <c r="A46" i="10"/>
  <c r="B46" i="10" s="1"/>
  <c r="A350" i="4"/>
  <c r="B350" i="4" s="1"/>
  <c r="B350" i="10"/>
  <c r="A147" i="4"/>
  <c r="B147" i="4" s="1"/>
  <c r="B147" i="10"/>
  <c r="E58" i="1"/>
  <c r="G55" i="9"/>
  <c r="A250" i="10" s="1"/>
  <c r="B250" i="10" s="1"/>
  <c r="D56" i="9"/>
  <c r="F56" i="9"/>
  <c r="H54" i="9"/>
  <c r="A351" i="10" s="1"/>
  <c r="H57" i="1"/>
  <c r="A147" i="7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E56" i="9" l="1"/>
  <c r="A149" i="10" s="1"/>
  <c r="B149" i="10" s="1"/>
  <c r="A47" i="10"/>
  <c r="B47" i="10" s="1"/>
  <c r="A148" i="4"/>
  <c r="B148" i="4" s="1"/>
  <c r="B148" i="10"/>
  <c r="A351" i="4"/>
  <c r="B351" i="4" s="1"/>
  <c r="B351" i="10"/>
  <c r="G56" i="9"/>
  <c r="A251" i="10" s="1"/>
  <c r="D57" i="9"/>
  <c r="H55" i="9"/>
  <c r="A352" i="10" s="1"/>
  <c r="B352" i="10" s="1"/>
  <c r="F57" i="9"/>
  <c r="A46" i="7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E57" i="9" l="1"/>
  <c r="A150" i="10" s="1"/>
  <c r="B150" i="10" s="1"/>
  <c r="A48" i="10"/>
  <c r="B48" i="10" s="1"/>
  <c r="B251" i="10"/>
  <c r="D58" i="9"/>
  <c r="G57" i="9"/>
  <c r="A252" i="10" s="1"/>
  <c r="F58" i="9"/>
  <c r="H56" i="9"/>
  <c r="A353" i="10" s="1"/>
  <c r="B353" i="10" s="1"/>
  <c r="A47" i="7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E58" i="9" l="1"/>
  <c r="A151" i="10" s="1"/>
  <c r="B151" i="10" s="1"/>
  <c r="A49" i="10"/>
  <c r="B49" i="10" s="1"/>
  <c r="B252" i="10"/>
  <c r="G58" i="9"/>
  <c r="A253" i="10" s="1"/>
  <c r="D59" i="9"/>
  <c r="F59" i="9"/>
  <c r="H57" i="9"/>
  <c r="A354" i="10" s="1"/>
  <c r="B354" i="10" s="1"/>
  <c r="A48" i="7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E59" i="9" l="1"/>
  <c r="A152" i="10" s="1"/>
  <c r="B152" i="10" s="1"/>
  <c r="A50" i="10"/>
  <c r="B50" i="10" s="1"/>
  <c r="B253" i="10"/>
  <c r="G59" i="9"/>
  <c r="A254" i="10" s="1"/>
  <c r="B254" i="10" s="1"/>
  <c r="D60" i="9"/>
  <c r="H58" i="9"/>
  <c r="A355" i="10" s="1"/>
  <c r="B355" i="10" s="1"/>
  <c r="F60" i="9"/>
  <c r="A151" i="7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E60" i="9" l="1"/>
  <c r="A153" i="10" s="1"/>
  <c r="A51" i="10"/>
  <c r="B51" i="10" s="1"/>
  <c r="B153" i="10"/>
  <c r="G60" i="9"/>
  <c r="A255" i="10" s="1"/>
  <c r="D61" i="9"/>
  <c r="F61" i="9"/>
  <c r="H59" i="9"/>
  <c r="A356" i="10" s="1"/>
  <c r="B356" i="10" s="1"/>
  <c r="A152" i="7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E61" i="9" l="1"/>
  <c r="A154" i="10" s="1"/>
  <c r="B154" i="10" s="1"/>
  <c r="A52" i="10"/>
  <c r="B52" i="10" s="1"/>
  <c r="B255" i="10"/>
  <c r="G61" i="9"/>
  <c r="A256" i="10" s="1"/>
  <c r="D62" i="9"/>
  <c r="F62" i="9"/>
  <c r="H60" i="9"/>
  <c r="A357" i="10" s="1"/>
  <c r="B357" i="10" s="1"/>
  <c r="A153" i="7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E62" i="9" l="1"/>
  <c r="A155" i="10" s="1"/>
  <c r="A53" i="10"/>
  <c r="B53" i="10" s="1"/>
  <c r="B256" i="10"/>
  <c r="B155" i="10"/>
  <c r="G62" i="9"/>
  <c r="A257" i="10" s="1"/>
  <c r="B257" i="10" s="1"/>
  <c r="D63" i="9"/>
  <c r="H61" i="9"/>
  <c r="A358" i="10" s="1"/>
  <c r="B358" i="10" s="1"/>
  <c r="F63" i="9"/>
  <c r="A52" i="7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E63" i="9" l="1"/>
  <c r="A156" i="10" s="1"/>
  <c r="B156" i="10" s="1"/>
  <c r="A54" i="10"/>
  <c r="B54" i="10" s="1"/>
  <c r="G63" i="9"/>
  <c r="A258" i="10" s="1"/>
  <c r="D64" i="9"/>
  <c r="F64" i="9"/>
  <c r="H62" i="9"/>
  <c r="A359" i="10" s="1"/>
  <c r="B359" i="10" s="1"/>
  <c r="A155" i="7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E64" i="9" l="1"/>
  <c r="A157" i="10" s="1"/>
  <c r="B157" i="10" s="1"/>
  <c r="A55" i="10"/>
  <c r="B55" i="10" s="1"/>
  <c r="B258" i="10"/>
  <c r="G64" i="9"/>
  <c r="A259" i="10" s="1"/>
  <c r="D65" i="9"/>
  <c r="H63" i="9"/>
  <c r="A360" i="10" s="1"/>
  <c r="B360" i="10" s="1"/>
  <c r="F65" i="9"/>
  <c r="A54" i="7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E65" i="9" l="1"/>
  <c r="A158" i="10" s="1"/>
  <c r="B158" i="10" s="1"/>
  <c r="A56" i="10"/>
  <c r="B56" i="10" s="1"/>
  <c r="B259" i="10"/>
  <c r="G65" i="9"/>
  <c r="A260" i="10" s="1"/>
  <c r="B260" i="10" s="1"/>
  <c r="D66" i="9"/>
  <c r="H64" i="9"/>
  <c r="A361" i="10" s="1"/>
  <c r="B361" i="10" s="1"/>
  <c r="F66" i="9"/>
  <c r="A55" i="7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E66" i="9" l="1"/>
  <c r="A159" i="10" s="1"/>
  <c r="B159" i="10" s="1"/>
  <c r="A57" i="10"/>
  <c r="B57" i="10" s="1"/>
  <c r="G66" i="9"/>
  <c r="A261" i="10" s="1"/>
  <c r="D67" i="9"/>
  <c r="F67" i="9"/>
  <c r="H65" i="9"/>
  <c r="A362" i="10" s="1"/>
  <c r="B362" i="10" s="1"/>
  <c r="A56" i="7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E67" i="9" l="1"/>
  <c r="A160" i="10" s="1"/>
  <c r="B160" i="10" s="1"/>
  <c r="A58" i="10"/>
  <c r="B58" i="10" s="1"/>
  <c r="B261" i="10"/>
  <c r="G67" i="9"/>
  <c r="A262" i="10" s="1"/>
  <c r="B262" i="10" s="1"/>
  <c r="D68" i="9"/>
  <c r="H66" i="9"/>
  <c r="A363" i="10" s="1"/>
  <c r="B363" i="10" s="1"/>
  <c r="F68" i="9"/>
  <c r="A159" i="7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E68" i="9" l="1"/>
  <c r="A161" i="10" s="1"/>
  <c r="B161" i="10" s="1"/>
  <c r="A59" i="10"/>
  <c r="B59" i="10" s="1"/>
  <c r="G68" i="9"/>
  <c r="A263" i="10" s="1"/>
  <c r="D69" i="9"/>
  <c r="F69" i="9"/>
  <c r="H67" i="9"/>
  <c r="A364" i="10" s="1"/>
  <c r="B364" i="10" s="1"/>
  <c r="A160" i="7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E69" i="9" l="1"/>
  <c r="A162" i="10" s="1"/>
  <c r="B162" i="10" s="1"/>
  <c r="A60" i="10"/>
  <c r="B60" i="10" s="1"/>
  <c r="B263" i="10"/>
  <c r="G69" i="9"/>
  <c r="A264" i="10" s="1"/>
  <c r="B264" i="10" s="1"/>
  <c r="D70" i="9"/>
  <c r="H68" i="9"/>
  <c r="A365" i="10" s="1"/>
  <c r="B365" i="10" s="1"/>
  <c r="F70" i="9"/>
  <c r="A161" i="7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E70" i="9" l="1"/>
  <c r="A163" i="10" s="1"/>
  <c r="B163" i="10" s="1"/>
  <c r="A61" i="10"/>
  <c r="B61" i="10" s="1"/>
  <c r="G70" i="9"/>
  <c r="A265" i="10" s="1"/>
  <c r="B265" i="10" s="1"/>
  <c r="D71" i="9"/>
  <c r="F71" i="9"/>
  <c r="H69" i="9"/>
  <c r="A366" i="10" s="1"/>
  <c r="B366" i="10" s="1"/>
  <c r="A162" i="7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E71" i="9" l="1"/>
  <c r="A164" i="10" s="1"/>
  <c r="B164" i="10" s="1"/>
  <c r="A62" i="10"/>
  <c r="B62" i="10" s="1"/>
  <c r="G71" i="9"/>
  <c r="A266" i="10" s="1"/>
  <c r="B266" i="10" s="1"/>
  <c r="D72" i="9"/>
  <c r="F72" i="9"/>
  <c r="H70" i="9"/>
  <c r="A367" i="10" s="1"/>
  <c r="B367" i="10" s="1"/>
  <c r="C75" i="6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E72" i="9" l="1"/>
  <c r="A165" i="10" s="1"/>
  <c r="B165" i="10" s="1"/>
  <c r="A63" i="10"/>
  <c r="B63" i="10" s="1"/>
  <c r="G72" i="9"/>
  <c r="A267" i="10" s="1"/>
  <c r="B267" i="10" s="1"/>
  <c r="D73" i="9"/>
  <c r="H71" i="9"/>
  <c r="A368" i="10" s="1"/>
  <c r="B368" i="10" s="1"/>
  <c r="F73" i="9"/>
  <c r="C76" i="6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E73" i="9" l="1"/>
  <c r="A166" i="10" s="1"/>
  <c r="B166" i="10" s="1"/>
  <c r="A64" i="10"/>
  <c r="B64" i="10" s="1"/>
  <c r="G73" i="9"/>
  <c r="A268" i="10" s="1"/>
  <c r="D74" i="9"/>
  <c r="F74" i="9"/>
  <c r="H72" i="9"/>
  <c r="A369" i="10" s="1"/>
  <c r="B369" i="10" s="1"/>
  <c r="A63" i="7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E74" i="9" l="1"/>
  <c r="A167" i="10" s="1"/>
  <c r="B167" i="10" s="1"/>
  <c r="A65" i="10"/>
  <c r="B65" i="10" s="1"/>
  <c r="B268" i="10"/>
  <c r="G74" i="9"/>
  <c r="A269" i="10" s="1"/>
  <c r="D75" i="9"/>
  <c r="F75" i="9"/>
  <c r="H73" i="9"/>
  <c r="A370" i="10" s="1"/>
  <c r="B370" i="10" s="1"/>
  <c r="A166" i="7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E75" i="9" l="1"/>
  <c r="A168" i="10" s="1"/>
  <c r="A66" i="10"/>
  <c r="B66" i="10" s="1"/>
  <c r="B269" i="10"/>
  <c r="B168" i="10"/>
  <c r="G75" i="9"/>
  <c r="A270" i="10" s="1"/>
  <c r="B270" i="10" s="1"/>
  <c r="D76" i="9"/>
  <c r="H74" i="9"/>
  <c r="A371" i="10" s="1"/>
  <c r="B371" i="10" s="1"/>
  <c r="F76" i="9"/>
  <c r="D78" i="6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E76" i="9" l="1"/>
  <c r="A169" i="10" s="1"/>
  <c r="B169" i="10" s="1"/>
  <c r="A67" i="10"/>
  <c r="B67" i="10" s="1"/>
  <c r="G76" i="9"/>
  <c r="A271" i="10" s="1"/>
  <c r="D77" i="9"/>
  <c r="H75" i="9"/>
  <c r="A372" i="10" s="1"/>
  <c r="B372" i="10" s="1"/>
  <c r="F77" i="9"/>
  <c r="A66" i="7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E77" i="9" l="1"/>
  <c r="A170" i="10" s="1"/>
  <c r="B170" i="10" s="1"/>
  <c r="A68" i="10"/>
  <c r="B68" i="10" s="1"/>
  <c r="B271" i="10"/>
  <c r="G77" i="9"/>
  <c r="A272" i="10" s="1"/>
  <c r="D78" i="9"/>
  <c r="F78" i="9"/>
  <c r="H76" i="9"/>
  <c r="A373" i="10" s="1"/>
  <c r="B373" i="10" s="1"/>
  <c r="A169" i="7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E78" i="9" l="1"/>
  <c r="A171" i="10" s="1"/>
  <c r="B171" i="10" s="1"/>
  <c r="A69" i="10"/>
  <c r="B69" i="10" s="1"/>
  <c r="B272" i="10"/>
  <c r="G78" i="9"/>
  <c r="A273" i="10" s="1"/>
  <c r="D79" i="9"/>
  <c r="F79" i="9"/>
  <c r="H77" i="9"/>
  <c r="A374" i="10" s="1"/>
  <c r="B374" i="10" s="1"/>
  <c r="A170" i="7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E79" i="9" l="1"/>
  <c r="A172" i="10" s="1"/>
  <c r="B172" i="10" s="1"/>
  <c r="A70" i="10"/>
  <c r="B70" i="10" s="1"/>
  <c r="B273" i="10"/>
  <c r="G79" i="9"/>
  <c r="A274" i="10" s="1"/>
  <c r="D80" i="9"/>
  <c r="F80" i="9"/>
  <c r="H78" i="9"/>
  <c r="A375" i="10" s="1"/>
  <c r="B375" i="10" s="1"/>
  <c r="A171" i="7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E80" i="9" l="1"/>
  <c r="A173" i="10" s="1"/>
  <c r="B173" i="10" s="1"/>
  <c r="A71" i="10"/>
  <c r="B274" i="10"/>
  <c r="B71" i="10"/>
  <c r="G80" i="9"/>
  <c r="A275" i="10" s="1"/>
  <c r="D81" i="9"/>
  <c r="H79" i="9"/>
  <c r="A376" i="10" s="1"/>
  <c r="B376" i="10" s="1"/>
  <c r="F81" i="9"/>
  <c r="A172" i="7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E81" i="9" l="1"/>
  <c r="A174" i="10" s="1"/>
  <c r="B174" i="10" s="1"/>
  <c r="A72" i="10"/>
  <c r="B72" i="10" s="1"/>
  <c r="B275" i="10"/>
  <c r="G81" i="9"/>
  <c r="A276" i="10" s="1"/>
  <c r="D82" i="9"/>
  <c r="F82" i="9"/>
  <c r="H80" i="9"/>
  <c r="A377" i="10" s="1"/>
  <c r="B377" i="10" s="1"/>
  <c r="A173" i="7"/>
  <c r="B173" i="7" s="1"/>
  <c r="D84" i="6"/>
  <c r="F84" i="6" s="1"/>
  <c r="A71" i="7"/>
  <c r="B71" i="7" s="1"/>
  <c r="C85" i="6"/>
  <c r="E84" i="6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E82" i="9" l="1"/>
  <c r="A175" i="10" s="1"/>
  <c r="B175" i="10" s="1"/>
  <c r="A73" i="10"/>
  <c r="B73" i="10" s="1"/>
  <c r="B276" i="10"/>
  <c r="A174" i="7"/>
  <c r="B174" i="7" s="1"/>
  <c r="G82" i="9"/>
  <c r="A277" i="10" s="1"/>
  <c r="B277" i="10" s="1"/>
  <c r="D83" i="9"/>
  <c r="H81" i="9"/>
  <c r="A378" i="10" s="1"/>
  <c r="B378" i="10" s="1"/>
  <c r="F83" i="9"/>
  <c r="A72" i="7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E83" i="9" l="1"/>
  <c r="A176" i="10" s="1"/>
  <c r="B176" i="10" s="1"/>
  <c r="A74" i="10"/>
  <c r="B74" i="10" s="1"/>
  <c r="G83" i="9"/>
  <c r="A278" i="10" s="1"/>
  <c r="B278" i="10" s="1"/>
  <c r="D84" i="9"/>
  <c r="H82" i="9"/>
  <c r="A379" i="10" s="1"/>
  <c r="B379" i="10" s="1"/>
  <c r="F84" i="9"/>
  <c r="D86" i="6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E84" i="9" l="1"/>
  <c r="A177" i="10" s="1"/>
  <c r="B177" i="10" s="1"/>
  <c r="A75" i="10"/>
  <c r="B75" i="10" s="1"/>
  <c r="G84" i="9"/>
  <c r="A279" i="10" s="1"/>
  <c r="B279" i="10" s="1"/>
  <c r="D85" i="9"/>
  <c r="F85" i="9"/>
  <c r="H83" i="9"/>
  <c r="A380" i="10" s="1"/>
  <c r="B380" i="10" s="1"/>
  <c r="D87" i="6"/>
  <c r="F87" i="6" s="1"/>
  <c r="C88" i="6"/>
  <c r="E87" i="6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E85" i="9" l="1"/>
  <c r="A178" i="10" s="1"/>
  <c r="B178" i="10" s="1"/>
  <c r="A76" i="10"/>
  <c r="B76" i="10" s="1"/>
  <c r="A177" i="7"/>
  <c r="B177" i="7" s="1"/>
  <c r="G85" i="9"/>
  <c r="A280" i="10" s="1"/>
  <c r="D86" i="9"/>
  <c r="H84" i="9"/>
  <c r="A381" i="10" s="1"/>
  <c r="B381" i="10" s="1"/>
  <c r="F86" i="9"/>
  <c r="A75" i="7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E86" i="9" l="1"/>
  <c r="A179" i="10" s="1"/>
  <c r="B179" i="10" s="1"/>
  <c r="A77" i="10"/>
  <c r="B77" i="10" s="1"/>
  <c r="B280" i="10"/>
  <c r="G86" i="9"/>
  <c r="A281" i="10" s="1"/>
  <c r="D87" i="9"/>
  <c r="H85" i="9"/>
  <c r="A382" i="10" s="1"/>
  <c r="B382" i="10" s="1"/>
  <c r="F87" i="9"/>
  <c r="D89" i="6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E87" i="9" l="1"/>
  <c r="A180" i="10" s="1"/>
  <c r="A78" i="10"/>
  <c r="B78" i="10" s="1"/>
  <c r="B281" i="10"/>
  <c r="B180" i="10"/>
  <c r="G87" i="9"/>
  <c r="A282" i="10" s="1"/>
  <c r="D88" i="9"/>
  <c r="F88" i="9"/>
  <c r="H86" i="9"/>
  <c r="A383" i="10" s="1"/>
  <c r="B383" i="10" s="1"/>
  <c r="A179" i="7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E88" i="9" l="1"/>
  <c r="A181" i="10" s="1"/>
  <c r="B181" i="10" s="1"/>
  <c r="A79" i="10"/>
  <c r="B79" i="10" s="1"/>
  <c r="B282" i="10"/>
  <c r="G88" i="9"/>
  <c r="A283" i="10" s="1"/>
  <c r="B283" i="10" s="1"/>
  <c r="D89" i="9"/>
  <c r="H87" i="9"/>
  <c r="A384" i="10" s="1"/>
  <c r="B384" i="10" s="1"/>
  <c r="F89" i="9"/>
  <c r="A180" i="7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E89" i="9" l="1"/>
  <c r="A182" i="10" s="1"/>
  <c r="B182" i="10" s="1"/>
  <c r="A80" i="10"/>
  <c r="B80" i="10" s="1"/>
  <c r="G89" i="9"/>
  <c r="A284" i="10" s="1"/>
  <c r="D90" i="9"/>
  <c r="F90" i="9"/>
  <c r="H88" i="9"/>
  <c r="A385" i="10" s="1"/>
  <c r="B385" i="10" s="1"/>
  <c r="A181" i="7"/>
  <c r="B181" i="7" s="1"/>
  <c r="A79" i="7"/>
  <c r="B79" i="7" s="1"/>
  <c r="D92" i="6"/>
  <c r="F92" i="6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E90" i="9" l="1"/>
  <c r="A183" i="10" s="1"/>
  <c r="B183" i="10" s="1"/>
  <c r="A81" i="10"/>
  <c r="B81" i="10" s="1"/>
  <c r="B284" i="10"/>
  <c r="A80" i="7"/>
  <c r="B80" i="7" s="1"/>
  <c r="G90" i="9"/>
  <c r="A285" i="10" s="1"/>
  <c r="D91" i="9"/>
  <c r="F91" i="9"/>
  <c r="H89" i="9"/>
  <c r="A386" i="10" s="1"/>
  <c r="B386" i="10" s="1"/>
  <c r="D93" i="6"/>
  <c r="F93" i="6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E91" i="9" l="1"/>
  <c r="A184" i="10" s="1"/>
  <c r="B184" i="10" s="1"/>
  <c r="A82" i="10"/>
  <c r="B82" i="10" s="1"/>
  <c r="B285" i="10"/>
  <c r="G91" i="9"/>
  <c r="A286" i="10" s="1"/>
  <c r="D92" i="9"/>
  <c r="H90" i="9"/>
  <c r="A387" i="10" s="1"/>
  <c r="B387" i="10" s="1"/>
  <c r="F92" i="9"/>
  <c r="A81" i="7"/>
  <c r="B81" i="7" s="1"/>
  <c r="D94" i="6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E92" i="9" l="1"/>
  <c r="A185" i="10" s="1"/>
  <c r="B185" i="10" s="1"/>
  <c r="A83" i="10"/>
  <c r="B83" i="10" s="1"/>
  <c r="B286" i="10"/>
  <c r="G92" i="9"/>
  <c r="A287" i="10" s="1"/>
  <c r="D93" i="9"/>
  <c r="F93" i="9"/>
  <c r="H91" i="9"/>
  <c r="A388" i="10" s="1"/>
  <c r="B388" i="10" s="1"/>
  <c r="D95" i="6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E93" i="9" l="1"/>
  <c r="A186" i="10" s="1"/>
  <c r="B186" i="10" s="1"/>
  <c r="A84" i="10"/>
  <c r="B84" i="10" s="1"/>
  <c r="B287" i="10"/>
  <c r="G93" i="9"/>
  <c r="A288" i="10" s="1"/>
  <c r="D94" i="9"/>
  <c r="F94" i="9"/>
  <c r="H92" i="9"/>
  <c r="A389" i="10" s="1"/>
  <c r="B389" i="10" s="1"/>
  <c r="D96" i="6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E94" i="9" l="1"/>
  <c r="A187" i="10" s="1"/>
  <c r="B187" i="10" s="1"/>
  <c r="A85" i="10"/>
  <c r="B85" i="10" s="1"/>
  <c r="B288" i="10"/>
  <c r="G94" i="9"/>
  <c r="A289" i="10" s="1"/>
  <c r="D95" i="9"/>
  <c r="H93" i="9"/>
  <c r="A390" i="10" s="1"/>
  <c r="B390" i="10" s="1"/>
  <c r="F95" i="9"/>
  <c r="A84" i="7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E95" i="9" l="1"/>
  <c r="A188" i="10" s="1"/>
  <c r="B188" i="10" s="1"/>
  <c r="A86" i="10"/>
  <c r="B86" i="10" s="1"/>
  <c r="B289" i="10"/>
  <c r="G95" i="9"/>
  <c r="A290" i="10" s="1"/>
  <c r="D96" i="9"/>
  <c r="F96" i="9"/>
  <c r="H94" i="9"/>
  <c r="A391" i="10" s="1"/>
  <c r="B391" i="10" s="1"/>
  <c r="A85" i="7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E96" i="9" l="1"/>
  <c r="A189" i="10" s="1"/>
  <c r="B189" i="10" s="1"/>
  <c r="A87" i="10"/>
  <c r="B87" i="10" s="1"/>
  <c r="B290" i="10"/>
  <c r="G96" i="9"/>
  <c r="A291" i="10" s="1"/>
  <c r="D97" i="9"/>
  <c r="F97" i="9"/>
  <c r="H95" i="9"/>
  <c r="A392" i="10" s="1"/>
  <c r="B392" i="10" s="1"/>
  <c r="A188" i="7"/>
  <c r="B188" i="7" s="1"/>
  <c r="D99" i="6"/>
  <c r="F99" i="6" s="1"/>
  <c r="A87" i="7"/>
  <c r="B87" i="7" s="1"/>
  <c r="A86" i="7"/>
  <c r="B86" i="7" s="1"/>
  <c r="C100" i="6"/>
  <c r="E99" i="6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E97" i="9" l="1"/>
  <c r="A190" i="10" s="1"/>
  <c r="B190" i="10" s="1"/>
  <c r="A88" i="10"/>
  <c r="B88" i="10" s="1"/>
  <c r="B291" i="10"/>
  <c r="A189" i="7"/>
  <c r="B189" i="7" s="1"/>
  <c r="D98" i="9"/>
  <c r="G97" i="9"/>
  <c r="A292" i="10" s="1"/>
  <c r="B292" i="10" s="1"/>
  <c r="H96" i="9"/>
  <c r="A393" i="10" s="1"/>
  <c r="B393" i="10" s="1"/>
  <c r="F98" i="9"/>
  <c r="D100" i="6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E98" i="9" l="1"/>
  <c r="A191" i="10" s="1"/>
  <c r="B191" i="10" s="1"/>
  <c r="A89" i="10"/>
  <c r="B89" i="10" s="1"/>
  <c r="G98" i="9"/>
  <c r="A293" i="10" s="1"/>
  <c r="D99" i="9"/>
  <c r="F99" i="9"/>
  <c r="H97" i="9"/>
  <c r="A394" i="10" s="1"/>
  <c r="B394" i="10" s="1"/>
  <c r="A88" i="7"/>
  <c r="B88" i="7" s="1"/>
  <c r="D101" i="6"/>
  <c r="F101" i="6" s="1"/>
  <c r="C102" i="6"/>
  <c r="E101" i="6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E99" i="9" l="1"/>
  <c r="A192" i="10" s="1"/>
  <c r="B192" i="10" s="1"/>
  <c r="A90" i="10"/>
  <c r="B90" i="10" s="1"/>
  <c r="A191" i="7"/>
  <c r="B191" i="7" s="1"/>
  <c r="A89" i="7"/>
  <c r="B89" i="7" s="1"/>
  <c r="B293" i="10"/>
  <c r="G99" i="9"/>
  <c r="A294" i="10" s="1"/>
  <c r="D100" i="9"/>
  <c r="F100" i="9"/>
  <c r="H98" i="9"/>
  <c r="A395" i="10" s="1"/>
  <c r="B395" i="10" s="1"/>
  <c r="D102" i="6"/>
  <c r="F102" i="6" s="1"/>
  <c r="C103" i="6"/>
  <c r="E102" i="6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E100" i="9" l="1"/>
  <c r="A193" i="10" s="1"/>
  <c r="B193" i="10" s="1"/>
  <c r="A91" i="10"/>
  <c r="B91" i="10" s="1"/>
  <c r="B294" i="10"/>
  <c r="A192" i="7"/>
  <c r="B192" i="7" s="1"/>
  <c r="D101" i="9"/>
  <c r="G100" i="9"/>
  <c r="A295" i="10" s="1"/>
  <c r="H99" i="9"/>
  <c r="A396" i="10" s="1"/>
  <c r="B396" i="10" s="1"/>
  <c r="F101" i="9"/>
  <c r="A90" i="7"/>
  <c r="B90" i="7" s="1"/>
  <c r="D103" i="6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E101" i="9" l="1"/>
  <c r="A194" i="10" s="1"/>
  <c r="B194" i="10" s="1"/>
  <c r="A92" i="10"/>
  <c r="B92" i="10" s="1"/>
  <c r="B295" i="10"/>
  <c r="G101" i="9"/>
  <c r="A296" i="10" s="1"/>
  <c r="B296" i="10" s="1"/>
  <c r="D102" i="9"/>
  <c r="F102" i="9"/>
  <c r="H100" i="9"/>
  <c r="A397" i="10" s="1"/>
  <c r="B397" i="10" s="1"/>
  <c r="A91" i="7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E102" i="9" l="1"/>
  <c r="A195" i="10" s="1"/>
  <c r="B195" i="10" s="1"/>
  <c r="A93" i="10"/>
  <c r="B93" i="10" s="1"/>
  <c r="G102" i="9"/>
  <c r="A297" i="10" s="1"/>
  <c r="D103" i="9"/>
  <c r="H101" i="9"/>
  <c r="A398" i="10" s="1"/>
  <c r="B398" i="10" s="1"/>
  <c r="F103" i="9"/>
  <c r="A194" i="7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E103" i="9" l="1"/>
  <c r="A196" i="10" s="1"/>
  <c r="B196" i="10" s="1"/>
  <c r="A94" i="10"/>
  <c r="B94" i="10" s="1"/>
  <c r="B297" i="10"/>
  <c r="G103" i="9"/>
  <c r="A298" i="10" s="1"/>
  <c r="D104" i="9"/>
  <c r="F104" i="9"/>
  <c r="H102" i="9"/>
  <c r="A399" i="10" s="1"/>
  <c r="B399" i="10" s="1"/>
  <c r="A195" i="7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E104" i="9" l="1"/>
  <c r="A197" i="10" s="1"/>
  <c r="B197" i="10" s="1"/>
  <c r="A95" i="10"/>
  <c r="B95" i="10" s="1"/>
  <c r="B298" i="10"/>
  <c r="G104" i="9"/>
  <c r="A299" i="10" s="1"/>
  <c r="B299" i="10" s="1"/>
  <c r="D105" i="9"/>
  <c r="H103" i="9"/>
  <c r="A400" i="10" s="1"/>
  <c r="B400" i="10" s="1"/>
  <c r="F105" i="9"/>
  <c r="A196" i="7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E105" i="9" l="1"/>
  <c r="A198" i="10" s="1"/>
  <c r="B198" i="10" s="1"/>
  <c r="A96" i="10"/>
  <c r="B96" i="10" s="1"/>
  <c r="G105" i="9"/>
  <c r="A300" i="10" s="1"/>
  <c r="D106" i="9"/>
  <c r="F106" i="9"/>
  <c r="H104" i="9"/>
  <c r="A401" i="10" s="1"/>
  <c r="B401" i="10" s="1"/>
  <c r="A197" i="7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E106" i="9" l="1"/>
  <c r="A199" i="10" s="1"/>
  <c r="B199" i="10" s="1"/>
  <c r="A97" i="10"/>
  <c r="B97" i="10" s="1"/>
  <c r="B300" i="10"/>
  <c r="G106" i="9"/>
  <c r="A301" i="10" s="1"/>
  <c r="D107" i="9"/>
  <c r="F107" i="9"/>
  <c r="H105" i="9"/>
  <c r="A402" i="10" s="1"/>
  <c r="B402" i="10" s="1"/>
  <c r="A198" i="7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E107" i="9" l="1"/>
  <c r="A200" i="10" s="1"/>
  <c r="B200" i="10" s="1"/>
  <c r="A98" i="10"/>
  <c r="B98" i="10" s="1"/>
  <c r="B301" i="10"/>
  <c r="G107" i="9"/>
  <c r="A302" i="10" s="1"/>
  <c r="D108" i="9"/>
  <c r="H106" i="9"/>
  <c r="A403" i="10" s="1"/>
  <c r="B403" i="10" s="1"/>
  <c r="F108" i="9"/>
  <c r="A199" i="7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E108" i="9" l="1"/>
  <c r="A201" i="10" s="1"/>
  <c r="B201" i="10" s="1"/>
  <c r="A99" i="10"/>
  <c r="B99" i="10" s="1"/>
  <c r="B302" i="10"/>
  <c r="G108" i="9"/>
  <c r="A303" i="10" s="1"/>
  <c r="B303" i="10" s="1"/>
  <c r="D109" i="9"/>
  <c r="F109" i="9"/>
  <c r="H107" i="9"/>
  <c r="A404" i="10" s="1"/>
  <c r="B404" i="10" s="1"/>
  <c r="D111" i="6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E109" i="9" l="1"/>
  <c r="A202" i="10" s="1"/>
  <c r="B202" i="10" s="1"/>
  <c r="A100" i="10"/>
  <c r="B100" i="10" s="1"/>
  <c r="G109" i="9"/>
  <c r="A304" i="10" s="1"/>
  <c r="B304" i="10" s="1"/>
  <c r="D110" i="9"/>
  <c r="F110" i="9"/>
  <c r="H108" i="9"/>
  <c r="A405" i="10" s="1"/>
  <c r="B405" i="10" s="1"/>
  <c r="D112" i="6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E110" i="9" l="1"/>
  <c r="A203" i="10" s="1"/>
  <c r="A101" i="10"/>
  <c r="B101" i="10" s="1"/>
  <c r="G110" i="9"/>
  <c r="A305" i="10" s="1"/>
  <c r="H110" i="9"/>
  <c r="A407" i="10" s="1"/>
  <c r="H109" i="9"/>
  <c r="A406" i="10" s="1"/>
  <c r="B406" i="10" s="1"/>
  <c r="A100" i="7"/>
  <c r="B100" i="7" s="1"/>
  <c r="A202" i="7"/>
  <c r="B202" i="7" s="1"/>
  <c r="D113" i="6"/>
  <c r="F113" i="6" s="1"/>
  <c r="E113" i="6"/>
  <c r="E113" i="1"/>
  <c r="B203" i="10" s="1"/>
  <c r="G113" i="1"/>
  <c r="A305" i="4" s="1"/>
  <c r="B305" i="4" s="1"/>
  <c r="B305" i="10" l="1"/>
  <c r="A203" i="7"/>
  <c r="B203" i="7" s="1"/>
  <c r="A101" i="7"/>
  <c r="B101" i="7" s="1"/>
  <c r="A203" i="4"/>
  <c r="B203" i="4" s="1"/>
  <c r="H113" i="1"/>
  <c r="B407" i="10" s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9C4AC05A-6019-4DE1-86E6-48DB971DBBB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<sst xmlns="http://schemas.openxmlformats.org/spreadsheetml/2006/main" count="84" uniqueCount="43">
  <si>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</si>
  <si>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</si>
  <si>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</si>
  <si>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</si>
  <si>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</si>
  <si>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</si>
  <si>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</si>
  <si>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</si>
  <si>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</si>
  <si>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</si>
  <si>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</si>
  <si>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</si>
  <si>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</si>
  <si>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</si>
  <si>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</si>
  <si>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</si>
  <si>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</si>
  <si>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</si>
  <si>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</si>
  <si>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</si>
  <si>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</si>
  <si>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</si>
  <si>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</si>
  <si>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</si>
  <si>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</si>
  <si>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</si>
  <si>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</si>
  <si>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</si>
  <si>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</si>
  <si>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</si>
  <si>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</si>
  <si>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</si>
  <si>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</si>
  <si>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</si>
  <si>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</si>
  <si>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</si>
  <si>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</si>
  <si>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</si>
  <si>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</si>
  <si>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</si>
  <si>
    <t>Dibujo de Elipse con centro en (h,k)</t>
  </si>
  <si>
    <t>Dibujo de Superelipse con centro en el orígen</t>
  </si>
  <si>
    <t>Factor de forma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</si>
</sst>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0" fontId="1" fillId="0" borderId="9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tyles" Target="styles.xml"/><Relationship Id="rId5" Type="http://schemas.openxmlformats.org/officeDocument/2006/relationships/worksheet" Target="worksheets/sheet4.xml"/><Relationship Id="rId10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04550208901665E-2"/>
          <c:y val="5.7846468565658331E-2"/>
          <c:w val="0.85341244722679255"/>
          <c:h val="0.8390672920337616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SuperElipseTabla!$D$10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SuperElipseTabla!$D$11:$D$110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91-459D-B6E5-B9BA51A002DC}"/>
            </c:ext>
          </c:extLst>
        </c:ser>
        <c:ser>
          <c:idx val="1"/>
          <c:order val="1"/>
          <c:tx>
            <c:strRef>
              <c:f>SuperElipseTabla!$E$10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SuperElipseTabla!$E$11:$E$110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91-459D-B6E5-B9BA51A002DC}"/>
            </c:ext>
          </c:extLst>
        </c:ser>
        <c:ser>
          <c:idx val="2"/>
          <c:order val="2"/>
          <c:tx>
            <c:strRef>
              <c:f>SuperElipseTabla!$G$10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SuperElipseTabla!$G$11:$G$110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891-459D-B6E5-B9BA51A002DC}"/>
            </c:ext>
          </c:extLst>
        </c:ser>
        <c:ser>
          <c:idx val="3"/>
          <c:order val="3"/>
          <c:tx>
            <c:strRef>
              <c:f>SuperElipseTabla!$H$10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SuperElipseTabla!$H$11:$H$110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891-459D-B6E5-B9BA51A0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2891228</xdr:colOff>
      <xdr:row>2</xdr:row>
      <xdr:rowOff>26675</xdr:rowOff>
    </xdr:from>
    <xdr:ext cx="1179066" cy="3443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405375" y="447089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𝑏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405375" y="447089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^𝑛+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0DA5F2E-7C2F-40DC-A9CD-FA42A372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3460" y="116452"/>
          <a:ext cx="1022625" cy="237918"/>
        </a:xfrm>
        <a:prstGeom prst="rect">
          <a:avLst/>
        </a:prstGeom>
      </xdr:spPr>
    </xdr:pic>
    <xdr:clientData/>
  </xdr:twoCellAnchor>
  <xdr:twoCellAnchor editAs="oneCell">
    <xdr:from>
      <xdr:col>9</xdr:col>
      <xdr:colOff>217290</xdr:colOff>
      <xdr:row>0</xdr:row>
      <xdr:rowOff>0</xdr:rowOff>
    </xdr:from>
    <xdr:to>
      <xdr:col>13</xdr:col>
      <xdr:colOff>726796</xdr:colOff>
      <xdr:row>10</xdr:row>
      <xdr:rowOff>53578</xdr:rowOff>
    </xdr:to>
    <xdr:pic>
      <xdr:nvPicPr>
        <xdr:cNvPr id="6" name="Picture 5" descr="R.DAPC">
          <a:extLst>
            <a:ext uri="{FF2B5EF4-FFF2-40B4-BE49-F238E27FC236}">
              <a16:creationId xmlns:a16="http://schemas.microsoft.com/office/drawing/2014/main" id="{1AC0CE75-0256-B6C9-C407-06A764C21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39189" y="0"/>
          <a:ext cx="3557506" cy="2137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144518</xdr:colOff>
      <xdr:row>8</xdr:row>
      <xdr:rowOff>200354</xdr:rowOff>
    </xdr:from>
    <xdr:to>
      <xdr:col>13</xdr:col>
      <xdr:colOff>199584</xdr:colOff>
      <xdr:row>20</xdr:row>
      <xdr:rowOff>6569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C0BFAD54-AB3C-437C-8391-0E33CF9A7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5</xdr:col>
      <xdr:colOff>210207</xdr:colOff>
      <xdr:row>2</xdr:row>
      <xdr:rowOff>13138</xdr:rowOff>
    </xdr:from>
    <xdr:ext cx="1179066" cy="34464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CuadroTexto 5">
              <a:extLst>
                <a:ext uri="{FF2B5EF4-FFF2-40B4-BE49-F238E27FC236}">
                  <a16:creationId xmlns:a16="http://schemas.microsoft.com/office/drawing/2014/main" id="{414E5FD5-FDAE-45D1-A83B-05B152C8574C}"/>
                </a:ext>
              </a:extLst>
            </xdr:cNvPr>
            <xdr:cNvSpPr txBox="1"/>
          </xdr:nvSpPr>
          <xdr:spPr>
            <a:xfrm>
              <a:off x="6059871" y="433552"/>
              <a:ext cx="1179066" cy="344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4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9" name="CuadroTexto 5">
              <a:extLst>
                <a:ext uri="{FF2B5EF4-FFF2-40B4-BE49-F238E27FC236}">
                  <a16:creationId xmlns:a16="http://schemas.microsoft.com/office/drawing/2014/main" id="{414E5FD5-FDAE-45D1-A83B-05B152C8574C}"/>
                </a:ext>
              </a:extLst>
            </xdr:cNvPr>
            <xdr:cNvSpPr txBox="1"/>
          </xdr:nvSpPr>
          <xdr:spPr>
            <a:xfrm>
              <a:off x="6059871" y="433552"/>
              <a:ext cx="1179066" cy="344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(𝑥/2)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^4+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)^4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zoomScale="130" zoomScaleNormal="130" workbookViewId="0">
      <selection activeCell="D14" sqref="D14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48" t="s">
        <v>39</v>
      </c>
    </row>
    <row r="3" spans="2:10" x14ac:dyDescent="0.6">
      <c r="B3" s="46" t="s">
        <v>40</v>
      </c>
      <c r="C3" s="10"/>
      <c r="D3" s="10"/>
      <c r="E3" s="10"/>
      <c r="F3" s="10"/>
      <c r="G3" s="10"/>
      <c r="H3" s="11"/>
    </row>
    <row r="4" spans="2:10" x14ac:dyDescent="0.6">
      <c r="B4" s="24"/>
      <c r="C4" s="13"/>
      <c r="D4" s="13"/>
      <c r="E4" s="13"/>
      <c r="F4" s="13"/>
      <c r="G4" s="13"/>
      <c r="H4" s="14"/>
    </row>
    <row r="5" spans="2:10" x14ac:dyDescent="0.6">
      <c r="B5" s="2" t="s">
        <v>13</v>
      </c>
      <c r="C5" s="15"/>
      <c r="D5" s="3" t="s">
        <v>14</v>
      </c>
      <c r="E5" s="10"/>
      <c r="F5" s="10"/>
      <c r="G5" s="10"/>
      <c r="H5" s="11"/>
    </row>
    <row r="6" spans="2:10" x14ac:dyDescent="0.6">
      <c r="B6" s="16" t="s">
        <v>2</v>
      </c>
      <c r="C6" s="17"/>
      <c r="D6" s="23">
        <v>100</v>
      </c>
      <c r="H6" s="12"/>
    </row>
    <row r="7" spans="2:10" x14ac:dyDescent="0.6">
      <c r="B7" s="16" t="s">
        <v>3</v>
      </c>
      <c r="C7" s="18"/>
      <c r="D7" s="23">
        <v>50</v>
      </c>
      <c r="H7" s="12"/>
    </row>
    <row r="8" spans="2:10" x14ac:dyDescent="0.6">
      <c r="B8" s="16" t="s">
        <v>1</v>
      </c>
      <c r="C8" s="18"/>
      <c r="D8" s="23">
        <v>60</v>
      </c>
      <c r="H8" s="12"/>
    </row>
    <row r="9" spans="2:10" x14ac:dyDescent="0.6">
      <c r="B9" s="16" t="s">
        <v>0</v>
      </c>
      <c r="C9" s="18"/>
      <c r="D9" s="23">
        <v>20</v>
      </c>
      <c r="H9" s="12"/>
    </row>
    <row r="10" spans="2:10" x14ac:dyDescent="0.6">
      <c r="B10" s="16" t="s">
        <v>12</v>
      </c>
      <c r="C10" s="18"/>
      <c r="D10" s="23">
        <v>48</v>
      </c>
      <c r="H10" s="12"/>
    </row>
    <row r="11" spans="2:10" x14ac:dyDescent="0.6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10" x14ac:dyDescent="0.6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10" x14ac:dyDescent="0.6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  <c r="J13"/>
    </row>
    <row r="14" spans="2:10" x14ac:dyDescent="0.6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10" x14ac:dyDescent="0.6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10" x14ac:dyDescent="0.6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6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6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6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6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6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6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6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6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6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6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6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6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6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6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6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6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6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6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6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6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6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6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6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6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6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6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6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6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6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6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6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6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6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6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6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6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6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6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6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6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6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6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6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6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6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6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6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6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6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6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6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6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6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6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6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6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6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6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6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6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6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6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6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6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6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6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6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6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6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6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6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6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6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6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6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6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6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6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6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6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6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6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6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6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6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6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6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6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6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6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6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6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6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6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6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6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6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6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16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6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6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6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6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6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6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6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6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6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6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6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6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6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6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6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6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6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6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6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6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6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6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6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6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6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6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6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6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6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6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6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6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6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6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6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6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6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6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6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6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6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6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6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6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6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6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6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6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6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16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6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6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6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6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6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6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6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6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6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6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6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6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6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6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6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6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6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6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6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6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6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6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6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6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6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6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6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6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6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6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6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6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6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6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6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6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6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6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6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6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6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6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6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6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6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6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6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6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6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16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6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6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6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6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6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6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6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6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6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6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6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6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6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6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6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6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6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6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6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6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6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6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6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6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6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6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6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6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6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6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6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6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6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6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6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6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6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6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6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6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6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6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6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6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6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6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6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6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6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C82E-8EE5-4A42-BDFB-77A0E8DEBFAB}">
  <dimension ref="B1:K110"/>
  <sheetViews>
    <sheetView showGridLines="0" tabSelected="1" zoomScale="145" zoomScaleNormal="145" workbookViewId="0">
      <selection activeCell="D2" sqref="D2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3" width="11.53125" style="1" customWidth="1"/>
    <col min="4" max="4" width="49.1328125" style="1" customWidth="1"/>
    <col min="5" max="8" width="11.53125" style="1" customWidth="1"/>
    <col min="9" max="9" width="2.796875" style="1" customWidth="1"/>
    <col min="10" max="16384" width="10.6640625" style="1"/>
  </cols>
  <sheetData>
    <row r="1" spans="2:11" x14ac:dyDescent="0.6">
      <c r="H1" s="48" t="s">
        <v>39</v>
      </c>
    </row>
    <row r="3" spans="2:11" x14ac:dyDescent="0.6">
      <c r="B3" s="46" t="s">
        <v>41</v>
      </c>
      <c r="C3" s="10"/>
      <c r="D3" s="10"/>
      <c r="E3" s="10"/>
      <c r="F3" s="10"/>
      <c r="G3" s="10"/>
      <c r="H3" s="11"/>
    </row>
    <row r="4" spans="2:11" x14ac:dyDescent="0.6">
      <c r="B4" s="24"/>
      <c r="C4" s="13"/>
      <c r="D4" s="13"/>
      <c r="E4" s="13"/>
      <c r="F4" s="13"/>
      <c r="G4" s="13"/>
      <c r="H4" s="14"/>
    </row>
    <row r="5" spans="2:11" x14ac:dyDescent="0.6">
      <c r="B5" s="2" t="s">
        <v>13</v>
      </c>
      <c r="C5" s="15"/>
      <c r="D5" s="3" t="s">
        <v>14</v>
      </c>
      <c r="E5" s="10"/>
      <c r="F5" s="10"/>
      <c r="G5" s="10"/>
      <c r="H5" s="11"/>
    </row>
    <row r="6" spans="2:11" x14ac:dyDescent="0.6">
      <c r="B6" s="16" t="s">
        <v>42</v>
      </c>
      <c r="C6" s="18"/>
      <c r="D6" s="23">
        <v>4</v>
      </c>
      <c r="H6" s="12"/>
      <c r="K6"/>
    </row>
    <row r="7" spans="2:11" x14ac:dyDescent="0.6">
      <c r="B7" s="16" t="s">
        <v>1</v>
      </c>
      <c r="C7" s="18"/>
      <c r="D7" s="23">
        <v>105</v>
      </c>
      <c r="H7" s="12"/>
    </row>
    <row r="8" spans="2:11" x14ac:dyDescent="0.6">
      <c r="B8" s="16" t="s">
        <v>0</v>
      </c>
      <c r="C8" s="18"/>
      <c r="D8" s="23">
        <v>68</v>
      </c>
      <c r="H8" s="12"/>
    </row>
    <row r="9" spans="2:11" x14ac:dyDescent="0.6">
      <c r="B9" s="16" t="s">
        <v>12</v>
      </c>
      <c r="C9" s="18"/>
      <c r="D9" s="23">
        <v>99</v>
      </c>
      <c r="H9" s="12"/>
    </row>
    <row r="10" spans="2:11" x14ac:dyDescent="0.6">
      <c r="B10" s="25" t="s">
        <v>15</v>
      </c>
      <c r="C10" s="4" t="s">
        <v>6</v>
      </c>
      <c r="D10" s="4" t="s">
        <v>8</v>
      </c>
      <c r="E10" s="4" t="s">
        <v>9</v>
      </c>
      <c r="F10" s="4" t="s">
        <v>7</v>
      </c>
      <c r="G10" s="4" t="s">
        <v>10</v>
      </c>
      <c r="H10" s="5" t="s">
        <v>11</v>
      </c>
      <c r="J10"/>
    </row>
    <row r="11" spans="2:11" x14ac:dyDescent="0.6">
      <c r="B11" s="26">
        <v>1</v>
      </c>
      <c r="C11" s="50">
        <v>0</v>
      </c>
      <c r="D11" s="50">
        <f>((1-($C11/a_superelipse)^n_superelipse)^(1/n_superelipse))*b_superelipse</f>
        <v>68</v>
      </c>
      <c r="E11" s="50">
        <f>-D11</f>
        <v>-68</v>
      </c>
      <c r="F11" s="50">
        <f>C11</f>
        <v>0</v>
      </c>
      <c r="G11" s="50">
        <f>D11</f>
        <v>68</v>
      </c>
      <c r="H11" s="51">
        <f>E11</f>
        <v>-68</v>
      </c>
    </row>
    <row r="12" spans="2:11" x14ac:dyDescent="0.6">
      <c r="B12" s="26">
        <v>2</v>
      </c>
      <c r="C12" s="50">
        <f>IF((a_superelipse/np_superelipse)+C11&gt;=a_superelipse,a_superelipse,(a_superelipse/np_superelipse)+C11)</f>
        <v>1.0606060606060606</v>
      </c>
      <c r="D12" s="50">
        <f>((1-($C12/a_superelipse)^n_superelipse)^(1/n_superelipse))*b_superelipse</f>
        <v>67.999999823026542</v>
      </c>
      <c r="E12" s="50">
        <f>-D12</f>
        <v>-67.999999823026542</v>
      </c>
      <c r="F12" s="50">
        <f>(F11-(C12-C11))</f>
        <v>-1.0606060606060606</v>
      </c>
      <c r="G12" s="50">
        <f t="shared" ref="G12:H75" si="0">D12</f>
        <v>67.999999823026542</v>
      </c>
      <c r="H12" s="51">
        <f>E12</f>
        <v>-67.999999823026542</v>
      </c>
    </row>
    <row r="13" spans="2:11" x14ac:dyDescent="0.6">
      <c r="B13" s="26">
        <v>3</v>
      </c>
      <c r="C13" s="50">
        <f>IF((a_superelipse/np_superelipse)+C12&gt;=a_superelipse,a_superelipse,(a_superelipse/np_superelipse)+C12)</f>
        <v>2.1212121212121211</v>
      </c>
      <c r="D13" s="50">
        <f>((1-($C13/a_superelipse)^n_superelipse)^(1/n_superelipse))*b_superelipse</f>
        <v>67.999997168424457</v>
      </c>
      <c r="E13" s="50">
        <f>-D13</f>
        <v>-67.999997168424457</v>
      </c>
      <c r="F13" s="50">
        <f t="shared" ref="F13:F76" si="1">(F12-(C13-C12))</f>
        <v>-2.1212121212121211</v>
      </c>
      <c r="G13" s="50">
        <f t="shared" si="0"/>
        <v>67.999997168424457</v>
      </c>
      <c r="H13" s="51">
        <f t="shared" si="0"/>
        <v>-67.999997168424457</v>
      </c>
    </row>
    <row r="14" spans="2:11" x14ac:dyDescent="0.6">
      <c r="B14" s="26">
        <v>4</v>
      </c>
      <c r="C14" s="50">
        <f>IF((a_superelipse/np_superelipse)+C13&gt;=a_superelipse,a_superelipse,(a_superelipse/np_superelipse)+C13)</f>
        <v>3.1818181818181817</v>
      </c>
      <c r="D14" s="50">
        <f>((1-($C14/a_superelipse)^n_superelipse)^(1/n_superelipse))*b_superelipse</f>
        <v>67.999985665145175</v>
      </c>
      <c r="E14" s="50">
        <f t="shared" ref="E14:E75" si="2">-D14</f>
        <v>-67.999985665145175</v>
      </c>
      <c r="F14" s="50">
        <f t="shared" si="1"/>
        <v>-3.1818181818181817</v>
      </c>
      <c r="G14" s="50">
        <f t="shared" si="0"/>
        <v>67.999985665145175</v>
      </c>
      <c r="H14" s="51">
        <f>E14</f>
        <v>-67.999985665145175</v>
      </c>
    </row>
    <row r="15" spans="2:11" x14ac:dyDescent="0.6">
      <c r="B15" s="26">
        <v>5</v>
      </c>
      <c r="C15" s="50">
        <f>IF((a_superelipse/np_superelipse)+C14&gt;=a_superelipse,a_superelipse,(a_superelipse/np_superelipse)+C14)</f>
        <v>4.2424242424242422</v>
      </c>
      <c r="D15" s="50">
        <f>((1-($C15/a_superelipse)^n_superelipse)^(1/n_superelipse))*b_superelipse</f>
        <v>67.999954694748851</v>
      </c>
      <c r="E15" s="50">
        <f t="shared" si="2"/>
        <v>-67.999954694748851</v>
      </c>
      <c r="F15" s="50">
        <f t="shared" si="1"/>
        <v>-4.2424242424242422</v>
      </c>
      <c r="G15" s="50">
        <f t="shared" si="0"/>
        <v>67.999954694748851</v>
      </c>
      <c r="H15" s="51">
        <f>E15</f>
        <v>-67.999954694748851</v>
      </c>
    </row>
    <row r="16" spans="2:11" x14ac:dyDescent="0.6">
      <c r="B16" s="26">
        <v>6</v>
      </c>
      <c r="C16" s="50">
        <f>IF((a_superelipse/np_superelipse)+C15&gt;=a_superelipse,a_superelipse,(a_superelipse/np_superelipse)+C15)</f>
        <v>5.3030303030303028</v>
      </c>
      <c r="D16" s="50">
        <f>((1-($C16/a_superelipse)^n_superelipse)^(1/n_superelipse))*b_superelipse</f>
        <v>67.999889391317339</v>
      </c>
      <c r="E16" s="50">
        <f t="shared" si="2"/>
        <v>-67.999889391317339</v>
      </c>
      <c r="F16" s="50">
        <f t="shared" si="1"/>
        <v>-5.3030303030303028</v>
      </c>
      <c r="G16" s="50">
        <f t="shared" si="0"/>
        <v>67.999889391317339</v>
      </c>
      <c r="H16" s="51">
        <f>E16</f>
        <v>-67.999889391317339</v>
      </c>
    </row>
    <row r="17" spans="2:8" x14ac:dyDescent="0.6">
      <c r="B17" s="26">
        <v>7</v>
      </c>
      <c r="C17" s="50">
        <f>IF((a_superelipse/np_superelipse)+C16&gt;=a_superelipse,a_superelipse,(a_superelipse/np_superelipse)+C16)</f>
        <v>6.3636363636363633</v>
      </c>
      <c r="D17" s="50">
        <f>((1-($C17/a_superelipse)^n_superelipse)^(1/n_superelipse))*b_superelipse</f>
        <v>67.999770641234818</v>
      </c>
      <c r="E17" s="50">
        <f t="shared" si="2"/>
        <v>-67.999770641234818</v>
      </c>
      <c r="F17" s="50">
        <f t="shared" si="1"/>
        <v>-6.3636363636363633</v>
      </c>
      <c r="G17" s="50">
        <f t="shared" si="0"/>
        <v>67.999770641234818</v>
      </c>
      <c r="H17" s="51">
        <f>E17</f>
        <v>-67.999770641234818</v>
      </c>
    </row>
    <row r="18" spans="2:8" x14ac:dyDescent="0.6">
      <c r="B18" s="26">
        <v>8</v>
      </c>
      <c r="C18" s="50">
        <f>IF((a_superelipse/np_superelipse)+C17&gt;=a_superelipse,a_superelipse,(a_superelipse/np_superelipse)+C17)</f>
        <v>7.4242424242424239</v>
      </c>
      <c r="D18" s="50">
        <f>((1-($C18/a_superelipse)^n_superelipse)^(1/n_superelipse))*b_superelipse</f>
        <v>67.999575082738616</v>
      </c>
      <c r="E18" s="50">
        <f t="shared" si="2"/>
        <v>-67.999575082738616</v>
      </c>
      <c r="F18" s="50">
        <f t="shared" si="1"/>
        <v>-7.4242424242424239</v>
      </c>
      <c r="G18" s="50">
        <f t="shared" si="0"/>
        <v>67.999575082738616</v>
      </c>
      <c r="H18" s="51">
        <f t="shared" si="0"/>
        <v>-67.999575082738616</v>
      </c>
    </row>
    <row r="19" spans="2:8" x14ac:dyDescent="0.6">
      <c r="B19" s="26">
        <v>9</v>
      </c>
      <c r="C19" s="50">
        <f>IF((a_superelipse/np_superelipse)+C18&gt;=a_superelipse,a_superelipse,(a_superelipse/np_superelipse)+C18)</f>
        <v>8.4848484848484844</v>
      </c>
      <c r="D19" s="50">
        <f>((1-($C19/a_superelipse)^n_superelipse)^(1/n_superelipse))*b_superelipse</f>
        <v>67.999275105114705</v>
      </c>
      <c r="E19" s="50">
        <f t="shared" si="2"/>
        <v>-67.999275105114705</v>
      </c>
      <c r="F19" s="50">
        <f t="shared" si="1"/>
        <v>-8.4848484848484844</v>
      </c>
      <c r="G19" s="50">
        <f t="shared" si="0"/>
        <v>67.999275105114705</v>
      </c>
      <c r="H19" s="51">
        <f t="shared" si="0"/>
        <v>-67.999275105114705</v>
      </c>
    </row>
    <row r="20" spans="2:8" x14ac:dyDescent="0.6">
      <c r="B20" s="26">
        <v>10</v>
      </c>
      <c r="C20" s="50">
        <f>IF((a_superelipse/np_superelipse)+C19&gt;=a_superelipse,a_superelipse,(a_superelipse/np_superelipse)+C19)</f>
        <v>9.545454545454545</v>
      </c>
      <c r="D20" s="50">
        <f>((1-($C20/a_superelipse)^n_superelipse)^(1/n_superelipse))*b_superelipse</f>
        <v>67.998838847384846</v>
      </c>
      <c r="E20" s="50">
        <f t="shared" si="2"/>
        <v>-67.998838847384846</v>
      </c>
      <c r="F20" s="50">
        <f t="shared" si="1"/>
        <v>-9.545454545454545</v>
      </c>
      <c r="G20" s="50">
        <f t="shared" si="0"/>
        <v>67.998838847384846</v>
      </c>
      <c r="H20" s="51">
        <f t="shared" si="0"/>
        <v>-67.998838847384846</v>
      </c>
    </row>
    <row r="21" spans="2:8" x14ac:dyDescent="0.6">
      <c r="B21" s="26">
        <v>11</v>
      </c>
      <c r="C21" s="50">
        <f>IF((a_superelipse/np_superelipse)+C20&gt;=a_superelipse,a_superelipse,(a_superelipse/np_superelipse)+C20)</f>
        <v>10.606060606060606</v>
      </c>
      <c r="D21" s="50">
        <f>((1-($C21/a_superelipse)^n_superelipse)^(1/n_superelipse))*b_superelipse</f>
        <v>67.998230196303766</v>
      </c>
      <c r="E21" s="50">
        <f t="shared" si="2"/>
        <v>-67.998230196303766</v>
      </c>
      <c r="F21" s="50">
        <f t="shared" si="1"/>
        <v>-10.606060606060606</v>
      </c>
      <c r="G21" s="50">
        <f t="shared" si="0"/>
        <v>67.998230196303766</v>
      </c>
      <c r="H21" s="51">
        <f t="shared" si="0"/>
        <v>-67.998230196303766</v>
      </c>
    </row>
    <row r="22" spans="2:8" x14ac:dyDescent="0.6">
      <c r="B22" s="26">
        <v>12</v>
      </c>
      <c r="C22" s="50">
        <f>IF((a_superelipse/np_superelipse)+C21&gt;=a_superelipse,a_superelipse,(a_superelipse/np_superelipse)+C21)</f>
        <v>11.666666666666666</v>
      </c>
      <c r="D22" s="50">
        <f>((1-($C22/a_superelipse)^n_superelipse)^(1/n_superelipse))*b_superelipse</f>
        <v>67.997408783457246</v>
      </c>
      <c r="E22" s="50">
        <f t="shared" si="2"/>
        <v>-67.997408783457246</v>
      </c>
      <c r="F22" s="50">
        <f t="shared" si="1"/>
        <v>-11.666666666666666</v>
      </c>
      <c r="G22" s="50">
        <f t="shared" si="0"/>
        <v>67.997408783457246</v>
      </c>
      <c r="H22" s="51">
        <f t="shared" si="0"/>
        <v>-67.997408783457246</v>
      </c>
    </row>
    <row r="23" spans="2:8" x14ac:dyDescent="0.6">
      <c r="B23" s="26">
        <v>13</v>
      </c>
      <c r="C23" s="50">
        <f>IF((a_superelipse/np_superelipse)+C22&gt;=a_superelipse,a_superelipse,(a_superelipse/np_superelipse)+C22)</f>
        <v>12.727272727272727</v>
      </c>
      <c r="D23" s="50">
        <f>((1-($C23/a_superelipse)^n_superelipse)^(1/n_superelipse))*b_superelipse</f>
        <v>67.996329981223326</v>
      </c>
      <c r="E23" s="50">
        <f t="shared" si="2"/>
        <v>-67.996329981223326</v>
      </c>
      <c r="F23" s="50">
        <f t="shared" si="1"/>
        <v>-12.727272727272727</v>
      </c>
      <c r="G23" s="50">
        <f t="shared" si="0"/>
        <v>67.996329981223326</v>
      </c>
      <c r="H23" s="51">
        <f t="shared" si="0"/>
        <v>-67.996329981223326</v>
      </c>
    </row>
    <row r="24" spans="2:8" x14ac:dyDescent="0.6">
      <c r="B24" s="26">
        <v>14</v>
      </c>
      <c r="C24" s="50">
        <f>IF((a_superelipse/np_superelipse)+C23&gt;=a_superelipse,a_superelipse,(a_superelipse/np_superelipse)+C23)</f>
        <v>13.787878787878787</v>
      </c>
      <c r="D24" s="50">
        <f>((1-($C24/a_superelipse)^n_superelipse)^(1/n_superelipse))*b_superelipse</f>
        <v>67.994944897330981</v>
      </c>
      <c r="E24" s="50">
        <f t="shared" si="2"/>
        <v>-67.994944897330981</v>
      </c>
      <c r="F24" s="50">
        <f t="shared" si="1"/>
        <v>-13.787878787878787</v>
      </c>
      <c r="G24" s="50">
        <f t="shared" si="0"/>
        <v>67.994944897330981</v>
      </c>
      <c r="H24" s="51">
        <f t="shared" si="0"/>
        <v>-67.994944897330981</v>
      </c>
    </row>
    <row r="25" spans="2:8" x14ac:dyDescent="0.6">
      <c r="B25" s="26">
        <v>15</v>
      </c>
      <c r="C25" s="50">
        <f>IF((a_superelipse/np_superelipse)+C24&gt;=a_superelipse,a_superelipse,(a_superelipse/np_superelipse)+C24)</f>
        <v>14.848484848484848</v>
      </c>
      <c r="D25" s="50">
        <f>((1-($C25/a_superelipse)^n_superelipse)^(1/n_superelipse))*b_superelipse</f>
        <v>67.993200367721016</v>
      </c>
      <c r="E25" s="50">
        <f t="shared" si="2"/>
        <v>-67.993200367721016</v>
      </c>
      <c r="F25" s="50">
        <f t="shared" si="1"/>
        <v>-14.848484848484848</v>
      </c>
      <c r="G25" s="50">
        <f t="shared" si="0"/>
        <v>67.993200367721016</v>
      </c>
      <c r="H25" s="51">
        <f t="shared" si="0"/>
        <v>-67.993200367721016</v>
      </c>
    </row>
    <row r="26" spans="2:8" x14ac:dyDescent="0.6">
      <c r="B26" s="26">
        <v>16</v>
      </c>
      <c r="C26" s="50">
        <f>IF((a_superelipse/np_superelipse)+C25&gt;=a_superelipse,a_superelipse,(a_superelipse/np_superelipse)+C25)</f>
        <v>15.909090909090908</v>
      </c>
      <c r="D26" s="50">
        <f>((1-($C26/a_superelipse)^n_superelipse)^(1/n_superelipse))*b_superelipse</f>
        <v>67.991038947385732</v>
      </c>
      <c r="E26" s="50">
        <f t="shared" si="2"/>
        <v>-67.991038947385732</v>
      </c>
      <c r="F26" s="50">
        <f t="shared" si="1"/>
        <v>-15.909090909090908</v>
      </c>
      <c r="G26" s="50">
        <f t="shared" si="0"/>
        <v>67.991038947385732</v>
      </c>
      <c r="H26" s="51">
        <f t="shared" si="0"/>
        <v>-67.991038947385732</v>
      </c>
    </row>
    <row r="27" spans="2:8" x14ac:dyDescent="0.6">
      <c r="B27" s="26">
        <v>17</v>
      </c>
      <c r="C27" s="50">
        <f>IF((a_superelipse/np_superelipse)+C26&gt;=a_superelipse,a_superelipse,(a_superelipse/np_superelipse)+C26)</f>
        <v>16.969696969696969</v>
      </c>
      <c r="D27" s="50">
        <f>((1-($C27/a_superelipse)^n_superelipse)^(1/n_superelipse))*b_superelipse</f>
        <v>67.988398898833651</v>
      </c>
      <c r="E27" s="50">
        <f t="shared" si="2"/>
        <v>-67.988398898833651</v>
      </c>
      <c r="F27" s="50">
        <f t="shared" si="1"/>
        <v>-16.969696969696969</v>
      </c>
      <c r="G27" s="50">
        <f t="shared" si="0"/>
        <v>67.988398898833651</v>
      </c>
      <c r="H27" s="51">
        <f t="shared" si="0"/>
        <v>-67.988398898833651</v>
      </c>
    </row>
    <row r="28" spans="2:8" x14ac:dyDescent="0.6">
      <c r="B28" s="26">
        <v>18</v>
      </c>
      <c r="C28" s="50">
        <f>IF((a_superelipse/np_superelipse)+C27&gt;=a_superelipse,a_superelipse,(a_superelipse/np_superelipse)+C27)</f>
        <v>18.030303030303031</v>
      </c>
      <c r="D28" s="50">
        <f>((1-($C28/a_superelipse)^n_superelipse)^(1/n_superelipse))*b_superelipse</f>
        <v>67.985214177795527</v>
      </c>
      <c r="E28" s="50">
        <f t="shared" si="2"/>
        <v>-67.985214177795527</v>
      </c>
      <c r="F28" s="50">
        <f t="shared" si="1"/>
        <v>-18.030303030303031</v>
      </c>
      <c r="G28" s="50">
        <f t="shared" si="0"/>
        <v>67.985214177795527</v>
      </c>
      <c r="H28" s="51">
        <f t="shared" si="0"/>
        <v>-67.985214177795527</v>
      </c>
    </row>
    <row r="29" spans="2:8" x14ac:dyDescent="0.6">
      <c r="B29" s="26">
        <v>19</v>
      </c>
      <c r="C29" s="50">
        <f>IF((a_superelipse/np_superelipse)+C28&gt;=a_superelipse,a_superelipse,(a_superelipse/np_superelipse)+C28)</f>
        <v>19.090909090909093</v>
      </c>
      <c r="D29" s="50">
        <f>((1-($C29/a_superelipse)^n_superelipse)^(1/n_superelipse))*b_superelipse</f>
        <v>67.981414415756589</v>
      </c>
      <c r="E29" s="50">
        <f t="shared" si="2"/>
        <v>-67.981414415756589</v>
      </c>
      <c r="F29" s="50">
        <f t="shared" si="1"/>
        <v>-19.090909090909093</v>
      </c>
      <c r="G29" s="50">
        <f t="shared" si="0"/>
        <v>67.981414415756589</v>
      </c>
      <c r="H29" s="51">
        <f t="shared" si="0"/>
        <v>-67.981414415756589</v>
      </c>
    </row>
    <row r="30" spans="2:8" x14ac:dyDescent="0.6">
      <c r="B30" s="26">
        <v>20</v>
      </c>
      <c r="C30" s="50">
        <f>IF((a_superelipse/np_superelipse)+C29&gt;=a_superelipse,a_superelipse,(a_superelipse/np_superelipse)+C29)</f>
        <v>20.151515151515156</v>
      </c>
      <c r="D30" s="50">
        <f>((1-($C30/a_superelipse)^n_superelipse)^(1/n_superelipse))*b_superelipse</f>
        <v>67.976924898867836</v>
      </c>
      <c r="E30" s="50">
        <f t="shared" si="2"/>
        <v>-67.976924898867836</v>
      </c>
      <c r="F30" s="50">
        <f t="shared" si="1"/>
        <v>-20.151515151515156</v>
      </c>
      <c r="G30" s="50">
        <f t="shared" si="0"/>
        <v>67.976924898867836</v>
      </c>
      <c r="H30" s="51">
        <f t="shared" si="0"/>
        <v>-67.976924898867836</v>
      </c>
    </row>
    <row r="31" spans="2:8" x14ac:dyDescent="0.6">
      <c r="B31" s="26">
        <v>21</v>
      </c>
      <c r="C31" s="50">
        <f>IF((a_superelipse/np_superelipse)+C30&gt;=a_superelipse,a_superelipse,(a_superelipse/np_superelipse)+C30)</f>
        <v>21.212121212121218</v>
      </c>
      <c r="D31" s="50">
        <f>((1-($C31/a_superelipse)^n_superelipse)^(1/n_superelipse))*b_superelipse</f>
        <v>67.971666542755671</v>
      </c>
      <c r="E31" s="50">
        <f t="shared" si="2"/>
        <v>-67.971666542755671</v>
      </c>
      <c r="F31" s="50">
        <f t="shared" si="1"/>
        <v>-21.212121212121218</v>
      </c>
      <c r="G31" s="50">
        <f t="shared" si="0"/>
        <v>67.971666542755671</v>
      </c>
      <c r="H31" s="51">
        <f t="shared" si="0"/>
        <v>-67.971666542755671</v>
      </c>
    </row>
    <row r="32" spans="2:8" x14ac:dyDescent="0.6">
      <c r="B32" s="26">
        <v>22</v>
      </c>
      <c r="C32" s="50">
        <f>IF((a_superelipse/np_superelipse)+C31&gt;=a_superelipse,a_superelipse,(a_superelipse/np_superelipse)+C31)</f>
        <v>22.27272727272728</v>
      </c>
      <c r="D32" s="50">
        <f>((1-($C32/a_superelipse)^n_superelipse)^(1/n_superelipse))*b_superelipse</f>
        <v>67.965555862714169</v>
      </c>
      <c r="E32" s="50">
        <f t="shared" si="2"/>
        <v>-67.965555862714169</v>
      </c>
      <c r="F32" s="50">
        <f t="shared" si="1"/>
        <v>-22.27272727272728</v>
      </c>
      <c r="G32" s="50">
        <f t="shared" si="0"/>
        <v>67.965555862714169</v>
      </c>
      <c r="H32" s="51">
        <f t="shared" si="0"/>
        <v>-67.965555862714169</v>
      </c>
    </row>
    <row r="33" spans="2:8" x14ac:dyDescent="0.6">
      <c r="B33" s="26">
        <v>23</v>
      </c>
      <c r="C33" s="50">
        <f>IF((a_superelipse/np_superelipse)+C32&gt;=a_superelipse,a_superelipse,(a_superelipse/np_superelipse)+C32)</f>
        <v>23.333333333333343</v>
      </c>
      <c r="D33" s="50">
        <f>((1-($C33/a_superelipse)^n_superelipse)^(1/n_superelipse))*b_superelipse</f>
        <v>67.958504938726989</v>
      </c>
      <c r="E33" s="50">
        <f t="shared" si="2"/>
        <v>-67.958504938726989</v>
      </c>
      <c r="F33" s="50">
        <f t="shared" si="1"/>
        <v>-23.333333333333343</v>
      </c>
      <c r="G33" s="50">
        <f t="shared" si="0"/>
        <v>67.958504938726989</v>
      </c>
      <c r="H33" s="51">
        <f t="shared" si="0"/>
        <v>-67.958504938726989</v>
      </c>
    </row>
    <row r="34" spans="2:8" x14ac:dyDescent="0.6">
      <c r="B34" s="26">
        <v>24</v>
      </c>
      <c r="C34" s="50">
        <f>IF((a_superelipse/np_superelipse)+C33&gt;=a_superelipse,a_superelipse,(a_superelipse/np_superelipse)+C33)</f>
        <v>24.393939393939405</v>
      </c>
      <c r="D34" s="50">
        <f>((1-($C34/a_superelipse)^n_superelipse)^(1/n_superelipse))*b_superelipse</f>
        <v>67.950421374727512</v>
      </c>
      <c r="E34" s="50">
        <f t="shared" si="2"/>
        <v>-67.950421374727512</v>
      </c>
      <c r="F34" s="50">
        <f t="shared" si="1"/>
        <v>-24.393939393939405</v>
      </c>
      <c r="G34" s="50">
        <f t="shared" si="0"/>
        <v>67.950421374727512</v>
      </c>
      <c r="H34" s="51">
        <f t="shared" si="0"/>
        <v>-67.950421374727512</v>
      </c>
    </row>
    <row r="35" spans="2:8" x14ac:dyDescent="0.6">
      <c r="B35" s="26">
        <v>25</v>
      </c>
      <c r="C35" s="50">
        <f>IF((a_superelipse/np_superelipse)+C34&gt;=a_superelipse,a_superelipse,(a_superelipse/np_superelipse)+C34)</f>
        <v>25.454545454545467</v>
      </c>
      <c r="D35" s="50">
        <f>((1-($C35/a_superelipse)^n_superelipse)^(1/n_superelipse))*b_superelipse</f>
        <v>67.941208251462925</v>
      </c>
      <c r="E35" s="50">
        <f t="shared" si="2"/>
        <v>-67.941208251462925</v>
      </c>
      <c r="F35" s="50">
        <f t="shared" si="1"/>
        <v>-25.454545454545467</v>
      </c>
      <c r="G35" s="50">
        <f t="shared" si="0"/>
        <v>67.941208251462925</v>
      </c>
      <c r="H35" s="51">
        <f t="shared" si="0"/>
        <v>-67.941208251462925</v>
      </c>
    </row>
    <row r="36" spans="2:8" x14ac:dyDescent="0.6">
      <c r="B36" s="26">
        <v>26</v>
      </c>
      <c r="C36" s="50">
        <f>IF((a_superelipse/np_superelipse)+C35&gt;=a_superelipse,a_superelipse,(a_superelipse/np_superelipse)+C35)</f>
        <v>26.51515151515153</v>
      </c>
      <c r="D36" s="50">
        <f>((1-($C36/a_superelipse)^n_superelipse)^(1/n_superelipse))*b_superelipse</f>
        <v>67.930764072284205</v>
      </c>
      <c r="E36" s="50">
        <f t="shared" si="2"/>
        <v>-67.930764072284205</v>
      </c>
      <c r="F36" s="50">
        <f t="shared" si="1"/>
        <v>-26.51515151515153</v>
      </c>
      <c r="G36" s="50">
        <f t="shared" si="0"/>
        <v>67.930764072284205</v>
      </c>
      <c r="H36" s="51">
        <f t="shared" si="0"/>
        <v>-67.930764072284205</v>
      </c>
    </row>
    <row r="37" spans="2:8" x14ac:dyDescent="0.6">
      <c r="B37" s="26">
        <v>27</v>
      </c>
      <c r="C37" s="50">
        <f>IF((a_superelipse/np_superelipse)+C36&gt;=a_superelipse,a_superelipse,(a_superelipse/np_superelipse)+C36)</f>
        <v>27.575757575757592</v>
      </c>
      <c r="D37" s="50">
        <f>((1-($C37/a_superelipse)^n_superelipse)^(1/n_superelipse))*b_superelipse</f>
        <v>67.918982701134496</v>
      </c>
      <c r="E37" s="50">
        <f t="shared" si="2"/>
        <v>-67.918982701134496</v>
      </c>
      <c r="F37" s="50">
        <f t="shared" si="1"/>
        <v>-27.575757575757592</v>
      </c>
      <c r="G37" s="50">
        <f t="shared" si="0"/>
        <v>67.918982701134496</v>
      </c>
      <c r="H37" s="51">
        <f t="shared" si="0"/>
        <v>-67.918982701134496</v>
      </c>
    </row>
    <row r="38" spans="2:8" x14ac:dyDescent="0.6">
      <c r="B38" s="26">
        <v>28</v>
      </c>
      <c r="C38" s="50">
        <f>IF((a_superelipse/np_superelipse)+C37&gt;=a_superelipse,a_superelipse,(a_superelipse/np_superelipse)+C37)</f>
        <v>28.636363636363654</v>
      </c>
      <c r="D38" s="50">
        <f>((1-($C38/a_superelipse)^n_superelipse)^(1/n_superelipse))*b_superelipse</f>
        <v>67.905753291956003</v>
      </c>
      <c r="E38" s="50">
        <f t="shared" si="2"/>
        <v>-67.905753291956003</v>
      </c>
      <c r="F38" s="50">
        <f t="shared" si="1"/>
        <v>-28.636363636363654</v>
      </c>
      <c r="G38" s="50">
        <f t="shared" si="0"/>
        <v>67.905753291956003</v>
      </c>
      <c r="H38" s="51">
        <f t="shared" si="0"/>
        <v>-67.905753291956003</v>
      </c>
    </row>
    <row r="39" spans="2:8" x14ac:dyDescent="0.6">
      <c r="B39" s="26">
        <v>29</v>
      </c>
      <c r="C39" s="50">
        <f>IF((a_superelipse/np_superelipse)+C38&gt;=a_superelipse,a_superelipse,(a_superelipse/np_superelipse)+C38)</f>
        <v>29.696969696969717</v>
      </c>
      <c r="D39" s="50">
        <f>((1-($C39/a_superelipse)^n_superelipse)^(1/n_superelipse))*b_superelipse</f>
        <v>67.890960208678052</v>
      </c>
      <c r="E39" s="50">
        <f t="shared" si="2"/>
        <v>-67.890960208678052</v>
      </c>
      <c r="F39" s="50">
        <f t="shared" si="1"/>
        <v>-29.696969696969717</v>
      </c>
      <c r="G39" s="50">
        <f t="shared" si="0"/>
        <v>67.890960208678052</v>
      </c>
      <c r="H39" s="51">
        <f t="shared" si="0"/>
        <v>-67.890960208678052</v>
      </c>
    </row>
    <row r="40" spans="2:8" x14ac:dyDescent="0.6">
      <c r="B40" s="26">
        <v>30</v>
      </c>
      <c r="C40" s="50">
        <f>IF((a_superelipse/np_superelipse)+C39&gt;=a_superelipse,a_superelipse,(a_superelipse/np_superelipse)+C39)</f>
        <v>30.757575757575779</v>
      </c>
      <c r="D40" s="50">
        <f>((1-($C40/a_superelipse)^n_superelipse)^(1/n_superelipse))*b_superelipse</f>
        <v>67.874482934885208</v>
      </c>
      <c r="E40" s="50">
        <f t="shared" si="2"/>
        <v>-67.874482934885208</v>
      </c>
      <c r="F40" s="50">
        <f t="shared" si="1"/>
        <v>-30.757575757575779</v>
      </c>
      <c r="G40" s="50">
        <f t="shared" si="0"/>
        <v>67.874482934885208</v>
      </c>
      <c r="H40" s="51">
        <f t="shared" si="0"/>
        <v>-67.874482934885208</v>
      </c>
    </row>
    <row r="41" spans="2:8" x14ac:dyDescent="0.6">
      <c r="B41" s="26">
        <v>31</v>
      </c>
      <c r="C41" s="50">
        <f>IF((a_superelipse/np_superelipse)+C40&gt;=a_superelipse,a_superelipse,(a_superelipse/np_superelipse)+C40)</f>
        <v>31.818181818181841</v>
      </c>
      <c r="D41" s="50">
        <f>((1-($C41/a_superelipse)^n_superelipse)^(1/n_superelipse))*b_superelipse</f>
        <v>67.856195972194982</v>
      </c>
      <c r="E41" s="50">
        <f t="shared" si="2"/>
        <v>-67.856195972194982</v>
      </c>
      <c r="F41" s="50">
        <f t="shared" si="1"/>
        <v>-31.818181818181841</v>
      </c>
      <c r="G41" s="50">
        <f t="shared" si="0"/>
        <v>67.856195972194982</v>
      </c>
      <c r="H41" s="51">
        <f t="shared" si="0"/>
        <v>-67.856195972194982</v>
      </c>
    </row>
    <row r="42" spans="2:8" x14ac:dyDescent="0.6">
      <c r="B42" s="26">
        <v>32</v>
      </c>
      <c r="C42" s="50">
        <f>IF((a_superelipse/np_superelipse)+C41&gt;=a_superelipse,a_superelipse,(a_superelipse/np_superelipse)+C41)</f>
        <v>32.878787878787904</v>
      </c>
      <c r="D42" s="50">
        <f>((1-($C42/a_superelipse)^n_superelipse)^(1/n_superelipse))*b_superelipse</f>
        <v>67.835968726296969</v>
      </c>
      <c r="E42" s="50">
        <f t="shared" si="2"/>
        <v>-67.835968726296969</v>
      </c>
      <c r="F42" s="50">
        <f t="shared" si="1"/>
        <v>-32.878787878787904</v>
      </c>
      <c r="G42" s="50">
        <f t="shared" si="0"/>
        <v>67.835968726296969</v>
      </c>
      <c r="H42" s="51">
        <f t="shared" si="0"/>
        <v>-67.835968726296969</v>
      </c>
    </row>
    <row r="43" spans="2:8" x14ac:dyDescent="0.6">
      <c r="B43" s="26">
        <v>33</v>
      </c>
      <c r="C43" s="50">
        <f>IF((a_superelipse/np_superelipse)+C42&gt;=a_superelipse,a_superelipse,(a_superelipse/np_superelipse)+C42)</f>
        <v>33.939393939393966</v>
      </c>
      <c r="D43" s="50">
        <f>((1-($C43/a_superelipse)^n_superelipse)^(1/n_superelipse))*b_superelipse</f>
        <v>67.813665379519691</v>
      </c>
      <c r="E43" s="50">
        <f t="shared" si="2"/>
        <v>-67.813665379519691</v>
      </c>
      <c r="F43" s="50">
        <f t="shared" si="1"/>
        <v>-33.939393939393966</v>
      </c>
      <c r="G43" s="50">
        <f t="shared" si="0"/>
        <v>67.813665379519691</v>
      </c>
      <c r="H43" s="51">
        <f t="shared" si="0"/>
        <v>-67.813665379519691</v>
      </c>
    </row>
    <row r="44" spans="2:8" x14ac:dyDescent="0.6">
      <c r="B44" s="26">
        <v>34</v>
      </c>
      <c r="C44" s="50">
        <f>IF((a_superelipse/np_superelipse)+C43&gt;=a_superelipse,a_superelipse,(a_superelipse/np_superelipse)+C43)</f>
        <v>35.000000000000028</v>
      </c>
      <c r="D44" s="50">
        <f>((1-($C44/a_superelipse)^n_superelipse)^(1/n_superelipse))*b_superelipse</f>
        <v>67.789144748695321</v>
      </c>
      <c r="E44" s="50">
        <f t="shared" si="2"/>
        <v>-67.789144748695321</v>
      </c>
      <c r="F44" s="50">
        <f t="shared" si="1"/>
        <v>-35.000000000000028</v>
      </c>
      <c r="G44" s="50">
        <f t="shared" si="0"/>
        <v>67.789144748695321</v>
      </c>
      <c r="H44" s="51">
        <f t="shared" si="0"/>
        <v>-67.789144748695321</v>
      </c>
    </row>
    <row r="45" spans="2:8" x14ac:dyDescent="0.6">
      <c r="B45" s="26">
        <v>35</v>
      </c>
      <c r="C45" s="50">
        <f>IF((a_superelipse/np_superelipse)+C44&gt;=a_superelipse,a_superelipse,(a_superelipse/np_superelipse)+C44)</f>
        <v>36.060606060606091</v>
      </c>
      <c r="D45" s="50">
        <f>((1-($C45/a_superelipse)^n_superelipse)^(1/n_superelipse))*b_superelipse</f>
        <v>67.762260126985623</v>
      </c>
      <c r="E45" s="50">
        <f t="shared" si="2"/>
        <v>-67.762260126985623</v>
      </c>
      <c r="F45" s="50">
        <f t="shared" si="1"/>
        <v>-36.060606060606091</v>
      </c>
      <c r="G45" s="50">
        <f t="shared" si="0"/>
        <v>67.762260126985623</v>
      </c>
      <c r="H45" s="51">
        <f t="shared" si="0"/>
        <v>-67.762260126985623</v>
      </c>
    </row>
    <row r="46" spans="2:8" x14ac:dyDescent="0.6">
      <c r="B46" s="26">
        <v>36</v>
      </c>
      <c r="C46" s="50">
        <f>IF((a_superelipse/np_superelipse)+C45&gt;=a_superelipse,a_superelipse,(a_superelipse/np_superelipse)+C45)</f>
        <v>37.121212121212153</v>
      </c>
      <c r="D46" s="50">
        <f>((1-($C46/a_superelipse)^n_superelipse)^(1/n_superelipse))*b_superelipse</f>
        <v>67.732859108212011</v>
      </c>
      <c r="E46" s="50">
        <f t="shared" si="2"/>
        <v>-67.732859108212011</v>
      </c>
      <c r="F46" s="50">
        <f t="shared" si="1"/>
        <v>-37.121212121212153</v>
      </c>
      <c r="G46" s="50">
        <f t="shared" si="0"/>
        <v>67.732859108212011</v>
      </c>
      <c r="H46" s="51">
        <f t="shared" si="0"/>
        <v>-67.732859108212011</v>
      </c>
    </row>
    <row r="47" spans="2:8" x14ac:dyDescent="0.6">
      <c r="B47" s="26">
        <v>37</v>
      </c>
      <c r="C47" s="50">
        <f>IF((a_superelipse/np_superelipse)+C46&gt;=a_superelipse,a_superelipse,(a_superelipse/np_superelipse)+C46)</f>
        <v>38.181818181818215</v>
      </c>
      <c r="D47" s="50">
        <f>((1-($C47/a_superelipse)^n_superelipse)^(1/n_superelipse))*b_superelipse</f>
        <v>67.700783392098188</v>
      </c>
      <c r="E47" s="50">
        <f t="shared" si="2"/>
        <v>-67.700783392098188</v>
      </c>
      <c r="F47" s="50">
        <f t="shared" si="1"/>
        <v>-38.181818181818215</v>
      </c>
      <c r="G47" s="50">
        <f t="shared" si="0"/>
        <v>67.700783392098188</v>
      </c>
      <c r="H47" s="51">
        <f t="shared" si="0"/>
        <v>-67.700783392098188</v>
      </c>
    </row>
    <row r="48" spans="2:8" x14ac:dyDescent="0.6">
      <c r="B48" s="26">
        <v>38</v>
      </c>
      <c r="C48" s="50">
        <f>IF((a_superelipse/np_superelipse)+C47&gt;=a_superelipse,a_superelipse,(a_superelipse/np_superelipse)+C47)</f>
        <v>39.242424242424278</v>
      </c>
      <c r="D48" s="50">
        <f>((1-($C48/a_superelipse)^n_superelipse)^(1/n_superelipse))*b_superelipse</f>
        <v>67.665868568681347</v>
      </c>
      <c r="E48" s="50">
        <f t="shared" si="2"/>
        <v>-67.665868568681347</v>
      </c>
      <c r="F48" s="50">
        <f t="shared" si="1"/>
        <v>-39.242424242424278</v>
      </c>
      <c r="G48" s="50">
        <f t="shared" si="0"/>
        <v>67.665868568681347</v>
      </c>
      <c r="H48" s="51">
        <f t="shared" si="0"/>
        <v>-67.665868568681347</v>
      </c>
    </row>
    <row r="49" spans="2:8" x14ac:dyDescent="0.6">
      <c r="B49" s="26">
        <v>39</v>
      </c>
      <c r="C49" s="50">
        <f>IF((a_superelipse/np_superelipse)+C48&gt;=a_superelipse,a_superelipse,(a_superelipse/np_superelipse)+C48)</f>
        <v>40.30303030303034</v>
      </c>
      <c r="D49" s="50">
        <f>((1-($C49/a_superelipse)^n_superelipse)^(1/n_superelipse))*b_superelipse</f>
        <v>67.627943879976385</v>
      </c>
      <c r="E49" s="50">
        <f t="shared" si="2"/>
        <v>-67.627943879976385</v>
      </c>
      <c r="F49" s="50">
        <f t="shared" si="1"/>
        <v>-40.30303030303034</v>
      </c>
      <c r="G49" s="50">
        <f t="shared" si="0"/>
        <v>67.627943879976385</v>
      </c>
      <c r="H49" s="51">
        <f t="shared" si="0"/>
        <v>-67.627943879976385</v>
      </c>
    </row>
    <row r="50" spans="2:8" x14ac:dyDescent="0.6">
      <c r="B50" s="26">
        <v>40</v>
      </c>
      <c r="C50" s="50">
        <f>IF((a_superelipse/np_superelipse)+C49&gt;=a_superelipse,a_superelipse,(a_superelipse/np_superelipse)+C49)</f>
        <v>41.363636363636402</v>
      </c>
      <c r="D50" s="50">
        <f>((1-($C50/a_superelipse)^n_superelipse)^(1/n_superelipse))*b_superelipse</f>
        <v>67.586831956783982</v>
      </c>
      <c r="E50" s="50">
        <f t="shared" si="2"/>
        <v>-67.586831956783982</v>
      </c>
      <c r="F50" s="50">
        <f t="shared" si="1"/>
        <v>-41.363636363636402</v>
      </c>
      <c r="G50" s="50">
        <f t="shared" si="0"/>
        <v>67.586831956783982</v>
      </c>
      <c r="H50" s="51">
        <f t="shared" si="0"/>
        <v>-67.586831956783982</v>
      </c>
    </row>
    <row r="51" spans="2:8" x14ac:dyDescent="0.6">
      <c r="B51" s="26">
        <v>41</v>
      </c>
      <c r="C51" s="50">
        <f>IF((a_superelipse/np_superelipse)+C50&gt;=a_superelipse,a_superelipse,(a_superelipse/np_superelipse)+C50)</f>
        <v>42.424242424242465</v>
      </c>
      <c r="D51" s="50">
        <f>((1-($C51/a_superelipse)^n_superelipse)^(1/n_superelipse))*b_superelipse</f>
        <v>67.542348528312985</v>
      </c>
      <c r="E51" s="50">
        <f t="shared" si="2"/>
        <v>-67.542348528312985</v>
      </c>
      <c r="F51" s="50">
        <f t="shared" si="1"/>
        <v>-42.424242424242465</v>
      </c>
      <c r="G51" s="50">
        <f t="shared" si="0"/>
        <v>67.542348528312985</v>
      </c>
      <c r="H51" s="51">
        <f t="shared" si="0"/>
        <v>-67.542348528312985</v>
      </c>
    </row>
    <row r="52" spans="2:8" x14ac:dyDescent="0.6">
      <c r="B52" s="26">
        <v>42</v>
      </c>
      <c r="C52" s="50">
        <f>IF((a_superelipse/np_superelipse)+C51&gt;=a_superelipse,a_superelipse,(a_superelipse/np_superelipse)+C51)</f>
        <v>43.484848484848527</v>
      </c>
      <c r="D52" s="50">
        <f>((1-($C52/a_superelipse)^n_superelipse)^(1/n_superelipse))*b_superelipse</f>
        <v>67.494302102038219</v>
      </c>
      <c r="E52" s="50">
        <f t="shared" si="2"/>
        <v>-67.494302102038219</v>
      </c>
      <c r="F52" s="50">
        <f t="shared" si="1"/>
        <v>-43.484848484848527</v>
      </c>
      <c r="G52" s="50">
        <f t="shared" si="0"/>
        <v>67.494302102038219</v>
      </c>
      <c r="H52" s="51">
        <f t="shared" si="0"/>
        <v>-67.494302102038219</v>
      </c>
    </row>
    <row r="53" spans="2:8" x14ac:dyDescent="0.6">
      <c r="B53" s="26">
        <v>43</v>
      </c>
      <c r="C53" s="50">
        <f>IF((a_superelipse/np_superelipse)+C52&gt;=a_superelipse,a_superelipse,(a_superelipse/np_superelipse)+C52)</f>
        <v>44.545454545454589</v>
      </c>
      <c r="D53" s="50">
        <f>((1-($C53/a_superelipse)^n_superelipse)^(1/n_superelipse))*b_superelipse</f>
        <v>67.44249361093074</v>
      </c>
      <c r="E53" s="50">
        <f t="shared" si="2"/>
        <v>-67.44249361093074</v>
      </c>
      <c r="F53" s="50">
        <f t="shared" si="1"/>
        <v>-44.545454545454589</v>
      </c>
      <c r="G53" s="50">
        <f t="shared" si="0"/>
        <v>67.44249361093074</v>
      </c>
      <c r="H53" s="51">
        <f t="shared" si="0"/>
        <v>-67.44249361093074</v>
      </c>
    </row>
    <row r="54" spans="2:8" x14ac:dyDescent="0.6">
      <c r="B54" s="26">
        <v>44</v>
      </c>
      <c r="C54" s="50">
        <f>IF((a_superelipse/np_superelipse)+C53&gt;=a_superelipse,a_superelipse,(a_superelipse/np_superelipse)+C53)</f>
        <v>45.606060606060652</v>
      </c>
      <c r="D54" s="50">
        <f>((1-($C54/a_superelipse)^n_superelipse)^(1/n_superelipse))*b_superelipse</f>
        <v>67.386716024874346</v>
      </c>
      <c r="E54" s="50">
        <f t="shared" si="2"/>
        <v>-67.386716024874346</v>
      </c>
      <c r="F54" s="50">
        <f t="shared" si="1"/>
        <v>-45.606060606060652</v>
      </c>
      <c r="G54" s="50">
        <f t="shared" si="0"/>
        <v>67.386716024874346</v>
      </c>
      <c r="H54" s="51">
        <f t="shared" si="0"/>
        <v>-67.386716024874346</v>
      </c>
    </row>
    <row r="55" spans="2:8" x14ac:dyDescent="0.6">
      <c r="B55" s="26">
        <v>45</v>
      </c>
      <c r="C55" s="50">
        <f>IF((a_superelipse/np_superelipse)+C54&gt;=a_superelipse,a_superelipse,(a_superelipse/np_superelipse)+C54)</f>
        <v>46.666666666666714</v>
      </c>
      <c r="D55" s="50">
        <f>((1-($C55/a_superelipse)^n_superelipse)^(1/n_superelipse))*b_superelipse</f>
        <v>67.326753922712115</v>
      </c>
      <c r="E55" s="50">
        <f t="shared" si="2"/>
        <v>-67.326753922712115</v>
      </c>
      <c r="F55" s="50">
        <f t="shared" si="1"/>
        <v>-46.666666666666714</v>
      </c>
      <c r="G55" s="50">
        <f t="shared" si="0"/>
        <v>67.326753922712115</v>
      </c>
      <c r="H55" s="51">
        <f t="shared" si="0"/>
        <v>-67.326753922712115</v>
      </c>
    </row>
    <row r="56" spans="2:8" x14ac:dyDescent="0.6">
      <c r="B56" s="26">
        <v>46</v>
      </c>
      <c r="C56" s="50">
        <f>IF((a_superelipse/np_superelipse)+C55&gt;=a_superelipse,a_superelipse,(a_superelipse/np_superelipse)+C55)</f>
        <v>47.727272727272776</v>
      </c>
      <c r="D56" s="50">
        <f>((1-($C56/a_superelipse)^n_superelipse)^(1/n_superelipse))*b_superelipse</f>
        <v>67.262383020944654</v>
      </c>
      <c r="E56" s="50">
        <f t="shared" si="2"/>
        <v>-67.262383020944654</v>
      </c>
      <c r="F56" s="50">
        <f t="shared" si="1"/>
        <v>-47.727272727272776</v>
      </c>
      <c r="G56" s="50">
        <f t="shared" si="0"/>
        <v>67.262383020944654</v>
      </c>
      <c r="H56" s="51">
        <f t="shared" si="0"/>
        <v>-67.262383020944654</v>
      </c>
    </row>
    <row r="57" spans="2:8" x14ac:dyDescent="0.6">
      <c r="B57" s="26">
        <v>47</v>
      </c>
      <c r="C57" s="50">
        <f>IF((a_superelipse/np_superelipse)+C56&gt;=a_superelipse,a_superelipse,(a_superelipse/np_superelipse)+C56)</f>
        <v>48.787878787878839</v>
      </c>
      <c r="D57" s="50">
        <f>((1-($C57/a_superelipse)^n_superelipse)^(1/n_superelipse))*b_superelipse</f>
        <v>67.193369654616845</v>
      </c>
      <c r="E57" s="50">
        <f t="shared" si="2"/>
        <v>-67.193369654616845</v>
      </c>
      <c r="F57" s="50">
        <f t="shared" si="1"/>
        <v>-48.787878787878839</v>
      </c>
      <c r="G57" s="50">
        <f t="shared" si="0"/>
        <v>67.193369654616845</v>
      </c>
      <c r="H57" s="51">
        <f t="shared" si="0"/>
        <v>-67.193369654616845</v>
      </c>
    </row>
    <row r="58" spans="2:8" x14ac:dyDescent="0.6">
      <c r="B58" s="26">
        <v>48</v>
      </c>
      <c r="C58" s="50">
        <f>IF((a_superelipse/np_superelipse)+C57&gt;=a_superelipse,a_superelipse,(a_superelipse/np_superelipse)+C57)</f>
        <v>49.848484848484901</v>
      </c>
      <c r="D58" s="50">
        <f>((1-($C58/a_superelipse)^n_superelipse)^(1/n_superelipse))*b_superelipse</f>
        <v>67.119470205373176</v>
      </c>
      <c r="E58" s="50">
        <f t="shared" si="2"/>
        <v>-67.119470205373176</v>
      </c>
      <c r="F58" s="50">
        <f t="shared" si="1"/>
        <v>-49.848484848484901</v>
      </c>
      <c r="G58" s="50">
        <f t="shared" si="0"/>
        <v>67.119470205373176</v>
      </c>
      <c r="H58" s="51">
        <f t="shared" si="0"/>
        <v>-67.119470205373176</v>
      </c>
    </row>
    <row r="59" spans="2:8" x14ac:dyDescent="0.6">
      <c r="B59" s="26">
        <v>49</v>
      </c>
      <c r="C59" s="50">
        <f>IF((a_superelipse/np_superelipse)+C58&gt;=a_superelipse,a_superelipse,(a_superelipse/np_superelipse)+C58)</f>
        <v>50.909090909090963</v>
      </c>
      <c r="D59" s="50">
        <f>((1-($C59/a_superelipse)^n_superelipse)^(1/n_superelipse))*b_superelipse</f>
        <v>67.040430471020628</v>
      </c>
      <c r="E59" s="50">
        <f t="shared" si="2"/>
        <v>-67.040430471020628</v>
      </c>
      <c r="F59" s="50">
        <f t="shared" si="1"/>
        <v>-50.909090909090963</v>
      </c>
      <c r="G59" s="50">
        <f t="shared" si="0"/>
        <v>67.040430471020628</v>
      </c>
      <c r="H59" s="51">
        <f t="shared" si="0"/>
        <v>-67.040430471020628</v>
      </c>
    </row>
    <row r="60" spans="2:8" x14ac:dyDescent="0.6">
      <c r="B60" s="26">
        <v>50</v>
      </c>
      <c r="C60" s="50">
        <f>IF((a_superelipse/np_superelipse)+C59&gt;=a_superelipse,a_superelipse,(a_superelipse/np_superelipse)+C59)</f>
        <v>51.969696969697026</v>
      </c>
      <c r="D60" s="50">
        <f>((1-($C60/a_superelipse)^n_superelipse)^(1/n_superelipse))*b_superelipse</f>
        <v>66.955984970198074</v>
      </c>
      <c r="E60" s="50">
        <f t="shared" si="2"/>
        <v>-66.955984970198074</v>
      </c>
      <c r="F60" s="50">
        <f t="shared" si="1"/>
        <v>-51.969696969697026</v>
      </c>
      <c r="G60" s="50">
        <f t="shared" si="0"/>
        <v>66.955984970198074</v>
      </c>
      <c r="H60" s="51">
        <f t="shared" si="0"/>
        <v>-66.955984970198074</v>
      </c>
    </row>
    <row r="61" spans="2:8" x14ac:dyDescent="0.6">
      <c r="B61" s="26">
        <v>51</v>
      </c>
      <c r="C61" s="50">
        <f>IF((a_superelipse/np_superelipse)+C60&gt;=a_superelipse,a_superelipse,(a_superelipse/np_superelipse)+C60)</f>
        <v>53.030303030303088</v>
      </c>
      <c r="D61" s="50">
        <f>((1-($C61/a_superelipse)^n_superelipse)^(1/n_superelipse))*b_superelipse</f>
        <v>66.865856174895228</v>
      </c>
      <c r="E61" s="50">
        <f t="shared" si="2"/>
        <v>-66.865856174895228</v>
      </c>
      <c r="F61" s="50">
        <f t="shared" si="1"/>
        <v>-53.030303030303088</v>
      </c>
      <c r="G61" s="50">
        <f t="shared" si="0"/>
        <v>66.865856174895228</v>
      </c>
      <c r="H61" s="51">
        <f t="shared" si="0"/>
        <v>-66.865856174895228</v>
      </c>
    </row>
    <row r="62" spans="2:8" x14ac:dyDescent="0.6">
      <c r="B62" s="26">
        <v>52</v>
      </c>
      <c r="C62" s="50">
        <f>IF((a_superelipse/np_superelipse)+C61&gt;=a_superelipse,a_superelipse,(a_superelipse/np_superelipse)+C61)</f>
        <v>54.09090909090915</v>
      </c>
      <c r="D62" s="50">
        <f>((1-($C62/a_superelipse)^n_superelipse)^(1/n_superelipse))*b_superelipse</f>
        <v>66.769753662570395</v>
      </c>
      <c r="E62" s="50">
        <f t="shared" si="2"/>
        <v>-66.769753662570395</v>
      </c>
      <c r="F62" s="50">
        <f t="shared" si="1"/>
        <v>-54.09090909090915</v>
      </c>
      <c r="G62" s="50">
        <f t="shared" si="0"/>
        <v>66.769753662570395</v>
      </c>
      <c r="H62" s="51">
        <f t="shared" si="0"/>
        <v>-66.769753662570395</v>
      </c>
    </row>
    <row r="63" spans="2:8" x14ac:dyDescent="0.6">
      <c r="B63" s="26">
        <v>53</v>
      </c>
      <c r="C63" s="50">
        <f>IF((a_superelipse/np_superelipse)+C62&gt;=a_superelipse,a_superelipse,(a_superelipse/np_superelipse)+C62)</f>
        <v>55.151515151515213</v>
      </c>
      <c r="D63" s="50">
        <f>((1-($C63/a_superelipse)^n_superelipse)^(1/n_superelipse))*b_superelipse</f>
        <v>66.667373178461347</v>
      </c>
      <c r="E63" s="50">
        <f t="shared" si="2"/>
        <v>-66.667373178461347</v>
      </c>
      <c r="F63" s="50">
        <f t="shared" si="1"/>
        <v>-55.151515151515213</v>
      </c>
      <c r="G63" s="50">
        <f t="shared" si="0"/>
        <v>66.667373178461347</v>
      </c>
      <c r="H63" s="51">
        <f t="shared" si="0"/>
        <v>-66.667373178461347</v>
      </c>
    </row>
    <row r="64" spans="2:8" x14ac:dyDescent="0.6">
      <c r="B64" s="26">
        <v>54</v>
      </c>
      <c r="C64" s="50">
        <f>IF((a_superelipse/np_superelipse)+C63&gt;=a_superelipse,a_superelipse,(a_superelipse/np_superelipse)+C63)</f>
        <v>56.212121212121275</v>
      </c>
      <c r="D64" s="50">
        <f>((1-($C64/a_superelipse)^n_superelipse)^(1/n_superelipse))*b_superelipse</f>
        <v>66.558395597336016</v>
      </c>
      <c r="E64" s="50">
        <f t="shared" si="2"/>
        <v>-66.558395597336016</v>
      </c>
      <c r="F64" s="50">
        <f t="shared" si="1"/>
        <v>-56.212121212121275</v>
      </c>
      <c r="G64" s="50">
        <f t="shared" si="0"/>
        <v>66.558395597336016</v>
      </c>
      <c r="H64" s="51">
        <f t="shared" si="0"/>
        <v>-66.558395597336016</v>
      </c>
    </row>
    <row r="65" spans="2:8" x14ac:dyDescent="0.6">
      <c r="B65" s="26">
        <v>55</v>
      </c>
      <c r="C65" s="50">
        <f>IF((a_superelipse/np_superelipse)+C64&gt;=a_superelipse,a_superelipse,(a_superelipse/np_superelipse)+C64)</f>
        <v>57.272727272727337</v>
      </c>
      <c r="D65" s="50">
        <f>((1-($C65/a_superelipse)^n_superelipse)^(1/n_superelipse))*b_superelipse</f>
        <v>66.4424857723522</v>
      </c>
      <c r="E65" s="50">
        <f t="shared" si="2"/>
        <v>-66.4424857723522</v>
      </c>
      <c r="F65" s="50">
        <f t="shared" si="1"/>
        <v>-57.272727272727337</v>
      </c>
      <c r="G65" s="50">
        <f t="shared" si="0"/>
        <v>66.4424857723522</v>
      </c>
      <c r="H65" s="51">
        <f t="shared" si="0"/>
        <v>-66.4424857723522</v>
      </c>
    </row>
    <row r="66" spans="2:8" x14ac:dyDescent="0.6">
      <c r="B66" s="26">
        <v>56</v>
      </c>
      <c r="C66" s="50">
        <f>IF((a_superelipse/np_superelipse)+C65&gt;=a_superelipse,a_superelipse,(a_superelipse/np_superelipse)+C65)</f>
        <v>58.3333333333334</v>
      </c>
      <c r="D66" s="50">
        <f>((1-($C66/a_superelipse)^n_superelipse)^(1/n_superelipse))*b_superelipse</f>
        <v>66.319291256846</v>
      </c>
      <c r="E66" s="50">
        <f t="shared" si="2"/>
        <v>-66.319291256846</v>
      </c>
      <c r="F66" s="50">
        <f t="shared" si="1"/>
        <v>-58.3333333333334</v>
      </c>
      <c r="G66" s="50">
        <f t="shared" si="0"/>
        <v>66.319291256846</v>
      </c>
      <c r="H66" s="51">
        <f t="shared" si="0"/>
        <v>-66.319291256846</v>
      </c>
    </row>
    <row r="67" spans="2:8" x14ac:dyDescent="0.6">
      <c r="B67" s="26">
        <v>57</v>
      </c>
      <c r="C67" s="50">
        <f>IF((a_superelipse/np_superelipse)+C66&gt;=a_superelipse,a_superelipse,(a_superelipse/np_superelipse)+C66)</f>
        <v>59.393939393939462</v>
      </c>
      <c r="D67" s="50">
        <f>((1-($C67/a_superelipse)^n_superelipse)^(1/n_superelipse))*b_superelipse</f>
        <v>66.188440882688127</v>
      </c>
      <c r="E67" s="50">
        <f t="shared" si="2"/>
        <v>-66.188440882688127</v>
      </c>
      <c r="F67" s="50">
        <f t="shared" si="1"/>
        <v>-59.393939393939462</v>
      </c>
      <c r="G67" s="50">
        <f t="shared" si="0"/>
        <v>66.188440882688127</v>
      </c>
      <c r="H67" s="51">
        <f t="shared" si="0"/>
        <v>-66.188440882688127</v>
      </c>
    </row>
    <row r="68" spans="2:8" x14ac:dyDescent="0.6">
      <c r="B68" s="26">
        <v>58</v>
      </c>
      <c r="C68" s="50">
        <f>IF((a_superelipse/np_superelipse)+C67&gt;=a_superelipse,a_superelipse,(a_superelipse/np_superelipse)+C67)</f>
        <v>60.454545454545524</v>
      </c>
      <c r="D68" s="50">
        <f>((1-($C68/a_superelipse)^n_superelipse)^(1/n_superelipse))*b_superelipse</f>
        <v>66.049543176273801</v>
      </c>
      <c r="E68" s="50">
        <f t="shared" si="2"/>
        <v>-66.049543176273801</v>
      </c>
      <c r="F68" s="50">
        <f t="shared" si="1"/>
        <v>-60.454545454545524</v>
      </c>
      <c r="G68" s="50">
        <f t="shared" si="0"/>
        <v>66.049543176273801</v>
      </c>
      <c r="H68" s="51">
        <f t="shared" si="0"/>
        <v>-66.049543176273801</v>
      </c>
    </row>
    <row r="69" spans="2:8" x14ac:dyDescent="0.6">
      <c r="B69" s="26">
        <v>59</v>
      </c>
      <c r="C69" s="50">
        <f>IF((a_superelipse/np_superelipse)+C68&gt;=a_superelipse,a_superelipse,(a_superelipse/np_superelipse)+C68)</f>
        <v>61.515151515151587</v>
      </c>
      <c r="D69" s="50">
        <f>((1-($C69/a_superelipse)^n_superelipse)^(1/n_superelipse))*b_superelipse</f>
        <v>65.902184590157546</v>
      </c>
      <c r="E69" s="50">
        <f t="shared" si="2"/>
        <v>-65.902184590157546</v>
      </c>
      <c r="F69" s="50">
        <f t="shared" si="1"/>
        <v>-61.515151515151587</v>
      </c>
      <c r="G69" s="50">
        <f t="shared" si="0"/>
        <v>65.902184590157546</v>
      </c>
      <c r="H69" s="51">
        <f t="shared" si="0"/>
        <v>-65.902184590157546</v>
      </c>
    </row>
    <row r="70" spans="2:8" x14ac:dyDescent="0.6">
      <c r="B70" s="26">
        <v>60</v>
      </c>
      <c r="C70" s="50">
        <f>IF((a_superelipse/np_superelipse)+C69&gt;=a_superelipse,a_superelipse,(a_superelipse/np_superelipse)+C69)</f>
        <v>62.575757575757649</v>
      </c>
      <c r="D70" s="50">
        <f>((1-($C70/a_superelipse)^n_superelipse)^(1/n_superelipse))*b_superelipse</f>
        <v>65.745927524709984</v>
      </c>
      <c r="E70" s="50">
        <f t="shared" si="2"/>
        <v>-65.745927524709984</v>
      </c>
      <c r="F70" s="50">
        <f t="shared" si="1"/>
        <v>-62.575757575757649</v>
      </c>
      <c r="G70" s="50">
        <f t="shared" si="0"/>
        <v>65.745927524709984</v>
      </c>
      <c r="H70" s="51">
        <f t="shared" si="0"/>
        <v>-65.745927524709984</v>
      </c>
    </row>
    <row r="71" spans="2:8" x14ac:dyDescent="0.6">
      <c r="B71" s="26">
        <v>61</v>
      </c>
      <c r="C71" s="50">
        <f>IF((a_superelipse/np_superelipse)+C70&gt;=a_superelipse,a_superelipse,(a_superelipse/np_superelipse)+C70)</f>
        <v>63.636363636363711</v>
      </c>
      <c r="D71" s="50">
        <f>((1-($C71/a_superelipse)^n_superelipse)^(1/n_superelipse))*b_superelipse</f>
        <v>65.580308109830113</v>
      </c>
      <c r="E71" s="50">
        <f t="shared" si="2"/>
        <v>-65.580308109830113</v>
      </c>
      <c r="F71" s="50">
        <f t="shared" si="1"/>
        <v>-63.636363636363711</v>
      </c>
      <c r="G71" s="50">
        <f t="shared" si="0"/>
        <v>65.580308109830113</v>
      </c>
      <c r="H71" s="51">
        <f t="shared" si="0"/>
        <v>-65.580308109830113</v>
      </c>
    </row>
    <row r="72" spans="2:8" x14ac:dyDescent="0.6">
      <c r="B72" s="26">
        <v>62</v>
      </c>
      <c r="C72" s="50">
        <f>IF((a_superelipse/np_superelipse)+C71&gt;=a_superelipse,a_superelipse,(a_superelipse/np_superelipse)+C71)</f>
        <v>64.696969696969774</v>
      </c>
      <c r="D72" s="50">
        <f>((1-($C72/a_superelipse)^n_superelipse)^(1/n_superelipse))*b_superelipse</f>
        <v>65.404833711533058</v>
      </c>
      <c r="E72" s="50">
        <f t="shared" si="2"/>
        <v>-65.404833711533058</v>
      </c>
      <c r="F72" s="50">
        <f t="shared" si="1"/>
        <v>-64.696969696969774</v>
      </c>
      <c r="G72" s="50">
        <f t="shared" si="0"/>
        <v>65.404833711533058</v>
      </c>
      <c r="H72" s="51">
        <f t="shared" si="0"/>
        <v>-65.404833711533058</v>
      </c>
    </row>
    <row r="73" spans="2:8" x14ac:dyDescent="0.6">
      <c r="B73" s="26">
        <v>63</v>
      </c>
      <c r="C73" s="50">
        <f>IF((a_superelipse/np_superelipse)+C72&gt;=a_superelipse,a_superelipse,(a_superelipse/np_superelipse)+C72)</f>
        <v>65.757575757575836</v>
      </c>
      <c r="D73" s="50">
        <f>((1-($C73/a_superelipse)^n_superelipse)^(1/n_superelipse))*b_superelipse</f>
        <v>65.218980121949471</v>
      </c>
      <c r="E73" s="50">
        <f t="shared" si="2"/>
        <v>-65.218980121949471</v>
      </c>
      <c r="F73" s="50">
        <f t="shared" si="1"/>
        <v>-65.757575757575836</v>
      </c>
      <c r="G73" s="50">
        <f t="shared" si="0"/>
        <v>65.218980121949471</v>
      </c>
      <c r="H73" s="51">
        <f t="shared" si="0"/>
        <v>-65.218980121949471</v>
      </c>
    </row>
    <row r="74" spans="2:8" x14ac:dyDescent="0.6">
      <c r="B74" s="26">
        <v>64</v>
      </c>
      <c r="C74" s="50">
        <f>IF((a_superelipse/np_superelipse)+C73&gt;=a_superelipse,a_superelipse,(a_superelipse/np_superelipse)+C73)</f>
        <v>66.818181818181898</v>
      </c>
      <c r="D74" s="50">
        <f>((1-($C74/a_superelipse)^n_superelipse)^(1/n_superelipse))*b_superelipse</f>
        <v>65.022188383662979</v>
      </c>
      <c r="E74" s="50">
        <f t="shared" si="2"/>
        <v>-65.022188383662979</v>
      </c>
      <c r="F74" s="50">
        <f t="shared" si="1"/>
        <v>-66.818181818181898</v>
      </c>
      <c r="G74" s="50">
        <f t="shared" si="0"/>
        <v>65.022188383662979</v>
      </c>
      <c r="H74" s="51">
        <f t="shared" si="0"/>
        <v>-65.022188383662979</v>
      </c>
    </row>
    <row r="75" spans="2:8" x14ac:dyDescent="0.6">
      <c r="B75" s="26">
        <v>65</v>
      </c>
      <c r="C75" s="50">
        <f>IF((a_superelipse/np_superelipse)+C74&gt;=a_superelipse,a_superelipse,(a_superelipse/np_superelipse)+C74)</f>
        <v>67.878787878787961</v>
      </c>
      <c r="D75" s="50">
        <f>((1-($C75/a_superelipse)^n_superelipse)^(1/n_superelipse))*b_superelipse</f>
        <v>64.813861190050872</v>
      </c>
      <c r="E75" s="50">
        <f t="shared" si="2"/>
        <v>-64.813861190050872</v>
      </c>
      <c r="F75" s="50">
        <f t="shared" si="1"/>
        <v>-67.878787878787961</v>
      </c>
      <c r="G75" s="50">
        <f t="shared" si="0"/>
        <v>64.813861190050872</v>
      </c>
      <c r="H75" s="51">
        <f t="shared" si="0"/>
        <v>-64.813861190050872</v>
      </c>
    </row>
    <row r="76" spans="2:8" x14ac:dyDescent="0.6">
      <c r="B76" s="26">
        <v>66</v>
      </c>
      <c r="C76" s="50">
        <f>IF((a_superelipse/np_superelipse)+C75&gt;=a_superelipse,a_superelipse,(a_superelipse/np_superelipse)+C75)</f>
        <v>68.939393939394023</v>
      </c>
      <c r="D76" s="50">
        <f>((1-($C76/a_superelipse)^n_superelipse)^(1/n_superelipse))*b_superelipse</f>
        <v>64.593358791965613</v>
      </c>
      <c r="E76" s="50">
        <f t="shared" ref="E76:E110" si="3">-D76</f>
        <v>-64.593358791965613</v>
      </c>
      <c r="F76" s="50">
        <f t="shared" si="1"/>
        <v>-68.939393939394023</v>
      </c>
      <c r="G76" s="50">
        <f t="shared" ref="G76:H110" si="4">D76</f>
        <v>64.593358791965613</v>
      </c>
      <c r="H76" s="51">
        <f t="shared" si="4"/>
        <v>-64.593358791965613</v>
      </c>
    </row>
    <row r="77" spans="2:8" x14ac:dyDescent="0.6">
      <c r="B77" s="26">
        <v>67</v>
      </c>
      <c r="C77" s="50">
        <f>IF((a_superelipse/np_superelipse)+C76&gt;=a_superelipse,a_superelipse,(a_superelipse/np_superelipse)+C76)</f>
        <v>70.000000000000085</v>
      </c>
      <c r="D77" s="50">
        <f>((1-($C77/a_superelipse)^n_superelipse)^(1/n_superelipse))*b_superelipse</f>
        <v>64.359994327163335</v>
      </c>
      <c r="E77" s="50">
        <f t="shared" si="3"/>
        <v>-64.359994327163335</v>
      </c>
      <c r="F77" s="50">
        <f t="shared" ref="F77:F110" si="5">(F76-(C77-C76))</f>
        <v>-70.000000000000085</v>
      </c>
      <c r="G77" s="50">
        <f t="shared" si="4"/>
        <v>64.359994327163335</v>
      </c>
      <c r="H77" s="51">
        <f t="shared" si="4"/>
        <v>-64.359994327163335</v>
      </c>
    </row>
    <row r="78" spans="2:8" x14ac:dyDescent="0.6">
      <c r="B78" s="26">
        <v>68</v>
      </c>
      <c r="C78" s="50">
        <f>IF((a_superelipse/np_superelipse)+C77&gt;=a_superelipse,a_superelipse,(a_superelipse/np_superelipse)+C77)</f>
        <v>71.060606060606148</v>
      </c>
      <c r="D78" s="50">
        <f>((1-($C78/a_superelipse)^n_superelipse)^(1/n_superelipse))*b_superelipse</f>
        <v>64.113028471653465</v>
      </c>
      <c r="E78" s="50">
        <f t="shared" si="3"/>
        <v>-64.113028471653465</v>
      </c>
      <c r="F78" s="50">
        <f t="shared" si="5"/>
        <v>-71.060606060606148</v>
      </c>
      <c r="G78" s="50">
        <f t="shared" si="4"/>
        <v>64.113028471653465</v>
      </c>
      <c r="H78" s="51">
        <f t="shared" si="4"/>
        <v>-64.113028471653465</v>
      </c>
    </row>
    <row r="79" spans="2:8" x14ac:dyDescent="0.6">
      <c r="B79" s="26">
        <v>69</v>
      </c>
      <c r="C79" s="50">
        <f>IF((a_superelipse/np_superelipse)+C78&gt;=a_superelipse,a_superelipse,(a_superelipse/np_superelipse)+C78)</f>
        <v>72.12121212121221</v>
      </c>
      <c r="D79" s="50">
        <f>((1-($C79/a_superelipse)^n_superelipse)^(1/n_superelipse))*b_superelipse</f>
        <v>63.851663290700273</v>
      </c>
      <c r="E79" s="50">
        <f t="shared" si="3"/>
        <v>-63.851663290700273</v>
      </c>
      <c r="F79" s="50">
        <f t="shared" si="5"/>
        <v>-72.12121212121221</v>
      </c>
      <c r="G79" s="50">
        <f t="shared" si="4"/>
        <v>63.851663290700273</v>
      </c>
      <c r="H79" s="51">
        <f t="shared" si="4"/>
        <v>-63.851663290700273</v>
      </c>
    </row>
    <row r="80" spans="2:8" x14ac:dyDescent="0.6">
      <c r="B80" s="26">
        <v>70</v>
      </c>
      <c r="C80" s="50">
        <f>IF((a_superelipse/np_superelipse)+C79&gt;=a_superelipse,a_superelipse,(a_superelipse/np_superelipse)+C79)</f>
        <v>73.181818181818272</v>
      </c>
      <c r="D80" s="50">
        <f>((1-($C80/a_superelipse)^n_superelipse)^(1/n_superelipse))*b_superelipse</f>
        <v>63.575035140350359</v>
      </c>
      <c r="E80" s="50">
        <f t="shared" si="3"/>
        <v>-63.575035140350359</v>
      </c>
      <c r="F80" s="50">
        <f t="shared" si="5"/>
        <v>-73.181818181818272</v>
      </c>
      <c r="G80" s="50">
        <f t="shared" si="4"/>
        <v>63.575035140350359</v>
      </c>
      <c r="H80" s="51">
        <f t="shared" si="4"/>
        <v>-63.575035140350359</v>
      </c>
    </row>
    <row r="81" spans="2:8" x14ac:dyDescent="0.6">
      <c r="B81" s="26">
        <v>71</v>
      </c>
      <c r="C81" s="50">
        <f>IF((a_superelipse/np_superelipse)+C80&gt;=a_superelipse,a_superelipse,(a_superelipse/np_superelipse)+C80)</f>
        <v>74.242424242424335</v>
      </c>
      <c r="D81" s="50">
        <f>((1-($C81/a_superelipse)^n_superelipse)^(1/n_superelipse))*b_superelipse</f>
        <v>63.282206436495343</v>
      </c>
      <c r="E81" s="50">
        <f t="shared" si="3"/>
        <v>-63.282206436495343</v>
      </c>
      <c r="F81" s="50">
        <f t="shared" si="5"/>
        <v>-74.242424242424335</v>
      </c>
      <c r="G81" s="50">
        <f t="shared" si="4"/>
        <v>63.282206436495343</v>
      </c>
      <c r="H81" s="51">
        <f t="shared" si="4"/>
        <v>-63.282206436495343</v>
      </c>
    </row>
    <row r="82" spans="2:8" x14ac:dyDescent="0.6">
      <c r="B82" s="26">
        <v>72</v>
      </c>
      <c r="C82" s="50">
        <f>IF((a_superelipse/np_superelipse)+C81&gt;=a_superelipse,a_superelipse,(a_superelipse/np_superelipse)+C81)</f>
        <v>75.303030303030397</v>
      </c>
      <c r="D82" s="50">
        <f>((1-($C82/a_superelipse)^n_superelipse)^(1/n_superelipse))*b_superelipse</f>
        <v>62.972156065465462</v>
      </c>
      <c r="E82" s="50">
        <f t="shared" si="3"/>
        <v>-62.972156065465462</v>
      </c>
      <c r="F82" s="50">
        <f t="shared" si="5"/>
        <v>-75.303030303030397</v>
      </c>
      <c r="G82" s="50">
        <f t="shared" si="4"/>
        <v>62.972156065465462</v>
      </c>
      <c r="H82" s="51">
        <f t="shared" si="4"/>
        <v>-62.972156065465462</v>
      </c>
    </row>
    <row r="83" spans="2:8" x14ac:dyDescent="0.6">
      <c r="B83" s="26">
        <v>73</v>
      </c>
      <c r="C83" s="50">
        <f>IF((a_superelipse/np_superelipse)+C82&gt;=a_superelipse,a_superelipse,(a_superelipse/np_superelipse)+C82)</f>
        <v>76.363636363636459</v>
      </c>
      <c r="D83" s="50">
        <f>((1-($C83/a_superelipse)^n_superelipse)^(1/n_superelipse))*b_superelipse</f>
        <v>62.643768155095721</v>
      </c>
      <c r="E83" s="50">
        <f t="shared" si="3"/>
        <v>-62.643768155095721</v>
      </c>
      <c r="F83" s="50">
        <f t="shared" si="5"/>
        <v>-76.363636363636459</v>
      </c>
      <c r="G83" s="50">
        <f t="shared" si="4"/>
        <v>62.643768155095721</v>
      </c>
      <c r="H83" s="51">
        <f t="shared" si="4"/>
        <v>-62.643768155095721</v>
      </c>
    </row>
    <row r="84" spans="2:8" x14ac:dyDescent="0.6">
      <c r="B84" s="26">
        <v>74</v>
      </c>
      <c r="C84" s="50">
        <f>IF((a_superelipse/np_superelipse)+C83&gt;=a_superelipse,a_superelipse,(a_superelipse/np_superelipse)+C83)</f>
        <v>77.424242424242522</v>
      </c>
      <c r="D84" s="50">
        <f>((1-($C84/a_superelipse)^n_superelipse)^(1/n_superelipse))*b_superelipse</f>
        <v>62.295818854158291</v>
      </c>
      <c r="E84" s="50">
        <f t="shared" si="3"/>
        <v>-62.295818854158291</v>
      </c>
      <c r="F84" s="50">
        <f t="shared" si="5"/>
        <v>-77.424242424242522</v>
      </c>
      <c r="G84" s="50">
        <f t="shared" si="4"/>
        <v>62.295818854158291</v>
      </c>
      <c r="H84" s="51">
        <f t="shared" si="4"/>
        <v>-62.295818854158291</v>
      </c>
    </row>
    <row r="85" spans="2:8" x14ac:dyDescent="0.6">
      <c r="B85" s="26">
        <v>75</v>
      </c>
      <c r="C85" s="50">
        <f>IF((a_superelipse/np_superelipse)+C84&gt;=a_superelipse,a_superelipse,(a_superelipse/np_superelipse)+C84)</f>
        <v>78.484848484848584</v>
      </c>
      <c r="D85" s="50">
        <f>((1-($C85/a_superelipse)^n_superelipse)^(1/n_superelipse))*b_superelipse</f>
        <v>61.926960675558128</v>
      </c>
      <c r="E85" s="50">
        <f t="shared" si="3"/>
        <v>-61.926960675558128</v>
      </c>
      <c r="F85" s="50">
        <f t="shared" si="5"/>
        <v>-78.484848484848584</v>
      </c>
      <c r="G85" s="50">
        <f t="shared" si="4"/>
        <v>61.926960675558128</v>
      </c>
      <c r="H85" s="51">
        <f t="shared" si="4"/>
        <v>-61.926960675558128</v>
      </c>
    </row>
    <row r="86" spans="2:8" x14ac:dyDescent="0.6">
      <c r="B86" s="26">
        <v>76</v>
      </c>
      <c r="C86" s="50">
        <f>IF((a_superelipse/np_superelipse)+C85&gt;=a_superelipse,a_superelipse,(a_superelipse/np_superelipse)+C85)</f>
        <v>79.545454545454646</v>
      </c>
      <c r="D86" s="50">
        <f>((1-($C86/a_superelipse)^n_superelipse)^(1/n_superelipse))*b_superelipse</f>
        <v>61.535703837129049</v>
      </c>
      <c r="E86" s="50">
        <f t="shared" si="3"/>
        <v>-61.535703837129049</v>
      </c>
      <c r="F86" s="50">
        <f t="shared" si="5"/>
        <v>-79.545454545454646</v>
      </c>
      <c r="G86" s="50">
        <f t="shared" si="4"/>
        <v>61.535703837129049</v>
      </c>
      <c r="H86" s="51">
        <f t="shared" si="4"/>
        <v>-61.535703837129049</v>
      </c>
    </row>
    <row r="87" spans="2:8" x14ac:dyDescent="0.6">
      <c r="B87" s="26">
        <v>77</v>
      </c>
      <c r="C87" s="50">
        <f>IF((a_superelipse/np_superelipse)+C86&gt;=a_superelipse,a_superelipse,(a_superelipse/np_superelipse)+C86)</f>
        <v>80.606060606060709</v>
      </c>
      <c r="D87" s="50">
        <f>((1-($C87/a_superelipse)^n_superelipse)^(1/n_superelipse))*b_superelipse</f>
        <v>61.120393872488648</v>
      </c>
      <c r="E87" s="50">
        <f t="shared" si="3"/>
        <v>-61.120393872488648</v>
      </c>
      <c r="F87" s="50">
        <f t="shared" si="5"/>
        <v>-80.606060606060709</v>
      </c>
      <c r="G87" s="50">
        <f t="shared" si="4"/>
        <v>61.120393872488648</v>
      </c>
      <c r="H87" s="51">
        <f t="shared" si="4"/>
        <v>-61.120393872488648</v>
      </c>
    </row>
    <row r="88" spans="2:8" x14ac:dyDescent="0.6">
      <c r="B88" s="26">
        <v>78</v>
      </c>
      <c r="C88" s="50">
        <f>IF((a_superelipse/np_superelipse)+C87&gt;=a_superelipse,a_superelipse,(a_superelipse/np_superelipse)+C87)</f>
        <v>81.666666666666771</v>
      </c>
      <c r="D88" s="50">
        <f>((1-($C88/a_superelipse)^n_superelipse)^(1/n_superelipse))*b_superelipse</f>
        <v>60.679184567819867</v>
      </c>
      <c r="E88" s="50">
        <f t="shared" si="3"/>
        <v>-60.679184567819867</v>
      </c>
      <c r="F88" s="50">
        <f t="shared" si="5"/>
        <v>-81.666666666666771</v>
      </c>
      <c r="G88" s="50">
        <f t="shared" si="4"/>
        <v>60.679184567819867</v>
      </c>
      <c r="H88" s="51">
        <f t="shared" si="4"/>
        <v>-60.679184567819867</v>
      </c>
    </row>
    <row r="89" spans="2:8" x14ac:dyDescent="0.6">
      <c r="B89" s="26">
        <v>79</v>
      </c>
      <c r="C89" s="50">
        <f>IF((a_superelipse/np_superelipse)+C88&gt;=a_superelipse,a_superelipse,(a_superelipse/np_superelipse)+C88)</f>
        <v>82.727272727272833</v>
      </c>
      <c r="D89" s="50">
        <f>((1-($C89/a_superelipse)^n_superelipse)^(1/n_superelipse))*b_superelipse</f>
        <v>60.21000498631404</v>
      </c>
      <c r="E89" s="50">
        <f t="shared" si="3"/>
        <v>-60.21000498631404</v>
      </c>
      <c r="F89" s="50">
        <f t="shared" si="5"/>
        <v>-82.727272727272833</v>
      </c>
      <c r="G89" s="50">
        <f t="shared" si="4"/>
        <v>60.21000498631404</v>
      </c>
      <c r="H89" s="51">
        <f t="shared" si="4"/>
        <v>-60.21000498631404</v>
      </c>
    </row>
    <row r="90" spans="2:8" x14ac:dyDescent="0.6">
      <c r="B90" s="26">
        <v>80</v>
      </c>
      <c r="C90" s="50">
        <f>IF((a_superelipse/np_superelipse)+C89&gt;=a_superelipse,a_superelipse,(a_superelipse/np_superelipse)+C89)</f>
        <v>83.787878787878896</v>
      </c>
      <c r="D90" s="50">
        <f>((1-($C90/a_superelipse)^n_superelipse)^(1/n_superelipse))*b_superelipse</f>
        <v>59.710518937437598</v>
      </c>
      <c r="E90" s="50">
        <f t="shared" si="3"/>
        <v>-59.710518937437598</v>
      </c>
      <c r="F90" s="50">
        <f t="shared" si="5"/>
        <v>-83.787878787878896</v>
      </c>
      <c r="G90" s="50">
        <f t="shared" si="4"/>
        <v>59.710518937437598</v>
      </c>
      <c r="H90" s="51">
        <f t="shared" si="4"/>
        <v>-59.710518937437598</v>
      </c>
    </row>
    <row r="91" spans="2:8" x14ac:dyDescent="0.6">
      <c r="B91" s="26">
        <v>81</v>
      </c>
      <c r="C91" s="50">
        <f>IF((a_superelipse/np_superelipse)+C90&gt;=a_superelipse,a_superelipse,(a_superelipse/np_superelipse)+C90)</f>
        <v>84.848484848484958</v>
      </c>
      <c r="D91" s="50">
        <f>((1-($C91/a_superelipse)^n_superelipse)^(1/n_superelipse))*b_superelipse</f>
        <v>59.178074683926326</v>
      </c>
      <c r="E91" s="50">
        <f t="shared" si="3"/>
        <v>-59.178074683926326</v>
      </c>
      <c r="F91" s="50">
        <f t="shared" si="5"/>
        <v>-84.848484848484958</v>
      </c>
      <c r="G91" s="50">
        <f t="shared" si="4"/>
        <v>59.178074683926326</v>
      </c>
      <c r="H91" s="51">
        <f t="shared" si="4"/>
        <v>-59.178074683926326</v>
      </c>
    </row>
    <row r="92" spans="2:8" x14ac:dyDescent="0.6">
      <c r="B92" s="26">
        <v>82</v>
      </c>
      <c r="C92" s="50">
        <f>IF((a_superelipse/np_superelipse)+C91&gt;=a_superelipse,a_superelipse,(a_superelipse/np_superelipse)+C91)</f>
        <v>85.90909090909102</v>
      </c>
      <c r="D92" s="50">
        <f>((1-($C92/a_superelipse)^n_superelipse)^(1/n_superelipse))*b_superelipse</f>
        <v>58.609641880407274</v>
      </c>
      <c r="E92" s="50">
        <f t="shared" si="3"/>
        <v>-58.609641880407274</v>
      </c>
      <c r="F92" s="50">
        <f t="shared" si="5"/>
        <v>-85.90909090909102</v>
      </c>
      <c r="G92" s="50">
        <f t="shared" si="4"/>
        <v>58.609641880407274</v>
      </c>
      <c r="H92" s="51">
        <f t="shared" si="4"/>
        <v>-58.609641880407274</v>
      </c>
    </row>
    <row r="93" spans="2:8" x14ac:dyDescent="0.6">
      <c r="B93" s="26">
        <v>83</v>
      </c>
      <c r="C93" s="50">
        <f>IF((a_superelipse/np_superelipse)+C92&gt;=a_superelipse,a_superelipse,(a_superelipse/np_superelipse)+C92)</f>
        <v>86.969696969697083</v>
      </c>
      <c r="D93" s="50">
        <f>((1-($C93/a_superelipse)^n_superelipse)^(1/n_superelipse))*b_superelipse</f>
        <v>58.001731587171264</v>
      </c>
      <c r="E93" s="50">
        <f t="shared" si="3"/>
        <v>-58.001731587171264</v>
      </c>
      <c r="F93" s="50">
        <f t="shared" si="5"/>
        <v>-86.969696969697083</v>
      </c>
      <c r="G93" s="50">
        <f t="shared" si="4"/>
        <v>58.001731587171264</v>
      </c>
      <c r="H93" s="51">
        <f t="shared" si="4"/>
        <v>-58.001731587171264</v>
      </c>
    </row>
    <row r="94" spans="2:8" x14ac:dyDescent="0.6">
      <c r="B94" s="26">
        <v>84</v>
      </c>
      <c r="C94" s="50">
        <f>IF((a_superelipse/np_superelipse)+C93&gt;=a_superelipse,a_superelipse,(a_superelipse/np_superelipse)+C93)</f>
        <v>88.030303030303145</v>
      </c>
      <c r="D94" s="50">
        <f>((1-($C94/a_superelipse)^n_superelipse)^(1/n_superelipse))*b_superelipse</f>
        <v>57.3502935157141</v>
      </c>
      <c r="E94" s="50">
        <f t="shared" si="3"/>
        <v>-57.3502935157141</v>
      </c>
      <c r="F94" s="50">
        <f t="shared" si="5"/>
        <v>-88.030303030303145</v>
      </c>
      <c r="G94" s="50">
        <f t="shared" si="4"/>
        <v>57.3502935157141</v>
      </c>
      <c r="H94" s="51">
        <f t="shared" si="4"/>
        <v>-57.3502935157141</v>
      </c>
    </row>
    <row r="95" spans="2:8" x14ac:dyDescent="0.6">
      <c r="B95" s="26">
        <v>85</v>
      </c>
      <c r="C95" s="50">
        <f>IF((a_superelipse/np_superelipse)+C94&gt;=a_superelipse,a_superelipse,(a_superelipse/np_superelipse)+C94)</f>
        <v>89.090909090909207</v>
      </c>
      <c r="D95" s="50">
        <f>((1-($C95/a_superelipse)^n_superelipse)^(1/n_superelipse))*b_superelipse</f>
        <v>56.65058213830519</v>
      </c>
      <c r="E95" s="50">
        <f t="shared" si="3"/>
        <v>-56.65058213830519</v>
      </c>
      <c r="F95" s="50">
        <f t="shared" si="5"/>
        <v>-89.090909090909207</v>
      </c>
      <c r="G95" s="50">
        <f t="shared" si="4"/>
        <v>56.65058213830519</v>
      </c>
      <c r="H95" s="51">
        <f t="shared" si="4"/>
        <v>-56.65058213830519</v>
      </c>
    </row>
    <row r="96" spans="2:8" x14ac:dyDescent="0.6">
      <c r="B96" s="26">
        <v>86</v>
      </c>
      <c r="C96" s="50">
        <f>IF((a_superelipse/np_superelipse)+C95&gt;=a_superelipse,a_superelipse,(a_superelipse/np_superelipse)+C95)</f>
        <v>90.15151515151527</v>
      </c>
      <c r="D96" s="50">
        <f>((1-($C96/a_superelipse)^n_superelipse)^(1/n_superelipse))*b_superelipse</f>
        <v>55.896979429943116</v>
      </c>
      <c r="E96" s="50">
        <f t="shared" si="3"/>
        <v>-55.896979429943116</v>
      </c>
      <c r="F96" s="50">
        <f t="shared" si="5"/>
        <v>-90.15151515151527</v>
      </c>
      <c r="G96" s="50">
        <f t="shared" si="4"/>
        <v>55.896979429943116</v>
      </c>
      <c r="H96" s="51">
        <f t="shared" si="4"/>
        <v>-55.896979429943116</v>
      </c>
    </row>
    <row r="97" spans="2:8" x14ac:dyDescent="0.6">
      <c r="B97" s="26">
        <v>87</v>
      </c>
      <c r="C97" s="50">
        <f>IF((a_superelipse/np_superelipse)+C96&gt;=a_superelipse,a_superelipse,(a_superelipse/np_superelipse)+C96)</f>
        <v>91.212121212121332</v>
      </c>
      <c r="D97" s="50">
        <f>((1-($C97/a_superelipse)^n_superelipse)^(1/n_superelipse))*b_superelipse</f>
        <v>55.082755945084145</v>
      </c>
      <c r="E97" s="50">
        <f t="shared" si="3"/>
        <v>-55.082755945084145</v>
      </c>
      <c r="F97" s="50">
        <f t="shared" si="5"/>
        <v>-91.212121212121332</v>
      </c>
      <c r="G97" s="50">
        <f t="shared" si="4"/>
        <v>55.082755945084145</v>
      </c>
      <c r="H97" s="51">
        <f t="shared" si="4"/>
        <v>-55.082755945084145</v>
      </c>
    </row>
    <row r="98" spans="2:8" x14ac:dyDescent="0.6">
      <c r="B98" s="26">
        <v>88</v>
      </c>
      <c r="C98" s="50">
        <f>IF((a_superelipse/np_superelipse)+C97&gt;=a_superelipse,a_superelipse,(a_superelipse/np_superelipse)+C97)</f>
        <v>92.272727272727394</v>
      </c>
      <c r="D98" s="50">
        <f>((1-($C98/a_superelipse)^n_superelipse)^(1/n_superelipse))*b_superelipse</f>
        <v>54.199742132189563</v>
      </c>
      <c r="E98" s="50">
        <f t="shared" si="3"/>
        <v>-54.199742132189563</v>
      </c>
      <c r="F98" s="50">
        <f t="shared" si="5"/>
        <v>-92.272727272727394</v>
      </c>
      <c r="G98" s="50">
        <f t="shared" si="4"/>
        <v>54.199742132189563</v>
      </c>
      <c r="H98" s="51">
        <f t="shared" si="4"/>
        <v>-54.199742132189563</v>
      </c>
    </row>
    <row r="99" spans="2:8" x14ac:dyDescent="0.6">
      <c r="B99" s="26">
        <v>89</v>
      </c>
      <c r="C99" s="50">
        <f>IF((a_superelipse/np_superelipse)+C98&gt;=a_superelipse,a_superelipse,(a_superelipse/np_superelipse)+C98)</f>
        <v>93.333333333333456</v>
      </c>
      <c r="D99" s="50">
        <f>((1-($C99/a_superelipse)^n_superelipse)^(1/n_superelipse))*b_superelipse</f>
        <v>53.237865434620829</v>
      </c>
      <c r="E99" s="50">
        <f t="shared" si="3"/>
        <v>-53.237865434620829</v>
      </c>
      <c r="F99" s="50">
        <f t="shared" si="5"/>
        <v>-93.333333333333456</v>
      </c>
      <c r="G99" s="50">
        <f t="shared" si="4"/>
        <v>53.237865434620829</v>
      </c>
      <c r="H99" s="51">
        <f t="shared" si="4"/>
        <v>-53.237865434620829</v>
      </c>
    </row>
    <row r="100" spans="2:8" x14ac:dyDescent="0.6">
      <c r="B100" s="26">
        <v>90</v>
      </c>
      <c r="C100" s="50">
        <f>IF((a_superelipse/np_superelipse)+C99&gt;=a_superelipse,a_superelipse,(a_superelipse/np_superelipse)+C99)</f>
        <v>94.393939393939519</v>
      </c>
      <c r="D100" s="50">
        <f>((1-($C100/a_superelipse)^n_superelipse)^(1/n_superelipse))*b_superelipse</f>
        <v>52.184480390139321</v>
      </c>
      <c r="E100" s="50">
        <f t="shared" si="3"/>
        <v>-52.184480390139321</v>
      </c>
      <c r="F100" s="50">
        <f t="shared" si="5"/>
        <v>-94.393939393939519</v>
      </c>
      <c r="G100" s="50">
        <f t="shared" si="4"/>
        <v>52.184480390139321</v>
      </c>
      <c r="H100" s="51">
        <f t="shared" si="4"/>
        <v>-52.184480390139321</v>
      </c>
    </row>
    <row r="101" spans="2:8" x14ac:dyDescent="0.6">
      <c r="B101" s="26">
        <v>91</v>
      </c>
      <c r="C101" s="50">
        <f>IF((a_superelipse/np_superelipse)+C100&gt;=a_superelipse,a_superelipse,(a_superelipse/np_superelipse)+C100)</f>
        <v>95.454545454545581</v>
      </c>
      <c r="D101" s="50">
        <f>((1-($C101/a_superelipse)^n_superelipse)^(1/n_superelipse))*b_superelipse</f>
        <v>51.023367659421019</v>
      </c>
      <c r="E101" s="50">
        <f t="shared" si="3"/>
        <v>-51.023367659421019</v>
      </c>
      <c r="F101" s="50">
        <f t="shared" si="5"/>
        <v>-95.454545454545581</v>
      </c>
      <c r="G101" s="50">
        <f t="shared" si="4"/>
        <v>51.023367659421019</v>
      </c>
      <c r="H101" s="51">
        <f t="shared" si="4"/>
        <v>-51.023367659421019</v>
      </c>
    </row>
    <row r="102" spans="2:8" x14ac:dyDescent="0.6">
      <c r="B102" s="26">
        <v>92</v>
      </c>
      <c r="C102" s="50">
        <f>IF((a_superelipse/np_superelipse)+C101&gt;=a_superelipse,a_superelipse,(a_superelipse/np_superelipse)+C101)</f>
        <v>96.515151515151643</v>
      </c>
      <c r="D102" s="50">
        <f>((1-($C102/a_superelipse)^n_superelipse)^(1/n_superelipse))*b_superelipse</f>
        <v>49.733180215794427</v>
      </c>
      <c r="E102" s="50">
        <f t="shared" si="3"/>
        <v>-49.733180215794427</v>
      </c>
      <c r="F102" s="50">
        <f t="shared" si="5"/>
        <v>-96.515151515151643</v>
      </c>
      <c r="G102" s="50">
        <f t="shared" si="4"/>
        <v>49.733180215794427</v>
      </c>
      <c r="H102" s="51">
        <f t="shared" si="4"/>
        <v>-49.733180215794427</v>
      </c>
    </row>
    <row r="103" spans="2:8" x14ac:dyDescent="0.6">
      <c r="B103" s="26">
        <v>93</v>
      </c>
      <c r="C103" s="50">
        <f>IF((a_superelipse/np_superelipse)+C102&gt;=a_superelipse,a_superelipse,(a_superelipse/np_superelipse)+C102)</f>
        <v>97.575757575757706</v>
      </c>
      <c r="D103" s="50">
        <f>((1-($C103/a_superelipse)^n_superelipse)^(1/n_superelipse))*b_superelipse</f>
        <v>48.284916983934664</v>
      </c>
      <c r="E103" s="50">
        <f t="shared" si="3"/>
        <v>-48.284916983934664</v>
      </c>
      <c r="F103" s="50">
        <f t="shared" si="5"/>
        <v>-97.575757575757706</v>
      </c>
      <c r="G103" s="50">
        <f t="shared" si="4"/>
        <v>48.284916983934664</v>
      </c>
      <c r="H103" s="51">
        <f t="shared" si="4"/>
        <v>-48.284916983934664</v>
      </c>
    </row>
    <row r="104" spans="2:8" x14ac:dyDescent="0.6">
      <c r="B104" s="26">
        <v>94</v>
      </c>
      <c r="C104" s="50">
        <f>IF((a_superelipse/np_superelipse)+C103&gt;=a_superelipse,a_superelipse,(a_superelipse/np_superelipse)+C103)</f>
        <v>98.636363636363768</v>
      </c>
      <c r="D104" s="50">
        <f>((1-($C104/a_superelipse)^n_superelipse)^(1/n_superelipse))*b_superelipse</f>
        <v>46.637571783346246</v>
      </c>
      <c r="E104" s="50">
        <f t="shared" si="3"/>
        <v>-46.637571783346246</v>
      </c>
      <c r="F104" s="50">
        <f t="shared" si="5"/>
        <v>-98.636363636363768</v>
      </c>
      <c r="G104" s="50">
        <f t="shared" si="4"/>
        <v>46.637571783346246</v>
      </c>
      <c r="H104" s="51">
        <f t="shared" si="4"/>
        <v>-46.637571783346246</v>
      </c>
    </row>
    <row r="105" spans="2:8" x14ac:dyDescent="0.6">
      <c r="B105" s="26">
        <v>95</v>
      </c>
      <c r="C105" s="50">
        <f>IF((a_superelipse/np_superelipse)+C104&gt;=a_superelipse,a_superelipse,(a_superelipse/np_superelipse)+C104)</f>
        <v>99.69696969696983</v>
      </c>
      <c r="D105" s="50">
        <f>((1-($C105/a_superelipse)^n_superelipse)^(1/n_superelipse))*b_superelipse</f>
        <v>44.730066902785609</v>
      </c>
      <c r="E105" s="50">
        <f t="shared" si="3"/>
        <v>-44.730066902785609</v>
      </c>
      <c r="F105" s="50">
        <f t="shared" si="5"/>
        <v>-99.69696969696983</v>
      </c>
      <c r="G105" s="50">
        <f t="shared" si="4"/>
        <v>44.730066902785609</v>
      </c>
      <c r="H105" s="51">
        <f t="shared" si="4"/>
        <v>-44.730066902785609</v>
      </c>
    </row>
    <row r="106" spans="2:8" x14ac:dyDescent="0.6">
      <c r="B106" s="26">
        <v>96</v>
      </c>
      <c r="C106" s="50">
        <f>IF((a_superelipse/np_superelipse)+C105&gt;=a_superelipse,a_superelipse,(a_superelipse/np_superelipse)+C105)</f>
        <v>100.75757575757589</v>
      </c>
      <c r="D106" s="50">
        <f>((1-($C106/a_superelipse)^n_superelipse)^(1/n_superelipse))*b_superelipse</f>
        <v>42.464758836944561</v>
      </c>
      <c r="E106" s="50">
        <f t="shared" si="3"/>
        <v>-42.464758836944561</v>
      </c>
      <c r="F106" s="50">
        <f t="shared" si="5"/>
        <v>-100.75757575757589</v>
      </c>
      <c r="G106" s="50">
        <f t="shared" si="4"/>
        <v>42.464758836944561</v>
      </c>
      <c r="H106" s="51">
        <f t="shared" si="4"/>
        <v>-42.464758836944561</v>
      </c>
    </row>
    <row r="107" spans="2:8" x14ac:dyDescent="0.6">
      <c r="B107" s="26">
        <v>97</v>
      </c>
      <c r="C107" s="50">
        <f>IF((a_superelipse/np_superelipse)+C106&gt;=a_superelipse,a_superelipse,(a_superelipse/np_superelipse)+C106)</f>
        <v>101.81818181818196</v>
      </c>
      <c r="D107" s="50">
        <f>((1-($C107/a_superelipse)^n_superelipse)^(1/n_superelipse))*b_superelipse</f>
        <v>39.66871991185544</v>
      </c>
      <c r="E107" s="50">
        <f t="shared" si="3"/>
        <v>-39.66871991185544</v>
      </c>
      <c r="F107" s="50">
        <f t="shared" si="5"/>
        <v>-101.81818181818196</v>
      </c>
      <c r="G107" s="50">
        <f t="shared" si="4"/>
        <v>39.66871991185544</v>
      </c>
      <c r="H107" s="51">
        <f t="shared" si="4"/>
        <v>-39.66871991185544</v>
      </c>
    </row>
    <row r="108" spans="2:8" x14ac:dyDescent="0.6">
      <c r="B108" s="26">
        <v>98</v>
      </c>
      <c r="C108" s="50">
        <f>IF((a_superelipse/np_superelipse)+C107&gt;=a_superelipse,a_superelipse,(a_superelipse/np_superelipse)+C107)</f>
        <v>102.87878787878802</v>
      </c>
      <c r="D108" s="50">
        <f>((1-($C108/a_superelipse)^n_superelipse)^(1/n_superelipse))*b_superelipse</f>
        <v>35.98131870582295</v>
      </c>
      <c r="E108" s="50">
        <f t="shared" si="3"/>
        <v>-35.98131870582295</v>
      </c>
      <c r="F108" s="50">
        <f t="shared" si="5"/>
        <v>-102.87878787878802</v>
      </c>
      <c r="G108" s="50">
        <f t="shared" si="4"/>
        <v>35.98131870582295</v>
      </c>
      <c r="H108" s="51">
        <f t="shared" si="4"/>
        <v>-35.98131870582295</v>
      </c>
    </row>
    <row r="109" spans="2:8" x14ac:dyDescent="0.6">
      <c r="B109" s="26">
        <v>99</v>
      </c>
      <c r="C109" s="50">
        <f>IF((a_superelipse/np_superelipse)+C108&gt;=a_superelipse,a_superelipse,(a_superelipse/np_superelipse)+C108)</f>
        <v>103.93939393939408</v>
      </c>
      <c r="D109" s="50">
        <f>((1-($C109/a_superelipse)^n_superelipse)^(1/n_superelipse))*b_superelipse</f>
        <v>30.371670976613725</v>
      </c>
      <c r="E109" s="50">
        <f t="shared" si="3"/>
        <v>-30.371670976613725</v>
      </c>
      <c r="F109" s="50">
        <f t="shared" si="5"/>
        <v>-103.93939393939408</v>
      </c>
      <c r="G109" s="50">
        <f t="shared" si="4"/>
        <v>30.371670976613725</v>
      </c>
      <c r="H109" s="51">
        <f t="shared" si="4"/>
        <v>-30.371670976613725</v>
      </c>
    </row>
    <row r="110" spans="2:8" x14ac:dyDescent="0.6">
      <c r="B110" s="27">
        <v>100</v>
      </c>
      <c r="C110" s="50">
        <f>IF((a_superelipse/np_superelipse)+C109&gt;=a_superelipse,a_superelipse,(a_superelipse/np_superelipse)+C109)</f>
        <v>105</v>
      </c>
      <c r="D110" s="50">
        <f>((1-($C110/a_superelipse)^n_superelipse)^(1/n_superelipse))*b_superelipse</f>
        <v>0</v>
      </c>
      <c r="E110" s="50">
        <f t="shared" si="3"/>
        <v>0</v>
      </c>
      <c r="F110" s="52">
        <f t="shared" si="5"/>
        <v>-105</v>
      </c>
      <c r="G110" s="52">
        <f t="shared" si="4"/>
        <v>0</v>
      </c>
      <c r="H110" s="53">
        <f t="shared" si="4"/>
        <v>0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3427-294D-48EC-9253-D1C22718C03B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48.19921875" style="1" customWidth="1"/>
    <col min="2" max="2" width="51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_xlfn.CONCAT(SuperElipseTabla!$C11,",",SuperElipseTabla!D11)</f>
        <v>0,68</v>
      </c>
      <c r="B2" s="1" t="str">
        <f>_xlfn.CONCAT("POINT ",A2)</f>
        <v>POINT 0,68</v>
      </c>
    </row>
    <row r="3" spans="1:2" x14ac:dyDescent="0.6">
      <c r="A3" s="1" t="str">
        <f>_xlfn.CONCAT(SuperElipseTabla!C12,",",SuperElipseTabla!$D12)</f>
        <v>1.06060606060606,67.9999998230265</v>
      </c>
      <c r="B3" s="1" t="str">
        <f t="shared" ref="B3:B66" si="0">_xlfn.CONCAT("POINT ",A3)</f>
        <v>POINT 1.06060606060606,67.9999998230265</v>
      </c>
    </row>
    <row r="4" spans="1:2" x14ac:dyDescent="0.6">
      <c r="A4" s="1" t="str">
        <f>_xlfn.CONCAT(SuperElipseTabla!C13,",",SuperElipseTabla!D13)</f>
        <v>2.12121212121212,67.9999971684245</v>
      </c>
      <c r="B4" s="1" t="str">
        <f t="shared" si="0"/>
        <v>POINT 2.12121212121212,67.9999971684245</v>
      </c>
    </row>
    <row r="5" spans="1:2" x14ac:dyDescent="0.6">
      <c r="A5" s="1" t="str">
        <f>_xlfn.CONCAT(SuperElipseTabla!C14,",",SuperElipseTabla!D14)</f>
        <v>3.18181818181818,67.9999856651452</v>
      </c>
      <c r="B5" s="1" t="str">
        <f t="shared" si="0"/>
        <v>POINT 3.18181818181818,67.9999856651452</v>
      </c>
    </row>
    <row r="6" spans="1:2" x14ac:dyDescent="0.6">
      <c r="A6" s="1" t="str">
        <f>_xlfn.CONCAT(SuperElipseTabla!C15,",",SuperElipseTabla!D15)</f>
        <v>4.24242424242424,67.9999546947489</v>
      </c>
      <c r="B6" s="1" t="str">
        <f t="shared" si="0"/>
        <v>POINT 4.24242424242424,67.9999546947489</v>
      </c>
    </row>
    <row r="7" spans="1:2" x14ac:dyDescent="0.6">
      <c r="A7" s="1" t="str">
        <f>_xlfn.CONCAT(SuperElipseTabla!C16,",",SuperElipseTabla!D16)</f>
        <v>5.3030303030303,67.9998893913173</v>
      </c>
      <c r="B7" s="1" t="str">
        <f t="shared" si="0"/>
        <v>POINT 5.3030303030303,67.9998893913173</v>
      </c>
    </row>
    <row r="8" spans="1:2" x14ac:dyDescent="0.6">
      <c r="A8" s="1" t="str">
        <f>_xlfn.CONCAT(SuperElipseTabla!C17,",",SuperElipseTabla!D17)</f>
        <v>6.36363636363636,67.9997706412348</v>
      </c>
      <c r="B8" s="1" t="str">
        <f t="shared" si="0"/>
        <v>POINT 6.36363636363636,67.9997706412348</v>
      </c>
    </row>
    <row r="9" spans="1:2" x14ac:dyDescent="0.6">
      <c r="A9" s="1" t="str">
        <f>_xlfn.CONCAT(SuperElipseTabla!C18,",",SuperElipseTabla!D18)</f>
        <v>7.42424242424242,67.9995750827386</v>
      </c>
      <c r="B9" s="1" t="str">
        <f t="shared" si="0"/>
        <v>POINT 7.42424242424242,67.9995750827386</v>
      </c>
    </row>
    <row r="10" spans="1:2" x14ac:dyDescent="0.6">
      <c r="A10" s="1" t="str">
        <f>_xlfn.CONCAT(SuperElipseTabla!C19,",",SuperElipseTabla!D19)</f>
        <v>8.48484848484848,67.9992751051147</v>
      </c>
      <c r="B10" s="1" t="str">
        <f t="shared" si="0"/>
        <v>POINT 8.48484848484848,67.9992751051147</v>
      </c>
    </row>
    <row r="11" spans="1:2" x14ac:dyDescent="0.6">
      <c r="A11" s="1" t="str">
        <f>_xlfn.CONCAT(SuperElipseTabla!C20,",",SuperElipseTabla!D20)</f>
        <v>9.54545454545454,67.9988388473848</v>
      </c>
      <c r="B11" s="1" t="str">
        <f t="shared" si="0"/>
        <v>POINT 9.54545454545454,67.9988388473848</v>
      </c>
    </row>
    <row r="12" spans="1:2" x14ac:dyDescent="0.6">
      <c r="A12" s="1" t="str">
        <f>_xlfn.CONCAT(SuperElipseTabla!C21,",",SuperElipseTabla!D21)</f>
        <v>10.6060606060606,67.9982301963038</v>
      </c>
      <c r="B12" s="1" t="str">
        <f t="shared" si="0"/>
        <v>POINT 10.6060606060606,67.9982301963038</v>
      </c>
    </row>
    <row r="13" spans="1:2" x14ac:dyDescent="0.6">
      <c r="A13" s="1" t="str">
        <f>_xlfn.CONCAT(SuperElipseTabla!C22,",",SuperElipseTabla!D22)</f>
        <v>11.6666666666667,67.9974087834572</v>
      </c>
      <c r="B13" s="1" t="str">
        <f t="shared" si="0"/>
        <v>POINT 11.6666666666667,67.9974087834572</v>
      </c>
    </row>
    <row r="14" spans="1:2" x14ac:dyDescent="0.6">
      <c r="A14" s="1" t="str">
        <f>_xlfn.CONCAT(SuperElipseTabla!C23,",",SuperElipseTabla!D23)</f>
        <v>12.7272727272727,67.9963299812233</v>
      </c>
      <c r="B14" s="1" t="str">
        <f t="shared" si="0"/>
        <v>POINT 12.7272727272727,67.9963299812233</v>
      </c>
    </row>
    <row r="15" spans="1:2" x14ac:dyDescent="0.6">
      <c r="A15" s="1" t="str">
        <f>_xlfn.CONCAT(SuperElipseTabla!C24,",",SuperElipseTabla!D24)</f>
        <v>13.7878787878788,67.994944897331</v>
      </c>
      <c r="B15" s="1" t="str">
        <f t="shared" si="0"/>
        <v>POINT 13.7878787878788,67.994944897331</v>
      </c>
    </row>
    <row r="16" spans="1:2" x14ac:dyDescent="0.6">
      <c r="A16" s="1" t="str">
        <f>_xlfn.CONCAT(SuperElipseTabla!C25,",",SuperElipseTabla!D25)</f>
        <v>14.8484848484848,67.993200367721</v>
      </c>
      <c r="B16" s="1" t="str">
        <f t="shared" si="0"/>
        <v>POINT 14.8484848484848,67.993200367721</v>
      </c>
    </row>
    <row r="17" spans="1:2" x14ac:dyDescent="0.6">
      <c r="A17" s="1" t="str">
        <f>_xlfn.CONCAT(SuperElipseTabla!C26,",",SuperElipseTabla!D26)</f>
        <v>15.9090909090909,67.9910389473857</v>
      </c>
      <c r="B17" s="1" t="str">
        <f t="shared" si="0"/>
        <v>POINT 15.9090909090909,67.9910389473857</v>
      </c>
    </row>
    <row r="18" spans="1:2" x14ac:dyDescent="0.6">
      <c r="A18" s="1" t="str">
        <f>_xlfn.CONCAT(SuperElipseTabla!C27,",",SuperElipseTabla!D27)</f>
        <v>16.969696969697,67.9883988988337</v>
      </c>
      <c r="B18" s="1" t="str">
        <f t="shared" si="0"/>
        <v>POINT 16.969696969697,67.9883988988337</v>
      </c>
    </row>
    <row r="19" spans="1:2" x14ac:dyDescent="0.6">
      <c r="A19" s="1" t="str">
        <f>_xlfn.CONCAT(SuperElipseTabla!C28,",",SuperElipseTabla!D28)</f>
        <v>18.030303030303,67.9852141777955</v>
      </c>
      <c r="B19" s="1" t="str">
        <f t="shared" si="0"/>
        <v>POINT 18.030303030303,67.9852141777955</v>
      </c>
    </row>
    <row r="20" spans="1:2" x14ac:dyDescent="0.6">
      <c r="A20" s="1" t="str">
        <f>_xlfn.CONCAT(SuperElipseTabla!C29,",",SuperElipseTabla!D29)</f>
        <v>19.0909090909091,67.9814144157566</v>
      </c>
      <c r="B20" s="1" t="str">
        <f t="shared" si="0"/>
        <v>POINT 19.0909090909091,67.9814144157566</v>
      </c>
    </row>
    <row r="21" spans="1:2" x14ac:dyDescent="0.6">
      <c r="A21" s="1" t="str">
        <f>_xlfn.CONCAT(SuperElipseTabla!C30,",",SuperElipseTabla!D30)</f>
        <v>20.1515151515152,67.9769248988678</v>
      </c>
      <c r="B21" s="1" t="str">
        <f t="shared" si="0"/>
        <v>POINT 20.1515151515152,67.9769248988678</v>
      </c>
    </row>
    <row r="22" spans="1:2" x14ac:dyDescent="0.6">
      <c r="A22" s="1" t="str">
        <f>_xlfn.CONCAT(SuperElipseTabla!C31,",",SuperElipseTabla!D31)</f>
        <v>21.2121212121212,67.9716665427557</v>
      </c>
      <c r="B22" s="1" t="str">
        <f t="shared" si="0"/>
        <v>POINT 21.2121212121212,67.9716665427557</v>
      </c>
    </row>
    <row r="23" spans="1:2" x14ac:dyDescent="0.6">
      <c r="A23" s="1" t="str">
        <f>_xlfn.CONCAT(SuperElipseTabla!C32,",",SuperElipseTabla!D32)</f>
        <v>22.2727272727273,67.9655558627142</v>
      </c>
      <c r="B23" s="1" t="str">
        <f t="shared" si="0"/>
        <v>POINT 22.2727272727273,67.9655558627142</v>
      </c>
    </row>
    <row r="24" spans="1:2" x14ac:dyDescent="0.6">
      <c r="A24" s="1" t="str">
        <f>_xlfn.CONCAT(SuperElipseTabla!C33,",",SuperElipseTabla!D33)</f>
        <v>23.3333333333333,67.958504938727</v>
      </c>
      <c r="B24" s="1" t="str">
        <f t="shared" si="0"/>
        <v>POINT 23.3333333333333,67.958504938727</v>
      </c>
    </row>
    <row r="25" spans="1:2" x14ac:dyDescent="0.6">
      <c r="A25" s="1" t="str">
        <f>_xlfn.CONCAT(SuperElipseTabla!C34,",",SuperElipseTabla!D34)</f>
        <v>24.3939393939394,67.9504213747275</v>
      </c>
      <c r="B25" s="1" t="str">
        <f t="shared" si="0"/>
        <v>POINT 24.3939393939394,67.9504213747275</v>
      </c>
    </row>
    <row r="26" spans="1:2" x14ac:dyDescent="0.6">
      <c r="A26" s="1" t="str">
        <f>_xlfn.CONCAT(SuperElipseTabla!C35,",",SuperElipseTabla!D35)</f>
        <v>25.4545454545455,67.9412082514629</v>
      </c>
      <c r="B26" s="1" t="str">
        <f t="shared" si="0"/>
        <v>POINT 25.4545454545455,67.9412082514629</v>
      </c>
    </row>
    <row r="27" spans="1:2" x14ac:dyDescent="0.6">
      <c r="A27" s="1" t="str">
        <f>_xlfn.CONCAT(SuperElipseTabla!C36,",",SuperElipseTabla!D36)</f>
        <v>26.5151515151515,67.9307640722842</v>
      </c>
      <c r="B27" s="1" t="str">
        <f t="shared" si="0"/>
        <v>POINT 26.5151515151515,67.9307640722842</v>
      </c>
    </row>
    <row r="28" spans="1:2" x14ac:dyDescent="0.6">
      <c r="A28" s="1" t="str">
        <f>_xlfn.CONCAT(SuperElipseTabla!C37,",",SuperElipseTabla!D37)</f>
        <v>27.5757575757576,67.9189827011345</v>
      </c>
      <c r="B28" s="1" t="str">
        <f t="shared" si="0"/>
        <v>POINT 27.5757575757576,67.9189827011345</v>
      </c>
    </row>
    <row r="29" spans="1:2" x14ac:dyDescent="0.6">
      <c r="A29" s="1" t="str">
        <f>_xlfn.CONCAT(SuperElipseTabla!C38,",",SuperElipseTabla!D38)</f>
        <v>28.6363636363637,67.905753291956</v>
      </c>
      <c r="B29" s="1" t="str">
        <f t="shared" si="0"/>
        <v>POINT 28.6363636363637,67.905753291956</v>
      </c>
    </row>
    <row r="30" spans="1:2" x14ac:dyDescent="0.6">
      <c r="A30" s="1" t="str">
        <f>_xlfn.CONCAT(SuperElipseTabla!C39,",",SuperElipseTabla!D39)</f>
        <v>29.6969696969697,67.8909602086781</v>
      </c>
      <c r="B30" s="1" t="str">
        <f t="shared" si="0"/>
        <v>POINT 29.6969696969697,67.8909602086781</v>
      </c>
    </row>
    <row r="31" spans="1:2" x14ac:dyDescent="0.6">
      <c r="A31" s="1" t="str">
        <f>_xlfn.CONCAT(SuperElipseTabla!C40,",",SuperElipseTabla!D40)</f>
        <v>30.7575757575758,67.8744829348852</v>
      </c>
      <c r="B31" s="1" t="str">
        <f t="shared" si="0"/>
        <v>POINT 30.7575757575758,67.8744829348852</v>
      </c>
    </row>
    <row r="32" spans="1:2" x14ac:dyDescent="0.6">
      <c r="A32" s="1" t="str">
        <f>_xlfn.CONCAT(SuperElipseTabla!C41,",",SuperElipseTabla!D41)</f>
        <v>31.8181818181818,67.856195972195</v>
      </c>
      <c r="B32" s="1" t="str">
        <f t="shared" si="0"/>
        <v>POINT 31.8181818181818,67.856195972195</v>
      </c>
    </row>
    <row r="33" spans="1:2" x14ac:dyDescent="0.6">
      <c r="A33" s="1" t="str">
        <f>_xlfn.CONCAT(SuperElipseTabla!C42,",",SuperElipseTabla!D42)</f>
        <v>32.8787878787879,67.835968726297</v>
      </c>
      <c r="B33" s="1" t="str">
        <f t="shared" si="0"/>
        <v>POINT 32.8787878787879,67.835968726297</v>
      </c>
    </row>
    <row r="34" spans="1:2" x14ac:dyDescent="0.6">
      <c r="A34" s="1" t="str">
        <f>_xlfn.CONCAT(SuperElipseTabla!C43,",",SuperElipseTabla!D43)</f>
        <v>33.939393939394,67.8136653795197</v>
      </c>
      <c r="B34" s="1" t="str">
        <f t="shared" si="0"/>
        <v>POINT 33.939393939394,67.8136653795197</v>
      </c>
    </row>
    <row r="35" spans="1:2" x14ac:dyDescent="0.6">
      <c r="A35" s="1" t="str">
        <f>_xlfn.CONCAT(SuperElipseTabla!C44,",",SuperElipseTabla!D44)</f>
        <v>35,67.7891447486953</v>
      </c>
      <c r="B35" s="1" t="str">
        <f t="shared" si="0"/>
        <v>POINT 35,67.7891447486953</v>
      </c>
    </row>
    <row r="36" spans="1:2" x14ac:dyDescent="0.6">
      <c r="A36" s="1" t="str">
        <f>_xlfn.CONCAT(SuperElipseTabla!C45,",",SuperElipseTabla!D45)</f>
        <v>36.0606060606061,67.7622601269856</v>
      </c>
      <c r="B36" s="1" t="str">
        <f t="shared" si="0"/>
        <v>POINT 36.0606060606061,67.7622601269856</v>
      </c>
    </row>
    <row r="37" spans="1:2" x14ac:dyDescent="0.6">
      <c r="A37" s="1" t="str">
        <f>_xlfn.CONCAT(SuperElipseTabla!C46,",",SuperElipseTabla!D46)</f>
        <v>37.1212121212122,67.732859108212</v>
      </c>
      <c r="B37" s="1" t="str">
        <f t="shared" si="0"/>
        <v>POINT 37.1212121212122,67.732859108212</v>
      </c>
    </row>
    <row r="38" spans="1:2" x14ac:dyDescent="0.6">
      <c r="A38" s="1" t="str">
        <f>_xlfn.CONCAT(SuperElipseTabla!C47,",",SuperElipseTabla!D47)</f>
        <v>38.1818181818182,67.7007833920982</v>
      </c>
      <c r="B38" s="1" t="str">
        <f t="shared" si="0"/>
        <v>POINT 38.1818181818182,67.7007833920982</v>
      </c>
    </row>
    <row r="39" spans="1:2" x14ac:dyDescent="0.6">
      <c r="A39" s="1" t="str">
        <f>_xlfn.CONCAT(SuperElipseTabla!C48,",",SuperElipseTabla!D48)</f>
        <v>39.2424242424243,67.6658685686813</v>
      </c>
      <c r="B39" s="1" t="str">
        <f t="shared" si="0"/>
        <v>POINT 39.2424242424243,67.6658685686813</v>
      </c>
    </row>
    <row r="40" spans="1:2" x14ac:dyDescent="0.6">
      <c r="A40" s="1" t="str">
        <f>_xlfn.CONCAT(SuperElipseTabla!C49,",",SuperElipseTabla!D49)</f>
        <v>40.3030303030303,67.6279438799764</v>
      </c>
      <c r="B40" s="1" t="str">
        <f t="shared" si="0"/>
        <v>POINT 40.3030303030303,67.6279438799764</v>
      </c>
    </row>
    <row r="41" spans="1:2" x14ac:dyDescent="0.6">
      <c r="A41" s="1" t="str">
        <f>_xlfn.CONCAT(SuperElipseTabla!C50,",",SuperElipseTabla!D50)</f>
        <v>41.3636363636364,67.586831956784</v>
      </c>
      <c r="B41" s="1" t="str">
        <f t="shared" si="0"/>
        <v>POINT 41.3636363636364,67.586831956784</v>
      </c>
    </row>
    <row r="42" spans="1:2" x14ac:dyDescent="0.6">
      <c r="A42" s="1" t="str">
        <f>_xlfn.CONCAT(SuperElipseTabla!C51,",",SuperElipseTabla!D51)</f>
        <v>42.4242424242425,67.542348528313</v>
      </c>
      <c r="B42" s="1" t="str">
        <f t="shared" si="0"/>
        <v>POINT 42.4242424242425,67.542348528313</v>
      </c>
    </row>
    <row r="43" spans="1:2" x14ac:dyDescent="0.6">
      <c r="A43" s="1" t="str">
        <f>_xlfn.CONCAT(SuperElipseTabla!C52,",",SuperElipseTabla!D52)</f>
        <v>43.4848484848485,67.4943021020382</v>
      </c>
      <c r="B43" s="1" t="str">
        <f t="shared" si="0"/>
        <v>POINT 43.4848484848485,67.4943021020382</v>
      </c>
    </row>
    <row r="44" spans="1:2" x14ac:dyDescent="0.6">
      <c r="A44" s="1" t="str">
        <f>_xlfn.CONCAT(SuperElipseTabla!C53,",",SuperElipseTabla!D53)</f>
        <v>44.5454545454546,67.4424936109307</v>
      </c>
      <c r="B44" s="1" t="str">
        <f t="shared" si="0"/>
        <v>POINT 44.5454545454546,67.4424936109307</v>
      </c>
    </row>
    <row r="45" spans="1:2" x14ac:dyDescent="0.6">
      <c r="A45" s="1" t="str">
        <f>_xlfn.CONCAT(SuperElipseTabla!C54,",",SuperElipseTabla!D54)</f>
        <v>45.6060606060607,67.3867160248743</v>
      </c>
      <c r="B45" s="1" t="str">
        <f t="shared" si="0"/>
        <v>POINT 45.6060606060607,67.3867160248743</v>
      </c>
    </row>
    <row r="46" spans="1:2" x14ac:dyDescent="0.6">
      <c r="A46" s="1" t="str">
        <f>_xlfn.CONCAT(SuperElipseTabla!C55,",",SuperElipseTabla!D55)</f>
        <v>46.6666666666667,67.3267539227121</v>
      </c>
      <c r="B46" s="1" t="str">
        <f t="shared" si="0"/>
        <v>POINT 46.6666666666667,67.3267539227121</v>
      </c>
    </row>
    <row r="47" spans="1:2" x14ac:dyDescent="0.6">
      <c r="A47" s="1" t="str">
        <f>_xlfn.CONCAT(SuperElipseTabla!C56,",",SuperElipseTabla!D56)</f>
        <v>47.7272727272728,67.2623830209447</v>
      </c>
      <c r="B47" s="1" t="str">
        <f t="shared" si="0"/>
        <v>POINT 47.7272727272728,67.2623830209447</v>
      </c>
    </row>
    <row r="48" spans="1:2" x14ac:dyDescent="0.6">
      <c r="A48" s="1" t="str">
        <f>_xlfn.CONCAT(SuperElipseTabla!C57,",",SuperElipseTabla!D57)</f>
        <v>48.7878787878788,67.1933696546168</v>
      </c>
      <c r="B48" s="1" t="str">
        <f t="shared" si="0"/>
        <v>POINT 48.7878787878788,67.1933696546168</v>
      </c>
    </row>
    <row r="49" spans="1:2" x14ac:dyDescent="0.6">
      <c r="A49" s="1" t="str">
        <f>_xlfn.CONCAT(SuperElipseTabla!C58,",",SuperElipseTabla!D58)</f>
        <v>49.8484848484849,67.1194702053732</v>
      </c>
      <c r="B49" s="1" t="str">
        <f t="shared" si="0"/>
        <v>POINT 49.8484848484849,67.1194702053732</v>
      </c>
    </row>
    <row r="50" spans="1:2" x14ac:dyDescent="0.6">
      <c r="A50" s="1" t="str">
        <f>_xlfn.CONCAT(SuperElipseTabla!C59,",",SuperElipseTabla!D59)</f>
        <v>50.909090909091,67.0404304710206</v>
      </c>
      <c r="B50" s="1" t="str">
        <f t="shared" si="0"/>
        <v>POINT 50.909090909091,67.0404304710206</v>
      </c>
    </row>
    <row r="51" spans="1:2" x14ac:dyDescent="0.6">
      <c r="A51" s="1" t="str">
        <f>_xlfn.CONCAT(SuperElipseTabla!C60,",",SuperElipseTabla!D60)</f>
        <v>51.969696969697,66.9559849701981</v>
      </c>
      <c r="B51" s="1" t="str">
        <f t="shared" si="0"/>
        <v>POINT 51.969696969697,66.9559849701981</v>
      </c>
    </row>
    <row r="52" spans="1:2" x14ac:dyDescent="0.6">
      <c r="A52" s="1" t="str">
        <f>_xlfn.CONCAT(SuperElipseTabla!C61,",",SuperElipseTabla!D61)</f>
        <v>53.0303030303031,66.8658561748952</v>
      </c>
      <c r="B52" s="1" t="str">
        <f t="shared" si="0"/>
        <v>POINT 53.0303030303031,66.8658561748952</v>
      </c>
    </row>
    <row r="53" spans="1:2" x14ac:dyDescent="0.6">
      <c r="A53" s="1" t="str">
        <f>_xlfn.CONCAT(SuperElipseTabla!C62,",",SuperElipseTabla!D62)</f>
        <v>54.0909090909092,66.7697536625704</v>
      </c>
      <c r="B53" s="1" t="str">
        <f t="shared" si="0"/>
        <v>POINT 54.0909090909092,66.7697536625704</v>
      </c>
    </row>
    <row r="54" spans="1:2" x14ac:dyDescent="0.6">
      <c r="A54" s="1" t="str">
        <f>_xlfn.CONCAT(SuperElipseTabla!C63,",",SuperElipseTabla!D63)</f>
        <v>55.1515151515152,66.6673731784613</v>
      </c>
      <c r="B54" s="1" t="str">
        <f t="shared" si="0"/>
        <v>POINT 55.1515151515152,66.6673731784613</v>
      </c>
    </row>
    <row r="55" spans="1:2" x14ac:dyDescent="0.6">
      <c r="A55" s="1" t="str">
        <f>_xlfn.CONCAT(SuperElipseTabla!C64,",",SuperElipseTabla!D64)</f>
        <v>56.2121212121213,66.558395597336</v>
      </c>
      <c r="B55" s="1" t="str">
        <f t="shared" si="0"/>
        <v>POINT 56.2121212121213,66.558395597336</v>
      </c>
    </row>
    <row r="56" spans="1:2" x14ac:dyDescent="0.6">
      <c r="A56" s="1" t="str">
        <f>_xlfn.CONCAT(SuperElipseTabla!C65,",",SuperElipseTabla!D65)</f>
        <v>57.2727272727273,66.4424857723522</v>
      </c>
      <c r="B56" s="1" t="str">
        <f t="shared" si="0"/>
        <v>POINT 57.2727272727273,66.4424857723522</v>
      </c>
    </row>
    <row r="57" spans="1:2" x14ac:dyDescent="0.6">
      <c r="A57" s="1" t="str">
        <f>_xlfn.CONCAT(SuperElipseTabla!C66,",",SuperElipseTabla!D66)</f>
        <v>58.3333333333334,66.319291256846</v>
      </c>
      <c r="B57" s="1" t="str">
        <f t="shared" si="0"/>
        <v>POINT 58.3333333333334,66.319291256846</v>
      </c>
    </row>
    <row r="58" spans="1:2" x14ac:dyDescent="0.6">
      <c r="A58" s="1" t="str">
        <f>_xlfn.CONCAT(SuperElipseTabla!C67,",",SuperElipseTabla!D67)</f>
        <v>59.3939393939395,66.1884408826881</v>
      </c>
      <c r="B58" s="1" t="str">
        <f t="shared" si="0"/>
        <v>POINT 59.3939393939395,66.1884408826881</v>
      </c>
    </row>
    <row r="59" spans="1:2" x14ac:dyDescent="0.6">
      <c r="A59" s="1" t="str">
        <f>_xlfn.CONCAT(SuperElipseTabla!C68,",",SuperElipseTabla!D68)</f>
        <v>60.4545454545455,66.0495431762738</v>
      </c>
      <c r="B59" s="1" t="str">
        <f t="shared" si="0"/>
        <v>POINT 60.4545454545455,66.0495431762738</v>
      </c>
    </row>
    <row r="60" spans="1:2" x14ac:dyDescent="0.6">
      <c r="A60" s="1" t="str">
        <f>_xlfn.CONCAT(SuperElipseTabla!C69,",",SuperElipseTabla!D69)</f>
        <v>61.5151515151516,65.9021845901575</v>
      </c>
      <c r="B60" s="1" t="str">
        <f t="shared" si="0"/>
        <v>POINT 61.5151515151516,65.9021845901575</v>
      </c>
    </row>
    <row r="61" spans="1:2" x14ac:dyDescent="0.6">
      <c r="A61" s="1" t="str">
        <f>_xlfn.CONCAT(SuperElipseTabla!C70,",",SuperElipseTabla!D70)</f>
        <v>62.5757575757576,65.74592752471</v>
      </c>
      <c r="B61" s="1" t="str">
        <f t="shared" si="0"/>
        <v>POINT 62.5757575757576,65.74592752471</v>
      </c>
    </row>
    <row r="62" spans="1:2" x14ac:dyDescent="0.6">
      <c r="A62" s="1" t="str">
        <f>_xlfn.CONCAT(SuperElipseTabla!C71,",",SuperElipseTabla!D71)</f>
        <v>63.6363636363637,65.5803081098301</v>
      </c>
      <c r="B62" s="1" t="str">
        <f t="shared" si="0"/>
        <v>POINT 63.6363636363637,65.5803081098301</v>
      </c>
    </row>
    <row r="63" spans="1:2" x14ac:dyDescent="0.6">
      <c r="A63" s="1" t="str">
        <f>_xlfn.CONCAT(SuperElipseTabla!C72,",",SuperElipseTabla!D72)</f>
        <v>64.6969696969698,65.4048337115331</v>
      </c>
      <c r="B63" s="1" t="str">
        <f t="shared" si="0"/>
        <v>POINT 64.6969696969698,65.4048337115331</v>
      </c>
    </row>
    <row r="64" spans="1:2" x14ac:dyDescent="0.6">
      <c r="A64" s="1" t="str">
        <f>_xlfn.CONCAT(SuperElipseTabla!C73,",",SuperElipseTabla!D73)</f>
        <v>65.7575757575758,65.2189801219495</v>
      </c>
      <c r="B64" s="1" t="str">
        <f t="shared" si="0"/>
        <v>POINT 65.7575757575758,65.2189801219495</v>
      </c>
    </row>
    <row r="65" spans="1:2" x14ac:dyDescent="0.6">
      <c r="A65" s="1" t="str">
        <f>_xlfn.CONCAT(SuperElipseTabla!C74,",",SuperElipseTabla!D74)</f>
        <v>66.8181818181819,65.022188383663</v>
      </c>
      <c r="B65" s="1" t="str">
        <f t="shared" si="0"/>
        <v>POINT 66.8181818181819,65.022188383663</v>
      </c>
    </row>
    <row r="66" spans="1:2" x14ac:dyDescent="0.6">
      <c r="A66" s="1" t="str">
        <f>_xlfn.CONCAT(SuperElipseTabla!C75,",",SuperElipseTabla!D75)</f>
        <v>67.878787878788,64.8138611900509</v>
      </c>
      <c r="B66" s="1" t="str">
        <f t="shared" si="0"/>
        <v>POINT 67.878787878788,64.8138611900509</v>
      </c>
    </row>
    <row r="67" spans="1:2" x14ac:dyDescent="0.6">
      <c r="A67" s="1" t="str">
        <f>_xlfn.CONCAT(SuperElipseTabla!C76,",",SuperElipseTabla!D76)</f>
        <v>68.939393939394,64.5933587919656</v>
      </c>
      <c r="B67" s="1" t="str">
        <f t="shared" ref="B67:B101" si="1">_xlfn.CONCAT("POINT ",A67)</f>
        <v>POINT 68.939393939394,64.5933587919656</v>
      </c>
    </row>
    <row r="68" spans="1:2" x14ac:dyDescent="0.6">
      <c r="A68" s="1" t="str">
        <f>_xlfn.CONCAT(SuperElipseTabla!C77,",",SuperElipseTabla!D77)</f>
        <v>70.0000000000001,64.3599943271633</v>
      </c>
      <c r="B68" s="1" t="str">
        <f t="shared" si="1"/>
        <v>POINT 70.0000000000001,64.3599943271633</v>
      </c>
    </row>
    <row r="69" spans="1:2" x14ac:dyDescent="0.6">
      <c r="A69" s="1" t="str">
        <f>_xlfn.CONCAT(SuperElipseTabla!C78,",",SuperElipseTabla!D78)</f>
        <v>71.0606060606061,64.1130284716535</v>
      </c>
      <c r="B69" s="1" t="str">
        <f t="shared" si="1"/>
        <v>POINT 71.0606060606061,64.1130284716535</v>
      </c>
    </row>
    <row r="70" spans="1:2" x14ac:dyDescent="0.6">
      <c r="A70" s="1" t="str">
        <f>_xlfn.CONCAT(SuperElipseTabla!C79,",",SuperElipseTabla!D79)</f>
        <v>72.1212121212122,63.8516632907003</v>
      </c>
      <c r="B70" s="1" t="str">
        <f t="shared" si="1"/>
        <v>POINT 72.1212121212122,63.8516632907003</v>
      </c>
    </row>
    <row r="71" spans="1:2" x14ac:dyDescent="0.6">
      <c r="A71" s="1" t="str">
        <f>_xlfn.CONCAT(SuperElipseTabla!C80,",",SuperElipseTabla!D80)</f>
        <v>73.1818181818183,63.5750351403504</v>
      </c>
      <c r="B71" s="1" t="str">
        <f t="shared" si="1"/>
        <v>POINT 73.1818181818183,63.5750351403504</v>
      </c>
    </row>
    <row r="72" spans="1:2" x14ac:dyDescent="0.6">
      <c r="A72" s="1" t="str">
        <f>_xlfn.CONCAT(SuperElipseTabla!C81,",",SuperElipseTabla!D81)</f>
        <v>74.2424242424243,63.2822064364953</v>
      </c>
      <c r="B72" s="1" t="str">
        <f t="shared" si="1"/>
        <v>POINT 74.2424242424243,63.2822064364953</v>
      </c>
    </row>
    <row r="73" spans="1:2" x14ac:dyDescent="0.6">
      <c r="A73" s="1" t="str">
        <f>_xlfn.CONCAT(SuperElipseTabla!C82,",",SuperElipseTabla!D82)</f>
        <v>75.3030303030304,62.9721560654655</v>
      </c>
      <c r="B73" s="1" t="str">
        <f t="shared" si="1"/>
        <v>POINT 75.3030303030304,62.9721560654655</v>
      </c>
    </row>
    <row r="74" spans="1:2" x14ac:dyDescent="0.6">
      <c r="A74" s="1" t="str">
        <f>_xlfn.CONCAT(SuperElipseTabla!C83,",",SuperElipseTabla!D83)</f>
        <v>76.3636363636365,62.6437681550957</v>
      </c>
      <c r="B74" s="1" t="str">
        <f t="shared" si="1"/>
        <v>POINT 76.3636363636365,62.6437681550957</v>
      </c>
    </row>
    <row r="75" spans="1:2" x14ac:dyDescent="0.6">
      <c r="A75" s="1" t="str">
        <f>_xlfn.CONCAT(SuperElipseTabla!C84,",",SuperElipseTabla!D84)</f>
        <v>77.4242424242425,62.2958188541583</v>
      </c>
      <c r="B75" s="1" t="str">
        <f t="shared" si="1"/>
        <v>POINT 77.4242424242425,62.2958188541583</v>
      </c>
    </row>
    <row r="76" spans="1:2" x14ac:dyDescent="0.6">
      <c r="A76" s="1" t="str">
        <f>_xlfn.CONCAT(SuperElipseTabla!C85,",",SuperElipseTabla!D85)</f>
        <v>78.4848484848486,61.9269606755581</v>
      </c>
      <c r="B76" s="1" t="str">
        <f t="shared" si="1"/>
        <v>POINT 78.4848484848486,61.9269606755581</v>
      </c>
    </row>
    <row r="77" spans="1:2" x14ac:dyDescent="0.6">
      <c r="A77" s="1" t="str">
        <f>_xlfn.CONCAT(SuperElipseTabla!C86,",",SuperElipseTabla!D86)</f>
        <v>79.5454545454546,61.535703837129</v>
      </c>
      <c r="B77" s="1" t="str">
        <f t="shared" si="1"/>
        <v>POINT 79.5454545454546,61.535703837129</v>
      </c>
    </row>
    <row r="78" spans="1:2" x14ac:dyDescent="0.6">
      <c r="A78" s="1" t="str">
        <f>_xlfn.CONCAT(SuperElipseTabla!C87,",",SuperElipseTabla!D87)</f>
        <v>80.6060606060607,61.1203938724886</v>
      </c>
      <c r="B78" s="1" t="str">
        <f t="shared" si="1"/>
        <v>POINT 80.6060606060607,61.1203938724886</v>
      </c>
    </row>
    <row r="79" spans="1:2" x14ac:dyDescent="0.6">
      <c r="A79" s="1" t="str">
        <f>_xlfn.CONCAT(SuperElipseTabla!C88,",",SuperElipseTabla!D88)</f>
        <v>81.6666666666668,60.6791845678199</v>
      </c>
      <c r="B79" s="1" t="str">
        <f t="shared" si="1"/>
        <v>POINT 81.6666666666668,60.6791845678199</v>
      </c>
    </row>
    <row r="80" spans="1:2" x14ac:dyDescent="0.6">
      <c r="A80" s="1" t="str">
        <f>_xlfn.CONCAT(SuperElipseTabla!C89,",",SuperElipseTabla!D89)</f>
        <v>82.7272727272728,60.210004986314</v>
      </c>
      <c r="B80" s="1" t="str">
        <f t="shared" si="1"/>
        <v>POINT 82.7272727272728,60.210004986314</v>
      </c>
    </row>
    <row r="81" spans="1:2" x14ac:dyDescent="0.6">
      <c r="A81" s="1" t="str">
        <f>_xlfn.CONCAT(SuperElipseTabla!C90,",",SuperElipseTabla!D90)</f>
        <v>83.7878787878789,59.7105189374376</v>
      </c>
      <c r="B81" s="1" t="str">
        <f t="shared" si="1"/>
        <v>POINT 83.7878787878789,59.7105189374376</v>
      </c>
    </row>
    <row r="82" spans="1:2" x14ac:dyDescent="0.6">
      <c r="A82" s="1" t="str">
        <f>_xlfn.CONCAT(SuperElipseTabla!C91,",",SuperElipseTabla!D91)</f>
        <v>84.848484848485,59.1780746839263</v>
      </c>
      <c r="B82" s="1" t="str">
        <f t="shared" si="1"/>
        <v>POINT 84.848484848485,59.1780746839263</v>
      </c>
    </row>
    <row r="83" spans="1:2" x14ac:dyDescent="0.6">
      <c r="A83" s="1" t="str">
        <f>_xlfn.CONCAT(SuperElipseTabla!C92,",",SuperElipseTabla!D92)</f>
        <v>85.909090909091,58.6096418804073</v>
      </c>
      <c r="B83" s="1" t="str">
        <f t="shared" si="1"/>
        <v>POINT 85.909090909091,58.6096418804073</v>
      </c>
    </row>
    <row r="84" spans="1:2" x14ac:dyDescent="0.6">
      <c r="A84" s="1" t="str">
        <f>_xlfn.CONCAT(SuperElipseTabla!C93,",",SuperElipseTabla!D93)</f>
        <v>86.9696969696971,58.0017315871713</v>
      </c>
      <c r="B84" s="1" t="str">
        <f t="shared" si="1"/>
        <v>POINT 86.9696969696971,58.0017315871713</v>
      </c>
    </row>
    <row r="85" spans="1:2" x14ac:dyDescent="0.6">
      <c r="A85" s="1" t="str">
        <f>_xlfn.CONCAT(SuperElipseTabla!C94,",",SuperElipseTabla!D94)</f>
        <v>88.0303030303031,57.3502935157141</v>
      </c>
      <c r="B85" s="1" t="str">
        <f t="shared" si="1"/>
        <v>POINT 88.0303030303031,57.3502935157141</v>
      </c>
    </row>
    <row r="86" spans="1:2" x14ac:dyDescent="0.6">
      <c r="A86" s="1" t="str">
        <f>_xlfn.CONCAT(SuperElipseTabla!C95,",",SuperElipseTabla!D95)</f>
        <v>89.0909090909092,56.6505821383052</v>
      </c>
      <c r="B86" s="1" t="str">
        <f t="shared" si="1"/>
        <v>POINT 89.0909090909092,56.6505821383052</v>
      </c>
    </row>
    <row r="87" spans="1:2" x14ac:dyDescent="0.6">
      <c r="A87" s="1" t="str">
        <f>_xlfn.CONCAT(SuperElipseTabla!C96,",",SuperElipseTabla!D96)</f>
        <v>90.1515151515153,55.8969794299431</v>
      </c>
      <c r="B87" s="1" t="str">
        <f t="shared" si="1"/>
        <v>POINT 90.1515151515153,55.8969794299431</v>
      </c>
    </row>
    <row r="88" spans="1:2" x14ac:dyDescent="0.6">
      <c r="A88" s="1" t="str">
        <f>_xlfn.CONCAT(SuperElipseTabla!C97,",",SuperElipseTabla!D97)</f>
        <v>91.2121212121213,55.0827559450841</v>
      </c>
      <c r="B88" s="1" t="str">
        <f t="shared" si="1"/>
        <v>POINT 91.2121212121213,55.0827559450841</v>
      </c>
    </row>
    <row r="89" spans="1:2" x14ac:dyDescent="0.6">
      <c r="A89" s="1" t="str">
        <f>_xlfn.CONCAT(SuperElipseTabla!C98,",",SuperElipseTabla!D98)</f>
        <v>92.2727272727274,54.1997421321896</v>
      </c>
      <c r="B89" s="1" t="str">
        <f t="shared" si="1"/>
        <v>POINT 92.2727272727274,54.1997421321896</v>
      </c>
    </row>
    <row r="90" spans="1:2" x14ac:dyDescent="0.6">
      <c r="A90" s="1" t="str">
        <f>_xlfn.CONCAT(SuperElipseTabla!C99,",",SuperElipseTabla!D99)</f>
        <v>93.3333333333335,53.2378654346208</v>
      </c>
      <c r="B90" s="1" t="str">
        <f t="shared" si="1"/>
        <v>POINT 93.3333333333335,53.2378654346208</v>
      </c>
    </row>
    <row r="91" spans="1:2" x14ac:dyDescent="0.6">
      <c r="A91" s="1" t="str">
        <f>_xlfn.CONCAT(SuperElipseTabla!C100,",",SuperElipseTabla!D100)</f>
        <v>94.3939393939395,52.1844803901393</v>
      </c>
      <c r="B91" s="1" t="str">
        <f t="shared" si="1"/>
        <v>POINT 94.3939393939395,52.1844803901393</v>
      </c>
    </row>
    <row r="92" spans="1:2" x14ac:dyDescent="0.6">
      <c r="A92" s="1" t="str">
        <f>_xlfn.CONCAT(SuperElipseTabla!C101,",",SuperElipseTabla!D101)</f>
        <v>95.4545454545456,51.023367659421</v>
      </c>
      <c r="B92" s="1" t="str">
        <f t="shared" si="1"/>
        <v>POINT 95.4545454545456,51.023367659421</v>
      </c>
    </row>
    <row r="93" spans="1:2" x14ac:dyDescent="0.6">
      <c r="A93" s="1" t="str">
        <f>_xlfn.CONCAT(SuperElipseTabla!C102,",",SuperElipseTabla!D102)</f>
        <v>96.5151515151516,49.7331802157944</v>
      </c>
      <c r="B93" s="1" t="str">
        <f t="shared" si="1"/>
        <v>POINT 96.5151515151516,49.7331802157944</v>
      </c>
    </row>
    <row r="94" spans="1:2" x14ac:dyDescent="0.6">
      <c r="A94" s="1" t="str">
        <f>_xlfn.CONCAT(SuperElipseTabla!C103,",",SuperElipseTabla!D103)</f>
        <v>97.5757575757577,48.2849169839347</v>
      </c>
      <c r="B94" s="1" t="str">
        <f t="shared" si="1"/>
        <v>POINT 97.5757575757577,48.2849169839347</v>
      </c>
    </row>
    <row r="95" spans="1:2" x14ac:dyDescent="0.6">
      <c r="A95" s="1" t="str">
        <f>_xlfn.CONCAT(SuperElipseTabla!C104,",",SuperElipseTabla!D104)</f>
        <v>98.6363636363638,46.6375717833462</v>
      </c>
      <c r="B95" s="1" t="str">
        <f t="shared" si="1"/>
        <v>POINT 98.6363636363638,46.6375717833462</v>
      </c>
    </row>
    <row r="96" spans="1:2" x14ac:dyDescent="0.6">
      <c r="A96" s="1" t="str">
        <f>_xlfn.CONCAT(SuperElipseTabla!C105,",",SuperElipseTabla!D105)</f>
        <v>99.6969696969698,44.7300669027856</v>
      </c>
      <c r="B96" s="1" t="str">
        <f t="shared" si="1"/>
        <v>POINT 99.6969696969698,44.7300669027856</v>
      </c>
    </row>
    <row r="97" spans="1:2" x14ac:dyDescent="0.6">
      <c r="A97" s="1" t="str">
        <f>_xlfn.CONCAT(SuperElipseTabla!C106,",",SuperElipseTabla!D106)</f>
        <v>100.757575757576,42.4647588369446</v>
      </c>
      <c r="B97" s="1" t="str">
        <f t="shared" si="1"/>
        <v>POINT 100.757575757576,42.4647588369446</v>
      </c>
    </row>
    <row r="98" spans="1:2" x14ac:dyDescent="0.6">
      <c r="A98" s="1" t="str">
        <f>_xlfn.CONCAT(SuperElipseTabla!C107,",",SuperElipseTabla!D107)</f>
        <v>101.818181818182,39.6687199118554</v>
      </c>
      <c r="B98" s="1" t="str">
        <f t="shared" si="1"/>
        <v>POINT 101.818181818182,39.6687199118554</v>
      </c>
    </row>
    <row r="99" spans="1:2" x14ac:dyDescent="0.6">
      <c r="A99" s="1" t="str">
        <f>_xlfn.CONCAT(SuperElipseTabla!C108,",",SuperElipseTabla!D108)</f>
        <v>102.878787878788,35.981318705823</v>
      </c>
      <c r="B99" s="1" t="str">
        <f t="shared" si="1"/>
        <v>POINT 102.878787878788,35.981318705823</v>
      </c>
    </row>
    <row r="100" spans="1:2" x14ac:dyDescent="0.6">
      <c r="A100" s="1" t="str">
        <f>_xlfn.CONCAT(SuperElipseTabla!C109,",",SuperElipseTabla!D109)</f>
        <v>103.939393939394,30.3716709766137</v>
      </c>
      <c r="B100" s="1" t="str">
        <f t="shared" si="1"/>
        <v>POINT 103.939393939394,30.3716709766137</v>
      </c>
    </row>
    <row r="101" spans="1:2" x14ac:dyDescent="0.6">
      <c r="A101" s="1" t="str">
        <f>_xlfn.CONCAT(SuperElipseTabla!C110,",",SuperElipseTabla!D110)</f>
        <v>105,0</v>
      </c>
      <c r="B101" s="1" t="str">
        <f t="shared" si="1"/>
        <v>POINT 105,0</v>
      </c>
    </row>
    <row r="103" spans="1:2" x14ac:dyDescent="0.6">
      <c r="A103" s="1" t="s">
        <v>16</v>
      </c>
    </row>
    <row r="104" spans="1:2" x14ac:dyDescent="0.6">
      <c r="A104" s="1" t="str">
        <f>_xlfn.CONCAT(SuperElipseTabla!$C11,",",SuperElipseTabla!E11)</f>
        <v>0,-68</v>
      </c>
      <c r="B104" s="1" t="str">
        <f t="shared" ref="B104:B167" si="2">_xlfn.CONCAT("POINT ",A104)</f>
        <v>POINT 0,-68</v>
      </c>
    </row>
    <row r="105" spans="1:2" x14ac:dyDescent="0.6">
      <c r="A105" s="1" t="str">
        <f>_xlfn.CONCAT(SuperElipseTabla!$C12,",",SuperElipseTabla!E12)</f>
        <v>1.06060606060606,-67.9999998230265</v>
      </c>
      <c r="B105" s="1" t="str">
        <f t="shared" si="2"/>
        <v>POINT 1.06060606060606,-67.9999998230265</v>
      </c>
    </row>
    <row r="106" spans="1:2" x14ac:dyDescent="0.6">
      <c r="A106" s="1" t="str">
        <f>_xlfn.CONCAT(SuperElipseTabla!$C13,",",SuperElipseTabla!E13)</f>
        <v>2.12121212121212,-67.9999971684245</v>
      </c>
      <c r="B106" s="1" t="str">
        <f t="shared" si="2"/>
        <v>POINT 2.12121212121212,-67.9999971684245</v>
      </c>
    </row>
    <row r="107" spans="1:2" x14ac:dyDescent="0.6">
      <c r="A107" s="1" t="str">
        <f>_xlfn.CONCAT(SuperElipseTabla!$C14,",",SuperElipseTabla!E14)</f>
        <v>3.18181818181818,-67.9999856651452</v>
      </c>
      <c r="B107" s="1" t="str">
        <f t="shared" si="2"/>
        <v>POINT 3.18181818181818,-67.9999856651452</v>
      </c>
    </row>
    <row r="108" spans="1:2" x14ac:dyDescent="0.6">
      <c r="A108" s="1" t="str">
        <f>_xlfn.CONCAT(SuperElipseTabla!$C15,",",SuperElipseTabla!E15)</f>
        <v>4.24242424242424,-67.9999546947489</v>
      </c>
      <c r="B108" s="1" t="str">
        <f t="shared" si="2"/>
        <v>POINT 4.24242424242424,-67.9999546947489</v>
      </c>
    </row>
    <row r="109" spans="1:2" x14ac:dyDescent="0.6">
      <c r="A109" s="1" t="str">
        <f>_xlfn.CONCAT(SuperElipseTabla!$C16,",",SuperElipseTabla!E16)</f>
        <v>5.3030303030303,-67.9998893913173</v>
      </c>
      <c r="B109" s="1" t="str">
        <f t="shared" si="2"/>
        <v>POINT 5.3030303030303,-67.9998893913173</v>
      </c>
    </row>
    <row r="110" spans="1:2" x14ac:dyDescent="0.6">
      <c r="A110" s="1" t="str">
        <f>_xlfn.CONCAT(SuperElipseTabla!$C17,",",SuperElipseTabla!E17)</f>
        <v>6.36363636363636,-67.9997706412348</v>
      </c>
      <c r="B110" s="1" t="str">
        <f t="shared" si="2"/>
        <v>POINT 6.36363636363636,-67.9997706412348</v>
      </c>
    </row>
    <row r="111" spans="1:2" x14ac:dyDescent="0.6">
      <c r="A111" s="1" t="str">
        <f>_xlfn.CONCAT(SuperElipseTabla!$C18,",",SuperElipseTabla!E18)</f>
        <v>7.42424242424242,-67.9995750827386</v>
      </c>
      <c r="B111" s="1" t="str">
        <f t="shared" si="2"/>
        <v>POINT 7.42424242424242,-67.9995750827386</v>
      </c>
    </row>
    <row r="112" spans="1:2" x14ac:dyDescent="0.6">
      <c r="A112" s="1" t="str">
        <f>_xlfn.CONCAT(SuperElipseTabla!$C19,",",SuperElipseTabla!E19)</f>
        <v>8.48484848484848,-67.9992751051147</v>
      </c>
      <c r="B112" s="1" t="str">
        <f t="shared" si="2"/>
        <v>POINT 8.48484848484848,-67.9992751051147</v>
      </c>
    </row>
    <row r="113" spans="1:2" x14ac:dyDescent="0.6">
      <c r="A113" s="1" t="str">
        <f>_xlfn.CONCAT(SuperElipseTabla!$C20,",",SuperElipseTabla!E20)</f>
        <v>9.54545454545454,-67.9988388473848</v>
      </c>
      <c r="B113" s="1" t="str">
        <f t="shared" si="2"/>
        <v>POINT 9.54545454545454,-67.9988388473848</v>
      </c>
    </row>
    <row r="114" spans="1:2" x14ac:dyDescent="0.6">
      <c r="A114" s="1" t="str">
        <f>_xlfn.CONCAT(SuperElipseTabla!$C21,",",SuperElipseTabla!E21)</f>
        <v>10.6060606060606,-67.9982301963038</v>
      </c>
      <c r="B114" s="1" t="str">
        <f t="shared" si="2"/>
        <v>POINT 10.6060606060606,-67.9982301963038</v>
      </c>
    </row>
    <row r="115" spans="1:2" x14ac:dyDescent="0.6">
      <c r="A115" s="1" t="str">
        <f>_xlfn.CONCAT(SuperElipseTabla!$C22,",",SuperElipseTabla!E22)</f>
        <v>11.6666666666667,-67.9974087834572</v>
      </c>
      <c r="B115" s="1" t="str">
        <f t="shared" si="2"/>
        <v>POINT 11.6666666666667,-67.9974087834572</v>
      </c>
    </row>
    <row r="116" spans="1:2" x14ac:dyDescent="0.6">
      <c r="A116" s="1" t="str">
        <f>_xlfn.CONCAT(SuperElipseTabla!$C23,",",SuperElipseTabla!E23)</f>
        <v>12.7272727272727,-67.9963299812233</v>
      </c>
      <c r="B116" s="1" t="str">
        <f t="shared" si="2"/>
        <v>POINT 12.7272727272727,-67.9963299812233</v>
      </c>
    </row>
    <row r="117" spans="1:2" x14ac:dyDescent="0.6">
      <c r="A117" s="1" t="str">
        <f>_xlfn.CONCAT(SuperElipseTabla!$C24,",",SuperElipseTabla!E24)</f>
        <v>13.7878787878788,-67.994944897331</v>
      </c>
      <c r="B117" s="1" t="str">
        <f t="shared" si="2"/>
        <v>POINT 13.7878787878788,-67.994944897331</v>
      </c>
    </row>
    <row r="118" spans="1:2" x14ac:dyDescent="0.6">
      <c r="A118" s="1" t="str">
        <f>_xlfn.CONCAT(SuperElipseTabla!$C25,",",SuperElipseTabla!E25)</f>
        <v>14.8484848484848,-67.993200367721</v>
      </c>
      <c r="B118" s="1" t="str">
        <f t="shared" si="2"/>
        <v>POINT 14.8484848484848,-67.993200367721</v>
      </c>
    </row>
    <row r="119" spans="1:2" x14ac:dyDescent="0.6">
      <c r="A119" s="1" t="str">
        <f>_xlfn.CONCAT(SuperElipseTabla!$C26,",",SuperElipseTabla!E26)</f>
        <v>15.9090909090909,-67.9910389473857</v>
      </c>
      <c r="B119" s="1" t="str">
        <f t="shared" si="2"/>
        <v>POINT 15.9090909090909,-67.9910389473857</v>
      </c>
    </row>
    <row r="120" spans="1:2" x14ac:dyDescent="0.6">
      <c r="A120" s="1" t="str">
        <f>_xlfn.CONCAT(SuperElipseTabla!$C27,",",SuperElipseTabla!E27)</f>
        <v>16.969696969697,-67.9883988988337</v>
      </c>
      <c r="B120" s="1" t="str">
        <f t="shared" si="2"/>
        <v>POINT 16.969696969697,-67.9883988988337</v>
      </c>
    </row>
    <row r="121" spans="1:2" x14ac:dyDescent="0.6">
      <c r="A121" s="1" t="str">
        <f>_xlfn.CONCAT(SuperElipseTabla!$C28,",",SuperElipseTabla!E28)</f>
        <v>18.030303030303,-67.9852141777955</v>
      </c>
      <c r="B121" s="1" t="str">
        <f t="shared" si="2"/>
        <v>POINT 18.030303030303,-67.9852141777955</v>
      </c>
    </row>
    <row r="122" spans="1:2" x14ac:dyDescent="0.6">
      <c r="A122" s="1" t="str">
        <f>_xlfn.CONCAT(SuperElipseTabla!$C29,",",SuperElipseTabla!E29)</f>
        <v>19.0909090909091,-67.9814144157566</v>
      </c>
      <c r="B122" s="1" t="str">
        <f t="shared" si="2"/>
        <v>POINT 19.0909090909091,-67.9814144157566</v>
      </c>
    </row>
    <row r="123" spans="1:2" x14ac:dyDescent="0.6">
      <c r="A123" s="1" t="str">
        <f>_xlfn.CONCAT(SuperElipseTabla!$C30,",",SuperElipseTabla!E30)</f>
        <v>20.1515151515152,-67.9769248988678</v>
      </c>
      <c r="B123" s="1" t="str">
        <f t="shared" si="2"/>
        <v>POINT 20.1515151515152,-67.9769248988678</v>
      </c>
    </row>
    <row r="124" spans="1:2" x14ac:dyDescent="0.6">
      <c r="A124" s="1" t="str">
        <f>_xlfn.CONCAT(SuperElipseTabla!$C31,",",SuperElipseTabla!E31)</f>
        <v>21.2121212121212,-67.9716665427557</v>
      </c>
      <c r="B124" s="1" t="str">
        <f t="shared" si="2"/>
        <v>POINT 21.2121212121212,-67.9716665427557</v>
      </c>
    </row>
    <row r="125" spans="1:2" x14ac:dyDescent="0.6">
      <c r="A125" s="1" t="str">
        <f>_xlfn.CONCAT(SuperElipseTabla!$C32,",",SuperElipseTabla!E32)</f>
        <v>22.2727272727273,-67.9655558627142</v>
      </c>
      <c r="B125" s="1" t="str">
        <f t="shared" si="2"/>
        <v>POINT 22.2727272727273,-67.9655558627142</v>
      </c>
    </row>
    <row r="126" spans="1:2" x14ac:dyDescent="0.6">
      <c r="A126" s="1" t="str">
        <f>_xlfn.CONCAT(SuperElipseTabla!$C33,",",SuperElipseTabla!E33)</f>
        <v>23.3333333333333,-67.958504938727</v>
      </c>
      <c r="B126" s="1" t="str">
        <f t="shared" si="2"/>
        <v>POINT 23.3333333333333,-67.958504938727</v>
      </c>
    </row>
    <row r="127" spans="1:2" x14ac:dyDescent="0.6">
      <c r="A127" s="1" t="str">
        <f>_xlfn.CONCAT(SuperElipseTabla!$C34,",",SuperElipseTabla!E34)</f>
        <v>24.3939393939394,-67.9504213747275</v>
      </c>
      <c r="B127" s="1" t="str">
        <f t="shared" si="2"/>
        <v>POINT 24.3939393939394,-67.9504213747275</v>
      </c>
    </row>
    <row r="128" spans="1:2" x14ac:dyDescent="0.6">
      <c r="A128" s="1" t="str">
        <f>_xlfn.CONCAT(SuperElipseTabla!$C35,",",SuperElipseTabla!E35)</f>
        <v>25.4545454545455,-67.9412082514629</v>
      </c>
      <c r="B128" s="1" t="str">
        <f t="shared" si="2"/>
        <v>POINT 25.4545454545455,-67.9412082514629</v>
      </c>
    </row>
    <row r="129" spans="1:2" x14ac:dyDescent="0.6">
      <c r="A129" s="1" t="str">
        <f>_xlfn.CONCAT(SuperElipseTabla!$C36,",",SuperElipseTabla!E36)</f>
        <v>26.5151515151515,-67.9307640722842</v>
      </c>
      <c r="B129" s="1" t="str">
        <f t="shared" si="2"/>
        <v>POINT 26.5151515151515,-67.9307640722842</v>
      </c>
    </row>
    <row r="130" spans="1:2" x14ac:dyDescent="0.6">
      <c r="A130" s="1" t="str">
        <f>_xlfn.CONCAT(SuperElipseTabla!$C37,",",SuperElipseTabla!E37)</f>
        <v>27.5757575757576,-67.9189827011345</v>
      </c>
      <c r="B130" s="1" t="str">
        <f t="shared" si="2"/>
        <v>POINT 27.5757575757576,-67.9189827011345</v>
      </c>
    </row>
    <row r="131" spans="1:2" x14ac:dyDescent="0.6">
      <c r="A131" s="1" t="str">
        <f>_xlfn.CONCAT(SuperElipseTabla!$C38,",",SuperElipseTabla!E38)</f>
        <v>28.6363636363637,-67.905753291956</v>
      </c>
      <c r="B131" s="1" t="str">
        <f t="shared" si="2"/>
        <v>POINT 28.6363636363637,-67.905753291956</v>
      </c>
    </row>
    <row r="132" spans="1:2" x14ac:dyDescent="0.6">
      <c r="A132" s="1" t="str">
        <f>_xlfn.CONCAT(SuperElipseTabla!$C39,",",SuperElipseTabla!E39)</f>
        <v>29.6969696969697,-67.8909602086781</v>
      </c>
      <c r="B132" s="1" t="str">
        <f t="shared" si="2"/>
        <v>POINT 29.6969696969697,-67.8909602086781</v>
      </c>
    </row>
    <row r="133" spans="1:2" x14ac:dyDescent="0.6">
      <c r="A133" s="1" t="str">
        <f>_xlfn.CONCAT(SuperElipseTabla!$C40,",",SuperElipseTabla!E40)</f>
        <v>30.7575757575758,-67.8744829348852</v>
      </c>
      <c r="B133" s="1" t="str">
        <f t="shared" si="2"/>
        <v>POINT 30.7575757575758,-67.8744829348852</v>
      </c>
    </row>
    <row r="134" spans="1:2" x14ac:dyDescent="0.6">
      <c r="A134" s="1" t="str">
        <f>_xlfn.CONCAT(SuperElipseTabla!$C41,",",SuperElipseTabla!E41)</f>
        <v>31.8181818181818,-67.856195972195</v>
      </c>
      <c r="B134" s="1" t="str">
        <f t="shared" si="2"/>
        <v>POINT 31.8181818181818,-67.856195972195</v>
      </c>
    </row>
    <row r="135" spans="1:2" x14ac:dyDescent="0.6">
      <c r="A135" s="1" t="str">
        <f>_xlfn.CONCAT(SuperElipseTabla!$C42,",",SuperElipseTabla!E42)</f>
        <v>32.8787878787879,-67.835968726297</v>
      </c>
      <c r="B135" s="1" t="str">
        <f t="shared" si="2"/>
        <v>POINT 32.8787878787879,-67.835968726297</v>
      </c>
    </row>
    <row r="136" spans="1:2" x14ac:dyDescent="0.6">
      <c r="A136" s="1" t="str">
        <f>_xlfn.CONCAT(SuperElipseTabla!$C43,",",SuperElipseTabla!E43)</f>
        <v>33.939393939394,-67.8136653795197</v>
      </c>
      <c r="B136" s="1" t="str">
        <f t="shared" si="2"/>
        <v>POINT 33.939393939394,-67.8136653795197</v>
      </c>
    </row>
    <row r="137" spans="1:2" x14ac:dyDescent="0.6">
      <c r="A137" s="1" t="str">
        <f>_xlfn.CONCAT(SuperElipseTabla!$C44,",",SuperElipseTabla!E44)</f>
        <v>35,-67.7891447486953</v>
      </c>
      <c r="B137" s="1" t="str">
        <f t="shared" si="2"/>
        <v>POINT 35,-67.7891447486953</v>
      </c>
    </row>
    <row r="138" spans="1:2" x14ac:dyDescent="0.6">
      <c r="A138" s="1" t="str">
        <f>_xlfn.CONCAT(SuperElipseTabla!$C45,",",SuperElipseTabla!E45)</f>
        <v>36.0606060606061,-67.7622601269856</v>
      </c>
      <c r="B138" s="1" t="str">
        <f t="shared" si="2"/>
        <v>POINT 36.0606060606061,-67.7622601269856</v>
      </c>
    </row>
    <row r="139" spans="1:2" x14ac:dyDescent="0.6">
      <c r="A139" s="1" t="str">
        <f>_xlfn.CONCAT(SuperElipseTabla!$C46,",",SuperElipseTabla!E46)</f>
        <v>37.1212121212122,-67.732859108212</v>
      </c>
      <c r="B139" s="1" t="str">
        <f t="shared" si="2"/>
        <v>POINT 37.1212121212122,-67.732859108212</v>
      </c>
    </row>
    <row r="140" spans="1:2" x14ac:dyDescent="0.6">
      <c r="A140" s="1" t="str">
        <f>_xlfn.CONCAT(SuperElipseTabla!$C47,",",SuperElipseTabla!E47)</f>
        <v>38.1818181818182,-67.7007833920982</v>
      </c>
      <c r="B140" s="1" t="str">
        <f t="shared" si="2"/>
        <v>POINT 38.1818181818182,-67.7007833920982</v>
      </c>
    </row>
    <row r="141" spans="1:2" x14ac:dyDescent="0.6">
      <c r="A141" s="1" t="str">
        <f>_xlfn.CONCAT(SuperElipseTabla!$C48,",",SuperElipseTabla!E48)</f>
        <v>39.2424242424243,-67.6658685686813</v>
      </c>
      <c r="B141" s="1" t="str">
        <f t="shared" si="2"/>
        <v>POINT 39.2424242424243,-67.6658685686813</v>
      </c>
    </row>
    <row r="142" spans="1:2" x14ac:dyDescent="0.6">
      <c r="A142" s="1" t="str">
        <f>_xlfn.CONCAT(SuperElipseTabla!$C49,",",SuperElipseTabla!E49)</f>
        <v>40.3030303030303,-67.6279438799764</v>
      </c>
      <c r="B142" s="1" t="str">
        <f t="shared" si="2"/>
        <v>POINT 40.3030303030303,-67.6279438799764</v>
      </c>
    </row>
    <row r="143" spans="1:2" x14ac:dyDescent="0.6">
      <c r="A143" s="1" t="str">
        <f>_xlfn.CONCAT(SuperElipseTabla!$C50,",",SuperElipseTabla!E50)</f>
        <v>41.3636363636364,-67.586831956784</v>
      </c>
      <c r="B143" s="1" t="str">
        <f t="shared" si="2"/>
        <v>POINT 41.3636363636364,-67.586831956784</v>
      </c>
    </row>
    <row r="144" spans="1:2" x14ac:dyDescent="0.6">
      <c r="A144" s="1" t="str">
        <f>_xlfn.CONCAT(SuperElipseTabla!$C51,",",SuperElipseTabla!E51)</f>
        <v>42.4242424242425,-67.542348528313</v>
      </c>
      <c r="B144" s="1" t="str">
        <f t="shared" si="2"/>
        <v>POINT 42.4242424242425,-67.542348528313</v>
      </c>
    </row>
    <row r="145" spans="1:2" x14ac:dyDescent="0.6">
      <c r="A145" s="1" t="str">
        <f>_xlfn.CONCAT(SuperElipseTabla!$C52,",",SuperElipseTabla!E52)</f>
        <v>43.4848484848485,-67.4943021020382</v>
      </c>
      <c r="B145" s="1" t="str">
        <f t="shared" si="2"/>
        <v>POINT 43.4848484848485,-67.4943021020382</v>
      </c>
    </row>
    <row r="146" spans="1:2" x14ac:dyDescent="0.6">
      <c r="A146" s="1" t="str">
        <f>_xlfn.CONCAT(SuperElipseTabla!$C53,",",SuperElipseTabla!E53)</f>
        <v>44.5454545454546,-67.4424936109307</v>
      </c>
      <c r="B146" s="1" t="str">
        <f t="shared" si="2"/>
        <v>POINT 44.5454545454546,-67.4424936109307</v>
      </c>
    </row>
    <row r="147" spans="1:2" x14ac:dyDescent="0.6">
      <c r="A147" s="1" t="str">
        <f>_xlfn.CONCAT(SuperElipseTabla!$C54,",",SuperElipseTabla!E54)</f>
        <v>45.6060606060607,-67.3867160248743</v>
      </c>
      <c r="B147" s="1" t="str">
        <f t="shared" si="2"/>
        <v>POINT 45.6060606060607,-67.3867160248743</v>
      </c>
    </row>
    <row r="148" spans="1:2" x14ac:dyDescent="0.6">
      <c r="A148" s="1" t="str">
        <f>_xlfn.CONCAT(SuperElipseTabla!$C55,",",SuperElipseTabla!E55)</f>
        <v>46.6666666666667,-67.3267539227121</v>
      </c>
      <c r="B148" s="1" t="str">
        <f t="shared" si="2"/>
        <v>POINT 46.6666666666667,-67.3267539227121</v>
      </c>
    </row>
    <row r="149" spans="1:2" x14ac:dyDescent="0.6">
      <c r="A149" s="1" t="str">
        <f>_xlfn.CONCAT(SuperElipseTabla!$C56,",",SuperElipseTabla!E56)</f>
        <v>47.7272727272728,-67.2623830209447</v>
      </c>
      <c r="B149" s="1" t="str">
        <f t="shared" si="2"/>
        <v>POINT 47.7272727272728,-67.2623830209447</v>
      </c>
    </row>
    <row r="150" spans="1:2" x14ac:dyDescent="0.6">
      <c r="A150" s="1" t="str">
        <f>_xlfn.CONCAT(SuperElipseTabla!$C57,",",SuperElipseTabla!E57)</f>
        <v>48.7878787878788,-67.1933696546168</v>
      </c>
      <c r="B150" s="1" t="str">
        <f t="shared" si="2"/>
        <v>POINT 48.7878787878788,-67.1933696546168</v>
      </c>
    </row>
    <row r="151" spans="1:2" x14ac:dyDescent="0.6">
      <c r="A151" s="1" t="str">
        <f>_xlfn.CONCAT(SuperElipseTabla!$C58,",",SuperElipseTabla!E58)</f>
        <v>49.8484848484849,-67.1194702053732</v>
      </c>
      <c r="B151" s="1" t="str">
        <f t="shared" si="2"/>
        <v>POINT 49.8484848484849,-67.1194702053732</v>
      </c>
    </row>
    <row r="152" spans="1:2" x14ac:dyDescent="0.6">
      <c r="A152" s="1" t="str">
        <f>_xlfn.CONCAT(SuperElipseTabla!$C59,",",SuperElipseTabla!E59)</f>
        <v>50.909090909091,-67.0404304710206</v>
      </c>
      <c r="B152" s="1" t="str">
        <f t="shared" si="2"/>
        <v>POINT 50.909090909091,-67.0404304710206</v>
      </c>
    </row>
    <row r="153" spans="1:2" x14ac:dyDescent="0.6">
      <c r="A153" s="1" t="str">
        <f>_xlfn.CONCAT(SuperElipseTabla!$C60,",",SuperElipseTabla!E60)</f>
        <v>51.969696969697,-66.9559849701981</v>
      </c>
      <c r="B153" s="1" t="str">
        <f t="shared" si="2"/>
        <v>POINT 51.969696969697,-66.9559849701981</v>
      </c>
    </row>
    <row r="154" spans="1:2" x14ac:dyDescent="0.6">
      <c r="A154" s="1" t="str">
        <f>_xlfn.CONCAT(SuperElipseTabla!$C61,",",SuperElipseTabla!E61)</f>
        <v>53.0303030303031,-66.8658561748952</v>
      </c>
      <c r="B154" s="1" t="str">
        <f t="shared" si="2"/>
        <v>POINT 53.0303030303031,-66.8658561748952</v>
      </c>
    </row>
    <row r="155" spans="1:2" x14ac:dyDescent="0.6">
      <c r="A155" s="1" t="str">
        <f>_xlfn.CONCAT(SuperElipseTabla!$C62,",",SuperElipseTabla!E62)</f>
        <v>54.0909090909092,-66.7697536625704</v>
      </c>
      <c r="B155" s="1" t="str">
        <f t="shared" si="2"/>
        <v>POINT 54.0909090909092,-66.7697536625704</v>
      </c>
    </row>
    <row r="156" spans="1:2" x14ac:dyDescent="0.6">
      <c r="A156" s="1" t="str">
        <f>_xlfn.CONCAT(SuperElipseTabla!$C63,",",SuperElipseTabla!E63)</f>
        <v>55.1515151515152,-66.6673731784613</v>
      </c>
      <c r="B156" s="1" t="str">
        <f t="shared" si="2"/>
        <v>POINT 55.1515151515152,-66.6673731784613</v>
      </c>
    </row>
    <row r="157" spans="1:2" x14ac:dyDescent="0.6">
      <c r="A157" s="1" t="str">
        <f>_xlfn.CONCAT(SuperElipseTabla!$C64,",",SuperElipseTabla!E64)</f>
        <v>56.2121212121213,-66.558395597336</v>
      </c>
      <c r="B157" s="1" t="str">
        <f t="shared" si="2"/>
        <v>POINT 56.2121212121213,-66.558395597336</v>
      </c>
    </row>
    <row r="158" spans="1:2" x14ac:dyDescent="0.6">
      <c r="A158" s="1" t="str">
        <f>_xlfn.CONCAT(SuperElipseTabla!$C65,",",SuperElipseTabla!E65)</f>
        <v>57.2727272727273,-66.4424857723522</v>
      </c>
      <c r="B158" s="1" t="str">
        <f t="shared" si="2"/>
        <v>POINT 57.2727272727273,-66.4424857723522</v>
      </c>
    </row>
    <row r="159" spans="1:2" x14ac:dyDescent="0.6">
      <c r="A159" s="1" t="str">
        <f>_xlfn.CONCAT(SuperElipseTabla!$C66,",",SuperElipseTabla!E66)</f>
        <v>58.3333333333334,-66.319291256846</v>
      </c>
      <c r="B159" s="1" t="str">
        <f t="shared" si="2"/>
        <v>POINT 58.3333333333334,-66.319291256846</v>
      </c>
    </row>
    <row r="160" spans="1:2" x14ac:dyDescent="0.6">
      <c r="A160" s="1" t="str">
        <f>_xlfn.CONCAT(SuperElipseTabla!$C67,",",SuperElipseTabla!E67)</f>
        <v>59.3939393939395,-66.1884408826881</v>
      </c>
      <c r="B160" s="1" t="str">
        <f t="shared" si="2"/>
        <v>POINT 59.3939393939395,-66.1884408826881</v>
      </c>
    </row>
    <row r="161" spans="1:2" x14ac:dyDescent="0.6">
      <c r="A161" s="1" t="str">
        <f>_xlfn.CONCAT(SuperElipseTabla!$C68,",",SuperElipseTabla!E68)</f>
        <v>60.4545454545455,-66.0495431762738</v>
      </c>
      <c r="B161" s="1" t="str">
        <f t="shared" si="2"/>
        <v>POINT 60.4545454545455,-66.0495431762738</v>
      </c>
    </row>
    <row r="162" spans="1:2" x14ac:dyDescent="0.6">
      <c r="A162" s="1" t="str">
        <f>_xlfn.CONCAT(SuperElipseTabla!$C69,",",SuperElipseTabla!E69)</f>
        <v>61.5151515151516,-65.9021845901575</v>
      </c>
      <c r="B162" s="1" t="str">
        <f t="shared" si="2"/>
        <v>POINT 61.5151515151516,-65.9021845901575</v>
      </c>
    </row>
    <row r="163" spans="1:2" x14ac:dyDescent="0.6">
      <c r="A163" s="1" t="str">
        <f>_xlfn.CONCAT(SuperElipseTabla!$C70,",",SuperElipseTabla!E70)</f>
        <v>62.5757575757576,-65.74592752471</v>
      </c>
      <c r="B163" s="1" t="str">
        <f t="shared" si="2"/>
        <v>POINT 62.5757575757576,-65.74592752471</v>
      </c>
    </row>
    <row r="164" spans="1:2" x14ac:dyDescent="0.6">
      <c r="A164" s="1" t="str">
        <f>_xlfn.CONCAT(SuperElipseTabla!$C71,",",SuperElipseTabla!E71)</f>
        <v>63.6363636363637,-65.5803081098301</v>
      </c>
      <c r="B164" s="1" t="str">
        <f t="shared" si="2"/>
        <v>POINT 63.6363636363637,-65.5803081098301</v>
      </c>
    </row>
    <row r="165" spans="1:2" x14ac:dyDescent="0.6">
      <c r="A165" s="1" t="str">
        <f>_xlfn.CONCAT(SuperElipseTabla!$C72,",",SuperElipseTabla!E72)</f>
        <v>64.6969696969698,-65.4048337115331</v>
      </c>
      <c r="B165" s="1" t="str">
        <f t="shared" si="2"/>
        <v>POINT 64.6969696969698,-65.4048337115331</v>
      </c>
    </row>
    <row r="166" spans="1:2" x14ac:dyDescent="0.6">
      <c r="A166" s="1" t="str">
        <f>_xlfn.CONCAT(SuperElipseTabla!$C73,",",SuperElipseTabla!E73)</f>
        <v>65.7575757575758,-65.2189801219495</v>
      </c>
      <c r="B166" s="1" t="str">
        <f t="shared" si="2"/>
        <v>POINT 65.7575757575758,-65.2189801219495</v>
      </c>
    </row>
    <row r="167" spans="1:2" x14ac:dyDescent="0.6">
      <c r="A167" s="1" t="str">
        <f>_xlfn.CONCAT(SuperElipseTabla!$C74,",",SuperElipseTabla!E74)</f>
        <v>66.8181818181819,-65.022188383663</v>
      </c>
      <c r="B167" s="1" t="str">
        <f t="shared" si="2"/>
        <v>POINT 66.8181818181819,-65.022188383663</v>
      </c>
    </row>
    <row r="168" spans="1:2" x14ac:dyDescent="0.6">
      <c r="A168" s="1" t="str">
        <f>_xlfn.CONCAT(SuperElipseTabla!$C75,",",SuperElipseTabla!E75)</f>
        <v>67.878787878788,-64.8138611900509</v>
      </c>
      <c r="B168" s="1" t="str">
        <f t="shared" ref="B168:B203" si="3">_xlfn.CONCAT("POINT ",A168)</f>
        <v>POINT 67.878787878788,-64.8138611900509</v>
      </c>
    </row>
    <row r="169" spans="1:2" x14ac:dyDescent="0.6">
      <c r="A169" s="1" t="str">
        <f>_xlfn.CONCAT(SuperElipseTabla!$C76,",",SuperElipseTabla!E76)</f>
        <v>68.939393939394,-64.5933587919656</v>
      </c>
      <c r="B169" s="1" t="str">
        <f t="shared" si="3"/>
        <v>POINT 68.939393939394,-64.5933587919656</v>
      </c>
    </row>
    <row r="170" spans="1:2" x14ac:dyDescent="0.6">
      <c r="A170" s="1" t="str">
        <f>_xlfn.CONCAT(SuperElipseTabla!$C77,",",SuperElipseTabla!E77)</f>
        <v>70.0000000000001,-64.3599943271633</v>
      </c>
      <c r="B170" s="1" t="str">
        <f t="shared" si="3"/>
        <v>POINT 70.0000000000001,-64.3599943271633</v>
      </c>
    </row>
    <row r="171" spans="1:2" x14ac:dyDescent="0.6">
      <c r="A171" s="1" t="str">
        <f>_xlfn.CONCAT(SuperElipseTabla!$C78,",",SuperElipseTabla!E78)</f>
        <v>71.0606060606061,-64.1130284716535</v>
      </c>
      <c r="B171" s="1" t="str">
        <f t="shared" si="3"/>
        <v>POINT 71.0606060606061,-64.1130284716535</v>
      </c>
    </row>
    <row r="172" spans="1:2" x14ac:dyDescent="0.6">
      <c r="A172" s="1" t="str">
        <f>_xlfn.CONCAT(SuperElipseTabla!$C79,",",SuperElipseTabla!E79)</f>
        <v>72.1212121212122,-63.8516632907003</v>
      </c>
      <c r="B172" s="1" t="str">
        <f t="shared" si="3"/>
        <v>POINT 72.1212121212122,-63.8516632907003</v>
      </c>
    </row>
    <row r="173" spans="1:2" x14ac:dyDescent="0.6">
      <c r="A173" s="1" t="str">
        <f>_xlfn.CONCAT(SuperElipseTabla!$C80,",",SuperElipseTabla!E80)</f>
        <v>73.1818181818183,-63.5750351403504</v>
      </c>
      <c r="B173" s="1" t="str">
        <f t="shared" si="3"/>
        <v>POINT 73.1818181818183,-63.5750351403504</v>
      </c>
    </row>
    <row r="174" spans="1:2" x14ac:dyDescent="0.6">
      <c r="A174" s="1" t="str">
        <f>_xlfn.CONCAT(SuperElipseTabla!$C81,",",SuperElipseTabla!E81)</f>
        <v>74.2424242424243,-63.2822064364953</v>
      </c>
      <c r="B174" s="1" t="str">
        <f t="shared" si="3"/>
        <v>POINT 74.2424242424243,-63.2822064364953</v>
      </c>
    </row>
    <row r="175" spans="1:2" x14ac:dyDescent="0.6">
      <c r="A175" s="1" t="str">
        <f>_xlfn.CONCAT(SuperElipseTabla!$C82,",",SuperElipseTabla!E82)</f>
        <v>75.3030303030304,-62.9721560654655</v>
      </c>
      <c r="B175" s="1" t="str">
        <f t="shared" si="3"/>
        <v>POINT 75.3030303030304,-62.9721560654655</v>
      </c>
    </row>
    <row r="176" spans="1:2" x14ac:dyDescent="0.6">
      <c r="A176" s="1" t="str">
        <f>_xlfn.CONCAT(SuperElipseTabla!$C83,",",SuperElipseTabla!E83)</f>
        <v>76.3636363636365,-62.6437681550957</v>
      </c>
      <c r="B176" s="1" t="str">
        <f t="shared" si="3"/>
        <v>POINT 76.3636363636365,-62.6437681550957</v>
      </c>
    </row>
    <row r="177" spans="1:2" x14ac:dyDescent="0.6">
      <c r="A177" s="1" t="str">
        <f>_xlfn.CONCAT(SuperElipseTabla!$C84,",",SuperElipseTabla!E84)</f>
        <v>77.4242424242425,-62.2958188541583</v>
      </c>
      <c r="B177" s="1" t="str">
        <f t="shared" si="3"/>
        <v>POINT 77.4242424242425,-62.2958188541583</v>
      </c>
    </row>
    <row r="178" spans="1:2" x14ac:dyDescent="0.6">
      <c r="A178" s="1" t="str">
        <f>_xlfn.CONCAT(SuperElipseTabla!$C85,",",SuperElipseTabla!E85)</f>
        <v>78.4848484848486,-61.9269606755581</v>
      </c>
      <c r="B178" s="1" t="str">
        <f t="shared" si="3"/>
        <v>POINT 78.4848484848486,-61.9269606755581</v>
      </c>
    </row>
    <row r="179" spans="1:2" x14ac:dyDescent="0.6">
      <c r="A179" s="1" t="str">
        <f>_xlfn.CONCAT(SuperElipseTabla!$C86,",",SuperElipseTabla!E86)</f>
        <v>79.5454545454546,-61.535703837129</v>
      </c>
      <c r="B179" s="1" t="str">
        <f t="shared" si="3"/>
        <v>POINT 79.5454545454546,-61.535703837129</v>
      </c>
    </row>
    <row r="180" spans="1:2" x14ac:dyDescent="0.6">
      <c r="A180" s="1" t="str">
        <f>_xlfn.CONCAT(SuperElipseTabla!$C87,",",SuperElipseTabla!E87)</f>
        <v>80.6060606060607,-61.1203938724886</v>
      </c>
      <c r="B180" s="1" t="str">
        <f t="shared" si="3"/>
        <v>POINT 80.6060606060607,-61.1203938724886</v>
      </c>
    </row>
    <row r="181" spans="1:2" x14ac:dyDescent="0.6">
      <c r="A181" s="1" t="str">
        <f>_xlfn.CONCAT(SuperElipseTabla!$C88,",",SuperElipseTabla!E88)</f>
        <v>81.6666666666668,-60.6791845678199</v>
      </c>
      <c r="B181" s="1" t="str">
        <f t="shared" si="3"/>
        <v>POINT 81.6666666666668,-60.6791845678199</v>
      </c>
    </row>
    <row r="182" spans="1:2" x14ac:dyDescent="0.6">
      <c r="A182" s="1" t="str">
        <f>_xlfn.CONCAT(SuperElipseTabla!$C89,",",SuperElipseTabla!E89)</f>
        <v>82.7272727272728,-60.210004986314</v>
      </c>
      <c r="B182" s="1" t="str">
        <f t="shared" si="3"/>
        <v>POINT 82.7272727272728,-60.210004986314</v>
      </c>
    </row>
    <row r="183" spans="1:2" x14ac:dyDescent="0.6">
      <c r="A183" s="1" t="str">
        <f>_xlfn.CONCAT(SuperElipseTabla!$C90,",",SuperElipseTabla!E90)</f>
        <v>83.7878787878789,-59.7105189374376</v>
      </c>
      <c r="B183" s="1" t="str">
        <f t="shared" si="3"/>
        <v>POINT 83.7878787878789,-59.7105189374376</v>
      </c>
    </row>
    <row r="184" spans="1:2" x14ac:dyDescent="0.6">
      <c r="A184" s="1" t="str">
        <f>_xlfn.CONCAT(SuperElipseTabla!$C91,",",SuperElipseTabla!E91)</f>
        <v>84.848484848485,-59.1780746839263</v>
      </c>
      <c r="B184" s="1" t="str">
        <f t="shared" si="3"/>
        <v>POINT 84.848484848485,-59.1780746839263</v>
      </c>
    </row>
    <row r="185" spans="1:2" x14ac:dyDescent="0.6">
      <c r="A185" s="1" t="str">
        <f>_xlfn.CONCAT(SuperElipseTabla!$C92,",",SuperElipseTabla!E92)</f>
        <v>85.909090909091,-58.6096418804073</v>
      </c>
      <c r="B185" s="1" t="str">
        <f t="shared" si="3"/>
        <v>POINT 85.909090909091,-58.6096418804073</v>
      </c>
    </row>
    <row r="186" spans="1:2" x14ac:dyDescent="0.6">
      <c r="A186" s="1" t="str">
        <f>_xlfn.CONCAT(SuperElipseTabla!$C93,",",SuperElipseTabla!E93)</f>
        <v>86.9696969696971,-58.0017315871713</v>
      </c>
      <c r="B186" s="1" t="str">
        <f t="shared" si="3"/>
        <v>POINT 86.9696969696971,-58.0017315871713</v>
      </c>
    </row>
    <row r="187" spans="1:2" x14ac:dyDescent="0.6">
      <c r="A187" s="1" t="str">
        <f>_xlfn.CONCAT(SuperElipseTabla!$C94,",",SuperElipseTabla!E94)</f>
        <v>88.0303030303031,-57.3502935157141</v>
      </c>
      <c r="B187" s="1" t="str">
        <f t="shared" si="3"/>
        <v>POINT 88.0303030303031,-57.3502935157141</v>
      </c>
    </row>
    <row r="188" spans="1:2" x14ac:dyDescent="0.6">
      <c r="A188" s="1" t="str">
        <f>_xlfn.CONCAT(SuperElipseTabla!$C95,",",SuperElipseTabla!E95)</f>
        <v>89.0909090909092,-56.6505821383052</v>
      </c>
      <c r="B188" s="1" t="str">
        <f t="shared" si="3"/>
        <v>POINT 89.0909090909092,-56.6505821383052</v>
      </c>
    </row>
    <row r="189" spans="1:2" x14ac:dyDescent="0.6">
      <c r="A189" s="1" t="str">
        <f>_xlfn.CONCAT(SuperElipseTabla!$C96,",",SuperElipseTabla!E96)</f>
        <v>90.1515151515153,-55.8969794299431</v>
      </c>
      <c r="B189" s="1" t="str">
        <f t="shared" si="3"/>
        <v>POINT 90.1515151515153,-55.8969794299431</v>
      </c>
    </row>
    <row r="190" spans="1:2" x14ac:dyDescent="0.6">
      <c r="A190" s="1" t="str">
        <f>_xlfn.CONCAT(SuperElipseTabla!$C97,",",SuperElipseTabla!E97)</f>
        <v>91.2121212121213,-55.0827559450841</v>
      </c>
      <c r="B190" s="1" t="str">
        <f t="shared" si="3"/>
        <v>POINT 91.2121212121213,-55.0827559450841</v>
      </c>
    </row>
    <row r="191" spans="1:2" x14ac:dyDescent="0.6">
      <c r="A191" s="1" t="str">
        <f>_xlfn.CONCAT(SuperElipseTabla!$C98,",",SuperElipseTabla!E98)</f>
        <v>92.2727272727274,-54.1997421321896</v>
      </c>
      <c r="B191" s="1" t="str">
        <f t="shared" si="3"/>
        <v>POINT 92.2727272727274,-54.1997421321896</v>
      </c>
    </row>
    <row r="192" spans="1:2" x14ac:dyDescent="0.6">
      <c r="A192" s="1" t="str">
        <f>_xlfn.CONCAT(SuperElipseTabla!$C99,",",SuperElipseTabla!E99)</f>
        <v>93.3333333333335,-53.2378654346208</v>
      </c>
      <c r="B192" s="1" t="str">
        <f t="shared" si="3"/>
        <v>POINT 93.3333333333335,-53.2378654346208</v>
      </c>
    </row>
    <row r="193" spans="1:2" x14ac:dyDescent="0.6">
      <c r="A193" s="1" t="str">
        <f>_xlfn.CONCAT(SuperElipseTabla!$C100,",",SuperElipseTabla!E100)</f>
        <v>94.3939393939395,-52.1844803901393</v>
      </c>
      <c r="B193" s="1" t="str">
        <f t="shared" si="3"/>
        <v>POINT 94.3939393939395,-52.1844803901393</v>
      </c>
    </row>
    <row r="194" spans="1:2" x14ac:dyDescent="0.6">
      <c r="A194" s="1" t="str">
        <f>_xlfn.CONCAT(SuperElipseTabla!$C101,",",SuperElipseTabla!E101)</f>
        <v>95.4545454545456,-51.023367659421</v>
      </c>
      <c r="B194" s="1" t="str">
        <f t="shared" si="3"/>
        <v>POINT 95.4545454545456,-51.023367659421</v>
      </c>
    </row>
    <row r="195" spans="1:2" x14ac:dyDescent="0.6">
      <c r="A195" s="1" t="str">
        <f>_xlfn.CONCAT(SuperElipseTabla!$C102,",",SuperElipseTabla!E102)</f>
        <v>96.5151515151516,-49.7331802157944</v>
      </c>
      <c r="B195" s="1" t="str">
        <f t="shared" si="3"/>
        <v>POINT 96.5151515151516,-49.7331802157944</v>
      </c>
    </row>
    <row r="196" spans="1:2" x14ac:dyDescent="0.6">
      <c r="A196" s="1" t="str">
        <f>_xlfn.CONCAT(SuperElipseTabla!$C103,",",SuperElipseTabla!E103)</f>
        <v>97.5757575757577,-48.2849169839347</v>
      </c>
      <c r="B196" s="1" t="str">
        <f t="shared" si="3"/>
        <v>POINT 97.5757575757577,-48.2849169839347</v>
      </c>
    </row>
    <row r="197" spans="1:2" x14ac:dyDescent="0.6">
      <c r="A197" s="1" t="str">
        <f>_xlfn.CONCAT(SuperElipseTabla!$C104,",",SuperElipseTabla!E104)</f>
        <v>98.6363636363638,-46.6375717833462</v>
      </c>
      <c r="B197" s="1" t="str">
        <f t="shared" si="3"/>
        <v>POINT 98.6363636363638,-46.6375717833462</v>
      </c>
    </row>
    <row r="198" spans="1:2" x14ac:dyDescent="0.6">
      <c r="A198" s="1" t="str">
        <f>_xlfn.CONCAT(SuperElipseTabla!$C105,",",SuperElipseTabla!E105)</f>
        <v>99.6969696969698,-44.7300669027856</v>
      </c>
      <c r="B198" s="1" t="str">
        <f t="shared" si="3"/>
        <v>POINT 99.6969696969698,-44.7300669027856</v>
      </c>
    </row>
    <row r="199" spans="1:2" x14ac:dyDescent="0.6">
      <c r="A199" s="1" t="str">
        <f>_xlfn.CONCAT(SuperElipseTabla!$C106,",",SuperElipseTabla!E106)</f>
        <v>100.757575757576,-42.4647588369446</v>
      </c>
      <c r="B199" s="1" t="str">
        <f t="shared" si="3"/>
        <v>POINT 100.757575757576,-42.4647588369446</v>
      </c>
    </row>
    <row r="200" spans="1:2" x14ac:dyDescent="0.6">
      <c r="A200" s="1" t="str">
        <f>_xlfn.CONCAT(SuperElipseTabla!$C107,",",SuperElipseTabla!E107)</f>
        <v>101.818181818182,-39.6687199118554</v>
      </c>
      <c r="B200" s="1" t="str">
        <f t="shared" si="3"/>
        <v>POINT 101.818181818182,-39.6687199118554</v>
      </c>
    </row>
    <row r="201" spans="1:2" x14ac:dyDescent="0.6">
      <c r="A201" s="1" t="str">
        <f>_xlfn.CONCAT(SuperElipseTabla!$C108,",",SuperElipseTabla!E108)</f>
        <v>102.878787878788,-35.981318705823</v>
      </c>
      <c r="B201" s="1" t="str">
        <f t="shared" si="3"/>
        <v>POINT 102.878787878788,-35.981318705823</v>
      </c>
    </row>
    <row r="202" spans="1:2" x14ac:dyDescent="0.6">
      <c r="A202" s="1" t="str">
        <f>_xlfn.CONCAT(SuperElipseTabla!$C109,",",SuperElipseTabla!E109)</f>
        <v>103.939393939394,-30.3716709766137</v>
      </c>
      <c r="B202" s="1" t="str">
        <f t="shared" si="3"/>
        <v>POINT 103.939393939394,-30.3716709766137</v>
      </c>
    </row>
    <row r="203" spans="1:2" x14ac:dyDescent="0.6">
      <c r="A203" s="1" t="str">
        <f>_xlfn.CONCAT(SuperElipseTabla!$C110,",",SuperElipseTabla!E110)</f>
        <v>105,0</v>
      </c>
      <c r="B203" s="1" t="str">
        <f t="shared" si="3"/>
        <v>POINT 105,0</v>
      </c>
    </row>
    <row r="205" spans="1:2" x14ac:dyDescent="0.6">
      <c r="A205" s="1" t="s">
        <v>16</v>
      </c>
    </row>
    <row r="206" spans="1:2" x14ac:dyDescent="0.6">
      <c r="A206" s="1" t="str">
        <f>_xlfn.CONCAT(SuperElipseTabla!$F11,",",SuperElipseTabla!G11)</f>
        <v>0,68</v>
      </c>
      <c r="B206" s="1" t="str">
        <f t="shared" ref="B206:B269" si="4">_xlfn.CONCAT("POINT ",A206)</f>
        <v>POINT 0,68</v>
      </c>
    </row>
    <row r="207" spans="1:2" x14ac:dyDescent="0.6">
      <c r="A207" s="1" t="str">
        <f>_xlfn.CONCAT(SuperElipseTabla!$F12,",",SuperElipseTabla!G12)</f>
        <v>-1.06060606060606,67.9999998230265</v>
      </c>
      <c r="B207" s="1" t="str">
        <f t="shared" si="4"/>
        <v>POINT -1.06060606060606,67.9999998230265</v>
      </c>
    </row>
    <row r="208" spans="1:2" x14ac:dyDescent="0.6">
      <c r="A208" s="1" t="str">
        <f>_xlfn.CONCAT(SuperElipseTabla!$F13,",",SuperElipseTabla!G13)</f>
        <v>-2.12121212121212,67.9999971684245</v>
      </c>
      <c r="B208" s="1" t="str">
        <f t="shared" si="4"/>
        <v>POINT -2.12121212121212,67.9999971684245</v>
      </c>
    </row>
    <row r="209" spans="1:2" x14ac:dyDescent="0.6">
      <c r="A209" s="1" t="str">
        <f>_xlfn.CONCAT(SuperElipseTabla!$F14,",",SuperElipseTabla!G14)</f>
        <v>-3.18181818181818,67.9999856651452</v>
      </c>
      <c r="B209" s="1" t="str">
        <f t="shared" si="4"/>
        <v>POINT -3.18181818181818,67.9999856651452</v>
      </c>
    </row>
    <row r="210" spans="1:2" x14ac:dyDescent="0.6">
      <c r="A210" s="1" t="str">
        <f>_xlfn.CONCAT(SuperElipseTabla!$F15,",",SuperElipseTabla!G15)</f>
        <v>-4.24242424242424,67.9999546947489</v>
      </c>
      <c r="B210" s="1" t="str">
        <f t="shared" si="4"/>
        <v>POINT -4.24242424242424,67.9999546947489</v>
      </c>
    </row>
    <row r="211" spans="1:2" x14ac:dyDescent="0.6">
      <c r="A211" s="1" t="str">
        <f>_xlfn.CONCAT(SuperElipseTabla!$F16,",",SuperElipseTabla!G16)</f>
        <v>-5.3030303030303,67.9998893913173</v>
      </c>
      <c r="B211" s="1" t="str">
        <f t="shared" si="4"/>
        <v>POINT -5.3030303030303,67.9998893913173</v>
      </c>
    </row>
    <row r="212" spans="1:2" x14ac:dyDescent="0.6">
      <c r="A212" s="1" t="str">
        <f>_xlfn.CONCAT(SuperElipseTabla!$F17,",",SuperElipseTabla!G17)</f>
        <v>-6.36363636363636,67.9997706412348</v>
      </c>
      <c r="B212" s="1" t="str">
        <f t="shared" si="4"/>
        <v>POINT -6.36363636363636,67.9997706412348</v>
      </c>
    </row>
    <row r="213" spans="1:2" x14ac:dyDescent="0.6">
      <c r="A213" s="1" t="str">
        <f>_xlfn.CONCAT(SuperElipseTabla!$F18,",",SuperElipseTabla!G18)</f>
        <v>-7.42424242424242,67.9995750827386</v>
      </c>
      <c r="B213" s="1" t="str">
        <f t="shared" si="4"/>
        <v>POINT -7.42424242424242,67.9995750827386</v>
      </c>
    </row>
    <row r="214" spans="1:2" x14ac:dyDescent="0.6">
      <c r="A214" s="1" t="str">
        <f>_xlfn.CONCAT(SuperElipseTabla!$F19,",",SuperElipseTabla!G19)</f>
        <v>-8.48484848484848,67.9992751051147</v>
      </c>
      <c r="B214" s="1" t="str">
        <f t="shared" si="4"/>
        <v>POINT -8.48484848484848,67.9992751051147</v>
      </c>
    </row>
    <row r="215" spans="1:2" x14ac:dyDescent="0.6">
      <c r="A215" s="1" t="str">
        <f>_xlfn.CONCAT(SuperElipseTabla!$F20,",",SuperElipseTabla!G20)</f>
        <v>-9.54545454545454,67.9988388473848</v>
      </c>
      <c r="B215" s="1" t="str">
        <f t="shared" si="4"/>
        <v>POINT -9.54545454545454,67.9988388473848</v>
      </c>
    </row>
    <row r="216" spans="1:2" x14ac:dyDescent="0.6">
      <c r="A216" s="1" t="str">
        <f>_xlfn.CONCAT(SuperElipseTabla!$F21,",",SuperElipseTabla!G21)</f>
        <v>-10.6060606060606,67.9982301963038</v>
      </c>
      <c r="B216" s="1" t="str">
        <f t="shared" si="4"/>
        <v>POINT -10.6060606060606,67.9982301963038</v>
      </c>
    </row>
    <row r="217" spans="1:2" x14ac:dyDescent="0.6">
      <c r="A217" s="1" t="str">
        <f>_xlfn.CONCAT(SuperElipseTabla!$F22,",",SuperElipseTabla!G22)</f>
        <v>-11.6666666666667,67.9974087834572</v>
      </c>
      <c r="B217" s="1" t="str">
        <f t="shared" si="4"/>
        <v>POINT -11.6666666666667,67.9974087834572</v>
      </c>
    </row>
    <row r="218" spans="1:2" x14ac:dyDescent="0.6">
      <c r="A218" s="1" t="str">
        <f>_xlfn.CONCAT(SuperElipseTabla!$F23,",",SuperElipseTabla!G23)</f>
        <v>-12.7272727272727,67.9963299812233</v>
      </c>
      <c r="B218" s="1" t="str">
        <f t="shared" si="4"/>
        <v>POINT -12.7272727272727,67.9963299812233</v>
      </c>
    </row>
    <row r="219" spans="1:2" x14ac:dyDescent="0.6">
      <c r="A219" s="1" t="str">
        <f>_xlfn.CONCAT(SuperElipseTabla!$F24,",",SuperElipseTabla!G24)</f>
        <v>-13.7878787878788,67.994944897331</v>
      </c>
      <c r="B219" s="1" t="str">
        <f t="shared" si="4"/>
        <v>POINT -13.7878787878788,67.994944897331</v>
      </c>
    </row>
    <row r="220" spans="1:2" x14ac:dyDescent="0.6">
      <c r="A220" s="1" t="str">
        <f>_xlfn.CONCAT(SuperElipseTabla!$F25,",",SuperElipseTabla!G25)</f>
        <v>-14.8484848484848,67.993200367721</v>
      </c>
      <c r="B220" s="1" t="str">
        <f t="shared" si="4"/>
        <v>POINT -14.8484848484848,67.993200367721</v>
      </c>
    </row>
    <row r="221" spans="1:2" x14ac:dyDescent="0.6">
      <c r="A221" s="1" t="str">
        <f>_xlfn.CONCAT(SuperElipseTabla!$F26,",",SuperElipseTabla!G26)</f>
        <v>-15.9090909090909,67.9910389473857</v>
      </c>
      <c r="B221" s="1" t="str">
        <f t="shared" si="4"/>
        <v>POINT -15.9090909090909,67.9910389473857</v>
      </c>
    </row>
    <row r="222" spans="1:2" x14ac:dyDescent="0.6">
      <c r="A222" s="1" t="str">
        <f>_xlfn.CONCAT(SuperElipseTabla!$F27,",",SuperElipseTabla!G27)</f>
        <v>-16.969696969697,67.9883988988337</v>
      </c>
      <c r="B222" s="1" t="str">
        <f t="shared" si="4"/>
        <v>POINT -16.969696969697,67.9883988988337</v>
      </c>
    </row>
    <row r="223" spans="1:2" x14ac:dyDescent="0.6">
      <c r="A223" s="1" t="str">
        <f>_xlfn.CONCAT(SuperElipseTabla!$F28,",",SuperElipseTabla!G28)</f>
        <v>-18.030303030303,67.9852141777955</v>
      </c>
      <c r="B223" s="1" t="str">
        <f t="shared" si="4"/>
        <v>POINT -18.030303030303,67.9852141777955</v>
      </c>
    </row>
    <row r="224" spans="1:2" x14ac:dyDescent="0.6">
      <c r="A224" s="1" t="str">
        <f>_xlfn.CONCAT(SuperElipseTabla!$F29,",",SuperElipseTabla!G29)</f>
        <v>-19.0909090909091,67.9814144157566</v>
      </c>
      <c r="B224" s="1" t="str">
        <f t="shared" si="4"/>
        <v>POINT -19.0909090909091,67.9814144157566</v>
      </c>
    </row>
    <row r="225" spans="1:2" x14ac:dyDescent="0.6">
      <c r="A225" s="1" t="str">
        <f>_xlfn.CONCAT(SuperElipseTabla!$F30,",",SuperElipseTabla!G30)</f>
        <v>-20.1515151515152,67.9769248988678</v>
      </c>
      <c r="B225" s="1" t="str">
        <f t="shared" si="4"/>
        <v>POINT -20.1515151515152,67.9769248988678</v>
      </c>
    </row>
    <row r="226" spans="1:2" x14ac:dyDescent="0.6">
      <c r="A226" s="1" t="str">
        <f>_xlfn.CONCAT(SuperElipseTabla!$F31,",",SuperElipseTabla!G31)</f>
        <v>-21.2121212121212,67.9716665427557</v>
      </c>
      <c r="B226" s="1" t="str">
        <f t="shared" si="4"/>
        <v>POINT -21.2121212121212,67.9716665427557</v>
      </c>
    </row>
    <row r="227" spans="1:2" x14ac:dyDescent="0.6">
      <c r="A227" s="1" t="str">
        <f>_xlfn.CONCAT(SuperElipseTabla!$F32,",",SuperElipseTabla!G32)</f>
        <v>-22.2727272727273,67.9655558627142</v>
      </c>
      <c r="B227" s="1" t="str">
        <f t="shared" si="4"/>
        <v>POINT -22.2727272727273,67.9655558627142</v>
      </c>
    </row>
    <row r="228" spans="1:2" x14ac:dyDescent="0.6">
      <c r="A228" s="1" t="str">
        <f>_xlfn.CONCAT(SuperElipseTabla!$F33,",",SuperElipseTabla!G33)</f>
        <v>-23.3333333333333,67.958504938727</v>
      </c>
      <c r="B228" s="1" t="str">
        <f t="shared" si="4"/>
        <v>POINT -23.3333333333333,67.958504938727</v>
      </c>
    </row>
    <row r="229" spans="1:2" x14ac:dyDescent="0.6">
      <c r="A229" s="1" t="str">
        <f>_xlfn.CONCAT(SuperElipseTabla!$F34,",",SuperElipseTabla!G34)</f>
        <v>-24.3939393939394,67.9504213747275</v>
      </c>
      <c r="B229" s="1" t="str">
        <f t="shared" si="4"/>
        <v>POINT -24.3939393939394,67.9504213747275</v>
      </c>
    </row>
    <row r="230" spans="1:2" x14ac:dyDescent="0.6">
      <c r="A230" s="1" t="str">
        <f>_xlfn.CONCAT(SuperElipseTabla!$F35,",",SuperElipseTabla!G35)</f>
        <v>-25.4545454545455,67.9412082514629</v>
      </c>
      <c r="B230" s="1" t="str">
        <f t="shared" si="4"/>
        <v>POINT -25.4545454545455,67.9412082514629</v>
      </c>
    </row>
    <row r="231" spans="1:2" x14ac:dyDescent="0.6">
      <c r="A231" s="1" t="str">
        <f>_xlfn.CONCAT(SuperElipseTabla!$F36,",",SuperElipseTabla!G36)</f>
        <v>-26.5151515151515,67.9307640722842</v>
      </c>
      <c r="B231" s="1" t="str">
        <f t="shared" si="4"/>
        <v>POINT -26.5151515151515,67.9307640722842</v>
      </c>
    </row>
    <row r="232" spans="1:2" x14ac:dyDescent="0.6">
      <c r="A232" s="1" t="str">
        <f>_xlfn.CONCAT(SuperElipseTabla!$F37,",",SuperElipseTabla!G37)</f>
        <v>-27.5757575757576,67.9189827011345</v>
      </c>
      <c r="B232" s="1" t="str">
        <f t="shared" si="4"/>
        <v>POINT -27.5757575757576,67.9189827011345</v>
      </c>
    </row>
    <row r="233" spans="1:2" x14ac:dyDescent="0.6">
      <c r="A233" s="1" t="str">
        <f>_xlfn.CONCAT(SuperElipseTabla!$F38,",",SuperElipseTabla!G38)</f>
        <v>-28.6363636363637,67.905753291956</v>
      </c>
      <c r="B233" s="1" t="str">
        <f t="shared" si="4"/>
        <v>POINT -28.6363636363637,67.905753291956</v>
      </c>
    </row>
    <row r="234" spans="1:2" x14ac:dyDescent="0.6">
      <c r="A234" s="1" t="str">
        <f>_xlfn.CONCAT(SuperElipseTabla!$F39,",",SuperElipseTabla!G39)</f>
        <v>-29.6969696969697,67.8909602086781</v>
      </c>
      <c r="B234" s="1" t="str">
        <f t="shared" si="4"/>
        <v>POINT -29.6969696969697,67.8909602086781</v>
      </c>
    </row>
    <row r="235" spans="1:2" x14ac:dyDescent="0.6">
      <c r="A235" s="1" t="str">
        <f>_xlfn.CONCAT(SuperElipseTabla!$F40,",",SuperElipseTabla!G40)</f>
        <v>-30.7575757575758,67.8744829348852</v>
      </c>
      <c r="B235" s="1" t="str">
        <f t="shared" si="4"/>
        <v>POINT -30.7575757575758,67.8744829348852</v>
      </c>
    </row>
    <row r="236" spans="1:2" x14ac:dyDescent="0.6">
      <c r="A236" s="1" t="str">
        <f>_xlfn.CONCAT(SuperElipseTabla!$F41,",",SuperElipseTabla!G41)</f>
        <v>-31.8181818181818,67.856195972195</v>
      </c>
      <c r="B236" s="1" t="str">
        <f t="shared" si="4"/>
        <v>POINT -31.8181818181818,67.856195972195</v>
      </c>
    </row>
    <row r="237" spans="1:2" x14ac:dyDescent="0.6">
      <c r="A237" s="1" t="str">
        <f>_xlfn.CONCAT(SuperElipseTabla!$F42,",",SuperElipseTabla!G42)</f>
        <v>-32.8787878787879,67.835968726297</v>
      </c>
      <c r="B237" s="1" t="str">
        <f t="shared" si="4"/>
        <v>POINT -32.8787878787879,67.835968726297</v>
      </c>
    </row>
    <row r="238" spans="1:2" x14ac:dyDescent="0.6">
      <c r="A238" s="1" t="str">
        <f>_xlfn.CONCAT(SuperElipseTabla!$F43,",",SuperElipseTabla!G43)</f>
        <v>-33.939393939394,67.8136653795197</v>
      </c>
      <c r="B238" s="1" t="str">
        <f t="shared" si="4"/>
        <v>POINT -33.939393939394,67.8136653795197</v>
      </c>
    </row>
    <row r="239" spans="1:2" x14ac:dyDescent="0.6">
      <c r="A239" s="1" t="str">
        <f>_xlfn.CONCAT(SuperElipseTabla!$F44,",",SuperElipseTabla!G44)</f>
        <v>-35,67.7891447486953</v>
      </c>
      <c r="B239" s="1" t="str">
        <f t="shared" si="4"/>
        <v>POINT -35,67.7891447486953</v>
      </c>
    </row>
    <row r="240" spans="1:2" x14ac:dyDescent="0.6">
      <c r="A240" s="1" t="str">
        <f>_xlfn.CONCAT(SuperElipseTabla!$F45,",",SuperElipseTabla!G45)</f>
        <v>-36.0606060606061,67.7622601269856</v>
      </c>
      <c r="B240" s="1" t="str">
        <f t="shared" si="4"/>
        <v>POINT -36.0606060606061,67.7622601269856</v>
      </c>
    </row>
    <row r="241" spans="1:2" x14ac:dyDescent="0.6">
      <c r="A241" s="1" t="str">
        <f>_xlfn.CONCAT(SuperElipseTabla!$F46,",",SuperElipseTabla!G46)</f>
        <v>-37.1212121212122,67.732859108212</v>
      </c>
      <c r="B241" s="1" t="str">
        <f t="shared" si="4"/>
        <v>POINT -37.1212121212122,67.732859108212</v>
      </c>
    </row>
    <row r="242" spans="1:2" x14ac:dyDescent="0.6">
      <c r="A242" s="1" t="str">
        <f>_xlfn.CONCAT(SuperElipseTabla!$F47,",",SuperElipseTabla!G47)</f>
        <v>-38.1818181818182,67.7007833920982</v>
      </c>
      <c r="B242" s="1" t="str">
        <f t="shared" si="4"/>
        <v>POINT -38.1818181818182,67.7007833920982</v>
      </c>
    </row>
    <row r="243" spans="1:2" x14ac:dyDescent="0.6">
      <c r="A243" s="1" t="str">
        <f>_xlfn.CONCAT(SuperElipseTabla!$F48,",",SuperElipseTabla!G48)</f>
        <v>-39.2424242424243,67.6658685686813</v>
      </c>
      <c r="B243" s="1" t="str">
        <f t="shared" si="4"/>
        <v>POINT -39.2424242424243,67.6658685686813</v>
      </c>
    </row>
    <row r="244" spans="1:2" x14ac:dyDescent="0.6">
      <c r="A244" s="1" t="str">
        <f>_xlfn.CONCAT(SuperElipseTabla!$F49,",",SuperElipseTabla!G49)</f>
        <v>-40.3030303030303,67.6279438799764</v>
      </c>
      <c r="B244" s="1" t="str">
        <f t="shared" si="4"/>
        <v>POINT -40.3030303030303,67.6279438799764</v>
      </c>
    </row>
    <row r="245" spans="1:2" x14ac:dyDescent="0.6">
      <c r="A245" s="1" t="str">
        <f>_xlfn.CONCAT(SuperElipseTabla!$F50,",",SuperElipseTabla!G50)</f>
        <v>-41.3636363636364,67.586831956784</v>
      </c>
      <c r="B245" s="1" t="str">
        <f t="shared" si="4"/>
        <v>POINT -41.3636363636364,67.586831956784</v>
      </c>
    </row>
    <row r="246" spans="1:2" x14ac:dyDescent="0.6">
      <c r="A246" s="1" t="str">
        <f>_xlfn.CONCAT(SuperElipseTabla!$F51,",",SuperElipseTabla!G51)</f>
        <v>-42.4242424242425,67.542348528313</v>
      </c>
      <c r="B246" s="1" t="str">
        <f t="shared" si="4"/>
        <v>POINT -42.4242424242425,67.542348528313</v>
      </c>
    </row>
    <row r="247" spans="1:2" x14ac:dyDescent="0.6">
      <c r="A247" s="1" t="str">
        <f>_xlfn.CONCAT(SuperElipseTabla!$F52,",",SuperElipseTabla!G52)</f>
        <v>-43.4848484848485,67.4943021020382</v>
      </c>
      <c r="B247" s="1" t="str">
        <f t="shared" si="4"/>
        <v>POINT -43.4848484848485,67.4943021020382</v>
      </c>
    </row>
    <row r="248" spans="1:2" x14ac:dyDescent="0.6">
      <c r="A248" s="1" t="str">
        <f>_xlfn.CONCAT(SuperElipseTabla!$F53,",",SuperElipseTabla!G53)</f>
        <v>-44.5454545454546,67.4424936109307</v>
      </c>
      <c r="B248" s="1" t="str">
        <f t="shared" si="4"/>
        <v>POINT -44.5454545454546,67.4424936109307</v>
      </c>
    </row>
    <row r="249" spans="1:2" x14ac:dyDescent="0.6">
      <c r="A249" s="1" t="str">
        <f>_xlfn.CONCAT(SuperElipseTabla!$F54,",",SuperElipseTabla!G54)</f>
        <v>-45.6060606060607,67.3867160248743</v>
      </c>
      <c r="B249" s="1" t="str">
        <f t="shared" si="4"/>
        <v>POINT -45.6060606060607,67.3867160248743</v>
      </c>
    </row>
    <row r="250" spans="1:2" x14ac:dyDescent="0.6">
      <c r="A250" s="1" t="str">
        <f>_xlfn.CONCAT(SuperElipseTabla!$F55,",",SuperElipseTabla!G55)</f>
        <v>-46.6666666666667,67.3267539227121</v>
      </c>
      <c r="B250" s="1" t="str">
        <f t="shared" si="4"/>
        <v>POINT -46.6666666666667,67.3267539227121</v>
      </c>
    </row>
    <row r="251" spans="1:2" x14ac:dyDescent="0.6">
      <c r="A251" s="1" t="str">
        <f>_xlfn.CONCAT(SuperElipseTabla!$F56,",",SuperElipseTabla!G56)</f>
        <v>-47.7272727272728,67.2623830209447</v>
      </c>
      <c r="B251" s="1" t="str">
        <f t="shared" si="4"/>
        <v>POINT -47.7272727272728,67.2623830209447</v>
      </c>
    </row>
    <row r="252" spans="1:2" x14ac:dyDescent="0.6">
      <c r="A252" s="1" t="str">
        <f>_xlfn.CONCAT(SuperElipseTabla!$F57,",",SuperElipseTabla!G57)</f>
        <v>-48.7878787878788,67.1933696546168</v>
      </c>
      <c r="B252" s="1" t="str">
        <f t="shared" si="4"/>
        <v>POINT -48.7878787878788,67.1933696546168</v>
      </c>
    </row>
    <row r="253" spans="1:2" x14ac:dyDescent="0.6">
      <c r="A253" s="1" t="str">
        <f>_xlfn.CONCAT(SuperElipseTabla!$F58,",",SuperElipseTabla!G58)</f>
        <v>-49.8484848484849,67.1194702053732</v>
      </c>
      <c r="B253" s="1" t="str">
        <f t="shared" si="4"/>
        <v>POINT -49.8484848484849,67.1194702053732</v>
      </c>
    </row>
    <row r="254" spans="1:2" x14ac:dyDescent="0.6">
      <c r="A254" s="1" t="str">
        <f>_xlfn.CONCAT(SuperElipseTabla!$F59,",",SuperElipseTabla!G59)</f>
        <v>-50.909090909091,67.0404304710206</v>
      </c>
      <c r="B254" s="1" t="str">
        <f t="shared" si="4"/>
        <v>POINT -50.909090909091,67.0404304710206</v>
      </c>
    </row>
    <row r="255" spans="1:2" x14ac:dyDescent="0.6">
      <c r="A255" s="1" t="str">
        <f>_xlfn.CONCAT(SuperElipseTabla!$F60,",",SuperElipseTabla!G60)</f>
        <v>-51.969696969697,66.9559849701981</v>
      </c>
      <c r="B255" s="1" t="str">
        <f t="shared" si="4"/>
        <v>POINT -51.969696969697,66.9559849701981</v>
      </c>
    </row>
    <row r="256" spans="1:2" x14ac:dyDescent="0.6">
      <c r="A256" s="1" t="str">
        <f>_xlfn.CONCAT(SuperElipseTabla!$F61,",",SuperElipseTabla!G61)</f>
        <v>-53.0303030303031,66.8658561748952</v>
      </c>
      <c r="B256" s="1" t="str">
        <f t="shared" si="4"/>
        <v>POINT -53.0303030303031,66.8658561748952</v>
      </c>
    </row>
    <row r="257" spans="1:2" x14ac:dyDescent="0.6">
      <c r="A257" s="1" t="str">
        <f>_xlfn.CONCAT(SuperElipseTabla!$F62,",",SuperElipseTabla!G62)</f>
        <v>-54.0909090909092,66.7697536625704</v>
      </c>
      <c r="B257" s="1" t="str">
        <f t="shared" si="4"/>
        <v>POINT -54.0909090909092,66.7697536625704</v>
      </c>
    </row>
    <row r="258" spans="1:2" x14ac:dyDescent="0.6">
      <c r="A258" s="1" t="str">
        <f>_xlfn.CONCAT(SuperElipseTabla!$F63,",",SuperElipseTabla!G63)</f>
        <v>-55.1515151515152,66.6673731784613</v>
      </c>
      <c r="B258" s="1" t="str">
        <f t="shared" si="4"/>
        <v>POINT -55.1515151515152,66.6673731784613</v>
      </c>
    </row>
    <row r="259" spans="1:2" x14ac:dyDescent="0.6">
      <c r="A259" s="1" t="str">
        <f>_xlfn.CONCAT(SuperElipseTabla!$F64,",",SuperElipseTabla!G64)</f>
        <v>-56.2121212121213,66.558395597336</v>
      </c>
      <c r="B259" s="1" t="str">
        <f t="shared" si="4"/>
        <v>POINT -56.2121212121213,66.558395597336</v>
      </c>
    </row>
    <row r="260" spans="1:2" x14ac:dyDescent="0.6">
      <c r="A260" s="1" t="str">
        <f>_xlfn.CONCAT(SuperElipseTabla!$F65,",",SuperElipseTabla!G65)</f>
        <v>-57.2727272727273,66.4424857723522</v>
      </c>
      <c r="B260" s="1" t="str">
        <f t="shared" si="4"/>
        <v>POINT -57.2727272727273,66.4424857723522</v>
      </c>
    </row>
    <row r="261" spans="1:2" x14ac:dyDescent="0.6">
      <c r="A261" s="1" t="str">
        <f>_xlfn.CONCAT(SuperElipseTabla!$F66,",",SuperElipseTabla!G66)</f>
        <v>-58.3333333333334,66.319291256846</v>
      </c>
      <c r="B261" s="1" t="str">
        <f t="shared" si="4"/>
        <v>POINT -58.3333333333334,66.319291256846</v>
      </c>
    </row>
    <row r="262" spans="1:2" x14ac:dyDescent="0.6">
      <c r="A262" s="1" t="str">
        <f>_xlfn.CONCAT(SuperElipseTabla!$F67,",",SuperElipseTabla!G67)</f>
        <v>-59.3939393939395,66.1884408826881</v>
      </c>
      <c r="B262" s="1" t="str">
        <f t="shared" si="4"/>
        <v>POINT -59.3939393939395,66.1884408826881</v>
      </c>
    </row>
    <row r="263" spans="1:2" x14ac:dyDescent="0.6">
      <c r="A263" s="1" t="str">
        <f>_xlfn.CONCAT(SuperElipseTabla!$F68,",",SuperElipseTabla!G68)</f>
        <v>-60.4545454545455,66.0495431762738</v>
      </c>
      <c r="B263" s="1" t="str">
        <f t="shared" si="4"/>
        <v>POINT -60.4545454545455,66.0495431762738</v>
      </c>
    </row>
    <row r="264" spans="1:2" x14ac:dyDescent="0.6">
      <c r="A264" s="1" t="str">
        <f>_xlfn.CONCAT(SuperElipseTabla!$F69,",",SuperElipseTabla!G69)</f>
        <v>-61.5151515151516,65.9021845901575</v>
      </c>
      <c r="B264" s="1" t="str">
        <f t="shared" si="4"/>
        <v>POINT -61.5151515151516,65.9021845901575</v>
      </c>
    </row>
    <row r="265" spans="1:2" x14ac:dyDescent="0.6">
      <c r="A265" s="1" t="str">
        <f>_xlfn.CONCAT(SuperElipseTabla!$F70,",",SuperElipseTabla!G70)</f>
        <v>-62.5757575757576,65.74592752471</v>
      </c>
      <c r="B265" s="1" t="str">
        <f t="shared" si="4"/>
        <v>POINT -62.5757575757576,65.74592752471</v>
      </c>
    </row>
    <row r="266" spans="1:2" x14ac:dyDescent="0.6">
      <c r="A266" s="1" t="str">
        <f>_xlfn.CONCAT(SuperElipseTabla!$F71,",",SuperElipseTabla!G71)</f>
        <v>-63.6363636363637,65.5803081098301</v>
      </c>
      <c r="B266" s="1" t="str">
        <f t="shared" si="4"/>
        <v>POINT -63.6363636363637,65.5803081098301</v>
      </c>
    </row>
    <row r="267" spans="1:2" x14ac:dyDescent="0.6">
      <c r="A267" s="1" t="str">
        <f>_xlfn.CONCAT(SuperElipseTabla!$F72,",",SuperElipseTabla!G72)</f>
        <v>-64.6969696969698,65.4048337115331</v>
      </c>
      <c r="B267" s="1" t="str">
        <f t="shared" si="4"/>
        <v>POINT -64.6969696969698,65.4048337115331</v>
      </c>
    </row>
    <row r="268" spans="1:2" x14ac:dyDescent="0.6">
      <c r="A268" s="1" t="str">
        <f>_xlfn.CONCAT(SuperElipseTabla!$F73,",",SuperElipseTabla!G73)</f>
        <v>-65.7575757575758,65.2189801219495</v>
      </c>
      <c r="B268" s="1" t="str">
        <f t="shared" si="4"/>
        <v>POINT -65.7575757575758,65.2189801219495</v>
      </c>
    </row>
    <row r="269" spans="1:2" x14ac:dyDescent="0.6">
      <c r="A269" s="1" t="str">
        <f>_xlfn.CONCAT(SuperElipseTabla!$F74,",",SuperElipseTabla!G74)</f>
        <v>-66.8181818181819,65.022188383663</v>
      </c>
      <c r="B269" s="1" t="str">
        <f t="shared" si="4"/>
        <v>POINT -66.8181818181819,65.022188383663</v>
      </c>
    </row>
    <row r="270" spans="1:2" x14ac:dyDescent="0.6">
      <c r="A270" s="1" t="str">
        <f>_xlfn.CONCAT(SuperElipseTabla!$F75,",",SuperElipseTabla!G75)</f>
        <v>-67.878787878788,64.8138611900509</v>
      </c>
      <c r="B270" s="1" t="str">
        <f t="shared" ref="B270:B305" si="5">_xlfn.CONCAT("POINT ",A270)</f>
        <v>POINT -67.878787878788,64.8138611900509</v>
      </c>
    </row>
    <row r="271" spans="1:2" x14ac:dyDescent="0.6">
      <c r="A271" s="1" t="str">
        <f>_xlfn.CONCAT(SuperElipseTabla!$F76,",",SuperElipseTabla!G76)</f>
        <v>-68.939393939394,64.5933587919656</v>
      </c>
      <c r="B271" s="1" t="str">
        <f t="shared" si="5"/>
        <v>POINT -68.939393939394,64.5933587919656</v>
      </c>
    </row>
    <row r="272" spans="1:2" x14ac:dyDescent="0.6">
      <c r="A272" s="1" t="str">
        <f>_xlfn.CONCAT(SuperElipseTabla!$F77,",",SuperElipseTabla!G77)</f>
        <v>-70.0000000000001,64.3599943271633</v>
      </c>
      <c r="B272" s="1" t="str">
        <f t="shared" si="5"/>
        <v>POINT -70.0000000000001,64.3599943271633</v>
      </c>
    </row>
    <row r="273" spans="1:2" x14ac:dyDescent="0.6">
      <c r="A273" s="1" t="str">
        <f>_xlfn.CONCAT(SuperElipseTabla!$F78,",",SuperElipseTabla!G78)</f>
        <v>-71.0606060606061,64.1130284716535</v>
      </c>
      <c r="B273" s="1" t="str">
        <f t="shared" si="5"/>
        <v>POINT -71.0606060606061,64.1130284716535</v>
      </c>
    </row>
    <row r="274" spans="1:2" x14ac:dyDescent="0.6">
      <c r="A274" s="1" t="str">
        <f>_xlfn.CONCAT(SuperElipseTabla!$F79,",",SuperElipseTabla!G79)</f>
        <v>-72.1212121212122,63.8516632907003</v>
      </c>
      <c r="B274" s="1" t="str">
        <f t="shared" si="5"/>
        <v>POINT -72.1212121212122,63.8516632907003</v>
      </c>
    </row>
    <row r="275" spans="1:2" x14ac:dyDescent="0.6">
      <c r="A275" s="1" t="str">
        <f>_xlfn.CONCAT(SuperElipseTabla!$F80,",",SuperElipseTabla!G80)</f>
        <v>-73.1818181818183,63.5750351403504</v>
      </c>
      <c r="B275" s="1" t="str">
        <f t="shared" si="5"/>
        <v>POINT -73.1818181818183,63.5750351403504</v>
      </c>
    </row>
    <row r="276" spans="1:2" x14ac:dyDescent="0.6">
      <c r="A276" s="1" t="str">
        <f>_xlfn.CONCAT(SuperElipseTabla!$F81,",",SuperElipseTabla!G81)</f>
        <v>-74.2424242424243,63.2822064364953</v>
      </c>
      <c r="B276" s="1" t="str">
        <f t="shared" si="5"/>
        <v>POINT -74.2424242424243,63.2822064364953</v>
      </c>
    </row>
    <row r="277" spans="1:2" x14ac:dyDescent="0.6">
      <c r="A277" s="1" t="str">
        <f>_xlfn.CONCAT(SuperElipseTabla!$F82,",",SuperElipseTabla!G82)</f>
        <v>-75.3030303030304,62.9721560654655</v>
      </c>
      <c r="B277" s="1" t="str">
        <f t="shared" si="5"/>
        <v>POINT -75.3030303030304,62.9721560654655</v>
      </c>
    </row>
    <row r="278" spans="1:2" x14ac:dyDescent="0.6">
      <c r="A278" s="1" t="str">
        <f>_xlfn.CONCAT(SuperElipseTabla!$F83,",",SuperElipseTabla!G83)</f>
        <v>-76.3636363636365,62.6437681550957</v>
      </c>
      <c r="B278" s="1" t="str">
        <f t="shared" si="5"/>
        <v>POINT -76.3636363636365,62.6437681550957</v>
      </c>
    </row>
    <row r="279" spans="1:2" x14ac:dyDescent="0.6">
      <c r="A279" s="1" t="str">
        <f>_xlfn.CONCAT(SuperElipseTabla!$F84,",",SuperElipseTabla!G84)</f>
        <v>-77.4242424242425,62.2958188541583</v>
      </c>
      <c r="B279" s="1" t="str">
        <f t="shared" si="5"/>
        <v>POINT -77.4242424242425,62.2958188541583</v>
      </c>
    </row>
    <row r="280" spans="1:2" x14ac:dyDescent="0.6">
      <c r="A280" s="1" t="str">
        <f>_xlfn.CONCAT(SuperElipseTabla!$F85,",",SuperElipseTabla!G85)</f>
        <v>-78.4848484848486,61.9269606755581</v>
      </c>
      <c r="B280" s="1" t="str">
        <f t="shared" si="5"/>
        <v>POINT -78.4848484848486,61.9269606755581</v>
      </c>
    </row>
    <row r="281" spans="1:2" x14ac:dyDescent="0.6">
      <c r="A281" s="1" t="str">
        <f>_xlfn.CONCAT(SuperElipseTabla!$F86,",",SuperElipseTabla!G86)</f>
        <v>-79.5454545454546,61.535703837129</v>
      </c>
      <c r="B281" s="1" t="str">
        <f t="shared" si="5"/>
        <v>POINT -79.5454545454546,61.535703837129</v>
      </c>
    </row>
    <row r="282" spans="1:2" x14ac:dyDescent="0.6">
      <c r="A282" s="1" t="str">
        <f>_xlfn.CONCAT(SuperElipseTabla!$F87,",",SuperElipseTabla!G87)</f>
        <v>-80.6060606060607,61.1203938724886</v>
      </c>
      <c r="B282" s="1" t="str">
        <f t="shared" si="5"/>
        <v>POINT -80.6060606060607,61.1203938724886</v>
      </c>
    </row>
    <row r="283" spans="1:2" x14ac:dyDescent="0.6">
      <c r="A283" s="1" t="str">
        <f>_xlfn.CONCAT(SuperElipseTabla!$F88,",",SuperElipseTabla!G88)</f>
        <v>-81.6666666666668,60.6791845678199</v>
      </c>
      <c r="B283" s="1" t="str">
        <f t="shared" si="5"/>
        <v>POINT -81.6666666666668,60.6791845678199</v>
      </c>
    </row>
    <row r="284" spans="1:2" x14ac:dyDescent="0.6">
      <c r="A284" s="1" t="str">
        <f>_xlfn.CONCAT(SuperElipseTabla!$F89,",",SuperElipseTabla!G89)</f>
        <v>-82.7272727272728,60.210004986314</v>
      </c>
      <c r="B284" s="1" t="str">
        <f t="shared" si="5"/>
        <v>POINT -82.7272727272728,60.210004986314</v>
      </c>
    </row>
    <row r="285" spans="1:2" x14ac:dyDescent="0.6">
      <c r="A285" s="1" t="str">
        <f>_xlfn.CONCAT(SuperElipseTabla!$F90,",",SuperElipseTabla!G90)</f>
        <v>-83.7878787878789,59.7105189374376</v>
      </c>
      <c r="B285" s="1" t="str">
        <f t="shared" si="5"/>
        <v>POINT -83.7878787878789,59.7105189374376</v>
      </c>
    </row>
    <row r="286" spans="1:2" x14ac:dyDescent="0.6">
      <c r="A286" s="1" t="str">
        <f>_xlfn.CONCAT(SuperElipseTabla!$F91,",",SuperElipseTabla!G91)</f>
        <v>-84.848484848485,59.1780746839263</v>
      </c>
      <c r="B286" s="1" t="str">
        <f t="shared" si="5"/>
        <v>POINT -84.848484848485,59.1780746839263</v>
      </c>
    </row>
    <row r="287" spans="1:2" x14ac:dyDescent="0.6">
      <c r="A287" s="1" t="str">
        <f>_xlfn.CONCAT(SuperElipseTabla!$F92,",",SuperElipseTabla!G92)</f>
        <v>-85.909090909091,58.6096418804073</v>
      </c>
      <c r="B287" s="1" t="str">
        <f t="shared" si="5"/>
        <v>POINT -85.909090909091,58.6096418804073</v>
      </c>
    </row>
    <row r="288" spans="1:2" x14ac:dyDescent="0.6">
      <c r="A288" s="1" t="str">
        <f>_xlfn.CONCAT(SuperElipseTabla!$F93,",",SuperElipseTabla!G93)</f>
        <v>-86.9696969696971,58.0017315871713</v>
      </c>
      <c r="B288" s="1" t="str">
        <f t="shared" si="5"/>
        <v>POINT -86.9696969696971,58.0017315871713</v>
      </c>
    </row>
    <row r="289" spans="1:2" x14ac:dyDescent="0.6">
      <c r="A289" s="1" t="str">
        <f>_xlfn.CONCAT(SuperElipseTabla!$F94,",",SuperElipseTabla!G94)</f>
        <v>-88.0303030303031,57.3502935157141</v>
      </c>
      <c r="B289" s="1" t="str">
        <f t="shared" si="5"/>
        <v>POINT -88.0303030303031,57.3502935157141</v>
      </c>
    </row>
    <row r="290" spans="1:2" x14ac:dyDescent="0.6">
      <c r="A290" s="1" t="str">
        <f>_xlfn.CONCAT(SuperElipseTabla!$F95,",",SuperElipseTabla!G95)</f>
        <v>-89.0909090909092,56.6505821383052</v>
      </c>
      <c r="B290" s="1" t="str">
        <f t="shared" si="5"/>
        <v>POINT -89.0909090909092,56.6505821383052</v>
      </c>
    </row>
    <row r="291" spans="1:2" x14ac:dyDescent="0.6">
      <c r="A291" s="1" t="str">
        <f>_xlfn.CONCAT(SuperElipseTabla!$F96,",",SuperElipseTabla!G96)</f>
        <v>-90.1515151515153,55.8969794299431</v>
      </c>
      <c r="B291" s="1" t="str">
        <f t="shared" si="5"/>
        <v>POINT -90.1515151515153,55.8969794299431</v>
      </c>
    </row>
    <row r="292" spans="1:2" x14ac:dyDescent="0.6">
      <c r="A292" s="1" t="str">
        <f>_xlfn.CONCAT(SuperElipseTabla!$F97,",",SuperElipseTabla!G97)</f>
        <v>-91.2121212121213,55.0827559450841</v>
      </c>
      <c r="B292" s="1" t="str">
        <f t="shared" si="5"/>
        <v>POINT -91.2121212121213,55.0827559450841</v>
      </c>
    </row>
    <row r="293" spans="1:2" x14ac:dyDescent="0.6">
      <c r="A293" s="1" t="str">
        <f>_xlfn.CONCAT(SuperElipseTabla!$F98,",",SuperElipseTabla!G98)</f>
        <v>-92.2727272727274,54.1997421321896</v>
      </c>
      <c r="B293" s="1" t="str">
        <f t="shared" si="5"/>
        <v>POINT -92.2727272727274,54.1997421321896</v>
      </c>
    </row>
    <row r="294" spans="1:2" x14ac:dyDescent="0.6">
      <c r="A294" s="1" t="str">
        <f>_xlfn.CONCAT(SuperElipseTabla!$F99,",",SuperElipseTabla!G99)</f>
        <v>-93.3333333333335,53.2378654346208</v>
      </c>
      <c r="B294" s="1" t="str">
        <f t="shared" si="5"/>
        <v>POINT -93.3333333333335,53.2378654346208</v>
      </c>
    </row>
    <row r="295" spans="1:2" x14ac:dyDescent="0.6">
      <c r="A295" s="1" t="str">
        <f>_xlfn.CONCAT(SuperElipseTabla!$F100,",",SuperElipseTabla!G100)</f>
        <v>-94.3939393939395,52.1844803901393</v>
      </c>
      <c r="B295" s="1" t="str">
        <f t="shared" si="5"/>
        <v>POINT -94.3939393939395,52.1844803901393</v>
      </c>
    </row>
    <row r="296" spans="1:2" x14ac:dyDescent="0.6">
      <c r="A296" s="1" t="str">
        <f>_xlfn.CONCAT(SuperElipseTabla!$F101,",",SuperElipseTabla!G101)</f>
        <v>-95.4545454545456,51.023367659421</v>
      </c>
      <c r="B296" s="1" t="str">
        <f t="shared" si="5"/>
        <v>POINT -95.4545454545456,51.023367659421</v>
      </c>
    </row>
    <row r="297" spans="1:2" x14ac:dyDescent="0.6">
      <c r="A297" s="1" t="str">
        <f>_xlfn.CONCAT(SuperElipseTabla!$F102,",",SuperElipseTabla!G102)</f>
        <v>-96.5151515151516,49.7331802157944</v>
      </c>
      <c r="B297" s="1" t="str">
        <f t="shared" si="5"/>
        <v>POINT -96.5151515151516,49.7331802157944</v>
      </c>
    </row>
    <row r="298" spans="1:2" x14ac:dyDescent="0.6">
      <c r="A298" s="1" t="str">
        <f>_xlfn.CONCAT(SuperElipseTabla!$F103,",",SuperElipseTabla!G103)</f>
        <v>-97.5757575757577,48.2849169839347</v>
      </c>
      <c r="B298" s="1" t="str">
        <f t="shared" si="5"/>
        <v>POINT -97.5757575757577,48.2849169839347</v>
      </c>
    </row>
    <row r="299" spans="1:2" x14ac:dyDescent="0.6">
      <c r="A299" s="1" t="str">
        <f>_xlfn.CONCAT(SuperElipseTabla!$F104,",",SuperElipseTabla!G104)</f>
        <v>-98.6363636363638,46.6375717833462</v>
      </c>
      <c r="B299" s="1" t="str">
        <f t="shared" si="5"/>
        <v>POINT -98.6363636363638,46.6375717833462</v>
      </c>
    </row>
    <row r="300" spans="1:2" x14ac:dyDescent="0.6">
      <c r="A300" s="1" t="str">
        <f>_xlfn.CONCAT(SuperElipseTabla!$F105,",",SuperElipseTabla!G105)</f>
        <v>-99.6969696969698,44.7300669027856</v>
      </c>
      <c r="B300" s="1" t="str">
        <f t="shared" si="5"/>
        <v>POINT -99.6969696969698,44.7300669027856</v>
      </c>
    </row>
    <row r="301" spans="1:2" x14ac:dyDescent="0.6">
      <c r="A301" s="1" t="str">
        <f>_xlfn.CONCAT(SuperElipseTabla!$F106,",",SuperElipseTabla!G106)</f>
        <v>-100.757575757576,42.4647588369446</v>
      </c>
      <c r="B301" s="1" t="str">
        <f t="shared" si="5"/>
        <v>POINT -100.757575757576,42.4647588369446</v>
      </c>
    </row>
    <row r="302" spans="1:2" x14ac:dyDescent="0.6">
      <c r="A302" s="1" t="str">
        <f>_xlfn.CONCAT(SuperElipseTabla!$F107,",",SuperElipseTabla!G107)</f>
        <v>-101.818181818182,39.6687199118554</v>
      </c>
      <c r="B302" s="1" t="str">
        <f t="shared" si="5"/>
        <v>POINT -101.818181818182,39.6687199118554</v>
      </c>
    </row>
    <row r="303" spans="1:2" x14ac:dyDescent="0.6">
      <c r="A303" s="1" t="str">
        <f>_xlfn.CONCAT(SuperElipseTabla!$F108,",",SuperElipseTabla!G108)</f>
        <v>-102.878787878788,35.981318705823</v>
      </c>
      <c r="B303" s="1" t="str">
        <f t="shared" si="5"/>
        <v>POINT -102.878787878788,35.981318705823</v>
      </c>
    </row>
    <row r="304" spans="1:2" x14ac:dyDescent="0.6">
      <c r="A304" s="1" t="str">
        <f>_xlfn.CONCAT(SuperElipseTabla!$F109,",",SuperElipseTabla!G109)</f>
        <v>-103.939393939394,30.3716709766137</v>
      </c>
      <c r="B304" s="1" t="str">
        <f t="shared" si="5"/>
        <v>POINT -103.939393939394,30.3716709766137</v>
      </c>
    </row>
    <row r="305" spans="1:2" x14ac:dyDescent="0.6">
      <c r="A305" s="1" t="str">
        <f>_xlfn.CONCAT(SuperElipseTabla!$F110,",",SuperElipseTabla!G110)</f>
        <v>-105,0</v>
      </c>
      <c r="B305" s="1" t="str">
        <f t="shared" si="5"/>
        <v>POINT -105,0</v>
      </c>
    </row>
    <row r="307" spans="1:2" x14ac:dyDescent="0.6">
      <c r="A307" s="1" t="s">
        <v>16</v>
      </c>
    </row>
    <row r="308" spans="1:2" x14ac:dyDescent="0.6">
      <c r="A308" s="1" t="str">
        <f>_xlfn.CONCAT(SuperElipseTabla!$F11,",",SuperElipseTabla!H11)</f>
        <v>0,-68</v>
      </c>
      <c r="B308" s="1" t="str">
        <f t="shared" ref="B308:B371" si="6">_xlfn.CONCAT("POINT ",A308)</f>
        <v>POINT 0,-68</v>
      </c>
    </row>
    <row r="309" spans="1:2" x14ac:dyDescent="0.6">
      <c r="A309" s="1" t="str">
        <f>_xlfn.CONCAT(SuperElipseTabla!$F12,",",SuperElipseTabla!H12)</f>
        <v>-1.06060606060606,-67.9999998230265</v>
      </c>
      <c r="B309" s="1" t="str">
        <f t="shared" si="6"/>
        <v>POINT -1.06060606060606,-67.9999998230265</v>
      </c>
    </row>
    <row r="310" spans="1:2" x14ac:dyDescent="0.6">
      <c r="A310" s="1" t="str">
        <f>_xlfn.CONCAT(SuperElipseTabla!$F13,",",SuperElipseTabla!H13)</f>
        <v>-2.12121212121212,-67.9999971684245</v>
      </c>
      <c r="B310" s="1" t="str">
        <f t="shared" si="6"/>
        <v>POINT -2.12121212121212,-67.9999971684245</v>
      </c>
    </row>
    <row r="311" spans="1:2" x14ac:dyDescent="0.6">
      <c r="A311" s="1" t="str">
        <f>_xlfn.CONCAT(SuperElipseTabla!$F14,",",SuperElipseTabla!H14)</f>
        <v>-3.18181818181818,-67.9999856651452</v>
      </c>
      <c r="B311" s="1" t="str">
        <f t="shared" si="6"/>
        <v>POINT -3.18181818181818,-67.9999856651452</v>
      </c>
    </row>
    <row r="312" spans="1:2" x14ac:dyDescent="0.6">
      <c r="A312" s="1" t="str">
        <f>_xlfn.CONCAT(SuperElipseTabla!$F15,",",SuperElipseTabla!H15)</f>
        <v>-4.24242424242424,-67.9999546947489</v>
      </c>
      <c r="B312" s="1" t="str">
        <f t="shared" si="6"/>
        <v>POINT -4.24242424242424,-67.9999546947489</v>
      </c>
    </row>
    <row r="313" spans="1:2" x14ac:dyDescent="0.6">
      <c r="A313" s="1" t="str">
        <f>_xlfn.CONCAT(SuperElipseTabla!$F16,",",SuperElipseTabla!H16)</f>
        <v>-5.3030303030303,-67.9998893913173</v>
      </c>
      <c r="B313" s="1" t="str">
        <f t="shared" si="6"/>
        <v>POINT -5.3030303030303,-67.9998893913173</v>
      </c>
    </row>
    <row r="314" spans="1:2" x14ac:dyDescent="0.6">
      <c r="A314" s="1" t="str">
        <f>_xlfn.CONCAT(SuperElipseTabla!$F17,",",SuperElipseTabla!H17)</f>
        <v>-6.36363636363636,-67.9997706412348</v>
      </c>
      <c r="B314" s="1" t="str">
        <f t="shared" si="6"/>
        <v>POINT -6.36363636363636,-67.9997706412348</v>
      </c>
    </row>
    <row r="315" spans="1:2" x14ac:dyDescent="0.6">
      <c r="A315" s="1" t="str">
        <f>_xlfn.CONCAT(SuperElipseTabla!$F18,",",SuperElipseTabla!H18)</f>
        <v>-7.42424242424242,-67.9995750827386</v>
      </c>
      <c r="B315" s="1" t="str">
        <f t="shared" si="6"/>
        <v>POINT -7.42424242424242,-67.9995750827386</v>
      </c>
    </row>
    <row r="316" spans="1:2" x14ac:dyDescent="0.6">
      <c r="A316" s="1" t="str">
        <f>_xlfn.CONCAT(SuperElipseTabla!$F19,",",SuperElipseTabla!H19)</f>
        <v>-8.48484848484848,-67.9992751051147</v>
      </c>
      <c r="B316" s="1" t="str">
        <f t="shared" si="6"/>
        <v>POINT -8.48484848484848,-67.9992751051147</v>
      </c>
    </row>
    <row r="317" spans="1:2" x14ac:dyDescent="0.6">
      <c r="A317" s="1" t="str">
        <f>_xlfn.CONCAT(SuperElipseTabla!$F20,",",SuperElipseTabla!H20)</f>
        <v>-9.54545454545454,-67.9988388473848</v>
      </c>
      <c r="B317" s="1" t="str">
        <f t="shared" si="6"/>
        <v>POINT -9.54545454545454,-67.9988388473848</v>
      </c>
    </row>
    <row r="318" spans="1:2" x14ac:dyDescent="0.6">
      <c r="A318" s="1" t="str">
        <f>_xlfn.CONCAT(SuperElipseTabla!$F21,",",SuperElipseTabla!H21)</f>
        <v>-10.6060606060606,-67.9982301963038</v>
      </c>
      <c r="B318" s="1" t="str">
        <f t="shared" si="6"/>
        <v>POINT -10.6060606060606,-67.9982301963038</v>
      </c>
    </row>
    <row r="319" spans="1:2" x14ac:dyDescent="0.6">
      <c r="A319" s="1" t="str">
        <f>_xlfn.CONCAT(SuperElipseTabla!$F22,",",SuperElipseTabla!H22)</f>
        <v>-11.6666666666667,-67.9974087834572</v>
      </c>
      <c r="B319" s="1" t="str">
        <f t="shared" si="6"/>
        <v>POINT -11.6666666666667,-67.9974087834572</v>
      </c>
    </row>
    <row r="320" spans="1:2" x14ac:dyDescent="0.6">
      <c r="A320" s="1" t="str">
        <f>_xlfn.CONCAT(SuperElipseTabla!$F23,",",SuperElipseTabla!H23)</f>
        <v>-12.7272727272727,-67.9963299812233</v>
      </c>
      <c r="B320" s="1" t="str">
        <f t="shared" si="6"/>
        <v>POINT -12.7272727272727,-67.9963299812233</v>
      </c>
    </row>
    <row r="321" spans="1:2" x14ac:dyDescent="0.6">
      <c r="A321" s="1" t="str">
        <f>_xlfn.CONCAT(SuperElipseTabla!$F24,",",SuperElipseTabla!H24)</f>
        <v>-13.7878787878788,-67.994944897331</v>
      </c>
      <c r="B321" s="1" t="str">
        <f t="shared" si="6"/>
        <v>POINT -13.7878787878788,-67.994944897331</v>
      </c>
    </row>
    <row r="322" spans="1:2" x14ac:dyDescent="0.6">
      <c r="A322" s="1" t="str">
        <f>_xlfn.CONCAT(SuperElipseTabla!$F25,",",SuperElipseTabla!H25)</f>
        <v>-14.8484848484848,-67.993200367721</v>
      </c>
      <c r="B322" s="1" t="str">
        <f t="shared" si="6"/>
        <v>POINT -14.8484848484848,-67.993200367721</v>
      </c>
    </row>
    <row r="323" spans="1:2" x14ac:dyDescent="0.6">
      <c r="A323" s="1" t="str">
        <f>_xlfn.CONCAT(SuperElipseTabla!$F26,",",SuperElipseTabla!H26)</f>
        <v>-15.9090909090909,-67.9910389473857</v>
      </c>
      <c r="B323" s="1" t="str">
        <f t="shared" si="6"/>
        <v>POINT -15.9090909090909,-67.9910389473857</v>
      </c>
    </row>
    <row r="324" spans="1:2" x14ac:dyDescent="0.6">
      <c r="A324" s="1" t="str">
        <f>_xlfn.CONCAT(SuperElipseTabla!$F27,",",SuperElipseTabla!H27)</f>
        <v>-16.969696969697,-67.9883988988337</v>
      </c>
      <c r="B324" s="1" t="str">
        <f t="shared" si="6"/>
        <v>POINT -16.969696969697,-67.9883988988337</v>
      </c>
    </row>
    <row r="325" spans="1:2" x14ac:dyDescent="0.6">
      <c r="A325" s="1" t="str">
        <f>_xlfn.CONCAT(SuperElipseTabla!$F28,",",SuperElipseTabla!H28)</f>
        <v>-18.030303030303,-67.9852141777955</v>
      </c>
      <c r="B325" s="1" t="str">
        <f t="shared" si="6"/>
        <v>POINT -18.030303030303,-67.9852141777955</v>
      </c>
    </row>
    <row r="326" spans="1:2" x14ac:dyDescent="0.6">
      <c r="A326" s="1" t="str">
        <f>_xlfn.CONCAT(SuperElipseTabla!$F29,",",SuperElipseTabla!H29)</f>
        <v>-19.0909090909091,-67.9814144157566</v>
      </c>
      <c r="B326" s="1" t="str">
        <f t="shared" si="6"/>
        <v>POINT -19.0909090909091,-67.9814144157566</v>
      </c>
    </row>
    <row r="327" spans="1:2" x14ac:dyDescent="0.6">
      <c r="A327" s="1" t="str">
        <f>_xlfn.CONCAT(SuperElipseTabla!$F30,",",SuperElipseTabla!H30)</f>
        <v>-20.1515151515152,-67.9769248988678</v>
      </c>
      <c r="B327" s="1" t="str">
        <f t="shared" si="6"/>
        <v>POINT -20.1515151515152,-67.9769248988678</v>
      </c>
    </row>
    <row r="328" spans="1:2" x14ac:dyDescent="0.6">
      <c r="A328" s="1" t="str">
        <f>_xlfn.CONCAT(SuperElipseTabla!$F31,",",SuperElipseTabla!H31)</f>
        <v>-21.2121212121212,-67.9716665427557</v>
      </c>
      <c r="B328" s="1" t="str">
        <f t="shared" si="6"/>
        <v>POINT -21.2121212121212,-67.9716665427557</v>
      </c>
    </row>
    <row r="329" spans="1:2" x14ac:dyDescent="0.6">
      <c r="A329" s="1" t="str">
        <f>_xlfn.CONCAT(SuperElipseTabla!$F32,",",SuperElipseTabla!H32)</f>
        <v>-22.2727272727273,-67.9655558627142</v>
      </c>
      <c r="B329" s="1" t="str">
        <f t="shared" si="6"/>
        <v>POINT -22.2727272727273,-67.9655558627142</v>
      </c>
    </row>
    <row r="330" spans="1:2" x14ac:dyDescent="0.6">
      <c r="A330" s="1" t="str">
        <f>_xlfn.CONCAT(SuperElipseTabla!$F33,",",SuperElipseTabla!H33)</f>
        <v>-23.3333333333333,-67.958504938727</v>
      </c>
      <c r="B330" s="1" t="str">
        <f t="shared" si="6"/>
        <v>POINT -23.3333333333333,-67.958504938727</v>
      </c>
    </row>
    <row r="331" spans="1:2" x14ac:dyDescent="0.6">
      <c r="A331" s="1" t="str">
        <f>_xlfn.CONCAT(SuperElipseTabla!$F34,",",SuperElipseTabla!H34)</f>
        <v>-24.3939393939394,-67.9504213747275</v>
      </c>
      <c r="B331" s="1" t="str">
        <f t="shared" si="6"/>
        <v>POINT -24.3939393939394,-67.9504213747275</v>
      </c>
    </row>
    <row r="332" spans="1:2" x14ac:dyDescent="0.6">
      <c r="A332" s="1" t="str">
        <f>_xlfn.CONCAT(SuperElipseTabla!$F35,",",SuperElipseTabla!H35)</f>
        <v>-25.4545454545455,-67.9412082514629</v>
      </c>
      <c r="B332" s="1" t="str">
        <f t="shared" si="6"/>
        <v>POINT -25.4545454545455,-67.9412082514629</v>
      </c>
    </row>
    <row r="333" spans="1:2" x14ac:dyDescent="0.6">
      <c r="A333" s="1" t="str">
        <f>_xlfn.CONCAT(SuperElipseTabla!$F36,",",SuperElipseTabla!H36)</f>
        <v>-26.5151515151515,-67.9307640722842</v>
      </c>
      <c r="B333" s="1" t="str">
        <f t="shared" si="6"/>
        <v>POINT -26.5151515151515,-67.9307640722842</v>
      </c>
    </row>
    <row r="334" spans="1:2" x14ac:dyDescent="0.6">
      <c r="A334" s="1" t="str">
        <f>_xlfn.CONCAT(SuperElipseTabla!$F37,",",SuperElipseTabla!H37)</f>
        <v>-27.5757575757576,-67.9189827011345</v>
      </c>
      <c r="B334" s="1" t="str">
        <f t="shared" si="6"/>
        <v>POINT -27.5757575757576,-67.9189827011345</v>
      </c>
    </row>
    <row r="335" spans="1:2" x14ac:dyDescent="0.6">
      <c r="A335" s="1" t="str">
        <f>_xlfn.CONCAT(SuperElipseTabla!$F38,",",SuperElipseTabla!H38)</f>
        <v>-28.6363636363637,-67.905753291956</v>
      </c>
      <c r="B335" s="1" t="str">
        <f t="shared" si="6"/>
        <v>POINT -28.6363636363637,-67.905753291956</v>
      </c>
    </row>
    <row r="336" spans="1:2" x14ac:dyDescent="0.6">
      <c r="A336" s="1" t="str">
        <f>_xlfn.CONCAT(SuperElipseTabla!$F39,",",SuperElipseTabla!H39)</f>
        <v>-29.6969696969697,-67.8909602086781</v>
      </c>
      <c r="B336" s="1" t="str">
        <f t="shared" si="6"/>
        <v>POINT -29.6969696969697,-67.8909602086781</v>
      </c>
    </row>
    <row r="337" spans="1:2" x14ac:dyDescent="0.6">
      <c r="A337" s="1" t="str">
        <f>_xlfn.CONCAT(SuperElipseTabla!$F40,",",SuperElipseTabla!H40)</f>
        <v>-30.7575757575758,-67.8744829348852</v>
      </c>
      <c r="B337" s="1" t="str">
        <f t="shared" si="6"/>
        <v>POINT -30.7575757575758,-67.8744829348852</v>
      </c>
    </row>
    <row r="338" spans="1:2" x14ac:dyDescent="0.6">
      <c r="A338" s="1" t="str">
        <f>_xlfn.CONCAT(SuperElipseTabla!$F41,",",SuperElipseTabla!H41)</f>
        <v>-31.8181818181818,-67.856195972195</v>
      </c>
      <c r="B338" s="1" t="str">
        <f t="shared" si="6"/>
        <v>POINT -31.8181818181818,-67.856195972195</v>
      </c>
    </row>
    <row r="339" spans="1:2" x14ac:dyDescent="0.6">
      <c r="A339" s="1" t="str">
        <f>_xlfn.CONCAT(SuperElipseTabla!$F42,",",SuperElipseTabla!H42)</f>
        <v>-32.8787878787879,-67.835968726297</v>
      </c>
      <c r="B339" s="1" t="str">
        <f t="shared" si="6"/>
        <v>POINT -32.8787878787879,-67.835968726297</v>
      </c>
    </row>
    <row r="340" spans="1:2" x14ac:dyDescent="0.6">
      <c r="A340" s="1" t="str">
        <f>_xlfn.CONCAT(SuperElipseTabla!$F43,",",SuperElipseTabla!H43)</f>
        <v>-33.939393939394,-67.8136653795197</v>
      </c>
      <c r="B340" s="1" t="str">
        <f t="shared" si="6"/>
        <v>POINT -33.939393939394,-67.8136653795197</v>
      </c>
    </row>
    <row r="341" spans="1:2" x14ac:dyDescent="0.6">
      <c r="A341" s="1" t="str">
        <f>_xlfn.CONCAT(SuperElipseTabla!$F44,",",SuperElipseTabla!H44)</f>
        <v>-35,-67.7891447486953</v>
      </c>
      <c r="B341" s="1" t="str">
        <f t="shared" si="6"/>
        <v>POINT -35,-67.7891447486953</v>
      </c>
    </row>
    <row r="342" spans="1:2" x14ac:dyDescent="0.6">
      <c r="A342" s="1" t="str">
        <f>_xlfn.CONCAT(SuperElipseTabla!$F45,",",SuperElipseTabla!H45)</f>
        <v>-36.0606060606061,-67.7622601269856</v>
      </c>
      <c r="B342" s="1" t="str">
        <f t="shared" si="6"/>
        <v>POINT -36.0606060606061,-67.7622601269856</v>
      </c>
    </row>
    <row r="343" spans="1:2" x14ac:dyDescent="0.6">
      <c r="A343" s="1" t="str">
        <f>_xlfn.CONCAT(SuperElipseTabla!$F46,",",SuperElipseTabla!H46)</f>
        <v>-37.1212121212122,-67.732859108212</v>
      </c>
      <c r="B343" s="1" t="str">
        <f t="shared" si="6"/>
        <v>POINT -37.1212121212122,-67.732859108212</v>
      </c>
    </row>
    <row r="344" spans="1:2" x14ac:dyDescent="0.6">
      <c r="A344" s="1" t="str">
        <f>_xlfn.CONCAT(SuperElipseTabla!$F47,",",SuperElipseTabla!H47)</f>
        <v>-38.1818181818182,-67.7007833920982</v>
      </c>
      <c r="B344" s="1" t="str">
        <f t="shared" si="6"/>
        <v>POINT -38.1818181818182,-67.7007833920982</v>
      </c>
    </row>
    <row r="345" spans="1:2" x14ac:dyDescent="0.6">
      <c r="A345" s="1" t="str">
        <f>_xlfn.CONCAT(SuperElipseTabla!$F48,",",SuperElipseTabla!H48)</f>
        <v>-39.2424242424243,-67.6658685686813</v>
      </c>
      <c r="B345" s="1" t="str">
        <f t="shared" si="6"/>
        <v>POINT -39.2424242424243,-67.6658685686813</v>
      </c>
    </row>
    <row r="346" spans="1:2" x14ac:dyDescent="0.6">
      <c r="A346" s="1" t="str">
        <f>_xlfn.CONCAT(SuperElipseTabla!$F49,",",SuperElipseTabla!H49)</f>
        <v>-40.3030303030303,-67.6279438799764</v>
      </c>
      <c r="B346" s="1" t="str">
        <f t="shared" si="6"/>
        <v>POINT -40.3030303030303,-67.6279438799764</v>
      </c>
    </row>
    <row r="347" spans="1:2" x14ac:dyDescent="0.6">
      <c r="A347" s="1" t="str">
        <f>_xlfn.CONCAT(SuperElipseTabla!$F50,",",SuperElipseTabla!H50)</f>
        <v>-41.3636363636364,-67.586831956784</v>
      </c>
      <c r="B347" s="1" t="str">
        <f t="shared" si="6"/>
        <v>POINT -41.3636363636364,-67.586831956784</v>
      </c>
    </row>
    <row r="348" spans="1:2" x14ac:dyDescent="0.6">
      <c r="A348" s="1" t="str">
        <f>_xlfn.CONCAT(SuperElipseTabla!$F51,",",SuperElipseTabla!H51)</f>
        <v>-42.4242424242425,-67.542348528313</v>
      </c>
      <c r="B348" s="1" t="str">
        <f t="shared" si="6"/>
        <v>POINT -42.4242424242425,-67.542348528313</v>
      </c>
    </row>
    <row r="349" spans="1:2" x14ac:dyDescent="0.6">
      <c r="A349" s="1" t="str">
        <f>_xlfn.CONCAT(SuperElipseTabla!$F52,",",SuperElipseTabla!H52)</f>
        <v>-43.4848484848485,-67.4943021020382</v>
      </c>
      <c r="B349" s="1" t="str">
        <f t="shared" si="6"/>
        <v>POINT -43.4848484848485,-67.4943021020382</v>
      </c>
    </row>
    <row r="350" spans="1:2" x14ac:dyDescent="0.6">
      <c r="A350" s="1" t="str">
        <f>_xlfn.CONCAT(SuperElipseTabla!$F53,",",SuperElipseTabla!H53)</f>
        <v>-44.5454545454546,-67.4424936109307</v>
      </c>
      <c r="B350" s="1" t="str">
        <f t="shared" si="6"/>
        <v>POINT -44.5454545454546,-67.4424936109307</v>
      </c>
    </row>
    <row r="351" spans="1:2" x14ac:dyDescent="0.6">
      <c r="A351" s="1" t="str">
        <f>_xlfn.CONCAT(SuperElipseTabla!$F54,",",SuperElipseTabla!H54)</f>
        <v>-45.6060606060607,-67.3867160248743</v>
      </c>
      <c r="B351" s="1" t="str">
        <f t="shared" si="6"/>
        <v>POINT -45.6060606060607,-67.3867160248743</v>
      </c>
    </row>
    <row r="352" spans="1:2" x14ac:dyDescent="0.6">
      <c r="A352" s="1" t="str">
        <f>_xlfn.CONCAT(SuperElipseTabla!$F55,",",SuperElipseTabla!H55)</f>
        <v>-46.6666666666667,-67.3267539227121</v>
      </c>
      <c r="B352" s="1" t="str">
        <f t="shared" si="6"/>
        <v>POINT -46.6666666666667,-67.3267539227121</v>
      </c>
    </row>
    <row r="353" spans="1:2" x14ac:dyDescent="0.6">
      <c r="A353" s="1" t="str">
        <f>_xlfn.CONCAT(SuperElipseTabla!$F56,",",SuperElipseTabla!H56)</f>
        <v>-47.7272727272728,-67.2623830209447</v>
      </c>
      <c r="B353" s="1" t="str">
        <f t="shared" si="6"/>
        <v>POINT -47.7272727272728,-67.2623830209447</v>
      </c>
    </row>
    <row r="354" spans="1:2" x14ac:dyDescent="0.6">
      <c r="A354" s="1" t="str">
        <f>_xlfn.CONCAT(SuperElipseTabla!$F57,",",SuperElipseTabla!H57)</f>
        <v>-48.7878787878788,-67.1933696546168</v>
      </c>
      <c r="B354" s="1" t="str">
        <f t="shared" si="6"/>
        <v>POINT -48.7878787878788,-67.1933696546168</v>
      </c>
    </row>
    <row r="355" spans="1:2" x14ac:dyDescent="0.6">
      <c r="A355" s="1" t="str">
        <f>_xlfn.CONCAT(SuperElipseTabla!$F58,",",SuperElipseTabla!H58)</f>
        <v>-49.8484848484849,-67.1194702053732</v>
      </c>
      <c r="B355" s="1" t="str">
        <f t="shared" si="6"/>
        <v>POINT -49.8484848484849,-67.1194702053732</v>
      </c>
    </row>
    <row r="356" spans="1:2" x14ac:dyDescent="0.6">
      <c r="A356" s="1" t="str">
        <f>_xlfn.CONCAT(SuperElipseTabla!$F59,",",SuperElipseTabla!H59)</f>
        <v>-50.909090909091,-67.0404304710206</v>
      </c>
      <c r="B356" s="1" t="str">
        <f t="shared" si="6"/>
        <v>POINT -50.909090909091,-67.0404304710206</v>
      </c>
    </row>
    <row r="357" spans="1:2" x14ac:dyDescent="0.6">
      <c r="A357" s="1" t="str">
        <f>_xlfn.CONCAT(SuperElipseTabla!$F60,",",SuperElipseTabla!H60)</f>
        <v>-51.969696969697,-66.9559849701981</v>
      </c>
      <c r="B357" s="1" t="str">
        <f t="shared" si="6"/>
        <v>POINT -51.969696969697,-66.9559849701981</v>
      </c>
    </row>
    <row r="358" spans="1:2" x14ac:dyDescent="0.6">
      <c r="A358" s="1" t="str">
        <f>_xlfn.CONCAT(SuperElipseTabla!$F61,",",SuperElipseTabla!H61)</f>
        <v>-53.0303030303031,-66.8658561748952</v>
      </c>
      <c r="B358" s="1" t="str">
        <f t="shared" si="6"/>
        <v>POINT -53.0303030303031,-66.8658561748952</v>
      </c>
    </row>
    <row r="359" spans="1:2" x14ac:dyDescent="0.6">
      <c r="A359" s="1" t="str">
        <f>_xlfn.CONCAT(SuperElipseTabla!$F62,",",SuperElipseTabla!H62)</f>
        <v>-54.0909090909092,-66.7697536625704</v>
      </c>
      <c r="B359" s="1" t="str">
        <f t="shared" si="6"/>
        <v>POINT -54.0909090909092,-66.7697536625704</v>
      </c>
    </row>
    <row r="360" spans="1:2" x14ac:dyDescent="0.6">
      <c r="A360" s="1" t="str">
        <f>_xlfn.CONCAT(SuperElipseTabla!$F63,",",SuperElipseTabla!H63)</f>
        <v>-55.1515151515152,-66.6673731784613</v>
      </c>
      <c r="B360" s="1" t="str">
        <f t="shared" si="6"/>
        <v>POINT -55.1515151515152,-66.6673731784613</v>
      </c>
    </row>
    <row r="361" spans="1:2" x14ac:dyDescent="0.6">
      <c r="A361" s="1" t="str">
        <f>_xlfn.CONCAT(SuperElipseTabla!$F64,",",SuperElipseTabla!H64)</f>
        <v>-56.2121212121213,-66.558395597336</v>
      </c>
      <c r="B361" s="1" t="str">
        <f t="shared" si="6"/>
        <v>POINT -56.2121212121213,-66.558395597336</v>
      </c>
    </row>
    <row r="362" spans="1:2" x14ac:dyDescent="0.6">
      <c r="A362" s="1" t="str">
        <f>_xlfn.CONCAT(SuperElipseTabla!$F65,",",SuperElipseTabla!H65)</f>
        <v>-57.2727272727273,-66.4424857723522</v>
      </c>
      <c r="B362" s="1" t="str">
        <f t="shared" si="6"/>
        <v>POINT -57.2727272727273,-66.4424857723522</v>
      </c>
    </row>
    <row r="363" spans="1:2" x14ac:dyDescent="0.6">
      <c r="A363" s="1" t="str">
        <f>_xlfn.CONCAT(SuperElipseTabla!$F66,",",SuperElipseTabla!H66)</f>
        <v>-58.3333333333334,-66.319291256846</v>
      </c>
      <c r="B363" s="1" t="str">
        <f t="shared" si="6"/>
        <v>POINT -58.3333333333334,-66.319291256846</v>
      </c>
    </row>
    <row r="364" spans="1:2" x14ac:dyDescent="0.6">
      <c r="A364" s="1" t="str">
        <f>_xlfn.CONCAT(SuperElipseTabla!$F67,",",SuperElipseTabla!H67)</f>
        <v>-59.3939393939395,-66.1884408826881</v>
      </c>
      <c r="B364" s="1" t="str">
        <f t="shared" si="6"/>
        <v>POINT -59.3939393939395,-66.1884408826881</v>
      </c>
    </row>
    <row r="365" spans="1:2" x14ac:dyDescent="0.6">
      <c r="A365" s="1" t="str">
        <f>_xlfn.CONCAT(SuperElipseTabla!$F68,",",SuperElipseTabla!H68)</f>
        <v>-60.4545454545455,-66.0495431762738</v>
      </c>
      <c r="B365" s="1" t="str">
        <f t="shared" si="6"/>
        <v>POINT -60.4545454545455,-66.0495431762738</v>
      </c>
    </row>
    <row r="366" spans="1:2" x14ac:dyDescent="0.6">
      <c r="A366" s="1" t="str">
        <f>_xlfn.CONCAT(SuperElipseTabla!$F69,",",SuperElipseTabla!H69)</f>
        <v>-61.5151515151516,-65.9021845901575</v>
      </c>
      <c r="B366" s="1" t="str">
        <f t="shared" si="6"/>
        <v>POINT -61.5151515151516,-65.9021845901575</v>
      </c>
    </row>
    <row r="367" spans="1:2" x14ac:dyDescent="0.6">
      <c r="A367" s="1" t="str">
        <f>_xlfn.CONCAT(SuperElipseTabla!$F70,",",SuperElipseTabla!H70)</f>
        <v>-62.5757575757576,-65.74592752471</v>
      </c>
      <c r="B367" s="1" t="str">
        <f t="shared" si="6"/>
        <v>POINT -62.5757575757576,-65.74592752471</v>
      </c>
    </row>
    <row r="368" spans="1:2" x14ac:dyDescent="0.6">
      <c r="A368" s="1" t="str">
        <f>_xlfn.CONCAT(SuperElipseTabla!$F71,",",SuperElipseTabla!H71)</f>
        <v>-63.6363636363637,-65.5803081098301</v>
      </c>
      <c r="B368" s="1" t="str">
        <f t="shared" si="6"/>
        <v>POINT -63.6363636363637,-65.5803081098301</v>
      </c>
    </row>
    <row r="369" spans="1:2" x14ac:dyDescent="0.6">
      <c r="A369" s="1" t="str">
        <f>_xlfn.CONCAT(SuperElipseTabla!$F72,",",SuperElipseTabla!H72)</f>
        <v>-64.6969696969698,-65.4048337115331</v>
      </c>
      <c r="B369" s="1" t="str">
        <f t="shared" si="6"/>
        <v>POINT -64.6969696969698,-65.4048337115331</v>
      </c>
    </row>
    <row r="370" spans="1:2" x14ac:dyDescent="0.6">
      <c r="A370" s="1" t="str">
        <f>_xlfn.CONCAT(SuperElipseTabla!$F73,",",SuperElipseTabla!H73)</f>
        <v>-65.7575757575758,-65.2189801219495</v>
      </c>
      <c r="B370" s="1" t="str">
        <f t="shared" si="6"/>
        <v>POINT -65.7575757575758,-65.2189801219495</v>
      </c>
    </row>
    <row r="371" spans="1:2" x14ac:dyDescent="0.6">
      <c r="A371" s="1" t="str">
        <f>_xlfn.CONCAT(SuperElipseTabla!$F74,",",SuperElipseTabla!H74)</f>
        <v>-66.8181818181819,-65.022188383663</v>
      </c>
      <c r="B371" s="1" t="str">
        <f t="shared" si="6"/>
        <v>POINT -66.8181818181819,-65.022188383663</v>
      </c>
    </row>
    <row r="372" spans="1:2" x14ac:dyDescent="0.6">
      <c r="A372" s="1" t="str">
        <f>_xlfn.CONCAT(SuperElipseTabla!$F75,",",SuperElipseTabla!H75)</f>
        <v>-67.878787878788,-64.8138611900509</v>
      </c>
      <c r="B372" s="1" t="str">
        <f t="shared" ref="B372:B407" si="7">_xlfn.CONCAT("POINT ",A372)</f>
        <v>POINT -67.878787878788,-64.8138611900509</v>
      </c>
    </row>
    <row r="373" spans="1:2" x14ac:dyDescent="0.6">
      <c r="A373" s="1" t="str">
        <f>_xlfn.CONCAT(SuperElipseTabla!$F76,",",SuperElipseTabla!H76)</f>
        <v>-68.939393939394,-64.5933587919656</v>
      </c>
      <c r="B373" s="1" t="str">
        <f t="shared" si="7"/>
        <v>POINT -68.939393939394,-64.5933587919656</v>
      </c>
    </row>
    <row r="374" spans="1:2" x14ac:dyDescent="0.6">
      <c r="A374" s="1" t="str">
        <f>_xlfn.CONCAT(SuperElipseTabla!$F77,",",SuperElipseTabla!H77)</f>
        <v>-70.0000000000001,-64.3599943271633</v>
      </c>
      <c r="B374" s="1" t="str">
        <f t="shared" si="7"/>
        <v>POINT -70.0000000000001,-64.3599943271633</v>
      </c>
    </row>
    <row r="375" spans="1:2" x14ac:dyDescent="0.6">
      <c r="A375" s="1" t="str">
        <f>_xlfn.CONCAT(SuperElipseTabla!$F78,",",SuperElipseTabla!H78)</f>
        <v>-71.0606060606061,-64.1130284716535</v>
      </c>
      <c r="B375" s="1" t="str">
        <f t="shared" si="7"/>
        <v>POINT -71.0606060606061,-64.1130284716535</v>
      </c>
    </row>
    <row r="376" spans="1:2" x14ac:dyDescent="0.6">
      <c r="A376" s="1" t="str">
        <f>_xlfn.CONCAT(SuperElipseTabla!$F79,",",SuperElipseTabla!H79)</f>
        <v>-72.1212121212122,-63.8516632907003</v>
      </c>
      <c r="B376" s="1" t="str">
        <f t="shared" si="7"/>
        <v>POINT -72.1212121212122,-63.8516632907003</v>
      </c>
    </row>
    <row r="377" spans="1:2" x14ac:dyDescent="0.6">
      <c r="A377" s="1" t="str">
        <f>_xlfn.CONCAT(SuperElipseTabla!$F80,",",SuperElipseTabla!H80)</f>
        <v>-73.1818181818183,-63.5750351403504</v>
      </c>
      <c r="B377" s="1" t="str">
        <f t="shared" si="7"/>
        <v>POINT -73.1818181818183,-63.5750351403504</v>
      </c>
    </row>
    <row r="378" spans="1:2" x14ac:dyDescent="0.6">
      <c r="A378" s="1" t="str">
        <f>_xlfn.CONCAT(SuperElipseTabla!$F81,",",SuperElipseTabla!H81)</f>
        <v>-74.2424242424243,-63.2822064364953</v>
      </c>
      <c r="B378" s="1" t="str">
        <f t="shared" si="7"/>
        <v>POINT -74.2424242424243,-63.2822064364953</v>
      </c>
    </row>
    <row r="379" spans="1:2" x14ac:dyDescent="0.6">
      <c r="A379" s="1" t="str">
        <f>_xlfn.CONCAT(SuperElipseTabla!$F82,",",SuperElipseTabla!H82)</f>
        <v>-75.3030303030304,-62.9721560654655</v>
      </c>
      <c r="B379" s="1" t="str">
        <f t="shared" si="7"/>
        <v>POINT -75.3030303030304,-62.9721560654655</v>
      </c>
    </row>
    <row r="380" spans="1:2" x14ac:dyDescent="0.6">
      <c r="A380" s="1" t="str">
        <f>_xlfn.CONCAT(SuperElipseTabla!$F83,",",SuperElipseTabla!H83)</f>
        <v>-76.3636363636365,-62.6437681550957</v>
      </c>
      <c r="B380" s="1" t="str">
        <f t="shared" si="7"/>
        <v>POINT -76.3636363636365,-62.6437681550957</v>
      </c>
    </row>
    <row r="381" spans="1:2" x14ac:dyDescent="0.6">
      <c r="A381" s="1" t="str">
        <f>_xlfn.CONCAT(SuperElipseTabla!$F84,",",SuperElipseTabla!H84)</f>
        <v>-77.4242424242425,-62.2958188541583</v>
      </c>
      <c r="B381" s="1" t="str">
        <f t="shared" si="7"/>
        <v>POINT -77.4242424242425,-62.2958188541583</v>
      </c>
    </row>
    <row r="382" spans="1:2" x14ac:dyDescent="0.6">
      <c r="A382" s="1" t="str">
        <f>_xlfn.CONCAT(SuperElipseTabla!$F85,",",SuperElipseTabla!H85)</f>
        <v>-78.4848484848486,-61.9269606755581</v>
      </c>
      <c r="B382" s="1" t="str">
        <f t="shared" si="7"/>
        <v>POINT -78.4848484848486,-61.9269606755581</v>
      </c>
    </row>
    <row r="383" spans="1:2" x14ac:dyDescent="0.6">
      <c r="A383" s="1" t="str">
        <f>_xlfn.CONCAT(SuperElipseTabla!$F86,",",SuperElipseTabla!H86)</f>
        <v>-79.5454545454546,-61.535703837129</v>
      </c>
      <c r="B383" s="1" t="str">
        <f t="shared" si="7"/>
        <v>POINT -79.5454545454546,-61.535703837129</v>
      </c>
    </row>
    <row r="384" spans="1:2" x14ac:dyDescent="0.6">
      <c r="A384" s="1" t="str">
        <f>_xlfn.CONCAT(SuperElipseTabla!$F87,",",SuperElipseTabla!H87)</f>
        <v>-80.6060606060607,-61.1203938724886</v>
      </c>
      <c r="B384" s="1" t="str">
        <f t="shared" si="7"/>
        <v>POINT -80.6060606060607,-61.1203938724886</v>
      </c>
    </row>
    <row r="385" spans="1:2" x14ac:dyDescent="0.6">
      <c r="A385" s="1" t="str">
        <f>_xlfn.CONCAT(SuperElipseTabla!$F88,",",SuperElipseTabla!H88)</f>
        <v>-81.6666666666668,-60.6791845678199</v>
      </c>
      <c r="B385" s="1" t="str">
        <f t="shared" si="7"/>
        <v>POINT -81.6666666666668,-60.6791845678199</v>
      </c>
    </row>
    <row r="386" spans="1:2" x14ac:dyDescent="0.6">
      <c r="A386" s="1" t="str">
        <f>_xlfn.CONCAT(SuperElipseTabla!$F89,",",SuperElipseTabla!H89)</f>
        <v>-82.7272727272728,-60.210004986314</v>
      </c>
      <c r="B386" s="1" t="str">
        <f t="shared" si="7"/>
        <v>POINT -82.7272727272728,-60.210004986314</v>
      </c>
    </row>
    <row r="387" spans="1:2" x14ac:dyDescent="0.6">
      <c r="A387" s="1" t="str">
        <f>_xlfn.CONCAT(SuperElipseTabla!$F90,",",SuperElipseTabla!H90)</f>
        <v>-83.7878787878789,-59.7105189374376</v>
      </c>
      <c r="B387" s="1" t="str">
        <f t="shared" si="7"/>
        <v>POINT -83.7878787878789,-59.7105189374376</v>
      </c>
    </row>
    <row r="388" spans="1:2" x14ac:dyDescent="0.6">
      <c r="A388" s="1" t="str">
        <f>_xlfn.CONCAT(SuperElipseTabla!$F91,",",SuperElipseTabla!H91)</f>
        <v>-84.848484848485,-59.1780746839263</v>
      </c>
      <c r="B388" s="1" t="str">
        <f t="shared" si="7"/>
        <v>POINT -84.848484848485,-59.1780746839263</v>
      </c>
    </row>
    <row r="389" spans="1:2" x14ac:dyDescent="0.6">
      <c r="A389" s="1" t="str">
        <f>_xlfn.CONCAT(SuperElipseTabla!$F92,",",SuperElipseTabla!H92)</f>
        <v>-85.909090909091,-58.6096418804073</v>
      </c>
      <c r="B389" s="1" t="str">
        <f t="shared" si="7"/>
        <v>POINT -85.909090909091,-58.6096418804073</v>
      </c>
    </row>
    <row r="390" spans="1:2" x14ac:dyDescent="0.6">
      <c r="A390" s="1" t="str">
        <f>_xlfn.CONCAT(SuperElipseTabla!$F93,",",SuperElipseTabla!H93)</f>
        <v>-86.9696969696971,-58.0017315871713</v>
      </c>
      <c r="B390" s="1" t="str">
        <f t="shared" si="7"/>
        <v>POINT -86.9696969696971,-58.0017315871713</v>
      </c>
    </row>
    <row r="391" spans="1:2" x14ac:dyDescent="0.6">
      <c r="A391" s="1" t="str">
        <f>_xlfn.CONCAT(SuperElipseTabla!$F94,",",SuperElipseTabla!H94)</f>
        <v>-88.0303030303031,-57.3502935157141</v>
      </c>
      <c r="B391" s="1" t="str">
        <f t="shared" si="7"/>
        <v>POINT -88.0303030303031,-57.3502935157141</v>
      </c>
    </row>
    <row r="392" spans="1:2" x14ac:dyDescent="0.6">
      <c r="A392" s="1" t="str">
        <f>_xlfn.CONCAT(SuperElipseTabla!$F95,",",SuperElipseTabla!H95)</f>
        <v>-89.0909090909092,-56.6505821383052</v>
      </c>
      <c r="B392" s="1" t="str">
        <f t="shared" si="7"/>
        <v>POINT -89.0909090909092,-56.6505821383052</v>
      </c>
    </row>
    <row r="393" spans="1:2" x14ac:dyDescent="0.6">
      <c r="A393" s="1" t="str">
        <f>_xlfn.CONCAT(SuperElipseTabla!$F96,",",SuperElipseTabla!H96)</f>
        <v>-90.1515151515153,-55.8969794299431</v>
      </c>
      <c r="B393" s="1" t="str">
        <f t="shared" si="7"/>
        <v>POINT -90.1515151515153,-55.8969794299431</v>
      </c>
    </row>
    <row r="394" spans="1:2" x14ac:dyDescent="0.6">
      <c r="A394" s="1" t="str">
        <f>_xlfn.CONCAT(SuperElipseTabla!$F97,",",SuperElipseTabla!H97)</f>
        <v>-91.2121212121213,-55.0827559450841</v>
      </c>
      <c r="B394" s="1" t="str">
        <f t="shared" si="7"/>
        <v>POINT -91.2121212121213,-55.0827559450841</v>
      </c>
    </row>
    <row r="395" spans="1:2" x14ac:dyDescent="0.6">
      <c r="A395" s="1" t="str">
        <f>_xlfn.CONCAT(SuperElipseTabla!$F98,",",SuperElipseTabla!H98)</f>
        <v>-92.2727272727274,-54.1997421321896</v>
      </c>
      <c r="B395" s="1" t="str">
        <f t="shared" si="7"/>
        <v>POINT -92.2727272727274,-54.1997421321896</v>
      </c>
    </row>
    <row r="396" spans="1:2" x14ac:dyDescent="0.6">
      <c r="A396" s="1" t="str">
        <f>_xlfn.CONCAT(SuperElipseTabla!$F99,",",SuperElipseTabla!H99)</f>
        <v>-93.3333333333335,-53.2378654346208</v>
      </c>
      <c r="B396" s="1" t="str">
        <f t="shared" si="7"/>
        <v>POINT -93.3333333333335,-53.2378654346208</v>
      </c>
    </row>
    <row r="397" spans="1:2" x14ac:dyDescent="0.6">
      <c r="A397" s="1" t="str">
        <f>_xlfn.CONCAT(SuperElipseTabla!$F100,",",SuperElipseTabla!H100)</f>
        <v>-94.3939393939395,-52.1844803901393</v>
      </c>
      <c r="B397" s="1" t="str">
        <f t="shared" si="7"/>
        <v>POINT -94.3939393939395,-52.1844803901393</v>
      </c>
    </row>
    <row r="398" spans="1:2" x14ac:dyDescent="0.6">
      <c r="A398" s="1" t="str">
        <f>_xlfn.CONCAT(SuperElipseTabla!$F101,",",SuperElipseTabla!H101)</f>
        <v>-95.4545454545456,-51.023367659421</v>
      </c>
      <c r="B398" s="1" t="str">
        <f t="shared" si="7"/>
        <v>POINT -95.4545454545456,-51.023367659421</v>
      </c>
    </row>
    <row r="399" spans="1:2" x14ac:dyDescent="0.6">
      <c r="A399" s="1" t="str">
        <f>_xlfn.CONCAT(SuperElipseTabla!$F102,",",SuperElipseTabla!H102)</f>
        <v>-96.5151515151516,-49.7331802157944</v>
      </c>
      <c r="B399" s="1" t="str">
        <f t="shared" si="7"/>
        <v>POINT -96.5151515151516,-49.7331802157944</v>
      </c>
    </row>
    <row r="400" spans="1:2" x14ac:dyDescent="0.6">
      <c r="A400" s="1" t="str">
        <f>_xlfn.CONCAT(SuperElipseTabla!$F103,",",SuperElipseTabla!H103)</f>
        <v>-97.5757575757577,-48.2849169839347</v>
      </c>
      <c r="B400" s="1" t="str">
        <f t="shared" si="7"/>
        <v>POINT -97.5757575757577,-48.2849169839347</v>
      </c>
    </row>
    <row r="401" spans="1:2" x14ac:dyDescent="0.6">
      <c r="A401" s="1" t="str">
        <f>_xlfn.CONCAT(SuperElipseTabla!$F104,",",SuperElipseTabla!H104)</f>
        <v>-98.6363636363638,-46.6375717833462</v>
      </c>
      <c r="B401" s="1" t="str">
        <f t="shared" si="7"/>
        <v>POINT -98.6363636363638,-46.6375717833462</v>
      </c>
    </row>
    <row r="402" spans="1:2" x14ac:dyDescent="0.6">
      <c r="A402" s="1" t="str">
        <f>_xlfn.CONCAT(SuperElipseTabla!$F105,",",SuperElipseTabla!H105)</f>
        <v>-99.6969696969698,-44.7300669027856</v>
      </c>
      <c r="B402" s="1" t="str">
        <f t="shared" si="7"/>
        <v>POINT -99.6969696969698,-44.7300669027856</v>
      </c>
    </row>
    <row r="403" spans="1:2" x14ac:dyDescent="0.6">
      <c r="A403" s="1" t="str">
        <f>_xlfn.CONCAT(SuperElipseTabla!$F106,",",SuperElipseTabla!H106)</f>
        <v>-100.757575757576,-42.4647588369446</v>
      </c>
      <c r="B403" s="1" t="str">
        <f t="shared" si="7"/>
        <v>POINT -100.757575757576,-42.4647588369446</v>
      </c>
    </row>
    <row r="404" spans="1:2" x14ac:dyDescent="0.6">
      <c r="A404" s="1" t="str">
        <f>_xlfn.CONCAT(SuperElipseTabla!$F107,",",SuperElipseTabla!H107)</f>
        <v>-101.818181818182,-39.6687199118554</v>
      </c>
      <c r="B404" s="1" t="str">
        <f t="shared" si="7"/>
        <v>POINT -101.818181818182,-39.6687199118554</v>
      </c>
    </row>
    <row r="405" spans="1:2" x14ac:dyDescent="0.6">
      <c r="A405" s="1" t="str">
        <f>_xlfn.CONCAT(SuperElipseTabla!$F108,",",SuperElipseTabla!H108)</f>
        <v>-102.878787878788,-35.981318705823</v>
      </c>
      <c r="B405" s="1" t="str">
        <f t="shared" si="7"/>
        <v>POINT -102.878787878788,-35.981318705823</v>
      </c>
    </row>
    <row r="406" spans="1:2" x14ac:dyDescent="0.6">
      <c r="A406" s="1" t="str">
        <f>_xlfn.CONCAT(SuperElipseTabla!$F109,",",SuperElipseTabla!H109)</f>
        <v>-103.939393939394,-30.3716709766137</v>
      </c>
      <c r="B406" s="1" t="str">
        <f t="shared" si="7"/>
        <v>POINT -103.939393939394,-30.3716709766137</v>
      </c>
    </row>
    <row r="407" spans="1:2" x14ac:dyDescent="0.6">
      <c r="A407" s="1" t="str">
        <f>_xlfn.CONCAT(SuperElipseTabla!$F110,",",SuperElipseTabla!H110)</f>
        <v>-105,0</v>
      </c>
      <c r="B407" s="1" t="str">
        <f t="shared" si="7"/>
        <v>POINT -105,0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zoomScale="130" zoomScaleNormal="130" workbookViewId="0">
      <selection activeCell="I17" sqref="I17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48" t="s">
        <v>39</v>
      </c>
    </row>
    <row r="3" spans="2:6" x14ac:dyDescent="0.6">
      <c r="B3" s="46" t="s">
        <v>36</v>
      </c>
      <c r="C3" s="10"/>
      <c r="D3" s="10"/>
      <c r="E3" s="10"/>
      <c r="F3" s="11"/>
    </row>
    <row r="4" spans="2:6" x14ac:dyDescent="0.6">
      <c r="B4" s="24"/>
      <c r="C4" s="13"/>
      <c r="D4" s="13"/>
      <c r="E4" s="13"/>
      <c r="F4" s="14"/>
    </row>
    <row r="5" spans="2:6" x14ac:dyDescent="0.6">
      <c r="B5" s="2" t="s">
        <v>13</v>
      </c>
      <c r="C5" s="15"/>
      <c r="D5" s="3" t="s">
        <v>14</v>
      </c>
      <c r="E5" s="10"/>
      <c r="F5" s="11"/>
    </row>
    <row r="6" spans="2:6" x14ac:dyDescent="0.6">
      <c r="B6" s="16" t="s">
        <v>22</v>
      </c>
      <c r="C6" s="17"/>
      <c r="D6" s="23">
        <v>-30</v>
      </c>
      <c r="F6" s="12"/>
    </row>
    <row r="7" spans="2:6" x14ac:dyDescent="0.6">
      <c r="B7" s="16" t="s">
        <v>23</v>
      </c>
      <c r="C7" s="18"/>
      <c r="D7" s="19">
        <f>ABS(xstart_hiperbola)</f>
        <v>30</v>
      </c>
      <c r="F7" s="12"/>
    </row>
    <row r="8" spans="2:6" x14ac:dyDescent="0.6">
      <c r="B8" s="16" t="s">
        <v>20</v>
      </c>
      <c r="C8" s="18"/>
      <c r="D8" s="23">
        <v>12</v>
      </c>
      <c r="F8" s="12"/>
    </row>
    <row r="9" spans="2:6" x14ac:dyDescent="0.6">
      <c r="B9" s="16" t="s">
        <v>21</v>
      </c>
      <c r="C9" s="18"/>
      <c r="D9" s="23">
        <v>9</v>
      </c>
      <c r="F9" s="12"/>
    </row>
    <row r="10" spans="2:6" x14ac:dyDescent="0.6">
      <c r="B10" s="16" t="s">
        <v>12</v>
      </c>
      <c r="C10" s="18"/>
      <c r="D10" s="23">
        <v>100</v>
      </c>
      <c r="F10" s="12"/>
    </row>
    <row r="11" spans="2:6" x14ac:dyDescent="0.6">
      <c r="B11" s="16"/>
      <c r="C11" s="18"/>
      <c r="D11" s="19"/>
      <c r="F11" s="12"/>
    </row>
    <row r="12" spans="2:6" x14ac:dyDescent="0.6">
      <c r="B12" s="20"/>
      <c r="C12" s="21"/>
      <c r="D12" s="22"/>
      <c r="E12" s="13"/>
      <c r="F12" s="14"/>
    </row>
    <row r="13" spans="2:6" x14ac:dyDescent="0.6">
      <c r="B13" s="25" t="s">
        <v>15</v>
      </c>
      <c r="C13" s="4" t="s">
        <v>6</v>
      </c>
      <c r="D13" s="4" t="s">
        <v>24</v>
      </c>
      <c r="E13" s="4" t="s">
        <v>7</v>
      </c>
      <c r="F13" s="5" t="s">
        <v>25</v>
      </c>
    </row>
    <row r="14" spans="2:6" x14ac:dyDescent="0.6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6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6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6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6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6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6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6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6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6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6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6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6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6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6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6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6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6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6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6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6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6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6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6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6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6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6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6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6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6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6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6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6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6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6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6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6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6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6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6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6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6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6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6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6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6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6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6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6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6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6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6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6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6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6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6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6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6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6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6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6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6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6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6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6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6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6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6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6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6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6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6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6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6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6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6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6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6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6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6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6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6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6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6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6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6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6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6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6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6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6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6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6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6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6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6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6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6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6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6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16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3" sqref="I3"/>
    </sheetView>
  </sheetViews>
  <sheetFormatPr defaultColWidth="9.1328125" defaultRowHeight="16.5" x14ac:dyDescent="0.6"/>
  <cols>
    <col min="1" max="1" width="2.53125" style="1" customWidth="1"/>
    <col min="2" max="2" width="10.46484375" style="28" customWidth="1"/>
    <col min="3" max="3" width="14.33203125" style="28" customWidth="1"/>
    <col min="4" max="9" width="9.1328125" style="28"/>
    <col min="10" max="10" width="2.53125" style="28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8" t="s">
        <v>39</v>
      </c>
    </row>
    <row r="3" spans="2:11" s="37" customFormat="1" x14ac:dyDescent="0.6">
      <c r="B3" s="47" t="s">
        <v>26</v>
      </c>
      <c r="C3" s="38"/>
      <c r="D3" s="38"/>
      <c r="E3" s="38"/>
      <c r="F3" s="38"/>
      <c r="G3" s="38"/>
      <c r="H3" s="39" t="s">
        <v>35</v>
      </c>
      <c r="I3" s="42">
        <v>11</v>
      </c>
      <c r="J3" s="43"/>
    </row>
    <row r="4" spans="2:11" s="37" customFormat="1" x14ac:dyDescent="0.6">
      <c r="B4" s="44"/>
      <c r="I4" s="41"/>
      <c r="J4" s="43"/>
    </row>
    <row r="5" spans="2:11" s="37" customFormat="1" x14ac:dyDescent="0.6">
      <c r="B5" s="40"/>
      <c r="H5" s="45"/>
      <c r="I5" s="41"/>
    </row>
    <row r="6" spans="2:11" s="37" customFormat="1" x14ac:dyDescent="0.6">
      <c r="B6" s="40"/>
      <c r="H6" s="45"/>
      <c r="I6" s="41"/>
    </row>
    <row r="7" spans="2:11" s="37" customFormat="1" x14ac:dyDescent="0.6">
      <c r="B7" s="40"/>
      <c r="H7" s="45"/>
      <c r="I7" s="41"/>
    </row>
    <row r="8" spans="2:11" s="37" customFormat="1" x14ac:dyDescent="0.6">
      <c r="B8" s="40"/>
      <c r="H8" s="45"/>
      <c r="I8" s="41"/>
    </row>
    <row r="9" spans="2:11" s="37" customFormat="1" x14ac:dyDescent="0.6">
      <c r="B9" s="40"/>
      <c r="H9" s="45"/>
      <c r="I9" s="41"/>
    </row>
    <row r="10" spans="2:11" s="37" customFormat="1" x14ac:dyDescent="0.6">
      <c r="B10" s="40"/>
      <c r="H10" s="45"/>
      <c r="I10" s="41"/>
    </row>
    <row r="11" spans="2:11" s="37" customFormat="1" x14ac:dyDescent="0.6">
      <c r="B11" s="40"/>
      <c r="H11" s="45"/>
      <c r="I11" s="41"/>
    </row>
    <row r="12" spans="2:11" s="37" customFormat="1" x14ac:dyDescent="0.6">
      <c r="B12" s="40"/>
      <c r="H12" s="45"/>
      <c r="I12" s="41"/>
    </row>
    <row r="13" spans="2:11" s="37" customFormat="1" x14ac:dyDescent="0.6">
      <c r="B13" s="40"/>
      <c r="H13" s="45"/>
      <c r="I13" s="41"/>
    </row>
    <row r="14" spans="2:11" s="37" customFormat="1" x14ac:dyDescent="0.6">
      <c r="B14" s="40"/>
      <c r="H14" s="45"/>
      <c r="I14" s="41"/>
    </row>
    <row r="15" spans="2:11" s="37" customFormat="1" x14ac:dyDescent="0.6">
      <c r="B15" s="40"/>
      <c r="H15" s="45"/>
      <c r="I15" s="41"/>
    </row>
    <row r="16" spans="2:11" s="37" customFormat="1" x14ac:dyDescent="0.6">
      <c r="B16" s="40"/>
      <c r="H16" s="45"/>
      <c r="I16" s="41"/>
      <c r="K16" s="37" t="s">
        <v>27</v>
      </c>
    </row>
    <row r="17" spans="2:16" x14ac:dyDescent="0.6">
      <c r="B17" s="32" t="s">
        <v>38</v>
      </c>
      <c r="C17" s="33" t="s">
        <v>37</v>
      </c>
      <c r="D17" s="33" t="s">
        <v>28</v>
      </c>
      <c r="E17" s="33" t="s">
        <v>29</v>
      </c>
      <c r="F17" s="33" t="s">
        <v>30</v>
      </c>
      <c r="G17" s="33" t="s">
        <v>31</v>
      </c>
      <c r="H17" s="33" t="s">
        <v>32</v>
      </c>
      <c r="I17" s="3" t="s">
        <v>33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spans="2:16" x14ac:dyDescent="0.6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34</v>
      </c>
      <c r="L18" s="1" t="s">
        <v>34</v>
      </c>
      <c r="M18" s="1" t="s">
        <v>16</v>
      </c>
      <c r="N18" s="1" t="s">
        <v>16</v>
      </c>
      <c r="O18" s="1" t="s">
        <v>16</v>
      </c>
      <c r="P18" s="1" t="s">
        <v>16</v>
      </c>
    </row>
    <row r="19" spans="2:16" x14ac:dyDescent="0.6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30">
        <v>32</v>
      </c>
      <c r="C50" s="29">
        <f t="shared" si="4"/>
        <v>0.55850536063818546</v>
      </c>
      <c r="D50" s="29">
        <f t="shared" ref="D50:D67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17</v>
      </c>
    </row>
    <row r="3" spans="2:2" x14ac:dyDescent="0.6">
      <c r="B3" s="1" t="s">
        <v>18</v>
      </c>
    </row>
    <row r="4" spans="2:2" x14ac:dyDescent="0.6">
      <c r="B4" s="49" t="s">
        <v>19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8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ElipseTabla</vt:lpstr>
      <vt:lpstr>ElipseAutoCAD</vt:lpstr>
      <vt:lpstr>SuperElipseTabla</vt:lpstr>
      <vt:lpstr>SuperElipseAutoCAD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SuperElipseTabla!a_superelipse</vt:lpstr>
      <vt:lpstr>b_elipse</vt:lpstr>
      <vt:lpstr>b_hiperbola</vt:lpstr>
      <vt:lpstr>SuperElipseTabla!b_superelipse</vt:lpstr>
      <vt:lpstr>h_elipse</vt:lpstr>
      <vt:lpstr>k_elipse</vt:lpstr>
      <vt:lpstr>n_superelipse</vt:lpstr>
      <vt:lpstr>np_elipse</vt:lpstr>
      <vt:lpstr>np_hiperbola</vt:lpstr>
      <vt:lpstr>SuperElipseTabla!np_superelipse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2026-02-06T16:07:49Z</dcterms:modified>
</cp:coreProperties>
</file>