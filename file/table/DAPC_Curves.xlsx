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CE695970-CD58-44EF-B13B-3D2DC4E8F30E}" xr6:coauthVersionLast="47" xr6:coauthVersionMax="47" xr10:uidLastSave="{00000000-0000-0000-0000-000000000000}"/>
  <bookViews>
    <workbookView xWindow="-98" yWindow="-98" windowWidth="19396" windowHeight="11475" tabRatio="660" activeTab="3" xr2:uid="{9A4D6CE6-1E62-441D-8A43-C5F05171BE31}"/>
  </bookViews>
  <sheets>
    <sheet name="ElipseTabla" sheetId="1" r:id="rId1"/>
    <sheet name="ElipseGráfico" sheetId="3" r:id="rId2"/>
    <sheet name="ElipseAutoCAD" sheetId="4" r:id="rId3"/>
    <sheet name="HiperbolaTabla" sheetId="6" r:id="rId4"/>
    <sheet name="HiperbolaAutoCAD" sheetId="7" r:id="rId5"/>
    <sheet name="Metadata" sheetId="5" r:id="rId6"/>
  </sheets>
  <definedNames>
    <definedName name="a_elipse">ElipseTabla!$D$7</definedName>
    <definedName name="a_hiperbola">HiperbolaTabla!$D$7</definedName>
    <definedName name="b_elipse">ElipseTabla!$D$8</definedName>
    <definedName name="b_hiperbola">HiperbolaTabla!$D$8</definedName>
    <definedName name="h_elipse">ElipseTabla!$D$5</definedName>
    <definedName name="k_elipse">ElipseTabla!$D$6</definedName>
    <definedName name="np_elipse">ElipseTabla!$D$9</definedName>
    <definedName name="np_hiperbola">HiperbolaTabla!$D$9</definedName>
    <definedName name="xend_hiperbola">HiperbolaTabla!$D$6</definedName>
    <definedName name="xstart_hiperbola">HiperbolaTabla!$D$5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5" i="7" l="1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4" i="7"/>
  <c r="A2" i="7"/>
  <c r="D6" i="6"/>
  <c r="C13" i="6"/>
  <c r="E13" i="6" s="1"/>
  <c r="E13" i="1"/>
  <c r="C13" i="1"/>
  <c r="D10" i="1"/>
  <c r="D11" i="1" s="1"/>
  <c r="C14" i="1" l="1"/>
  <c r="B104" i="7"/>
  <c r="D13" i="6"/>
  <c r="F13" i="6" s="1"/>
  <c r="C14" i="6"/>
  <c r="D14" i="6" s="1"/>
  <c r="F14" i="6" s="1"/>
  <c r="A104" i="4"/>
  <c r="B104" i="4" s="1"/>
  <c r="F13" i="1"/>
  <c r="D13" i="1"/>
  <c r="A2" i="4" s="1"/>
  <c r="B2" i="4" s="1"/>
  <c r="C15" i="1"/>
  <c r="D14" i="1"/>
  <c r="H13" i="1"/>
  <c r="B2" i="7" l="1"/>
  <c r="B3" i="7"/>
  <c r="A3" i="4"/>
  <c r="B3" i="4" s="1"/>
  <c r="E14" i="6"/>
  <c r="C15" i="6"/>
  <c r="D15" i="6" s="1"/>
  <c r="F15" i="6" s="1"/>
  <c r="F14" i="1"/>
  <c r="A308" i="4"/>
  <c r="B308" i="4" s="1"/>
  <c r="E14" i="1"/>
  <c r="B105" i="7" s="1"/>
  <c r="G13" i="1"/>
  <c r="A206" i="4" s="1"/>
  <c r="B206" i="4" s="1"/>
  <c r="G14" i="1"/>
  <c r="C16" i="1"/>
  <c r="D15" i="1"/>
  <c r="A4" i="4" s="1"/>
  <c r="B4" i="4" s="1"/>
  <c r="B4" i="7" l="1"/>
  <c r="C16" i="6"/>
  <c r="D16" i="6" s="1"/>
  <c r="F16" i="6" s="1"/>
  <c r="E15" i="6"/>
  <c r="A207" i="4"/>
  <c r="B207" i="4" s="1"/>
  <c r="H14" i="1"/>
  <c r="A309" i="4" s="1"/>
  <c r="B309" i="4" s="1"/>
  <c r="A105" i="4"/>
  <c r="B105" i="4" s="1"/>
  <c r="F15" i="1"/>
  <c r="E15" i="1"/>
  <c r="B106" i="7" s="1"/>
  <c r="C17" i="1"/>
  <c r="D16" i="1"/>
  <c r="A5" i="4" s="1"/>
  <c r="B5" i="4" s="1"/>
  <c r="G15" i="1"/>
  <c r="F16" i="1" l="1"/>
  <c r="B5" i="7"/>
  <c r="C17" i="6"/>
  <c r="D17" i="6" s="1"/>
  <c r="F17" i="6" s="1"/>
  <c r="E16" i="6"/>
  <c r="H15" i="1"/>
  <c r="A310" i="4" s="1"/>
  <c r="B310" i="4" s="1"/>
  <c r="A106" i="4"/>
  <c r="B106" i="4" s="1"/>
  <c r="A208" i="4"/>
  <c r="B208" i="4" s="1"/>
  <c r="F17" i="1"/>
  <c r="E16" i="1"/>
  <c r="B107" i="7" s="1"/>
  <c r="C18" i="1"/>
  <c r="D17" i="1"/>
  <c r="A6" i="4" s="1"/>
  <c r="B6" i="4" s="1"/>
  <c r="G16" i="1"/>
  <c r="A209" i="4" l="1"/>
  <c r="B209" i="4" s="1"/>
  <c r="B7" i="7"/>
  <c r="B6" i="7"/>
  <c r="C18" i="6"/>
  <c r="D18" i="6" s="1"/>
  <c r="F18" i="6" s="1"/>
  <c r="E17" i="6"/>
  <c r="H16" i="1"/>
  <c r="A311" i="4" s="1"/>
  <c r="B311" i="4" s="1"/>
  <c r="A107" i="4"/>
  <c r="B107" i="4" s="1"/>
  <c r="F18" i="1"/>
  <c r="E17" i="1"/>
  <c r="B108" i="7" s="1"/>
  <c r="C19" i="1"/>
  <c r="D18" i="1"/>
  <c r="A7" i="4" s="1"/>
  <c r="B7" i="4" s="1"/>
  <c r="G17" i="1"/>
  <c r="A210" i="4" s="1"/>
  <c r="B210" i="4" s="1"/>
  <c r="C19" i="6" l="1"/>
  <c r="D19" i="6" s="1"/>
  <c r="F19" i="6" s="1"/>
  <c r="E18" i="6"/>
  <c r="H17" i="1"/>
  <c r="A108" i="4"/>
  <c r="B108" i="4" s="1"/>
  <c r="F19" i="1"/>
  <c r="E18" i="1"/>
  <c r="C20" i="1"/>
  <c r="D19" i="1"/>
  <c r="A8" i="4" s="1"/>
  <c r="B8" i="4" s="1"/>
  <c r="G18" i="1"/>
  <c r="A211" i="4" s="1"/>
  <c r="B211" i="4" s="1"/>
  <c r="B8" i="7" l="1"/>
  <c r="A312" i="4"/>
  <c r="B312" i="4" s="1"/>
  <c r="A109" i="4"/>
  <c r="B109" i="4" s="1"/>
  <c r="B109" i="7"/>
  <c r="C20" i="6"/>
  <c r="D20" i="6" s="1"/>
  <c r="F20" i="6" s="1"/>
  <c r="E19" i="6"/>
  <c r="F20" i="1"/>
  <c r="E19" i="1"/>
  <c r="H18" i="1"/>
  <c r="C21" i="1"/>
  <c r="D20" i="1"/>
  <c r="A9" i="4" s="1"/>
  <c r="B9" i="4" s="1"/>
  <c r="G19" i="1"/>
  <c r="A212" i="4" s="1"/>
  <c r="B212" i="4" s="1"/>
  <c r="B10" i="7" l="1"/>
  <c r="B9" i="7"/>
  <c r="A313" i="4"/>
  <c r="B313" i="4" s="1"/>
  <c r="A110" i="4"/>
  <c r="B110" i="4" s="1"/>
  <c r="B110" i="7"/>
  <c r="C21" i="6"/>
  <c r="D21" i="6" s="1"/>
  <c r="F21" i="6" s="1"/>
  <c r="E20" i="6"/>
  <c r="E20" i="1"/>
  <c r="B111" i="7" s="1"/>
  <c r="F21" i="1"/>
  <c r="H19" i="1"/>
  <c r="C22" i="1"/>
  <c r="D21" i="1"/>
  <c r="A10" i="4" s="1"/>
  <c r="B10" i="4" s="1"/>
  <c r="G20" i="1"/>
  <c r="A213" i="4" s="1"/>
  <c r="B213" i="4" s="1"/>
  <c r="A314" i="4" l="1"/>
  <c r="B314" i="4" s="1"/>
  <c r="C22" i="6"/>
  <c r="D22" i="6" s="1"/>
  <c r="F22" i="6" s="1"/>
  <c r="E21" i="6"/>
  <c r="H20" i="1"/>
  <c r="A111" i="4"/>
  <c r="B111" i="4" s="1"/>
  <c r="E21" i="1"/>
  <c r="B112" i="7" s="1"/>
  <c r="F22" i="1"/>
  <c r="C23" i="1"/>
  <c r="D22" i="1"/>
  <c r="A11" i="4" s="1"/>
  <c r="B11" i="4" s="1"/>
  <c r="G21" i="1"/>
  <c r="A214" i="4" s="1"/>
  <c r="B214" i="4" s="1"/>
  <c r="B11" i="7" l="1"/>
  <c r="A315" i="4"/>
  <c r="B315" i="4" s="1"/>
  <c r="B12" i="7"/>
  <c r="C23" i="6"/>
  <c r="D23" i="6" s="1"/>
  <c r="F23" i="6" s="1"/>
  <c r="E22" i="6"/>
  <c r="H21" i="1"/>
  <c r="A112" i="4"/>
  <c r="B112" i="4" s="1"/>
  <c r="E22" i="1"/>
  <c r="F23" i="1"/>
  <c r="G22" i="1"/>
  <c r="A215" i="4" s="1"/>
  <c r="B215" i="4" s="1"/>
  <c r="C24" i="1"/>
  <c r="D23" i="1"/>
  <c r="A12" i="4" s="1"/>
  <c r="B12" i="4" s="1"/>
  <c r="A316" i="4" l="1"/>
  <c r="B316" i="4" s="1"/>
  <c r="A113" i="4"/>
  <c r="B113" i="4" s="1"/>
  <c r="B113" i="7"/>
  <c r="C24" i="6"/>
  <c r="D24" i="6" s="1"/>
  <c r="F24" i="6" s="1"/>
  <c r="E23" i="6"/>
  <c r="H22" i="1"/>
  <c r="E23" i="1"/>
  <c r="F24" i="1"/>
  <c r="C25" i="1"/>
  <c r="D24" i="1"/>
  <c r="B13" i="7" s="1"/>
  <c r="G23" i="1"/>
  <c r="A216" i="4" s="1"/>
  <c r="B216" i="4" s="1"/>
  <c r="A317" i="4" l="1"/>
  <c r="B317" i="4" s="1"/>
  <c r="A114" i="4"/>
  <c r="B114" i="4" s="1"/>
  <c r="B114" i="7"/>
  <c r="C25" i="6"/>
  <c r="D25" i="6" s="1"/>
  <c r="F25" i="6" s="1"/>
  <c r="E24" i="6"/>
  <c r="E24" i="1"/>
  <c r="A13" i="4"/>
  <c r="B13" i="4" s="1"/>
  <c r="H23" i="1"/>
  <c r="F25" i="1"/>
  <c r="C26" i="1"/>
  <c r="D25" i="1"/>
  <c r="A14" i="4" s="1"/>
  <c r="B14" i="4" s="1"/>
  <c r="G24" i="1"/>
  <c r="A217" i="4" s="1"/>
  <c r="B217" i="4" s="1"/>
  <c r="B15" i="7" l="1"/>
  <c r="A318" i="4"/>
  <c r="B318" i="4" s="1"/>
  <c r="B14" i="7"/>
  <c r="A115" i="4"/>
  <c r="B115" i="4" s="1"/>
  <c r="B115" i="7"/>
  <c r="C26" i="6"/>
  <c r="D26" i="6" s="1"/>
  <c r="F26" i="6" s="1"/>
  <c r="E25" i="6"/>
  <c r="E25" i="1"/>
  <c r="F26" i="1"/>
  <c r="H24" i="1"/>
  <c r="C27" i="1"/>
  <c r="D26" i="1"/>
  <c r="G25" i="1"/>
  <c r="A218" i="4" s="1"/>
  <c r="B218" i="4" s="1"/>
  <c r="A319" i="4" l="1"/>
  <c r="B319" i="4" s="1"/>
  <c r="A116" i="4"/>
  <c r="B116" i="4" s="1"/>
  <c r="B116" i="7"/>
  <c r="C27" i="6"/>
  <c r="D27" i="6" s="1"/>
  <c r="F27" i="6" s="1"/>
  <c r="E26" i="6"/>
  <c r="E26" i="1"/>
  <c r="A15" i="4"/>
  <c r="B15" i="4" s="1"/>
  <c r="F27" i="1"/>
  <c r="H25" i="1"/>
  <c r="G26" i="1"/>
  <c r="A219" i="4" s="1"/>
  <c r="B219" i="4" s="1"/>
  <c r="C28" i="1"/>
  <c r="D27" i="1"/>
  <c r="E27" i="1" s="1"/>
  <c r="A118" i="4" s="1"/>
  <c r="B118" i="4" s="1"/>
  <c r="B16" i="7" l="1"/>
  <c r="B118" i="7"/>
  <c r="A320" i="4"/>
  <c r="B320" i="4" s="1"/>
  <c r="A117" i="4"/>
  <c r="B117" i="4" s="1"/>
  <c r="B117" i="7"/>
  <c r="C28" i="6"/>
  <c r="D28" i="6" s="1"/>
  <c r="F28" i="6" s="1"/>
  <c r="E27" i="6"/>
  <c r="A16" i="4"/>
  <c r="B16" i="4" s="1"/>
  <c r="F28" i="1"/>
  <c r="H27" i="1"/>
  <c r="A322" i="4" s="1"/>
  <c r="B322" i="4" s="1"/>
  <c r="H26" i="1"/>
  <c r="C29" i="1"/>
  <c r="D28" i="1"/>
  <c r="E28" i="1" s="1"/>
  <c r="A119" i="4" s="1"/>
  <c r="B119" i="4" s="1"/>
  <c r="G27" i="1"/>
  <c r="A220" i="4" s="1"/>
  <c r="B220" i="4" s="1"/>
  <c r="B17" i="7" l="1"/>
  <c r="B120" i="7"/>
  <c r="B18" i="7"/>
  <c r="B119" i="7"/>
  <c r="A321" i="4"/>
  <c r="B321" i="4" s="1"/>
  <c r="C29" i="6"/>
  <c r="D29" i="6" s="1"/>
  <c r="F29" i="6" s="1"/>
  <c r="E28" i="6"/>
  <c r="A17" i="4"/>
  <c r="B17" i="4" s="1"/>
  <c r="F29" i="1"/>
  <c r="C30" i="1"/>
  <c r="D29" i="1"/>
  <c r="E29" i="1" s="1"/>
  <c r="A120" i="4" s="1"/>
  <c r="B120" i="4" s="1"/>
  <c r="G28" i="1"/>
  <c r="A221" i="4" s="1"/>
  <c r="B221" i="4" s="1"/>
  <c r="C30" i="6" l="1"/>
  <c r="D30" i="6" s="1"/>
  <c r="F30" i="6" s="1"/>
  <c r="E29" i="6"/>
  <c r="A18" i="4"/>
  <c r="B18" i="4" s="1"/>
  <c r="F30" i="1"/>
  <c r="H28" i="1"/>
  <c r="C31" i="1"/>
  <c r="D30" i="1"/>
  <c r="E30" i="1" s="1"/>
  <c r="A121" i="4" s="1"/>
  <c r="B121" i="4" s="1"/>
  <c r="G29" i="1"/>
  <c r="A222" i="4" s="1"/>
  <c r="B222" i="4" s="1"/>
  <c r="B20" i="7" l="1"/>
  <c r="B19" i="7"/>
  <c r="A323" i="4"/>
  <c r="B323" i="4" s="1"/>
  <c r="B121" i="7"/>
  <c r="C31" i="6"/>
  <c r="D31" i="6" s="1"/>
  <c r="F31" i="6" s="1"/>
  <c r="E30" i="6"/>
  <c r="A19" i="4"/>
  <c r="B19" i="4" s="1"/>
  <c r="F31" i="1"/>
  <c r="H29" i="1"/>
  <c r="G30" i="1"/>
  <c r="A223" i="4" s="1"/>
  <c r="B223" i="4" s="1"/>
  <c r="C32" i="1"/>
  <c r="D31" i="1"/>
  <c r="E31" i="1" s="1"/>
  <c r="A122" i="4" s="1"/>
  <c r="B122" i="4" s="1"/>
  <c r="B122" i="7" l="1"/>
  <c r="B21" i="7"/>
  <c r="A324" i="4"/>
  <c r="B324" i="4" s="1"/>
  <c r="C32" i="6"/>
  <c r="D32" i="6" s="1"/>
  <c r="F32" i="6" s="1"/>
  <c r="E31" i="6"/>
  <c r="A20" i="4"/>
  <c r="B20" i="4" s="1"/>
  <c r="F32" i="1"/>
  <c r="H31" i="1"/>
  <c r="A326" i="4" s="1"/>
  <c r="B326" i="4" s="1"/>
  <c r="H30" i="1"/>
  <c r="C33" i="1"/>
  <c r="D32" i="1"/>
  <c r="E32" i="1" s="1"/>
  <c r="A123" i="4" s="1"/>
  <c r="B123" i="4" s="1"/>
  <c r="G31" i="1"/>
  <c r="A224" i="4" s="1"/>
  <c r="B224" i="4" s="1"/>
  <c r="B123" i="7" l="1"/>
  <c r="B124" i="7"/>
  <c r="B22" i="7"/>
  <c r="A325" i="4"/>
  <c r="B325" i="4" s="1"/>
  <c r="A21" i="4"/>
  <c r="B21" i="4" s="1"/>
  <c r="C33" i="6"/>
  <c r="D33" i="6" s="1"/>
  <c r="F33" i="6" s="1"/>
  <c r="E32" i="6"/>
  <c r="F33" i="1"/>
  <c r="H32" i="1"/>
  <c r="A327" i="4" s="1"/>
  <c r="B327" i="4" s="1"/>
  <c r="G32" i="1"/>
  <c r="A225" i="4" s="1"/>
  <c r="B225" i="4" s="1"/>
  <c r="C34" i="1"/>
  <c r="D33" i="1"/>
  <c r="E33" i="1" s="1"/>
  <c r="A124" i="4" s="1"/>
  <c r="B124" i="4" s="1"/>
  <c r="B125" i="7" l="1"/>
  <c r="B23" i="7"/>
  <c r="C34" i="6"/>
  <c r="D34" i="6" s="1"/>
  <c r="F34" i="6" s="1"/>
  <c r="E33" i="6"/>
  <c r="A22" i="4"/>
  <c r="B22" i="4" s="1"/>
  <c r="F34" i="1"/>
  <c r="C35" i="1"/>
  <c r="D34" i="1"/>
  <c r="E34" i="1" s="1"/>
  <c r="A125" i="4" s="1"/>
  <c r="B125" i="4" s="1"/>
  <c r="G33" i="1"/>
  <c r="A226" i="4" s="1"/>
  <c r="B226" i="4" s="1"/>
  <c r="B24" i="7" l="1"/>
  <c r="C35" i="6"/>
  <c r="D35" i="6" s="1"/>
  <c r="F35" i="6" s="1"/>
  <c r="E34" i="6"/>
  <c r="F35" i="1"/>
  <c r="A23" i="4"/>
  <c r="B23" i="4" s="1"/>
  <c r="H33" i="1"/>
  <c r="G34" i="1"/>
  <c r="A227" i="4" s="1"/>
  <c r="B227" i="4" s="1"/>
  <c r="C36" i="1"/>
  <c r="D35" i="1"/>
  <c r="G35" i="1" s="1"/>
  <c r="H34" i="1"/>
  <c r="A329" i="4" s="1"/>
  <c r="B329" i="4" s="1"/>
  <c r="A328" i="4" l="1"/>
  <c r="B328" i="4" s="1"/>
  <c r="C36" i="6"/>
  <c r="D36" i="6" s="1"/>
  <c r="F36" i="6" s="1"/>
  <c r="E35" i="6"/>
  <c r="F36" i="1"/>
  <c r="A24" i="4"/>
  <c r="B24" i="4" s="1"/>
  <c r="A228" i="4"/>
  <c r="B228" i="4" s="1"/>
  <c r="E35" i="1"/>
  <c r="B126" i="7" s="1"/>
  <c r="C37" i="1"/>
  <c r="D36" i="1"/>
  <c r="A25" i="4" s="1"/>
  <c r="B25" i="4" s="1"/>
  <c r="B25" i="7" l="1"/>
  <c r="C37" i="6"/>
  <c r="D37" i="6" s="1"/>
  <c r="F37" i="6" s="1"/>
  <c r="E36" i="6"/>
  <c r="F37" i="1"/>
  <c r="H35" i="1"/>
  <c r="A126" i="4"/>
  <c r="B126" i="4" s="1"/>
  <c r="E36" i="1"/>
  <c r="C38" i="1"/>
  <c r="D37" i="1"/>
  <c r="A26" i="4" s="1"/>
  <c r="B26" i="4" s="1"/>
  <c r="G36" i="1"/>
  <c r="A229" i="4" s="1"/>
  <c r="B229" i="4" s="1"/>
  <c r="A127" i="4" l="1"/>
  <c r="B127" i="4" s="1"/>
  <c r="B127" i="7"/>
  <c r="A330" i="4"/>
  <c r="B330" i="4" s="1"/>
  <c r="B26" i="7"/>
  <c r="C38" i="6"/>
  <c r="D38" i="6" s="1"/>
  <c r="F38" i="6" s="1"/>
  <c r="E37" i="6"/>
  <c r="F38" i="1"/>
  <c r="E37" i="1"/>
  <c r="B128" i="7" s="1"/>
  <c r="H36" i="1"/>
  <c r="G37" i="1"/>
  <c r="A230" i="4" s="1"/>
  <c r="B230" i="4" s="1"/>
  <c r="C39" i="1"/>
  <c r="D38" i="1"/>
  <c r="A27" i="4" s="1"/>
  <c r="B27" i="4" s="1"/>
  <c r="B27" i="7" l="1"/>
  <c r="A331" i="4"/>
  <c r="B331" i="4" s="1"/>
  <c r="C39" i="6"/>
  <c r="D39" i="6" s="1"/>
  <c r="F39" i="6" s="1"/>
  <c r="E38" i="6"/>
  <c r="H37" i="1"/>
  <c r="A128" i="4"/>
  <c r="B128" i="4" s="1"/>
  <c r="F39" i="1"/>
  <c r="E38" i="1"/>
  <c r="B129" i="7" s="1"/>
  <c r="C40" i="1"/>
  <c r="D39" i="1"/>
  <c r="A28" i="4" s="1"/>
  <c r="B28" i="4" s="1"/>
  <c r="G38" i="1"/>
  <c r="A231" i="4" s="1"/>
  <c r="B231" i="4" s="1"/>
  <c r="A332" i="4" l="1"/>
  <c r="B332" i="4" s="1"/>
  <c r="B28" i="7"/>
  <c r="C40" i="6"/>
  <c r="D40" i="6" s="1"/>
  <c r="F40" i="6" s="1"/>
  <c r="E39" i="6"/>
  <c r="F40" i="1"/>
  <c r="H38" i="1"/>
  <c r="A129" i="4"/>
  <c r="B129" i="4" s="1"/>
  <c r="E39" i="1"/>
  <c r="B130" i="7" s="1"/>
  <c r="C41" i="1"/>
  <c r="D40" i="1"/>
  <c r="A29" i="4" s="1"/>
  <c r="B29" i="4" s="1"/>
  <c r="G39" i="1"/>
  <c r="A232" i="4" s="1"/>
  <c r="B232" i="4" s="1"/>
  <c r="A333" i="4" l="1"/>
  <c r="B333" i="4" s="1"/>
  <c r="B29" i="7"/>
  <c r="B30" i="7"/>
  <c r="C41" i="6"/>
  <c r="D41" i="6" s="1"/>
  <c r="F41" i="6" s="1"/>
  <c r="E40" i="6"/>
  <c r="F41" i="1"/>
  <c r="H39" i="1"/>
  <c r="A130" i="4"/>
  <c r="B130" i="4" s="1"/>
  <c r="E40" i="1"/>
  <c r="C42" i="1"/>
  <c r="D41" i="1"/>
  <c r="A30" i="4" s="1"/>
  <c r="B30" i="4" s="1"/>
  <c r="G40" i="1"/>
  <c r="A233" i="4" s="1"/>
  <c r="B233" i="4" s="1"/>
  <c r="A131" i="4" l="1"/>
  <c r="B131" i="4" s="1"/>
  <c r="B131" i="7"/>
  <c r="A334" i="4"/>
  <c r="B334" i="4" s="1"/>
  <c r="C42" i="6"/>
  <c r="D42" i="6" s="1"/>
  <c r="F42" i="6" s="1"/>
  <c r="E41" i="6"/>
  <c r="F42" i="1"/>
  <c r="E41" i="1"/>
  <c r="B132" i="7" s="1"/>
  <c r="H40" i="1"/>
  <c r="C43" i="1"/>
  <c r="D42" i="1"/>
  <c r="A31" i="4" s="1"/>
  <c r="B31" i="4" s="1"/>
  <c r="G41" i="1"/>
  <c r="A234" i="4" s="1"/>
  <c r="B234" i="4" s="1"/>
  <c r="A335" i="4" l="1"/>
  <c r="B335" i="4" s="1"/>
  <c r="B31" i="7"/>
  <c r="C43" i="6"/>
  <c r="D43" i="6" s="1"/>
  <c r="F43" i="6" s="1"/>
  <c r="E42" i="6"/>
  <c r="F43" i="1"/>
  <c r="H41" i="1"/>
  <c r="A132" i="4"/>
  <c r="B132" i="4" s="1"/>
  <c r="E42" i="1"/>
  <c r="B133" i="7" s="1"/>
  <c r="C44" i="1"/>
  <c r="D43" i="1"/>
  <c r="A32" i="4" s="1"/>
  <c r="B32" i="4" s="1"/>
  <c r="G42" i="1"/>
  <c r="A235" i="4" s="1"/>
  <c r="B235" i="4" s="1"/>
  <c r="A336" i="4" l="1"/>
  <c r="B336" i="4" s="1"/>
  <c r="B32" i="7"/>
  <c r="C44" i="6"/>
  <c r="D44" i="6" s="1"/>
  <c r="F44" i="6" s="1"/>
  <c r="E43" i="6"/>
  <c r="F44" i="1"/>
  <c r="A236" i="4"/>
  <c r="B236" i="4" s="1"/>
  <c r="H42" i="1"/>
  <c r="A133" i="4"/>
  <c r="B133" i="4" s="1"/>
  <c r="E43" i="1"/>
  <c r="B134" i="7" s="1"/>
  <c r="C45" i="1"/>
  <c r="D44" i="1"/>
  <c r="A33" i="4" s="1"/>
  <c r="B33" i="4" s="1"/>
  <c r="G43" i="1"/>
  <c r="A337" i="4" l="1"/>
  <c r="B337" i="4" s="1"/>
  <c r="B33" i="7"/>
  <c r="C45" i="6"/>
  <c r="D45" i="6" s="1"/>
  <c r="F45" i="6" s="1"/>
  <c r="E44" i="6"/>
  <c r="F45" i="1"/>
  <c r="H43" i="1"/>
  <c r="A134" i="4"/>
  <c r="B134" i="4" s="1"/>
  <c r="E44" i="1"/>
  <c r="B135" i="7" s="1"/>
  <c r="C46" i="1"/>
  <c r="D45" i="1"/>
  <c r="A34" i="4" s="1"/>
  <c r="B34" i="4" s="1"/>
  <c r="G44" i="1"/>
  <c r="A237" i="4" s="1"/>
  <c r="B237" i="4" s="1"/>
  <c r="B34" i="7" l="1"/>
  <c r="A338" i="4"/>
  <c r="B338" i="4" s="1"/>
  <c r="C46" i="6"/>
  <c r="D46" i="6" s="1"/>
  <c r="F46" i="6" s="1"/>
  <c r="E45" i="6"/>
  <c r="F46" i="1"/>
  <c r="H44" i="1"/>
  <c r="A135" i="4"/>
  <c r="B135" i="4" s="1"/>
  <c r="E45" i="1"/>
  <c r="B136" i="7" s="1"/>
  <c r="C47" i="1"/>
  <c r="D46" i="1"/>
  <c r="A35" i="4" s="1"/>
  <c r="B35" i="4" s="1"/>
  <c r="G45" i="1"/>
  <c r="A238" i="4" s="1"/>
  <c r="B238" i="4" s="1"/>
  <c r="B35" i="7" l="1"/>
  <c r="A339" i="4"/>
  <c r="B339" i="4" s="1"/>
  <c r="C47" i="6"/>
  <c r="D47" i="6" s="1"/>
  <c r="F47" i="6" s="1"/>
  <c r="E46" i="6"/>
  <c r="F47" i="1"/>
  <c r="H45" i="1"/>
  <c r="A136" i="4"/>
  <c r="B136" i="4" s="1"/>
  <c r="E46" i="1"/>
  <c r="B137" i="7" s="1"/>
  <c r="C48" i="1"/>
  <c r="D47" i="1"/>
  <c r="A36" i="4" s="1"/>
  <c r="B36" i="4" s="1"/>
  <c r="G46" i="1"/>
  <c r="A239" i="4" s="1"/>
  <c r="B239" i="4" s="1"/>
  <c r="B37" i="7" l="1"/>
  <c r="B36" i="7"/>
  <c r="A340" i="4"/>
  <c r="B340" i="4" s="1"/>
  <c r="C48" i="6"/>
  <c r="D48" i="6" s="1"/>
  <c r="F48" i="6" s="1"/>
  <c r="E47" i="6"/>
  <c r="H46" i="1"/>
  <c r="A137" i="4"/>
  <c r="B137" i="4" s="1"/>
  <c r="F48" i="1"/>
  <c r="E47" i="1"/>
  <c r="B138" i="7" s="1"/>
  <c r="C49" i="1"/>
  <c r="D48" i="1"/>
  <c r="A37" i="4" s="1"/>
  <c r="B37" i="4" s="1"/>
  <c r="G47" i="1"/>
  <c r="A240" i="4" s="1"/>
  <c r="B240" i="4" s="1"/>
  <c r="A341" i="4" l="1"/>
  <c r="B341" i="4" s="1"/>
  <c r="C49" i="6"/>
  <c r="D49" i="6" s="1"/>
  <c r="F49" i="6" s="1"/>
  <c r="E48" i="6"/>
  <c r="H47" i="1"/>
  <c r="A138" i="4"/>
  <c r="B138" i="4" s="1"/>
  <c r="F49" i="1"/>
  <c r="E48" i="1"/>
  <c r="B139" i="7" s="1"/>
  <c r="C50" i="1"/>
  <c r="D49" i="1"/>
  <c r="A38" i="4" s="1"/>
  <c r="B38" i="4" s="1"/>
  <c r="G48" i="1"/>
  <c r="A241" i="4" s="1"/>
  <c r="B241" i="4" s="1"/>
  <c r="B39" i="7" l="1"/>
  <c r="B38" i="7"/>
  <c r="A342" i="4"/>
  <c r="B342" i="4" s="1"/>
  <c r="C50" i="6"/>
  <c r="D50" i="6" s="1"/>
  <c r="F50" i="6" s="1"/>
  <c r="E49" i="6"/>
  <c r="H48" i="1"/>
  <c r="A139" i="4"/>
  <c r="B139" i="4" s="1"/>
  <c r="F50" i="1"/>
  <c r="E49" i="1"/>
  <c r="B140" i="7" s="1"/>
  <c r="C51" i="1"/>
  <c r="D50" i="1"/>
  <c r="A39" i="4" s="1"/>
  <c r="B39" i="4" s="1"/>
  <c r="G49" i="1"/>
  <c r="A242" i="4" s="1"/>
  <c r="B242" i="4" s="1"/>
  <c r="A343" i="4" l="1"/>
  <c r="B343" i="4" s="1"/>
  <c r="C51" i="6"/>
  <c r="D51" i="6" s="1"/>
  <c r="F51" i="6" s="1"/>
  <c r="E50" i="6"/>
  <c r="H49" i="1"/>
  <c r="A140" i="4"/>
  <c r="B140" i="4" s="1"/>
  <c r="F51" i="1"/>
  <c r="E50" i="1"/>
  <c r="B141" i="7" s="1"/>
  <c r="C52" i="1"/>
  <c r="D51" i="1"/>
  <c r="A40" i="4" s="1"/>
  <c r="B40" i="4" s="1"/>
  <c r="G50" i="1"/>
  <c r="A243" i="4" s="1"/>
  <c r="B243" i="4" s="1"/>
  <c r="B40" i="7" l="1"/>
  <c r="A344" i="4"/>
  <c r="B344" i="4" s="1"/>
  <c r="C52" i="6"/>
  <c r="D52" i="6" s="1"/>
  <c r="F52" i="6" s="1"/>
  <c r="E51" i="6"/>
  <c r="H50" i="1"/>
  <c r="A141" i="4"/>
  <c r="B141" i="4" s="1"/>
  <c r="F52" i="1"/>
  <c r="E51" i="1"/>
  <c r="B142" i="7" s="1"/>
  <c r="C53" i="1"/>
  <c r="D52" i="1"/>
  <c r="A41" i="4" s="1"/>
  <c r="B41" i="4" s="1"/>
  <c r="G51" i="1"/>
  <c r="A244" i="4" s="1"/>
  <c r="B244" i="4" s="1"/>
  <c r="A345" i="4" l="1"/>
  <c r="B345" i="4" s="1"/>
  <c r="B41" i="7"/>
  <c r="C53" i="6"/>
  <c r="D53" i="6" s="1"/>
  <c r="F53" i="6" s="1"/>
  <c r="E52" i="6"/>
  <c r="H51" i="1"/>
  <c r="A142" i="4"/>
  <c r="B142" i="4" s="1"/>
  <c r="F53" i="1"/>
  <c r="A245" i="4"/>
  <c r="B245" i="4" s="1"/>
  <c r="E52" i="1"/>
  <c r="B143" i="7" s="1"/>
  <c r="C54" i="1"/>
  <c r="D53" i="1"/>
  <c r="B42" i="7" s="1"/>
  <c r="G52" i="1"/>
  <c r="A346" i="4" l="1"/>
  <c r="B346" i="4" s="1"/>
  <c r="C54" i="6"/>
  <c r="D54" i="6" s="1"/>
  <c r="F54" i="6" s="1"/>
  <c r="E53" i="6"/>
  <c r="E53" i="1"/>
  <c r="H52" i="1"/>
  <c r="A143" i="4"/>
  <c r="B143" i="4" s="1"/>
  <c r="A42" i="4"/>
  <c r="B42" i="4" s="1"/>
  <c r="F54" i="1"/>
  <c r="C55" i="1"/>
  <c r="D54" i="1"/>
  <c r="E54" i="1" s="1"/>
  <c r="A145" i="4" s="1"/>
  <c r="B145" i="4" s="1"/>
  <c r="G53" i="1"/>
  <c r="A246" i="4" s="1"/>
  <c r="B246" i="4" s="1"/>
  <c r="A347" i="4" l="1"/>
  <c r="B347" i="4" s="1"/>
  <c r="B43" i="7"/>
  <c r="A144" i="4"/>
  <c r="B144" i="4" s="1"/>
  <c r="B144" i="7"/>
  <c r="B145" i="7"/>
  <c r="C55" i="6"/>
  <c r="E54" i="6"/>
  <c r="H53" i="1"/>
  <c r="A43" i="4"/>
  <c r="B43" i="4" s="1"/>
  <c r="F55" i="1"/>
  <c r="C56" i="1"/>
  <c r="D55" i="1"/>
  <c r="E55" i="1" s="1"/>
  <c r="A146" i="4" s="1"/>
  <c r="B146" i="4" s="1"/>
  <c r="G54" i="1"/>
  <c r="A247" i="4" s="1"/>
  <c r="B247" i="4" s="1"/>
  <c r="H54" i="1"/>
  <c r="A349" i="4" s="1"/>
  <c r="B349" i="4" s="1"/>
  <c r="B44" i="7" l="1"/>
  <c r="B147" i="7"/>
  <c r="B45" i="7"/>
  <c r="B146" i="7"/>
  <c r="A348" i="4"/>
  <c r="B348" i="4" s="1"/>
  <c r="C56" i="6"/>
  <c r="D55" i="6"/>
  <c r="F55" i="6" s="1"/>
  <c r="E55" i="6"/>
  <c r="F56" i="1"/>
  <c r="A44" i="4"/>
  <c r="B44" i="4" s="1"/>
  <c r="C57" i="1"/>
  <c r="D56" i="1"/>
  <c r="E56" i="1" s="1"/>
  <c r="A147" i="4" s="1"/>
  <c r="B147" i="4" s="1"/>
  <c r="H55" i="1"/>
  <c r="A350" i="4" s="1"/>
  <c r="B350" i="4" s="1"/>
  <c r="G55" i="1"/>
  <c r="A248" i="4" s="1"/>
  <c r="B248" i="4" s="1"/>
  <c r="B46" i="7" l="1"/>
  <c r="C57" i="6"/>
  <c r="D56" i="6"/>
  <c r="F56" i="6" s="1"/>
  <c r="E56" i="6"/>
  <c r="A45" i="4"/>
  <c r="B45" i="4" s="1"/>
  <c r="F57" i="1"/>
  <c r="C58" i="1"/>
  <c r="D57" i="1"/>
  <c r="E57" i="1" s="1"/>
  <c r="A148" i="4" s="1"/>
  <c r="B148" i="4" s="1"/>
  <c r="G56" i="1"/>
  <c r="A249" i="4" s="1"/>
  <c r="B249" i="4" s="1"/>
  <c r="H56" i="1"/>
  <c r="A351" i="4" s="1"/>
  <c r="B351" i="4" s="1"/>
  <c r="B148" i="7" l="1"/>
  <c r="D57" i="6"/>
  <c r="F57" i="6" s="1"/>
  <c r="C58" i="6"/>
  <c r="E57" i="6"/>
  <c r="F58" i="1"/>
  <c r="A46" i="4"/>
  <c r="B46" i="4" s="1"/>
  <c r="C59" i="1"/>
  <c r="D58" i="1"/>
  <c r="E58" i="1" s="1"/>
  <c r="A149" i="4" s="1"/>
  <c r="B149" i="4" s="1"/>
  <c r="H57" i="1"/>
  <c r="A352" i="4" s="1"/>
  <c r="B352" i="4" s="1"/>
  <c r="G57" i="1"/>
  <c r="A250" i="4" s="1"/>
  <c r="B250" i="4" s="1"/>
  <c r="B149" i="7" l="1"/>
  <c r="B47" i="7"/>
  <c r="C59" i="6"/>
  <c r="D58" i="6"/>
  <c r="F58" i="6" s="1"/>
  <c r="E58" i="6"/>
  <c r="F59" i="1"/>
  <c r="A47" i="4"/>
  <c r="B47" i="4" s="1"/>
  <c r="C60" i="1"/>
  <c r="D59" i="1"/>
  <c r="E59" i="1" s="1"/>
  <c r="A150" i="4" s="1"/>
  <c r="B150" i="4" s="1"/>
  <c r="H58" i="1"/>
  <c r="A353" i="4" s="1"/>
  <c r="B353" i="4" s="1"/>
  <c r="G58" i="1"/>
  <c r="A251" i="4" s="1"/>
  <c r="B251" i="4" s="1"/>
  <c r="B48" i="7" l="1"/>
  <c r="B150" i="7"/>
  <c r="B49" i="7"/>
  <c r="D59" i="6"/>
  <c r="F59" i="6" s="1"/>
  <c r="C60" i="6"/>
  <c r="E59" i="6"/>
  <c r="A48" i="4"/>
  <c r="B48" i="4" s="1"/>
  <c r="F60" i="1"/>
  <c r="C61" i="1"/>
  <c r="D60" i="1"/>
  <c r="E60" i="1" s="1"/>
  <c r="A151" i="4" s="1"/>
  <c r="B151" i="4" s="1"/>
  <c r="G59" i="1"/>
  <c r="A252" i="4" s="1"/>
  <c r="B252" i="4" s="1"/>
  <c r="H59" i="1"/>
  <c r="A354" i="4" s="1"/>
  <c r="B354" i="4" s="1"/>
  <c r="B151" i="7" l="1"/>
  <c r="B152" i="7"/>
  <c r="C61" i="6"/>
  <c r="D60" i="6"/>
  <c r="F60" i="6" s="1"/>
  <c r="E60" i="6"/>
  <c r="F61" i="1"/>
  <c r="A49" i="4"/>
  <c r="B49" i="4" s="1"/>
  <c r="C62" i="1"/>
  <c r="D61" i="1"/>
  <c r="E61" i="1" s="1"/>
  <c r="A152" i="4" s="1"/>
  <c r="B152" i="4" s="1"/>
  <c r="G60" i="1"/>
  <c r="A253" i="4" s="1"/>
  <c r="B253" i="4" s="1"/>
  <c r="H60" i="1"/>
  <c r="A355" i="4" s="1"/>
  <c r="B355" i="4" s="1"/>
  <c r="B50" i="7" l="1"/>
  <c r="D61" i="6"/>
  <c r="F61" i="6" s="1"/>
  <c r="C62" i="6"/>
  <c r="E61" i="6"/>
  <c r="F62" i="1"/>
  <c r="A50" i="4"/>
  <c r="B50" i="4" s="1"/>
  <c r="C63" i="1"/>
  <c r="D62" i="1"/>
  <c r="E62" i="1" s="1"/>
  <c r="A153" i="4" s="1"/>
  <c r="B153" i="4" s="1"/>
  <c r="G61" i="1"/>
  <c r="A254" i="4" s="1"/>
  <c r="B254" i="4" s="1"/>
  <c r="H61" i="1"/>
  <c r="A356" i="4" s="1"/>
  <c r="B356" i="4" s="1"/>
  <c r="B51" i="7" l="1"/>
  <c r="B153" i="7"/>
  <c r="D62" i="6"/>
  <c r="F62" i="6" s="1"/>
  <c r="C63" i="6"/>
  <c r="E62" i="6"/>
  <c r="A51" i="4"/>
  <c r="B51" i="4" s="1"/>
  <c r="F63" i="1"/>
  <c r="C64" i="1"/>
  <c r="D63" i="1"/>
  <c r="E63" i="1" s="1"/>
  <c r="A154" i="4" s="1"/>
  <c r="B154" i="4" s="1"/>
  <c r="H62" i="1"/>
  <c r="A357" i="4" s="1"/>
  <c r="B357" i="4" s="1"/>
  <c r="G62" i="1"/>
  <c r="A255" i="4" s="1"/>
  <c r="B255" i="4" s="1"/>
  <c r="B52" i="7" l="1"/>
  <c r="B155" i="7"/>
  <c r="B154" i="7"/>
  <c r="D63" i="6"/>
  <c r="F63" i="6" s="1"/>
  <c r="C64" i="6"/>
  <c r="E63" i="6"/>
  <c r="A52" i="4"/>
  <c r="B52" i="4" s="1"/>
  <c r="F64" i="1"/>
  <c r="C65" i="1"/>
  <c r="D64" i="1"/>
  <c r="E64" i="1" s="1"/>
  <c r="A155" i="4" s="1"/>
  <c r="B155" i="4" s="1"/>
  <c r="G63" i="1"/>
  <c r="A256" i="4" s="1"/>
  <c r="B256" i="4" s="1"/>
  <c r="H63" i="1"/>
  <c r="A358" i="4" s="1"/>
  <c r="B358" i="4" s="1"/>
  <c r="B156" i="7" l="1"/>
  <c r="B54" i="7"/>
  <c r="B53" i="7"/>
  <c r="C65" i="6"/>
  <c r="D64" i="6"/>
  <c r="F64" i="6" s="1"/>
  <c r="E64" i="6"/>
  <c r="F65" i="1"/>
  <c r="A53" i="4"/>
  <c r="B53" i="4" s="1"/>
  <c r="C66" i="1"/>
  <c r="D65" i="1"/>
  <c r="E65" i="1" s="1"/>
  <c r="A156" i="4" s="1"/>
  <c r="B156" i="4" s="1"/>
  <c r="H64" i="1"/>
  <c r="A359" i="4" s="1"/>
  <c r="B359" i="4" s="1"/>
  <c r="G64" i="1"/>
  <c r="A257" i="4" s="1"/>
  <c r="B257" i="4" s="1"/>
  <c r="C66" i="6" l="1"/>
  <c r="D65" i="6"/>
  <c r="F65" i="6" s="1"/>
  <c r="E65" i="6"/>
  <c r="F66" i="1"/>
  <c r="A54" i="4"/>
  <c r="B54" i="4" s="1"/>
  <c r="C67" i="1"/>
  <c r="D66" i="1"/>
  <c r="E66" i="1" s="1"/>
  <c r="A157" i="4" s="1"/>
  <c r="B157" i="4" s="1"/>
  <c r="H65" i="1"/>
  <c r="A360" i="4" s="1"/>
  <c r="B360" i="4" s="1"/>
  <c r="G65" i="1"/>
  <c r="A258" i="4" s="1"/>
  <c r="B258" i="4" s="1"/>
  <c r="B55" i="7" l="1"/>
  <c r="B157" i="7"/>
  <c r="C67" i="6"/>
  <c r="D66" i="6"/>
  <c r="F66" i="6" s="1"/>
  <c r="E66" i="6"/>
  <c r="A55" i="4"/>
  <c r="B55" i="4" s="1"/>
  <c r="F67" i="1"/>
  <c r="C68" i="1"/>
  <c r="D67" i="1"/>
  <c r="E67" i="1" s="1"/>
  <c r="A158" i="4" s="1"/>
  <c r="B158" i="4" s="1"/>
  <c r="H66" i="1"/>
  <c r="A361" i="4" s="1"/>
  <c r="B361" i="4" s="1"/>
  <c r="G66" i="1"/>
  <c r="A259" i="4" s="1"/>
  <c r="B259" i="4" s="1"/>
  <c r="B159" i="7" l="1"/>
  <c r="B56" i="7"/>
  <c r="B158" i="7"/>
  <c r="C68" i="6"/>
  <c r="D67" i="6"/>
  <c r="F67" i="6" s="1"/>
  <c r="E67" i="6"/>
  <c r="A56" i="4"/>
  <c r="B56" i="4" s="1"/>
  <c r="F68" i="1"/>
  <c r="C69" i="1"/>
  <c r="D68" i="1"/>
  <c r="E68" i="1" s="1"/>
  <c r="A159" i="4" s="1"/>
  <c r="B159" i="4" s="1"/>
  <c r="H67" i="1"/>
  <c r="A362" i="4" s="1"/>
  <c r="B362" i="4" s="1"/>
  <c r="G67" i="1"/>
  <c r="A260" i="4" s="1"/>
  <c r="B260" i="4" s="1"/>
  <c r="B57" i="7" l="1"/>
  <c r="D68" i="6"/>
  <c r="F68" i="6" s="1"/>
  <c r="C69" i="6"/>
  <c r="E68" i="6"/>
  <c r="A57" i="4"/>
  <c r="B57" i="4" s="1"/>
  <c r="F69" i="1"/>
  <c r="C70" i="1"/>
  <c r="D69" i="1"/>
  <c r="E69" i="1" s="1"/>
  <c r="A160" i="4" s="1"/>
  <c r="B160" i="4" s="1"/>
  <c r="H68" i="1"/>
  <c r="A363" i="4" s="1"/>
  <c r="B363" i="4" s="1"/>
  <c r="G68" i="1"/>
  <c r="A261" i="4" s="1"/>
  <c r="B261" i="4" s="1"/>
  <c r="B58" i="7" l="1"/>
  <c r="B160" i="7"/>
  <c r="B59" i="7"/>
  <c r="C70" i="6"/>
  <c r="D69" i="6"/>
  <c r="F69" i="6" s="1"/>
  <c r="E69" i="6"/>
  <c r="A58" i="4"/>
  <c r="B58" i="4" s="1"/>
  <c r="F70" i="1"/>
  <c r="C71" i="1"/>
  <c r="D70" i="1"/>
  <c r="E70" i="1" s="1"/>
  <c r="A161" i="4" s="1"/>
  <c r="B161" i="4" s="1"/>
  <c r="G69" i="1"/>
  <c r="A262" i="4" s="1"/>
  <c r="B262" i="4" s="1"/>
  <c r="H69" i="1"/>
  <c r="A364" i="4" s="1"/>
  <c r="B364" i="4" s="1"/>
  <c r="B162" i="7" l="1"/>
  <c r="B60" i="7"/>
  <c r="B161" i="7"/>
  <c r="C71" i="6"/>
  <c r="C72" i="6" s="1"/>
  <c r="C73" i="6" s="1"/>
  <c r="C74" i="6" s="1"/>
  <c r="C75" i="6" s="1"/>
  <c r="C76" i="6" s="1"/>
  <c r="C77" i="6" s="1"/>
  <c r="D70" i="6"/>
  <c r="F70" i="6" s="1"/>
  <c r="E70" i="6"/>
  <c r="F71" i="1"/>
  <c r="A59" i="4"/>
  <c r="B59" i="4" s="1"/>
  <c r="C72" i="1"/>
  <c r="D71" i="1"/>
  <c r="E71" i="1" s="1"/>
  <c r="A162" i="4" s="1"/>
  <c r="B162" i="4" s="1"/>
  <c r="G70" i="1"/>
  <c r="A263" i="4" s="1"/>
  <c r="B263" i="4" s="1"/>
  <c r="H70" i="1"/>
  <c r="A365" i="4" s="1"/>
  <c r="B365" i="4" s="1"/>
  <c r="D71" i="6" l="1"/>
  <c r="F71" i="6" s="1"/>
  <c r="D72" i="6"/>
  <c r="F72" i="6" s="1"/>
  <c r="E71" i="6"/>
  <c r="F72" i="1"/>
  <c r="A60" i="4"/>
  <c r="B60" i="4" s="1"/>
  <c r="C73" i="1"/>
  <c r="D72" i="1"/>
  <c r="E72" i="1" s="1"/>
  <c r="A163" i="4" s="1"/>
  <c r="B163" i="4" s="1"/>
  <c r="G71" i="1"/>
  <c r="A264" i="4" s="1"/>
  <c r="B264" i="4" s="1"/>
  <c r="H71" i="1"/>
  <c r="A366" i="4" s="1"/>
  <c r="B366" i="4" s="1"/>
  <c r="B61" i="7" l="1"/>
  <c r="B163" i="7"/>
  <c r="D73" i="6"/>
  <c r="F73" i="6" s="1"/>
  <c r="E72" i="6"/>
  <c r="A61" i="4"/>
  <c r="B61" i="4" s="1"/>
  <c r="F73" i="1"/>
  <c r="C74" i="1"/>
  <c r="D73" i="1"/>
  <c r="E73" i="1" s="1"/>
  <c r="A164" i="4" s="1"/>
  <c r="B164" i="4" s="1"/>
  <c r="G72" i="1"/>
  <c r="A265" i="4" s="1"/>
  <c r="B265" i="4" s="1"/>
  <c r="H72" i="1"/>
  <c r="A367" i="4" s="1"/>
  <c r="B367" i="4" s="1"/>
  <c r="B62" i="7" l="1"/>
  <c r="B164" i="7"/>
  <c r="D74" i="6"/>
  <c r="F74" i="6" s="1"/>
  <c r="E73" i="6"/>
  <c r="F74" i="1"/>
  <c r="A62" i="4"/>
  <c r="B62" i="4" s="1"/>
  <c r="C75" i="1"/>
  <c r="D74" i="1"/>
  <c r="E74" i="1" s="1"/>
  <c r="A165" i="4" s="1"/>
  <c r="B165" i="4" s="1"/>
  <c r="H73" i="1"/>
  <c r="A368" i="4" s="1"/>
  <c r="B368" i="4" s="1"/>
  <c r="G73" i="1"/>
  <c r="A266" i="4" s="1"/>
  <c r="B266" i="4" s="1"/>
  <c r="B166" i="7" l="1"/>
  <c r="B64" i="7"/>
  <c r="B63" i="7"/>
  <c r="B165" i="7"/>
  <c r="D75" i="6"/>
  <c r="F75" i="6" s="1"/>
  <c r="E74" i="6"/>
  <c r="A63" i="4"/>
  <c r="B63" i="4" s="1"/>
  <c r="F75" i="1"/>
  <c r="C76" i="1"/>
  <c r="D75" i="1"/>
  <c r="E75" i="1" s="1"/>
  <c r="A166" i="4" s="1"/>
  <c r="B166" i="4" s="1"/>
  <c r="H74" i="1"/>
  <c r="A369" i="4" s="1"/>
  <c r="B369" i="4" s="1"/>
  <c r="G74" i="1"/>
  <c r="A267" i="4" s="1"/>
  <c r="B267" i="4" s="1"/>
  <c r="D76" i="6" l="1"/>
  <c r="F76" i="6" s="1"/>
  <c r="E75" i="6"/>
  <c r="F76" i="1"/>
  <c r="A64" i="4"/>
  <c r="B64" i="4" s="1"/>
  <c r="C77" i="1"/>
  <c r="D76" i="1"/>
  <c r="E76" i="1" s="1"/>
  <c r="A167" i="4" s="1"/>
  <c r="B167" i="4" s="1"/>
  <c r="G75" i="1"/>
  <c r="A268" i="4" s="1"/>
  <c r="B268" i="4" s="1"/>
  <c r="H75" i="1"/>
  <c r="A370" i="4" s="1"/>
  <c r="B370" i="4" s="1"/>
  <c r="B65" i="7" l="1"/>
  <c r="B168" i="7"/>
  <c r="B66" i="7"/>
  <c r="B167" i="7"/>
  <c r="D77" i="6"/>
  <c r="F77" i="6" s="1"/>
  <c r="E76" i="6"/>
  <c r="A65" i="4"/>
  <c r="B65" i="4" s="1"/>
  <c r="F77" i="1"/>
  <c r="C78" i="1"/>
  <c r="D77" i="1"/>
  <c r="E77" i="1" s="1"/>
  <c r="A168" i="4" s="1"/>
  <c r="B168" i="4" s="1"/>
  <c r="G76" i="1"/>
  <c r="A269" i="4" s="1"/>
  <c r="B269" i="4" s="1"/>
  <c r="H76" i="1"/>
  <c r="A371" i="4" s="1"/>
  <c r="B371" i="4" s="1"/>
  <c r="B169" i="7" l="1"/>
  <c r="B67" i="7"/>
  <c r="C78" i="6"/>
  <c r="D78" i="6" s="1"/>
  <c r="F78" i="6" s="1"/>
  <c r="E77" i="6"/>
  <c r="F78" i="1"/>
  <c r="A66" i="4"/>
  <c r="B66" i="4" s="1"/>
  <c r="C79" i="1"/>
  <c r="D78" i="1"/>
  <c r="E78" i="1" s="1"/>
  <c r="A169" i="4" s="1"/>
  <c r="B169" i="4" s="1"/>
  <c r="H77" i="1"/>
  <c r="A372" i="4" s="1"/>
  <c r="B372" i="4" s="1"/>
  <c r="G77" i="1"/>
  <c r="A270" i="4" s="1"/>
  <c r="B270" i="4" s="1"/>
  <c r="C79" i="6" l="1"/>
  <c r="D79" i="6" s="1"/>
  <c r="F79" i="6" s="1"/>
  <c r="E78" i="6"/>
  <c r="F79" i="1"/>
  <c r="A67" i="4"/>
  <c r="B67" i="4" s="1"/>
  <c r="C80" i="1"/>
  <c r="D79" i="1"/>
  <c r="E79" i="1" s="1"/>
  <c r="A170" i="4" s="1"/>
  <c r="B170" i="4" s="1"/>
  <c r="H78" i="1"/>
  <c r="A373" i="4" s="1"/>
  <c r="B373" i="4" s="1"/>
  <c r="G78" i="1"/>
  <c r="A271" i="4" s="1"/>
  <c r="B271" i="4" s="1"/>
  <c r="B69" i="7" l="1"/>
  <c r="B68" i="7"/>
  <c r="B170" i="7"/>
  <c r="C80" i="6"/>
  <c r="D80" i="6" s="1"/>
  <c r="F80" i="6" s="1"/>
  <c r="E79" i="6"/>
  <c r="F80" i="1"/>
  <c r="A68" i="4"/>
  <c r="B68" i="4" s="1"/>
  <c r="C81" i="1"/>
  <c r="D80" i="1"/>
  <c r="E80" i="1" s="1"/>
  <c r="A171" i="4" s="1"/>
  <c r="B171" i="4" s="1"/>
  <c r="G79" i="1"/>
  <c r="A272" i="4" s="1"/>
  <c r="B272" i="4" s="1"/>
  <c r="H79" i="1"/>
  <c r="A374" i="4" s="1"/>
  <c r="B374" i="4" s="1"/>
  <c r="B171" i="7" l="1"/>
  <c r="C81" i="6"/>
  <c r="D81" i="6" s="1"/>
  <c r="F81" i="6" s="1"/>
  <c r="E80" i="6"/>
  <c r="F81" i="1"/>
  <c r="A69" i="4"/>
  <c r="B69" i="4" s="1"/>
  <c r="C82" i="1"/>
  <c r="D81" i="1"/>
  <c r="E81" i="1" s="1"/>
  <c r="A172" i="4" s="1"/>
  <c r="B172" i="4" s="1"/>
  <c r="G80" i="1"/>
  <c r="A273" i="4" s="1"/>
  <c r="B273" i="4" s="1"/>
  <c r="H80" i="1"/>
  <c r="A375" i="4" s="1"/>
  <c r="B375" i="4" s="1"/>
  <c r="B70" i="7" l="1"/>
  <c r="B71" i="7"/>
  <c r="B172" i="7"/>
  <c r="C82" i="6"/>
  <c r="D82" i="6" s="1"/>
  <c r="F82" i="6" s="1"/>
  <c r="E81" i="6"/>
  <c r="F82" i="1"/>
  <c r="A70" i="4"/>
  <c r="B70" i="4" s="1"/>
  <c r="C83" i="1"/>
  <c r="D82" i="1"/>
  <c r="E82" i="1" s="1"/>
  <c r="A173" i="4" s="1"/>
  <c r="B173" i="4" s="1"/>
  <c r="H81" i="1"/>
  <c r="A376" i="4" s="1"/>
  <c r="B376" i="4" s="1"/>
  <c r="G81" i="1"/>
  <c r="A274" i="4" s="1"/>
  <c r="B274" i="4" s="1"/>
  <c r="B173" i="7" l="1"/>
  <c r="C83" i="6"/>
  <c r="D83" i="6" s="1"/>
  <c r="F83" i="6" s="1"/>
  <c r="E82" i="6"/>
  <c r="A71" i="4"/>
  <c r="B71" i="4" s="1"/>
  <c r="F83" i="1"/>
  <c r="C84" i="1"/>
  <c r="D83" i="1"/>
  <c r="E83" i="1" s="1"/>
  <c r="A174" i="4" s="1"/>
  <c r="B174" i="4" s="1"/>
  <c r="G82" i="1"/>
  <c r="A275" i="4" s="1"/>
  <c r="B275" i="4" s="1"/>
  <c r="H82" i="1"/>
  <c r="A377" i="4" s="1"/>
  <c r="B377" i="4" s="1"/>
  <c r="B72" i="7" l="1"/>
  <c r="B174" i="7"/>
  <c r="C84" i="6"/>
  <c r="D84" i="6" s="1"/>
  <c r="F84" i="6" s="1"/>
  <c r="E83" i="6"/>
  <c r="F84" i="1"/>
  <c r="A72" i="4"/>
  <c r="B72" i="4" s="1"/>
  <c r="C85" i="1"/>
  <c r="D84" i="1"/>
  <c r="E84" i="1" s="1"/>
  <c r="A175" i="4" s="1"/>
  <c r="B175" i="4" s="1"/>
  <c r="H83" i="1"/>
  <c r="A378" i="4" s="1"/>
  <c r="B378" i="4" s="1"/>
  <c r="G83" i="1"/>
  <c r="A276" i="4" s="1"/>
  <c r="B276" i="4" s="1"/>
  <c r="B73" i="7" l="1"/>
  <c r="B74" i="7"/>
  <c r="B175" i="7"/>
  <c r="C85" i="6"/>
  <c r="D85" i="6" s="1"/>
  <c r="F85" i="6" s="1"/>
  <c r="E84" i="6"/>
  <c r="A73" i="4"/>
  <c r="B73" i="4" s="1"/>
  <c r="F85" i="1"/>
  <c r="C86" i="1"/>
  <c r="D85" i="1"/>
  <c r="E85" i="1" s="1"/>
  <c r="A176" i="4" s="1"/>
  <c r="B176" i="4" s="1"/>
  <c r="G84" i="1"/>
  <c r="A277" i="4" s="1"/>
  <c r="B277" i="4" s="1"/>
  <c r="H84" i="1"/>
  <c r="A379" i="4" s="1"/>
  <c r="B379" i="4" s="1"/>
  <c r="B176" i="7" l="1"/>
  <c r="B177" i="7"/>
  <c r="B75" i="7"/>
  <c r="C86" i="6"/>
  <c r="D86" i="6" s="1"/>
  <c r="F86" i="6" s="1"/>
  <c r="E85" i="6"/>
  <c r="A74" i="4"/>
  <c r="B74" i="4" s="1"/>
  <c r="F86" i="1"/>
  <c r="C87" i="1"/>
  <c r="D86" i="1"/>
  <c r="E86" i="1" s="1"/>
  <c r="A177" i="4" s="1"/>
  <c r="B177" i="4" s="1"/>
  <c r="G85" i="1"/>
  <c r="A278" i="4" s="1"/>
  <c r="B278" i="4" s="1"/>
  <c r="H85" i="1"/>
  <c r="A380" i="4" s="1"/>
  <c r="B380" i="4" s="1"/>
  <c r="B178" i="7" l="1"/>
  <c r="B76" i="7"/>
  <c r="C87" i="6"/>
  <c r="D87" i="6" s="1"/>
  <c r="F87" i="6" s="1"/>
  <c r="E86" i="6"/>
  <c r="A75" i="4"/>
  <c r="B75" i="4" s="1"/>
  <c r="F87" i="1"/>
  <c r="C88" i="1"/>
  <c r="D87" i="1"/>
  <c r="E87" i="1" s="1"/>
  <c r="A178" i="4" s="1"/>
  <c r="B178" i="4" s="1"/>
  <c r="H86" i="1"/>
  <c r="A381" i="4" s="1"/>
  <c r="B381" i="4" s="1"/>
  <c r="G86" i="1"/>
  <c r="A279" i="4" s="1"/>
  <c r="B279" i="4" s="1"/>
  <c r="C88" i="6" l="1"/>
  <c r="D88" i="6" s="1"/>
  <c r="F88" i="6" s="1"/>
  <c r="E87" i="6"/>
  <c r="F88" i="1"/>
  <c r="A76" i="4"/>
  <c r="B76" i="4" s="1"/>
  <c r="C89" i="1"/>
  <c r="D88" i="1"/>
  <c r="E88" i="1" s="1"/>
  <c r="B179" i="7" s="1"/>
  <c r="G87" i="1"/>
  <c r="A280" i="4" s="1"/>
  <c r="B280" i="4" s="1"/>
  <c r="H87" i="1"/>
  <c r="A382" i="4" s="1"/>
  <c r="B382" i="4" s="1"/>
  <c r="A179" i="4" l="1"/>
  <c r="B179" i="4" s="1"/>
  <c r="B77" i="7"/>
  <c r="C89" i="6"/>
  <c r="D89" i="6" s="1"/>
  <c r="F89" i="6" s="1"/>
  <c r="E88" i="6"/>
  <c r="A77" i="4"/>
  <c r="B77" i="4" s="1"/>
  <c r="F89" i="1"/>
  <c r="C90" i="1"/>
  <c r="D89" i="1"/>
  <c r="E89" i="1" s="1"/>
  <c r="A180" i="4" s="1"/>
  <c r="B180" i="4" s="1"/>
  <c r="G88" i="1"/>
  <c r="A281" i="4" s="1"/>
  <c r="B281" i="4" s="1"/>
  <c r="H88" i="1"/>
  <c r="B78" i="7" l="1"/>
  <c r="B79" i="7"/>
  <c r="B180" i="7"/>
  <c r="A383" i="4"/>
  <c r="B383" i="4" s="1"/>
  <c r="C90" i="6"/>
  <c r="D90" i="6" s="1"/>
  <c r="F90" i="6" s="1"/>
  <c r="E89" i="6"/>
  <c r="F90" i="1"/>
  <c r="A78" i="4"/>
  <c r="B78" i="4" s="1"/>
  <c r="C91" i="1"/>
  <c r="D90" i="1"/>
  <c r="E90" i="1" s="1"/>
  <c r="A181" i="4" s="1"/>
  <c r="B181" i="4" s="1"/>
  <c r="H89" i="1"/>
  <c r="A384" i="4" s="1"/>
  <c r="B384" i="4" s="1"/>
  <c r="G89" i="1"/>
  <c r="A282" i="4" s="1"/>
  <c r="B282" i="4" s="1"/>
  <c r="B181" i="7" l="1"/>
  <c r="B182" i="7"/>
  <c r="B80" i="7"/>
  <c r="C91" i="6"/>
  <c r="D91" i="6" s="1"/>
  <c r="F91" i="6" s="1"/>
  <c r="E90" i="6"/>
  <c r="A79" i="4"/>
  <c r="B79" i="4" s="1"/>
  <c r="F91" i="1"/>
  <c r="C92" i="1"/>
  <c r="D91" i="1"/>
  <c r="E91" i="1" s="1"/>
  <c r="A182" i="4" s="1"/>
  <c r="B182" i="4" s="1"/>
  <c r="H90" i="1"/>
  <c r="A385" i="4" s="1"/>
  <c r="B385" i="4" s="1"/>
  <c r="G90" i="1"/>
  <c r="A283" i="4" s="1"/>
  <c r="B283" i="4" s="1"/>
  <c r="C92" i="6" l="1"/>
  <c r="D92" i="6" s="1"/>
  <c r="F92" i="6" s="1"/>
  <c r="E91" i="6"/>
  <c r="F92" i="1"/>
  <c r="A80" i="4"/>
  <c r="B80" i="4" s="1"/>
  <c r="C93" i="1"/>
  <c r="D92" i="1"/>
  <c r="E92" i="1" s="1"/>
  <c r="A183" i="4" s="1"/>
  <c r="B183" i="4" s="1"/>
  <c r="H91" i="1"/>
  <c r="A386" i="4" s="1"/>
  <c r="B386" i="4" s="1"/>
  <c r="G91" i="1"/>
  <c r="A284" i="4" s="1"/>
  <c r="B284" i="4" s="1"/>
  <c r="B81" i="7" l="1"/>
  <c r="B183" i="7"/>
  <c r="C93" i="6"/>
  <c r="D93" i="6" s="1"/>
  <c r="F93" i="6" s="1"/>
  <c r="E92" i="6"/>
  <c r="F93" i="1"/>
  <c r="A81" i="4"/>
  <c r="B81" i="4" s="1"/>
  <c r="C94" i="1"/>
  <c r="D93" i="1"/>
  <c r="E93" i="1" s="1"/>
  <c r="A184" i="4" s="1"/>
  <c r="B184" i="4" s="1"/>
  <c r="H92" i="1"/>
  <c r="A387" i="4" s="1"/>
  <c r="B387" i="4" s="1"/>
  <c r="G92" i="1"/>
  <c r="A285" i="4" s="1"/>
  <c r="B285" i="4" s="1"/>
  <c r="B82" i="7" l="1"/>
  <c r="B184" i="7"/>
  <c r="B83" i="7"/>
  <c r="C94" i="6"/>
  <c r="D94" i="6" s="1"/>
  <c r="F94" i="6" s="1"/>
  <c r="E93" i="6"/>
  <c r="F94" i="1"/>
  <c r="A82" i="4"/>
  <c r="B82" i="4" s="1"/>
  <c r="C95" i="1"/>
  <c r="D94" i="1"/>
  <c r="E94" i="1" s="1"/>
  <c r="A185" i="4" s="1"/>
  <c r="B185" i="4" s="1"/>
  <c r="G93" i="1"/>
  <c r="A286" i="4" s="1"/>
  <c r="B286" i="4" s="1"/>
  <c r="H93" i="1"/>
  <c r="A388" i="4" s="1"/>
  <c r="B388" i="4" s="1"/>
  <c r="B185" i="7" l="1"/>
  <c r="B186" i="7"/>
  <c r="B84" i="7"/>
  <c r="C95" i="6"/>
  <c r="D95" i="6" s="1"/>
  <c r="F95" i="6" s="1"/>
  <c r="E94" i="6"/>
  <c r="F95" i="1"/>
  <c r="A83" i="4"/>
  <c r="B83" i="4" s="1"/>
  <c r="C96" i="1"/>
  <c r="D95" i="1"/>
  <c r="E95" i="1" s="1"/>
  <c r="A186" i="4" s="1"/>
  <c r="B186" i="4" s="1"/>
  <c r="H94" i="1"/>
  <c r="A389" i="4" s="1"/>
  <c r="B389" i="4" s="1"/>
  <c r="G94" i="1"/>
  <c r="A287" i="4" s="1"/>
  <c r="B287" i="4" s="1"/>
  <c r="B187" i="7" l="1"/>
  <c r="B85" i="7"/>
  <c r="C96" i="6"/>
  <c r="D96" i="6" s="1"/>
  <c r="F96" i="6" s="1"/>
  <c r="E95" i="6"/>
  <c r="A84" i="4"/>
  <c r="B84" i="4" s="1"/>
  <c r="F96" i="1"/>
  <c r="C97" i="1"/>
  <c r="D96" i="1"/>
  <c r="E96" i="1" s="1"/>
  <c r="A187" i="4" s="1"/>
  <c r="B187" i="4" s="1"/>
  <c r="H95" i="1"/>
  <c r="A390" i="4" s="1"/>
  <c r="B390" i="4" s="1"/>
  <c r="G95" i="1"/>
  <c r="A288" i="4" s="1"/>
  <c r="B288" i="4" s="1"/>
  <c r="C97" i="6" l="1"/>
  <c r="D97" i="6" s="1"/>
  <c r="F97" i="6" s="1"/>
  <c r="E96" i="6"/>
  <c r="A85" i="4"/>
  <c r="B85" i="4" s="1"/>
  <c r="F97" i="1"/>
  <c r="C98" i="1"/>
  <c r="D97" i="1"/>
  <c r="E97" i="1" s="1"/>
  <c r="A188" i="4" s="1"/>
  <c r="B188" i="4" s="1"/>
  <c r="G96" i="1"/>
  <c r="A289" i="4" s="1"/>
  <c r="B289" i="4" s="1"/>
  <c r="H96" i="1"/>
  <c r="A391" i="4" s="1"/>
  <c r="B391" i="4" s="1"/>
  <c r="B86" i="7" l="1"/>
  <c r="B188" i="7"/>
  <c r="B87" i="7"/>
  <c r="C98" i="6"/>
  <c r="D98" i="6" s="1"/>
  <c r="F98" i="6" s="1"/>
  <c r="E97" i="6"/>
  <c r="A86" i="4"/>
  <c r="B86" i="4" s="1"/>
  <c r="F98" i="1"/>
  <c r="C99" i="1"/>
  <c r="D98" i="1"/>
  <c r="E98" i="1" s="1"/>
  <c r="A189" i="4" s="1"/>
  <c r="B189" i="4" s="1"/>
  <c r="H97" i="1"/>
  <c r="A392" i="4" s="1"/>
  <c r="B392" i="4" s="1"/>
  <c r="G97" i="1"/>
  <c r="A290" i="4" s="1"/>
  <c r="B290" i="4" s="1"/>
  <c r="B189" i="7" l="1"/>
  <c r="B190" i="7"/>
  <c r="C99" i="6"/>
  <c r="D99" i="6" s="1"/>
  <c r="F99" i="6" s="1"/>
  <c r="E98" i="6"/>
  <c r="F99" i="1"/>
  <c r="A87" i="4"/>
  <c r="B87" i="4" s="1"/>
  <c r="C100" i="1"/>
  <c r="D99" i="1"/>
  <c r="E99" i="1" s="1"/>
  <c r="A190" i="4" s="1"/>
  <c r="B190" i="4" s="1"/>
  <c r="G98" i="1"/>
  <c r="A291" i="4" s="1"/>
  <c r="B291" i="4" s="1"/>
  <c r="H98" i="1"/>
  <c r="A393" i="4" s="1"/>
  <c r="B393" i="4" s="1"/>
  <c r="B88" i="7" l="1"/>
  <c r="C100" i="6"/>
  <c r="D100" i="6" s="1"/>
  <c r="F100" i="6" s="1"/>
  <c r="E99" i="6"/>
  <c r="F100" i="1"/>
  <c r="A88" i="4"/>
  <c r="B88" i="4" s="1"/>
  <c r="C101" i="1"/>
  <c r="D100" i="1"/>
  <c r="E100" i="1" s="1"/>
  <c r="A191" i="4" s="1"/>
  <c r="B191" i="4" s="1"/>
  <c r="H99" i="1"/>
  <c r="A394" i="4" s="1"/>
  <c r="B394" i="4" s="1"/>
  <c r="G99" i="1"/>
  <c r="A292" i="4" s="1"/>
  <c r="B292" i="4" s="1"/>
  <c r="B89" i="7" l="1"/>
  <c r="B191" i="7"/>
  <c r="C101" i="6"/>
  <c r="D101" i="6" s="1"/>
  <c r="F101" i="6" s="1"/>
  <c r="E100" i="6"/>
  <c r="F101" i="1"/>
  <c r="A89" i="4"/>
  <c r="B89" i="4" s="1"/>
  <c r="C102" i="1"/>
  <c r="D101" i="1"/>
  <c r="E101" i="1" s="1"/>
  <c r="A192" i="4" s="1"/>
  <c r="B192" i="4" s="1"/>
  <c r="H100" i="1"/>
  <c r="A395" i="4" s="1"/>
  <c r="B395" i="4" s="1"/>
  <c r="G100" i="1"/>
  <c r="A293" i="4" s="1"/>
  <c r="B293" i="4" s="1"/>
  <c r="B90" i="7" l="1"/>
  <c r="B192" i="7"/>
  <c r="B91" i="7"/>
  <c r="C102" i="6"/>
  <c r="D102" i="6" s="1"/>
  <c r="F102" i="6" s="1"/>
  <c r="E101" i="6"/>
  <c r="F102" i="1"/>
  <c r="A90" i="4"/>
  <c r="B90" i="4" s="1"/>
  <c r="C103" i="1"/>
  <c r="D102" i="1"/>
  <c r="E102" i="1" s="1"/>
  <c r="A193" i="4" s="1"/>
  <c r="B193" i="4" s="1"/>
  <c r="G101" i="1"/>
  <c r="A294" i="4" s="1"/>
  <c r="B294" i="4" s="1"/>
  <c r="H101" i="1"/>
  <c r="A396" i="4" s="1"/>
  <c r="B396" i="4" s="1"/>
  <c r="B193" i="7" l="1"/>
  <c r="B194" i="7"/>
  <c r="B92" i="7"/>
  <c r="C103" i="6"/>
  <c r="D103" i="6" s="1"/>
  <c r="F103" i="6" s="1"/>
  <c r="E102" i="6"/>
  <c r="A91" i="4"/>
  <c r="B91" i="4" s="1"/>
  <c r="F103" i="1"/>
  <c r="C104" i="1"/>
  <c r="D103" i="1"/>
  <c r="E103" i="1" s="1"/>
  <c r="A194" i="4" s="1"/>
  <c r="B194" i="4" s="1"/>
  <c r="H102" i="1"/>
  <c r="A397" i="4" s="1"/>
  <c r="B397" i="4" s="1"/>
  <c r="G102" i="1"/>
  <c r="A295" i="4" s="1"/>
  <c r="B295" i="4" s="1"/>
  <c r="B195" i="7" l="1"/>
  <c r="B93" i="7"/>
  <c r="C104" i="6"/>
  <c r="D104" i="6" s="1"/>
  <c r="F104" i="6" s="1"/>
  <c r="E103" i="6"/>
  <c r="A92" i="4"/>
  <c r="B92" i="4" s="1"/>
  <c r="F104" i="1"/>
  <c r="C105" i="1"/>
  <c r="D104" i="1"/>
  <c r="E104" i="1" s="1"/>
  <c r="A195" i="4" s="1"/>
  <c r="B195" i="4" s="1"/>
  <c r="H103" i="1"/>
  <c r="A398" i="4" s="1"/>
  <c r="B398" i="4" s="1"/>
  <c r="G103" i="1"/>
  <c r="A296" i="4" s="1"/>
  <c r="B296" i="4" s="1"/>
  <c r="C105" i="6" l="1"/>
  <c r="D105" i="6" s="1"/>
  <c r="F105" i="6" s="1"/>
  <c r="E104" i="6"/>
  <c r="F105" i="1"/>
  <c r="A93" i="4"/>
  <c r="B93" i="4" s="1"/>
  <c r="C106" i="1"/>
  <c r="D105" i="1"/>
  <c r="E105" i="1" s="1"/>
  <c r="A196" i="4" s="1"/>
  <c r="B196" i="4" s="1"/>
  <c r="G104" i="1"/>
  <c r="A297" i="4" s="1"/>
  <c r="B297" i="4" s="1"/>
  <c r="H104" i="1"/>
  <c r="A399" i="4" s="1"/>
  <c r="B399" i="4" s="1"/>
  <c r="B94" i="7" l="1"/>
  <c r="B196" i="7"/>
  <c r="C106" i="6"/>
  <c r="D106" i="6" s="1"/>
  <c r="F106" i="6" s="1"/>
  <c r="E105" i="6"/>
  <c r="F106" i="1"/>
  <c r="A94" i="4"/>
  <c r="B94" i="4" s="1"/>
  <c r="C107" i="1"/>
  <c r="D106" i="1"/>
  <c r="E106" i="1" s="1"/>
  <c r="A197" i="4" s="1"/>
  <c r="B197" i="4" s="1"/>
  <c r="G105" i="1"/>
  <c r="A298" i="4" s="1"/>
  <c r="B298" i="4" s="1"/>
  <c r="H105" i="1"/>
  <c r="A400" i="4" s="1"/>
  <c r="B400" i="4" s="1"/>
  <c r="B95" i="7" l="1"/>
  <c r="B197" i="7"/>
  <c r="B198" i="7"/>
  <c r="C107" i="6"/>
  <c r="D107" i="6" s="1"/>
  <c r="F107" i="6" s="1"/>
  <c r="E106" i="6"/>
  <c r="A95" i="4"/>
  <c r="B95" i="4" s="1"/>
  <c r="F107" i="1"/>
  <c r="C108" i="1"/>
  <c r="D107" i="1"/>
  <c r="E107" i="1" s="1"/>
  <c r="A198" i="4" s="1"/>
  <c r="B198" i="4" s="1"/>
  <c r="H106" i="1"/>
  <c r="A401" i="4" s="1"/>
  <c r="B401" i="4" s="1"/>
  <c r="G106" i="1"/>
  <c r="A299" i="4" s="1"/>
  <c r="B299" i="4" s="1"/>
  <c r="B96" i="7" l="1"/>
  <c r="B199" i="7"/>
  <c r="C108" i="6"/>
  <c r="D108" i="6" s="1"/>
  <c r="F108" i="6" s="1"/>
  <c r="E107" i="6"/>
  <c r="F108" i="1"/>
  <c r="A96" i="4"/>
  <c r="B96" i="4" s="1"/>
  <c r="C109" i="1"/>
  <c r="D108" i="1"/>
  <c r="E108" i="1" s="1"/>
  <c r="A199" i="4" s="1"/>
  <c r="B199" i="4" s="1"/>
  <c r="H107" i="1"/>
  <c r="A402" i="4" s="1"/>
  <c r="B402" i="4" s="1"/>
  <c r="G107" i="1"/>
  <c r="A300" i="4" s="1"/>
  <c r="B300" i="4" s="1"/>
  <c r="B97" i="7" l="1"/>
  <c r="C109" i="6"/>
  <c r="D109" i="6" s="1"/>
  <c r="F109" i="6" s="1"/>
  <c r="E108" i="6"/>
  <c r="F109" i="1"/>
  <c r="A97" i="4"/>
  <c r="B97" i="4" s="1"/>
  <c r="C110" i="1"/>
  <c r="D109" i="1"/>
  <c r="E109" i="1" s="1"/>
  <c r="A200" i="4" s="1"/>
  <c r="B200" i="4" s="1"/>
  <c r="H108" i="1"/>
  <c r="A403" i="4" s="1"/>
  <c r="B403" i="4" s="1"/>
  <c r="G108" i="1"/>
  <c r="A301" i="4" s="1"/>
  <c r="B301" i="4" s="1"/>
  <c r="B98" i="7" l="1"/>
  <c r="B200" i="7"/>
  <c r="B99" i="7"/>
  <c r="C110" i="6"/>
  <c r="D110" i="6" s="1"/>
  <c r="F110" i="6" s="1"/>
  <c r="E109" i="6"/>
  <c r="F110" i="1"/>
  <c r="A98" i="4"/>
  <c r="B98" i="4" s="1"/>
  <c r="C111" i="1"/>
  <c r="D110" i="1"/>
  <c r="E110" i="1" s="1"/>
  <c r="A201" i="4" s="1"/>
  <c r="B201" i="4" s="1"/>
  <c r="G109" i="1"/>
  <c r="A302" i="4" s="1"/>
  <c r="B302" i="4" s="1"/>
  <c r="H109" i="1"/>
  <c r="A404" i="4" s="1"/>
  <c r="B404" i="4" s="1"/>
  <c r="B201" i="7" l="1"/>
  <c r="B202" i="7"/>
  <c r="B100" i="7"/>
  <c r="C111" i="6"/>
  <c r="D111" i="6" s="1"/>
  <c r="F111" i="6" s="1"/>
  <c r="E110" i="6"/>
  <c r="A99" i="4"/>
  <c r="B99" i="4" s="1"/>
  <c r="F111" i="1"/>
  <c r="C112" i="1"/>
  <c r="D111" i="1"/>
  <c r="E111" i="1" s="1"/>
  <c r="A202" i="4" s="1"/>
  <c r="B202" i="4" s="1"/>
  <c r="G110" i="1"/>
  <c r="A303" i="4" s="1"/>
  <c r="B303" i="4" s="1"/>
  <c r="H110" i="1"/>
  <c r="A405" i="4" s="1"/>
  <c r="B405" i="4" s="1"/>
  <c r="B101" i="7" l="1"/>
  <c r="C112" i="6"/>
  <c r="D112" i="6" s="1"/>
  <c r="F112" i="6" s="1"/>
  <c r="E111" i="6"/>
  <c r="D112" i="1"/>
  <c r="A101" i="4" s="1"/>
  <c r="B101" i="4" s="1"/>
  <c r="A100" i="4"/>
  <c r="B100" i="4" s="1"/>
  <c r="F112" i="1"/>
  <c r="G111" i="1"/>
  <c r="A304" i="4" s="1"/>
  <c r="B304" i="4" s="1"/>
  <c r="H111" i="1"/>
  <c r="A406" i="4" s="1"/>
  <c r="B406" i="4" s="1"/>
  <c r="E112" i="6" l="1"/>
  <c r="E112" i="1"/>
  <c r="G112" i="1"/>
  <c r="A305" i="4" s="1"/>
  <c r="B305" i="4" s="1"/>
  <c r="A203" i="4" l="1"/>
  <c r="B203" i="4" s="1"/>
  <c r="B203" i="7"/>
  <c r="H112" i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sharedStrings.xml><?xml version="1.0" encoding="utf-8"?>
<sst xmlns="http://schemas.openxmlformats.org/spreadsheetml/2006/main" count="39" uniqueCount="28">
  <si>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</si>
  <si>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</si>
  <si>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</si>
  <si>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</si>
  <si>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</si>
  <si>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</si>
  <si>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</si>
  <si>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</si>
  <si>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</si>
  <si>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</si>
  <si>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</si>
  <si>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</si>
  <si>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</si>
  <si>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</si>
  <si>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</si>
  <si>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</si>
  <si>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Dibujo de la Elipse con centro en (h,k)</t>
  </si>
  <si>
    <t>PLINE</t>
  </si>
  <si>
    <t>Metadata</t>
  </si>
  <si>
    <t>Creado por r.cfdtools</t>
  </si>
  <si>
    <t>Pass: 1234</t>
  </si>
  <si>
    <t>Dibujo de la parábola con centro en origen</t>
  </si>
  <si>
    <t>a</t>
  </si>
  <si>
    <t>b</t>
  </si>
  <si>
    <t>Inicio en x</t>
  </si>
  <si>
    <t>Fin en x</t>
  </si>
  <si>
    <t>Ysup</t>
  </si>
  <si>
    <t>Yinf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</si>
</sst>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horizontal="center"/>
    </xf>
    <xf numFmtId="0" fontId="3" fillId="0" borderId="22" xfId="0" applyFont="1" applyBorder="1"/>
    <xf numFmtId="0" fontId="2" fillId="0" borderId="17" xfId="0" applyFont="1" applyBorder="1" applyAlignment="1" applyProtection="1">
      <alignment horizontal="center"/>
      <protection locked="0"/>
    </xf>
    <xf numFmtId="0" fontId="1" fillId="0" borderId="2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5" Type="http://schemas.openxmlformats.org/officeDocument/2006/relationships/worksheet" Target="worksheets/sheet4.xml"/><Relationship Id="rId10" Type="http://schemas.openxmlformats.org/officeDocument/2006/relationships/calcChain" Target="calcChain.xml"/><Relationship Id="rId4" Type="http://schemas.openxmlformats.org/officeDocument/2006/relationships/worksheet" Target="work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ElipseTabla!$D$12</c:f>
              <c:strCache>
                <c:ptCount val="1"/>
                <c:pt idx="0">
                  <c:v>YC1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ElipseTabla!$D$13:$D$112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ElipseTabla!$E$12</c:f>
              <c:strCache>
                <c:ptCount val="1"/>
                <c:pt idx="0">
                  <c:v>YC2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ElipseTabla!$E$13:$E$112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ElipseTabla!$G$12</c:f>
              <c:strCache>
                <c:ptCount val="1"/>
                <c:pt idx="0">
                  <c:v>YC3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ElipseTabla!$G$13:$G$112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ElipseTabla!$H$12</c:f>
              <c:strCache>
                <c:ptCount val="1"/>
                <c:pt idx="0">
                  <c:v>YC4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ElipseTabla!$H$13:$H$112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ElipseTabla!$B$2</c:f>
          <c:strCache>
            <c:ptCount val="1"/>
            <c:pt idx="0">
              <c:v>Dibujo de la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3059331219961141E-2"/>
          <c:y val="8.7593059927872294E-2"/>
          <c:w val="0.92196437263523878"/>
          <c:h val="0.796077170991565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ElipseTabla!$D$12</c:f>
              <c:strCache>
                <c:ptCount val="1"/>
                <c:pt idx="0">
                  <c:v>YC1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ElipseTabla!$D$13:$D$112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ElipseTabla!$E$12</c:f>
              <c:strCache>
                <c:ptCount val="1"/>
                <c:pt idx="0">
                  <c:v>YC2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ElipseTabla!$E$13:$E$112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ElipseTabla!$G$12</c:f>
              <c:strCache>
                <c:ptCount val="1"/>
                <c:pt idx="0">
                  <c:v>YC3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ElipseTabla!$G$13:$G$112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ElipseTabla!$H$12</c:f>
              <c:strCache>
                <c:ptCount val="1"/>
                <c:pt idx="0">
                  <c:v>YC4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ElipseTabla!$H$13:$H$112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HiperbolaTabla!$D$12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HiperbolaTabla!$C$13:$C$112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HiperbolaTabla!$D$13:$D$112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HiperbolaTabla!$F$12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HiperbolaTabla!$C$13:$C$112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HiperbolaTabla!$F$13:$F$112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87" workbookViewId="0" zoomToFit="1"/>
  </sheetViews>
  <sheetProtection algorithmName="SHA-512" hashValue="U1RlEWgYgwX9iiS1e3zOQsQY8MbllI4/V3DTujHfVF7HLaMWiSbsVn/MlDcLiC2yfyBbvowqcGnU1LUWmm3TPg==" saltValue="sAUeNqgtWxKptxfrO+Ksew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3</xdr:row>
      <xdr:rowOff>67847</xdr:rowOff>
    </xdr:from>
    <xdr:to>
      <xdr:col>7</xdr:col>
      <xdr:colOff>733011</xdr:colOff>
      <xdr:row>10</xdr:row>
      <xdr:rowOff>165651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216839</xdr:colOff>
      <xdr:row>1</xdr:row>
      <xdr:rowOff>68655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〖(𝑥−ℎ)〗^2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)〗^2/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23750" cy="627883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3</xdr:row>
      <xdr:rowOff>61894</xdr:rowOff>
    </xdr:from>
    <xdr:to>
      <xdr:col>5</xdr:col>
      <xdr:colOff>1128117</xdr:colOff>
      <xdr:row>10</xdr:row>
      <xdr:rowOff>159698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1046047</xdr:colOff>
      <xdr:row>1</xdr:row>
      <xdr:rowOff>14607</xdr:rowOff>
    </xdr:from>
    <xdr:ext cx="1179066" cy="33970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293352" y="222966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293352" y="222966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2:H112"/>
  <sheetViews>
    <sheetView showGridLines="0" topLeftCell="A10" zoomScale="190" zoomScaleNormal="190" workbookViewId="0">
      <selection activeCell="D13" sqref="D13"/>
    </sheetView>
  </sheetViews>
  <sheetFormatPr defaultColWidth="10.6640625" defaultRowHeight="16.5" x14ac:dyDescent="0.6"/>
  <cols>
    <col min="1" max="1" width="2.59765625" style="1" customWidth="1"/>
    <col min="2" max="2" width="7.1328125" style="29" customWidth="1"/>
    <col min="3" max="8" width="11.53125" style="1" customWidth="1"/>
    <col min="9" max="16384" width="10.6640625" style="1"/>
  </cols>
  <sheetData>
    <row r="2" spans="2:8" x14ac:dyDescent="0.6">
      <c r="B2" s="23" t="s">
        <v>16</v>
      </c>
      <c r="C2" s="10"/>
      <c r="D2" s="10"/>
      <c r="E2" s="10"/>
      <c r="F2" s="10"/>
      <c r="G2" s="10"/>
      <c r="H2" s="11"/>
    </row>
    <row r="3" spans="2:8" x14ac:dyDescent="0.6">
      <c r="B3" s="25"/>
      <c r="C3" s="13"/>
      <c r="D3" s="13"/>
      <c r="E3" s="13"/>
      <c r="F3" s="13"/>
      <c r="G3" s="13"/>
      <c r="H3" s="14"/>
    </row>
    <row r="4" spans="2:8" x14ac:dyDescent="0.6">
      <c r="B4" s="2" t="s">
        <v>13</v>
      </c>
      <c r="C4" s="15"/>
      <c r="D4" s="3" t="s">
        <v>14</v>
      </c>
      <c r="E4" s="10"/>
      <c r="F4" s="10"/>
      <c r="G4" s="10"/>
      <c r="H4" s="11"/>
    </row>
    <row r="5" spans="2:8" x14ac:dyDescent="0.6">
      <c r="B5" s="16" t="s">
        <v>2</v>
      </c>
      <c r="C5" s="17"/>
      <c r="D5" s="24">
        <v>100</v>
      </c>
      <c r="H5" s="12"/>
    </row>
    <row r="6" spans="2:8" x14ac:dyDescent="0.6">
      <c r="B6" s="16" t="s">
        <v>3</v>
      </c>
      <c r="C6" s="18"/>
      <c r="D6" s="24">
        <v>50</v>
      </c>
      <c r="H6" s="12"/>
    </row>
    <row r="7" spans="2:8" x14ac:dyDescent="0.6">
      <c r="B7" s="16" t="s">
        <v>1</v>
      </c>
      <c r="C7" s="18"/>
      <c r="D7" s="24">
        <v>60</v>
      </c>
      <c r="H7" s="12"/>
    </row>
    <row r="8" spans="2:8" x14ac:dyDescent="0.6">
      <c r="B8" s="16" t="s">
        <v>0</v>
      </c>
      <c r="C8" s="18"/>
      <c r="D8" s="24">
        <v>20</v>
      </c>
      <c r="H8" s="12"/>
    </row>
    <row r="9" spans="2:8" x14ac:dyDescent="0.6">
      <c r="B9" s="16" t="s">
        <v>12</v>
      </c>
      <c r="C9" s="18"/>
      <c r="D9" s="24">
        <v>48</v>
      </c>
      <c r="H9" s="12"/>
    </row>
    <row r="10" spans="2:8" x14ac:dyDescent="0.6">
      <c r="B10" s="16" t="s">
        <v>5</v>
      </c>
      <c r="C10" s="18"/>
      <c r="D10" s="19">
        <f>IF(a_elipse&gt;b_elipse,(a_elipse^2-b_elipse^2)^0.5,(b_elipse^2-a_elipse^2)^0.5)</f>
        <v>56.568542494923804</v>
      </c>
      <c r="H10" s="12"/>
    </row>
    <row r="11" spans="2:8" x14ac:dyDescent="0.6">
      <c r="B11" s="20" t="s">
        <v>4</v>
      </c>
      <c r="C11" s="21"/>
      <c r="D11" s="22">
        <f>D10/a_elipse</f>
        <v>0.94280904158206336</v>
      </c>
      <c r="E11" s="13"/>
      <c r="F11" s="13"/>
      <c r="G11" s="13"/>
      <c r="H11" s="14"/>
    </row>
    <row r="12" spans="2:8" x14ac:dyDescent="0.6">
      <c r="B12" s="26" t="s">
        <v>15</v>
      </c>
      <c r="C12" s="4" t="s">
        <v>6</v>
      </c>
      <c r="D12" s="4" t="s">
        <v>8</v>
      </c>
      <c r="E12" s="4" t="s">
        <v>9</v>
      </c>
      <c r="F12" s="4" t="s">
        <v>7</v>
      </c>
      <c r="G12" s="4" t="s">
        <v>10</v>
      </c>
      <c r="H12" s="5" t="s">
        <v>11</v>
      </c>
    </row>
    <row r="13" spans="2:8" x14ac:dyDescent="0.6">
      <c r="B13" s="27">
        <v>1</v>
      </c>
      <c r="C13" s="6">
        <f>h_elipse</f>
        <v>100</v>
      </c>
      <c r="D13" s="6">
        <f t="shared" ref="D13:D44" si="0">(((1-(($C13-h_elipse)^2/a_elipse^2))*(b_elipse^2))^0.5)+k_elipse</f>
        <v>70</v>
      </c>
      <c r="E13" s="6">
        <f>k_elipse-b_elipse</f>
        <v>30</v>
      </c>
      <c r="F13" s="6">
        <f>C13</f>
        <v>100</v>
      </c>
      <c r="G13" s="6">
        <f>D13</f>
        <v>70</v>
      </c>
      <c r="H13" s="7">
        <f>E13</f>
        <v>30</v>
      </c>
    </row>
    <row r="14" spans="2:8" x14ac:dyDescent="0.6">
      <c r="B14" s="27">
        <v>2</v>
      </c>
      <c r="C14" s="6">
        <f t="shared" ref="C14:C45" si="1">IF((a_elipse/np_elipse)+C13&gt;=h_elipse+a_elipse,h_elipse+a_elipse,(a_elipse/np_elipse)+C13)</f>
        <v>101.25</v>
      </c>
      <c r="D14" s="6">
        <f t="shared" si="0"/>
        <v>69.995659251169712</v>
      </c>
      <c r="E14" s="6">
        <f>E13+(D13-D14)</f>
        <v>30.004340748830288</v>
      </c>
      <c r="F14" s="6">
        <f>(F13-(C14-C13))</f>
        <v>98.75</v>
      </c>
      <c r="G14" s="6">
        <f t="shared" ref="G14:G77" si="2">D14</f>
        <v>69.995659251169712</v>
      </c>
      <c r="H14" s="7">
        <f t="shared" ref="H14:H77" si="3">E14</f>
        <v>30.004340748830288</v>
      </c>
    </row>
    <row r="15" spans="2:8" x14ac:dyDescent="0.6">
      <c r="B15" s="27">
        <v>3</v>
      </c>
      <c r="C15" s="6">
        <f t="shared" si="1"/>
        <v>102.5</v>
      </c>
      <c r="D15" s="6">
        <f t="shared" si="0"/>
        <v>69.982631347136333</v>
      </c>
      <c r="E15" s="6">
        <f t="shared" ref="E15:E78" si="4">E14+(D14-D15)</f>
        <v>30.017368652863667</v>
      </c>
      <c r="F15" s="6">
        <f t="shared" ref="F15:F78" si="5">(F14-(C15-C14))</f>
        <v>97.5</v>
      </c>
      <c r="G15" s="6">
        <f t="shared" si="2"/>
        <v>69.982631347136333</v>
      </c>
      <c r="H15" s="7">
        <f t="shared" si="3"/>
        <v>30.017368652863667</v>
      </c>
    </row>
    <row r="16" spans="2:8" x14ac:dyDescent="0.6">
      <c r="B16" s="27">
        <v>4</v>
      </c>
      <c r="C16" s="6">
        <f t="shared" si="1"/>
        <v>103.75</v>
      </c>
      <c r="D16" s="6">
        <f t="shared" si="0"/>
        <v>69.960899278339141</v>
      </c>
      <c r="E16" s="6">
        <f t="shared" si="4"/>
        <v>30.039100721660859</v>
      </c>
      <c r="F16" s="6">
        <f t="shared" si="5"/>
        <v>96.25</v>
      </c>
      <c r="G16" s="6">
        <f t="shared" si="2"/>
        <v>69.960899278339141</v>
      </c>
      <c r="H16" s="7">
        <f t="shared" si="3"/>
        <v>30.039100721660859</v>
      </c>
    </row>
    <row r="17" spans="2:8" x14ac:dyDescent="0.6">
      <c r="B17" s="27">
        <v>5</v>
      </c>
      <c r="C17" s="6">
        <f t="shared" si="1"/>
        <v>105</v>
      </c>
      <c r="D17" s="6">
        <f t="shared" si="0"/>
        <v>69.930434571835661</v>
      </c>
      <c r="E17" s="6">
        <f t="shared" si="4"/>
        <v>30.069565428164339</v>
      </c>
      <c r="F17" s="6">
        <f t="shared" si="5"/>
        <v>95</v>
      </c>
      <c r="G17" s="6">
        <f t="shared" si="2"/>
        <v>69.930434571835661</v>
      </c>
      <c r="H17" s="7">
        <f t="shared" si="3"/>
        <v>30.069565428164339</v>
      </c>
    </row>
    <row r="18" spans="2:8" x14ac:dyDescent="0.6">
      <c r="B18" s="27">
        <v>6</v>
      </c>
      <c r="C18" s="6">
        <f t="shared" si="1"/>
        <v>106.25</v>
      </c>
      <c r="D18" s="6">
        <f t="shared" si="0"/>
        <v>69.89119710380001</v>
      </c>
      <c r="E18" s="6">
        <f t="shared" si="4"/>
        <v>30.10880289619999</v>
      </c>
      <c r="F18" s="6">
        <f t="shared" si="5"/>
        <v>93.75</v>
      </c>
      <c r="G18" s="6">
        <f t="shared" si="2"/>
        <v>69.89119710380001</v>
      </c>
      <c r="H18" s="7">
        <f t="shared" si="3"/>
        <v>30.10880289619999</v>
      </c>
    </row>
    <row r="19" spans="2:8" x14ac:dyDescent="0.6">
      <c r="B19" s="27">
        <v>7</v>
      </c>
      <c r="C19" s="6">
        <f t="shared" si="1"/>
        <v>107.5</v>
      </c>
      <c r="D19" s="6">
        <f t="shared" si="0"/>
        <v>69.843134832984433</v>
      </c>
      <c r="E19" s="6">
        <f t="shared" si="4"/>
        <v>30.156865167015567</v>
      </c>
      <c r="F19" s="6">
        <f t="shared" si="5"/>
        <v>92.5</v>
      </c>
      <c r="G19" s="6">
        <f t="shared" si="2"/>
        <v>69.843134832984433</v>
      </c>
      <c r="H19" s="7">
        <f t="shared" si="3"/>
        <v>30.156865167015567</v>
      </c>
    </row>
    <row r="20" spans="2:8" x14ac:dyDescent="0.6">
      <c r="B20" s="27">
        <v>8</v>
      </c>
      <c r="C20" s="6">
        <f t="shared" si="1"/>
        <v>108.75</v>
      </c>
      <c r="D20" s="6">
        <f t="shared" si="0"/>
        <v>69.786183450972942</v>
      </c>
      <c r="E20" s="6">
        <f t="shared" si="4"/>
        <v>30.213816549027058</v>
      </c>
      <c r="F20" s="6">
        <f t="shared" si="5"/>
        <v>91.25</v>
      </c>
      <c r="G20" s="6">
        <f t="shared" si="2"/>
        <v>69.786183450972942</v>
      </c>
      <c r="H20" s="7">
        <f t="shared" si="3"/>
        <v>30.213816549027058</v>
      </c>
    </row>
    <row r="21" spans="2:8" x14ac:dyDescent="0.6">
      <c r="B21" s="27">
        <v>9</v>
      </c>
      <c r="C21" s="6">
        <f t="shared" si="1"/>
        <v>110</v>
      </c>
      <c r="D21" s="6">
        <f t="shared" si="0"/>
        <v>69.720265943665382</v>
      </c>
      <c r="E21" s="6">
        <f t="shared" si="4"/>
        <v>30.279734056334618</v>
      </c>
      <c r="F21" s="6">
        <f t="shared" si="5"/>
        <v>90</v>
      </c>
      <c r="G21" s="6">
        <f t="shared" si="2"/>
        <v>69.720265943665382</v>
      </c>
      <c r="H21" s="7">
        <f t="shared" si="3"/>
        <v>30.279734056334618</v>
      </c>
    </row>
    <row r="22" spans="2:8" x14ac:dyDescent="0.6">
      <c r="B22" s="27">
        <v>10</v>
      </c>
      <c r="C22" s="6">
        <f t="shared" si="1"/>
        <v>111.25</v>
      </c>
      <c r="D22" s="6">
        <f t="shared" si="0"/>
        <v>69.645292056877139</v>
      </c>
      <c r="E22" s="6">
        <f t="shared" si="4"/>
        <v>30.354707943122861</v>
      </c>
      <c r="F22" s="6">
        <f t="shared" si="5"/>
        <v>88.75</v>
      </c>
      <c r="G22" s="6">
        <f t="shared" si="2"/>
        <v>69.645292056877139</v>
      </c>
      <c r="H22" s="7">
        <f t="shared" si="3"/>
        <v>30.354707943122861</v>
      </c>
    </row>
    <row r="23" spans="2:8" x14ac:dyDescent="0.6">
      <c r="B23" s="27">
        <v>11</v>
      </c>
      <c r="C23" s="6">
        <f t="shared" si="1"/>
        <v>112.5</v>
      </c>
      <c r="D23" s="6">
        <f t="shared" si="0"/>
        <v>69.561157657175841</v>
      </c>
      <c r="E23" s="6">
        <f t="shared" si="4"/>
        <v>30.438842342824159</v>
      </c>
      <c r="F23" s="6">
        <f t="shared" si="5"/>
        <v>87.5</v>
      </c>
      <c r="G23" s="6">
        <f t="shared" si="2"/>
        <v>69.561157657175841</v>
      </c>
      <c r="H23" s="7">
        <f t="shared" si="3"/>
        <v>30.438842342824159</v>
      </c>
    </row>
    <row r="24" spans="2:8" x14ac:dyDescent="0.6">
      <c r="B24" s="27">
        <v>12</v>
      </c>
      <c r="C24" s="6">
        <f t="shared" si="1"/>
        <v>113.75</v>
      </c>
      <c r="D24" s="6">
        <f t="shared" si="0"/>
        <v>69.467743977039447</v>
      </c>
      <c r="E24" s="6">
        <f t="shared" si="4"/>
        <v>30.532256022960553</v>
      </c>
      <c r="F24" s="6">
        <f t="shared" si="5"/>
        <v>86.25</v>
      </c>
      <c r="G24" s="6">
        <f t="shared" si="2"/>
        <v>69.467743977039447</v>
      </c>
      <c r="H24" s="7">
        <f t="shared" si="3"/>
        <v>30.532256022960553</v>
      </c>
    </row>
    <row r="25" spans="2:8" x14ac:dyDescent="0.6">
      <c r="B25" s="27">
        <v>13</v>
      </c>
      <c r="C25" s="6">
        <f t="shared" si="1"/>
        <v>115</v>
      </c>
      <c r="D25" s="6">
        <f t="shared" si="0"/>
        <v>69.364916731037084</v>
      </c>
      <c r="E25" s="6">
        <f t="shared" si="4"/>
        <v>30.635083268962916</v>
      </c>
      <c r="F25" s="6">
        <f t="shared" si="5"/>
        <v>85</v>
      </c>
      <c r="G25" s="6">
        <f t="shared" si="2"/>
        <v>69.364916731037084</v>
      </c>
      <c r="H25" s="7">
        <f t="shared" si="3"/>
        <v>30.635083268962916</v>
      </c>
    </row>
    <row r="26" spans="2:8" x14ac:dyDescent="0.6">
      <c r="B26" s="27">
        <v>14</v>
      </c>
      <c r="C26" s="6">
        <f t="shared" si="1"/>
        <v>116.25</v>
      </c>
      <c r="D26" s="6">
        <f t="shared" si="0"/>
        <v>69.252525086913209</v>
      </c>
      <c r="E26" s="6">
        <f t="shared" si="4"/>
        <v>30.747474913086791</v>
      </c>
      <c r="F26" s="6">
        <f t="shared" si="5"/>
        <v>83.75</v>
      </c>
      <c r="G26" s="6">
        <f t="shared" si="2"/>
        <v>69.252525086913209</v>
      </c>
      <c r="H26" s="7">
        <f t="shared" si="3"/>
        <v>30.747474913086791</v>
      </c>
    </row>
    <row r="27" spans="2:8" x14ac:dyDescent="0.6">
      <c r="B27" s="27">
        <v>15</v>
      </c>
      <c r="C27" s="6">
        <f t="shared" si="1"/>
        <v>117.5</v>
      </c>
      <c r="D27" s="6">
        <f t="shared" si="0"/>
        <v>69.130400472081661</v>
      </c>
      <c r="E27" s="6">
        <f t="shared" si="4"/>
        <v>30.869599527918339</v>
      </c>
      <c r="F27" s="6">
        <f t="shared" si="5"/>
        <v>82.5</v>
      </c>
      <c r="G27" s="6">
        <f t="shared" si="2"/>
        <v>69.130400472081661</v>
      </c>
      <c r="H27" s="7">
        <f t="shared" si="3"/>
        <v>30.869599527918339</v>
      </c>
    </row>
    <row r="28" spans="2:8" x14ac:dyDescent="0.6">
      <c r="B28" s="27">
        <v>16</v>
      </c>
      <c r="C28" s="6">
        <f t="shared" si="1"/>
        <v>118.75</v>
      </c>
      <c r="D28" s="6">
        <f t="shared" si="0"/>
        <v>68.998355191963327</v>
      </c>
      <c r="E28" s="6">
        <f t="shared" si="4"/>
        <v>31.001644808036673</v>
      </c>
      <c r="F28" s="6">
        <f t="shared" si="5"/>
        <v>81.25</v>
      </c>
      <c r="G28" s="6">
        <f t="shared" si="2"/>
        <v>68.998355191963327</v>
      </c>
      <c r="H28" s="7">
        <f t="shared" si="3"/>
        <v>31.001644808036673</v>
      </c>
    </row>
    <row r="29" spans="2:8" x14ac:dyDescent="0.6">
      <c r="B29" s="27">
        <v>17</v>
      </c>
      <c r="C29" s="6">
        <f t="shared" si="1"/>
        <v>120</v>
      </c>
      <c r="D29" s="6">
        <f t="shared" si="0"/>
        <v>68.856180831641268</v>
      </c>
      <c r="E29" s="6">
        <f t="shared" si="4"/>
        <v>31.143819168358732</v>
      </c>
      <c r="F29" s="6">
        <f t="shared" si="5"/>
        <v>80</v>
      </c>
      <c r="G29" s="6">
        <f t="shared" si="2"/>
        <v>68.856180831641268</v>
      </c>
      <c r="H29" s="7">
        <f t="shared" si="3"/>
        <v>31.143819168358732</v>
      </c>
    </row>
    <row r="30" spans="2:8" x14ac:dyDescent="0.6">
      <c r="B30" s="27">
        <v>18</v>
      </c>
      <c r="C30" s="6">
        <f t="shared" si="1"/>
        <v>121.25</v>
      </c>
      <c r="D30" s="6">
        <f t="shared" si="0"/>
        <v>68.703646406219534</v>
      </c>
      <c r="E30" s="6">
        <f t="shared" si="4"/>
        <v>31.296353593780466</v>
      </c>
      <c r="F30" s="6">
        <f t="shared" si="5"/>
        <v>78.75</v>
      </c>
      <c r="G30" s="6">
        <f t="shared" si="2"/>
        <v>68.703646406219534</v>
      </c>
      <c r="H30" s="7">
        <f t="shared" si="3"/>
        <v>31.296353593780466</v>
      </c>
    </row>
    <row r="31" spans="2:8" x14ac:dyDescent="0.6">
      <c r="B31" s="27">
        <v>19</v>
      </c>
      <c r="C31" s="6">
        <f t="shared" si="1"/>
        <v>122.5</v>
      </c>
      <c r="D31" s="6">
        <f t="shared" si="0"/>
        <v>68.540496217739161</v>
      </c>
      <c r="E31" s="6">
        <f t="shared" si="4"/>
        <v>31.459503782260839</v>
      </c>
      <c r="F31" s="6">
        <f t="shared" si="5"/>
        <v>77.5</v>
      </c>
      <c r="G31" s="6">
        <f t="shared" si="2"/>
        <v>68.540496217739161</v>
      </c>
      <c r="H31" s="7">
        <f t="shared" si="3"/>
        <v>31.459503782260839</v>
      </c>
    </row>
    <row r="32" spans="2:8" x14ac:dyDescent="0.6">
      <c r="B32" s="27">
        <v>20</v>
      </c>
      <c r="C32" s="6">
        <f t="shared" si="1"/>
        <v>123.75</v>
      </c>
      <c r="D32" s="6">
        <f t="shared" si="0"/>
        <v>68.366447367111817</v>
      </c>
      <c r="E32" s="6">
        <f t="shared" si="4"/>
        <v>31.633552632888183</v>
      </c>
      <c r="F32" s="6">
        <f t="shared" si="5"/>
        <v>76.25</v>
      </c>
      <c r="G32" s="6">
        <f t="shared" si="2"/>
        <v>68.366447367111817</v>
      </c>
      <c r="H32" s="7">
        <f t="shared" si="3"/>
        <v>31.633552632888183</v>
      </c>
    </row>
    <row r="33" spans="2:8" x14ac:dyDescent="0.6">
      <c r="B33" s="27">
        <v>21</v>
      </c>
      <c r="C33" s="6">
        <f t="shared" si="1"/>
        <v>125</v>
      </c>
      <c r="D33" s="6">
        <f t="shared" si="0"/>
        <v>68.181186857726189</v>
      </c>
      <c r="E33" s="6">
        <f t="shared" si="4"/>
        <v>31.818813142273811</v>
      </c>
      <c r="F33" s="6">
        <f t="shared" si="5"/>
        <v>75</v>
      </c>
      <c r="G33" s="6">
        <f t="shared" si="2"/>
        <v>68.181186857726189</v>
      </c>
      <c r="H33" s="7">
        <f t="shared" si="3"/>
        <v>31.818813142273811</v>
      </c>
    </row>
    <row r="34" spans="2:8" x14ac:dyDescent="0.6">
      <c r="B34" s="27">
        <v>22</v>
      </c>
      <c r="C34" s="6">
        <f t="shared" si="1"/>
        <v>126.25</v>
      </c>
      <c r="D34" s="6">
        <f t="shared" si="0"/>
        <v>67.984368212422694</v>
      </c>
      <c r="E34" s="6">
        <f t="shared" si="4"/>
        <v>32.015631787577306</v>
      </c>
      <c r="F34" s="6">
        <f t="shared" si="5"/>
        <v>73.75</v>
      </c>
      <c r="G34" s="6">
        <f t="shared" si="2"/>
        <v>67.984368212422694</v>
      </c>
      <c r="H34" s="7">
        <f t="shared" si="3"/>
        <v>32.015631787577306</v>
      </c>
    </row>
    <row r="35" spans="2:8" x14ac:dyDescent="0.6">
      <c r="B35" s="27">
        <v>23</v>
      </c>
      <c r="C35" s="6">
        <f t="shared" si="1"/>
        <v>127.5</v>
      </c>
      <c r="D35" s="6">
        <f t="shared" si="0"/>
        <v>67.775607506417956</v>
      </c>
      <c r="E35" s="6">
        <f t="shared" si="4"/>
        <v>32.224392493582044</v>
      </c>
      <c r="F35" s="6">
        <f t="shared" si="5"/>
        <v>72.5</v>
      </c>
      <c r="G35" s="6">
        <f t="shared" si="2"/>
        <v>67.775607506417956</v>
      </c>
      <c r="H35" s="7">
        <f t="shared" si="3"/>
        <v>32.224392493582044</v>
      </c>
    </row>
    <row r="36" spans="2:8" x14ac:dyDescent="0.6">
      <c r="B36" s="27">
        <v>24</v>
      </c>
      <c r="C36" s="6">
        <f t="shared" si="1"/>
        <v>128.75</v>
      </c>
      <c r="D36" s="6">
        <f t="shared" si="0"/>
        <v>67.554478694117421</v>
      </c>
      <c r="E36" s="6">
        <f t="shared" si="4"/>
        <v>32.445521305882579</v>
      </c>
      <c r="F36" s="6">
        <f t="shared" si="5"/>
        <v>71.25</v>
      </c>
      <c r="G36" s="6">
        <f t="shared" si="2"/>
        <v>67.554478694117421</v>
      </c>
      <c r="H36" s="7">
        <f t="shared" si="3"/>
        <v>32.445521305882579</v>
      </c>
    </row>
    <row r="37" spans="2:8" x14ac:dyDescent="0.6">
      <c r="B37" s="27">
        <v>25</v>
      </c>
      <c r="C37" s="6">
        <f t="shared" si="1"/>
        <v>130</v>
      </c>
      <c r="D37" s="6">
        <f t="shared" si="0"/>
        <v>67.320508075688778</v>
      </c>
      <c r="E37" s="6">
        <f t="shared" si="4"/>
        <v>32.679491924311222</v>
      </c>
      <c r="F37" s="6">
        <f t="shared" si="5"/>
        <v>70</v>
      </c>
      <c r="G37" s="6">
        <f t="shared" si="2"/>
        <v>67.320508075688778</v>
      </c>
      <c r="H37" s="7">
        <f t="shared" si="3"/>
        <v>32.679491924311222</v>
      </c>
    </row>
    <row r="38" spans="2:8" x14ac:dyDescent="0.6">
      <c r="B38" s="27">
        <v>26</v>
      </c>
      <c r="C38" s="6">
        <f t="shared" si="1"/>
        <v>131.25</v>
      </c>
      <c r="D38" s="6">
        <f t="shared" si="0"/>
        <v>67.073167707123233</v>
      </c>
      <c r="E38" s="6">
        <f t="shared" si="4"/>
        <v>32.926832292876767</v>
      </c>
      <c r="F38" s="6">
        <f t="shared" si="5"/>
        <v>68.75</v>
      </c>
      <c r="G38" s="6">
        <f t="shared" si="2"/>
        <v>67.073167707123233</v>
      </c>
      <c r="H38" s="7">
        <f t="shared" si="3"/>
        <v>32.926832292876767</v>
      </c>
    </row>
    <row r="39" spans="2:8" x14ac:dyDescent="0.6">
      <c r="B39" s="27">
        <v>27</v>
      </c>
      <c r="C39" s="6">
        <f t="shared" si="1"/>
        <v>132.5</v>
      </c>
      <c r="D39" s="6">
        <f t="shared" si="0"/>
        <v>66.811867501526677</v>
      </c>
      <c r="E39" s="6">
        <f t="shared" si="4"/>
        <v>33.188132498473323</v>
      </c>
      <c r="F39" s="6">
        <f t="shared" si="5"/>
        <v>67.5</v>
      </c>
      <c r="G39" s="6">
        <f t="shared" si="2"/>
        <v>66.811867501526677</v>
      </c>
      <c r="H39" s="7">
        <f t="shared" si="3"/>
        <v>33.188132498473323</v>
      </c>
    </row>
    <row r="40" spans="2:8" x14ac:dyDescent="0.6">
      <c r="B40" s="27">
        <v>28</v>
      </c>
      <c r="C40" s="6">
        <f t="shared" si="1"/>
        <v>133.75</v>
      </c>
      <c r="D40" s="6">
        <f t="shared" si="0"/>
        <v>66.535945694153696</v>
      </c>
      <c r="E40" s="6">
        <f t="shared" si="4"/>
        <v>33.464054305846304</v>
      </c>
      <c r="F40" s="6">
        <f t="shared" si="5"/>
        <v>66.25</v>
      </c>
      <c r="G40" s="6">
        <f t="shared" si="2"/>
        <v>66.535945694153696</v>
      </c>
      <c r="H40" s="7">
        <f t="shared" si="3"/>
        <v>33.464054305846304</v>
      </c>
    </row>
    <row r="41" spans="2:8" x14ac:dyDescent="0.6">
      <c r="B41" s="27">
        <v>29</v>
      </c>
      <c r="C41" s="6">
        <f t="shared" si="1"/>
        <v>135</v>
      </c>
      <c r="D41" s="6">
        <f t="shared" si="0"/>
        <v>66.244657241348278</v>
      </c>
      <c r="E41" s="6">
        <f t="shared" si="4"/>
        <v>33.755342758651722</v>
      </c>
      <c r="F41" s="6">
        <f t="shared" si="5"/>
        <v>65</v>
      </c>
      <c r="G41" s="6">
        <f t="shared" si="2"/>
        <v>66.244657241348278</v>
      </c>
      <c r="H41" s="7">
        <f t="shared" si="3"/>
        <v>33.755342758651722</v>
      </c>
    </row>
    <row r="42" spans="2:8" x14ac:dyDescent="0.6">
      <c r="B42" s="27">
        <v>30</v>
      </c>
      <c r="C42" s="6">
        <f t="shared" si="1"/>
        <v>136.25</v>
      </c>
      <c r="D42" s="6">
        <f t="shared" si="0"/>
        <v>65.93715958242106</v>
      </c>
      <c r="E42" s="6">
        <f t="shared" si="4"/>
        <v>34.06284041757894</v>
      </c>
      <c r="F42" s="6">
        <f t="shared" si="5"/>
        <v>63.75</v>
      </c>
      <c r="G42" s="6">
        <f t="shared" si="2"/>
        <v>65.93715958242106</v>
      </c>
      <c r="H42" s="7">
        <f t="shared" si="3"/>
        <v>34.06284041757894</v>
      </c>
    </row>
    <row r="43" spans="2:8" x14ac:dyDescent="0.6">
      <c r="B43" s="27">
        <v>31</v>
      </c>
      <c r="C43" s="6">
        <f t="shared" si="1"/>
        <v>137.5</v>
      </c>
      <c r="D43" s="6">
        <f t="shared" si="0"/>
        <v>65.612494995996002</v>
      </c>
      <c r="E43" s="6">
        <f t="shared" si="4"/>
        <v>34.387505004003998</v>
      </c>
      <c r="F43" s="6">
        <f t="shared" si="5"/>
        <v>62.5</v>
      </c>
      <c r="G43" s="6">
        <f t="shared" si="2"/>
        <v>65.612494995996002</v>
      </c>
      <c r="H43" s="7">
        <f t="shared" si="3"/>
        <v>34.387505004003998</v>
      </c>
    </row>
    <row r="44" spans="2:8" x14ac:dyDescent="0.6">
      <c r="B44" s="27">
        <v>32</v>
      </c>
      <c r="C44" s="6">
        <f t="shared" si="1"/>
        <v>138.75</v>
      </c>
      <c r="D44" s="6">
        <f t="shared" si="0"/>
        <v>65.269568501507251</v>
      </c>
      <c r="E44" s="6">
        <f t="shared" si="4"/>
        <v>34.730431498492749</v>
      </c>
      <c r="F44" s="6">
        <f t="shared" si="5"/>
        <v>61.25</v>
      </c>
      <c r="G44" s="6">
        <f t="shared" si="2"/>
        <v>65.269568501507251</v>
      </c>
      <c r="H44" s="7">
        <f t="shared" si="3"/>
        <v>34.730431498492749</v>
      </c>
    </row>
    <row r="45" spans="2:8" x14ac:dyDescent="0.6">
      <c r="B45" s="27">
        <v>33</v>
      </c>
      <c r="C45" s="6">
        <f t="shared" si="1"/>
        <v>140</v>
      </c>
      <c r="D45" s="6">
        <f t="shared" ref="D45:D76" si="6">(((1-(($C45-h_elipse)^2/a_elipse^2))*(b_elipse^2))^0.5)+k_elipse</f>
        <v>64.907119849998594</v>
      </c>
      <c r="E45" s="6">
        <f t="shared" si="4"/>
        <v>35.092880150001406</v>
      </c>
      <c r="F45" s="6">
        <f t="shared" si="5"/>
        <v>60</v>
      </c>
      <c r="G45" s="6">
        <f t="shared" si="2"/>
        <v>64.907119849998594</v>
      </c>
      <c r="H45" s="7">
        <f t="shared" si="3"/>
        <v>35.092880150001406</v>
      </c>
    </row>
    <row r="46" spans="2:8" x14ac:dyDescent="0.6">
      <c r="B46" s="27">
        <v>34</v>
      </c>
      <c r="C46" s="6">
        <f t="shared" ref="C46:C77" si="7">IF((a_elipse/np_elipse)+C45&gt;=h_elipse+a_elipse,h_elipse+a_elipse,(a_elipse/np_elipse)+C45)</f>
        <v>141.25</v>
      </c>
      <c r="D46" s="6">
        <f t="shared" si="6"/>
        <v>64.52368754827782</v>
      </c>
      <c r="E46" s="6">
        <f t="shared" si="4"/>
        <v>35.47631245172218</v>
      </c>
      <c r="F46" s="6">
        <f t="shared" si="5"/>
        <v>58.75</v>
      </c>
      <c r="G46" s="6">
        <f t="shared" si="2"/>
        <v>64.52368754827782</v>
      </c>
      <c r="H46" s="7">
        <f t="shared" si="3"/>
        <v>35.47631245172218</v>
      </c>
    </row>
    <row r="47" spans="2:8" x14ac:dyDescent="0.6">
      <c r="B47" s="27">
        <v>35</v>
      </c>
      <c r="C47" s="6">
        <f t="shared" si="7"/>
        <v>142.5</v>
      </c>
      <c r="D47" s="6">
        <f t="shared" si="6"/>
        <v>64.117561955081186</v>
      </c>
      <c r="E47" s="6">
        <f t="shared" si="4"/>
        <v>35.882438044918814</v>
      </c>
      <c r="F47" s="6">
        <f t="shared" si="5"/>
        <v>57.5</v>
      </c>
      <c r="G47" s="6">
        <f t="shared" si="2"/>
        <v>64.117561955081186</v>
      </c>
      <c r="H47" s="7">
        <f t="shared" si="3"/>
        <v>35.882438044918814</v>
      </c>
    </row>
    <row r="48" spans="2:8" x14ac:dyDescent="0.6">
      <c r="B48" s="27">
        <v>36</v>
      </c>
      <c r="C48" s="6">
        <f t="shared" si="7"/>
        <v>143.75</v>
      </c>
      <c r="D48" s="6">
        <f t="shared" si="6"/>
        <v>63.686723088047366</v>
      </c>
      <c r="E48" s="6">
        <f t="shared" si="4"/>
        <v>36.313276911952634</v>
      </c>
      <c r="F48" s="6">
        <f t="shared" si="5"/>
        <v>56.25</v>
      </c>
      <c r="G48" s="6">
        <f t="shared" si="2"/>
        <v>63.686723088047366</v>
      </c>
      <c r="H48" s="7">
        <f t="shared" si="3"/>
        <v>36.313276911952634</v>
      </c>
    </row>
    <row r="49" spans="2:8" x14ac:dyDescent="0.6">
      <c r="B49" s="27">
        <v>37</v>
      </c>
      <c r="C49" s="6">
        <f t="shared" si="7"/>
        <v>145</v>
      </c>
      <c r="D49" s="6">
        <f t="shared" si="6"/>
        <v>63.228756555322953</v>
      </c>
      <c r="E49" s="6">
        <f t="shared" si="4"/>
        <v>36.771243444677047</v>
      </c>
      <c r="F49" s="6">
        <f t="shared" si="5"/>
        <v>55</v>
      </c>
      <c r="G49" s="6">
        <f t="shared" si="2"/>
        <v>63.228756555322953</v>
      </c>
      <c r="H49" s="7">
        <f t="shared" si="3"/>
        <v>36.771243444677047</v>
      </c>
    </row>
    <row r="50" spans="2:8" x14ac:dyDescent="0.6">
      <c r="B50" s="27">
        <v>38</v>
      </c>
      <c r="C50" s="6">
        <f t="shared" si="7"/>
        <v>146.25</v>
      </c>
      <c r="D50" s="6">
        <f t="shared" si="6"/>
        <v>62.74073737618388</v>
      </c>
      <c r="E50" s="6">
        <f t="shared" si="4"/>
        <v>37.25926262381612</v>
      </c>
      <c r="F50" s="6">
        <f t="shared" si="5"/>
        <v>53.75</v>
      </c>
      <c r="G50" s="6">
        <f t="shared" si="2"/>
        <v>62.74073737618388</v>
      </c>
      <c r="H50" s="7">
        <f t="shared" si="3"/>
        <v>37.25926262381612</v>
      </c>
    </row>
    <row r="51" spans="2:8" x14ac:dyDescent="0.6">
      <c r="B51" s="27">
        <v>39</v>
      </c>
      <c r="C51" s="6">
        <f t="shared" si="7"/>
        <v>147.5</v>
      </c>
      <c r="D51" s="6">
        <f t="shared" si="6"/>
        <v>62.219065248845979</v>
      </c>
      <c r="E51" s="6">
        <f t="shared" si="4"/>
        <v>37.780934751154021</v>
      </c>
      <c r="F51" s="6">
        <f t="shared" si="5"/>
        <v>52.5</v>
      </c>
      <c r="G51" s="6">
        <f t="shared" si="2"/>
        <v>62.219065248845979</v>
      </c>
      <c r="H51" s="7">
        <f t="shared" si="3"/>
        <v>37.780934751154021</v>
      </c>
    </row>
    <row r="52" spans="2:8" x14ac:dyDescent="0.6">
      <c r="B52" s="27">
        <v>40</v>
      </c>
      <c r="C52" s="6">
        <f t="shared" si="7"/>
        <v>148.75</v>
      </c>
      <c r="D52" s="6">
        <f t="shared" si="6"/>
        <v>61.65922381636102</v>
      </c>
      <c r="E52" s="6">
        <f t="shared" si="4"/>
        <v>38.34077618363898</v>
      </c>
      <c r="F52" s="6">
        <f t="shared" si="5"/>
        <v>51.25</v>
      </c>
      <c r="G52" s="6">
        <f t="shared" si="2"/>
        <v>61.65922381636102</v>
      </c>
      <c r="H52" s="7">
        <f t="shared" si="3"/>
        <v>38.34077618363898</v>
      </c>
    </row>
    <row r="53" spans="2:8" x14ac:dyDescent="0.6">
      <c r="B53" s="27">
        <v>41</v>
      </c>
      <c r="C53" s="6">
        <f t="shared" si="7"/>
        <v>150</v>
      </c>
      <c r="D53" s="6">
        <f t="shared" si="6"/>
        <v>61.055415967851332</v>
      </c>
      <c r="E53" s="6">
        <f t="shared" si="4"/>
        <v>38.944584032148668</v>
      </c>
      <c r="F53" s="6">
        <f t="shared" si="5"/>
        <v>50</v>
      </c>
      <c r="G53" s="6">
        <f t="shared" si="2"/>
        <v>61.055415967851332</v>
      </c>
      <c r="H53" s="7">
        <f t="shared" si="3"/>
        <v>38.944584032148668</v>
      </c>
    </row>
    <row r="54" spans="2:8" x14ac:dyDescent="0.6">
      <c r="B54" s="27">
        <v>42</v>
      </c>
      <c r="C54" s="6">
        <f t="shared" si="7"/>
        <v>151.25</v>
      </c>
      <c r="D54" s="6">
        <f t="shared" si="6"/>
        <v>60.399986645290568</v>
      </c>
      <c r="E54" s="6">
        <f t="shared" si="4"/>
        <v>39.600013354709432</v>
      </c>
      <c r="F54" s="6">
        <f t="shared" si="5"/>
        <v>48.75</v>
      </c>
      <c r="G54" s="6">
        <f t="shared" si="2"/>
        <v>60.399986645290568</v>
      </c>
      <c r="H54" s="7">
        <f t="shared" si="3"/>
        <v>39.600013354709432</v>
      </c>
    </row>
    <row r="55" spans="2:8" x14ac:dyDescent="0.6">
      <c r="B55" s="27">
        <v>43</v>
      </c>
      <c r="C55" s="6">
        <f t="shared" si="7"/>
        <v>152.5</v>
      </c>
      <c r="D55" s="6">
        <f t="shared" si="6"/>
        <v>59.682458365518542</v>
      </c>
      <c r="E55" s="6">
        <f t="shared" si="4"/>
        <v>40.317541634481458</v>
      </c>
      <c r="F55" s="6">
        <f t="shared" si="5"/>
        <v>47.5</v>
      </c>
      <c r="G55" s="6">
        <f t="shared" si="2"/>
        <v>59.682458365518542</v>
      </c>
      <c r="H55" s="7">
        <f t="shared" si="3"/>
        <v>40.317541634481458</v>
      </c>
    </row>
    <row r="56" spans="2:8" x14ac:dyDescent="0.6">
      <c r="B56" s="27">
        <v>44</v>
      </c>
      <c r="C56" s="6">
        <f t="shared" si="7"/>
        <v>153.75</v>
      </c>
      <c r="D56" s="6">
        <f t="shared" si="6"/>
        <v>58.887803753208971</v>
      </c>
      <c r="E56" s="6">
        <f t="shared" si="4"/>
        <v>41.112196246791029</v>
      </c>
      <c r="F56" s="6">
        <f t="shared" si="5"/>
        <v>46.25</v>
      </c>
      <c r="G56" s="6">
        <f t="shared" si="2"/>
        <v>58.887803753208971</v>
      </c>
      <c r="H56" s="7">
        <f t="shared" si="3"/>
        <v>41.112196246791029</v>
      </c>
    </row>
    <row r="57" spans="2:8" x14ac:dyDescent="0.6">
      <c r="B57" s="27">
        <v>45</v>
      </c>
      <c r="C57" s="6">
        <f t="shared" si="7"/>
        <v>155</v>
      </c>
      <c r="D57" s="6">
        <f t="shared" si="6"/>
        <v>57.993052538854535</v>
      </c>
      <c r="E57" s="6">
        <f t="shared" si="4"/>
        <v>42.006947461145465</v>
      </c>
      <c r="F57" s="6">
        <f t="shared" si="5"/>
        <v>45</v>
      </c>
      <c r="G57" s="6">
        <f t="shared" si="2"/>
        <v>57.993052538854535</v>
      </c>
      <c r="H57" s="7">
        <f t="shared" si="3"/>
        <v>42.006947461145465</v>
      </c>
    </row>
    <row r="58" spans="2:8" x14ac:dyDescent="0.6">
      <c r="B58" s="27">
        <v>46</v>
      </c>
      <c r="C58" s="6">
        <f t="shared" si="7"/>
        <v>156.25</v>
      </c>
      <c r="D58" s="6">
        <f t="shared" si="6"/>
        <v>56.959705453537524</v>
      </c>
      <c r="E58" s="6">
        <f t="shared" si="4"/>
        <v>43.040294546462476</v>
      </c>
      <c r="F58" s="6">
        <f t="shared" si="5"/>
        <v>43.75</v>
      </c>
      <c r="G58" s="6">
        <f t="shared" si="2"/>
        <v>56.959705453537524</v>
      </c>
      <c r="H58" s="7">
        <f t="shared" si="3"/>
        <v>43.040294546462476</v>
      </c>
    </row>
    <row r="59" spans="2:8" x14ac:dyDescent="0.6">
      <c r="B59" s="27">
        <v>47</v>
      </c>
      <c r="C59" s="6">
        <f t="shared" si="7"/>
        <v>157.5</v>
      </c>
      <c r="D59" s="6">
        <f t="shared" si="6"/>
        <v>55.713045500334204</v>
      </c>
      <c r="E59" s="6">
        <f t="shared" si="4"/>
        <v>44.286954499665796</v>
      </c>
      <c r="F59" s="6">
        <f t="shared" si="5"/>
        <v>42.5</v>
      </c>
      <c r="G59" s="6">
        <f t="shared" si="2"/>
        <v>55.713045500334204</v>
      </c>
      <c r="H59" s="7">
        <f t="shared" si="3"/>
        <v>44.286954499665796</v>
      </c>
    </row>
    <row r="60" spans="2:8" x14ac:dyDescent="0.6">
      <c r="B60" s="27">
        <v>48</v>
      </c>
      <c r="C60" s="6">
        <f t="shared" si="7"/>
        <v>158.75</v>
      </c>
      <c r="D60" s="6">
        <f t="shared" si="6"/>
        <v>54.061164310337062</v>
      </c>
      <c r="E60" s="6">
        <f t="shared" si="4"/>
        <v>45.938835689662938</v>
      </c>
      <c r="F60" s="6">
        <f t="shared" si="5"/>
        <v>41.25</v>
      </c>
      <c r="G60" s="6">
        <f t="shared" si="2"/>
        <v>54.061164310337062</v>
      </c>
      <c r="H60" s="7">
        <f t="shared" si="3"/>
        <v>45.938835689662938</v>
      </c>
    </row>
    <row r="61" spans="2:8" x14ac:dyDescent="0.6">
      <c r="B61" s="27">
        <v>49</v>
      </c>
      <c r="C61" s="6">
        <f t="shared" si="7"/>
        <v>160</v>
      </c>
      <c r="D61" s="6">
        <f t="shared" si="6"/>
        <v>50</v>
      </c>
      <c r="E61" s="6">
        <f t="shared" si="4"/>
        <v>50</v>
      </c>
      <c r="F61" s="6">
        <f t="shared" si="5"/>
        <v>40</v>
      </c>
      <c r="G61" s="6">
        <f t="shared" si="2"/>
        <v>50</v>
      </c>
      <c r="H61" s="7">
        <f t="shared" si="3"/>
        <v>50</v>
      </c>
    </row>
    <row r="62" spans="2:8" x14ac:dyDescent="0.6">
      <c r="B62" s="27">
        <v>50</v>
      </c>
      <c r="C62" s="6">
        <f t="shared" si="7"/>
        <v>160</v>
      </c>
      <c r="D62" s="6">
        <f t="shared" si="6"/>
        <v>50</v>
      </c>
      <c r="E62" s="6">
        <f t="shared" si="4"/>
        <v>50</v>
      </c>
      <c r="F62" s="6">
        <f t="shared" si="5"/>
        <v>40</v>
      </c>
      <c r="G62" s="6">
        <f t="shared" si="2"/>
        <v>50</v>
      </c>
      <c r="H62" s="7">
        <f t="shared" si="3"/>
        <v>50</v>
      </c>
    </row>
    <row r="63" spans="2:8" x14ac:dyDescent="0.6">
      <c r="B63" s="27">
        <v>51</v>
      </c>
      <c r="C63" s="6">
        <f t="shared" si="7"/>
        <v>160</v>
      </c>
      <c r="D63" s="6">
        <f t="shared" si="6"/>
        <v>50</v>
      </c>
      <c r="E63" s="6">
        <f t="shared" si="4"/>
        <v>50</v>
      </c>
      <c r="F63" s="6">
        <f t="shared" si="5"/>
        <v>40</v>
      </c>
      <c r="G63" s="6">
        <f t="shared" si="2"/>
        <v>50</v>
      </c>
      <c r="H63" s="7">
        <f t="shared" si="3"/>
        <v>50</v>
      </c>
    </row>
    <row r="64" spans="2:8" x14ac:dyDescent="0.6">
      <c r="B64" s="27">
        <v>52</v>
      </c>
      <c r="C64" s="6">
        <f t="shared" si="7"/>
        <v>160</v>
      </c>
      <c r="D64" s="6">
        <f t="shared" si="6"/>
        <v>50</v>
      </c>
      <c r="E64" s="6">
        <f t="shared" si="4"/>
        <v>50</v>
      </c>
      <c r="F64" s="6">
        <f t="shared" si="5"/>
        <v>40</v>
      </c>
      <c r="G64" s="6">
        <f t="shared" si="2"/>
        <v>50</v>
      </c>
      <c r="H64" s="7">
        <f t="shared" si="3"/>
        <v>50</v>
      </c>
    </row>
    <row r="65" spans="2:8" x14ac:dyDescent="0.6">
      <c r="B65" s="27">
        <v>53</v>
      </c>
      <c r="C65" s="6">
        <f t="shared" si="7"/>
        <v>160</v>
      </c>
      <c r="D65" s="6">
        <f t="shared" si="6"/>
        <v>50</v>
      </c>
      <c r="E65" s="6">
        <f t="shared" si="4"/>
        <v>50</v>
      </c>
      <c r="F65" s="6">
        <f t="shared" si="5"/>
        <v>40</v>
      </c>
      <c r="G65" s="6">
        <f t="shared" si="2"/>
        <v>50</v>
      </c>
      <c r="H65" s="7">
        <f t="shared" si="3"/>
        <v>50</v>
      </c>
    </row>
    <row r="66" spans="2:8" x14ac:dyDescent="0.6">
      <c r="B66" s="27">
        <v>54</v>
      </c>
      <c r="C66" s="6">
        <f t="shared" si="7"/>
        <v>160</v>
      </c>
      <c r="D66" s="6">
        <f t="shared" si="6"/>
        <v>50</v>
      </c>
      <c r="E66" s="6">
        <f t="shared" si="4"/>
        <v>50</v>
      </c>
      <c r="F66" s="6">
        <f t="shared" si="5"/>
        <v>40</v>
      </c>
      <c r="G66" s="6">
        <f t="shared" si="2"/>
        <v>50</v>
      </c>
      <c r="H66" s="7">
        <f t="shared" si="3"/>
        <v>50</v>
      </c>
    </row>
    <row r="67" spans="2:8" x14ac:dyDescent="0.6">
      <c r="B67" s="27">
        <v>55</v>
      </c>
      <c r="C67" s="6">
        <f t="shared" si="7"/>
        <v>160</v>
      </c>
      <c r="D67" s="6">
        <f t="shared" si="6"/>
        <v>50</v>
      </c>
      <c r="E67" s="6">
        <f t="shared" si="4"/>
        <v>50</v>
      </c>
      <c r="F67" s="6">
        <f t="shared" si="5"/>
        <v>40</v>
      </c>
      <c r="G67" s="6">
        <f t="shared" si="2"/>
        <v>50</v>
      </c>
      <c r="H67" s="7">
        <f t="shared" si="3"/>
        <v>50</v>
      </c>
    </row>
    <row r="68" spans="2:8" x14ac:dyDescent="0.6">
      <c r="B68" s="27">
        <v>56</v>
      </c>
      <c r="C68" s="6">
        <f t="shared" si="7"/>
        <v>160</v>
      </c>
      <c r="D68" s="6">
        <f t="shared" si="6"/>
        <v>50</v>
      </c>
      <c r="E68" s="6">
        <f t="shared" si="4"/>
        <v>50</v>
      </c>
      <c r="F68" s="6">
        <f t="shared" si="5"/>
        <v>40</v>
      </c>
      <c r="G68" s="6">
        <f t="shared" si="2"/>
        <v>50</v>
      </c>
      <c r="H68" s="7">
        <f t="shared" si="3"/>
        <v>50</v>
      </c>
    </row>
    <row r="69" spans="2:8" x14ac:dyDescent="0.6">
      <c r="B69" s="27">
        <v>57</v>
      </c>
      <c r="C69" s="6">
        <f t="shared" si="7"/>
        <v>160</v>
      </c>
      <c r="D69" s="6">
        <f t="shared" si="6"/>
        <v>50</v>
      </c>
      <c r="E69" s="6">
        <f t="shared" si="4"/>
        <v>50</v>
      </c>
      <c r="F69" s="6">
        <f t="shared" si="5"/>
        <v>40</v>
      </c>
      <c r="G69" s="6">
        <f t="shared" si="2"/>
        <v>50</v>
      </c>
      <c r="H69" s="7">
        <f t="shared" si="3"/>
        <v>50</v>
      </c>
    </row>
    <row r="70" spans="2:8" x14ac:dyDescent="0.6">
      <c r="B70" s="27">
        <v>58</v>
      </c>
      <c r="C70" s="6">
        <f t="shared" si="7"/>
        <v>160</v>
      </c>
      <c r="D70" s="6">
        <f t="shared" si="6"/>
        <v>50</v>
      </c>
      <c r="E70" s="6">
        <f t="shared" si="4"/>
        <v>50</v>
      </c>
      <c r="F70" s="6">
        <f t="shared" si="5"/>
        <v>40</v>
      </c>
      <c r="G70" s="6">
        <f t="shared" si="2"/>
        <v>50</v>
      </c>
      <c r="H70" s="7">
        <f t="shared" si="3"/>
        <v>50</v>
      </c>
    </row>
    <row r="71" spans="2:8" x14ac:dyDescent="0.6">
      <c r="B71" s="27">
        <v>59</v>
      </c>
      <c r="C71" s="6">
        <f t="shared" si="7"/>
        <v>160</v>
      </c>
      <c r="D71" s="6">
        <f t="shared" si="6"/>
        <v>50</v>
      </c>
      <c r="E71" s="6">
        <f t="shared" si="4"/>
        <v>50</v>
      </c>
      <c r="F71" s="6">
        <f t="shared" si="5"/>
        <v>40</v>
      </c>
      <c r="G71" s="6">
        <f t="shared" si="2"/>
        <v>50</v>
      </c>
      <c r="H71" s="7">
        <f t="shared" si="3"/>
        <v>50</v>
      </c>
    </row>
    <row r="72" spans="2:8" x14ac:dyDescent="0.6">
      <c r="B72" s="27">
        <v>60</v>
      </c>
      <c r="C72" s="6">
        <f t="shared" si="7"/>
        <v>160</v>
      </c>
      <c r="D72" s="6">
        <f t="shared" si="6"/>
        <v>50</v>
      </c>
      <c r="E72" s="6">
        <f t="shared" si="4"/>
        <v>50</v>
      </c>
      <c r="F72" s="6">
        <f t="shared" si="5"/>
        <v>40</v>
      </c>
      <c r="G72" s="6">
        <f t="shared" si="2"/>
        <v>50</v>
      </c>
      <c r="H72" s="7">
        <f t="shared" si="3"/>
        <v>50</v>
      </c>
    </row>
    <row r="73" spans="2:8" x14ac:dyDescent="0.6">
      <c r="B73" s="27">
        <v>61</v>
      </c>
      <c r="C73" s="6">
        <f t="shared" si="7"/>
        <v>160</v>
      </c>
      <c r="D73" s="6">
        <f t="shared" si="6"/>
        <v>50</v>
      </c>
      <c r="E73" s="6">
        <f t="shared" si="4"/>
        <v>50</v>
      </c>
      <c r="F73" s="6">
        <f t="shared" si="5"/>
        <v>40</v>
      </c>
      <c r="G73" s="6">
        <f t="shared" si="2"/>
        <v>50</v>
      </c>
      <c r="H73" s="7">
        <f t="shared" si="3"/>
        <v>50</v>
      </c>
    </row>
    <row r="74" spans="2:8" x14ac:dyDescent="0.6">
      <c r="B74" s="27">
        <v>62</v>
      </c>
      <c r="C74" s="6">
        <f t="shared" si="7"/>
        <v>160</v>
      </c>
      <c r="D74" s="6">
        <f t="shared" si="6"/>
        <v>50</v>
      </c>
      <c r="E74" s="6">
        <f t="shared" si="4"/>
        <v>50</v>
      </c>
      <c r="F74" s="6">
        <f t="shared" si="5"/>
        <v>40</v>
      </c>
      <c r="G74" s="6">
        <f t="shared" si="2"/>
        <v>50</v>
      </c>
      <c r="H74" s="7">
        <f t="shared" si="3"/>
        <v>50</v>
      </c>
    </row>
    <row r="75" spans="2:8" x14ac:dyDescent="0.6">
      <c r="B75" s="27">
        <v>63</v>
      </c>
      <c r="C75" s="6">
        <f t="shared" si="7"/>
        <v>160</v>
      </c>
      <c r="D75" s="6">
        <f t="shared" si="6"/>
        <v>50</v>
      </c>
      <c r="E75" s="6">
        <f t="shared" si="4"/>
        <v>50</v>
      </c>
      <c r="F75" s="6">
        <f t="shared" si="5"/>
        <v>40</v>
      </c>
      <c r="G75" s="6">
        <f t="shared" si="2"/>
        <v>50</v>
      </c>
      <c r="H75" s="7">
        <f t="shared" si="3"/>
        <v>50</v>
      </c>
    </row>
    <row r="76" spans="2:8" x14ac:dyDescent="0.6">
      <c r="B76" s="27">
        <v>64</v>
      </c>
      <c r="C76" s="6">
        <f t="shared" si="7"/>
        <v>160</v>
      </c>
      <c r="D76" s="6">
        <f t="shared" si="6"/>
        <v>50</v>
      </c>
      <c r="E76" s="6">
        <f t="shared" si="4"/>
        <v>50</v>
      </c>
      <c r="F76" s="6">
        <f t="shared" si="5"/>
        <v>40</v>
      </c>
      <c r="G76" s="6">
        <f t="shared" si="2"/>
        <v>50</v>
      </c>
      <c r="H76" s="7">
        <f t="shared" si="3"/>
        <v>50</v>
      </c>
    </row>
    <row r="77" spans="2:8" x14ac:dyDescent="0.6">
      <c r="B77" s="27">
        <v>65</v>
      </c>
      <c r="C77" s="6">
        <f t="shared" si="7"/>
        <v>160</v>
      </c>
      <c r="D77" s="6">
        <f t="shared" ref="D77:D112" si="8">(((1-(($C77-h_elipse)^2/a_elipse^2))*(b_elipse^2))^0.5)+k_elipse</f>
        <v>50</v>
      </c>
      <c r="E77" s="6">
        <f t="shared" si="4"/>
        <v>50</v>
      </c>
      <c r="F77" s="6">
        <f t="shared" si="5"/>
        <v>40</v>
      </c>
      <c r="G77" s="6">
        <f t="shared" si="2"/>
        <v>50</v>
      </c>
      <c r="H77" s="7">
        <f t="shared" si="3"/>
        <v>50</v>
      </c>
    </row>
    <row r="78" spans="2:8" x14ac:dyDescent="0.6">
      <c r="B78" s="27">
        <v>66</v>
      </c>
      <c r="C78" s="6">
        <f t="shared" ref="C78:C112" si="9">IF((a_elipse/np_elipse)+C77&gt;=h_elipse+a_elipse,h_elipse+a_elipse,(a_elipse/np_elipse)+C77)</f>
        <v>160</v>
      </c>
      <c r="D78" s="6">
        <f t="shared" si="8"/>
        <v>50</v>
      </c>
      <c r="E78" s="6">
        <f t="shared" si="4"/>
        <v>50</v>
      </c>
      <c r="F78" s="6">
        <f t="shared" si="5"/>
        <v>40</v>
      </c>
      <c r="G78" s="6">
        <f t="shared" ref="G78:G112" si="10">D78</f>
        <v>50</v>
      </c>
      <c r="H78" s="7">
        <f t="shared" ref="H78:H112" si="11">E78</f>
        <v>50</v>
      </c>
    </row>
    <row r="79" spans="2:8" x14ac:dyDescent="0.6">
      <c r="B79" s="27">
        <v>67</v>
      </c>
      <c r="C79" s="6">
        <f t="shared" si="9"/>
        <v>160</v>
      </c>
      <c r="D79" s="6">
        <f t="shared" si="8"/>
        <v>50</v>
      </c>
      <c r="E79" s="6">
        <f t="shared" ref="E79:E112" si="12">E78+(D78-D79)</f>
        <v>50</v>
      </c>
      <c r="F79" s="6">
        <f t="shared" ref="F79:F112" si="13">(F78-(C79-C78))</f>
        <v>40</v>
      </c>
      <c r="G79" s="6">
        <f t="shared" si="10"/>
        <v>50</v>
      </c>
      <c r="H79" s="7">
        <f t="shared" si="11"/>
        <v>50</v>
      </c>
    </row>
    <row r="80" spans="2:8" x14ac:dyDescent="0.6">
      <c r="B80" s="27">
        <v>68</v>
      </c>
      <c r="C80" s="6">
        <f t="shared" si="9"/>
        <v>160</v>
      </c>
      <c r="D80" s="6">
        <f t="shared" si="8"/>
        <v>50</v>
      </c>
      <c r="E80" s="6">
        <f t="shared" si="12"/>
        <v>50</v>
      </c>
      <c r="F80" s="6">
        <f t="shared" si="13"/>
        <v>40</v>
      </c>
      <c r="G80" s="6">
        <f t="shared" si="10"/>
        <v>50</v>
      </c>
      <c r="H80" s="7">
        <f t="shared" si="11"/>
        <v>50</v>
      </c>
    </row>
    <row r="81" spans="2:8" x14ac:dyDescent="0.6">
      <c r="B81" s="27">
        <v>69</v>
      </c>
      <c r="C81" s="6">
        <f t="shared" si="9"/>
        <v>160</v>
      </c>
      <c r="D81" s="6">
        <f t="shared" si="8"/>
        <v>50</v>
      </c>
      <c r="E81" s="6">
        <f t="shared" si="12"/>
        <v>50</v>
      </c>
      <c r="F81" s="6">
        <f t="shared" si="13"/>
        <v>40</v>
      </c>
      <c r="G81" s="6">
        <f t="shared" si="10"/>
        <v>50</v>
      </c>
      <c r="H81" s="7">
        <f t="shared" si="11"/>
        <v>50</v>
      </c>
    </row>
    <row r="82" spans="2:8" x14ac:dyDescent="0.6">
      <c r="B82" s="27">
        <v>70</v>
      </c>
      <c r="C82" s="6">
        <f t="shared" si="9"/>
        <v>160</v>
      </c>
      <c r="D82" s="6">
        <f t="shared" si="8"/>
        <v>50</v>
      </c>
      <c r="E82" s="6">
        <f t="shared" si="12"/>
        <v>50</v>
      </c>
      <c r="F82" s="6">
        <f t="shared" si="13"/>
        <v>40</v>
      </c>
      <c r="G82" s="6">
        <f t="shared" si="10"/>
        <v>50</v>
      </c>
      <c r="H82" s="7">
        <f t="shared" si="11"/>
        <v>50</v>
      </c>
    </row>
    <row r="83" spans="2:8" x14ac:dyDescent="0.6">
      <c r="B83" s="27">
        <v>71</v>
      </c>
      <c r="C83" s="6">
        <f t="shared" si="9"/>
        <v>160</v>
      </c>
      <c r="D83" s="6">
        <f t="shared" si="8"/>
        <v>50</v>
      </c>
      <c r="E83" s="6">
        <f t="shared" si="12"/>
        <v>50</v>
      </c>
      <c r="F83" s="6">
        <f t="shared" si="13"/>
        <v>40</v>
      </c>
      <c r="G83" s="6">
        <f t="shared" si="10"/>
        <v>50</v>
      </c>
      <c r="H83" s="7">
        <f t="shared" si="11"/>
        <v>50</v>
      </c>
    </row>
    <row r="84" spans="2:8" x14ac:dyDescent="0.6">
      <c r="B84" s="27">
        <v>72</v>
      </c>
      <c r="C84" s="6">
        <f t="shared" si="9"/>
        <v>160</v>
      </c>
      <c r="D84" s="6">
        <f t="shared" si="8"/>
        <v>50</v>
      </c>
      <c r="E84" s="6">
        <f t="shared" si="12"/>
        <v>50</v>
      </c>
      <c r="F84" s="6">
        <f t="shared" si="13"/>
        <v>40</v>
      </c>
      <c r="G84" s="6">
        <f t="shared" si="10"/>
        <v>50</v>
      </c>
      <c r="H84" s="7">
        <f t="shared" si="11"/>
        <v>50</v>
      </c>
    </row>
    <row r="85" spans="2:8" x14ac:dyDescent="0.6">
      <c r="B85" s="27">
        <v>73</v>
      </c>
      <c r="C85" s="6">
        <f t="shared" si="9"/>
        <v>160</v>
      </c>
      <c r="D85" s="6">
        <f t="shared" si="8"/>
        <v>50</v>
      </c>
      <c r="E85" s="6">
        <f t="shared" si="12"/>
        <v>50</v>
      </c>
      <c r="F85" s="6">
        <f t="shared" si="13"/>
        <v>40</v>
      </c>
      <c r="G85" s="6">
        <f t="shared" si="10"/>
        <v>50</v>
      </c>
      <c r="H85" s="7">
        <f t="shared" si="11"/>
        <v>50</v>
      </c>
    </row>
    <row r="86" spans="2:8" x14ac:dyDescent="0.6">
      <c r="B86" s="27">
        <v>74</v>
      </c>
      <c r="C86" s="6">
        <f t="shared" si="9"/>
        <v>160</v>
      </c>
      <c r="D86" s="6">
        <f t="shared" si="8"/>
        <v>50</v>
      </c>
      <c r="E86" s="6">
        <f t="shared" si="12"/>
        <v>50</v>
      </c>
      <c r="F86" s="6">
        <f t="shared" si="13"/>
        <v>40</v>
      </c>
      <c r="G86" s="6">
        <f t="shared" si="10"/>
        <v>50</v>
      </c>
      <c r="H86" s="7">
        <f t="shared" si="11"/>
        <v>50</v>
      </c>
    </row>
    <row r="87" spans="2:8" x14ac:dyDescent="0.6">
      <c r="B87" s="27">
        <v>75</v>
      </c>
      <c r="C87" s="6">
        <f t="shared" si="9"/>
        <v>160</v>
      </c>
      <c r="D87" s="6">
        <f t="shared" si="8"/>
        <v>50</v>
      </c>
      <c r="E87" s="6">
        <f t="shared" si="12"/>
        <v>50</v>
      </c>
      <c r="F87" s="6">
        <f t="shared" si="13"/>
        <v>40</v>
      </c>
      <c r="G87" s="6">
        <f t="shared" si="10"/>
        <v>50</v>
      </c>
      <c r="H87" s="7">
        <f t="shared" si="11"/>
        <v>50</v>
      </c>
    </row>
    <row r="88" spans="2:8" x14ac:dyDescent="0.6">
      <c r="B88" s="27">
        <v>76</v>
      </c>
      <c r="C88" s="6">
        <f t="shared" si="9"/>
        <v>160</v>
      </c>
      <c r="D88" s="6">
        <f t="shared" si="8"/>
        <v>50</v>
      </c>
      <c r="E88" s="6">
        <f t="shared" si="12"/>
        <v>50</v>
      </c>
      <c r="F88" s="6">
        <f t="shared" si="13"/>
        <v>40</v>
      </c>
      <c r="G88" s="6">
        <f t="shared" si="10"/>
        <v>50</v>
      </c>
      <c r="H88" s="7">
        <f t="shared" si="11"/>
        <v>50</v>
      </c>
    </row>
    <row r="89" spans="2:8" x14ac:dyDescent="0.6">
      <c r="B89" s="27">
        <v>77</v>
      </c>
      <c r="C89" s="6">
        <f t="shared" si="9"/>
        <v>160</v>
      </c>
      <c r="D89" s="6">
        <f t="shared" si="8"/>
        <v>50</v>
      </c>
      <c r="E89" s="6">
        <f t="shared" si="12"/>
        <v>50</v>
      </c>
      <c r="F89" s="6">
        <f t="shared" si="13"/>
        <v>40</v>
      </c>
      <c r="G89" s="6">
        <f t="shared" si="10"/>
        <v>50</v>
      </c>
      <c r="H89" s="7">
        <f t="shared" si="11"/>
        <v>50</v>
      </c>
    </row>
    <row r="90" spans="2:8" x14ac:dyDescent="0.6">
      <c r="B90" s="27">
        <v>78</v>
      </c>
      <c r="C90" s="6">
        <f t="shared" si="9"/>
        <v>160</v>
      </c>
      <c r="D90" s="6">
        <f t="shared" si="8"/>
        <v>50</v>
      </c>
      <c r="E90" s="6">
        <f t="shared" si="12"/>
        <v>50</v>
      </c>
      <c r="F90" s="6">
        <f t="shared" si="13"/>
        <v>40</v>
      </c>
      <c r="G90" s="6">
        <f t="shared" si="10"/>
        <v>50</v>
      </c>
      <c r="H90" s="7">
        <f t="shared" si="11"/>
        <v>50</v>
      </c>
    </row>
    <row r="91" spans="2:8" x14ac:dyDescent="0.6">
      <c r="B91" s="27">
        <v>79</v>
      </c>
      <c r="C91" s="6">
        <f t="shared" si="9"/>
        <v>160</v>
      </c>
      <c r="D91" s="6">
        <f t="shared" si="8"/>
        <v>50</v>
      </c>
      <c r="E91" s="6">
        <f t="shared" si="12"/>
        <v>50</v>
      </c>
      <c r="F91" s="6">
        <f t="shared" si="13"/>
        <v>40</v>
      </c>
      <c r="G91" s="6">
        <f t="shared" si="10"/>
        <v>50</v>
      </c>
      <c r="H91" s="7">
        <f t="shared" si="11"/>
        <v>50</v>
      </c>
    </row>
    <row r="92" spans="2:8" x14ac:dyDescent="0.6">
      <c r="B92" s="27">
        <v>80</v>
      </c>
      <c r="C92" s="6">
        <f t="shared" si="9"/>
        <v>160</v>
      </c>
      <c r="D92" s="6">
        <f t="shared" si="8"/>
        <v>50</v>
      </c>
      <c r="E92" s="6">
        <f t="shared" si="12"/>
        <v>50</v>
      </c>
      <c r="F92" s="6">
        <f t="shared" si="13"/>
        <v>40</v>
      </c>
      <c r="G92" s="6">
        <f t="shared" si="10"/>
        <v>50</v>
      </c>
      <c r="H92" s="7">
        <f t="shared" si="11"/>
        <v>50</v>
      </c>
    </row>
    <row r="93" spans="2:8" x14ac:dyDescent="0.6">
      <c r="B93" s="27">
        <v>81</v>
      </c>
      <c r="C93" s="6">
        <f t="shared" si="9"/>
        <v>160</v>
      </c>
      <c r="D93" s="6">
        <f t="shared" si="8"/>
        <v>50</v>
      </c>
      <c r="E93" s="6">
        <f t="shared" si="12"/>
        <v>50</v>
      </c>
      <c r="F93" s="6">
        <f t="shared" si="13"/>
        <v>40</v>
      </c>
      <c r="G93" s="6">
        <f t="shared" si="10"/>
        <v>50</v>
      </c>
      <c r="H93" s="7">
        <f t="shared" si="11"/>
        <v>50</v>
      </c>
    </row>
    <row r="94" spans="2:8" x14ac:dyDescent="0.6">
      <c r="B94" s="27">
        <v>82</v>
      </c>
      <c r="C94" s="6">
        <f t="shared" si="9"/>
        <v>160</v>
      </c>
      <c r="D94" s="6">
        <f t="shared" si="8"/>
        <v>50</v>
      </c>
      <c r="E94" s="6">
        <f t="shared" si="12"/>
        <v>50</v>
      </c>
      <c r="F94" s="6">
        <f t="shared" si="13"/>
        <v>40</v>
      </c>
      <c r="G94" s="6">
        <f t="shared" si="10"/>
        <v>50</v>
      </c>
      <c r="H94" s="7">
        <f t="shared" si="11"/>
        <v>50</v>
      </c>
    </row>
    <row r="95" spans="2:8" x14ac:dyDescent="0.6">
      <c r="B95" s="27">
        <v>83</v>
      </c>
      <c r="C95" s="6">
        <f t="shared" si="9"/>
        <v>160</v>
      </c>
      <c r="D95" s="6">
        <f t="shared" si="8"/>
        <v>50</v>
      </c>
      <c r="E95" s="6">
        <f t="shared" si="12"/>
        <v>50</v>
      </c>
      <c r="F95" s="6">
        <f t="shared" si="13"/>
        <v>40</v>
      </c>
      <c r="G95" s="6">
        <f t="shared" si="10"/>
        <v>50</v>
      </c>
      <c r="H95" s="7">
        <f t="shared" si="11"/>
        <v>50</v>
      </c>
    </row>
    <row r="96" spans="2:8" x14ac:dyDescent="0.6">
      <c r="B96" s="27">
        <v>84</v>
      </c>
      <c r="C96" s="6">
        <f t="shared" si="9"/>
        <v>160</v>
      </c>
      <c r="D96" s="6">
        <f t="shared" si="8"/>
        <v>50</v>
      </c>
      <c r="E96" s="6">
        <f t="shared" si="12"/>
        <v>50</v>
      </c>
      <c r="F96" s="6">
        <f t="shared" si="13"/>
        <v>40</v>
      </c>
      <c r="G96" s="6">
        <f t="shared" si="10"/>
        <v>50</v>
      </c>
      <c r="H96" s="7">
        <f t="shared" si="11"/>
        <v>50</v>
      </c>
    </row>
    <row r="97" spans="2:8" x14ac:dyDescent="0.6">
      <c r="B97" s="27">
        <v>85</v>
      </c>
      <c r="C97" s="6">
        <f t="shared" si="9"/>
        <v>160</v>
      </c>
      <c r="D97" s="6">
        <f t="shared" si="8"/>
        <v>50</v>
      </c>
      <c r="E97" s="6">
        <f t="shared" si="12"/>
        <v>50</v>
      </c>
      <c r="F97" s="6">
        <f t="shared" si="13"/>
        <v>40</v>
      </c>
      <c r="G97" s="6">
        <f t="shared" si="10"/>
        <v>50</v>
      </c>
      <c r="H97" s="7">
        <f t="shared" si="11"/>
        <v>50</v>
      </c>
    </row>
    <row r="98" spans="2:8" x14ac:dyDescent="0.6">
      <c r="B98" s="27">
        <v>86</v>
      </c>
      <c r="C98" s="6">
        <f t="shared" si="9"/>
        <v>160</v>
      </c>
      <c r="D98" s="6">
        <f t="shared" si="8"/>
        <v>50</v>
      </c>
      <c r="E98" s="6">
        <f t="shared" si="12"/>
        <v>50</v>
      </c>
      <c r="F98" s="6">
        <f t="shared" si="13"/>
        <v>40</v>
      </c>
      <c r="G98" s="6">
        <f t="shared" si="10"/>
        <v>50</v>
      </c>
      <c r="H98" s="7">
        <f t="shared" si="11"/>
        <v>50</v>
      </c>
    </row>
    <row r="99" spans="2:8" x14ac:dyDescent="0.6">
      <c r="B99" s="27">
        <v>87</v>
      </c>
      <c r="C99" s="6">
        <f t="shared" si="9"/>
        <v>160</v>
      </c>
      <c r="D99" s="6">
        <f t="shared" si="8"/>
        <v>50</v>
      </c>
      <c r="E99" s="6">
        <f t="shared" si="12"/>
        <v>50</v>
      </c>
      <c r="F99" s="6">
        <f t="shared" si="13"/>
        <v>40</v>
      </c>
      <c r="G99" s="6">
        <f t="shared" si="10"/>
        <v>50</v>
      </c>
      <c r="H99" s="7">
        <f t="shared" si="11"/>
        <v>50</v>
      </c>
    </row>
    <row r="100" spans="2:8" x14ac:dyDescent="0.6">
      <c r="B100" s="27">
        <v>88</v>
      </c>
      <c r="C100" s="6">
        <f t="shared" si="9"/>
        <v>160</v>
      </c>
      <c r="D100" s="6">
        <f t="shared" si="8"/>
        <v>50</v>
      </c>
      <c r="E100" s="6">
        <f t="shared" si="12"/>
        <v>50</v>
      </c>
      <c r="F100" s="6">
        <f t="shared" si="13"/>
        <v>40</v>
      </c>
      <c r="G100" s="6">
        <f t="shared" si="10"/>
        <v>50</v>
      </c>
      <c r="H100" s="7">
        <f t="shared" si="11"/>
        <v>50</v>
      </c>
    </row>
    <row r="101" spans="2:8" x14ac:dyDescent="0.6">
      <c r="B101" s="27">
        <v>89</v>
      </c>
      <c r="C101" s="6">
        <f t="shared" si="9"/>
        <v>160</v>
      </c>
      <c r="D101" s="6">
        <f t="shared" si="8"/>
        <v>50</v>
      </c>
      <c r="E101" s="6">
        <f t="shared" si="12"/>
        <v>50</v>
      </c>
      <c r="F101" s="6">
        <f t="shared" si="13"/>
        <v>40</v>
      </c>
      <c r="G101" s="6">
        <f t="shared" si="10"/>
        <v>50</v>
      </c>
      <c r="H101" s="7">
        <f t="shared" si="11"/>
        <v>50</v>
      </c>
    </row>
    <row r="102" spans="2:8" x14ac:dyDescent="0.6">
      <c r="B102" s="27">
        <v>90</v>
      </c>
      <c r="C102" s="6">
        <f t="shared" si="9"/>
        <v>160</v>
      </c>
      <c r="D102" s="6">
        <f t="shared" si="8"/>
        <v>50</v>
      </c>
      <c r="E102" s="6">
        <f t="shared" si="12"/>
        <v>50</v>
      </c>
      <c r="F102" s="6">
        <f t="shared" si="13"/>
        <v>40</v>
      </c>
      <c r="G102" s="6">
        <f t="shared" si="10"/>
        <v>50</v>
      </c>
      <c r="H102" s="7">
        <f t="shared" si="11"/>
        <v>50</v>
      </c>
    </row>
    <row r="103" spans="2:8" x14ac:dyDescent="0.6">
      <c r="B103" s="27">
        <v>91</v>
      </c>
      <c r="C103" s="6">
        <f t="shared" si="9"/>
        <v>160</v>
      </c>
      <c r="D103" s="6">
        <f t="shared" si="8"/>
        <v>50</v>
      </c>
      <c r="E103" s="6">
        <f t="shared" si="12"/>
        <v>50</v>
      </c>
      <c r="F103" s="6">
        <f t="shared" si="13"/>
        <v>40</v>
      </c>
      <c r="G103" s="6">
        <f t="shared" si="10"/>
        <v>50</v>
      </c>
      <c r="H103" s="7">
        <f t="shared" si="11"/>
        <v>50</v>
      </c>
    </row>
    <row r="104" spans="2:8" x14ac:dyDescent="0.6">
      <c r="B104" s="27">
        <v>92</v>
      </c>
      <c r="C104" s="6">
        <f t="shared" si="9"/>
        <v>160</v>
      </c>
      <c r="D104" s="6">
        <f t="shared" si="8"/>
        <v>50</v>
      </c>
      <c r="E104" s="6">
        <f t="shared" si="12"/>
        <v>50</v>
      </c>
      <c r="F104" s="6">
        <f t="shared" si="13"/>
        <v>40</v>
      </c>
      <c r="G104" s="6">
        <f t="shared" si="10"/>
        <v>50</v>
      </c>
      <c r="H104" s="7">
        <f t="shared" si="11"/>
        <v>50</v>
      </c>
    </row>
    <row r="105" spans="2:8" x14ac:dyDescent="0.6">
      <c r="B105" s="27">
        <v>93</v>
      </c>
      <c r="C105" s="6">
        <f t="shared" si="9"/>
        <v>160</v>
      </c>
      <c r="D105" s="6">
        <f t="shared" si="8"/>
        <v>50</v>
      </c>
      <c r="E105" s="6">
        <f t="shared" si="12"/>
        <v>50</v>
      </c>
      <c r="F105" s="6">
        <f t="shared" si="13"/>
        <v>40</v>
      </c>
      <c r="G105" s="6">
        <f t="shared" si="10"/>
        <v>50</v>
      </c>
      <c r="H105" s="7">
        <f t="shared" si="11"/>
        <v>50</v>
      </c>
    </row>
    <row r="106" spans="2:8" x14ac:dyDescent="0.6">
      <c r="B106" s="27">
        <v>94</v>
      </c>
      <c r="C106" s="6">
        <f t="shared" si="9"/>
        <v>160</v>
      </c>
      <c r="D106" s="6">
        <f t="shared" si="8"/>
        <v>50</v>
      </c>
      <c r="E106" s="6">
        <f t="shared" si="12"/>
        <v>50</v>
      </c>
      <c r="F106" s="6">
        <f t="shared" si="13"/>
        <v>40</v>
      </c>
      <c r="G106" s="6">
        <f t="shared" si="10"/>
        <v>50</v>
      </c>
      <c r="H106" s="7">
        <f t="shared" si="11"/>
        <v>50</v>
      </c>
    </row>
    <row r="107" spans="2:8" x14ac:dyDescent="0.6">
      <c r="B107" s="27">
        <v>95</v>
      </c>
      <c r="C107" s="6">
        <f t="shared" si="9"/>
        <v>160</v>
      </c>
      <c r="D107" s="6">
        <f t="shared" si="8"/>
        <v>50</v>
      </c>
      <c r="E107" s="6">
        <f t="shared" si="12"/>
        <v>50</v>
      </c>
      <c r="F107" s="6">
        <f t="shared" si="13"/>
        <v>40</v>
      </c>
      <c r="G107" s="6">
        <f t="shared" si="10"/>
        <v>50</v>
      </c>
      <c r="H107" s="7">
        <f t="shared" si="11"/>
        <v>50</v>
      </c>
    </row>
    <row r="108" spans="2:8" x14ac:dyDescent="0.6">
      <c r="B108" s="27">
        <v>96</v>
      </c>
      <c r="C108" s="6">
        <f t="shared" si="9"/>
        <v>160</v>
      </c>
      <c r="D108" s="6">
        <f t="shared" si="8"/>
        <v>50</v>
      </c>
      <c r="E108" s="6">
        <f t="shared" si="12"/>
        <v>50</v>
      </c>
      <c r="F108" s="6">
        <f t="shared" si="13"/>
        <v>40</v>
      </c>
      <c r="G108" s="6">
        <f t="shared" si="10"/>
        <v>50</v>
      </c>
      <c r="H108" s="7">
        <f t="shared" si="11"/>
        <v>50</v>
      </c>
    </row>
    <row r="109" spans="2:8" x14ac:dyDescent="0.6">
      <c r="B109" s="27">
        <v>97</v>
      </c>
      <c r="C109" s="6">
        <f t="shared" si="9"/>
        <v>160</v>
      </c>
      <c r="D109" s="6">
        <f t="shared" si="8"/>
        <v>50</v>
      </c>
      <c r="E109" s="6">
        <f t="shared" si="12"/>
        <v>50</v>
      </c>
      <c r="F109" s="6">
        <f t="shared" si="13"/>
        <v>40</v>
      </c>
      <c r="G109" s="6">
        <f t="shared" si="10"/>
        <v>50</v>
      </c>
      <c r="H109" s="7">
        <f t="shared" si="11"/>
        <v>50</v>
      </c>
    </row>
    <row r="110" spans="2:8" x14ac:dyDescent="0.6">
      <c r="B110" s="27">
        <v>98</v>
      </c>
      <c r="C110" s="6">
        <f t="shared" si="9"/>
        <v>160</v>
      </c>
      <c r="D110" s="6">
        <f t="shared" si="8"/>
        <v>50</v>
      </c>
      <c r="E110" s="6">
        <f t="shared" si="12"/>
        <v>50</v>
      </c>
      <c r="F110" s="6">
        <f t="shared" si="13"/>
        <v>40</v>
      </c>
      <c r="G110" s="6">
        <f t="shared" si="10"/>
        <v>50</v>
      </c>
      <c r="H110" s="7">
        <f t="shared" si="11"/>
        <v>50</v>
      </c>
    </row>
    <row r="111" spans="2:8" x14ac:dyDescent="0.6">
      <c r="B111" s="27">
        <v>99</v>
      </c>
      <c r="C111" s="6">
        <f t="shared" si="9"/>
        <v>160</v>
      </c>
      <c r="D111" s="6">
        <f t="shared" si="8"/>
        <v>50</v>
      </c>
      <c r="E111" s="6">
        <f t="shared" si="12"/>
        <v>50</v>
      </c>
      <c r="F111" s="6">
        <f t="shared" si="13"/>
        <v>40</v>
      </c>
      <c r="G111" s="6">
        <f t="shared" si="10"/>
        <v>50</v>
      </c>
      <c r="H111" s="7">
        <f t="shared" si="11"/>
        <v>50</v>
      </c>
    </row>
    <row r="112" spans="2:8" x14ac:dyDescent="0.6">
      <c r="B112" s="28">
        <v>100</v>
      </c>
      <c r="C112" s="8">
        <f t="shared" si="9"/>
        <v>160</v>
      </c>
      <c r="D112" s="8">
        <f t="shared" si="8"/>
        <v>50</v>
      </c>
      <c r="E112" s="8">
        <f t="shared" si="12"/>
        <v>50</v>
      </c>
      <c r="F112" s="8">
        <f t="shared" si="13"/>
        <v>40</v>
      </c>
      <c r="G112" s="8">
        <f t="shared" si="10"/>
        <v>50</v>
      </c>
      <c r="H112" s="9">
        <f t="shared" si="11"/>
        <v>50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30" zoomScaleNormal="130" workbookViewId="0">
      <pane ySplit="1" topLeftCell="A2" activePane="bottomLeft" state="frozen"/>
      <selection pane="bottomLeft" activeCell="C16" sqref="C16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_xlfn.CONCAT(ElipseTabla!$C13,",",ElipseTabla!D13)</f>
        <v>100,70</v>
      </c>
      <c r="B2" s="1" t="str">
        <f>_xlfn.CONCAT("POINT ",A2)</f>
        <v>POINT 100,70</v>
      </c>
    </row>
    <row r="3" spans="1:2" x14ac:dyDescent="0.6">
      <c r="A3" s="1" t="str">
        <f>_xlfn.CONCAT(ElipseTabla!C14,",",ElipseTabla!$D14)</f>
        <v>101.25,69.9956592511697</v>
      </c>
      <c r="B3" s="1" t="str">
        <f t="shared" ref="B3:B66" si="0">_xlfn.CONCAT("POINT ",A3)</f>
        <v>POINT 101.25,69.9956592511697</v>
      </c>
    </row>
    <row r="4" spans="1:2" x14ac:dyDescent="0.6">
      <c r="A4" s="1" t="str">
        <f>_xlfn.CONCAT(ElipseTabla!C15,",",ElipseTabla!D15)</f>
        <v>102.5,69.9826313471363</v>
      </c>
      <c r="B4" s="1" t="str">
        <f t="shared" si="0"/>
        <v>POINT 102.5,69.9826313471363</v>
      </c>
    </row>
    <row r="5" spans="1:2" x14ac:dyDescent="0.6">
      <c r="A5" s="1" t="str">
        <f>_xlfn.CONCAT(ElipseTabla!C16,",",ElipseTabla!D16)</f>
        <v>103.75,69.9608992783391</v>
      </c>
      <c r="B5" s="1" t="str">
        <f t="shared" si="0"/>
        <v>POINT 103.75,69.9608992783391</v>
      </c>
    </row>
    <row r="6" spans="1:2" x14ac:dyDescent="0.6">
      <c r="A6" s="1" t="str">
        <f>_xlfn.CONCAT(ElipseTabla!C17,",",ElipseTabla!D17)</f>
        <v>105,69.9304345718357</v>
      </c>
      <c r="B6" s="1" t="str">
        <f t="shared" si="0"/>
        <v>POINT 105,69.9304345718357</v>
      </c>
    </row>
    <row r="7" spans="1:2" x14ac:dyDescent="0.6">
      <c r="A7" s="1" t="str">
        <f>_xlfn.CONCAT(ElipseTabla!C18,",",ElipseTabla!D18)</f>
        <v>106.25,69.8911971038</v>
      </c>
      <c r="B7" s="1" t="str">
        <f t="shared" si="0"/>
        <v>POINT 106.25,69.8911971038</v>
      </c>
    </row>
    <row r="8" spans="1:2" x14ac:dyDescent="0.6">
      <c r="A8" s="1" t="str">
        <f>_xlfn.CONCAT(ElipseTabla!C19,",",ElipseTabla!D19)</f>
        <v>107.5,69.8431348329844</v>
      </c>
      <c r="B8" s="1" t="str">
        <f t="shared" si="0"/>
        <v>POINT 107.5,69.8431348329844</v>
      </c>
    </row>
    <row r="9" spans="1:2" x14ac:dyDescent="0.6">
      <c r="A9" s="1" t="str">
        <f>_xlfn.CONCAT(ElipseTabla!C20,",",ElipseTabla!D20)</f>
        <v>108.75,69.7861834509729</v>
      </c>
      <c r="B9" s="1" t="str">
        <f t="shared" si="0"/>
        <v>POINT 108.75,69.7861834509729</v>
      </c>
    </row>
    <row r="10" spans="1:2" x14ac:dyDescent="0.6">
      <c r="A10" s="1" t="str">
        <f>_xlfn.CONCAT(ElipseTabla!C21,",",ElipseTabla!D21)</f>
        <v>110,69.7202659436654</v>
      </c>
      <c r="B10" s="1" t="str">
        <f t="shared" si="0"/>
        <v>POINT 110,69.7202659436654</v>
      </c>
    </row>
    <row r="11" spans="1:2" x14ac:dyDescent="0.6">
      <c r="A11" s="1" t="str">
        <f>_xlfn.CONCAT(ElipseTabla!C22,",",ElipseTabla!D22)</f>
        <v>111.25,69.6452920568771</v>
      </c>
      <c r="B11" s="1" t="str">
        <f t="shared" si="0"/>
        <v>POINT 111.25,69.6452920568771</v>
      </c>
    </row>
    <row r="12" spans="1:2" x14ac:dyDescent="0.6">
      <c r="A12" s="1" t="str">
        <f>_xlfn.CONCAT(ElipseTabla!C23,",",ElipseTabla!D23)</f>
        <v>112.5,69.5611576571758</v>
      </c>
      <c r="B12" s="1" t="str">
        <f t="shared" si="0"/>
        <v>POINT 112.5,69.5611576571758</v>
      </c>
    </row>
    <row r="13" spans="1:2" x14ac:dyDescent="0.6">
      <c r="A13" s="1" t="str">
        <f>_xlfn.CONCAT(ElipseTabla!C24,",",ElipseTabla!D24)</f>
        <v>113.75,69.4677439770394</v>
      </c>
      <c r="B13" s="1" t="str">
        <f t="shared" si="0"/>
        <v>POINT 113.75,69.4677439770394</v>
      </c>
    </row>
    <row r="14" spans="1:2" x14ac:dyDescent="0.6">
      <c r="A14" s="1" t="str">
        <f>_xlfn.CONCAT(ElipseTabla!C25,",",ElipseTabla!D25)</f>
        <v>115,69.3649167310371</v>
      </c>
      <c r="B14" s="1" t="str">
        <f t="shared" si="0"/>
        <v>POINT 115,69.3649167310371</v>
      </c>
    </row>
    <row r="15" spans="1:2" x14ac:dyDescent="0.6">
      <c r="A15" s="1" t="str">
        <f>_xlfn.CONCAT(ElipseTabla!C26,",",ElipseTabla!D26)</f>
        <v>116.25,69.2525250869132</v>
      </c>
      <c r="B15" s="1" t="str">
        <f t="shared" si="0"/>
        <v>POINT 116.25,69.2525250869132</v>
      </c>
    </row>
    <row r="16" spans="1:2" x14ac:dyDescent="0.6">
      <c r="A16" s="1" t="str">
        <f>_xlfn.CONCAT(ElipseTabla!C27,",",ElipseTabla!D27)</f>
        <v>117.5,69.1304004720817</v>
      </c>
      <c r="B16" s="1" t="str">
        <f t="shared" si="0"/>
        <v>POINT 117.5,69.1304004720817</v>
      </c>
    </row>
    <row r="17" spans="1:2" x14ac:dyDescent="0.6">
      <c r="A17" s="1" t="str">
        <f>_xlfn.CONCAT(ElipseTabla!C28,",",ElipseTabla!D28)</f>
        <v>118.75,68.9983551919633</v>
      </c>
      <c r="B17" s="1" t="str">
        <f t="shared" si="0"/>
        <v>POINT 118.75,68.9983551919633</v>
      </c>
    </row>
    <row r="18" spans="1:2" x14ac:dyDescent="0.6">
      <c r="A18" s="1" t="str">
        <f>_xlfn.CONCAT(ElipseTabla!C29,",",ElipseTabla!D29)</f>
        <v>120,68.8561808316413</v>
      </c>
      <c r="B18" s="1" t="str">
        <f t="shared" si="0"/>
        <v>POINT 120,68.8561808316413</v>
      </c>
    </row>
    <row r="19" spans="1:2" x14ac:dyDescent="0.6">
      <c r="A19" s="1" t="str">
        <f>_xlfn.CONCAT(ElipseTabla!C30,",",ElipseTabla!D30)</f>
        <v>121.25,68.7036464062195</v>
      </c>
      <c r="B19" s="1" t="str">
        <f t="shared" si="0"/>
        <v>POINT 121.25,68.7036464062195</v>
      </c>
    </row>
    <row r="20" spans="1:2" x14ac:dyDescent="0.6">
      <c r="A20" s="1" t="str">
        <f>_xlfn.CONCAT(ElipseTabla!C31,",",ElipseTabla!D31)</f>
        <v>122.5,68.5404962177392</v>
      </c>
      <c r="B20" s="1" t="str">
        <f t="shared" si="0"/>
        <v>POINT 122.5,68.5404962177392</v>
      </c>
    </row>
    <row r="21" spans="1:2" x14ac:dyDescent="0.6">
      <c r="A21" s="1" t="str">
        <f>_xlfn.CONCAT(ElipseTabla!C32,",",ElipseTabla!D32)</f>
        <v>123.75,68.3664473671118</v>
      </c>
      <c r="B21" s="1" t="str">
        <f t="shared" si="0"/>
        <v>POINT 123.75,68.3664473671118</v>
      </c>
    </row>
    <row r="22" spans="1:2" x14ac:dyDescent="0.6">
      <c r="A22" s="1" t="str">
        <f>_xlfn.CONCAT(ElipseTabla!C33,",",ElipseTabla!D33)</f>
        <v>125,68.1811868577262</v>
      </c>
      <c r="B22" s="1" t="str">
        <f t="shared" si="0"/>
        <v>POINT 125,68.1811868577262</v>
      </c>
    </row>
    <row r="23" spans="1:2" x14ac:dyDescent="0.6">
      <c r="A23" s="1" t="str">
        <f>_xlfn.CONCAT(ElipseTabla!C34,",",ElipseTabla!D34)</f>
        <v>126.25,67.9843682124227</v>
      </c>
      <c r="B23" s="1" t="str">
        <f t="shared" si="0"/>
        <v>POINT 126.25,67.9843682124227</v>
      </c>
    </row>
    <row r="24" spans="1:2" x14ac:dyDescent="0.6">
      <c r="A24" s="1" t="str">
        <f>_xlfn.CONCAT(ElipseTabla!C35,",",ElipseTabla!D35)</f>
        <v>127.5,67.775607506418</v>
      </c>
      <c r="B24" s="1" t="str">
        <f t="shared" si="0"/>
        <v>POINT 127.5,67.775607506418</v>
      </c>
    </row>
    <row r="25" spans="1:2" x14ac:dyDescent="0.6">
      <c r="A25" s="1" t="str">
        <f>_xlfn.CONCAT(ElipseTabla!C36,",",ElipseTabla!D36)</f>
        <v>128.75,67.5544786941174</v>
      </c>
      <c r="B25" s="1" t="str">
        <f t="shared" si="0"/>
        <v>POINT 128.75,67.5544786941174</v>
      </c>
    </row>
    <row r="26" spans="1:2" x14ac:dyDescent="0.6">
      <c r="A26" s="1" t="str">
        <f>_xlfn.CONCAT(ElipseTabla!C37,",",ElipseTabla!D37)</f>
        <v>130,67.3205080756888</v>
      </c>
      <c r="B26" s="1" t="str">
        <f t="shared" si="0"/>
        <v>POINT 130,67.3205080756888</v>
      </c>
    </row>
    <row r="27" spans="1:2" x14ac:dyDescent="0.6">
      <c r="A27" s="1" t="str">
        <f>_xlfn.CONCAT(ElipseTabla!C38,",",ElipseTabla!D38)</f>
        <v>131.25,67.0731677071232</v>
      </c>
      <c r="B27" s="1" t="str">
        <f t="shared" si="0"/>
        <v>POINT 131.25,67.0731677071232</v>
      </c>
    </row>
    <row r="28" spans="1:2" x14ac:dyDescent="0.6">
      <c r="A28" s="1" t="str">
        <f>_xlfn.CONCAT(ElipseTabla!C39,",",ElipseTabla!D39)</f>
        <v>132.5,66.8118675015267</v>
      </c>
      <c r="B28" s="1" t="str">
        <f t="shared" si="0"/>
        <v>POINT 132.5,66.8118675015267</v>
      </c>
    </row>
    <row r="29" spans="1:2" x14ac:dyDescent="0.6">
      <c r="A29" s="1" t="str">
        <f>_xlfn.CONCAT(ElipseTabla!C40,",",ElipseTabla!D40)</f>
        <v>133.75,66.5359456941537</v>
      </c>
      <c r="B29" s="1" t="str">
        <f t="shared" si="0"/>
        <v>POINT 133.75,66.5359456941537</v>
      </c>
    </row>
    <row r="30" spans="1:2" x14ac:dyDescent="0.6">
      <c r="A30" s="1" t="str">
        <f>_xlfn.CONCAT(ElipseTabla!C41,",",ElipseTabla!D41)</f>
        <v>135,66.2446572413483</v>
      </c>
      <c r="B30" s="1" t="str">
        <f t="shared" si="0"/>
        <v>POINT 135,66.2446572413483</v>
      </c>
    </row>
    <row r="31" spans="1:2" x14ac:dyDescent="0.6">
      <c r="A31" s="1" t="str">
        <f>_xlfn.CONCAT(ElipseTabla!C42,",",ElipseTabla!D42)</f>
        <v>136.25,65.9371595824211</v>
      </c>
      <c r="B31" s="1" t="str">
        <f t="shared" si="0"/>
        <v>POINT 136.25,65.9371595824211</v>
      </c>
    </row>
    <row r="32" spans="1:2" x14ac:dyDescent="0.6">
      <c r="A32" s="1" t="str">
        <f>_xlfn.CONCAT(ElipseTabla!C43,",",ElipseTabla!D43)</f>
        <v>137.5,65.612494995996</v>
      </c>
      <c r="B32" s="1" t="str">
        <f t="shared" si="0"/>
        <v>POINT 137.5,65.612494995996</v>
      </c>
    </row>
    <row r="33" spans="1:2" x14ac:dyDescent="0.6">
      <c r="A33" s="1" t="str">
        <f>_xlfn.CONCAT(ElipseTabla!C44,",",ElipseTabla!D44)</f>
        <v>138.75,65.2695685015073</v>
      </c>
      <c r="B33" s="1" t="str">
        <f t="shared" si="0"/>
        <v>POINT 138.75,65.2695685015073</v>
      </c>
    </row>
    <row r="34" spans="1:2" x14ac:dyDescent="0.6">
      <c r="A34" s="1" t="str">
        <f>_xlfn.CONCAT(ElipseTabla!C45,",",ElipseTabla!D45)</f>
        <v>140,64.9071198499986</v>
      </c>
      <c r="B34" s="1" t="str">
        <f t="shared" si="0"/>
        <v>POINT 140,64.9071198499986</v>
      </c>
    </row>
    <row r="35" spans="1:2" x14ac:dyDescent="0.6">
      <c r="A35" s="1" t="str">
        <f>_xlfn.CONCAT(ElipseTabla!C46,",",ElipseTabla!D46)</f>
        <v>141.25,64.5236875482778</v>
      </c>
      <c r="B35" s="1" t="str">
        <f t="shared" si="0"/>
        <v>POINT 141.25,64.5236875482778</v>
      </c>
    </row>
    <row r="36" spans="1:2" x14ac:dyDescent="0.6">
      <c r="A36" s="1" t="str">
        <f>_xlfn.CONCAT(ElipseTabla!C47,",",ElipseTabla!D47)</f>
        <v>142.5,64.1175619550812</v>
      </c>
      <c r="B36" s="1" t="str">
        <f t="shared" si="0"/>
        <v>POINT 142.5,64.1175619550812</v>
      </c>
    </row>
    <row r="37" spans="1:2" x14ac:dyDescent="0.6">
      <c r="A37" s="1" t="str">
        <f>_xlfn.CONCAT(ElipseTabla!C48,",",ElipseTabla!D48)</f>
        <v>143.75,63.6867230880474</v>
      </c>
      <c r="B37" s="1" t="str">
        <f t="shared" si="0"/>
        <v>POINT 143.75,63.6867230880474</v>
      </c>
    </row>
    <row r="38" spans="1:2" x14ac:dyDescent="0.6">
      <c r="A38" s="1" t="str">
        <f>_xlfn.CONCAT(ElipseTabla!C49,",",ElipseTabla!D49)</f>
        <v>145,63.228756555323</v>
      </c>
      <c r="B38" s="1" t="str">
        <f t="shared" si="0"/>
        <v>POINT 145,63.228756555323</v>
      </c>
    </row>
    <row r="39" spans="1:2" x14ac:dyDescent="0.6">
      <c r="A39" s="1" t="str">
        <f>_xlfn.CONCAT(ElipseTabla!C50,",",ElipseTabla!D50)</f>
        <v>146.25,62.7407373761839</v>
      </c>
      <c r="B39" s="1" t="str">
        <f t="shared" si="0"/>
        <v>POINT 146.25,62.7407373761839</v>
      </c>
    </row>
    <row r="40" spans="1:2" x14ac:dyDescent="0.6">
      <c r="A40" s="1" t="str">
        <f>_xlfn.CONCAT(ElipseTabla!C51,",",ElipseTabla!D51)</f>
        <v>147.5,62.219065248846</v>
      </c>
      <c r="B40" s="1" t="str">
        <f t="shared" si="0"/>
        <v>POINT 147.5,62.219065248846</v>
      </c>
    </row>
    <row r="41" spans="1:2" x14ac:dyDescent="0.6">
      <c r="A41" s="1" t="str">
        <f>_xlfn.CONCAT(ElipseTabla!C52,",",ElipseTabla!D52)</f>
        <v>148.75,61.659223816361</v>
      </c>
      <c r="B41" s="1" t="str">
        <f t="shared" si="0"/>
        <v>POINT 148.75,61.659223816361</v>
      </c>
    </row>
    <row r="42" spans="1:2" x14ac:dyDescent="0.6">
      <c r="A42" s="1" t="str">
        <f>_xlfn.CONCAT(ElipseTabla!C53,",",ElipseTabla!D53)</f>
        <v>150,61.0554159678513</v>
      </c>
      <c r="B42" s="1" t="str">
        <f t="shared" si="0"/>
        <v>POINT 150,61.0554159678513</v>
      </c>
    </row>
    <row r="43" spans="1:2" x14ac:dyDescent="0.6">
      <c r="A43" s="1" t="str">
        <f>_xlfn.CONCAT(ElipseTabla!C54,",",ElipseTabla!D54)</f>
        <v>151.25,60.3999866452906</v>
      </c>
      <c r="B43" s="1" t="str">
        <f t="shared" si="0"/>
        <v>POINT 151.25,60.3999866452906</v>
      </c>
    </row>
    <row r="44" spans="1:2" x14ac:dyDescent="0.6">
      <c r="A44" s="1" t="str">
        <f>_xlfn.CONCAT(ElipseTabla!C55,",",ElipseTabla!D55)</f>
        <v>152.5,59.6824583655185</v>
      </c>
      <c r="B44" s="1" t="str">
        <f t="shared" si="0"/>
        <v>POINT 152.5,59.6824583655185</v>
      </c>
    </row>
    <row r="45" spans="1:2" x14ac:dyDescent="0.6">
      <c r="A45" s="1" t="str">
        <f>_xlfn.CONCAT(ElipseTabla!C56,",",ElipseTabla!D56)</f>
        <v>153.75,58.887803753209</v>
      </c>
      <c r="B45" s="1" t="str">
        <f t="shared" si="0"/>
        <v>POINT 153.75,58.887803753209</v>
      </c>
    </row>
    <row r="46" spans="1:2" x14ac:dyDescent="0.6">
      <c r="A46" s="1" t="str">
        <f>_xlfn.CONCAT(ElipseTabla!C57,",",ElipseTabla!D57)</f>
        <v>155,57.9930525388545</v>
      </c>
      <c r="B46" s="1" t="str">
        <f t="shared" si="0"/>
        <v>POINT 155,57.9930525388545</v>
      </c>
    </row>
    <row r="47" spans="1:2" x14ac:dyDescent="0.6">
      <c r="A47" s="1" t="str">
        <f>_xlfn.CONCAT(ElipseTabla!C58,",",ElipseTabla!D58)</f>
        <v>156.25,56.9597054535375</v>
      </c>
      <c r="B47" s="1" t="str">
        <f t="shared" si="0"/>
        <v>POINT 156.25,56.9597054535375</v>
      </c>
    </row>
    <row r="48" spans="1:2" x14ac:dyDescent="0.6">
      <c r="A48" s="1" t="str">
        <f>_xlfn.CONCAT(ElipseTabla!C59,",",ElipseTabla!D59)</f>
        <v>157.5,55.7130455003342</v>
      </c>
      <c r="B48" s="1" t="str">
        <f t="shared" si="0"/>
        <v>POINT 157.5,55.7130455003342</v>
      </c>
    </row>
    <row r="49" spans="1:2" x14ac:dyDescent="0.6">
      <c r="A49" s="1" t="str">
        <f>_xlfn.CONCAT(ElipseTabla!C60,",",ElipseTabla!D60)</f>
        <v>158.75,54.0611643103371</v>
      </c>
      <c r="B49" s="1" t="str">
        <f t="shared" si="0"/>
        <v>POINT 158.75,54.0611643103371</v>
      </c>
    </row>
    <row r="50" spans="1:2" x14ac:dyDescent="0.6">
      <c r="A50" s="1" t="str">
        <f>_xlfn.CONCAT(ElipseTabla!C61,",",ElipseTabla!D61)</f>
        <v>160,50</v>
      </c>
      <c r="B50" s="1" t="str">
        <f t="shared" si="0"/>
        <v>POINT 160,50</v>
      </c>
    </row>
    <row r="51" spans="1:2" x14ac:dyDescent="0.6">
      <c r="A51" s="1" t="str">
        <f>_xlfn.CONCAT(ElipseTabla!C62,",",ElipseTabla!D62)</f>
        <v>160,50</v>
      </c>
      <c r="B51" s="1" t="str">
        <f t="shared" si="0"/>
        <v>POINT 160,50</v>
      </c>
    </row>
    <row r="52" spans="1:2" x14ac:dyDescent="0.6">
      <c r="A52" s="1" t="str">
        <f>_xlfn.CONCAT(ElipseTabla!C63,",",ElipseTabla!D63)</f>
        <v>160,50</v>
      </c>
      <c r="B52" s="1" t="str">
        <f t="shared" si="0"/>
        <v>POINT 160,50</v>
      </c>
    </row>
    <row r="53" spans="1:2" x14ac:dyDescent="0.6">
      <c r="A53" s="1" t="str">
        <f>_xlfn.CONCAT(ElipseTabla!C64,",",ElipseTabla!D64)</f>
        <v>160,50</v>
      </c>
      <c r="B53" s="1" t="str">
        <f t="shared" si="0"/>
        <v>POINT 160,50</v>
      </c>
    </row>
    <row r="54" spans="1:2" x14ac:dyDescent="0.6">
      <c r="A54" s="1" t="str">
        <f>_xlfn.CONCAT(ElipseTabla!C65,",",ElipseTabla!D65)</f>
        <v>160,50</v>
      </c>
      <c r="B54" s="1" t="str">
        <f t="shared" si="0"/>
        <v>POINT 160,50</v>
      </c>
    </row>
    <row r="55" spans="1:2" x14ac:dyDescent="0.6">
      <c r="A55" s="1" t="str">
        <f>_xlfn.CONCAT(ElipseTabla!C66,",",ElipseTabla!D66)</f>
        <v>160,50</v>
      </c>
      <c r="B55" s="1" t="str">
        <f t="shared" si="0"/>
        <v>POINT 160,50</v>
      </c>
    </row>
    <row r="56" spans="1:2" x14ac:dyDescent="0.6">
      <c r="A56" s="1" t="str">
        <f>_xlfn.CONCAT(ElipseTabla!C67,",",ElipseTabla!D67)</f>
        <v>160,50</v>
      </c>
      <c r="B56" s="1" t="str">
        <f t="shared" si="0"/>
        <v>POINT 160,50</v>
      </c>
    </row>
    <row r="57" spans="1:2" x14ac:dyDescent="0.6">
      <c r="A57" s="1" t="str">
        <f>_xlfn.CONCAT(ElipseTabla!C68,",",ElipseTabla!D68)</f>
        <v>160,50</v>
      </c>
      <c r="B57" s="1" t="str">
        <f t="shared" si="0"/>
        <v>POINT 160,50</v>
      </c>
    </row>
    <row r="58" spans="1:2" x14ac:dyDescent="0.6">
      <c r="A58" s="1" t="str">
        <f>_xlfn.CONCAT(ElipseTabla!C69,",",ElipseTabla!D69)</f>
        <v>160,50</v>
      </c>
      <c r="B58" s="1" t="str">
        <f t="shared" si="0"/>
        <v>POINT 160,50</v>
      </c>
    </row>
    <row r="59" spans="1:2" x14ac:dyDescent="0.6">
      <c r="A59" s="1" t="str">
        <f>_xlfn.CONCAT(ElipseTabla!C70,",",ElipseTabla!D70)</f>
        <v>160,50</v>
      </c>
      <c r="B59" s="1" t="str">
        <f t="shared" si="0"/>
        <v>POINT 160,50</v>
      </c>
    </row>
    <row r="60" spans="1:2" x14ac:dyDescent="0.6">
      <c r="A60" s="1" t="str">
        <f>_xlfn.CONCAT(ElipseTabla!C71,",",ElipseTabla!D71)</f>
        <v>160,50</v>
      </c>
      <c r="B60" s="1" t="str">
        <f t="shared" si="0"/>
        <v>POINT 160,50</v>
      </c>
    </row>
    <row r="61" spans="1:2" x14ac:dyDescent="0.6">
      <c r="A61" s="1" t="str">
        <f>_xlfn.CONCAT(ElipseTabla!C72,",",ElipseTabla!D72)</f>
        <v>160,50</v>
      </c>
      <c r="B61" s="1" t="str">
        <f t="shared" si="0"/>
        <v>POINT 160,50</v>
      </c>
    </row>
    <row r="62" spans="1:2" x14ac:dyDescent="0.6">
      <c r="A62" s="1" t="str">
        <f>_xlfn.CONCAT(ElipseTabla!C73,",",ElipseTabla!D73)</f>
        <v>160,50</v>
      </c>
      <c r="B62" s="1" t="str">
        <f t="shared" si="0"/>
        <v>POINT 160,50</v>
      </c>
    </row>
    <row r="63" spans="1:2" x14ac:dyDescent="0.6">
      <c r="A63" s="1" t="str">
        <f>_xlfn.CONCAT(ElipseTabla!C74,",",ElipseTabla!D74)</f>
        <v>160,50</v>
      </c>
      <c r="B63" s="1" t="str">
        <f t="shared" si="0"/>
        <v>POINT 160,50</v>
      </c>
    </row>
    <row r="64" spans="1:2" x14ac:dyDescent="0.6">
      <c r="A64" s="1" t="str">
        <f>_xlfn.CONCAT(ElipseTabla!C75,",",ElipseTabla!D75)</f>
        <v>160,50</v>
      </c>
      <c r="B64" s="1" t="str">
        <f t="shared" si="0"/>
        <v>POINT 160,50</v>
      </c>
    </row>
    <row r="65" spans="1:2" x14ac:dyDescent="0.6">
      <c r="A65" s="1" t="str">
        <f>_xlfn.CONCAT(ElipseTabla!C76,",",ElipseTabla!D76)</f>
        <v>160,50</v>
      </c>
      <c r="B65" s="1" t="str">
        <f t="shared" si="0"/>
        <v>POINT 160,50</v>
      </c>
    </row>
    <row r="66" spans="1:2" x14ac:dyDescent="0.6">
      <c r="A66" s="1" t="str">
        <f>_xlfn.CONCAT(ElipseTabla!C77,",",ElipseTabla!D77)</f>
        <v>160,50</v>
      </c>
      <c r="B66" s="1" t="str">
        <f t="shared" si="0"/>
        <v>POINT 160,50</v>
      </c>
    </row>
    <row r="67" spans="1:2" x14ac:dyDescent="0.6">
      <c r="A67" s="1" t="str">
        <f>_xlfn.CONCAT(ElipseTabla!C78,",",ElipseTabla!D78)</f>
        <v>160,50</v>
      </c>
      <c r="B67" s="1" t="str">
        <f t="shared" ref="B67:B101" si="1">_xlfn.CONCAT("POINT ",A67)</f>
        <v>POINT 160,50</v>
      </c>
    </row>
    <row r="68" spans="1:2" x14ac:dyDescent="0.6">
      <c r="A68" s="1" t="str">
        <f>_xlfn.CONCAT(ElipseTabla!C79,",",ElipseTabla!D79)</f>
        <v>160,50</v>
      </c>
      <c r="B68" s="1" t="str">
        <f t="shared" si="1"/>
        <v>POINT 160,50</v>
      </c>
    </row>
    <row r="69" spans="1:2" x14ac:dyDescent="0.6">
      <c r="A69" s="1" t="str">
        <f>_xlfn.CONCAT(ElipseTabla!C80,",",ElipseTabla!D80)</f>
        <v>160,50</v>
      </c>
      <c r="B69" s="1" t="str">
        <f t="shared" si="1"/>
        <v>POINT 160,50</v>
      </c>
    </row>
    <row r="70" spans="1:2" x14ac:dyDescent="0.6">
      <c r="A70" s="1" t="str">
        <f>_xlfn.CONCAT(ElipseTabla!C81,",",ElipseTabla!D81)</f>
        <v>160,50</v>
      </c>
      <c r="B70" s="1" t="str">
        <f t="shared" si="1"/>
        <v>POINT 160,50</v>
      </c>
    </row>
    <row r="71" spans="1:2" x14ac:dyDescent="0.6">
      <c r="A71" s="1" t="str">
        <f>_xlfn.CONCAT(ElipseTabla!C82,",",ElipseTabla!D82)</f>
        <v>160,50</v>
      </c>
      <c r="B71" s="1" t="str">
        <f t="shared" si="1"/>
        <v>POINT 160,50</v>
      </c>
    </row>
    <row r="72" spans="1:2" x14ac:dyDescent="0.6">
      <c r="A72" s="1" t="str">
        <f>_xlfn.CONCAT(ElipseTabla!C83,",",ElipseTabla!D83)</f>
        <v>160,50</v>
      </c>
      <c r="B72" s="1" t="str">
        <f t="shared" si="1"/>
        <v>POINT 160,50</v>
      </c>
    </row>
    <row r="73" spans="1:2" x14ac:dyDescent="0.6">
      <c r="A73" s="1" t="str">
        <f>_xlfn.CONCAT(ElipseTabla!C84,",",ElipseTabla!D84)</f>
        <v>160,50</v>
      </c>
      <c r="B73" s="1" t="str">
        <f t="shared" si="1"/>
        <v>POINT 160,50</v>
      </c>
    </row>
    <row r="74" spans="1:2" x14ac:dyDescent="0.6">
      <c r="A74" s="1" t="str">
        <f>_xlfn.CONCAT(ElipseTabla!C85,",",ElipseTabla!D85)</f>
        <v>160,50</v>
      </c>
      <c r="B74" s="1" t="str">
        <f t="shared" si="1"/>
        <v>POINT 160,50</v>
      </c>
    </row>
    <row r="75" spans="1:2" x14ac:dyDescent="0.6">
      <c r="A75" s="1" t="str">
        <f>_xlfn.CONCAT(ElipseTabla!C86,",",ElipseTabla!D86)</f>
        <v>160,50</v>
      </c>
      <c r="B75" s="1" t="str">
        <f t="shared" si="1"/>
        <v>POINT 160,50</v>
      </c>
    </row>
    <row r="76" spans="1:2" x14ac:dyDescent="0.6">
      <c r="A76" s="1" t="str">
        <f>_xlfn.CONCAT(ElipseTabla!C87,",",ElipseTabla!D87)</f>
        <v>160,50</v>
      </c>
      <c r="B76" s="1" t="str">
        <f t="shared" si="1"/>
        <v>POINT 160,50</v>
      </c>
    </row>
    <row r="77" spans="1:2" x14ac:dyDescent="0.6">
      <c r="A77" s="1" t="str">
        <f>_xlfn.CONCAT(ElipseTabla!C88,",",ElipseTabla!D88)</f>
        <v>160,50</v>
      </c>
      <c r="B77" s="1" t="str">
        <f t="shared" si="1"/>
        <v>POINT 160,50</v>
      </c>
    </row>
    <row r="78" spans="1:2" x14ac:dyDescent="0.6">
      <c r="A78" s="1" t="str">
        <f>_xlfn.CONCAT(ElipseTabla!C89,",",ElipseTabla!D89)</f>
        <v>160,50</v>
      </c>
      <c r="B78" s="1" t="str">
        <f t="shared" si="1"/>
        <v>POINT 160,50</v>
      </c>
    </row>
    <row r="79" spans="1:2" x14ac:dyDescent="0.6">
      <c r="A79" s="1" t="str">
        <f>_xlfn.CONCAT(ElipseTabla!C90,",",ElipseTabla!D90)</f>
        <v>160,50</v>
      </c>
      <c r="B79" s="1" t="str">
        <f t="shared" si="1"/>
        <v>POINT 160,50</v>
      </c>
    </row>
    <row r="80" spans="1:2" x14ac:dyDescent="0.6">
      <c r="A80" s="1" t="str">
        <f>_xlfn.CONCAT(ElipseTabla!C91,",",ElipseTabla!D91)</f>
        <v>160,50</v>
      </c>
      <c r="B80" s="1" t="str">
        <f t="shared" si="1"/>
        <v>POINT 160,50</v>
      </c>
    </row>
    <row r="81" spans="1:2" x14ac:dyDescent="0.6">
      <c r="A81" s="1" t="str">
        <f>_xlfn.CONCAT(ElipseTabla!C92,",",ElipseTabla!D92)</f>
        <v>160,50</v>
      </c>
      <c r="B81" s="1" t="str">
        <f t="shared" si="1"/>
        <v>POINT 160,50</v>
      </c>
    </row>
    <row r="82" spans="1:2" x14ac:dyDescent="0.6">
      <c r="A82" s="1" t="str">
        <f>_xlfn.CONCAT(ElipseTabla!C93,",",ElipseTabla!D93)</f>
        <v>160,50</v>
      </c>
      <c r="B82" s="1" t="str">
        <f t="shared" si="1"/>
        <v>POINT 160,50</v>
      </c>
    </row>
    <row r="83" spans="1:2" x14ac:dyDescent="0.6">
      <c r="A83" s="1" t="str">
        <f>_xlfn.CONCAT(ElipseTabla!C94,",",ElipseTabla!D94)</f>
        <v>160,50</v>
      </c>
      <c r="B83" s="1" t="str">
        <f t="shared" si="1"/>
        <v>POINT 160,50</v>
      </c>
    </row>
    <row r="84" spans="1:2" x14ac:dyDescent="0.6">
      <c r="A84" s="1" t="str">
        <f>_xlfn.CONCAT(ElipseTabla!C95,",",ElipseTabla!D95)</f>
        <v>160,50</v>
      </c>
      <c r="B84" s="1" t="str">
        <f t="shared" si="1"/>
        <v>POINT 160,50</v>
      </c>
    </row>
    <row r="85" spans="1:2" x14ac:dyDescent="0.6">
      <c r="A85" s="1" t="str">
        <f>_xlfn.CONCAT(ElipseTabla!C96,",",ElipseTabla!D96)</f>
        <v>160,50</v>
      </c>
      <c r="B85" s="1" t="str">
        <f t="shared" si="1"/>
        <v>POINT 160,50</v>
      </c>
    </row>
    <row r="86" spans="1:2" x14ac:dyDescent="0.6">
      <c r="A86" s="1" t="str">
        <f>_xlfn.CONCAT(ElipseTabla!C97,",",ElipseTabla!D97)</f>
        <v>160,50</v>
      </c>
      <c r="B86" s="1" t="str">
        <f t="shared" si="1"/>
        <v>POINT 160,50</v>
      </c>
    </row>
    <row r="87" spans="1:2" x14ac:dyDescent="0.6">
      <c r="A87" s="1" t="str">
        <f>_xlfn.CONCAT(ElipseTabla!C98,",",ElipseTabla!D98)</f>
        <v>160,50</v>
      </c>
      <c r="B87" s="1" t="str">
        <f t="shared" si="1"/>
        <v>POINT 160,50</v>
      </c>
    </row>
    <row r="88" spans="1:2" x14ac:dyDescent="0.6">
      <c r="A88" s="1" t="str">
        <f>_xlfn.CONCAT(ElipseTabla!C99,",",ElipseTabla!D99)</f>
        <v>160,50</v>
      </c>
      <c r="B88" s="1" t="str">
        <f t="shared" si="1"/>
        <v>POINT 160,50</v>
      </c>
    </row>
    <row r="89" spans="1:2" x14ac:dyDescent="0.6">
      <c r="A89" s="1" t="str">
        <f>_xlfn.CONCAT(ElipseTabla!C100,",",ElipseTabla!D100)</f>
        <v>160,50</v>
      </c>
      <c r="B89" s="1" t="str">
        <f t="shared" si="1"/>
        <v>POINT 160,50</v>
      </c>
    </row>
    <row r="90" spans="1:2" x14ac:dyDescent="0.6">
      <c r="A90" s="1" t="str">
        <f>_xlfn.CONCAT(ElipseTabla!C101,",",ElipseTabla!D101)</f>
        <v>160,50</v>
      </c>
      <c r="B90" s="1" t="str">
        <f t="shared" si="1"/>
        <v>POINT 160,50</v>
      </c>
    </row>
    <row r="91" spans="1:2" x14ac:dyDescent="0.6">
      <c r="A91" s="1" t="str">
        <f>_xlfn.CONCAT(ElipseTabla!C102,",",ElipseTabla!D102)</f>
        <v>160,50</v>
      </c>
      <c r="B91" s="1" t="str">
        <f t="shared" si="1"/>
        <v>POINT 160,50</v>
      </c>
    </row>
    <row r="92" spans="1:2" x14ac:dyDescent="0.6">
      <c r="A92" s="1" t="str">
        <f>_xlfn.CONCAT(ElipseTabla!C103,",",ElipseTabla!D103)</f>
        <v>160,50</v>
      </c>
      <c r="B92" s="1" t="str">
        <f t="shared" si="1"/>
        <v>POINT 160,50</v>
      </c>
    </row>
    <row r="93" spans="1:2" x14ac:dyDescent="0.6">
      <c r="A93" s="1" t="str">
        <f>_xlfn.CONCAT(ElipseTabla!C104,",",ElipseTabla!D104)</f>
        <v>160,50</v>
      </c>
      <c r="B93" s="1" t="str">
        <f t="shared" si="1"/>
        <v>POINT 160,50</v>
      </c>
    </row>
    <row r="94" spans="1:2" x14ac:dyDescent="0.6">
      <c r="A94" s="1" t="str">
        <f>_xlfn.CONCAT(ElipseTabla!C105,",",ElipseTabla!D105)</f>
        <v>160,50</v>
      </c>
      <c r="B94" s="1" t="str">
        <f t="shared" si="1"/>
        <v>POINT 160,50</v>
      </c>
    </row>
    <row r="95" spans="1:2" x14ac:dyDescent="0.6">
      <c r="A95" s="1" t="str">
        <f>_xlfn.CONCAT(ElipseTabla!C106,",",ElipseTabla!D106)</f>
        <v>160,50</v>
      </c>
      <c r="B95" s="1" t="str">
        <f t="shared" si="1"/>
        <v>POINT 160,50</v>
      </c>
    </row>
    <row r="96" spans="1:2" x14ac:dyDescent="0.6">
      <c r="A96" s="1" t="str">
        <f>_xlfn.CONCAT(ElipseTabla!C107,",",ElipseTabla!D107)</f>
        <v>160,50</v>
      </c>
      <c r="B96" s="1" t="str">
        <f t="shared" si="1"/>
        <v>POINT 160,50</v>
      </c>
    </row>
    <row r="97" spans="1:2" x14ac:dyDescent="0.6">
      <c r="A97" s="1" t="str">
        <f>_xlfn.CONCAT(ElipseTabla!C108,",",ElipseTabla!D108)</f>
        <v>160,50</v>
      </c>
      <c r="B97" s="1" t="str">
        <f t="shared" si="1"/>
        <v>POINT 160,50</v>
      </c>
    </row>
    <row r="98" spans="1:2" x14ac:dyDescent="0.6">
      <c r="A98" s="1" t="str">
        <f>_xlfn.CONCAT(ElipseTabla!C109,",",ElipseTabla!D109)</f>
        <v>160,50</v>
      </c>
      <c r="B98" s="1" t="str">
        <f t="shared" si="1"/>
        <v>POINT 160,50</v>
      </c>
    </row>
    <row r="99" spans="1:2" x14ac:dyDescent="0.6">
      <c r="A99" s="1" t="str">
        <f>_xlfn.CONCAT(ElipseTabla!C110,",",ElipseTabla!D110)</f>
        <v>160,50</v>
      </c>
      <c r="B99" s="1" t="str">
        <f t="shared" si="1"/>
        <v>POINT 160,50</v>
      </c>
    </row>
    <row r="100" spans="1:2" x14ac:dyDescent="0.6">
      <c r="A100" s="1" t="str">
        <f>_xlfn.CONCAT(ElipseTabla!C111,",",ElipseTabla!D111)</f>
        <v>160,50</v>
      </c>
      <c r="B100" s="1" t="str">
        <f t="shared" si="1"/>
        <v>POINT 160,50</v>
      </c>
    </row>
    <row r="101" spans="1:2" x14ac:dyDescent="0.6">
      <c r="A101" s="1" t="str">
        <f>_xlfn.CONCAT(ElipseTabla!C112,",",ElipseTabla!D112)</f>
        <v>160,50</v>
      </c>
      <c r="B101" s="1" t="str">
        <f t="shared" si="1"/>
        <v>POINT 160,50</v>
      </c>
    </row>
    <row r="103" spans="1:2" x14ac:dyDescent="0.6">
      <c r="A103" s="1" t="s">
        <v>17</v>
      </c>
    </row>
    <row r="104" spans="1:2" x14ac:dyDescent="0.6">
      <c r="A104" s="1" t="str">
        <f>_xlfn.CONCAT(ElipseTabla!$C13,",",ElipseTabla!E13)</f>
        <v>100,30</v>
      </c>
      <c r="B104" s="1" t="str">
        <f t="shared" ref="B104:B167" si="2">_xlfn.CONCAT("POINT ",A104)</f>
        <v>POINT 100,30</v>
      </c>
    </row>
    <row r="105" spans="1:2" x14ac:dyDescent="0.6">
      <c r="A105" s="1" t="str">
        <f>_xlfn.CONCAT(ElipseTabla!$C14,",",ElipseTabla!E14)</f>
        <v>101.25,30.0043407488303</v>
      </c>
      <c r="B105" s="1" t="str">
        <f t="shared" si="2"/>
        <v>POINT 101.25,30.0043407488303</v>
      </c>
    </row>
    <row r="106" spans="1:2" x14ac:dyDescent="0.6">
      <c r="A106" s="1" t="str">
        <f>_xlfn.CONCAT(ElipseTabla!$C15,",",ElipseTabla!E15)</f>
        <v>102.5,30.0173686528637</v>
      </c>
      <c r="B106" s="1" t="str">
        <f t="shared" si="2"/>
        <v>POINT 102.5,30.0173686528637</v>
      </c>
    </row>
    <row r="107" spans="1:2" x14ac:dyDescent="0.6">
      <c r="A107" s="1" t="str">
        <f>_xlfn.CONCAT(ElipseTabla!$C16,",",ElipseTabla!E16)</f>
        <v>103.75,30.0391007216609</v>
      </c>
      <c r="B107" s="1" t="str">
        <f t="shared" si="2"/>
        <v>POINT 103.75,30.0391007216609</v>
      </c>
    </row>
    <row r="108" spans="1:2" x14ac:dyDescent="0.6">
      <c r="A108" s="1" t="str">
        <f>_xlfn.CONCAT(ElipseTabla!$C17,",",ElipseTabla!E17)</f>
        <v>105,30.0695654281643</v>
      </c>
      <c r="B108" s="1" t="str">
        <f t="shared" si="2"/>
        <v>POINT 105,30.0695654281643</v>
      </c>
    </row>
    <row r="109" spans="1:2" x14ac:dyDescent="0.6">
      <c r="A109" s="1" t="str">
        <f>_xlfn.CONCAT(ElipseTabla!$C18,",",ElipseTabla!E18)</f>
        <v>106.25,30.1088028962</v>
      </c>
      <c r="B109" s="1" t="str">
        <f t="shared" si="2"/>
        <v>POINT 106.25,30.1088028962</v>
      </c>
    </row>
    <row r="110" spans="1:2" x14ac:dyDescent="0.6">
      <c r="A110" s="1" t="str">
        <f>_xlfn.CONCAT(ElipseTabla!$C19,",",ElipseTabla!E19)</f>
        <v>107.5,30.1568651670156</v>
      </c>
      <c r="B110" s="1" t="str">
        <f t="shared" si="2"/>
        <v>POINT 107.5,30.1568651670156</v>
      </c>
    </row>
    <row r="111" spans="1:2" x14ac:dyDescent="0.6">
      <c r="A111" s="1" t="str">
        <f>_xlfn.CONCAT(ElipseTabla!$C20,",",ElipseTabla!E20)</f>
        <v>108.75,30.2138165490271</v>
      </c>
      <c r="B111" s="1" t="str">
        <f t="shared" si="2"/>
        <v>POINT 108.75,30.2138165490271</v>
      </c>
    </row>
    <row r="112" spans="1:2" x14ac:dyDescent="0.6">
      <c r="A112" s="1" t="str">
        <f>_xlfn.CONCAT(ElipseTabla!$C21,",",ElipseTabla!E21)</f>
        <v>110,30.2797340563346</v>
      </c>
      <c r="B112" s="1" t="str">
        <f t="shared" si="2"/>
        <v>POINT 110,30.2797340563346</v>
      </c>
    </row>
    <row r="113" spans="1:2" x14ac:dyDescent="0.6">
      <c r="A113" s="1" t="str">
        <f>_xlfn.CONCAT(ElipseTabla!$C22,",",ElipseTabla!E22)</f>
        <v>111.25,30.3547079431229</v>
      </c>
      <c r="B113" s="1" t="str">
        <f t="shared" si="2"/>
        <v>POINT 111.25,30.3547079431229</v>
      </c>
    </row>
    <row r="114" spans="1:2" x14ac:dyDescent="0.6">
      <c r="A114" s="1" t="str">
        <f>_xlfn.CONCAT(ElipseTabla!$C23,",",ElipseTabla!E23)</f>
        <v>112.5,30.4388423428242</v>
      </c>
      <c r="B114" s="1" t="str">
        <f t="shared" si="2"/>
        <v>POINT 112.5,30.4388423428242</v>
      </c>
    </row>
    <row r="115" spans="1:2" x14ac:dyDescent="0.6">
      <c r="A115" s="1" t="str">
        <f>_xlfn.CONCAT(ElipseTabla!$C24,",",ElipseTabla!E24)</f>
        <v>113.75,30.5322560229606</v>
      </c>
      <c r="B115" s="1" t="str">
        <f t="shared" si="2"/>
        <v>POINT 113.75,30.5322560229606</v>
      </c>
    </row>
    <row r="116" spans="1:2" x14ac:dyDescent="0.6">
      <c r="A116" s="1" t="str">
        <f>_xlfn.CONCAT(ElipseTabla!$C25,",",ElipseTabla!E25)</f>
        <v>115,30.6350832689629</v>
      </c>
      <c r="B116" s="1" t="str">
        <f t="shared" si="2"/>
        <v>POINT 115,30.6350832689629</v>
      </c>
    </row>
    <row r="117" spans="1:2" x14ac:dyDescent="0.6">
      <c r="A117" s="1" t="str">
        <f>_xlfn.CONCAT(ElipseTabla!$C26,",",ElipseTabla!E26)</f>
        <v>116.25,30.7474749130868</v>
      </c>
      <c r="B117" s="1" t="str">
        <f t="shared" si="2"/>
        <v>POINT 116.25,30.7474749130868</v>
      </c>
    </row>
    <row r="118" spans="1:2" x14ac:dyDescent="0.6">
      <c r="A118" s="1" t="str">
        <f>_xlfn.CONCAT(ElipseTabla!$C27,",",ElipseTabla!E27)</f>
        <v>117.5,30.8695995279183</v>
      </c>
      <c r="B118" s="1" t="str">
        <f t="shared" si="2"/>
        <v>POINT 117.5,30.8695995279183</v>
      </c>
    </row>
    <row r="119" spans="1:2" x14ac:dyDescent="0.6">
      <c r="A119" s="1" t="str">
        <f>_xlfn.CONCAT(ElipseTabla!$C28,",",ElipseTabla!E28)</f>
        <v>118.75,31.0016448080367</v>
      </c>
      <c r="B119" s="1" t="str">
        <f t="shared" si="2"/>
        <v>POINT 118.75,31.0016448080367</v>
      </c>
    </row>
    <row r="120" spans="1:2" x14ac:dyDescent="0.6">
      <c r="A120" s="1" t="str">
        <f>_xlfn.CONCAT(ElipseTabla!$C29,",",ElipseTabla!E29)</f>
        <v>120,31.1438191683587</v>
      </c>
      <c r="B120" s="1" t="str">
        <f t="shared" si="2"/>
        <v>POINT 120,31.1438191683587</v>
      </c>
    </row>
    <row r="121" spans="1:2" x14ac:dyDescent="0.6">
      <c r="A121" s="1" t="str">
        <f>_xlfn.CONCAT(ElipseTabla!$C30,",",ElipseTabla!E30)</f>
        <v>121.25,31.2963535937805</v>
      </c>
      <c r="B121" s="1" t="str">
        <f t="shared" si="2"/>
        <v>POINT 121.25,31.2963535937805</v>
      </c>
    </row>
    <row r="122" spans="1:2" x14ac:dyDescent="0.6">
      <c r="A122" s="1" t="str">
        <f>_xlfn.CONCAT(ElipseTabla!$C31,",",ElipseTabla!E31)</f>
        <v>122.5,31.4595037822608</v>
      </c>
      <c r="B122" s="1" t="str">
        <f t="shared" si="2"/>
        <v>POINT 122.5,31.4595037822608</v>
      </c>
    </row>
    <row r="123" spans="1:2" x14ac:dyDescent="0.6">
      <c r="A123" s="1" t="str">
        <f>_xlfn.CONCAT(ElipseTabla!$C32,",",ElipseTabla!E32)</f>
        <v>123.75,31.6335526328882</v>
      </c>
      <c r="B123" s="1" t="str">
        <f t="shared" si="2"/>
        <v>POINT 123.75,31.6335526328882</v>
      </c>
    </row>
    <row r="124" spans="1:2" x14ac:dyDescent="0.6">
      <c r="A124" s="1" t="str">
        <f>_xlfn.CONCAT(ElipseTabla!$C33,",",ElipseTabla!E33)</f>
        <v>125,31.8188131422738</v>
      </c>
      <c r="B124" s="1" t="str">
        <f t="shared" si="2"/>
        <v>POINT 125,31.8188131422738</v>
      </c>
    </row>
    <row r="125" spans="1:2" x14ac:dyDescent="0.6">
      <c r="A125" s="1" t="str">
        <f>_xlfn.CONCAT(ElipseTabla!$C34,",",ElipseTabla!E34)</f>
        <v>126.25,32.0156317875773</v>
      </c>
      <c r="B125" s="1" t="str">
        <f t="shared" si="2"/>
        <v>POINT 126.25,32.0156317875773</v>
      </c>
    </row>
    <row r="126" spans="1:2" x14ac:dyDescent="0.6">
      <c r="A126" s="1" t="str">
        <f>_xlfn.CONCAT(ElipseTabla!$C35,",",ElipseTabla!E35)</f>
        <v>127.5,32.224392493582</v>
      </c>
      <c r="B126" s="1" t="str">
        <f t="shared" si="2"/>
        <v>POINT 127.5,32.224392493582</v>
      </c>
    </row>
    <row r="127" spans="1:2" x14ac:dyDescent="0.6">
      <c r="A127" s="1" t="str">
        <f>_xlfn.CONCAT(ElipseTabla!$C36,",",ElipseTabla!E36)</f>
        <v>128.75,32.4455213058826</v>
      </c>
      <c r="B127" s="1" t="str">
        <f t="shared" si="2"/>
        <v>POINT 128.75,32.4455213058826</v>
      </c>
    </row>
    <row r="128" spans="1:2" x14ac:dyDescent="0.6">
      <c r="A128" s="1" t="str">
        <f>_xlfn.CONCAT(ElipseTabla!$C37,",",ElipseTabla!E37)</f>
        <v>130,32.6794919243112</v>
      </c>
      <c r="B128" s="1" t="str">
        <f t="shared" si="2"/>
        <v>POINT 130,32.6794919243112</v>
      </c>
    </row>
    <row r="129" spans="1:2" x14ac:dyDescent="0.6">
      <c r="A129" s="1" t="str">
        <f>_xlfn.CONCAT(ElipseTabla!$C38,",",ElipseTabla!E38)</f>
        <v>131.25,32.9268322928768</v>
      </c>
      <c r="B129" s="1" t="str">
        <f t="shared" si="2"/>
        <v>POINT 131.25,32.9268322928768</v>
      </c>
    </row>
    <row r="130" spans="1:2" x14ac:dyDescent="0.6">
      <c r="A130" s="1" t="str">
        <f>_xlfn.CONCAT(ElipseTabla!$C39,",",ElipseTabla!E39)</f>
        <v>132.5,33.1881324984733</v>
      </c>
      <c r="B130" s="1" t="str">
        <f t="shared" si="2"/>
        <v>POINT 132.5,33.1881324984733</v>
      </c>
    </row>
    <row r="131" spans="1:2" x14ac:dyDescent="0.6">
      <c r="A131" s="1" t="str">
        <f>_xlfn.CONCAT(ElipseTabla!$C40,",",ElipseTabla!E40)</f>
        <v>133.75,33.4640543058463</v>
      </c>
      <c r="B131" s="1" t="str">
        <f t="shared" si="2"/>
        <v>POINT 133.75,33.4640543058463</v>
      </c>
    </row>
    <row r="132" spans="1:2" x14ac:dyDescent="0.6">
      <c r="A132" s="1" t="str">
        <f>_xlfn.CONCAT(ElipseTabla!$C41,",",ElipseTabla!E41)</f>
        <v>135,33.7553427586517</v>
      </c>
      <c r="B132" s="1" t="str">
        <f t="shared" si="2"/>
        <v>POINT 135,33.7553427586517</v>
      </c>
    </row>
    <row r="133" spans="1:2" x14ac:dyDescent="0.6">
      <c r="A133" s="1" t="str">
        <f>_xlfn.CONCAT(ElipseTabla!$C42,",",ElipseTabla!E42)</f>
        <v>136.25,34.0628404175789</v>
      </c>
      <c r="B133" s="1" t="str">
        <f t="shared" si="2"/>
        <v>POINT 136.25,34.0628404175789</v>
      </c>
    </row>
    <row r="134" spans="1:2" x14ac:dyDescent="0.6">
      <c r="A134" s="1" t="str">
        <f>_xlfn.CONCAT(ElipseTabla!$C43,",",ElipseTabla!E43)</f>
        <v>137.5,34.387505004004</v>
      </c>
      <c r="B134" s="1" t="str">
        <f t="shared" si="2"/>
        <v>POINT 137.5,34.387505004004</v>
      </c>
    </row>
    <row r="135" spans="1:2" x14ac:dyDescent="0.6">
      <c r="A135" s="1" t="str">
        <f>_xlfn.CONCAT(ElipseTabla!$C44,",",ElipseTabla!E44)</f>
        <v>138.75,34.7304314984927</v>
      </c>
      <c r="B135" s="1" t="str">
        <f t="shared" si="2"/>
        <v>POINT 138.75,34.7304314984927</v>
      </c>
    </row>
    <row r="136" spans="1:2" x14ac:dyDescent="0.6">
      <c r="A136" s="1" t="str">
        <f>_xlfn.CONCAT(ElipseTabla!$C45,",",ElipseTabla!E45)</f>
        <v>140,35.0928801500014</v>
      </c>
      <c r="B136" s="1" t="str">
        <f t="shared" si="2"/>
        <v>POINT 140,35.0928801500014</v>
      </c>
    </row>
    <row r="137" spans="1:2" x14ac:dyDescent="0.6">
      <c r="A137" s="1" t="str">
        <f>_xlfn.CONCAT(ElipseTabla!$C46,",",ElipseTabla!E46)</f>
        <v>141.25,35.4763124517222</v>
      </c>
      <c r="B137" s="1" t="str">
        <f t="shared" si="2"/>
        <v>POINT 141.25,35.4763124517222</v>
      </c>
    </row>
    <row r="138" spans="1:2" x14ac:dyDescent="0.6">
      <c r="A138" s="1" t="str">
        <f>_xlfn.CONCAT(ElipseTabla!$C47,",",ElipseTabla!E47)</f>
        <v>142.5,35.8824380449188</v>
      </c>
      <c r="B138" s="1" t="str">
        <f t="shared" si="2"/>
        <v>POINT 142.5,35.8824380449188</v>
      </c>
    </row>
    <row r="139" spans="1:2" x14ac:dyDescent="0.6">
      <c r="A139" s="1" t="str">
        <f>_xlfn.CONCAT(ElipseTabla!$C48,",",ElipseTabla!E48)</f>
        <v>143.75,36.3132769119526</v>
      </c>
      <c r="B139" s="1" t="str">
        <f t="shared" si="2"/>
        <v>POINT 143.75,36.3132769119526</v>
      </c>
    </row>
    <row r="140" spans="1:2" x14ac:dyDescent="0.6">
      <c r="A140" s="1" t="str">
        <f>_xlfn.CONCAT(ElipseTabla!$C49,",",ElipseTabla!E49)</f>
        <v>145,36.771243444677</v>
      </c>
      <c r="B140" s="1" t="str">
        <f t="shared" si="2"/>
        <v>POINT 145,36.771243444677</v>
      </c>
    </row>
    <row r="141" spans="1:2" x14ac:dyDescent="0.6">
      <c r="A141" s="1" t="str">
        <f>_xlfn.CONCAT(ElipseTabla!$C50,",",ElipseTabla!E50)</f>
        <v>146.25,37.2592626238161</v>
      </c>
      <c r="B141" s="1" t="str">
        <f t="shared" si="2"/>
        <v>POINT 146.25,37.2592626238161</v>
      </c>
    </row>
    <row r="142" spans="1:2" x14ac:dyDescent="0.6">
      <c r="A142" s="1" t="str">
        <f>_xlfn.CONCAT(ElipseTabla!$C51,",",ElipseTabla!E51)</f>
        <v>147.5,37.780934751154</v>
      </c>
      <c r="B142" s="1" t="str">
        <f t="shared" si="2"/>
        <v>POINT 147.5,37.780934751154</v>
      </c>
    </row>
    <row r="143" spans="1:2" x14ac:dyDescent="0.6">
      <c r="A143" s="1" t="str">
        <f>_xlfn.CONCAT(ElipseTabla!$C52,",",ElipseTabla!E52)</f>
        <v>148.75,38.340776183639</v>
      </c>
      <c r="B143" s="1" t="str">
        <f t="shared" si="2"/>
        <v>POINT 148.75,38.340776183639</v>
      </c>
    </row>
    <row r="144" spans="1:2" x14ac:dyDescent="0.6">
      <c r="A144" s="1" t="str">
        <f>_xlfn.CONCAT(ElipseTabla!$C53,",",ElipseTabla!E53)</f>
        <v>150,38.9445840321487</v>
      </c>
      <c r="B144" s="1" t="str">
        <f t="shared" si="2"/>
        <v>POINT 150,38.9445840321487</v>
      </c>
    </row>
    <row r="145" spans="1:2" x14ac:dyDescent="0.6">
      <c r="A145" s="1" t="str">
        <f>_xlfn.CONCAT(ElipseTabla!$C54,",",ElipseTabla!E54)</f>
        <v>151.25,39.6000133547094</v>
      </c>
      <c r="B145" s="1" t="str">
        <f t="shared" si="2"/>
        <v>POINT 151.25,39.6000133547094</v>
      </c>
    </row>
    <row r="146" spans="1:2" x14ac:dyDescent="0.6">
      <c r="A146" s="1" t="str">
        <f>_xlfn.CONCAT(ElipseTabla!$C55,",",ElipseTabla!E55)</f>
        <v>152.5,40.3175416344815</v>
      </c>
      <c r="B146" s="1" t="str">
        <f t="shared" si="2"/>
        <v>POINT 152.5,40.3175416344815</v>
      </c>
    </row>
    <row r="147" spans="1:2" x14ac:dyDescent="0.6">
      <c r="A147" s="1" t="str">
        <f>_xlfn.CONCAT(ElipseTabla!$C56,",",ElipseTabla!E56)</f>
        <v>153.75,41.112196246791</v>
      </c>
      <c r="B147" s="1" t="str">
        <f t="shared" si="2"/>
        <v>POINT 153.75,41.112196246791</v>
      </c>
    </row>
    <row r="148" spans="1:2" x14ac:dyDescent="0.6">
      <c r="A148" s="1" t="str">
        <f>_xlfn.CONCAT(ElipseTabla!$C57,",",ElipseTabla!E57)</f>
        <v>155,42.0069474611455</v>
      </c>
      <c r="B148" s="1" t="str">
        <f t="shared" si="2"/>
        <v>POINT 155,42.0069474611455</v>
      </c>
    </row>
    <row r="149" spans="1:2" x14ac:dyDescent="0.6">
      <c r="A149" s="1" t="str">
        <f>_xlfn.CONCAT(ElipseTabla!$C58,",",ElipseTabla!E58)</f>
        <v>156.25,43.0402945464625</v>
      </c>
      <c r="B149" s="1" t="str">
        <f t="shared" si="2"/>
        <v>POINT 156.25,43.0402945464625</v>
      </c>
    </row>
    <row r="150" spans="1:2" x14ac:dyDescent="0.6">
      <c r="A150" s="1" t="str">
        <f>_xlfn.CONCAT(ElipseTabla!$C59,",",ElipseTabla!E59)</f>
        <v>157.5,44.2869544996658</v>
      </c>
      <c r="B150" s="1" t="str">
        <f t="shared" si="2"/>
        <v>POINT 157.5,44.2869544996658</v>
      </c>
    </row>
    <row r="151" spans="1:2" x14ac:dyDescent="0.6">
      <c r="A151" s="1" t="str">
        <f>_xlfn.CONCAT(ElipseTabla!$C60,",",ElipseTabla!E60)</f>
        <v>158.75,45.9388356896629</v>
      </c>
      <c r="B151" s="1" t="str">
        <f t="shared" si="2"/>
        <v>POINT 158.75,45.9388356896629</v>
      </c>
    </row>
    <row r="152" spans="1:2" x14ac:dyDescent="0.6">
      <c r="A152" s="1" t="str">
        <f>_xlfn.CONCAT(ElipseTabla!$C61,",",ElipseTabla!E61)</f>
        <v>160,50</v>
      </c>
      <c r="B152" s="1" t="str">
        <f t="shared" si="2"/>
        <v>POINT 160,50</v>
      </c>
    </row>
    <row r="153" spans="1:2" x14ac:dyDescent="0.6">
      <c r="A153" s="1" t="str">
        <f>_xlfn.CONCAT(ElipseTabla!$C62,",",ElipseTabla!E62)</f>
        <v>160,50</v>
      </c>
      <c r="B153" s="1" t="str">
        <f t="shared" si="2"/>
        <v>POINT 160,50</v>
      </c>
    </row>
    <row r="154" spans="1:2" x14ac:dyDescent="0.6">
      <c r="A154" s="1" t="str">
        <f>_xlfn.CONCAT(ElipseTabla!$C63,",",ElipseTabla!E63)</f>
        <v>160,50</v>
      </c>
      <c r="B154" s="1" t="str">
        <f t="shared" si="2"/>
        <v>POINT 160,50</v>
      </c>
    </row>
    <row r="155" spans="1:2" x14ac:dyDescent="0.6">
      <c r="A155" s="1" t="str">
        <f>_xlfn.CONCAT(ElipseTabla!$C64,",",ElipseTabla!E64)</f>
        <v>160,50</v>
      </c>
      <c r="B155" s="1" t="str">
        <f t="shared" si="2"/>
        <v>POINT 160,50</v>
      </c>
    </row>
    <row r="156" spans="1:2" x14ac:dyDescent="0.6">
      <c r="A156" s="1" t="str">
        <f>_xlfn.CONCAT(ElipseTabla!$C65,",",ElipseTabla!E65)</f>
        <v>160,50</v>
      </c>
      <c r="B156" s="1" t="str">
        <f t="shared" si="2"/>
        <v>POINT 160,50</v>
      </c>
    </row>
    <row r="157" spans="1:2" x14ac:dyDescent="0.6">
      <c r="A157" s="1" t="str">
        <f>_xlfn.CONCAT(ElipseTabla!$C66,",",ElipseTabla!E66)</f>
        <v>160,50</v>
      </c>
      <c r="B157" s="1" t="str">
        <f t="shared" si="2"/>
        <v>POINT 160,50</v>
      </c>
    </row>
    <row r="158" spans="1:2" x14ac:dyDescent="0.6">
      <c r="A158" s="1" t="str">
        <f>_xlfn.CONCAT(ElipseTabla!$C67,",",ElipseTabla!E67)</f>
        <v>160,50</v>
      </c>
      <c r="B158" s="1" t="str">
        <f t="shared" si="2"/>
        <v>POINT 160,50</v>
      </c>
    </row>
    <row r="159" spans="1:2" x14ac:dyDescent="0.6">
      <c r="A159" s="1" t="str">
        <f>_xlfn.CONCAT(ElipseTabla!$C68,",",ElipseTabla!E68)</f>
        <v>160,50</v>
      </c>
      <c r="B159" s="1" t="str">
        <f t="shared" si="2"/>
        <v>POINT 160,50</v>
      </c>
    </row>
    <row r="160" spans="1:2" x14ac:dyDescent="0.6">
      <c r="A160" s="1" t="str">
        <f>_xlfn.CONCAT(ElipseTabla!$C69,",",ElipseTabla!E69)</f>
        <v>160,50</v>
      </c>
      <c r="B160" s="1" t="str">
        <f t="shared" si="2"/>
        <v>POINT 160,50</v>
      </c>
    </row>
    <row r="161" spans="1:2" x14ac:dyDescent="0.6">
      <c r="A161" s="1" t="str">
        <f>_xlfn.CONCAT(ElipseTabla!$C70,",",ElipseTabla!E70)</f>
        <v>160,50</v>
      </c>
      <c r="B161" s="1" t="str">
        <f t="shared" si="2"/>
        <v>POINT 160,50</v>
      </c>
    </row>
    <row r="162" spans="1:2" x14ac:dyDescent="0.6">
      <c r="A162" s="1" t="str">
        <f>_xlfn.CONCAT(ElipseTabla!$C71,",",ElipseTabla!E71)</f>
        <v>160,50</v>
      </c>
      <c r="B162" s="1" t="str">
        <f t="shared" si="2"/>
        <v>POINT 160,50</v>
      </c>
    </row>
    <row r="163" spans="1:2" x14ac:dyDescent="0.6">
      <c r="A163" s="1" t="str">
        <f>_xlfn.CONCAT(ElipseTabla!$C72,",",ElipseTabla!E72)</f>
        <v>160,50</v>
      </c>
      <c r="B163" s="1" t="str">
        <f t="shared" si="2"/>
        <v>POINT 160,50</v>
      </c>
    </row>
    <row r="164" spans="1:2" x14ac:dyDescent="0.6">
      <c r="A164" s="1" t="str">
        <f>_xlfn.CONCAT(ElipseTabla!$C73,",",ElipseTabla!E73)</f>
        <v>160,50</v>
      </c>
      <c r="B164" s="1" t="str">
        <f t="shared" si="2"/>
        <v>POINT 160,50</v>
      </c>
    </row>
    <row r="165" spans="1:2" x14ac:dyDescent="0.6">
      <c r="A165" s="1" t="str">
        <f>_xlfn.CONCAT(ElipseTabla!$C74,",",ElipseTabla!E74)</f>
        <v>160,50</v>
      </c>
      <c r="B165" s="1" t="str">
        <f t="shared" si="2"/>
        <v>POINT 160,50</v>
      </c>
    </row>
    <row r="166" spans="1:2" x14ac:dyDescent="0.6">
      <c r="A166" s="1" t="str">
        <f>_xlfn.CONCAT(ElipseTabla!$C75,",",ElipseTabla!E75)</f>
        <v>160,50</v>
      </c>
      <c r="B166" s="1" t="str">
        <f t="shared" si="2"/>
        <v>POINT 160,50</v>
      </c>
    </row>
    <row r="167" spans="1:2" x14ac:dyDescent="0.6">
      <c r="A167" s="1" t="str">
        <f>_xlfn.CONCAT(ElipseTabla!$C76,",",ElipseTabla!E76)</f>
        <v>160,50</v>
      </c>
      <c r="B167" s="1" t="str">
        <f t="shared" si="2"/>
        <v>POINT 160,50</v>
      </c>
    </row>
    <row r="168" spans="1:2" x14ac:dyDescent="0.6">
      <c r="A168" s="1" t="str">
        <f>_xlfn.CONCAT(ElipseTabla!$C77,",",ElipseTabla!E77)</f>
        <v>160,50</v>
      </c>
      <c r="B168" s="1" t="str">
        <f t="shared" ref="B168:B203" si="3">_xlfn.CONCAT("POINT ",A168)</f>
        <v>POINT 160,50</v>
      </c>
    </row>
    <row r="169" spans="1:2" x14ac:dyDescent="0.6">
      <c r="A169" s="1" t="str">
        <f>_xlfn.CONCAT(ElipseTabla!$C78,",",ElipseTabla!E78)</f>
        <v>160,50</v>
      </c>
      <c r="B169" s="1" t="str">
        <f t="shared" si="3"/>
        <v>POINT 160,50</v>
      </c>
    </row>
    <row r="170" spans="1:2" x14ac:dyDescent="0.6">
      <c r="A170" s="1" t="str">
        <f>_xlfn.CONCAT(ElipseTabla!$C79,",",ElipseTabla!E79)</f>
        <v>160,50</v>
      </c>
      <c r="B170" s="1" t="str">
        <f t="shared" si="3"/>
        <v>POINT 160,50</v>
      </c>
    </row>
    <row r="171" spans="1:2" x14ac:dyDescent="0.6">
      <c r="A171" s="1" t="str">
        <f>_xlfn.CONCAT(ElipseTabla!$C80,",",ElipseTabla!E80)</f>
        <v>160,50</v>
      </c>
      <c r="B171" s="1" t="str">
        <f t="shared" si="3"/>
        <v>POINT 160,50</v>
      </c>
    </row>
    <row r="172" spans="1:2" x14ac:dyDescent="0.6">
      <c r="A172" s="1" t="str">
        <f>_xlfn.CONCAT(ElipseTabla!$C81,",",ElipseTabla!E81)</f>
        <v>160,50</v>
      </c>
      <c r="B172" s="1" t="str">
        <f t="shared" si="3"/>
        <v>POINT 160,50</v>
      </c>
    </row>
    <row r="173" spans="1:2" x14ac:dyDescent="0.6">
      <c r="A173" s="1" t="str">
        <f>_xlfn.CONCAT(ElipseTabla!$C82,",",ElipseTabla!E82)</f>
        <v>160,50</v>
      </c>
      <c r="B173" s="1" t="str">
        <f t="shared" si="3"/>
        <v>POINT 160,50</v>
      </c>
    </row>
    <row r="174" spans="1:2" x14ac:dyDescent="0.6">
      <c r="A174" s="1" t="str">
        <f>_xlfn.CONCAT(ElipseTabla!$C83,",",ElipseTabla!E83)</f>
        <v>160,50</v>
      </c>
      <c r="B174" s="1" t="str">
        <f t="shared" si="3"/>
        <v>POINT 160,50</v>
      </c>
    </row>
    <row r="175" spans="1:2" x14ac:dyDescent="0.6">
      <c r="A175" s="1" t="str">
        <f>_xlfn.CONCAT(ElipseTabla!$C84,",",ElipseTabla!E84)</f>
        <v>160,50</v>
      </c>
      <c r="B175" s="1" t="str">
        <f t="shared" si="3"/>
        <v>POINT 160,50</v>
      </c>
    </row>
    <row r="176" spans="1:2" x14ac:dyDescent="0.6">
      <c r="A176" s="1" t="str">
        <f>_xlfn.CONCAT(ElipseTabla!$C85,",",ElipseTabla!E85)</f>
        <v>160,50</v>
      </c>
      <c r="B176" s="1" t="str">
        <f t="shared" si="3"/>
        <v>POINT 160,50</v>
      </c>
    </row>
    <row r="177" spans="1:2" x14ac:dyDescent="0.6">
      <c r="A177" s="1" t="str">
        <f>_xlfn.CONCAT(ElipseTabla!$C86,",",ElipseTabla!E86)</f>
        <v>160,50</v>
      </c>
      <c r="B177" s="1" t="str">
        <f t="shared" si="3"/>
        <v>POINT 160,50</v>
      </c>
    </row>
    <row r="178" spans="1:2" x14ac:dyDescent="0.6">
      <c r="A178" s="1" t="str">
        <f>_xlfn.CONCAT(ElipseTabla!$C87,",",ElipseTabla!E87)</f>
        <v>160,50</v>
      </c>
      <c r="B178" s="1" t="str">
        <f t="shared" si="3"/>
        <v>POINT 160,50</v>
      </c>
    </row>
    <row r="179" spans="1:2" x14ac:dyDescent="0.6">
      <c r="A179" s="1" t="str">
        <f>_xlfn.CONCAT(ElipseTabla!$C88,",",ElipseTabla!E88)</f>
        <v>160,50</v>
      </c>
      <c r="B179" s="1" t="str">
        <f t="shared" si="3"/>
        <v>POINT 160,50</v>
      </c>
    </row>
    <row r="180" spans="1:2" x14ac:dyDescent="0.6">
      <c r="A180" s="1" t="str">
        <f>_xlfn.CONCAT(ElipseTabla!$C89,",",ElipseTabla!E89)</f>
        <v>160,50</v>
      </c>
      <c r="B180" s="1" t="str">
        <f t="shared" si="3"/>
        <v>POINT 160,50</v>
      </c>
    </row>
    <row r="181" spans="1:2" x14ac:dyDescent="0.6">
      <c r="A181" s="1" t="str">
        <f>_xlfn.CONCAT(ElipseTabla!$C90,",",ElipseTabla!E90)</f>
        <v>160,50</v>
      </c>
      <c r="B181" s="1" t="str">
        <f t="shared" si="3"/>
        <v>POINT 160,50</v>
      </c>
    </row>
    <row r="182" spans="1:2" x14ac:dyDescent="0.6">
      <c r="A182" s="1" t="str">
        <f>_xlfn.CONCAT(ElipseTabla!$C91,",",ElipseTabla!E91)</f>
        <v>160,50</v>
      </c>
      <c r="B182" s="1" t="str">
        <f t="shared" si="3"/>
        <v>POINT 160,50</v>
      </c>
    </row>
    <row r="183" spans="1:2" x14ac:dyDescent="0.6">
      <c r="A183" s="1" t="str">
        <f>_xlfn.CONCAT(ElipseTabla!$C92,",",ElipseTabla!E92)</f>
        <v>160,50</v>
      </c>
      <c r="B183" s="1" t="str">
        <f t="shared" si="3"/>
        <v>POINT 160,50</v>
      </c>
    </row>
    <row r="184" spans="1:2" x14ac:dyDescent="0.6">
      <c r="A184" s="1" t="str">
        <f>_xlfn.CONCAT(ElipseTabla!$C93,",",ElipseTabla!E93)</f>
        <v>160,50</v>
      </c>
      <c r="B184" s="1" t="str">
        <f t="shared" si="3"/>
        <v>POINT 160,50</v>
      </c>
    </row>
    <row r="185" spans="1:2" x14ac:dyDescent="0.6">
      <c r="A185" s="1" t="str">
        <f>_xlfn.CONCAT(ElipseTabla!$C94,",",ElipseTabla!E94)</f>
        <v>160,50</v>
      </c>
      <c r="B185" s="1" t="str">
        <f t="shared" si="3"/>
        <v>POINT 160,50</v>
      </c>
    </row>
    <row r="186" spans="1:2" x14ac:dyDescent="0.6">
      <c r="A186" s="1" t="str">
        <f>_xlfn.CONCAT(ElipseTabla!$C95,",",ElipseTabla!E95)</f>
        <v>160,50</v>
      </c>
      <c r="B186" s="1" t="str">
        <f t="shared" si="3"/>
        <v>POINT 160,50</v>
      </c>
    </row>
    <row r="187" spans="1:2" x14ac:dyDescent="0.6">
      <c r="A187" s="1" t="str">
        <f>_xlfn.CONCAT(ElipseTabla!$C96,",",ElipseTabla!E96)</f>
        <v>160,50</v>
      </c>
      <c r="B187" s="1" t="str">
        <f t="shared" si="3"/>
        <v>POINT 160,50</v>
      </c>
    </row>
    <row r="188" spans="1:2" x14ac:dyDescent="0.6">
      <c r="A188" s="1" t="str">
        <f>_xlfn.CONCAT(ElipseTabla!$C97,",",ElipseTabla!E97)</f>
        <v>160,50</v>
      </c>
      <c r="B188" s="1" t="str">
        <f t="shared" si="3"/>
        <v>POINT 160,50</v>
      </c>
    </row>
    <row r="189" spans="1:2" x14ac:dyDescent="0.6">
      <c r="A189" s="1" t="str">
        <f>_xlfn.CONCAT(ElipseTabla!$C98,",",ElipseTabla!E98)</f>
        <v>160,50</v>
      </c>
      <c r="B189" s="1" t="str">
        <f t="shared" si="3"/>
        <v>POINT 160,50</v>
      </c>
    </row>
    <row r="190" spans="1:2" x14ac:dyDescent="0.6">
      <c r="A190" s="1" t="str">
        <f>_xlfn.CONCAT(ElipseTabla!$C99,",",ElipseTabla!E99)</f>
        <v>160,50</v>
      </c>
      <c r="B190" s="1" t="str">
        <f t="shared" si="3"/>
        <v>POINT 160,50</v>
      </c>
    </row>
    <row r="191" spans="1:2" x14ac:dyDescent="0.6">
      <c r="A191" s="1" t="str">
        <f>_xlfn.CONCAT(ElipseTabla!$C100,",",ElipseTabla!E100)</f>
        <v>160,50</v>
      </c>
      <c r="B191" s="1" t="str">
        <f t="shared" si="3"/>
        <v>POINT 160,50</v>
      </c>
    </row>
    <row r="192" spans="1:2" x14ac:dyDescent="0.6">
      <c r="A192" s="1" t="str">
        <f>_xlfn.CONCAT(ElipseTabla!$C101,",",ElipseTabla!E101)</f>
        <v>160,50</v>
      </c>
      <c r="B192" s="1" t="str">
        <f t="shared" si="3"/>
        <v>POINT 160,50</v>
      </c>
    </row>
    <row r="193" spans="1:2" x14ac:dyDescent="0.6">
      <c r="A193" s="1" t="str">
        <f>_xlfn.CONCAT(ElipseTabla!$C102,",",ElipseTabla!E102)</f>
        <v>160,50</v>
      </c>
      <c r="B193" s="1" t="str">
        <f t="shared" si="3"/>
        <v>POINT 160,50</v>
      </c>
    </row>
    <row r="194" spans="1:2" x14ac:dyDescent="0.6">
      <c r="A194" s="1" t="str">
        <f>_xlfn.CONCAT(ElipseTabla!$C103,",",ElipseTabla!E103)</f>
        <v>160,50</v>
      </c>
      <c r="B194" s="1" t="str">
        <f t="shared" si="3"/>
        <v>POINT 160,50</v>
      </c>
    </row>
    <row r="195" spans="1:2" x14ac:dyDescent="0.6">
      <c r="A195" s="1" t="str">
        <f>_xlfn.CONCAT(ElipseTabla!$C104,",",ElipseTabla!E104)</f>
        <v>160,50</v>
      </c>
      <c r="B195" s="1" t="str">
        <f t="shared" si="3"/>
        <v>POINT 160,50</v>
      </c>
    </row>
    <row r="196" spans="1:2" x14ac:dyDescent="0.6">
      <c r="A196" s="1" t="str">
        <f>_xlfn.CONCAT(ElipseTabla!$C105,",",ElipseTabla!E105)</f>
        <v>160,50</v>
      </c>
      <c r="B196" s="1" t="str">
        <f t="shared" si="3"/>
        <v>POINT 160,50</v>
      </c>
    </row>
    <row r="197" spans="1:2" x14ac:dyDescent="0.6">
      <c r="A197" s="1" t="str">
        <f>_xlfn.CONCAT(ElipseTabla!$C106,",",ElipseTabla!E106)</f>
        <v>160,50</v>
      </c>
      <c r="B197" s="1" t="str">
        <f t="shared" si="3"/>
        <v>POINT 160,50</v>
      </c>
    </row>
    <row r="198" spans="1:2" x14ac:dyDescent="0.6">
      <c r="A198" s="1" t="str">
        <f>_xlfn.CONCAT(ElipseTabla!$C107,",",ElipseTabla!E107)</f>
        <v>160,50</v>
      </c>
      <c r="B198" s="1" t="str">
        <f t="shared" si="3"/>
        <v>POINT 160,50</v>
      </c>
    </row>
    <row r="199" spans="1:2" x14ac:dyDescent="0.6">
      <c r="A199" s="1" t="str">
        <f>_xlfn.CONCAT(ElipseTabla!$C108,",",ElipseTabla!E108)</f>
        <v>160,50</v>
      </c>
      <c r="B199" s="1" t="str">
        <f t="shared" si="3"/>
        <v>POINT 160,50</v>
      </c>
    </row>
    <row r="200" spans="1:2" x14ac:dyDescent="0.6">
      <c r="A200" s="1" t="str">
        <f>_xlfn.CONCAT(ElipseTabla!$C109,",",ElipseTabla!E109)</f>
        <v>160,50</v>
      </c>
      <c r="B200" s="1" t="str">
        <f t="shared" si="3"/>
        <v>POINT 160,50</v>
      </c>
    </row>
    <row r="201" spans="1:2" x14ac:dyDescent="0.6">
      <c r="A201" s="1" t="str">
        <f>_xlfn.CONCAT(ElipseTabla!$C110,",",ElipseTabla!E110)</f>
        <v>160,50</v>
      </c>
      <c r="B201" s="1" t="str">
        <f t="shared" si="3"/>
        <v>POINT 160,50</v>
      </c>
    </row>
    <row r="202" spans="1:2" x14ac:dyDescent="0.6">
      <c r="A202" s="1" t="str">
        <f>_xlfn.CONCAT(ElipseTabla!$C111,",",ElipseTabla!E111)</f>
        <v>160,50</v>
      </c>
      <c r="B202" s="1" t="str">
        <f t="shared" si="3"/>
        <v>POINT 160,50</v>
      </c>
    </row>
    <row r="203" spans="1:2" x14ac:dyDescent="0.6">
      <c r="A203" s="1" t="str">
        <f>_xlfn.CONCAT(ElipseTabla!$C112,",",ElipseTabla!E112)</f>
        <v>160,50</v>
      </c>
      <c r="B203" s="1" t="str">
        <f t="shared" si="3"/>
        <v>POINT 160,50</v>
      </c>
    </row>
    <row r="205" spans="1:2" x14ac:dyDescent="0.6">
      <c r="A205" s="1" t="s">
        <v>17</v>
      </c>
    </row>
    <row r="206" spans="1:2" x14ac:dyDescent="0.6">
      <c r="A206" s="1" t="str">
        <f>_xlfn.CONCAT(ElipseTabla!$F13,",",ElipseTabla!G13)</f>
        <v>100,70</v>
      </c>
      <c r="B206" s="1" t="str">
        <f t="shared" ref="B206:B269" si="4">_xlfn.CONCAT("POINT ",A206)</f>
        <v>POINT 100,70</v>
      </c>
    </row>
    <row r="207" spans="1:2" x14ac:dyDescent="0.6">
      <c r="A207" s="1" t="str">
        <f>_xlfn.CONCAT(ElipseTabla!$F14,",",ElipseTabla!G14)</f>
        <v>98.75,69.9956592511697</v>
      </c>
      <c r="B207" s="1" t="str">
        <f t="shared" si="4"/>
        <v>POINT 98.75,69.9956592511697</v>
      </c>
    </row>
    <row r="208" spans="1:2" x14ac:dyDescent="0.6">
      <c r="A208" s="1" t="str">
        <f>_xlfn.CONCAT(ElipseTabla!$F15,",",ElipseTabla!G15)</f>
        <v>97.5,69.9826313471363</v>
      </c>
      <c r="B208" s="1" t="str">
        <f t="shared" si="4"/>
        <v>POINT 97.5,69.9826313471363</v>
      </c>
    </row>
    <row r="209" spans="1:2" x14ac:dyDescent="0.6">
      <c r="A209" s="1" t="str">
        <f>_xlfn.CONCAT(ElipseTabla!$F16,",",ElipseTabla!G16)</f>
        <v>96.25,69.9608992783391</v>
      </c>
      <c r="B209" s="1" t="str">
        <f t="shared" si="4"/>
        <v>POINT 96.25,69.9608992783391</v>
      </c>
    </row>
    <row r="210" spans="1:2" x14ac:dyDescent="0.6">
      <c r="A210" s="1" t="str">
        <f>_xlfn.CONCAT(ElipseTabla!$F17,",",ElipseTabla!G17)</f>
        <v>95,69.9304345718357</v>
      </c>
      <c r="B210" s="1" t="str">
        <f t="shared" si="4"/>
        <v>POINT 95,69.9304345718357</v>
      </c>
    </row>
    <row r="211" spans="1:2" x14ac:dyDescent="0.6">
      <c r="A211" s="1" t="str">
        <f>_xlfn.CONCAT(ElipseTabla!$F18,",",ElipseTabla!G18)</f>
        <v>93.75,69.8911971038</v>
      </c>
      <c r="B211" s="1" t="str">
        <f t="shared" si="4"/>
        <v>POINT 93.75,69.8911971038</v>
      </c>
    </row>
    <row r="212" spans="1:2" x14ac:dyDescent="0.6">
      <c r="A212" s="1" t="str">
        <f>_xlfn.CONCAT(ElipseTabla!$F19,",",ElipseTabla!G19)</f>
        <v>92.5,69.8431348329844</v>
      </c>
      <c r="B212" s="1" t="str">
        <f t="shared" si="4"/>
        <v>POINT 92.5,69.8431348329844</v>
      </c>
    </row>
    <row r="213" spans="1:2" x14ac:dyDescent="0.6">
      <c r="A213" s="1" t="str">
        <f>_xlfn.CONCAT(ElipseTabla!$F20,",",ElipseTabla!G20)</f>
        <v>91.25,69.7861834509729</v>
      </c>
      <c r="B213" s="1" t="str">
        <f t="shared" si="4"/>
        <v>POINT 91.25,69.7861834509729</v>
      </c>
    </row>
    <row r="214" spans="1:2" x14ac:dyDescent="0.6">
      <c r="A214" s="1" t="str">
        <f>_xlfn.CONCAT(ElipseTabla!$F21,",",ElipseTabla!G21)</f>
        <v>90,69.7202659436654</v>
      </c>
      <c r="B214" s="1" t="str">
        <f t="shared" si="4"/>
        <v>POINT 90,69.7202659436654</v>
      </c>
    </row>
    <row r="215" spans="1:2" x14ac:dyDescent="0.6">
      <c r="A215" s="1" t="str">
        <f>_xlfn.CONCAT(ElipseTabla!$F22,",",ElipseTabla!G22)</f>
        <v>88.75,69.6452920568771</v>
      </c>
      <c r="B215" s="1" t="str">
        <f t="shared" si="4"/>
        <v>POINT 88.75,69.6452920568771</v>
      </c>
    </row>
    <row r="216" spans="1:2" x14ac:dyDescent="0.6">
      <c r="A216" s="1" t="str">
        <f>_xlfn.CONCAT(ElipseTabla!$F23,",",ElipseTabla!G23)</f>
        <v>87.5,69.5611576571758</v>
      </c>
      <c r="B216" s="1" t="str">
        <f t="shared" si="4"/>
        <v>POINT 87.5,69.5611576571758</v>
      </c>
    </row>
    <row r="217" spans="1:2" x14ac:dyDescent="0.6">
      <c r="A217" s="1" t="str">
        <f>_xlfn.CONCAT(ElipseTabla!$F24,",",ElipseTabla!G24)</f>
        <v>86.25,69.4677439770394</v>
      </c>
      <c r="B217" s="1" t="str">
        <f t="shared" si="4"/>
        <v>POINT 86.25,69.4677439770394</v>
      </c>
    </row>
    <row r="218" spans="1:2" x14ac:dyDescent="0.6">
      <c r="A218" s="1" t="str">
        <f>_xlfn.CONCAT(ElipseTabla!$F25,",",ElipseTabla!G25)</f>
        <v>85,69.3649167310371</v>
      </c>
      <c r="B218" s="1" t="str">
        <f t="shared" si="4"/>
        <v>POINT 85,69.3649167310371</v>
      </c>
    </row>
    <row r="219" spans="1:2" x14ac:dyDescent="0.6">
      <c r="A219" s="1" t="str">
        <f>_xlfn.CONCAT(ElipseTabla!$F26,",",ElipseTabla!G26)</f>
        <v>83.75,69.2525250869132</v>
      </c>
      <c r="B219" s="1" t="str">
        <f t="shared" si="4"/>
        <v>POINT 83.75,69.2525250869132</v>
      </c>
    </row>
    <row r="220" spans="1:2" x14ac:dyDescent="0.6">
      <c r="A220" s="1" t="str">
        <f>_xlfn.CONCAT(ElipseTabla!$F27,",",ElipseTabla!G27)</f>
        <v>82.5,69.1304004720817</v>
      </c>
      <c r="B220" s="1" t="str">
        <f t="shared" si="4"/>
        <v>POINT 82.5,69.1304004720817</v>
      </c>
    </row>
    <row r="221" spans="1:2" x14ac:dyDescent="0.6">
      <c r="A221" s="1" t="str">
        <f>_xlfn.CONCAT(ElipseTabla!$F28,",",ElipseTabla!G28)</f>
        <v>81.25,68.9983551919633</v>
      </c>
      <c r="B221" s="1" t="str">
        <f t="shared" si="4"/>
        <v>POINT 81.25,68.9983551919633</v>
      </c>
    </row>
    <row r="222" spans="1:2" x14ac:dyDescent="0.6">
      <c r="A222" s="1" t="str">
        <f>_xlfn.CONCAT(ElipseTabla!$F29,",",ElipseTabla!G29)</f>
        <v>80,68.8561808316413</v>
      </c>
      <c r="B222" s="1" t="str">
        <f t="shared" si="4"/>
        <v>POINT 80,68.8561808316413</v>
      </c>
    </row>
    <row r="223" spans="1:2" x14ac:dyDescent="0.6">
      <c r="A223" s="1" t="str">
        <f>_xlfn.CONCAT(ElipseTabla!$F30,",",ElipseTabla!G30)</f>
        <v>78.75,68.7036464062195</v>
      </c>
      <c r="B223" s="1" t="str">
        <f t="shared" si="4"/>
        <v>POINT 78.75,68.7036464062195</v>
      </c>
    </row>
    <row r="224" spans="1:2" x14ac:dyDescent="0.6">
      <c r="A224" s="1" t="str">
        <f>_xlfn.CONCAT(ElipseTabla!$F31,",",ElipseTabla!G31)</f>
        <v>77.5,68.5404962177392</v>
      </c>
      <c r="B224" s="1" t="str">
        <f t="shared" si="4"/>
        <v>POINT 77.5,68.5404962177392</v>
      </c>
    </row>
    <row r="225" spans="1:2" x14ac:dyDescent="0.6">
      <c r="A225" s="1" t="str">
        <f>_xlfn.CONCAT(ElipseTabla!$F32,",",ElipseTabla!G32)</f>
        <v>76.25,68.3664473671118</v>
      </c>
      <c r="B225" s="1" t="str">
        <f t="shared" si="4"/>
        <v>POINT 76.25,68.3664473671118</v>
      </c>
    </row>
    <row r="226" spans="1:2" x14ac:dyDescent="0.6">
      <c r="A226" s="1" t="str">
        <f>_xlfn.CONCAT(ElipseTabla!$F33,",",ElipseTabla!G33)</f>
        <v>75,68.1811868577262</v>
      </c>
      <c r="B226" s="1" t="str">
        <f t="shared" si="4"/>
        <v>POINT 75,68.1811868577262</v>
      </c>
    </row>
    <row r="227" spans="1:2" x14ac:dyDescent="0.6">
      <c r="A227" s="1" t="str">
        <f>_xlfn.CONCAT(ElipseTabla!$F34,",",ElipseTabla!G34)</f>
        <v>73.75,67.9843682124227</v>
      </c>
      <c r="B227" s="1" t="str">
        <f t="shared" si="4"/>
        <v>POINT 73.75,67.9843682124227</v>
      </c>
    </row>
    <row r="228" spans="1:2" x14ac:dyDescent="0.6">
      <c r="A228" s="1" t="str">
        <f>_xlfn.CONCAT(ElipseTabla!$F35,",",ElipseTabla!G35)</f>
        <v>72.5,67.775607506418</v>
      </c>
      <c r="B228" s="1" t="str">
        <f t="shared" si="4"/>
        <v>POINT 72.5,67.775607506418</v>
      </c>
    </row>
    <row r="229" spans="1:2" x14ac:dyDescent="0.6">
      <c r="A229" s="1" t="str">
        <f>_xlfn.CONCAT(ElipseTabla!$F36,",",ElipseTabla!G36)</f>
        <v>71.25,67.5544786941174</v>
      </c>
      <c r="B229" s="1" t="str">
        <f t="shared" si="4"/>
        <v>POINT 71.25,67.5544786941174</v>
      </c>
    </row>
    <row r="230" spans="1:2" x14ac:dyDescent="0.6">
      <c r="A230" s="1" t="str">
        <f>_xlfn.CONCAT(ElipseTabla!$F37,",",ElipseTabla!G37)</f>
        <v>70,67.3205080756888</v>
      </c>
      <c r="B230" s="1" t="str">
        <f t="shared" si="4"/>
        <v>POINT 70,67.3205080756888</v>
      </c>
    </row>
    <row r="231" spans="1:2" x14ac:dyDescent="0.6">
      <c r="A231" s="1" t="str">
        <f>_xlfn.CONCAT(ElipseTabla!$F38,",",ElipseTabla!G38)</f>
        <v>68.75,67.0731677071232</v>
      </c>
      <c r="B231" s="1" t="str">
        <f t="shared" si="4"/>
        <v>POINT 68.75,67.0731677071232</v>
      </c>
    </row>
    <row r="232" spans="1:2" x14ac:dyDescent="0.6">
      <c r="A232" s="1" t="str">
        <f>_xlfn.CONCAT(ElipseTabla!$F39,",",ElipseTabla!G39)</f>
        <v>67.5,66.8118675015267</v>
      </c>
      <c r="B232" s="1" t="str">
        <f t="shared" si="4"/>
        <v>POINT 67.5,66.8118675015267</v>
      </c>
    </row>
    <row r="233" spans="1:2" x14ac:dyDescent="0.6">
      <c r="A233" s="1" t="str">
        <f>_xlfn.CONCAT(ElipseTabla!$F40,",",ElipseTabla!G40)</f>
        <v>66.25,66.5359456941537</v>
      </c>
      <c r="B233" s="1" t="str">
        <f t="shared" si="4"/>
        <v>POINT 66.25,66.5359456941537</v>
      </c>
    </row>
    <row r="234" spans="1:2" x14ac:dyDescent="0.6">
      <c r="A234" s="1" t="str">
        <f>_xlfn.CONCAT(ElipseTabla!$F41,",",ElipseTabla!G41)</f>
        <v>65,66.2446572413483</v>
      </c>
      <c r="B234" s="1" t="str">
        <f t="shared" si="4"/>
        <v>POINT 65,66.2446572413483</v>
      </c>
    </row>
    <row r="235" spans="1:2" x14ac:dyDescent="0.6">
      <c r="A235" s="1" t="str">
        <f>_xlfn.CONCAT(ElipseTabla!$F42,",",ElipseTabla!G42)</f>
        <v>63.75,65.9371595824211</v>
      </c>
      <c r="B235" s="1" t="str">
        <f t="shared" si="4"/>
        <v>POINT 63.75,65.9371595824211</v>
      </c>
    </row>
    <row r="236" spans="1:2" x14ac:dyDescent="0.6">
      <c r="A236" s="1" t="str">
        <f>_xlfn.CONCAT(ElipseTabla!$F43,",",ElipseTabla!G43)</f>
        <v>62.5,65.612494995996</v>
      </c>
      <c r="B236" s="1" t="str">
        <f t="shared" si="4"/>
        <v>POINT 62.5,65.612494995996</v>
      </c>
    </row>
    <row r="237" spans="1:2" x14ac:dyDescent="0.6">
      <c r="A237" s="1" t="str">
        <f>_xlfn.CONCAT(ElipseTabla!$F44,",",ElipseTabla!G44)</f>
        <v>61.25,65.2695685015073</v>
      </c>
      <c r="B237" s="1" t="str">
        <f t="shared" si="4"/>
        <v>POINT 61.25,65.2695685015073</v>
      </c>
    </row>
    <row r="238" spans="1:2" x14ac:dyDescent="0.6">
      <c r="A238" s="1" t="str">
        <f>_xlfn.CONCAT(ElipseTabla!$F45,",",ElipseTabla!G45)</f>
        <v>60,64.9071198499986</v>
      </c>
      <c r="B238" s="1" t="str">
        <f t="shared" si="4"/>
        <v>POINT 60,64.9071198499986</v>
      </c>
    </row>
    <row r="239" spans="1:2" x14ac:dyDescent="0.6">
      <c r="A239" s="1" t="str">
        <f>_xlfn.CONCAT(ElipseTabla!$F46,",",ElipseTabla!G46)</f>
        <v>58.75,64.5236875482778</v>
      </c>
      <c r="B239" s="1" t="str">
        <f t="shared" si="4"/>
        <v>POINT 58.75,64.5236875482778</v>
      </c>
    </row>
    <row r="240" spans="1:2" x14ac:dyDescent="0.6">
      <c r="A240" s="1" t="str">
        <f>_xlfn.CONCAT(ElipseTabla!$F47,",",ElipseTabla!G47)</f>
        <v>57.5,64.1175619550812</v>
      </c>
      <c r="B240" s="1" t="str">
        <f t="shared" si="4"/>
        <v>POINT 57.5,64.1175619550812</v>
      </c>
    </row>
    <row r="241" spans="1:2" x14ac:dyDescent="0.6">
      <c r="A241" s="1" t="str">
        <f>_xlfn.CONCAT(ElipseTabla!$F48,",",ElipseTabla!G48)</f>
        <v>56.25,63.6867230880474</v>
      </c>
      <c r="B241" s="1" t="str">
        <f t="shared" si="4"/>
        <v>POINT 56.25,63.6867230880474</v>
      </c>
    </row>
    <row r="242" spans="1:2" x14ac:dyDescent="0.6">
      <c r="A242" s="1" t="str">
        <f>_xlfn.CONCAT(ElipseTabla!$F49,",",ElipseTabla!G49)</f>
        <v>55,63.228756555323</v>
      </c>
      <c r="B242" s="1" t="str">
        <f t="shared" si="4"/>
        <v>POINT 55,63.228756555323</v>
      </c>
    </row>
    <row r="243" spans="1:2" x14ac:dyDescent="0.6">
      <c r="A243" s="1" t="str">
        <f>_xlfn.CONCAT(ElipseTabla!$F50,",",ElipseTabla!G50)</f>
        <v>53.75,62.7407373761839</v>
      </c>
      <c r="B243" s="1" t="str">
        <f t="shared" si="4"/>
        <v>POINT 53.75,62.7407373761839</v>
      </c>
    </row>
    <row r="244" spans="1:2" x14ac:dyDescent="0.6">
      <c r="A244" s="1" t="str">
        <f>_xlfn.CONCAT(ElipseTabla!$F51,",",ElipseTabla!G51)</f>
        <v>52.5,62.219065248846</v>
      </c>
      <c r="B244" s="1" t="str">
        <f t="shared" si="4"/>
        <v>POINT 52.5,62.219065248846</v>
      </c>
    </row>
    <row r="245" spans="1:2" x14ac:dyDescent="0.6">
      <c r="A245" s="1" t="str">
        <f>_xlfn.CONCAT(ElipseTabla!$F52,",",ElipseTabla!G52)</f>
        <v>51.25,61.659223816361</v>
      </c>
      <c r="B245" s="1" t="str">
        <f t="shared" si="4"/>
        <v>POINT 51.25,61.659223816361</v>
      </c>
    </row>
    <row r="246" spans="1:2" x14ac:dyDescent="0.6">
      <c r="A246" s="1" t="str">
        <f>_xlfn.CONCAT(ElipseTabla!$F53,",",ElipseTabla!G53)</f>
        <v>50,61.0554159678513</v>
      </c>
      <c r="B246" s="1" t="str">
        <f t="shared" si="4"/>
        <v>POINT 50,61.0554159678513</v>
      </c>
    </row>
    <row r="247" spans="1:2" x14ac:dyDescent="0.6">
      <c r="A247" s="1" t="str">
        <f>_xlfn.CONCAT(ElipseTabla!$F54,",",ElipseTabla!G54)</f>
        <v>48.75,60.3999866452906</v>
      </c>
      <c r="B247" s="1" t="str">
        <f t="shared" si="4"/>
        <v>POINT 48.75,60.3999866452906</v>
      </c>
    </row>
    <row r="248" spans="1:2" x14ac:dyDescent="0.6">
      <c r="A248" s="1" t="str">
        <f>_xlfn.CONCAT(ElipseTabla!$F55,",",ElipseTabla!G55)</f>
        <v>47.5,59.6824583655185</v>
      </c>
      <c r="B248" s="1" t="str">
        <f t="shared" si="4"/>
        <v>POINT 47.5,59.6824583655185</v>
      </c>
    </row>
    <row r="249" spans="1:2" x14ac:dyDescent="0.6">
      <c r="A249" s="1" t="str">
        <f>_xlfn.CONCAT(ElipseTabla!$F56,",",ElipseTabla!G56)</f>
        <v>46.25,58.887803753209</v>
      </c>
      <c r="B249" s="1" t="str">
        <f t="shared" si="4"/>
        <v>POINT 46.25,58.887803753209</v>
      </c>
    </row>
    <row r="250" spans="1:2" x14ac:dyDescent="0.6">
      <c r="A250" s="1" t="str">
        <f>_xlfn.CONCAT(ElipseTabla!$F57,",",ElipseTabla!G57)</f>
        <v>45,57.9930525388545</v>
      </c>
      <c r="B250" s="1" t="str">
        <f t="shared" si="4"/>
        <v>POINT 45,57.9930525388545</v>
      </c>
    </row>
    <row r="251" spans="1:2" x14ac:dyDescent="0.6">
      <c r="A251" s="1" t="str">
        <f>_xlfn.CONCAT(ElipseTabla!$F58,",",ElipseTabla!G58)</f>
        <v>43.75,56.9597054535375</v>
      </c>
      <c r="B251" s="1" t="str">
        <f t="shared" si="4"/>
        <v>POINT 43.75,56.9597054535375</v>
      </c>
    </row>
    <row r="252" spans="1:2" x14ac:dyDescent="0.6">
      <c r="A252" s="1" t="str">
        <f>_xlfn.CONCAT(ElipseTabla!$F59,",",ElipseTabla!G59)</f>
        <v>42.5,55.7130455003342</v>
      </c>
      <c r="B252" s="1" t="str">
        <f t="shared" si="4"/>
        <v>POINT 42.5,55.7130455003342</v>
      </c>
    </row>
    <row r="253" spans="1:2" x14ac:dyDescent="0.6">
      <c r="A253" s="1" t="str">
        <f>_xlfn.CONCAT(ElipseTabla!$F60,",",ElipseTabla!G60)</f>
        <v>41.25,54.0611643103371</v>
      </c>
      <c r="B253" s="1" t="str">
        <f t="shared" si="4"/>
        <v>POINT 41.25,54.0611643103371</v>
      </c>
    </row>
    <row r="254" spans="1:2" x14ac:dyDescent="0.6">
      <c r="A254" s="1" t="str">
        <f>_xlfn.CONCAT(ElipseTabla!$F61,",",ElipseTabla!G61)</f>
        <v>40,50</v>
      </c>
      <c r="B254" s="1" t="str">
        <f t="shared" si="4"/>
        <v>POINT 40,50</v>
      </c>
    </row>
    <row r="255" spans="1:2" x14ac:dyDescent="0.6">
      <c r="A255" s="1" t="str">
        <f>_xlfn.CONCAT(ElipseTabla!$F62,",",ElipseTabla!G62)</f>
        <v>40,50</v>
      </c>
      <c r="B255" s="1" t="str">
        <f t="shared" si="4"/>
        <v>POINT 40,50</v>
      </c>
    </row>
    <row r="256" spans="1:2" x14ac:dyDescent="0.6">
      <c r="A256" s="1" t="str">
        <f>_xlfn.CONCAT(ElipseTabla!$F63,",",ElipseTabla!G63)</f>
        <v>40,50</v>
      </c>
      <c r="B256" s="1" t="str">
        <f t="shared" si="4"/>
        <v>POINT 40,50</v>
      </c>
    </row>
    <row r="257" spans="1:2" x14ac:dyDescent="0.6">
      <c r="A257" s="1" t="str">
        <f>_xlfn.CONCAT(ElipseTabla!$F64,",",ElipseTabla!G64)</f>
        <v>40,50</v>
      </c>
      <c r="B257" s="1" t="str">
        <f t="shared" si="4"/>
        <v>POINT 40,50</v>
      </c>
    </row>
    <row r="258" spans="1:2" x14ac:dyDescent="0.6">
      <c r="A258" s="1" t="str">
        <f>_xlfn.CONCAT(ElipseTabla!$F65,",",ElipseTabla!G65)</f>
        <v>40,50</v>
      </c>
      <c r="B258" s="1" t="str">
        <f t="shared" si="4"/>
        <v>POINT 40,50</v>
      </c>
    </row>
    <row r="259" spans="1:2" x14ac:dyDescent="0.6">
      <c r="A259" s="1" t="str">
        <f>_xlfn.CONCAT(ElipseTabla!$F66,",",ElipseTabla!G66)</f>
        <v>40,50</v>
      </c>
      <c r="B259" s="1" t="str">
        <f t="shared" si="4"/>
        <v>POINT 40,50</v>
      </c>
    </row>
    <row r="260" spans="1:2" x14ac:dyDescent="0.6">
      <c r="A260" s="1" t="str">
        <f>_xlfn.CONCAT(ElipseTabla!$F67,",",ElipseTabla!G67)</f>
        <v>40,50</v>
      </c>
      <c r="B260" s="1" t="str">
        <f t="shared" si="4"/>
        <v>POINT 40,50</v>
      </c>
    </row>
    <row r="261" spans="1:2" x14ac:dyDescent="0.6">
      <c r="A261" s="1" t="str">
        <f>_xlfn.CONCAT(ElipseTabla!$F68,",",ElipseTabla!G68)</f>
        <v>40,50</v>
      </c>
      <c r="B261" s="1" t="str">
        <f t="shared" si="4"/>
        <v>POINT 40,50</v>
      </c>
    </row>
    <row r="262" spans="1:2" x14ac:dyDescent="0.6">
      <c r="A262" s="1" t="str">
        <f>_xlfn.CONCAT(ElipseTabla!$F69,",",ElipseTabla!G69)</f>
        <v>40,50</v>
      </c>
      <c r="B262" s="1" t="str">
        <f t="shared" si="4"/>
        <v>POINT 40,50</v>
      </c>
    </row>
    <row r="263" spans="1:2" x14ac:dyDescent="0.6">
      <c r="A263" s="1" t="str">
        <f>_xlfn.CONCAT(ElipseTabla!$F70,",",ElipseTabla!G70)</f>
        <v>40,50</v>
      </c>
      <c r="B263" s="1" t="str">
        <f t="shared" si="4"/>
        <v>POINT 40,50</v>
      </c>
    </row>
    <row r="264" spans="1:2" x14ac:dyDescent="0.6">
      <c r="A264" s="1" t="str">
        <f>_xlfn.CONCAT(ElipseTabla!$F71,",",ElipseTabla!G71)</f>
        <v>40,50</v>
      </c>
      <c r="B264" s="1" t="str">
        <f t="shared" si="4"/>
        <v>POINT 40,50</v>
      </c>
    </row>
    <row r="265" spans="1:2" x14ac:dyDescent="0.6">
      <c r="A265" s="1" t="str">
        <f>_xlfn.CONCAT(ElipseTabla!$F72,",",ElipseTabla!G72)</f>
        <v>40,50</v>
      </c>
      <c r="B265" s="1" t="str">
        <f t="shared" si="4"/>
        <v>POINT 40,50</v>
      </c>
    </row>
    <row r="266" spans="1:2" x14ac:dyDescent="0.6">
      <c r="A266" s="1" t="str">
        <f>_xlfn.CONCAT(ElipseTabla!$F73,",",ElipseTabla!G73)</f>
        <v>40,50</v>
      </c>
      <c r="B266" s="1" t="str">
        <f t="shared" si="4"/>
        <v>POINT 40,50</v>
      </c>
    </row>
    <row r="267" spans="1:2" x14ac:dyDescent="0.6">
      <c r="A267" s="1" t="str">
        <f>_xlfn.CONCAT(ElipseTabla!$F74,",",ElipseTabla!G74)</f>
        <v>40,50</v>
      </c>
      <c r="B267" s="1" t="str">
        <f t="shared" si="4"/>
        <v>POINT 40,50</v>
      </c>
    </row>
    <row r="268" spans="1:2" x14ac:dyDescent="0.6">
      <c r="A268" s="1" t="str">
        <f>_xlfn.CONCAT(ElipseTabla!$F75,",",ElipseTabla!G75)</f>
        <v>40,50</v>
      </c>
      <c r="B268" s="1" t="str">
        <f t="shared" si="4"/>
        <v>POINT 40,50</v>
      </c>
    </row>
    <row r="269" spans="1:2" x14ac:dyDescent="0.6">
      <c r="A269" s="1" t="str">
        <f>_xlfn.CONCAT(ElipseTabla!$F76,",",ElipseTabla!G76)</f>
        <v>40,50</v>
      </c>
      <c r="B269" s="1" t="str">
        <f t="shared" si="4"/>
        <v>POINT 40,50</v>
      </c>
    </row>
    <row r="270" spans="1:2" x14ac:dyDescent="0.6">
      <c r="A270" s="1" t="str">
        <f>_xlfn.CONCAT(ElipseTabla!$F77,",",ElipseTabla!G77)</f>
        <v>40,50</v>
      </c>
      <c r="B270" s="1" t="str">
        <f t="shared" ref="B270:B305" si="5">_xlfn.CONCAT("POINT ",A270)</f>
        <v>POINT 40,50</v>
      </c>
    </row>
    <row r="271" spans="1:2" x14ac:dyDescent="0.6">
      <c r="A271" s="1" t="str">
        <f>_xlfn.CONCAT(ElipseTabla!$F78,",",ElipseTabla!G78)</f>
        <v>40,50</v>
      </c>
      <c r="B271" s="1" t="str">
        <f t="shared" si="5"/>
        <v>POINT 40,50</v>
      </c>
    </row>
    <row r="272" spans="1:2" x14ac:dyDescent="0.6">
      <c r="A272" s="1" t="str">
        <f>_xlfn.CONCAT(ElipseTabla!$F79,",",ElipseTabla!G79)</f>
        <v>40,50</v>
      </c>
      <c r="B272" s="1" t="str">
        <f t="shared" si="5"/>
        <v>POINT 40,50</v>
      </c>
    </row>
    <row r="273" spans="1:2" x14ac:dyDescent="0.6">
      <c r="A273" s="1" t="str">
        <f>_xlfn.CONCAT(ElipseTabla!$F80,",",ElipseTabla!G80)</f>
        <v>40,50</v>
      </c>
      <c r="B273" s="1" t="str">
        <f t="shared" si="5"/>
        <v>POINT 40,50</v>
      </c>
    </row>
    <row r="274" spans="1:2" x14ac:dyDescent="0.6">
      <c r="A274" s="1" t="str">
        <f>_xlfn.CONCAT(ElipseTabla!$F81,",",ElipseTabla!G81)</f>
        <v>40,50</v>
      </c>
      <c r="B274" s="1" t="str">
        <f t="shared" si="5"/>
        <v>POINT 40,50</v>
      </c>
    </row>
    <row r="275" spans="1:2" x14ac:dyDescent="0.6">
      <c r="A275" s="1" t="str">
        <f>_xlfn.CONCAT(ElipseTabla!$F82,",",ElipseTabla!G82)</f>
        <v>40,50</v>
      </c>
      <c r="B275" s="1" t="str">
        <f t="shared" si="5"/>
        <v>POINT 40,50</v>
      </c>
    </row>
    <row r="276" spans="1:2" x14ac:dyDescent="0.6">
      <c r="A276" s="1" t="str">
        <f>_xlfn.CONCAT(ElipseTabla!$F83,",",ElipseTabla!G83)</f>
        <v>40,50</v>
      </c>
      <c r="B276" s="1" t="str">
        <f t="shared" si="5"/>
        <v>POINT 40,50</v>
      </c>
    </row>
    <row r="277" spans="1:2" x14ac:dyDescent="0.6">
      <c r="A277" s="1" t="str">
        <f>_xlfn.CONCAT(ElipseTabla!$F84,",",ElipseTabla!G84)</f>
        <v>40,50</v>
      </c>
      <c r="B277" s="1" t="str">
        <f t="shared" si="5"/>
        <v>POINT 40,50</v>
      </c>
    </row>
    <row r="278" spans="1:2" x14ac:dyDescent="0.6">
      <c r="A278" s="1" t="str">
        <f>_xlfn.CONCAT(ElipseTabla!$F85,",",ElipseTabla!G85)</f>
        <v>40,50</v>
      </c>
      <c r="B278" s="1" t="str">
        <f t="shared" si="5"/>
        <v>POINT 40,50</v>
      </c>
    </row>
    <row r="279" spans="1:2" x14ac:dyDescent="0.6">
      <c r="A279" s="1" t="str">
        <f>_xlfn.CONCAT(ElipseTabla!$F86,",",ElipseTabla!G86)</f>
        <v>40,50</v>
      </c>
      <c r="B279" s="1" t="str">
        <f t="shared" si="5"/>
        <v>POINT 40,50</v>
      </c>
    </row>
    <row r="280" spans="1:2" x14ac:dyDescent="0.6">
      <c r="A280" s="1" t="str">
        <f>_xlfn.CONCAT(ElipseTabla!$F87,",",ElipseTabla!G87)</f>
        <v>40,50</v>
      </c>
      <c r="B280" s="1" t="str">
        <f t="shared" si="5"/>
        <v>POINT 40,50</v>
      </c>
    </row>
    <row r="281" spans="1:2" x14ac:dyDescent="0.6">
      <c r="A281" s="1" t="str">
        <f>_xlfn.CONCAT(ElipseTabla!$F88,",",ElipseTabla!G88)</f>
        <v>40,50</v>
      </c>
      <c r="B281" s="1" t="str">
        <f t="shared" si="5"/>
        <v>POINT 40,50</v>
      </c>
    </row>
    <row r="282" spans="1:2" x14ac:dyDescent="0.6">
      <c r="A282" s="1" t="str">
        <f>_xlfn.CONCAT(ElipseTabla!$F89,",",ElipseTabla!G89)</f>
        <v>40,50</v>
      </c>
      <c r="B282" s="1" t="str">
        <f t="shared" si="5"/>
        <v>POINT 40,50</v>
      </c>
    </row>
    <row r="283" spans="1:2" x14ac:dyDescent="0.6">
      <c r="A283" s="1" t="str">
        <f>_xlfn.CONCAT(ElipseTabla!$F90,",",ElipseTabla!G90)</f>
        <v>40,50</v>
      </c>
      <c r="B283" s="1" t="str">
        <f t="shared" si="5"/>
        <v>POINT 40,50</v>
      </c>
    </row>
    <row r="284" spans="1:2" x14ac:dyDescent="0.6">
      <c r="A284" s="1" t="str">
        <f>_xlfn.CONCAT(ElipseTabla!$F91,",",ElipseTabla!G91)</f>
        <v>40,50</v>
      </c>
      <c r="B284" s="1" t="str">
        <f t="shared" si="5"/>
        <v>POINT 40,50</v>
      </c>
    </row>
    <row r="285" spans="1:2" x14ac:dyDescent="0.6">
      <c r="A285" s="1" t="str">
        <f>_xlfn.CONCAT(ElipseTabla!$F92,",",ElipseTabla!G92)</f>
        <v>40,50</v>
      </c>
      <c r="B285" s="1" t="str">
        <f t="shared" si="5"/>
        <v>POINT 40,50</v>
      </c>
    </row>
    <row r="286" spans="1:2" x14ac:dyDescent="0.6">
      <c r="A286" s="1" t="str">
        <f>_xlfn.CONCAT(ElipseTabla!$F93,",",ElipseTabla!G93)</f>
        <v>40,50</v>
      </c>
      <c r="B286" s="1" t="str">
        <f t="shared" si="5"/>
        <v>POINT 40,50</v>
      </c>
    </row>
    <row r="287" spans="1:2" x14ac:dyDescent="0.6">
      <c r="A287" s="1" t="str">
        <f>_xlfn.CONCAT(ElipseTabla!$F94,",",ElipseTabla!G94)</f>
        <v>40,50</v>
      </c>
      <c r="B287" s="1" t="str">
        <f t="shared" si="5"/>
        <v>POINT 40,50</v>
      </c>
    </row>
    <row r="288" spans="1:2" x14ac:dyDescent="0.6">
      <c r="A288" s="1" t="str">
        <f>_xlfn.CONCAT(ElipseTabla!$F95,",",ElipseTabla!G95)</f>
        <v>40,50</v>
      </c>
      <c r="B288" s="1" t="str">
        <f t="shared" si="5"/>
        <v>POINT 40,50</v>
      </c>
    </row>
    <row r="289" spans="1:2" x14ac:dyDescent="0.6">
      <c r="A289" s="1" t="str">
        <f>_xlfn.CONCAT(ElipseTabla!$F96,",",ElipseTabla!G96)</f>
        <v>40,50</v>
      </c>
      <c r="B289" s="1" t="str">
        <f t="shared" si="5"/>
        <v>POINT 40,50</v>
      </c>
    </row>
    <row r="290" spans="1:2" x14ac:dyDescent="0.6">
      <c r="A290" s="1" t="str">
        <f>_xlfn.CONCAT(ElipseTabla!$F97,",",ElipseTabla!G97)</f>
        <v>40,50</v>
      </c>
      <c r="B290" s="1" t="str">
        <f t="shared" si="5"/>
        <v>POINT 40,50</v>
      </c>
    </row>
    <row r="291" spans="1:2" x14ac:dyDescent="0.6">
      <c r="A291" s="1" t="str">
        <f>_xlfn.CONCAT(ElipseTabla!$F98,",",ElipseTabla!G98)</f>
        <v>40,50</v>
      </c>
      <c r="B291" s="1" t="str">
        <f t="shared" si="5"/>
        <v>POINT 40,50</v>
      </c>
    </row>
    <row r="292" spans="1:2" x14ac:dyDescent="0.6">
      <c r="A292" s="1" t="str">
        <f>_xlfn.CONCAT(ElipseTabla!$F99,",",ElipseTabla!G99)</f>
        <v>40,50</v>
      </c>
      <c r="B292" s="1" t="str">
        <f t="shared" si="5"/>
        <v>POINT 40,50</v>
      </c>
    </row>
    <row r="293" spans="1:2" x14ac:dyDescent="0.6">
      <c r="A293" s="1" t="str">
        <f>_xlfn.CONCAT(ElipseTabla!$F100,",",ElipseTabla!G100)</f>
        <v>40,50</v>
      </c>
      <c r="B293" s="1" t="str">
        <f t="shared" si="5"/>
        <v>POINT 40,50</v>
      </c>
    </row>
    <row r="294" spans="1:2" x14ac:dyDescent="0.6">
      <c r="A294" s="1" t="str">
        <f>_xlfn.CONCAT(ElipseTabla!$F101,",",ElipseTabla!G101)</f>
        <v>40,50</v>
      </c>
      <c r="B294" s="1" t="str">
        <f t="shared" si="5"/>
        <v>POINT 40,50</v>
      </c>
    </row>
    <row r="295" spans="1:2" x14ac:dyDescent="0.6">
      <c r="A295" s="1" t="str">
        <f>_xlfn.CONCAT(ElipseTabla!$F102,",",ElipseTabla!G102)</f>
        <v>40,50</v>
      </c>
      <c r="B295" s="1" t="str">
        <f t="shared" si="5"/>
        <v>POINT 40,50</v>
      </c>
    </row>
    <row r="296" spans="1:2" x14ac:dyDescent="0.6">
      <c r="A296" s="1" t="str">
        <f>_xlfn.CONCAT(ElipseTabla!$F103,",",ElipseTabla!G103)</f>
        <v>40,50</v>
      </c>
      <c r="B296" s="1" t="str">
        <f t="shared" si="5"/>
        <v>POINT 40,50</v>
      </c>
    </row>
    <row r="297" spans="1:2" x14ac:dyDescent="0.6">
      <c r="A297" s="1" t="str">
        <f>_xlfn.CONCAT(ElipseTabla!$F104,",",ElipseTabla!G104)</f>
        <v>40,50</v>
      </c>
      <c r="B297" s="1" t="str">
        <f t="shared" si="5"/>
        <v>POINT 40,50</v>
      </c>
    </row>
    <row r="298" spans="1:2" x14ac:dyDescent="0.6">
      <c r="A298" s="1" t="str">
        <f>_xlfn.CONCAT(ElipseTabla!$F105,",",ElipseTabla!G105)</f>
        <v>40,50</v>
      </c>
      <c r="B298" s="1" t="str">
        <f t="shared" si="5"/>
        <v>POINT 40,50</v>
      </c>
    </row>
    <row r="299" spans="1:2" x14ac:dyDescent="0.6">
      <c r="A299" s="1" t="str">
        <f>_xlfn.CONCAT(ElipseTabla!$F106,",",ElipseTabla!G106)</f>
        <v>40,50</v>
      </c>
      <c r="B299" s="1" t="str">
        <f t="shared" si="5"/>
        <v>POINT 40,50</v>
      </c>
    </row>
    <row r="300" spans="1:2" x14ac:dyDescent="0.6">
      <c r="A300" s="1" t="str">
        <f>_xlfn.CONCAT(ElipseTabla!$F107,",",ElipseTabla!G107)</f>
        <v>40,50</v>
      </c>
      <c r="B300" s="1" t="str">
        <f t="shared" si="5"/>
        <v>POINT 40,50</v>
      </c>
    </row>
    <row r="301" spans="1:2" x14ac:dyDescent="0.6">
      <c r="A301" s="1" t="str">
        <f>_xlfn.CONCAT(ElipseTabla!$F108,",",ElipseTabla!G108)</f>
        <v>40,50</v>
      </c>
      <c r="B301" s="1" t="str">
        <f t="shared" si="5"/>
        <v>POINT 40,50</v>
      </c>
    </row>
    <row r="302" spans="1:2" x14ac:dyDescent="0.6">
      <c r="A302" s="1" t="str">
        <f>_xlfn.CONCAT(ElipseTabla!$F109,",",ElipseTabla!G109)</f>
        <v>40,50</v>
      </c>
      <c r="B302" s="1" t="str">
        <f t="shared" si="5"/>
        <v>POINT 40,50</v>
      </c>
    </row>
    <row r="303" spans="1:2" x14ac:dyDescent="0.6">
      <c r="A303" s="1" t="str">
        <f>_xlfn.CONCAT(ElipseTabla!$F110,",",ElipseTabla!G110)</f>
        <v>40,50</v>
      </c>
      <c r="B303" s="1" t="str">
        <f t="shared" si="5"/>
        <v>POINT 40,50</v>
      </c>
    </row>
    <row r="304" spans="1:2" x14ac:dyDescent="0.6">
      <c r="A304" s="1" t="str">
        <f>_xlfn.CONCAT(ElipseTabla!$F111,",",ElipseTabla!G111)</f>
        <v>40,50</v>
      </c>
      <c r="B304" s="1" t="str">
        <f t="shared" si="5"/>
        <v>POINT 40,50</v>
      </c>
    </row>
    <row r="305" spans="1:2" x14ac:dyDescent="0.6">
      <c r="A305" s="1" t="str">
        <f>_xlfn.CONCAT(ElipseTabla!$F112,",",ElipseTabla!G112)</f>
        <v>40,50</v>
      </c>
      <c r="B305" s="1" t="str">
        <f t="shared" si="5"/>
        <v>POINT 40,50</v>
      </c>
    </row>
    <row r="307" spans="1:2" x14ac:dyDescent="0.6">
      <c r="A307" s="1" t="s">
        <v>17</v>
      </c>
    </row>
    <row r="308" spans="1:2" x14ac:dyDescent="0.6">
      <c r="A308" s="1" t="str">
        <f>_xlfn.CONCAT(ElipseTabla!$F13,",",ElipseTabla!H13)</f>
        <v>100,30</v>
      </c>
      <c r="B308" s="1" t="str">
        <f t="shared" ref="B308:B371" si="6">_xlfn.CONCAT("POINT ",A308)</f>
        <v>POINT 100,30</v>
      </c>
    </row>
    <row r="309" spans="1:2" x14ac:dyDescent="0.6">
      <c r="A309" s="1" t="str">
        <f>_xlfn.CONCAT(ElipseTabla!$F14,",",ElipseTabla!H14)</f>
        <v>98.75,30.0043407488303</v>
      </c>
      <c r="B309" s="1" t="str">
        <f t="shared" si="6"/>
        <v>POINT 98.75,30.0043407488303</v>
      </c>
    </row>
    <row r="310" spans="1:2" x14ac:dyDescent="0.6">
      <c r="A310" s="1" t="str">
        <f>_xlfn.CONCAT(ElipseTabla!$F15,",",ElipseTabla!H15)</f>
        <v>97.5,30.0173686528637</v>
      </c>
      <c r="B310" s="1" t="str">
        <f t="shared" si="6"/>
        <v>POINT 97.5,30.0173686528637</v>
      </c>
    </row>
    <row r="311" spans="1:2" x14ac:dyDescent="0.6">
      <c r="A311" s="1" t="str">
        <f>_xlfn.CONCAT(ElipseTabla!$F16,",",ElipseTabla!H16)</f>
        <v>96.25,30.0391007216609</v>
      </c>
      <c r="B311" s="1" t="str">
        <f t="shared" si="6"/>
        <v>POINT 96.25,30.0391007216609</v>
      </c>
    </row>
    <row r="312" spans="1:2" x14ac:dyDescent="0.6">
      <c r="A312" s="1" t="str">
        <f>_xlfn.CONCAT(ElipseTabla!$F17,",",ElipseTabla!H17)</f>
        <v>95,30.0695654281643</v>
      </c>
      <c r="B312" s="1" t="str">
        <f t="shared" si="6"/>
        <v>POINT 95,30.0695654281643</v>
      </c>
    </row>
    <row r="313" spans="1:2" x14ac:dyDescent="0.6">
      <c r="A313" s="1" t="str">
        <f>_xlfn.CONCAT(ElipseTabla!$F18,",",ElipseTabla!H18)</f>
        <v>93.75,30.1088028962</v>
      </c>
      <c r="B313" s="1" t="str">
        <f t="shared" si="6"/>
        <v>POINT 93.75,30.1088028962</v>
      </c>
    </row>
    <row r="314" spans="1:2" x14ac:dyDescent="0.6">
      <c r="A314" s="1" t="str">
        <f>_xlfn.CONCAT(ElipseTabla!$F19,",",ElipseTabla!H19)</f>
        <v>92.5,30.1568651670156</v>
      </c>
      <c r="B314" s="1" t="str">
        <f t="shared" si="6"/>
        <v>POINT 92.5,30.1568651670156</v>
      </c>
    </row>
    <row r="315" spans="1:2" x14ac:dyDescent="0.6">
      <c r="A315" s="1" t="str">
        <f>_xlfn.CONCAT(ElipseTabla!$F20,",",ElipseTabla!H20)</f>
        <v>91.25,30.2138165490271</v>
      </c>
      <c r="B315" s="1" t="str">
        <f t="shared" si="6"/>
        <v>POINT 91.25,30.2138165490271</v>
      </c>
    </row>
    <row r="316" spans="1:2" x14ac:dyDescent="0.6">
      <c r="A316" s="1" t="str">
        <f>_xlfn.CONCAT(ElipseTabla!$F21,",",ElipseTabla!H21)</f>
        <v>90,30.2797340563346</v>
      </c>
      <c r="B316" s="1" t="str">
        <f t="shared" si="6"/>
        <v>POINT 90,30.2797340563346</v>
      </c>
    </row>
    <row r="317" spans="1:2" x14ac:dyDescent="0.6">
      <c r="A317" s="1" t="str">
        <f>_xlfn.CONCAT(ElipseTabla!$F22,",",ElipseTabla!H22)</f>
        <v>88.75,30.3547079431229</v>
      </c>
      <c r="B317" s="1" t="str">
        <f t="shared" si="6"/>
        <v>POINT 88.75,30.3547079431229</v>
      </c>
    </row>
    <row r="318" spans="1:2" x14ac:dyDescent="0.6">
      <c r="A318" s="1" t="str">
        <f>_xlfn.CONCAT(ElipseTabla!$F23,",",ElipseTabla!H23)</f>
        <v>87.5,30.4388423428242</v>
      </c>
      <c r="B318" s="1" t="str">
        <f t="shared" si="6"/>
        <v>POINT 87.5,30.4388423428242</v>
      </c>
    </row>
    <row r="319" spans="1:2" x14ac:dyDescent="0.6">
      <c r="A319" s="1" t="str">
        <f>_xlfn.CONCAT(ElipseTabla!$F24,",",ElipseTabla!H24)</f>
        <v>86.25,30.5322560229606</v>
      </c>
      <c r="B319" s="1" t="str">
        <f t="shared" si="6"/>
        <v>POINT 86.25,30.5322560229606</v>
      </c>
    </row>
    <row r="320" spans="1:2" x14ac:dyDescent="0.6">
      <c r="A320" s="1" t="str">
        <f>_xlfn.CONCAT(ElipseTabla!$F25,",",ElipseTabla!H25)</f>
        <v>85,30.6350832689629</v>
      </c>
      <c r="B320" s="1" t="str">
        <f t="shared" si="6"/>
        <v>POINT 85,30.6350832689629</v>
      </c>
    </row>
    <row r="321" spans="1:2" x14ac:dyDescent="0.6">
      <c r="A321" s="1" t="str">
        <f>_xlfn.CONCAT(ElipseTabla!$F26,",",ElipseTabla!H26)</f>
        <v>83.75,30.7474749130868</v>
      </c>
      <c r="B321" s="1" t="str">
        <f t="shared" si="6"/>
        <v>POINT 83.75,30.7474749130868</v>
      </c>
    </row>
    <row r="322" spans="1:2" x14ac:dyDescent="0.6">
      <c r="A322" s="1" t="str">
        <f>_xlfn.CONCAT(ElipseTabla!$F27,",",ElipseTabla!H27)</f>
        <v>82.5,30.8695995279183</v>
      </c>
      <c r="B322" s="1" t="str">
        <f t="shared" si="6"/>
        <v>POINT 82.5,30.8695995279183</v>
      </c>
    </row>
    <row r="323" spans="1:2" x14ac:dyDescent="0.6">
      <c r="A323" s="1" t="str">
        <f>_xlfn.CONCAT(ElipseTabla!$F28,",",ElipseTabla!H28)</f>
        <v>81.25,31.0016448080367</v>
      </c>
      <c r="B323" s="1" t="str">
        <f t="shared" si="6"/>
        <v>POINT 81.25,31.0016448080367</v>
      </c>
    </row>
    <row r="324" spans="1:2" x14ac:dyDescent="0.6">
      <c r="A324" s="1" t="str">
        <f>_xlfn.CONCAT(ElipseTabla!$F29,",",ElipseTabla!H29)</f>
        <v>80,31.1438191683587</v>
      </c>
      <c r="B324" s="1" t="str">
        <f t="shared" si="6"/>
        <v>POINT 80,31.1438191683587</v>
      </c>
    </row>
    <row r="325" spans="1:2" x14ac:dyDescent="0.6">
      <c r="A325" s="1" t="str">
        <f>_xlfn.CONCAT(ElipseTabla!$F30,",",ElipseTabla!H30)</f>
        <v>78.75,31.2963535937805</v>
      </c>
      <c r="B325" s="1" t="str">
        <f t="shared" si="6"/>
        <v>POINT 78.75,31.2963535937805</v>
      </c>
    </row>
    <row r="326" spans="1:2" x14ac:dyDescent="0.6">
      <c r="A326" s="1" t="str">
        <f>_xlfn.CONCAT(ElipseTabla!$F31,",",ElipseTabla!H31)</f>
        <v>77.5,31.4595037822608</v>
      </c>
      <c r="B326" s="1" t="str">
        <f t="shared" si="6"/>
        <v>POINT 77.5,31.4595037822608</v>
      </c>
    </row>
    <row r="327" spans="1:2" x14ac:dyDescent="0.6">
      <c r="A327" s="1" t="str">
        <f>_xlfn.CONCAT(ElipseTabla!$F32,",",ElipseTabla!H32)</f>
        <v>76.25,31.6335526328882</v>
      </c>
      <c r="B327" s="1" t="str">
        <f t="shared" si="6"/>
        <v>POINT 76.25,31.6335526328882</v>
      </c>
    </row>
    <row r="328" spans="1:2" x14ac:dyDescent="0.6">
      <c r="A328" s="1" t="str">
        <f>_xlfn.CONCAT(ElipseTabla!$F33,",",ElipseTabla!H33)</f>
        <v>75,31.8188131422738</v>
      </c>
      <c r="B328" s="1" t="str">
        <f t="shared" si="6"/>
        <v>POINT 75,31.8188131422738</v>
      </c>
    </row>
    <row r="329" spans="1:2" x14ac:dyDescent="0.6">
      <c r="A329" s="1" t="str">
        <f>_xlfn.CONCAT(ElipseTabla!$F34,",",ElipseTabla!H34)</f>
        <v>73.75,32.0156317875773</v>
      </c>
      <c r="B329" s="1" t="str">
        <f t="shared" si="6"/>
        <v>POINT 73.75,32.0156317875773</v>
      </c>
    </row>
    <row r="330" spans="1:2" x14ac:dyDescent="0.6">
      <c r="A330" s="1" t="str">
        <f>_xlfn.CONCAT(ElipseTabla!$F35,",",ElipseTabla!H35)</f>
        <v>72.5,32.224392493582</v>
      </c>
      <c r="B330" s="1" t="str">
        <f t="shared" si="6"/>
        <v>POINT 72.5,32.224392493582</v>
      </c>
    </row>
    <row r="331" spans="1:2" x14ac:dyDescent="0.6">
      <c r="A331" s="1" t="str">
        <f>_xlfn.CONCAT(ElipseTabla!$F36,",",ElipseTabla!H36)</f>
        <v>71.25,32.4455213058826</v>
      </c>
      <c r="B331" s="1" t="str">
        <f t="shared" si="6"/>
        <v>POINT 71.25,32.4455213058826</v>
      </c>
    </row>
    <row r="332" spans="1:2" x14ac:dyDescent="0.6">
      <c r="A332" s="1" t="str">
        <f>_xlfn.CONCAT(ElipseTabla!$F37,",",ElipseTabla!H37)</f>
        <v>70,32.6794919243112</v>
      </c>
      <c r="B332" s="1" t="str">
        <f t="shared" si="6"/>
        <v>POINT 70,32.6794919243112</v>
      </c>
    </row>
    <row r="333" spans="1:2" x14ac:dyDescent="0.6">
      <c r="A333" s="1" t="str">
        <f>_xlfn.CONCAT(ElipseTabla!$F38,",",ElipseTabla!H38)</f>
        <v>68.75,32.9268322928768</v>
      </c>
      <c r="B333" s="1" t="str">
        <f t="shared" si="6"/>
        <v>POINT 68.75,32.9268322928768</v>
      </c>
    </row>
    <row r="334" spans="1:2" x14ac:dyDescent="0.6">
      <c r="A334" s="1" t="str">
        <f>_xlfn.CONCAT(ElipseTabla!$F39,",",ElipseTabla!H39)</f>
        <v>67.5,33.1881324984733</v>
      </c>
      <c r="B334" s="1" t="str">
        <f t="shared" si="6"/>
        <v>POINT 67.5,33.1881324984733</v>
      </c>
    </row>
    <row r="335" spans="1:2" x14ac:dyDescent="0.6">
      <c r="A335" s="1" t="str">
        <f>_xlfn.CONCAT(ElipseTabla!$F40,",",ElipseTabla!H40)</f>
        <v>66.25,33.4640543058463</v>
      </c>
      <c r="B335" s="1" t="str">
        <f t="shared" si="6"/>
        <v>POINT 66.25,33.4640543058463</v>
      </c>
    </row>
    <row r="336" spans="1:2" x14ac:dyDescent="0.6">
      <c r="A336" s="1" t="str">
        <f>_xlfn.CONCAT(ElipseTabla!$F41,",",ElipseTabla!H41)</f>
        <v>65,33.7553427586517</v>
      </c>
      <c r="B336" s="1" t="str">
        <f t="shared" si="6"/>
        <v>POINT 65,33.7553427586517</v>
      </c>
    </row>
    <row r="337" spans="1:2" x14ac:dyDescent="0.6">
      <c r="A337" s="1" t="str">
        <f>_xlfn.CONCAT(ElipseTabla!$F42,",",ElipseTabla!H42)</f>
        <v>63.75,34.0628404175789</v>
      </c>
      <c r="B337" s="1" t="str">
        <f t="shared" si="6"/>
        <v>POINT 63.75,34.0628404175789</v>
      </c>
    </row>
    <row r="338" spans="1:2" x14ac:dyDescent="0.6">
      <c r="A338" s="1" t="str">
        <f>_xlfn.CONCAT(ElipseTabla!$F43,",",ElipseTabla!H43)</f>
        <v>62.5,34.387505004004</v>
      </c>
      <c r="B338" s="1" t="str">
        <f t="shared" si="6"/>
        <v>POINT 62.5,34.387505004004</v>
      </c>
    </row>
    <row r="339" spans="1:2" x14ac:dyDescent="0.6">
      <c r="A339" s="1" t="str">
        <f>_xlfn.CONCAT(ElipseTabla!$F44,",",ElipseTabla!H44)</f>
        <v>61.25,34.7304314984927</v>
      </c>
      <c r="B339" s="1" t="str">
        <f t="shared" si="6"/>
        <v>POINT 61.25,34.7304314984927</v>
      </c>
    </row>
    <row r="340" spans="1:2" x14ac:dyDescent="0.6">
      <c r="A340" s="1" t="str">
        <f>_xlfn.CONCAT(ElipseTabla!$F45,",",ElipseTabla!H45)</f>
        <v>60,35.0928801500014</v>
      </c>
      <c r="B340" s="1" t="str">
        <f t="shared" si="6"/>
        <v>POINT 60,35.0928801500014</v>
      </c>
    </row>
    <row r="341" spans="1:2" x14ac:dyDescent="0.6">
      <c r="A341" s="1" t="str">
        <f>_xlfn.CONCAT(ElipseTabla!$F46,",",ElipseTabla!H46)</f>
        <v>58.75,35.4763124517222</v>
      </c>
      <c r="B341" s="1" t="str">
        <f t="shared" si="6"/>
        <v>POINT 58.75,35.4763124517222</v>
      </c>
    </row>
    <row r="342" spans="1:2" x14ac:dyDescent="0.6">
      <c r="A342" s="1" t="str">
        <f>_xlfn.CONCAT(ElipseTabla!$F47,",",ElipseTabla!H47)</f>
        <v>57.5,35.8824380449188</v>
      </c>
      <c r="B342" s="1" t="str">
        <f t="shared" si="6"/>
        <v>POINT 57.5,35.8824380449188</v>
      </c>
    </row>
    <row r="343" spans="1:2" x14ac:dyDescent="0.6">
      <c r="A343" s="1" t="str">
        <f>_xlfn.CONCAT(ElipseTabla!$F48,",",ElipseTabla!H48)</f>
        <v>56.25,36.3132769119526</v>
      </c>
      <c r="B343" s="1" t="str">
        <f t="shared" si="6"/>
        <v>POINT 56.25,36.3132769119526</v>
      </c>
    </row>
    <row r="344" spans="1:2" x14ac:dyDescent="0.6">
      <c r="A344" s="1" t="str">
        <f>_xlfn.CONCAT(ElipseTabla!$F49,",",ElipseTabla!H49)</f>
        <v>55,36.771243444677</v>
      </c>
      <c r="B344" s="1" t="str">
        <f t="shared" si="6"/>
        <v>POINT 55,36.771243444677</v>
      </c>
    </row>
    <row r="345" spans="1:2" x14ac:dyDescent="0.6">
      <c r="A345" s="1" t="str">
        <f>_xlfn.CONCAT(ElipseTabla!$F50,",",ElipseTabla!H50)</f>
        <v>53.75,37.2592626238161</v>
      </c>
      <c r="B345" s="1" t="str">
        <f t="shared" si="6"/>
        <v>POINT 53.75,37.2592626238161</v>
      </c>
    </row>
    <row r="346" spans="1:2" x14ac:dyDescent="0.6">
      <c r="A346" s="1" t="str">
        <f>_xlfn.CONCAT(ElipseTabla!$F51,",",ElipseTabla!H51)</f>
        <v>52.5,37.780934751154</v>
      </c>
      <c r="B346" s="1" t="str">
        <f t="shared" si="6"/>
        <v>POINT 52.5,37.780934751154</v>
      </c>
    </row>
    <row r="347" spans="1:2" x14ac:dyDescent="0.6">
      <c r="A347" s="1" t="str">
        <f>_xlfn.CONCAT(ElipseTabla!$F52,",",ElipseTabla!H52)</f>
        <v>51.25,38.340776183639</v>
      </c>
      <c r="B347" s="1" t="str">
        <f t="shared" si="6"/>
        <v>POINT 51.25,38.340776183639</v>
      </c>
    </row>
    <row r="348" spans="1:2" x14ac:dyDescent="0.6">
      <c r="A348" s="1" t="str">
        <f>_xlfn.CONCAT(ElipseTabla!$F53,",",ElipseTabla!H53)</f>
        <v>50,38.9445840321487</v>
      </c>
      <c r="B348" s="1" t="str">
        <f t="shared" si="6"/>
        <v>POINT 50,38.9445840321487</v>
      </c>
    </row>
    <row r="349" spans="1:2" x14ac:dyDescent="0.6">
      <c r="A349" s="1" t="str">
        <f>_xlfn.CONCAT(ElipseTabla!$F54,",",ElipseTabla!H54)</f>
        <v>48.75,39.6000133547094</v>
      </c>
      <c r="B349" s="1" t="str">
        <f t="shared" si="6"/>
        <v>POINT 48.75,39.6000133547094</v>
      </c>
    </row>
    <row r="350" spans="1:2" x14ac:dyDescent="0.6">
      <c r="A350" s="1" t="str">
        <f>_xlfn.CONCAT(ElipseTabla!$F55,",",ElipseTabla!H55)</f>
        <v>47.5,40.3175416344815</v>
      </c>
      <c r="B350" s="1" t="str">
        <f t="shared" si="6"/>
        <v>POINT 47.5,40.3175416344815</v>
      </c>
    </row>
    <row r="351" spans="1:2" x14ac:dyDescent="0.6">
      <c r="A351" s="1" t="str">
        <f>_xlfn.CONCAT(ElipseTabla!$F56,",",ElipseTabla!H56)</f>
        <v>46.25,41.112196246791</v>
      </c>
      <c r="B351" s="1" t="str">
        <f t="shared" si="6"/>
        <v>POINT 46.25,41.112196246791</v>
      </c>
    </row>
    <row r="352" spans="1:2" x14ac:dyDescent="0.6">
      <c r="A352" s="1" t="str">
        <f>_xlfn.CONCAT(ElipseTabla!$F57,",",ElipseTabla!H57)</f>
        <v>45,42.0069474611455</v>
      </c>
      <c r="B352" s="1" t="str">
        <f t="shared" si="6"/>
        <v>POINT 45,42.0069474611455</v>
      </c>
    </row>
    <row r="353" spans="1:2" x14ac:dyDescent="0.6">
      <c r="A353" s="1" t="str">
        <f>_xlfn.CONCAT(ElipseTabla!$F58,",",ElipseTabla!H58)</f>
        <v>43.75,43.0402945464625</v>
      </c>
      <c r="B353" s="1" t="str">
        <f t="shared" si="6"/>
        <v>POINT 43.75,43.0402945464625</v>
      </c>
    </row>
    <row r="354" spans="1:2" x14ac:dyDescent="0.6">
      <c r="A354" s="1" t="str">
        <f>_xlfn.CONCAT(ElipseTabla!$F59,",",ElipseTabla!H59)</f>
        <v>42.5,44.2869544996658</v>
      </c>
      <c r="B354" s="1" t="str">
        <f t="shared" si="6"/>
        <v>POINT 42.5,44.2869544996658</v>
      </c>
    </row>
    <row r="355" spans="1:2" x14ac:dyDescent="0.6">
      <c r="A355" s="1" t="str">
        <f>_xlfn.CONCAT(ElipseTabla!$F60,",",ElipseTabla!H60)</f>
        <v>41.25,45.9388356896629</v>
      </c>
      <c r="B355" s="1" t="str">
        <f t="shared" si="6"/>
        <v>POINT 41.25,45.9388356896629</v>
      </c>
    </row>
    <row r="356" spans="1:2" x14ac:dyDescent="0.6">
      <c r="A356" s="1" t="str">
        <f>_xlfn.CONCAT(ElipseTabla!$F61,",",ElipseTabla!H61)</f>
        <v>40,50</v>
      </c>
      <c r="B356" s="1" t="str">
        <f t="shared" si="6"/>
        <v>POINT 40,50</v>
      </c>
    </row>
    <row r="357" spans="1:2" x14ac:dyDescent="0.6">
      <c r="A357" s="1" t="str">
        <f>_xlfn.CONCAT(ElipseTabla!$F62,",",ElipseTabla!H62)</f>
        <v>40,50</v>
      </c>
      <c r="B357" s="1" t="str">
        <f t="shared" si="6"/>
        <v>POINT 40,50</v>
      </c>
    </row>
    <row r="358" spans="1:2" x14ac:dyDescent="0.6">
      <c r="A358" s="1" t="str">
        <f>_xlfn.CONCAT(ElipseTabla!$F63,",",ElipseTabla!H63)</f>
        <v>40,50</v>
      </c>
      <c r="B358" s="1" t="str">
        <f t="shared" si="6"/>
        <v>POINT 40,50</v>
      </c>
    </row>
    <row r="359" spans="1:2" x14ac:dyDescent="0.6">
      <c r="A359" s="1" t="str">
        <f>_xlfn.CONCAT(ElipseTabla!$F64,",",ElipseTabla!H64)</f>
        <v>40,50</v>
      </c>
      <c r="B359" s="1" t="str">
        <f t="shared" si="6"/>
        <v>POINT 40,50</v>
      </c>
    </row>
    <row r="360" spans="1:2" x14ac:dyDescent="0.6">
      <c r="A360" s="1" t="str">
        <f>_xlfn.CONCAT(ElipseTabla!$F65,",",ElipseTabla!H65)</f>
        <v>40,50</v>
      </c>
      <c r="B360" s="1" t="str">
        <f t="shared" si="6"/>
        <v>POINT 40,50</v>
      </c>
    </row>
    <row r="361" spans="1:2" x14ac:dyDescent="0.6">
      <c r="A361" s="1" t="str">
        <f>_xlfn.CONCAT(ElipseTabla!$F66,",",ElipseTabla!H66)</f>
        <v>40,50</v>
      </c>
      <c r="B361" s="1" t="str">
        <f t="shared" si="6"/>
        <v>POINT 40,50</v>
      </c>
    </row>
    <row r="362" spans="1:2" x14ac:dyDescent="0.6">
      <c r="A362" s="1" t="str">
        <f>_xlfn.CONCAT(ElipseTabla!$F67,",",ElipseTabla!H67)</f>
        <v>40,50</v>
      </c>
      <c r="B362" s="1" t="str">
        <f t="shared" si="6"/>
        <v>POINT 40,50</v>
      </c>
    </row>
    <row r="363" spans="1:2" x14ac:dyDescent="0.6">
      <c r="A363" s="1" t="str">
        <f>_xlfn.CONCAT(ElipseTabla!$F68,",",ElipseTabla!H68)</f>
        <v>40,50</v>
      </c>
      <c r="B363" s="1" t="str">
        <f t="shared" si="6"/>
        <v>POINT 40,50</v>
      </c>
    </row>
    <row r="364" spans="1:2" x14ac:dyDescent="0.6">
      <c r="A364" s="1" t="str">
        <f>_xlfn.CONCAT(ElipseTabla!$F69,",",ElipseTabla!H69)</f>
        <v>40,50</v>
      </c>
      <c r="B364" s="1" t="str">
        <f t="shared" si="6"/>
        <v>POINT 40,50</v>
      </c>
    </row>
    <row r="365" spans="1:2" x14ac:dyDescent="0.6">
      <c r="A365" s="1" t="str">
        <f>_xlfn.CONCAT(ElipseTabla!$F70,",",ElipseTabla!H70)</f>
        <v>40,50</v>
      </c>
      <c r="B365" s="1" t="str">
        <f t="shared" si="6"/>
        <v>POINT 40,50</v>
      </c>
    </row>
    <row r="366" spans="1:2" x14ac:dyDescent="0.6">
      <c r="A366" s="1" t="str">
        <f>_xlfn.CONCAT(ElipseTabla!$F71,",",ElipseTabla!H71)</f>
        <v>40,50</v>
      </c>
      <c r="B366" s="1" t="str">
        <f t="shared" si="6"/>
        <v>POINT 40,50</v>
      </c>
    </row>
    <row r="367" spans="1:2" x14ac:dyDescent="0.6">
      <c r="A367" s="1" t="str">
        <f>_xlfn.CONCAT(ElipseTabla!$F72,",",ElipseTabla!H72)</f>
        <v>40,50</v>
      </c>
      <c r="B367" s="1" t="str">
        <f t="shared" si="6"/>
        <v>POINT 40,50</v>
      </c>
    </row>
    <row r="368" spans="1:2" x14ac:dyDescent="0.6">
      <c r="A368" s="1" t="str">
        <f>_xlfn.CONCAT(ElipseTabla!$F73,",",ElipseTabla!H73)</f>
        <v>40,50</v>
      </c>
      <c r="B368" s="1" t="str">
        <f t="shared" si="6"/>
        <v>POINT 40,50</v>
      </c>
    </row>
    <row r="369" spans="1:2" x14ac:dyDescent="0.6">
      <c r="A369" s="1" t="str">
        <f>_xlfn.CONCAT(ElipseTabla!$F74,",",ElipseTabla!H74)</f>
        <v>40,50</v>
      </c>
      <c r="B369" s="1" t="str">
        <f t="shared" si="6"/>
        <v>POINT 40,50</v>
      </c>
    </row>
    <row r="370" spans="1:2" x14ac:dyDescent="0.6">
      <c r="A370" s="1" t="str">
        <f>_xlfn.CONCAT(ElipseTabla!$F75,",",ElipseTabla!H75)</f>
        <v>40,50</v>
      </c>
      <c r="B370" s="1" t="str">
        <f t="shared" si="6"/>
        <v>POINT 40,50</v>
      </c>
    </row>
    <row r="371" spans="1:2" x14ac:dyDescent="0.6">
      <c r="A371" s="1" t="str">
        <f>_xlfn.CONCAT(ElipseTabla!$F76,",",ElipseTabla!H76)</f>
        <v>40,50</v>
      </c>
      <c r="B371" s="1" t="str">
        <f t="shared" si="6"/>
        <v>POINT 40,50</v>
      </c>
    </row>
    <row r="372" spans="1:2" x14ac:dyDescent="0.6">
      <c r="A372" s="1" t="str">
        <f>_xlfn.CONCAT(ElipseTabla!$F77,",",ElipseTabla!H77)</f>
        <v>40,50</v>
      </c>
      <c r="B372" s="1" t="str">
        <f t="shared" ref="B372:B407" si="7">_xlfn.CONCAT("POINT ",A372)</f>
        <v>POINT 40,50</v>
      </c>
    </row>
    <row r="373" spans="1:2" x14ac:dyDescent="0.6">
      <c r="A373" s="1" t="str">
        <f>_xlfn.CONCAT(ElipseTabla!$F78,",",ElipseTabla!H78)</f>
        <v>40,50</v>
      </c>
      <c r="B373" s="1" t="str">
        <f t="shared" si="7"/>
        <v>POINT 40,50</v>
      </c>
    </row>
    <row r="374" spans="1:2" x14ac:dyDescent="0.6">
      <c r="A374" s="1" t="str">
        <f>_xlfn.CONCAT(ElipseTabla!$F79,",",ElipseTabla!H79)</f>
        <v>40,50</v>
      </c>
      <c r="B374" s="1" t="str">
        <f t="shared" si="7"/>
        <v>POINT 40,50</v>
      </c>
    </row>
    <row r="375" spans="1:2" x14ac:dyDescent="0.6">
      <c r="A375" s="1" t="str">
        <f>_xlfn.CONCAT(ElipseTabla!$F80,",",ElipseTabla!H80)</f>
        <v>40,50</v>
      </c>
      <c r="B375" s="1" t="str">
        <f t="shared" si="7"/>
        <v>POINT 40,50</v>
      </c>
    </row>
    <row r="376" spans="1:2" x14ac:dyDescent="0.6">
      <c r="A376" s="1" t="str">
        <f>_xlfn.CONCAT(ElipseTabla!$F81,",",ElipseTabla!H81)</f>
        <v>40,50</v>
      </c>
      <c r="B376" s="1" t="str">
        <f t="shared" si="7"/>
        <v>POINT 40,50</v>
      </c>
    </row>
    <row r="377" spans="1:2" x14ac:dyDescent="0.6">
      <c r="A377" s="1" t="str">
        <f>_xlfn.CONCAT(ElipseTabla!$F82,",",ElipseTabla!H82)</f>
        <v>40,50</v>
      </c>
      <c r="B377" s="1" t="str">
        <f t="shared" si="7"/>
        <v>POINT 40,50</v>
      </c>
    </row>
    <row r="378" spans="1:2" x14ac:dyDescent="0.6">
      <c r="A378" s="1" t="str">
        <f>_xlfn.CONCAT(ElipseTabla!$F83,",",ElipseTabla!H83)</f>
        <v>40,50</v>
      </c>
      <c r="B378" s="1" t="str">
        <f t="shared" si="7"/>
        <v>POINT 40,50</v>
      </c>
    </row>
    <row r="379" spans="1:2" x14ac:dyDescent="0.6">
      <c r="A379" s="1" t="str">
        <f>_xlfn.CONCAT(ElipseTabla!$F84,",",ElipseTabla!H84)</f>
        <v>40,50</v>
      </c>
      <c r="B379" s="1" t="str">
        <f t="shared" si="7"/>
        <v>POINT 40,50</v>
      </c>
    </row>
    <row r="380" spans="1:2" x14ac:dyDescent="0.6">
      <c r="A380" s="1" t="str">
        <f>_xlfn.CONCAT(ElipseTabla!$F85,",",ElipseTabla!H85)</f>
        <v>40,50</v>
      </c>
      <c r="B380" s="1" t="str">
        <f t="shared" si="7"/>
        <v>POINT 40,50</v>
      </c>
    </row>
    <row r="381" spans="1:2" x14ac:dyDescent="0.6">
      <c r="A381" s="1" t="str">
        <f>_xlfn.CONCAT(ElipseTabla!$F86,",",ElipseTabla!H86)</f>
        <v>40,50</v>
      </c>
      <c r="B381" s="1" t="str">
        <f t="shared" si="7"/>
        <v>POINT 40,50</v>
      </c>
    </row>
    <row r="382" spans="1:2" x14ac:dyDescent="0.6">
      <c r="A382" s="1" t="str">
        <f>_xlfn.CONCAT(ElipseTabla!$F87,",",ElipseTabla!H87)</f>
        <v>40,50</v>
      </c>
      <c r="B382" s="1" t="str">
        <f t="shared" si="7"/>
        <v>POINT 40,50</v>
      </c>
    </row>
    <row r="383" spans="1:2" x14ac:dyDescent="0.6">
      <c r="A383" s="1" t="str">
        <f>_xlfn.CONCAT(ElipseTabla!$F88,",",ElipseTabla!H88)</f>
        <v>40,50</v>
      </c>
      <c r="B383" s="1" t="str">
        <f t="shared" si="7"/>
        <v>POINT 40,50</v>
      </c>
    </row>
    <row r="384" spans="1:2" x14ac:dyDescent="0.6">
      <c r="A384" s="1" t="str">
        <f>_xlfn.CONCAT(ElipseTabla!$F89,",",ElipseTabla!H89)</f>
        <v>40,50</v>
      </c>
      <c r="B384" s="1" t="str">
        <f t="shared" si="7"/>
        <v>POINT 40,50</v>
      </c>
    </row>
    <row r="385" spans="1:2" x14ac:dyDescent="0.6">
      <c r="A385" s="1" t="str">
        <f>_xlfn.CONCAT(ElipseTabla!$F90,",",ElipseTabla!H90)</f>
        <v>40,50</v>
      </c>
      <c r="B385" s="1" t="str">
        <f t="shared" si="7"/>
        <v>POINT 40,50</v>
      </c>
    </row>
    <row r="386" spans="1:2" x14ac:dyDescent="0.6">
      <c r="A386" s="1" t="str">
        <f>_xlfn.CONCAT(ElipseTabla!$F91,",",ElipseTabla!H91)</f>
        <v>40,50</v>
      </c>
      <c r="B386" s="1" t="str">
        <f t="shared" si="7"/>
        <v>POINT 40,50</v>
      </c>
    </row>
    <row r="387" spans="1:2" x14ac:dyDescent="0.6">
      <c r="A387" s="1" t="str">
        <f>_xlfn.CONCAT(ElipseTabla!$F92,",",ElipseTabla!H92)</f>
        <v>40,50</v>
      </c>
      <c r="B387" s="1" t="str">
        <f t="shared" si="7"/>
        <v>POINT 40,50</v>
      </c>
    </row>
    <row r="388" spans="1:2" x14ac:dyDescent="0.6">
      <c r="A388" s="1" t="str">
        <f>_xlfn.CONCAT(ElipseTabla!$F93,",",ElipseTabla!H93)</f>
        <v>40,50</v>
      </c>
      <c r="B388" s="1" t="str">
        <f t="shared" si="7"/>
        <v>POINT 40,50</v>
      </c>
    </row>
    <row r="389" spans="1:2" x14ac:dyDescent="0.6">
      <c r="A389" s="1" t="str">
        <f>_xlfn.CONCAT(ElipseTabla!$F94,",",ElipseTabla!H94)</f>
        <v>40,50</v>
      </c>
      <c r="B389" s="1" t="str">
        <f t="shared" si="7"/>
        <v>POINT 40,50</v>
      </c>
    </row>
    <row r="390" spans="1:2" x14ac:dyDescent="0.6">
      <c r="A390" s="1" t="str">
        <f>_xlfn.CONCAT(ElipseTabla!$F95,",",ElipseTabla!H95)</f>
        <v>40,50</v>
      </c>
      <c r="B390" s="1" t="str">
        <f t="shared" si="7"/>
        <v>POINT 40,50</v>
      </c>
    </row>
    <row r="391" spans="1:2" x14ac:dyDescent="0.6">
      <c r="A391" s="1" t="str">
        <f>_xlfn.CONCAT(ElipseTabla!$F96,",",ElipseTabla!H96)</f>
        <v>40,50</v>
      </c>
      <c r="B391" s="1" t="str">
        <f t="shared" si="7"/>
        <v>POINT 40,50</v>
      </c>
    </row>
    <row r="392" spans="1:2" x14ac:dyDescent="0.6">
      <c r="A392" s="1" t="str">
        <f>_xlfn.CONCAT(ElipseTabla!$F97,",",ElipseTabla!H97)</f>
        <v>40,50</v>
      </c>
      <c r="B392" s="1" t="str">
        <f t="shared" si="7"/>
        <v>POINT 40,50</v>
      </c>
    </row>
    <row r="393" spans="1:2" x14ac:dyDescent="0.6">
      <c r="A393" s="1" t="str">
        <f>_xlfn.CONCAT(ElipseTabla!$F98,",",ElipseTabla!H98)</f>
        <v>40,50</v>
      </c>
      <c r="B393" s="1" t="str">
        <f t="shared" si="7"/>
        <v>POINT 40,50</v>
      </c>
    </row>
    <row r="394" spans="1:2" x14ac:dyDescent="0.6">
      <c r="A394" s="1" t="str">
        <f>_xlfn.CONCAT(ElipseTabla!$F99,",",ElipseTabla!H99)</f>
        <v>40,50</v>
      </c>
      <c r="B394" s="1" t="str">
        <f t="shared" si="7"/>
        <v>POINT 40,50</v>
      </c>
    </row>
    <row r="395" spans="1:2" x14ac:dyDescent="0.6">
      <c r="A395" s="1" t="str">
        <f>_xlfn.CONCAT(ElipseTabla!$F100,",",ElipseTabla!H100)</f>
        <v>40,50</v>
      </c>
      <c r="B395" s="1" t="str">
        <f t="shared" si="7"/>
        <v>POINT 40,50</v>
      </c>
    </row>
    <row r="396" spans="1:2" x14ac:dyDescent="0.6">
      <c r="A396" s="1" t="str">
        <f>_xlfn.CONCAT(ElipseTabla!$F101,",",ElipseTabla!H101)</f>
        <v>40,50</v>
      </c>
      <c r="B396" s="1" t="str">
        <f t="shared" si="7"/>
        <v>POINT 40,50</v>
      </c>
    </row>
    <row r="397" spans="1:2" x14ac:dyDescent="0.6">
      <c r="A397" s="1" t="str">
        <f>_xlfn.CONCAT(ElipseTabla!$F102,",",ElipseTabla!H102)</f>
        <v>40,50</v>
      </c>
      <c r="B397" s="1" t="str">
        <f t="shared" si="7"/>
        <v>POINT 40,50</v>
      </c>
    </row>
    <row r="398" spans="1:2" x14ac:dyDescent="0.6">
      <c r="A398" s="1" t="str">
        <f>_xlfn.CONCAT(ElipseTabla!$F103,",",ElipseTabla!H103)</f>
        <v>40,50</v>
      </c>
      <c r="B398" s="1" t="str">
        <f t="shared" si="7"/>
        <v>POINT 40,50</v>
      </c>
    </row>
    <row r="399" spans="1:2" x14ac:dyDescent="0.6">
      <c r="A399" s="1" t="str">
        <f>_xlfn.CONCAT(ElipseTabla!$F104,",",ElipseTabla!H104)</f>
        <v>40,50</v>
      </c>
      <c r="B399" s="1" t="str">
        <f t="shared" si="7"/>
        <v>POINT 40,50</v>
      </c>
    </row>
    <row r="400" spans="1:2" x14ac:dyDescent="0.6">
      <c r="A400" s="1" t="str">
        <f>_xlfn.CONCAT(ElipseTabla!$F105,",",ElipseTabla!H105)</f>
        <v>40,50</v>
      </c>
      <c r="B400" s="1" t="str">
        <f t="shared" si="7"/>
        <v>POINT 40,50</v>
      </c>
    </row>
    <row r="401" spans="1:2" x14ac:dyDescent="0.6">
      <c r="A401" s="1" t="str">
        <f>_xlfn.CONCAT(ElipseTabla!$F106,",",ElipseTabla!H106)</f>
        <v>40,50</v>
      </c>
      <c r="B401" s="1" t="str">
        <f t="shared" si="7"/>
        <v>POINT 40,50</v>
      </c>
    </row>
    <row r="402" spans="1:2" x14ac:dyDescent="0.6">
      <c r="A402" s="1" t="str">
        <f>_xlfn.CONCAT(ElipseTabla!$F107,",",ElipseTabla!H107)</f>
        <v>40,50</v>
      </c>
      <c r="B402" s="1" t="str">
        <f t="shared" si="7"/>
        <v>POINT 40,50</v>
      </c>
    </row>
    <row r="403" spans="1:2" x14ac:dyDescent="0.6">
      <c r="A403" s="1" t="str">
        <f>_xlfn.CONCAT(ElipseTabla!$F108,",",ElipseTabla!H108)</f>
        <v>40,50</v>
      </c>
      <c r="B403" s="1" t="str">
        <f t="shared" si="7"/>
        <v>POINT 40,50</v>
      </c>
    </row>
    <row r="404" spans="1:2" x14ac:dyDescent="0.6">
      <c r="A404" s="1" t="str">
        <f>_xlfn.CONCAT(ElipseTabla!$F109,",",ElipseTabla!H109)</f>
        <v>40,50</v>
      </c>
      <c r="B404" s="1" t="str">
        <f t="shared" si="7"/>
        <v>POINT 40,50</v>
      </c>
    </row>
    <row r="405" spans="1:2" x14ac:dyDescent="0.6">
      <c r="A405" s="1" t="str">
        <f>_xlfn.CONCAT(ElipseTabla!$F110,",",ElipseTabla!H110)</f>
        <v>40,50</v>
      </c>
      <c r="B405" s="1" t="str">
        <f t="shared" si="7"/>
        <v>POINT 40,50</v>
      </c>
    </row>
    <row r="406" spans="1:2" x14ac:dyDescent="0.6">
      <c r="A406" s="1" t="str">
        <f>_xlfn.CONCAT(ElipseTabla!$F111,",",ElipseTabla!H111)</f>
        <v>40,50</v>
      </c>
      <c r="B406" s="1" t="str">
        <f t="shared" si="7"/>
        <v>POINT 40,50</v>
      </c>
    </row>
    <row r="407" spans="1:2" x14ac:dyDescent="0.6">
      <c r="A407" s="1" t="str">
        <f>_xlfn.CONCAT(ElipseTabla!$F112,",",ElipseTabla!H112)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2:F112"/>
  <sheetViews>
    <sheetView showGridLines="0" tabSelected="1" zoomScale="160" zoomScaleNormal="160" workbookViewId="0">
      <selection activeCell="D43" sqref="D43"/>
    </sheetView>
  </sheetViews>
  <sheetFormatPr defaultColWidth="10.6640625" defaultRowHeight="16.5" x14ac:dyDescent="0.6"/>
  <cols>
    <col min="1" max="1" width="2.59765625" style="1" customWidth="1"/>
    <col min="2" max="2" width="7.1328125" style="29" customWidth="1"/>
    <col min="3" max="4" width="10.86328125" style="1" customWidth="1"/>
    <col min="5" max="6" width="17.53125" style="1" customWidth="1"/>
    <col min="7" max="16384" width="10.6640625" style="1"/>
  </cols>
  <sheetData>
    <row r="2" spans="2:6" x14ac:dyDescent="0.6">
      <c r="B2" s="23" t="s">
        <v>21</v>
      </c>
      <c r="C2" s="10"/>
      <c r="D2" s="10"/>
      <c r="E2" s="10"/>
      <c r="F2" s="11"/>
    </row>
    <row r="3" spans="2:6" x14ac:dyDescent="0.6">
      <c r="B3" s="25"/>
      <c r="C3" s="13"/>
      <c r="D3" s="13"/>
      <c r="E3" s="13"/>
      <c r="F3" s="14"/>
    </row>
    <row r="4" spans="2:6" x14ac:dyDescent="0.6">
      <c r="B4" s="2" t="s">
        <v>13</v>
      </c>
      <c r="C4" s="15"/>
      <c r="D4" s="3" t="s">
        <v>14</v>
      </c>
      <c r="E4" s="10"/>
      <c r="F4" s="11"/>
    </row>
    <row r="5" spans="2:6" x14ac:dyDescent="0.6">
      <c r="B5" s="16" t="s">
        <v>24</v>
      </c>
      <c r="C5" s="17"/>
      <c r="D5" s="24">
        <v>-30</v>
      </c>
      <c r="E5" s="30"/>
      <c r="F5" s="12"/>
    </row>
    <row r="6" spans="2:6" x14ac:dyDescent="0.6">
      <c r="B6" s="16" t="s">
        <v>25</v>
      </c>
      <c r="C6" s="18"/>
      <c r="D6" s="19">
        <f>ABS(xstart_hiperbola)</f>
        <v>30</v>
      </c>
      <c r="E6" s="30"/>
      <c r="F6" s="12"/>
    </row>
    <row r="7" spans="2:6" x14ac:dyDescent="0.6">
      <c r="B7" s="16" t="s">
        <v>22</v>
      </c>
      <c r="C7" s="18"/>
      <c r="D7" s="24">
        <v>12</v>
      </c>
      <c r="E7" s="30"/>
      <c r="F7" s="12"/>
    </row>
    <row r="8" spans="2:6" x14ac:dyDescent="0.6">
      <c r="B8" s="16" t="s">
        <v>23</v>
      </c>
      <c r="C8" s="18"/>
      <c r="D8" s="24">
        <v>9</v>
      </c>
      <c r="E8" s="30"/>
      <c r="F8" s="12"/>
    </row>
    <row r="9" spans="2:6" x14ac:dyDescent="0.6">
      <c r="B9" s="16" t="s">
        <v>12</v>
      </c>
      <c r="C9" s="18"/>
      <c r="D9" s="24">
        <v>100</v>
      </c>
      <c r="E9" s="30"/>
      <c r="F9" s="12"/>
    </row>
    <row r="10" spans="2:6" x14ac:dyDescent="0.6">
      <c r="B10" s="16"/>
      <c r="C10" s="18"/>
      <c r="D10" s="19"/>
      <c r="E10" s="30"/>
      <c r="F10" s="12"/>
    </row>
    <row r="11" spans="2:6" x14ac:dyDescent="0.6">
      <c r="B11" s="20"/>
      <c r="C11" s="21"/>
      <c r="D11" s="22"/>
      <c r="E11" s="13"/>
      <c r="F11" s="14"/>
    </row>
    <row r="12" spans="2:6" x14ac:dyDescent="0.6">
      <c r="B12" s="26" t="s">
        <v>15</v>
      </c>
      <c r="C12" s="4" t="s">
        <v>6</v>
      </c>
      <c r="D12" s="4" t="s">
        <v>26</v>
      </c>
      <c r="E12" s="4" t="s">
        <v>7</v>
      </c>
      <c r="F12" s="5" t="s">
        <v>27</v>
      </c>
    </row>
    <row r="13" spans="2:6" x14ac:dyDescent="0.6">
      <c r="B13" s="27">
        <v>1</v>
      </c>
      <c r="C13" s="6">
        <f>xstart_hiperbola</f>
        <v>-30</v>
      </c>
      <c r="D13" s="6">
        <f>IFERROR(((($C13^2/a_hiperbola^2)-1)*b_hiperbola^2)^0.5,"")</f>
        <v>20.621590627301281</v>
      </c>
      <c r="E13" s="6">
        <f>-C13</f>
        <v>30</v>
      </c>
      <c r="F13" s="7">
        <f>IFERROR(-D13,"")</f>
        <v>-20.621590627301281</v>
      </c>
    </row>
    <row r="14" spans="2:6" x14ac:dyDescent="0.6">
      <c r="B14" s="27">
        <v>2</v>
      </c>
      <c r="C14" s="6">
        <f t="shared" ref="C14:C45" si="0">IF(C13-(xstart_hiperbola-xend_hiperbola)/np_hiperbola&gt;xend_hiperbola,xend_hiperbola,C13-(xstart_hiperbola-xend_hiperbola)/np_hiperbola)</f>
        <v>-29.4</v>
      </c>
      <c r="D14" s="6">
        <f>IFERROR(((($C14^2/a_hiperbola^2)-1)*b_hiperbola^2)^0.5,"")</f>
        <v>20.129642321710538</v>
      </c>
      <c r="E14" s="6">
        <f t="shared" ref="E14:E45" si="1">-C14</f>
        <v>29.4</v>
      </c>
      <c r="F14" s="7">
        <f t="shared" ref="F14:F77" si="2">IFERROR(-D14,"")</f>
        <v>-20.129642321710538</v>
      </c>
    </row>
    <row r="15" spans="2:6" x14ac:dyDescent="0.6">
      <c r="B15" s="27">
        <v>3</v>
      </c>
      <c r="C15" s="6">
        <f t="shared" si="0"/>
        <v>-28.799999999999997</v>
      </c>
      <c r="D15" s="6">
        <f>IFERROR(((($C15^2/a_hiperbola^2)-1)*b_hiperbola^2)^0.5,"")</f>
        <v>19.635681806344284</v>
      </c>
      <c r="E15" s="6">
        <f t="shared" si="1"/>
        <v>28.799999999999997</v>
      </c>
      <c r="F15" s="7">
        <f t="shared" si="2"/>
        <v>-19.635681806344284</v>
      </c>
    </row>
    <row r="16" spans="2:6" x14ac:dyDescent="0.6">
      <c r="B16" s="27">
        <v>4</v>
      </c>
      <c r="C16" s="6">
        <f t="shared" si="0"/>
        <v>-28.199999999999996</v>
      </c>
      <c r="D16" s="6">
        <f>IFERROR(((($C16^2/a_hiperbola^2)-1)*b_hiperbola^2)^0.5,"")</f>
        <v>19.139553286323061</v>
      </c>
      <c r="E16" s="6">
        <f t="shared" si="1"/>
        <v>28.199999999999996</v>
      </c>
      <c r="F16" s="7">
        <f t="shared" si="2"/>
        <v>-19.139553286323061</v>
      </c>
    </row>
    <row r="17" spans="2:6" x14ac:dyDescent="0.6">
      <c r="B17" s="27">
        <v>5</v>
      </c>
      <c r="C17" s="6">
        <f t="shared" si="0"/>
        <v>-27.599999999999994</v>
      </c>
      <c r="D17" s="6">
        <f>IFERROR(((($C17^2/a_hiperbola^2)-1)*b_hiperbola^2)^0.5,"")</f>
        <v>18.641083659487176</v>
      </c>
      <c r="E17" s="6">
        <f t="shared" si="1"/>
        <v>27.599999999999994</v>
      </c>
      <c r="F17" s="7">
        <f t="shared" si="2"/>
        <v>-18.641083659487176</v>
      </c>
    </row>
    <row r="18" spans="2:6" x14ac:dyDescent="0.6">
      <c r="B18" s="27">
        <v>6</v>
      </c>
      <c r="C18" s="6">
        <f t="shared" si="0"/>
        <v>-26.999999999999993</v>
      </c>
      <c r="D18" s="6">
        <f>IFERROR(((($C18^2/a_hiperbola^2)-1)*b_hiperbola^2)^0.5,"")</f>
        <v>18.140079933671732</v>
      </c>
      <c r="E18" s="6">
        <f t="shared" si="1"/>
        <v>26.999999999999993</v>
      </c>
      <c r="F18" s="7">
        <f t="shared" si="2"/>
        <v>-18.140079933671732</v>
      </c>
    </row>
    <row r="19" spans="2:6" x14ac:dyDescent="0.6">
      <c r="B19" s="27">
        <v>7</v>
      </c>
      <c r="C19" s="6">
        <f t="shared" si="0"/>
        <v>-26.399999999999991</v>
      </c>
      <c r="D19" s="6">
        <f>IFERROR(((($C19^2/a_hiperbola^2)-1)*b_hiperbola^2)^0.5,"")</f>
        <v>17.636326148038876</v>
      </c>
      <c r="E19" s="6">
        <f t="shared" si="1"/>
        <v>26.399999999999991</v>
      </c>
      <c r="F19" s="7">
        <f t="shared" si="2"/>
        <v>-17.636326148038876</v>
      </c>
    </row>
    <row r="20" spans="2:6" x14ac:dyDescent="0.6">
      <c r="B20" s="27">
        <v>8</v>
      </c>
      <c r="C20" s="6">
        <f t="shared" si="0"/>
        <v>-25.79999999999999</v>
      </c>
      <c r="D20" s="6">
        <f>IFERROR(((($C20^2/a_hiperbola^2)-1)*b_hiperbola^2)^0.5,"")</f>
        <v>17.129579679606845</v>
      </c>
      <c r="E20" s="6">
        <f t="shared" si="1"/>
        <v>25.79999999999999</v>
      </c>
      <c r="F20" s="7">
        <f t="shared" si="2"/>
        <v>-17.129579679606845</v>
      </c>
    </row>
    <row r="21" spans="2:6" x14ac:dyDescent="0.6">
      <c r="B21" s="27">
        <v>9</v>
      </c>
      <c r="C21" s="6">
        <f t="shared" si="0"/>
        <v>-25.199999999999989</v>
      </c>
      <c r="D21" s="6">
        <f>IFERROR(((($C21^2/a_hiperbola^2)-1)*b_hiperbola^2)^0.5,"")</f>
        <v>16.619566781357438</v>
      </c>
      <c r="E21" s="6">
        <f t="shared" si="1"/>
        <v>25.199999999999989</v>
      </c>
      <c r="F21" s="7">
        <f t="shared" si="2"/>
        <v>-16.619566781357438</v>
      </c>
    </row>
    <row r="22" spans="2:6" x14ac:dyDescent="0.6">
      <c r="B22" s="27">
        <v>10</v>
      </c>
      <c r="C22" s="6">
        <f t="shared" si="0"/>
        <v>-24.599999999999987</v>
      </c>
      <c r="D22" s="6">
        <f>IFERROR(((($C22^2/a_hiperbola^2)-1)*b_hiperbola^2)^0.5,"")</f>
        <v>16.105977151355944</v>
      </c>
      <c r="E22" s="6">
        <f t="shared" si="1"/>
        <v>24.599999999999987</v>
      </c>
      <c r="F22" s="7">
        <f t="shared" si="2"/>
        <v>-16.105977151355944</v>
      </c>
    </row>
    <row r="23" spans="2:6" x14ac:dyDescent="0.6">
      <c r="B23" s="27">
        <v>11</v>
      </c>
      <c r="C23" s="6">
        <f t="shared" si="0"/>
        <v>-23.999999999999986</v>
      </c>
      <c r="D23" s="6">
        <f>IFERROR(((($C23^2/a_hiperbola^2)-1)*b_hiperbola^2)^0.5,"")</f>
        <v>15.588457268119884</v>
      </c>
      <c r="E23" s="6">
        <f t="shared" si="1"/>
        <v>23.999999999999986</v>
      </c>
      <c r="F23" s="7">
        <f t="shared" si="2"/>
        <v>-15.588457268119884</v>
      </c>
    </row>
    <row r="24" spans="2:6" x14ac:dyDescent="0.6">
      <c r="B24" s="27">
        <v>12</v>
      </c>
      <c r="C24" s="6">
        <f t="shared" si="0"/>
        <v>-23.399999999999984</v>
      </c>
      <c r="D24" s="6">
        <f>IFERROR(((($C24^2/a_hiperbola^2)-1)*b_hiperbola^2)^0.5,"")</f>
        <v>15.066602138504873</v>
      </c>
      <c r="E24" s="6">
        <f t="shared" si="1"/>
        <v>23.399999999999984</v>
      </c>
      <c r="F24" s="7">
        <f t="shared" si="2"/>
        <v>-15.066602138504873</v>
      </c>
    </row>
    <row r="25" spans="2:6" x14ac:dyDescent="0.6">
      <c r="B25" s="27">
        <v>13</v>
      </c>
      <c r="C25" s="6">
        <f t="shared" si="0"/>
        <v>-22.799999999999983</v>
      </c>
      <c r="D25" s="6">
        <f>IFERROR(((($C25^2/a_hiperbola^2)-1)*b_hiperbola^2)^0.5,"")</f>
        <v>14.539944979263145</v>
      </c>
      <c r="E25" s="6">
        <f t="shared" si="1"/>
        <v>22.799999999999983</v>
      </c>
      <c r="F25" s="7">
        <f t="shared" si="2"/>
        <v>-14.539944979263145</v>
      </c>
    </row>
    <row r="26" spans="2:6" x14ac:dyDescent="0.6">
      <c r="B26" s="27">
        <v>14</v>
      </c>
      <c r="C26" s="6">
        <f t="shared" si="0"/>
        <v>-22.199999999999982</v>
      </c>
      <c r="D26" s="6">
        <f>IFERROR(((($C26^2/a_hiperbola^2)-1)*b_hiperbola^2)^0.5,"")</f>
        <v>14.007944174646026</v>
      </c>
      <c r="E26" s="6">
        <f t="shared" si="1"/>
        <v>22.199999999999982</v>
      </c>
      <c r="F26" s="7">
        <f t="shared" si="2"/>
        <v>-14.007944174646026</v>
      </c>
    </row>
    <row r="27" spans="2:6" x14ac:dyDescent="0.6">
      <c r="B27" s="27">
        <v>15</v>
      </c>
      <c r="C27" s="6">
        <f t="shared" si="0"/>
        <v>-21.59999999999998</v>
      </c>
      <c r="D27" s="6">
        <f>IFERROR(((($C27^2/a_hiperbola^2)-1)*b_hiperbola^2)^0.5,"")</f>
        <v>13.469966592386172</v>
      </c>
      <c r="E27" s="6">
        <f t="shared" si="1"/>
        <v>21.59999999999998</v>
      </c>
      <c r="F27" s="7">
        <f t="shared" si="2"/>
        <v>-13.469966592386172</v>
      </c>
    </row>
    <row r="28" spans="2:6" x14ac:dyDescent="0.6">
      <c r="B28" s="27">
        <v>16</v>
      </c>
      <c r="C28" s="6">
        <f t="shared" si="0"/>
        <v>-20.999999999999979</v>
      </c>
      <c r="D28" s="6">
        <f>IFERROR(((($C28^2/a_hiperbola^2)-1)*b_hiperbola^2)^0.5,"")</f>
        <v>12.925265954710545</v>
      </c>
      <c r="E28" s="6">
        <f t="shared" si="1"/>
        <v>20.999999999999979</v>
      </c>
      <c r="F28" s="7">
        <f t="shared" si="2"/>
        <v>-12.925265954710545</v>
      </c>
    </row>
    <row r="29" spans="2:6" x14ac:dyDescent="0.6">
      <c r="B29" s="27">
        <v>17</v>
      </c>
      <c r="C29" s="6">
        <f t="shared" si="0"/>
        <v>-20.399999999999977</v>
      </c>
      <c r="D29" s="6">
        <f>IFERROR(((($C29^2/a_hiperbola^2)-1)*b_hiperbola^2)^0.5,"")</f>
        <v>12.372954376380747</v>
      </c>
      <c r="E29" s="6">
        <f t="shared" si="1"/>
        <v>20.399999999999977</v>
      </c>
      <c r="F29" s="7">
        <f t="shared" si="2"/>
        <v>-12.372954376380747</v>
      </c>
    </row>
    <row r="30" spans="2:6" x14ac:dyDescent="0.6">
      <c r="B30" s="27">
        <v>18</v>
      </c>
      <c r="C30" s="6">
        <f t="shared" si="0"/>
        <v>-19.799999999999976</v>
      </c>
      <c r="D30" s="6">
        <f>IFERROR(((($C30^2/a_hiperbola^2)-1)*b_hiperbola^2)^0.5,"")</f>
        <v>11.811964273565996</v>
      </c>
      <c r="E30" s="6">
        <f t="shared" si="1"/>
        <v>19.799999999999976</v>
      </c>
      <c r="F30" s="7">
        <f t="shared" si="2"/>
        <v>-11.811964273565996</v>
      </c>
    </row>
    <row r="31" spans="2:6" x14ac:dyDescent="0.6">
      <c r="B31" s="27">
        <v>19</v>
      </c>
      <c r="C31" s="6">
        <f t="shared" si="0"/>
        <v>-19.199999999999974</v>
      </c>
      <c r="D31" s="6">
        <f>IFERROR(((($C31^2/a_hiperbola^2)-1)*b_hiperbola^2)^0.5,"")</f>
        <v>11.240996397117092</v>
      </c>
      <c r="E31" s="6">
        <f t="shared" si="1"/>
        <v>19.199999999999974</v>
      </c>
      <c r="F31" s="7">
        <f t="shared" si="2"/>
        <v>-11.240996397117092</v>
      </c>
    </row>
    <row r="32" spans="2:6" x14ac:dyDescent="0.6">
      <c r="B32" s="27">
        <v>20</v>
      </c>
      <c r="C32" s="6">
        <f t="shared" si="0"/>
        <v>-18.599999999999973</v>
      </c>
      <c r="D32" s="6">
        <f>IFERROR(((($C32^2/a_hiperbola^2)-1)*b_hiperbola^2)^0.5,"")</f>
        <v>10.658447354094285</v>
      </c>
      <c r="E32" s="6">
        <f t="shared" si="1"/>
        <v>18.599999999999973</v>
      </c>
      <c r="F32" s="7">
        <f t="shared" si="2"/>
        <v>-10.658447354094285</v>
      </c>
    </row>
    <row r="33" spans="2:6" x14ac:dyDescent="0.6">
      <c r="B33" s="27">
        <v>21</v>
      </c>
      <c r="C33" s="6">
        <f t="shared" si="0"/>
        <v>-17.999999999999972</v>
      </c>
      <c r="D33" s="6">
        <f>IFERROR(((($C33^2/a_hiperbola^2)-1)*b_hiperbola^2)^0.5,"")</f>
        <v>10.062305898749026</v>
      </c>
      <c r="E33" s="6">
        <f t="shared" si="1"/>
        <v>17.999999999999972</v>
      </c>
      <c r="F33" s="7">
        <f t="shared" si="2"/>
        <v>-10.062305898749026</v>
      </c>
    </row>
    <row r="34" spans="2:6" x14ac:dyDescent="0.6">
      <c r="B34" s="27">
        <v>22</v>
      </c>
      <c r="C34" s="6">
        <f t="shared" si="0"/>
        <v>-17.39999999999997</v>
      </c>
      <c r="D34" s="6">
        <f>IFERROR(((($C34^2/a_hiperbola^2)-1)*b_hiperbola^2)^0.5,"")</f>
        <v>9.4499999999999691</v>
      </c>
      <c r="E34" s="6">
        <f t="shared" si="1"/>
        <v>17.39999999999997</v>
      </c>
      <c r="F34" s="7">
        <f t="shared" si="2"/>
        <v>-9.4499999999999691</v>
      </c>
    </row>
    <row r="35" spans="2:6" x14ac:dyDescent="0.6">
      <c r="B35" s="27">
        <v>23</v>
      </c>
      <c r="C35" s="6">
        <f t="shared" si="0"/>
        <v>-16.799999999999969</v>
      </c>
      <c r="D35" s="6">
        <f>IFERROR(((($C35^2/a_hiperbola^2)-1)*b_hiperbola^2)^0.5,"")</f>
        <v>8.8181630740194077</v>
      </c>
      <c r="E35" s="6">
        <f t="shared" si="1"/>
        <v>16.799999999999969</v>
      </c>
      <c r="F35" s="7">
        <f t="shared" si="2"/>
        <v>-8.8181630740194077</v>
      </c>
    </row>
    <row r="36" spans="2:6" x14ac:dyDescent="0.6">
      <c r="B36" s="27">
        <v>24</v>
      </c>
      <c r="C36" s="6">
        <f t="shared" si="0"/>
        <v>-16.199999999999967</v>
      </c>
      <c r="D36" s="6">
        <f>IFERROR(((($C36^2/a_hiperbola^2)-1)*b_hiperbola^2)^0.5,"")</f>
        <v>8.162260716247637</v>
      </c>
      <c r="E36" s="6">
        <f t="shared" si="1"/>
        <v>16.199999999999967</v>
      </c>
      <c r="F36" s="7">
        <f t="shared" si="2"/>
        <v>-8.162260716247637</v>
      </c>
    </row>
    <row r="37" spans="2:6" x14ac:dyDescent="0.6">
      <c r="B37" s="27">
        <v>25</v>
      </c>
      <c r="C37" s="6">
        <f t="shared" si="0"/>
        <v>-15.599999999999968</v>
      </c>
      <c r="D37" s="6">
        <f>IFERROR(((($C37^2/a_hiperbola^2)-1)*b_hiperbola^2)^0.5,"")</f>
        <v>7.4759614766262299</v>
      </c>
      <c r="E37" s="6">
        <f t="shared" si="1"/>
        <v>15.599999999999968</v>
      </c>
      <c r="F37" s="7">
        <f t="shared" si="2"/>
        <v>-7.4759614766262299</v>
      </c>
    </row>
    <row r="38" spans="2:6" x14ac:dyDescent="0.6">
      <c r="B38" s="27">
        <v>26</v>
      </c>
      <c r="C38" s="6">
        <f t="shared" si="0"/>
        <v>-14.999999999999968</v>
      </c>
      <c r="D38" s="6">
        <f>IFERROR(((($C38^2/a_hiperbola^2)-1)*b_hiperbola^2)^0.5,"")</f>
        <v>6.74999999999996</v>
      </c>
      <c r="E38" s="6">
        <f t="shared" si="1"/>
        <v>14.999999999999968</v>
      </c>
      <c r="F38" s="7">
        <f t="shared" si="2"/>
        <v>-6.74999999999996</v>
      </c>
    </row>
    <row r="39" spans="2:6" x14ac:dyDescent="0.6">
      <c r="B39" s="27">
        <v>27</v>
      </c>
      <c r="C39" s="6">
        <f t="shared" si="0"/>
        <v>-14.399999999999968</v>
      </c>
      <c r="D39" s="6">
        <f>IFERROR(((($C39^2/a_hiperbola^2)-1)*b_hiperbola^2)^0.5,"")</f>
        <v>5.9699246226396756</v>
      </c>
      <c r="E39" s="6">
        <f t="shared" si="1"/>
        <v>14.399999999999968</v>
      </c>
      <c r="F39" s="7">
        <f t="shared" si="2"/>
        <v>-5.9699246226396756</v>
      </c>
    </row>
    <row r="40" spans="2:6" x14ac:dyDescent="0.6">
      <c r="B40" s="27">
        <v>28</v>
      </c>
      <c r="C40" s="6">
        <f t="shared" si="0"/>
        <v>-13.799999999999969</v>
      </c>
      <c r="D40" s="6">
        <f>IFERROR(((($C40^2/a_hiperbola^2)-1)*b_hiperbola^2)^0.5,"")</f>
        <v>5.111017511220199</v>
      </c>
      <c r="E40" s="6">
        <f t="shared" si="1"/>
        <v>13.799999999999969</v>
      </c>
      <c r="F40" s="7">
        <f t="shared" si="2"/>
        <v>-5.111017511220199</v>
      </c>
    </row>
    <row r="41" spans="2:6" x14ac:dyDescent="0.6">
      <c r="B41" s="27">
        <v>29</v>
      </c>
      <c r="C41" s="6">
        <f t="shared" si="0"/>
        <v>-13.199999999999969</v>
      </c>
      <c r="D41" s="6">
        <f>IFERROR(((($C41^2/a_hiperbola^2)-1)*b_hiperbola^2)^0.5,"")</f>
        <v>4.124318125460201</v>
      </c>
      <c r="E41" s="6">
        <f t="shared" si="1"/>
        <v>13.199999999999969</v>
      </c>
      <c r="F41" s="7">
        <f t="shared" si="2"/>
        <v>-4.124318125460201</v>
      </c>
    </row>
    <row r="42" spans="2:6" x14ac:dyDescent="0.6">
      <c r="B42" s="27">
        <v>30</v>
      </c>
      <c r="C42" s="6">
        <f t="shared" si="0"/>
        <v>-12.599999999999969</v>
      </c>
      <c r="D42" s="6">
        <f>IFERROR(((($C42^2/a_hiperbola^2)-1)*b_hiperbola^2)^0.5,"")</f>
        <v>2.8814059068447078</v>
      </c>
      <c r="E42" s="6">
        <f t="shared" si="1"/>
        <v>12.599999999999969</v>
      </c>
      <c r="F42" s="7">
        <f t="shared" si="2"/>
        <v>-2.8814059068447078</v>
      </c>
    </row>
    <row r="43" spans="2:6" x14ac:dyDescent="0.6">
      <c r="B43" s="27">
        <v>31</v>
      </c>
      <c r="C43" s="6">
        <f t="shared" si="0"/>
        <v>-11.99999999999997</v>
      </c>
      <c r="D43" s="6" t="str">
        <f>IFERROR(((($C43^2/a_hiperbola^2)-1)*b_hiperbola^2)^0.5,"")</f>
        <v/>
      </c>
      <c r="E43" s="6">
        <f t="shared" si="1"/>
        <v>11.99999999999997</v>
      </c>
      <c r="F43" s="7" t="str">
        <f t="shared" si="2"/>
        <v/>
      </c>
    </row>
    <row r="44" spans="2:6" x14ac:dyDescent="0.6">
      <c r="B44" s="27">
        <v>32</v>
      </c>
      <c r="C44" s="6">
        <f t="shared" si="0"/>
        <v>-11.39999999999997</v>
      </c>
      <c r="D44" s="6" t="str">
        <f>IFERROR(((($C44^2/a_hiperbola^2)-1)*b_hiperbola^2)^0.5,"")</f>
        <v/>
      </c>
      <c r="E44" s="6">
        <f t="shared" si="1"/>
        <v>11.39999999999997</v>
      </c>
      <c r="F44" s="7" t="str">
        <f t="shared" si="2"/>
        <v/>
      </c>
    </row>
    <row r="45" spans="2:6" x14ac:dyDescent="0.6">
      <c r="B45" s="27">
        <v>33</v>
      </c>
      <c r="C45" s="6">
        <f t="shared" si="0"/>
        <v>-10.799999999999971</v>
      </c>
      <c r="D45" s="6" t="str">
        <f>IFERROR(((($C45^2/a_hiperbola^2)-1)*b_hiperbola^2)^0.5,"")</f>
        <v/>
      </c>
      <c r="E45" s="6">
        <f t="shared" si="1"/>
        <v>10.799999999999971</v>
      </c>
      <c r="F45" s="7" t="str">
        <f t="shared" si="2"/>
        <v/>
      </c>
    </row>
    <row r="46" spans="2:6" x14ac:dyDescent="0.6">
      <c r="B46" s="27">
        <v>34</v>
      </c>
      <c r="C46" s="6">
        <f t="shared" ref="C46:C77" si="3">IF(C45-(xstart_hiperbola-xend_hiperbola)/np_hiperbola&gt;xend_hiperbola,xend_hiperbola,C45-(xstart_hiperbola-xend_hiperbola)/np_hiperbola)</f>
        <v>-10.199999999999971</v>
      </c>
      <c r="D46" s="6" t="str">
        <f>IFERROR(((($C46^2/a_hiperbola^2)-1)*b_hiperbola^2)^0.5,"")</f>
        <v/>
      </c>
      <c r="E46" s="6">
        <f t="shared" ref="E46:E77" si="4">-C46</f>
        <v>10.199999999999971</v>
      </c>
      <c r="F46" s="7" t="str">
        <f t="shared" si="2"/>
        <v/>
      </c>
    </row>
    <row r="47" spans="2:6" x14ac:dyDescent="0.6">
      <c r="B47" s="27">
        <v>35</v>
      </c>
      <c r="C47" s="6">
        <f t="shared" si="3"/>
        <v>-9.5999999999999712</v>
      </c>
      <c r="D47" s="6" t="str">
        <f>IFERROR(((($C47^2/a_hiperbola^2)-1)*b_hiperbola^2)^0.5,"")</f>
        <v/>
      </c>
      <c r="E47" s="6">
        <f t="shared" si="4"/>
        <v>9.5999999999999712</v>
      </c>
      <c r="F47" s="7" t="str">
        <f t="shared" si="2"/>
        <v/>
      </c>
    </row>
    <row r="48" spans="2:6" x14ac:dyDescent="0.6">
      <c r="B48" s="27">
        <v>36</v>
      </c>
      <c r="C48" s="6">
        <f t="shared" si="3"/>
        <v>-8.9999999999999716</v>
      </c>
      <c r="D48" s="6" t="str">
        <f>IFERROR(((($C48^2/a_hiperbola^2)-1)*b_hiperbola^2)^0.5,"")</f>
        <v/>
      </c>
      <c r="E48" s="6">
        <f t="shared" si="4"/>
        <v>8.9999999999999716</v>
      </c>
      <c r="F48" s="7" t="str">
        <f t="shared" si="2"/>
        <v/>
      </c>
    </row>
    <row r="49" spans="2:6" x14ac:dyDescent="0.6">
      <c r="B49" s="27">
        <v>37</v>
      </c>
      <c r="C49" s="6">
        <f t="shared" si="3"/>
        <v>-8.3999999999999719</v>
      </c>
      <c r="D49" s="6" t="str">
        <f>IFERROR(((($C49^2/a_hiperbola^2)-1)*b_hiperbola^2)^0.5,"")</f>
        <v/>
      </c>
      <c r="E49" s="6">
        <f t="shared" si="4"/>
        <v>8.3999999999999719</v>
      </c>
      <c r="F49" s="7" t="str">
        <f t="shared" si="2"/>
        <v/>
      </c>
    </row>
    <row r="50" spans="2:6" x14ac:dyDescent="0.6">
      <c r="B50" s="27">
        <v>38</v>
      </c>
      <c r="C50" s="6">
        <f t="shared" si="3"/>
        <v>-7.7999999999999723</v>
      </c>
      <c r="D50" s="6" t="str">
        <f>IFERROR(((($C50^2/a_hiperbola^2)-1)*b_hiperbola^2)^0.5,"")</f>
        <v/>
      </c>
      <c r="E50" s="6">
        <f t="shared" si="4"/>
        <v>7.7999999999999723</v>
      </c>
      <c r="F50" s="7" t="str">
        <f t="shared" si="2"/>
        <v/>
      </c>
    </row>
    <row r="51" spans="2:6" x14ac:dyDescent="0.6">
      <c r="B51" s="27">
        <v>39</v>
      </c>
      <c r="C51" s="6">
        <f t="shared" si="3"/>
        <v>-7.1999999999999726</v>
      </c>
      <c r="D51" s="6" t="str">
        <f>IFERROR(((($C51^2/a_hiperbola^2)-1)*b_hiperbola^2)^0.5,"")</f>
        <v/>
      </c>
      <c r="E51" s="6">
        <f t="shared" si="4"/>
        <v>7.1999999999999726</v>
      </c>
      <c r="F51" s="7" t="str">
        <f t="shared" si="2"/>
        <v/>
      </c>
    </row>
    <row r="52" spans="2:6" x14ac:dyDescent="0.6">
      <c r="B52" s="27">
        <v>40</v>
      </c>
      <c r="C52" s="6">
        <f t="shared" si="3"/>
        <v>-6.599999999999973</v>
      </c>
      <c r="D52" s="6" t="str">
        <f>IFERROR(((($C52^2/a_hiperbola^2)-1)*b_hiperbola^2)^0.5,"")</f>
        <v/>
      </c>
      <c r="E52" s="6">
        <f t="shared" si="4"/>
        <v>6.599999999999973</v>
      </c>
      <c r="F52" s="7" t="str">
        <f t="shared" si="2"/>
        <v/>
      </c>
    </row>
    <row r="53" spans="2:6" x14ac:dyDescent="0.6">
      <c r="B53" s="27">
        <v>41</v>
      </c>
      <c r="C53" s="6">
        <f t="shared" si="3"/>
        <v>-5.9999999999999734</v>
      </c>
      <c r="D53" s="6" t="str">
        <f>IFERROR(((($C53^2/a_hiperbola^2)-1)*b_hiperbola^2)^0.5,"")</f>
        <v/>
      </c>
      <c r="E53" s="6">
        <f t="shared" si="4"/>
        <v>5.9999999999999734</v>
      </c>
      <c r="F53" s="7" t="str">
        <f t="shared" si="2"/>
        <v/>
      </c>
    </row>
    <row r="54" spans="2:6" x14ac:dyDescent="0.6">
      <c r="B54" s="27">
        <v>42</v>
      </c>
      <c r="C54" s="6">
        <f t="shared" si="3"/>
        <v>-5.3999999999999737</v>
      </c>
      <c r="D54" s="6" t="str">
        <f>IFERROR(((($C54^2/a_hiperbola^2)-1)*b_hiperbola^2)^0.5,"")</f>
        <v/>
      </c>
      <c r="E54" s="6">
        <f t="shared" si="4"/>
        <v>5.3999999999999737</v>
      </c>
      <c r="F54" s="7" t="str">
        <f t="shared" si="2"/>
        <v/>
      </c>
    </row>
    <row r="55" spans="2:6" x14ac:dyDescent="0.6">
      <c r="B55" s="27">
        <v>43</v>
      </c>
      <c r="C55" s="6">
        <f t="shared" si="3"/>
        <v>-4.7999999999999741</v>
      </c>
      <c r="D55" s="6" t="str">
        <f>IFERROR(((($C55^2/a_hiperbola^2)-1)*b_hiperbola^2)^0.5,"")</f>
        <v/>
      </c>
      <c r="E55" s="6">
        <f t="shared" si="4"/>
        <v>4.7999999999999741</v>
      </c>
      <c r="F55" s="7" t="str">
        <f t="shared" si="2"/>
        <v/>
      </c>
    </row>
    <row r="56" spans="2:6" x14ac:dyDescent="0.6">
      <c r="B56" s="27">
        <v>44</v>
      </c>
      <c r="C56" s="6">
        <f t="shared" si="3"/>
        <v>-4.1999999999999744</v>
      </c>
      <c r="D56" s="6" t="str">
        <f>IFERROR(((($C56^2/a_hiperbola^2)-1)*b_hiperbola^2)^0.5,"")</f>
        <v/>
      </c>
      <c r="E56" s="6">
        <f t="shared" si="4"/>
        <v>4.1999999999999744</v>
      </c>
      <c r="F56" s="7" t="str">
        <f t="shared" si="2"/>
        <v/>
      </c>
    </row>
    <row r="57" spans="2:6" x14ac:dyDescent="0.6">
      <c r="B57" s="27">
        <v>45</v>
      </c>
      <c r="C57" s="6">
        <f t="shared" si="3"/>
        <v>-3.5999999999999743</v>
      </c>
      <c r="D57" s="6" t="str">
        <f>IFERROR(((($C57^2/a_hiperbola^2)-1)*b_hiperbola^2)^0.5,"")</f>
        <v/>
      </c>
      <c r="E57" s="6">
        <f t="shared" si="4"/>
        <v>3.5999999999999743</v>
      </c>
      <c r="F57" s="7" t="str">
        <f t="shared" si="2"/>
        <v/>
      </c>
    </row>
    <row r="58" spans="2:6" x14ac:dyDescent="0.6">
      <c r="B58" s="27">
        <v>46</v>
      </c>
      <c r="C58" s="6">
        <f t="shared" si="3"/>
        <v>-2.9999999999999742</v>
      </c>
      <c r="D58" s="6" t="str">
        <f>IFERROR(((($C58^2/a_hiperbola^2)-1)*b_hiperbola^2)^0.5,"")</f>
        <v/>
      </c>
      <c r="E58" s="6">
        <f t="shared" si="4"/>
        <v>2.9999999999999742</v>
      </c>
      <c r="F58" s="7" t="str">
        <f t="shared" si="2"/>
        <v/>
      </c>
    </row>
    <row r="59" spans="2:6" x14ac:dyDescent="0.6">
      <c r="B59" s="27">
        <v>47</v>
      </c>
      <c r="C59" s="6">
        <f t="shared" si="3"/>
        <v>-2.3999999999999742</v>
      </c>
      <c r="D59" s="6" t="str">
        <f>IFERROR(((($C59^2/a_hiperbola^2)-1)*b_hiperbola^2)^0.5,"")</f>
        <v/>
      </c>
      <c r="E59" s="6">
        <f t="shared" si="4"/>
        <v>2.3999999999999742</v>
      </c>
      <c r="F59" s="7" t="str">
        <f t="shared" si="2"/>
        <v/>
      </c>
    </row>
    <row r="60" spans="2:6" x14ac:dyDescent="0.6">
      <c r="B60" s="27">
        <v>48</v>
      </c>
      <c r="C60" s="6">
        <f t="shared" si="3"/>
        <v>-1.7999999999999741</v>
      </c>
      <c r="D60" s="6" t="str">
        <f>IFERROR(((($C60^2/a_hiperbola^2)-1)*b_hiperbola^2)^0.5,"")</f>
        <v/>
      </c>
      <c r="E60" s="6">
        <f t="shared" si="4"/>
        <v>1.7999999999999741</v>
      </c>
      <c r="F60" s="7" t="str">
        <f t="shared" si="2"/>
        <v/>
      </c>
    </row>
    <row r="61" spans="2:6" x14ac:dyDescent="0.6">
      <c r="B61" s="27">
        <v>49</v>
      </c>
      <c r="C61" s="6">
        <f t="shared" si="3"/>
        <v>-1.199999999999974</v>
      </c>
      <c r="D61" s="6" t="str">
        <f>IFERROR(((($C61^2/a_hiperbola^2)-1)*b_hiperbola^2)^0.5,"")</f>
        <v/>
      </c>
      <c r="E61" s="6">
        <f t="shared" si="4"/>
        <v>1.199999999999974</v>
      </c>
      <c r="F61" s="7" t="str">
        <f t="shared" si="2"/>
        <v/>
      </c>
    </row>
    <row r="62" spans="2:6" x14ac:dyDescent="0.6">
      <c r="B62" s="27">
        <v>50</v>
      </c>
      <c r="C62" s="6">
        <f t="shared" si="3"/>
        <v>-0.599999999999974</v>
      </c>
      <c r="D62" s="6" t="str">
        <f>IFERROR(((($C62^2/a_hiperbola^2)-1)*b_hiperbola^2)^0.5,"")</f>
        <v/>
      </c>
      <c r="E62" s="6">
        <f t="shared" si="4"/>
        <v>0.599999999999974</v>
      </c>
      <c r="F62" s="7" t="str">
        <f t="shared" si="2"/>
        <v/>
      </c>
    </row>
    <row r="63" spans="2:6" x14ac:dyDescent="0.6">
      <c r="B63" s="27">
        <v>51</v>
      </c>
      <c r="C63" s="6">
        <f t="shared" si="3"/>
        <v>2.5979218776228663E-14</v>
      </c>
      <c r="D63" s="6" t="str">
        <f>IFERROR(((($C63^2/a_hiperbola^2)-1)*b_hiperbola^2)^0.5,"")</f>
        <v/>
      </c>
      <c r="E63" s="6">
        <f t="shared" si="4"/>
        <v>-2.5979218776228663E-14</v>
      </c>
      <c r="F63" s="7" t="str">
        <f t="shared" si="2"/>
        <v/>
      </c>
    </row>
    <row r="64" spans="2:6" x14ac:dyDescent="0.6">
      <c r="B64" s="27">
        <v>52</v>
      </c>
      <c r="C64" s="6">
        <f t="shared" si="3"/>
        <v>0.60000000000002596</v>
      </c>
      <c r="D64" s="6" t="str">
        <f>IFERROR(((($C64^2/a_hiperbola^2)-1)*b_hiperbola^2)^0.5,"")</f>
        <v/>
      </c>
      <c r="E64" s="6">
        <f t="shared" si="4"/>
        <v>-0.60000000000002596</v>
      </c>
      <c r="F64" s="7" t="str">
        <f t="shared" si="2"/>
        <v/>
      </c>
    </row>
    <row r="65" spans="2:6" x14ac:dyDescent="0.6">
      <c r="B65" s="27">
        <v>53</v>
      </c>
      <c r="C65" s="6">
        <f t="shared" si="3"/>
        <v>1.2000000000000259</v>
      </c>
      <c r="D65" s="6" t="str">
        <f>IFERROR(((($C65^2/a_hiperbola^2)-1)*b_hiperbola^2)^0.5,"")</f>
        <v/>
      </c>
      <c r="E65" s="6">
        <f t="shared" si="4"/>
        <v>-1.2000000000000259</v>
      </c>
      <c r="F65" s="7" t="str">
        <f t="shared" si="2"/>
        <v/>
      </c>
    </row>
    <row r="66" spans="2:6" x14ac:dyDescent="0.6">
      <c r="B66" s="27">
        <v>54</v>
      </c>
      <c r="C66" s="6">
        <f t="shared" si="3"/>
        <v>1.800000000000026</v>
      </c>
      <c r="D66" s="6" t="str">
        <f>IFERROR(((($C66^2/a_hiperbola^2)-1)*b_hiperbola^2)^0.5,"")</f>
        <v/>
      </c>
      <c r="E66" s="6">
        <f t="shared" si="4"/>
        <v>-1.800000000000026</v>
      </c>
      <c r="F66" s="7" t="str">
        <f t="shared" si="2"/>
        <v/>
      </c>
    </row>
    <row r="67" spans="2:6" x14ac:dyDescent="0.6">
      <c r="B67" s="27">
        <v>55</v>
      </c>
      <c r="C67" s="6">
        <f t="shared" si="3"/>
        <v>2.4000000000000261</v>
      </c>
      <c r="D67" s="6" t="str">
        <f>IFERROR(((($C67^2/a_hiperbola^2)-1)*b_hiperbola^2)^0.5,"")</f>
        <v/>
      </c>
      <c r="E67" s="6">
        <f t="shared" si="4"/>
        <v>-2.4000000000000261</v>
      </c>
      <c r="F67" s="7" t="str">
        <f t="shared" si="2"/>
        <v/>
      </c>
    </row>
    <row r="68" spans="2:6" x14ac:dyDescent="0.6">
      <c r="B68" s="27">
        <v>56</v>
      </c>
      <c r="C68" s="6">
        <f t="shared" si="3"/>
        <v>3.0000000000000262</v>
      </c>
      <c r="D68" s="6" t="str">
        <f>IFERROR(((($C68^2/a_hiperbola^2)-1)*b_hiperbola^2)^0.5,"")</f>
        <v/>
      </c>
      <c r="E68" s="6">
        <f t="shared" si="4"/>
        <v>-3.0000000000000262</v>
      </c>
      <c r="F68" s="7" t="str">
        <f t="shared" si="2"/>
        <v/>
      </c>
    </row>
    <row r="69" spans="2:6" x14ac:dyDescent="0.6">
      <c r="B69" s="27">
        <v>57</v>
      </c>
      <c r="C69" s="6">
        <f t="shared" si="3"/>
        <v>3.6000000000000263</v>
      </c>
      <c r="D69" s="6" t="str">
        <f>IFERROR(((($C69^2/a_hiperbola^2)-1)*b_hiperbola^2)^0.5,"")</f>
        <v/>
      </c>
      <c r="E69" s="6">
        <f t="shared" si="4"/>
        <v>-3.6000000000000263</v>
      </c>
      <c r="F69" s="7" t="str">
        <f t="shared" si="2"/>
        <v/>
      </c>
    </row>
    <row r="70" spans="2:6" x14ac:dyDescent="0.6">
      <c r="B70" s="27">
        <v>58</v>
      </c>
      <c r="C70" s="6">
        <f t="shared" si="3"/>
        <v>4.2000000000000259</v>
      </c>
      <c r="D70" s="6" t="str">
        <f>IFERROR(((($C70^2/a_hiperbola^2)-1)*b_hiperbola^2)^0.5,"")</f>
        <v/>
      </c>
      <c r="E70" s="6">
        <f t="shared" si="4"/>
        <v>-4.2000000000000259</v>
      </c>
      <c r="F70" s="7" t="str">
        <f t="shared" si="2"/>
        <v/>
      </c>
    </row>
    <row r="71" spans="2:6" x14ac:dyDescent="0.6">
      <c r="B71" s="27">
        <v>59</v>
      </c>
      <c r="C71" s="6">
        <f t="shared" si="3"/>
        <v>4.8000000000000256</v>
      </c>
      <c r="D71" s="6" t="str">
        <f>IFERROR(((($C71^2/a_hiperbola^2)-1)*b_hiperbola^2)^0.5,"")</f>
        <v/>
      </c>
      <c r="E71" s="6">
        <f t="shared" si="4"/>
        <v>-4.8000000000000256</v>
      </c>
      <c r="F71" s="7" t="str">
        <f t="shared" si="2"/>
        <v/>
      </c>
    </row>
    <row r="72" spans="2:6" x14ac:dyDescent="0.6">
      <c r="B72" s="27">
        <v>60</v>
      </c>
      <c r="C72" s="6">
        <f t="shared" si="3"/>
        <v>5.4000000000000252</v>
      </c>
      <c r="D72" s="6" t="str">
        <f>IFERROR(((($C72^2/a_hiperbola^2)-1)*b_hiperbola^2)^0.5,"")</f>
        <v/>
      </c>
      <c r="E72" s="6">
        <f t="shared" si="4"/>
        <v>-5.4000000000000252</v>
      </c>
      <c r="F72" s="7" t="str">
        <f t="shared" si="2"/>
        <v/>
      </c>
    </row>
    <row r="73" spans="2:6" x14ac:dyDescent="0.6">
      <c r="B73" s="27">
        <v>61</v>
      </c>
      <c r="C73" s="6">
        <f t="shared" si="3"/>
        <v>6.0000000000000249</v>
      </c>
      <c r="D73" s="6" t="str">
        <f>IFERROR(((($C73^2/a_hiperbola^2)-1)*b_hiperbola^2)^0.5,"")</f>
        <v/>
      </c>
      <c r="E73" s="6">
        <f t="shared" si="4"/>
        <v>-6.0000000000000249</v>
      </c>
      <c r="F73" s="7" t="str">
        <f t="shared" si="2"/>
        <v/>
      </c>
    </row>
    <row r="74" spans="2:6" x14ac:dyDescent="0.6">
      <c r="B74" s="27">
        <v>62</v>
      </c>
      <c r="C74" s="6">
        <f t="shared" si="3"/>
        <v>6.6000000000000245</v>
      </c>
      <c r="D74" s="6" t="str">
        <f>IFERROR(((($C74^2/a_hiperbola^2)-1)*b_hiperbola^2)^0.5,"")</f>
        <v/>
      </c>
      <c r="E74" s="6">
        <f t="shared" si="4"/>
        <v>-6.6000000000000245</v>
      </c>
      <c r="F74" s="7" t="str">
        <f t="shared" si="2"/>
        <v/>
      </c>
    </row>
    <row r="75" spans="2:6" x14ac:dyDescent="0.6">
      <c r="B75" s="27">
        <v>63</v>
      </c>
      <c r="C75" s="6">
        <f t="shared" si="3"/>
        <v>7.2000000000000242</v>
      </c>
      <c r="D75" s="6" t="str">
        <f>IFERROR(((($C75^2/a_hiperbola^2)-1)*b_hiperbola^2)^0.5,"")</f>
        <v/>
      </c>
      <c r="E75" s="6">
        <f t="shared" si="4"/>
        <v>-7.2000000000000242</v>
      </c>
      <c r="F75" s="7" t="str">
        <f t="shared" si="2"/>
        <v/>
      </c>
    </row>
    <row r="76" spans="2:6" x14ac:dyDescent="0.6">
      <c r="B76" s="27">
        <v>64</v>
      </c>
      <c r="C76" s="6">
        <f t="shared" si="3"/>
        <v>7.8000000000000238</v>
      </c>
      <c r="D76" s="6" t="str">
        <f>IFERROR(((($C76^2/a_hiperbola^2)-1)*b_hiperbola^2)^0.5,"")</f>
        <v/>
      </c>
      <c r="E76" s="6">
        <f t="shared" si="4"/>
        <v>-7.8000000000000238</v>
      </c>
      <c r="F76" s="7" t="str">
        <f t="shared" si="2"/>
        <v/>
      </c>
    </row>
    <row r="77" spans="2:6" x14ac:dyDescent="0.6">
      <c r="B77" s="27">
        <v>65</v>
      </c>
      <c r="C77" s="6">
        <f t="shared" si="3"/>
        <v>8.4000000000000234</v>
      </c>
      <c r="D77" s="6" t="str">
        <f>IFERROR(((($C77^2/a_hiperbola^2)-1)*b_hiperbola^2)^0.5,"")</f>
        <v/>
      </c>
      <c r="E77" s="6">
        <f t="shared" si="4"/>
        <v>-8.4000000000000234</v>
      </c>
      <c r="F77" s="7" t="str">
        <f t="shared" si="2"/>
        <v/>
      </c>
    </row>
    <row r="78" spans="2:6" x14ac:dyDescent="0.6">
      <c r="B78" s="27">
        <v>66</v>
      </c>
      <c r="C78" s="6">
        <f t="shared" ref="C78:C112" si="5">IF(C77-(xstart_hiperbola-xend_hiperbola)/np_hiperbola&gt;xend_hiperbola,xend_hiperbola,C77-(xstart_hiperbola-xend_hiperbola)/np_hiperbola)</f>
        <v>9.0000000000000231</v>
      </c>
      <c r="D78" s="6" t="str">
        <f>IFERROR(((($C78^2/a_hiperbola^2)-1)*b_hiperbola^2)^0.5,"")</f>
        <v/>
      </c>
      <c r="E78" s="6">
        <f t="shared" ref="E78:E112" si="6">-C78</f>
        <v>-9.0000000000000231</v>
      </c>
      <c r="F78" s="7" t="str">
        <f t="shared" ref="F78:F112" si="7">IFERROR(-D78,"")</f>
        <v/>
      </c>
    </row>
    <row r="79" spans="2:6" x14ac:dyDescent="0.6">
      <c r="B79" s="27">
        <v>67</v>
      </c>
      <c r="C79" s="6">
        <f t="shared" si="5"/>
        <v>9.6000000000000227</v>
      </c>
      <c r="D79" s="6" t="str">
        <f>IFERROR(((($C79^2/a_hiperbola^2)-1)*b_hiperbola^2)^0.5,"")</f>
        <v/>
      </c>
      <c r="E79" s="6">
        <f t="shared" si="6"/>
        <v>-9.6000000000000227</v>
      </c>
      <c r="F79" s="7" t="str">
        <f t="shared" si="7"/>
        <v/>
      </c>
    </row>
    <row r="80" spans="2:6" x14ac:dyDescent="0.6">
      <c r="B80" s="27">
        <v>68</v>
      </c>
      <c r="C80" s="6">
        <f t="shared" si="5"/>
        <v>10.200000000000022</v>
      </c>
      <c r="D80" s="6" t="str">
        <f>IFERROR(((($C80^2/a_hiperbola^2)-1)*b_hiperbola^2)^0.5,"")</f>
        <v/>
      </c>
      <c r="E80" s="6">
        <f t="shared" si="6"/>
        <v>-10.200000000000022</v>
      </c>
      <c r="F80" s="7" t="str">
        <f t="shared" si="7"/>
        <v/>
      </c>
    </row>
    <row r="81" spans="2:6" x14ac:dyDescent="0.6">
      <c r="B81" s="27">
        <v>69</v>
      </c>
      <c r="C81" s="6">
        <f t="shared" si="5"/>
        <v>10.800000000000022</v>
      </c>
      <c r="D81" s="6" t="str">
        <f>IFERROR(((($C81^2/a_hiperbola^2)-1)*b_hiperbola^2)^0.5,"")</f>
        <v/>
      </c>
      <c r="E81" s="6">
        <f t="shared" si="6"/>
        <v>-10.800000000000022</v>
      </c>
      <c r="F81" s="7" t="str">
        <f t="shared" si="7"/>
        <v/>
      </c>
    </row>
    <row r="82" spans="2:6" x14ac:dyDescent="0.6">
      <c r="B82" s="27">
        <v>70</v>
      </c>
      <c r="C82" s="6">
        <f t="shared" si="5"/>
        <v>11.400000000000022</v>
      </c>
      <c r="D82" s="6" t="str">
        <f>IFERROR(((($C82^2/a_hiperbola^2)-1)*b_hiperbola^2)^0.5,"")</f>
        <v/>
      </c>
      <c r="E82" s="6">
        <f t="shared" si="6"/>
        <v>-11.400000000000022</v>
      </c>
      <c r="F82" s="7" t="str">
        <f t="shared" si="7"/>
        <v/>
      </c>
    </row>
    <row r="83" spans="2:6" x14ac:dyDescent="0.6">
      <c r="B83" s="27">
        <v>71</v>
      </c>
      <c r="C83" s="6">
        <f t="shared" si="5"/>
        <v>12.000000000000021</v>
      </c>
      <c r="D83" s="6">
        <f>IFERROR(((($C83^2/a_hiperbola^2)-1)*b_hiperbola^2)^0.5,"")</f>
        <v>5.3644180297851563E-7</v>
      </c>
      <c r="E83" s="6">
        <f t="shared" si="6"/>
        <v>-12.000000000000021</v>
      </c>
      <c r="F83" s="7">
        <f t="shared" si="7"/>
        <v>-5.3644180297851563E-7</v>
      </c>
    </row>
    <row r="84" spans="2:6" x14ac:dyDescent="0.6">
      <c r="B84" s="27">
        <v>72</v>
      </c>
      <c r="C84" s="6">
        <f t="shared" si="5"/>
        <v>12.600000000000021</v>
      </c>
      <c r="D84" s="6">
        <f>IFERROR(((($C84^2/a_hiperbola^2)-1)*b_hiperbola^2)^0.5,"")</f>
        <v>2.8814059068448321</v>
      </c>
      <c r="E84" s="6">
        <f t="shared" si="6"/>
        <v>-12.600000000000021</v>
      </c>
      <c r="F84" s="7">
        <f t="shared" si="7"/>
        <v>-2.8814059068448321</v>
      </c>
    </row>
    <row r="85" spans="2:6" x14ac:dyDescent="0.6">
      <c r="B85" s="27">
        <v>73</v>
      </c>
      <c r="C85" s="6">
        <f t="shared" si="5"/>
        <v>13.200000000000021</v>
      </c>
      <c r="D85" s="6">
        <f>IFERROR(((($C85^2/a_hiperbola^2)-1)*b_hiperbola^2)^0.5,"")</f>
        <v>4.1243181254602925</v>
      </c>
      <c r="E85" s="6">
        <f t="shared" si="6"/>
        <v>-13.200000000000021</v>
      </c>
      <c r="F85" s="7">
        <f t="shared" si="7"/>
        <v>-4.1243181254602925</v>
      </c>
    </row>
    <row r="86" spans="2:6" x14ac:dyDescent="0.6">
      <c r="B86" s="27">
        <v>74</v>
      </c>
      <c r="C86" s="6">
        <f t="shared" si="5"/>
        <v>13.80000000000002</v>
      </c>
      <c r="D86" s="6">
        <f>IFERROR(((($C86^2/a_hiperbola^2)-1)*b_hiperbola^2)^0.5,"")</f>
        <v>5.111017511220278</v>
      </c>
      <c r="E86" s="6">
        <f t="shared" si="6"/>
        <v>-13.80000000000002</v>
      </c>
      <c r="F86" s="7">
        <f t="shared" si="7"/>
        <v>-5.111017511220278</v>
      </c>
    </row>
    <row r="87" spans="2:6" x14ac:dyDescent="0.6">
      <c r="B87" s="27">
        <v>75</v>
      </c>
      <c r="C87" s="6">
        <f t="shared" si="5"/>
        <v>14.40000000000002</v>
      </c>
      <c r="D87" s="6">
        <f>IFERROR(((($C87^2/a_hiperbola^2)-1)*b_hiperbola^2)^0.5,"")</f>
        <v>5.9699246226397467</v>
      </c>
      <c r="E87" s="6">
        <f t="shared" si="6"/>
        <v>-14.40000000000002</v>
      </c>
      <c r="F87" s="7">
        <f t="shared" si="7"/>
        <v>-5.9699246226397467</v>
      </c>
    </row>
    <row r="88" spans="2:6" x14ac:dyDescent="0.6">
      <c r="B88" s="27">
        <v>76</v>
      </c>
      <c r="C88" s="6">
        <f t="shared" si="5"/>
        <v>15.00000000000002</v>
      </c>
      <c r="D88" s="6">
        <f>IFERROR(((($C88^2/a_hiperbola^2)-1)*b_hiperbola^2)^0.5,"")</f>
        <v>6.7500000000000249</v>
      </c>
      <c r="E88" s="6">
        <f t="shared" si="6"/>
        <v>-15.00000000000002</v>
      </c>
      <c r="F88" s="7">
        <f t="shared" si="7"/>
        <v>-6.7500000000000249</v>
      </c>
    </row>
    <row r="89" spans="2:6" x14ac:dyDescent="0.6">
      <c r="B89" s="27">
        <v>77</v>
      </c>
      <c r="C89" s="6">
        <f t="shared" si="5"/>
        <v>15.600000000000019</v>
      </c>
      <c r="D89" s="6">
        <f>IFERROR(((($C89^2/a_hiperbola^2)-1)*b_hiperbola^2)^0.5,"")</f>
        <v>7.4759614766262894</v>
      </c>
      <c r="E89" s="6">
        <f t="shared" si="6"/>
        <v>-15.600000000000019</v>
      </c>
      <c r="F89" s="7">
        <f t="shared" si="7"/>
        <v>-7.4759614766262894</v>
      </c>
    </row>
    <row r="90" spans="2:6" x14ac:dyDescent="0.6">
      <c r="B90" s="27">
        <v>78</v>
      </c>
      <c r="C90" s="6">
        <f t="shared" si="5"/>
        <v>16.200000000000021</v>
      </c>
      <c r="D90" s="6">
        <f>IFERROR(((($C90^2/a_hiperbola^2)-1)*b_hiperbola^2)^0.5,"")</f>
        <v>8.1622607162476974</v>
      </c>
      <c r="E90" s="6">
        <f t="shared" si="6"/>
        <v>-16.200000000000021</v>
      </c>
      <c r="F90" s="7">
        <f t="shared" si="7"/>
        <v>-8.1622607162476974</v>
      </c>
    </row>
    <row r="91" spans="2:6" x14ac:dyDescent="0.6">
      <c r="B91" s="27">
        <v>79</v>
      </c>
      <c r="C91" s="6">
        <f t="shared" si="5"/>
        <v>16.800000000000022</v>
      </c>
      <c r="D91" s="6">
        <f>IFERROR(((($C91^2/a_hiperbola^2)-1)*b_hiperbola^2)^0.5,"")</f>
        <v>8.8181630740194663</v>
      </c>
      <c r="E91" s="6">
        <f t="shared" si="6"/>
        <v>-16.800000000000022</v>
      </c>
      <c r="F91" s="7">
        <f t="shared" si="7"/>
        <v>-8.8181630740194663</v>
      </c>
    </row>
    <row r="92" spans="2:6" x14ac:dyDescent="0.6">
      <c r="B92" s="27">
        <v>80</v>
      </c>
      <c r="C92" s="6">
        <f t="shared" si="5"/>
        <v>17.400000000000023</v>
      </c>
      <c r="D92" s="6">
        <f>IFERROR(((($C92^2/a_hiperbola^2)-1)*b_hiperbola^2)^0.5,"")</f>
        <v>9.4500000000000242</v>
      </c>
      <c r="E92" s="6">
        <f t="shared" si="6"/>
        <v>-17.400000000000023</v>
      </c>
      <c r="F92" s="7">
        <f t="shared" si="7"/>
        <v>-9.4500000000000242</v>
      </c>
    </row>
    <row r="93" spans="2:6" x14ac:dyDescent="0.6">
      <c r="B93" s="27">
        <v>81</v>
      </c>
      <c r="C93" s="6">
        <f t="shared" si="5"/>
        <v>18.000000000000025</v>
      </c>
      <c r="D93" s="6">
        <f>IFERROR(((($C93^2/a_hiperbola^2)-1)*b_hiperbola^2)^0.5,"")</f>
        <v>10.062305898749079</v>
      </c>
      <c r="E93" s="6">
        <f t="shared" si="6"/>
        <v>-18.000000000000025</v>
      </c>
      <c r="F93" s="7">
        <f t="shared" si="7"/>
        <v>-10.062305898749079</v>
      </c>
    </row>
    <row r="94" spans="2:6" x14ac:dyDescent="0.6">
      <c r="B94" s="27">
        <v>82</v>
      </c>
      <c r="C94" s="6">
        <f t="shared" si="5"/>
        <v>18.600000000000026</v>
      </c>
      <c r="D94" s="6">
        <f>IFERROR(((($C94^2/a_hiperbola^2)-1)*b_hiperbola^2)^0.5,"")</f>
        <v>10.658447354094337</v>
      </c>
      <c r="E94" s="6">
        <f t="shared" si="6"/>
        <v>-18.600000000000026</v>
      </c>
      <c r="F94" s="7">
        <f t="shared" si="7"/>
        <v>-10.658447354094337</v>
      </c>
    </row>
    <row r="95" spans="2:6" x14ac:dyDescent="0.6">
      <c r="B95" s="27">
        <v>83</v>
      </c>
      <c r="C95" s="6">
        <f t="shared" si="5"/>
        <v>19.200000000000028</v>
      </c>
      <c r="D95" s="6">
        <f>IFERROR(((($C95^2/a_hiperbola^2)-1)*b_hiperbola^2)^0.5,"")</f>
        <v>11.240996397117144</v>
      </c>
      <c r="E95" s="6">
        <f t="shared" si="6"/>
        <v>-19.200000000000028</v>
      </c>
      <c r="F95" s="7">
        <f t="shared" si="7"/>
        <v>-11.240996397117144</v>
      </c>
    </row>
    <row r="96" spans="2:6" x14ac:dyDescent="0.6">
      <c r="B96" s="27">
        <v>84</v>
      </c>
      <c r="C96" s="6">
        <f t="shared" si="5"/>
        <v>19.800000000000029</v>
      </c>
      <c r="D96" s="6">
        <f>IFERROR(((($C96^2/a_hiperbola^2)-1)*b_hiperbola^2)^0.5,"")</f>
        <v>11.811964273566046</v>
      </c>
      <c r="E96" s="6">
        <f t="shared" si="6"/>
        <v>-19.800000000000029</v>
      </c>
      <c r="F96" s="7">
        <f t="shared" si="7"/>
        <v>-11.811964273566046</v>
      </c>
    </row>
    <row r="97" spans="2:6" x14ac:dyDescent="0.6">
      <c r="B97" s="27">
        <v>85</v>
      </c>
      <c r="C97" s="6">
        <f t="shared" si="5"/>
        <v>20.400000000000031</v>
      </c>
      <c r="D97" s="6">
        <f>IFERROR(((($C97^2/a_hiperbola^2)-1)*b_hiperbola^2)^0.5,"")</f>
        <v>12.372954376380795</v>
      </c>
      <c r="E97" s="6">
        <f t="shared" si="6"/>
        <v>-20.400000000000031</v>
      </c>
      <c r="F97" s="7">
        <f t="shared" si="7"/>
        <v>-12.372954376380795</v>
      </c>
    </row>
    <row r="98" spans="2:6" x14ac:dyDescent="0.6">
      <c r="B98" s="27">
        <v>86</v>
      </c>
      <c r="C98" s="6">
        <f t="shared" si="5"/>
        <v>21.000000000000032</v>
      </c>
      <c r="D98" s="6">
        <f>IFERROR(((($C98^2/a_hiperbola^2)-1)*b_hiperbola^2)^0.5,"")</f>
        <v>12.925265954710595</v>
      </c>
      <c r="E98" s="6">
        <f t="shared" si="6"/>
        <v>-21.000000000000032</v>
      </c>
      <c r="F98" s="7">
        <f t="shared" si="7"/>
        <v>-12.925265954710595</v>
      </c>
    </row>
    <row r="99" spans="2:6" x14ac:dyDescent="0.6">
      <c r="B99" s="27">
        <v>87</v>
      </c>
      <c r="C99" s="6">
        <f t="shared" si="5"/>
        <v>21.600000000000033</v>
      </c>
      <c r="D99" s="6">
        <f>IFERROR(((($C99^2/a_hiperbola^2)-1)*b_hiperbola^2)^0.5,"")</f>
        <v>13.46996659238622</v>
      </c>
      <c r="E99" s="6">
        <f t="shared" si="6"/>
        <v>-21.600000000000033</v>
      </c>
      <c r="F99" s="7">
        <f t="shared" si="7"/>
        <v>-13.46996659238622</v>
      </c>
    </row>
    <row r="100" spans="2:6" x14ac:dyDescent="0.6">
      <c r="B100" s="27">
        <v>88</v>
      </c>
      <c r="C100" s="6">
        <f t="shared" si="5"/>
        <v>22.200000000000035</v>
      </c>
      <c r="D100" s="6">
        <f>IFERROR(((($C100^2/a_hiperbola^2)-1)*b_hiperbola^2)^0.5,"")</f>
        <v>14.007944174646074</v>
      </c>
      <c r="E100" s="6">
        <f t="shared" si="6"/>
        <v>-22.200000000000035</v>
      </c>
      <c r="F100" s="7">
        <f t="shared" si="7"/>
        <v>-14.007944174646074</v>
      </c>
    </row>
    <row r="101" spans="2:6" x14ac:dyDescent="0.6">
      <c r="B101" s="27">
        <v>89</v>
      </c>
      <c r="C101" s="6">
        <f t="shared" si="5"/>
        <v>22.800000000000036</v>
      </c>
      <c r="D101" s="6">
        <f>IFERROR(((($C101^2/a_hiperbola^2)-1)*b_hiperbola^2)^0.5,"")</f>
        <v>14.539944979263193</v>
      </c>
      <c r="E101" s="6">
        <f t="shared" si="6"/>
        <v>-22.800000000000036</v>
      </c>
      <c r="F101" s="7">
        <f t="shared" si="7"/>
        <v>-14.539944979263193</v>
      </c>
    </row>
    <row r="102" spans="2:6" x14ac:dyDescent="0.6">
      <c r="B102" s="27">
        <v>90</v>
      </c>
      <c r="C102" s="6">
        <f t="shared" si="5"/>
        <v>23.400000000000038</v>
      </c>
      <c r="D102" s="6">
        <f>IFERROR(((($C102^2/a_hiperbola^2)-1)*b_hiperbola^2)^0.5,"")</f>
        <v>15.066602138504919</v>
      </c>
      <c r="E102" s="6">
        <f t="shared" si="6"/>
        <v>-23.400000000000038</v>
      </c>
      <c r="F102" s="7">
        <f t="shared" si="7"/>
        <v>-15.066602138504919</v>
      </c>
    </row>
    <row r="103" spans="2:6" x14ac:dyDescent="0.6">
      <c r="B103" s="27">
        <v>91</v>
      </c>
      <c r="C103" s="6">
        <f t="shared" si="5"/>
        <v>24.000000000000039</v>
      </c>
      <c r="D103" s="6">
        <f>IFERROR(((($C103^2/a_hiperbola^2)-1)*b_hiperbola^2)^0.5,"")</f>
        <v>15.588457268119928</v>
      </c>
      <c r="E103" s="6">
        <f t="shared" si="6"/>
        <v>-24.000000000000039</v>
      </c>
      <c r="F103" s="7">
        <f t="shared" si="7"/>
        <v>-15.588457268119928</v>
      </c>
    </row>
    <row r="104" spans="2:6" x14ac:dyDescent="0.6">
      <c r="B104" s="27">
        <v>92</v>
      </c>
      <c r="C104" s="6">
        <f t="shared" si="5"/>
        <v>24.600000000000041</v>
      </c>
      <c r="D104" s="6">
        <f>IFERROR(((($C104^2/a_hiperbola^2)-1)*b_hiperbola^2)^0.5,"")</f>
        <v>16.105977151355987</v>
      </c>
      <c r="E104" s="6">
        <f t="shared" si="6"/>
        <v>-24.600000000000041</v>
      </c>
      <c r="F104" s="7">
        <f t="shared" si="7"/>
        <v>-16.105977151355987</v>
      </c>
    </row>
    <row r="105" spans="2:6" x14ac:dyDescent="0.6">
      <c r="B105" s="27">
        <v>93</v>
      </c>
      <c r="C105" s="6">
        <f t="shared" si="5"/>
        <v>25.200000000000042</v>
      </c>
      <c r="D105" s="6">
        <f>IFERROR(((($C105^2/a_hiperbola^2)-1)*b_hiperbola^2)^0.5,"")</f>
        <v>16.619566781357484</v>
      </c>
      <c r="E105" s="6">
        <f t="shared" si="6"/>
        <v>-25.200000000000042</v>
      </c>
      <c r="F105" s="7">
        <f t="shared" si="7"/>
        <v>-16.619566781357484</v>
      </c>
    </row>
    <row r="106" spans="2:6" x14ac:dyDescent="0.6">
      <c r="B106" s="27">
        <v>94</v>
      </c>
      <c r="C106" s="6">
        <f t="shared" si="5"/>
        <v>25.800000000000043</v>
      </c>
      <c r="D106" s="6">
        <f>IFERROR(((($C106^2/a_hiperbola^2)-1)*b_hiperbola^2)^0.5,"")</f>
        <v>17.129579679606888</v>
      </c>
      <c r="E106" s="6">
        <f t="shared" si="6"/>
        <v>-25.800000000000043</v>
      </c>
      <c r="F106" s="7">
        <f t="shared" si="7"/>
        <v>-17.129579679606888</v>
      </c>
    </row>
    <row r="107" spans="2:6" x14ac:dyDescent="0.6">
      <c r="B107" s="27">
        <v>95</v>
      </c>
      <c r="C107" s="6">
        <f t="shared" si="5"/>
        <v>26.400000000000045</v>
      </c>
      <c r="D107" s="6">
        <f>IFERROR(((($C107^2/a_hiperbola^2)-1)*b_hiperbola^2)^0.5,"")</f>
        <v>17.636326148038918</v>
      </c>
      <c r="E107" s="6">
        <f t="shared" si="6"/>
        <v>-26.400000000000045</v>
      </c>
      <c r="F107" s="7">
        <f t="shared" si="7"/>
        <v>-17.636326148038918</v>
      </c>
    </row>
    <row r="108" spans="2:6" x14ac:dyDescent="0.6">
      <c r="B108" s="27">
        <v>96</v>
      </c>
      <c r="C108" s="6">
        <f t="shared" si="5"/>
        <v>27.000000000000046</v>
      </c>
      <c r="D108" s="6">
        <f>IFERROR(((($C108^2/a_hiperbola^2)-1)*b_hiperbola^2)^0.5,"")</f>
        <v>18.140079933671775</v>
      </c>
      <c r="E108" s="6">
        <f t="shared" si="6"/>
        <v>-27.000000000000046</v>
      </c>
      <c r="F108" s="7">
        <f t="shared" si="7"/>
        <v>-18.140079933671775</v>
      </c>
    </row>
    <row r="109" spans="2:6" x14ac:dyDescent="0.6">
      <c r="B109" s="27">
        <v>97</v>
      </c>
      <c r="C109" s="6">
        <f t="shared" si="5"/>
        <v>27.600000000000048</v>
      </c>
      <c r="D109" s="6">
        <f>IFERROR(((($C109^2/a_hiperbola^2)-1)*b_hiperbola^2)^0.5,"")</f>
        <v>18.641083659487219</v>
      </c>
      <c r="E109" s="6">
        <f t="shared" si="6"/>
        <v>-27.600000000000048</v>
      </c>
      <c r="F109" s="7">
        <f t="shared" si="7"/>
        <v>-18.641083659487219</v>
      </c>
    </row>
    <row r="110" spans="2:6" x14ac:dyDescent="0.6">
      <c r="B110" s="27">
        <v>98</v>
      </c>
      <c r="C110" s="6">
        <f t="shared" si="5"/>
        <v>28.200000000000049</v>
      </c>
      <c r="D110" s="6">
        <f>IFERROR(((($C110^2/a_hiperbola^2)-1)*b_hiperbola^2)^0.5,"")</f>
        <v>19.139553286323103</v>
      </c>
      <c r="E110" s="6">
        <f t="shared" si="6"/>
        <v>-28.200000000000049</v>
      </c>
      <c r="F110" s="7">
        <f t="shared" si="7"/>
        <v>-19.139553286323103</v>
      </c>
    </row>
    <row r="111" spans="2:6" x14ac:dyDescent="0.6">
      <c r="B111" s="27">
        <v>99</v>
      </c>
      <c r="C111" s="6">
        <f t="shared" si="5"/>
        <v>28.80000000000005</v>
      </c>
      <c r="D111" s="6">
        <f>IFERROR(((($C111^2/a_hiperbola^2)-1)*b_hiperbola^2)^0.5,"")</f>
        <v>19.635681806344326</v>
      </c>
      <c r="E111" s="6">
        <f t="shared" si="6"/>
        <v>-28.80000000000005</v>
      </c>
      <c r="F111" s="7">
        <f t="shared" si="7"/>
        <v>-19.635681806344326</v>
      </c>
    </row>
    <row r="112" spans="2:6" x14ac:dyDescent="0.6">
      <c r="B112" s="28">
        <v>100</v>
      </c>
      <c r="C112" s="8">
        <f t="shared" si="5"/>
        <v>29.400000000000052</v>
      </c>
      <c r="D112" s="8">
        <f>IFERROR(((($C112^2/a_hiperbola^2)-1)*b_hiperbola^2)^0.5,"")</f>
        <v>20.12964232171058</v>
      </c>
      <c r="E112" s="8">
        <f t="shared" si="6"/>
        <v>-29.400000000000052</v>
      </c>
      <c r="F112" s="9">
        <f t="shared" si="7"/>
        <v>-20.12964232171058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125" activePane="bottomLeft" state="frozen"/>
      <selection pane="bottomLeft" sqref="A1:A1048576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_xlfn.CONCAT(HiperbolaTabla!$C13,",",HiperbolaTabla!D13)</f>
        <v>-30,20.6215906273013</v>
      </c>
      <c r="B2" s="1" t="str">
        <f>_xlfn.CONCAT("POINT ",A2)</f>
        <v>POINT -30,20.6215906273013</v>
      </c>
    </row>
    <row r="3" spans="1:2" x14ac:dyDescent="0.6">
      <c r="A3" s="1" t="str">
        <f>_xlfn.CONCAT(HiperbolaTabla!$C14,",",HiperbolaTabla!D14)</f>
        <v>-29.4,20.1296423217105</v>
      </c>
      <c r="B3" s="1" t="str">
        <f t="shared" ref="B3:B66" si="0">_xlfn.CONCAT("POINT ",A3)</f>
        <v>POINT -29.4,20.1296423217105</v>
      </c>
    </row>
    <row r="4" spans="1:2" x14ac:dyDescent="0.6">
      <c r="A4" s="1" t="str">
        <f>_xlfn.CONCAT(HiperbolaTabla!$C15,",",HiperbolaTabla!D15)</f>
        <v>-28.8,19.6356818063443</v>
      </c>
      <c r="B4" s="1" t="str">
        <f t="shared" si="0"/>
        <v>POINT -28.8,19.6356818063443</v>
      </c>
    </row>
    <row r="5" spans="1:2" x14ac:dyDescent="0.6">
      <c r="A5" s="1" t="str">
        <f>_xlfn.CONCAT(HiperbolaTabla!$C16,",",HiperbolaTabla!D16)</f>
        <v>-28.2,19.1395532863231</v>
      </c>
      <c r="B5" s="1" t="str">
        <f t="shared" si="0"/>
        <v>POINT -28.2,19.1395532863231</v>
      </c>
    </row>
    <row r="6" spans="1:2" x14ac:dyDescent="0.6">
      <c r="A6" s="1" t="str">
        <f>_xlfn.CONCAT(HiperbolaTabla!$C17,",",HiperbolaTabla!D17)</f>
        <v>-27.6,18.6410836594872</v>
      </c>
      <c r="B6" s="1" t="str">
        <f t="shared" si="0"/>
        <v>POINT -27.6,18.6410836594872</v>
      </c>
    </row>
    <row r="7" spans="1:2" x14ac:dyDescent="0.6">
      <c r="A7" s="1" t="str">
        <f>_xlfn.CONCAT(HiperbolaTabla!$C18,",",HiperbolaTabla!D18)</f>
        <v>-27,18.1400799336717</v>
      </c>
      <c r="B7" s="1" t="str">
        <f t="shared" si="0"/>
        <v>POINT -27,18.1400799336717</v>
      </c>
    </row>
    <row r="8" spans="1:2" x14ac:dyDescent="0.6">
      <c r="A8" s="1" t="str">
        <f>_xlfn.CONCAT(HiperbolaTabla!$C19,",",HiperbolaTabla!D19)</f>
        <v>-26.4,17.6363261480389</v>
      </c>
      <c r="B8" s="1" t="str">
        <f t="shared" si="0"/>
        <v>POINT -26.4,17.6363261480389</v>
      </c>
    </row>
    <row r="9" spans="1:2" x14ac:dyDescent="0.6">
      <c r="A9" s="1" t="str">
        <f>_xlfn.CONCAT(HiperbolaTabla!$C20,",",HiperbolaTabla!D20)</f>
        <v>-25.8,17.1295796796068</v>
      </c>
      <c r="B9" s="1" t="str">
        <f t="shared" si="0"/>
        <v>POINT -25.8,17.1295796796068</v>
      </c>
    </row>
    <row r="10" spans="1:2" x14ac:dyDescent="0.6">
      <c r="A10" s="1" t="str">
        <f>_xlfn.CONCAT(HiperbolaTabla!$C21,",",HiperbolaTabla!D21)</f>
        <v>-25.2,16.6195667813574</v>
      </c>
      <c r="B10" s="1" t="str">
        <f t="shared" si="0"/>
        <v>POINT -25.2,16.6195667813574</v>
      </c>
    </row>
    <row r="11" spans="1:2" x14ac:dyDescent="0.6">
      <c r="A11" s="1" t="str">
        <f>_xlfn.CONCAT(HiperbolaTabla!$C22,",",HiperbolaTabla!D22)</f>
        <v>-24.6,16.1059771513559</v>
      </c>
      <c r="B11" s="1" t="str">
        <f t="shared" si="0"/>
        <v>POINT -24.6,16.1059771513559</v>
      </c>
    </row>
    <row r="12" spans="1:2" x14ac:dyDescent="0.6">
      <c r="A12" s="1" t="str">
        <f>_xlfn.CONCAT(HiperbolaTabla!$C23,",",HiperbolaTabla!D23)</f>
        <v>-24,15.5884572681199</v>
      </c>
      <c r="B12" s="1" t="str">
        <f t="shared" si="0"/>
        <v>POINT -24,15.5884572681199</v>
      </c>
    </row>
    <row r="13" spans="1:2" x14ac:dyDescent="0.6">
      <c r="A13" s="1" t="str">
        <f>_xlfn.CONCAT(HiperbolaTabla!$C24,",",HiperbolaTabla!D24)</f>
        <v>-23.4,15.0666021385049</v>
      </c>
      <c r="B13" s="1" t="str">
        <f t="shared" si="0"/>
        <v>POINT -23.4,15.0666021385049</v>
      </c>
    </row>
    <row r="14" spans="1:2" x14ac:dyDescent="0.6">
      <c r="A14" s="1" t="str">
        <f>_xlfn.CONCAT(HiperbolaTabla!$C25,",",HiperbolaTabla!D25)</f>
        <v>-22.8,14.5399449792631</v>
      </c>
      <c r="B14" s="1" t="str">
        <f t="shared" si="0"/>
        <v>POINT -22.8,14.5399449792631</v>
      </c>
    </row>
    <row r="15" spans="1:2" x14ac:dyDescent="0.6">
      <c r="A15" s="1" t="str">
        <f>_xlfn.CONCAT(HiperbolaTabla!$C26,",",HiperbolaTabla!D26)</f>
        <v>-22.2,14.007944174646</v>
      </c>
      <c r="B15" s="1" t="str">
        <f t="shared" si="0"/>
        <v>POINT -22.2,14.007944174646</v>
      </c>
    </row>
    <row r="16" spans="1:2" x14ac:dyDescent="0.6">
      <c r="A16" s="1" t="str">
        <f>_xlfn.CONCAT(HiperbolaTabla!$C27,",",HiperbolaTabla!D27)</f>
        <v>-21.6,13.4699665923862</v>
      </c>
      <c r="B16" s="1" t="str">
        <f t="shared" si="0"/>
        <v>POINT -21.6,13.4699665923862</v>
      </c>
    </row>
    <row r="17" spans="1:2" x14ac:dyDescent="0.6">
      <c r="A17" s="1" t="str">
        <f>_xlfn.CONCAT(HiperbolaTabla!$C28,",",HiperbolaTabla!D28)</f>
        <v>-21,12.9252659547105</v>
      </c>
      <c r="B17" s="1" t="str">
        <f t="shared" si="0"/>
        <v>POINT -21,12.9252659547105</v>
      </c>
    </row>
    <row r="18" spans="1:2" x14ac:dyDescent="0.6">
      <c r="A18" s="1" t="str">
        <f>_xlfn.CONCAT(HiperbolaTabla!$C29,",",HiperbolaTabla!D29)</f>
        <v>-20.4,12.3729543763807</v>
      </c>
      <c r="B18" s="1" t="str">
        <f t="shared" si="0"/>
        <v>POINT -20.4,12.3729543763807</v>
      </c>
    </row>
    <row r="19" spans="1:2" x14ac:dyDescent="0.6">
      <c r="A19" s="1" t="str">
        <f>_xlfn.CONCAT(HiperbolaTabla!$C30,",",HiperbolaTabla!D30)</f>
        <v>-19.8,11.811964273566</v>
      </c>
      <c r="B19" s="1" t="str">
        <f t="shared" si="0"/>
        <v>POINT -19.8,11.811964273566</v>
      </c>
    </row>
    <row r="20" spans="1:2" x14ac:dyDescent="0.6">
      <c r="A20" s="1" t="str">
        <f>_xlfn.CONCAT(HiperbolaTabla!$C31,",",HiperbolaTabla!D31)</f>
        <v>-19.2,11.2409963971171</v>
      </c>
      <c r="B20" s="1" t="str">
        <f t="shared" si="0"/>
        <v>POINT -19.2,11.2409963971171</v>
      </c>
    </row>
    <row r="21" spans="1:2" x14ac:dyDescent="0.6">
      <c r="A21" s="1" t="str">
        <f>_xlfn.CONCAT(HiperbolaTabla!$C32,",",HiperbolaTabla!D32)</f>
        <v>-18.6,10.6584473540943</v>
      </c>
      <c r="B21" s="1" t="str">
        <f t="shared" si="0"/>
        <v>POINT -18.6,10.6584473540943</v>
      </c>
    </row>
    <row r="22" spans="1:2" x14ac:dyDescent="0.6">
      <c r="A22" s="1" t="str">
        <f>_xlfn.CONCAT(HiperbolaTabla!$C33,",",HiperbolaTabla!D33)</f>
        <v>-18,10.062305898749</v>
      </c>
      <c r="B22" s="1" t="str">
        <f t="shared" si="0"/>
        <v>POINT -18,10.062305898749</v>
      </c>
    </row>
    <row r="23" spans="1:2" x14ac:dyDescent="0.6">
      <c r="A23" s="1" t="str">
        <f>_xlfn.CONCAT(HiperbolaTabla!$C34,",",HiperbolaTabla!D34)</f>
        <v>-17.4,9.44999999999997</v>
      </c>
      <c r="B23" s="1" t="str">
        <f t="shared" si="0"/>
        <v>POINT -17.4,9.44999999999997</v>
      </c>
    </row>
    <row r="24" spans="1:2" x14ac:dyDescent="0.6">
      <c r="A24" s="1" t="str">
        <f>_xlfn.CONCAT(HiperbolaTabla!$C35,",",HiperbolaTabla!D35)</f>
        <v>-16.8,8.81816307401941</v>
      </c>
      <c r="B24" s="1" t="str">
        <f t="shared" si="0"/>
        <v>POINT -16.8,8.81816307401941</v>
      </c>
    </row>
    <row r="25" spans="1:2" x14ac:dyDescent="0.6">
      <c r="A25" s="1" t="str">
        <f>_xlfn.CONCAT(HiperbolaTabla!$C36,",",HiperbolaTabla!D36)</f>
        <v>-16.2,8.16226071624764</v>
      </c>
      <c r="B25" s="1" t="str">
        <f t="shared" si="0"/>
        <v>POINT -16.2,8.16226071624764</v>
      </c>
    </row>
    <row r="26" spans="1:2" x14ac:dyDescent="0.6">
      <c r="A26" s="1" t="str">
        <f>_xlfn.CONCAT(HiperbolaTabla!$C37,",",HiperbolaTabla!D37)</f>
        <v>-15.6,7.47596147662623</v>
      </c>
      <c r="B26" s="1" t="str">
        <f t="shared" si="0"/>
        <v>POINT -15.6,7.47596147662623</v>
      </c>
    </row>
    <row r="27" spans="1:2" x14ac:dyDescent="0.6">
      <c r="A27" s="1" t="str">
        <f>_xlfn.CONCAT(HiperbolaTabla!$C38,",",HiperbolaTabla!D38)</f>
        <v>-15,6.74999999999996</v>
      </c>
      <c r="B27" s="1" t="str">
        <f t="shared" si="0"/>
        <v>POINT -15,6.74999999999996</v>
      </c>
    </row>
    <row r="28" spans="1:2" x14ac:dyDescent="0.6">
      <c r="A28" s="1" t="str">
        <f>_xlfn.CONCAT(HiperbolaTabla!$C39,",",HiperbolaTabla!D39)</f>
        <v>-14.4,5.96992462263968</v>
      </c>
      <c r="B28" s="1" t="str">
        <f t="shared" si="0"/>
        <v>POINT -14.4,5.96992462263968</v>
      </c>
    </row>
    <row r="29" spans="1:2" x14ac:dyDescent="0.6">
      <c r="A29" s="1" t="str">
        <f>_xlfn.CONCAT(HiperbolaTabla!$C40,",",HiperbolaTabla!D40)</f>
        <v>-13.8,5.1110175112202</v>
      </c>
      <c r="B29" s="1" t="str">
        <f t="shared" si="0"/>
        <v>POINT -13.8,5.1110175112202</v>
      </c>
    </row>
    <row r="30" spans="1:2" x14ac:dyDescent="0.6">
      <c r="A30" s="1" t="str">
        <f>_xlfn.CONCAT(HiperbolaTabla!$C41,",",HiperbolaTabla!D41)</f>
        <v>-13.2,4.1243181254602</v>
      </c>
      <c r="B30" s="1" t="str">
        <f t="shared" si="0"/>
        <v>POINT -13.2,4.1243181254602</v>
      </c>
    </row>
    <row r="31" spans="1:2" x14ac:dyDescent="0.6">
      <c r="A31" s="1" t="str">
        <f>_xlfn.CONCAT(HiperbolaTabla!$C42,",",HiperbolaTabla!D42)</f>
        <v>-12.6,2.88140590684471</v>
      </c>
      <c r="B31" s="1" t="str">
        <f t="shared" si="0"/>
        <v>POINT -12.6,2.88140590684471</v>
      </c>
    </row>
    <row r="32" spans="1:2" x14ac:dyDescent="0.6">
      <c r="A32" s="1" t="str">
        <f>_xlfn.CONCAT(HiperbolaTabla!$C43,",",HiperbolaTabla!D43)</f>
        <v>-12,</v>
      </c>
      <c r="B32" s="1" t="str">
        <f t="shared" si="0"/>
        <v>POINT -12,</v>
      </c>
    </row>
    <row r="33" spans="1:2" x14ac:dyDescent="0.6">
      <c r="A33" s="1" t="str">
        <f>_xlfn.CONCAT(HiperbolaTabla!$C44,",",HiperbolaTabla!D44)</f>
        <v>-11.4,</v>
      </c>
      <c r="B33" s="1" t="str">
        <f t="shared" si="0"/>
        <v>POINT -11.4,</v>
      </c>
    </row>
    <row r="34" spans="1:2" x14ac:dyDescent="0.6">
      <c r="A34" s="1" t="str">
        <f>_xlfn.CONCAT(HiperbolaTabla!$C45,",",HiperbolaTabla!D45)</f>
        <v>-10.8,</v>
      </c>
      <c r="B34" s="1" t="str">
        <f t="shared" si="0"/>
        <v>POINT -10.8,</v>
      </c>
    </row>
    <row r="35" spans="1:2" x14ac:dyDescent="0.6">
      <c r="A35" s="1" t="str">
        <f>_xlfn.CONCAT(HiperbolaTabla!$C46,",",HiperbolaTabla!D46)</f>
        <v>-10.2,</v>
      </c>
      <c r="B35" s="1" t="str">
        <f t="shared" si="0"/>
        <v>POINT -10.2,</v>
      </c>
    </row>
    <row r="36" spans="1:2" x14ac:dyDescent="0.6">
      <c r="A36" s="1" t="str">
        <f>_xlfn.CONCAT(HiperbolaTabla!$C47,",",HiperbolaTabla!D47)</f>
        <v>-9.59999999999997,</v>
      </c>
      <c r="B36" s="1" t="str">
        <f t="shared" si="0"/>
        <v>POINT -9.59999999999997,</v>
      </c>
    </row>
    <row r="37" spans="1:2" x14ac:dyDescent="0.6">
      <c r="A37" s="1" t="str">
        <f>_xlfn.CONCAT(HiperbolaTabla!$C48,",",HiperbolaTabla!D48)</f>
        <v>-8.99999999999997,</v>
      </c>
      <c r="B37" s="1" t="str">
        <f t="shared" si="0"/>
        <v>POINT -8.99999999999997,</v>
      </c>
    </row>
    <row r="38" spans="1:2" x14ac:dyDescent="0.6">
      <c r="A38" s="1" t="str">
        <f>_xlfn.CONCAT(HiperbolaTabla!$C49,",",HiperbolaTabla!D49)</f>
        <v>-8.39999999999997,</v>
      </c>
      <c r="B38" s="1" t="str">
        <f t="shared" si="0"/>
        <v>POINT -8.39999999999997,</v>
      </c>
    </row>
    <row r="39" spans="1:2" x14ac:dyDescent="0.6">
      <c r="A39" s="1" t="str">
        <f>_xlfn.CONCAT(HiperbolaTabla!$C50,",",HiperbolaTabla!D50)</f>
        <v>-7.79999999999997,</v>
      </c>
      <c r="B39" s="1" t="str">
        <f t="shared" si="0"/>
        <v>POINT -7.79999999999997,</v>
      </c>
    </row>
    <row r="40" spans="1:2" x14ac:dyDescent="0.6">
      <c r="A40" s="1" t="str">
        <f>_xlfn.CONCAT(HiperbolaTabla!$C51,",",HiperbolaTabla!D51)</f>
        <v>-7.19999999999997,</v>
      </c>
      <c r="B40" s="1" t="str">
        <f t="shared" si="0"/>
        <v>POINT -7.19999999999997,</v>
      </c>
    </row>
    <row r="41" spans="1:2" x14ac:dyDescent="0.6">
      <c r="A41" s="1" t="str">
        <f>_xlfn.CONCAT(HiperbolaTabla!$C52,",",HiperbolaTabla!D52)</f>
        <v>-6.59999999999997,</v>
      </c>
      <c r="B41" s="1" t="str">
        <f t="shared" si="0"/>
        <v>POINT -6.59999999999997,</v>
      </c>
    </row>
    <row r="42" spans="1:2" x14ac:dyDescent="0.6">
      <c r="A42" s="1" t="str">
        <f>_xlfn.CONCAT(HiperbolaTabla!$C53,",",HiperbolaTabla!D53)</f>
        <v>-5.99999999999997,</v>
      </c>
      <c r="B42" s="1" t="str">
        <f t="shared" si="0"/>
        <v>POINT -5.99999999999997,</v>
      </c>
    </row>
    <row r="43" spans="1:2" x14ac:dyDescent="0.6">
      <c r="A43" s="1" t="str">
        <f>_xlfn.CONCAT(HiperbolaTabla!$C54,",",HiperbolaTabla!D54)</f>
        <v>-5.39999999999997,</v>
      </c>
      <c r="B43" s="1" t="str">
        <f t="shared" si="0"/>
        <v>POINT -5.39999999999997,</v>
      </c>
    </row>
    <row r="44" spans="1:2" x14ac:dyDescent="0.6">
      <c r="A44" s="1" t="str">
        <f>_xlfn.CONCAT(HiperbolaTabla!$C55,",",HiperbolaTabla!D55)</f>
        <v>-4.79999999999997,</v>
      </c>
      <c r="B44" s="1" t="str">
        <f t="shared" si="0"/>
        <v>POINT -4.79999999999997,</v>
      </c>
    </row>
    <row r="45" spans="1:2" x14ac:dyDescent="0.6">
      <c r="A45" s="1" t="str">
        <f>_xlfn.CONCAT(HiperbolaTabla!$C56,",",HiperbolaTabla!D56)</f>
        <v>-4.19999999999997,</v>
      </c>
      <c r="B45" s="1" t="str">
        <f t="shared" si="0"/>
        <v>POINT -4.19999999999997,</v>
      </c>
    </row>
    <row r="46" spans="1:2" x14ac:dyDescent="0.6">
      <c r="A46" s="1" t="str">
        <f>_xlfn.CONCAT(HiperbolaTabla!$C57,",",HiperbolaTabla!D57)</f>
        <v>-3.59999999999997,</v>
      </c>
      <c r="B46" s="1" t="str">
        <f t="shared" si="0"/>
        <v>POINT -3.59999999999997,</v>
      </c>
    </row>
    <row r="47" spans="1:2" x14ac:dyDescent="0.6">
      <c r="A47" s="1" t="str">
        <f>_xlfn.CONCAT(HiperbolaTabla!$C58,",",HiperbolaTabla!D58)</f>
        <v>-2.99999999999997,</v>
      </c>
      <c r="B47" s="1" t="str">
        <f t="shared" si="0"/>
        <v>POINT -2.99999999999997,</v>
      </c>
    </row>
    <row r="48" spans="1:2" x14ac:dyDescent="0.6">
      <c r="A48" s="1" t="str">
        <f>_xlfn.CONCAT(HiperbolaTabla!$C59,",",HiperbolaTabla!D59)</f>
        <v>-2.39999999999997,</v>
      </c>
      <c r="B48" s="1" t="str">
        <f t="shared" si="0"/>
        <v>POINT -2.39999999999997,</v>
      </c>
    </row>
    <row r="49" spans="1:2" x14ac:dyDescent="0.6">
      <c r="A49" s="1" t="str">
        <f>_xlfn.CONCAT(HiperbolaTabla!$C60,",",HiperbolaTabla!D60)</f>
        <v>-1.79999999999997,</v>
      </c>
      <c r="B49" s="1" t="str">
        <f t="shared" si="0"/>
        <v>POINT -1.79999999999997,</v>
      </c>
    </row>
    <row r="50" spans="1:2" x14ac:dyDescent="0.6">
      <c r="A50" s="1" t="str">
        <f>_xlfn.CONCAT(HiperbolaTabla!$C61,",",HiperbolaTabla!D61)</f>
        <v>-1.19999999999997,</v>
      </c>
      <c r="B50" s="1" t="str">
        <f t="shared" si="0"/>
        <v>POINT -1.19999999999997,</v>
      </c>
    </row>
    <row r="51" spans="1:2" x14ac:dyDescent="0.6">
      <c r="A51" s="1" t="str">
        <f>_xlfn.CONCAT(HiperbolaTabla!$C62,",",HiperbolaTabla!D62)</f>
        <v>-0.599999999999974,</v>
      </c>
      <c r="B51" s="1" t="str">
        <f t="shared" si="0"/>
        <v>POINT -0.599999999999974,</v>
      </c>
    </row>
    <row r="52" spans="1:2" x14ac:dyDescent="0.6">
      <c r="A52" s="1" t="str">
        <f>_xlfn.CONCAT(HiperbolaTabla!$C63,",",HiperbolaTabla!D63)</f>
        <v>2.59792187762287E-14,</v>
      </c>
      <c r="B52" s="1" t="str">
        <f t="shared" si="0"/>
        <v>POINT 2.59792187762287E-14,</v>
      </c>
    </row>
    <row r="53" spans="1:2" x14ac:dyDescent="0.6">
      <c r="A53" s="1" t="str">
        <f>_xlfn.CONCAT(HiperbolaTabla!$C64,",",HiperbolaTabla!D64)</f>
        <v>0.600000000000026,</v>
      </c>
      <c r="B53" s="1" t="str">
        <f t="shared" si="0"/>
        <v>POINT 0.600000000000026,</v>
      </c>
    </row>
    <row r="54" spans="1:2" x14ac:dyDescent="0.6">
      <c r="A54" s="1" t="str">
        <f>_xlfn.CONCAT(HiperbolaTabla!$C65,",",HiperbolaTabla!D65)</f>
        <v>1.20000000000003,</v>
      </c>
      <c r="B54" s="1" t="str">
        <f t="shared" si="0"/>
        <v>POINT 1.20000000000003,</v>
      </c>
    </row>
    <row r="55" spans="1:2" x14ac:dyDescent="0.6">
      <c r="A55" s="1" t="str">
        <f>_xlfn.CONCAT(HiperbolaTabla!$C66,",",HiperbolaTabla!D66)</f>
        <v>1.80000000000003,</v>
      </c>
      <c r="B55" s="1" t="str">
        <f t="shared" si="0"/>
        <v>POINT 1.80000000000003,</v>
      </c>
    </row>
    <row r="56" spans="1:2" x14ac:dyDescent="0.6">
      <c r="A56" s="1" t="str">
        <f>_xlfn.CONCAT(HiperbolaTabla!$C67,",",HiperbolaTabla!D67)</f>
        <v>2.40000000000003,</v>
      </c>
      <c r="B56" s="1" t="str">
        <f t="shared" si="0"/>
        <v>POINT 2.40000000000003,</v>
      </c>
    </row>
    <row r="57" spans="1:2" x14ac:dyDescent="0.6">
      <c r="A57" s="1" t="str">
        <f>_xlfn.CONCAT(HiperbolaTabla!$C68,",",HiperbolaTabla!D68)</f>
        <v>3.00000000000003,</v>
      </c>
      <c r="B57" s="1" t="str">
        <f t="shared" si="0"/>
        <v>POINT 3.00000000000003,</v>
      </c>
    </row>
    <row r="58" spans="1:2" x14ac:dyDescent="0.6">
      <c r="A58" s="1" t="str">
        <f>_xlfn.CONCAT(HiperbolaTabla!$C69,",",HiperbolaTabla!D69)</f>
        <v>3.60000000000003,</v>
      </c>
      <c r="B58" s="1" t="str">
        <f t="shared" si="0"/>
        <v>POINT 3.60000000000003,</v>
      </c>
    </row>
    <row r="59" spans="1:2" x14ac:dyDescent="0.6">
      <c r="A59" s="1" t="str">
        <f>_xlfn.CONCAT(HiperbolaTabla!$C70,",",HiperbolaTabla!D70)</f>
        <v>4.20000000000003,</v>
      </c>
      <c r="B59" s="1" t="str">
        <f t="shared" si="0"/>
        <v>POINT 4.20000000000003,</v>
      </c>
    </row>
    <row r="60" spans="1:2" x14ac:dyDescent="0.6">
      <c r="A60" s="1" t="str">
        <f>_xlfn.CONCAT(HiperbolaTabla!$C71,",",HiperbolaTabla!D71)</f>
        <v>4.80000000000003,</v>
      </c>
      <c r="B60" s="1" t="str">
        <f t="shared" si="0"/>
        <v>POINT 4.80000000000003,</v>
      </c>
    </row>
    <row r="61" spans="1:2" x14ac:dyDescent="0.6">
      <c r="A61" s="1" t="str">
        <f>_xlfn.CONCAT(HiperbolaTabla!$C72,",",HiperbolaTabla!D72)</f>
        <v>5.40000000000003,</v>
      </c>
      <c r="B61" s="1" t="str">
        <f t="shared" si="0"/>
        <v>POINT 5.40000000000003,</v>
      </c>
    </row>
    <row r="62" spans="1:2" x14ac:dyDescent="0.6">
      <c r="A62" s="1" t="str">
        <f>_xlfn.CONCAT(HiperbolaTabla!$C73,",",HiperbolaTabla!D73)</f>
        <v>6.00000000000002,</v>
      </c>
      <c r="B62" s="1" t="str">
        <f t="shared" si="0"/>
        <v>POINT 6.00000000000002,</v>
      </c>
    </row>
    <row r="63" spans="1:2" x14ac:dyDescent="0.6">
      <c r="A63" s="1" t="str">
        <f>_xlfn.CONCAT(HiperbolaTabla!$C74,",",HiperbolaTabla!D74)</f>
        <v>6.60000000000002,</v>
      </c>
      <c r="B63" s="1" t="str">
        <f t="shared" si="0"/>
        <v>POINT 6.60000000000002,</v>
      </c>
    </row>
    <row r="64" spans="1:2" x14ac:dyDescent="0.6">
      <c r="A64" s="1" t="str">
        <f>_xlfn.CONCAT(HiperbolaTabla!$C75,",",HiperbolaTabla!D75)</f>
        <v>7.20000000000002,</v>
      </c>
      <c r="B64" s="1" t="str">
        <f t="shared" si="0"/>
        <v>POINT 7.20000000000002,</v>
      </c>
    </row>
    <row r="65" spans="1:2" x14ac:dyDescent="0.6">
      <c r="A65" s="1" t="str">
        <f>_xlfn.CONCAT(HiperbolaTabla!$C76,",",HiperbolaTabla!D76)</f>
        <v>7.80000000000002,</v>
      </c>
      <c r="B65" s="1" t="str">
        <f t="shared" si="0"/>
        <v>POINT 7.80000000000002,</v>
      </c>
    </row>
    <row r="66" spans="1:2" x14ac:dyDescent="0.6">
      <c r="A66" s="1" t="str">
        <f>_xlfn.CONCAT(HiperbolaTabla!$C77,",",HiperbolaTabla!D77)</f>
        <v>8.40000000000002,</v>
      </c>
      <c r="B66" s="1" t="str">
        <f t="shared" si="0"/>
        <v>POINT 8.40000000000002,</v>
      </c>
    </row>
    <row r="67" spans="1:2" x14ac:dyDescent="0.6">
      <c r="A67" s="1" t="str">
        <f>_xlfn.CONCAT(HiperbolaTabla!$C78,",",HiperbolaTabla!D78)</f>
        <v>9.00000000000002,</v>
      </c>
      <c r="B67" s="1" t="str">
        <f t="shared" ref="B67:B101" si="1">_xlfn.CONCAT("POINT ",A67)</f>
        <v>POINT 9.00000000000002,</v>
      </c>
    </row>
    <row r="68" spans="1:2" x14ac:dyDescent="0.6">
      <c r="A68" s="1" t="str">
        <f>_xlfn.CONCAT(HiperbolaTabla!$C79,",",HiperbolaTabla!D79)</f>
        <v>9.60000000000002,</v>
      </c>
      <c r="B68" s="1" t="str">
        <f t="shared" si="1"/>
        <v>POINT 9.60000000000002,</v>
      </c>
    </row>
    <row r="69" spans="1:2" x14ac:dyDescent="0.6">
      <c r="A69" s="1" t="str">
        <f>_xlfn.CONCAT(HiperbolaTabla!$C80,",",HiperbolaTabla!D80)</f>
        <v>10.2,</v>
      </c>
      <c r="B69" s="1" t="str">
        <f t="shared" si="1"/>
        <v>POINT 10.2,</v>
      </c>
    </row>
    <row r="70" spans="1:2" x14ac:dyDescent="0.6">
      <c r="A70" s="1" t="str">
        <f>_xlfn.CONCAT(HiperbolaTabla!$C81,",",HiperbolaTabla!D81)</f>
        <v>10.8,</v>
      </c>
      <c r="B70" s="1" t="str">
        <f t="shared" si="1"/>
        <v>POINT 10.8,</v>
      </c>
    </row>
    <row r="71" spans="1:2" x14ac:dyDescent="0.6">
      <c r="A71" s="1" t="str">
        <f>_xlfn.CONCAT(HiperbolaTabla!$C82,",",HiperbolaTabla!D82)</f>
        <v>11.4,</v>
      </c>
      <c r="B71" s="1" t="str">
        <f t="shared" si="1"/>
        <v>POINT 11.4,</v>
      </c>
    </row>
    <row r="72" spans="1:2" x14ac:dyDescent="0.6">
      <c r="A72" s="1" t="str">
        <f>_xlfn.CONCAT(HiperbolaTabla!$C83,",",HiperbolaTabla!D83)</f>
        <v>12,5.36441802978516E-07</v>
      </c>
      <c r="B72" s="1" t="str">
        <f t="shared" si="1"/>
        <v>POINT 12,5.36441802978516E-07</v>
      </c>
    </row>
    <row r="73" spans="1:2" x14ac:dyDescent="0.6">
      <c r="A73" s="1" t="str">
        <f>_xlfn.CONCAT(HiperbolaTabla!$C84,",",HiperbolaTabla!D84)</f>
        <v>12.6,2.88140590684483</v>
      </c>
      <c r="B73" s="1" t="str">
        <f t="shared" si="1"/>
        <v>POINT 12.6,2.88140590684483</v>
      </c>
    </row>
    <row r="74" spans="1:2" x14ac:dyDescent="0.6">
      <c r="A74" s="1" t="str">
        <f>_xlfn.CONCAT(HiperbolaTabla!$C85,",",HiperbolaTabla!D85)</f>
        <v>13.2,4.12431812546029</v>
      </c>
      <c r="B74" s="1" t="str">
        <f t="shared" si="1"/>
        <v>POINT 13.2,4.12431812546029</v>
      </c>
    </row>
    <row r="75" spans="1:2" x14ac:dyDescent="0.6">
      <c r="A75" s="1" t="str">
        <f>_xlfn.CONCAT(HiperbolaTabla!$C86,",",HiperbolaTabla!D86)</f>
        <v>13.8,5.11101751122028</v>
      </c>
      <c r="B75" s="1" t="str">
        <f t="shared" si="1"/>
        <v>POINT 13.8,5.11101751122028</v>
      </c>
    </row>
    <row r="76" spans="1:2" x14ac:dyDescent="0.6">
      <c r="A76" s="1" t="str">
        <f>_xlfn.CONCAT(HiperbolaTabla!$C87,",",HiperbolaTabla!D87)</f>
        <v>14.4,5.96992462263975</v>
      </c>
      <c r="B76" s="1" t="str">
        <f t="shared" si="1"/>
        <v>POINT 14.4,5.96992462263975</v>
      </c>
    </row>
    <row r="77" spans="1:2" x14ac:dyDescent="0.6">
      <c r="A77" s="1" t="str">
        <f>_xlfn.CONCAT(HiperbolaTabla!$C88,",",HiperbolaTabla!D88)</f>
        <v>15,6.75000000000002</v>
      </c>
      <c r="B77" s="1" t="str">
        <f t="shared" si="1"/>
        <v>POINT 15,6.75000000000002</v>
      </c>
    </row>
    <row r="78" spans="1:2" x14ac:dyDescent="0.6">
      <c r="A78" s="1" t="str">
        <f>_xlfn.CONCAT(HiperbolaTabla!$C89,",",HiperbolaTabla!D89)</f>
        <v>15.6,7.47596147662629</v>
      </c>
      <c r="B78" s="1" t="str">
        <f t="shared" si="1"/>
        <v>POINT 15.6,7.47596147662629</v>
      </c>
    </row>
    <row r="79" spans="1:2" x14ac:dyDescent="0.6">
      <c r="A79" s="1" t="str">
        <f>_xlfn.CONCAT(HiperbolaTabla!$C90,",",HiperbolaTabla!D90)</f>
        <v>16.2,8.1622607162477</v>
      </c>
      <c r="B79" s="1" t="str">
        <f t="shared" si="1"/>
        <v>POINT 16.2,8.1622607162477</v>
      </c>
    </row>
    <row r="80" spans="1:2" x14ac:dyDescent="0.6">
      <c r="A80" s="1" t="str">
        <f>_xlfn.CONCAT(HiperbolaTabla!$C91,",",HiperbolaTabla!D91)</f>
        <v>16.8,8.81816307401947</v>
      </c>
      <c r="B80" s="1" t="str">
        <f t="shared" si="1"/>
        <v>POINT 16.8,8.81816307401947</v>
      </c>
    </row>
    <row r="81" spans="1:2" x14ac:dyDescent="0.6">
      <c r="A81" s="1" t="str">
        <f>_xlfn.CONCAT(HiperbolaTabla!$C92,",",HiperbolaTabla!D92)</f>
        <v>17.4,9.45000000000002</v>
      </c>
      <c r="B81" s="1" t="str">
        <f t="shared" si="1"/>
        <v>POINT 17.4,9.45000000000002</v>
      </c>
    </row>
    <row r="82" spans="1:2" x14ac:dyDescent="0.6">
      <c r="A82" s="1" t="str">
        <f>_xlfn.CONCAT(HiperbolaTabla!$C93,",",HiperbolaTabla!D93)</f>
        <v>18,10.0623058987491</v>
      </c>
      <c r="B82" s="1" t="str">
        <f t="shared" si="1"/>
        <v>POINT 18,10.0623058987491</v>
      </c>
    </row>
    <row r="83" spans="1:2" x14ac:dyDescent="0.6">
      <c r="A83" s="1" t="str">
        <f>_xlfn.CONCAT(HiperbolaTabla!$C94,",",HiperbolaTabla!D94)</f>
        <v>18.6,10.6584473540943</v>
      </c>
      <c r="B83" s="1" t="str">
        <f t="shared" si="1"/>
        <v>POINT 18.6,10.6584473540943</v>
      </c>
    </row>
    <row r="84" spans="1:2" x14ac:dyDescent="0.6">
      <c r="A84" s="1" t="str">
        <f>_xlfn.CONCAT(HiperbolaTabla!$C95,",",HiperbolaTabla!D95)</f>
        <v>19.2,11.2409963971171</v>
      </c>
      <c r="B84" s="1" t="str">
        <f t="shared" si="1"/>
        <v>POINT 19.2,11.2409963971171</v>
      </c>
    </row>
    <row r="85" spans="1:2" x14ac:dyDescent="0.6">
      <c r="A85" s="1" t="str">
        <f>_xlfn.CONCAT(HiperbolaTabla!$C96,",",HiperbolaTabla!D96)</f>
        <v>19.8,11.811964273566</v>
      </c>
      <c r="B85" s="1" t="str">
        <f t="shared" si="1"/>
        <v>POINT 19.8,11.811964273566</v>
      </c>
    </row>
    <row r="86" spans="1:2" x14ac:dyDescent="0.6">
      <c r="A86" s="1" t="str">
        <f>_xlfn.CONCAT(HiperbolaTabla!$C97,",",HiperbolaTabla!D97)</f>
        <v>20.4,12.3729543763808</v>
      </c>
      <c r="B86" s="1" t="str">
        <f t="shared" si="1"/>
        <v>POINT 20.4,12.3729543763808</v>
      </c>
    </row>
    <row r="87" spans="1:2" x14ac:dyDescent="0.6">
      <c r="A87" s="1" t="str">
        <f>_xlfn.CONCAT(HiperbolaTabla!$C98,",",HiperbolaTabla!D98)</f>
        <v>21,12.9252659547106</v>
      </c>
      <c r="B87" s="1" t="str">
        <f t="shared" si="1"/>
        <v>POINT 21,12.9252659547106</v>
      </c>
    </row>
    <row r="88" spans="1:2" x14ac:dyDescent="0.6">
      <c r="A88" s="1" t="str">
        <f>_xlfn.CONCAT(HiperbolaTabla!$C99,",",HiperbolaTabla!D99)</f>
        <v>21.6,13.4699665923862</v>
      </c>
      <c r="B88" s="1" t="str">
        <f t="shared" si="1"/>
        <v>POINT 21.6,13.4699665923862</v>
      </c>
    </row>
    <row r="89" spans="1:2" x14ac:dyDescent="0.6">
      <c r="A89" s="1" t="str">
        <f>_xlfn.CONCAT(HiperbolaTabla!$C100,",",HiperbolaTabla!D100)</f>
        <v>22.2,14.0079441746461</v>
      </c>
      <c r="B89" s="1" t="str">
        <f t="shared" si="1"/>
        <v>POINT 22.2,14.0079441746461</v>
      </c>
    </row>
    <row r="90" spans="1:2" x14ac:dyDescent="0.6">
      <c r="A90" s="1" t="str">
        <f>_xlfn.CONCAT(HiperbolaTabla!$C101,",",HiperbolaTabla!D101)</f>
        <v>22.8,14.5399449792632</v>
      </c>
      <c r="B90" s="1" t="str">
        <f t="shared" si="1"/>
        <v>POINT 22.8,14.5399449792632</v>
      </c>
    </row>
    <row r="91" spans="1:2" x14ac:dyDescent="0.6">
      <c r="A91" s="1" t="str">
        <f>_xlfn.CONCAT(HiperbolaTabla!$C102,",",HiperbolaTabla!D102)</f>
        <v>23.4,15.0666021385049</v>
      </c>
      <c r="B91" s="1" t="str">
        <f t="shared" si="1"/>
        <v>POINT 23.4,15.0666021385049</v>
      </c>
    </row>
    <row r="92" spans="1:2" x14ac:dyDescent="0.6">
      <c r="A92" s="1" t="str">
        <f>_xlfn.CONCAT(HiperbolaTabla!$C103,",",HiperbolaTabla!D103)</f>
        <v>24,15.5884572681199</v>
      </c>
      <c r="B92" s="1" t="str">
        <f t="shared" si="1"/>
        <v>POINT 24,15.5884572681199</v>
      </c>
    </row>
    <row r="93" spans="1:2" x14ac:dyDescent="0.6">
      <c r="A93" s="1" t="str">
        <f>_xlfn.CONCAT(HiperbolaTabla!$C104,",",HiperbolaTabla!D104)</f>
        <v>24.6,16.105977151356</v>
      </c>
      <c r="B93" s="1" t="str">
        <f t="shared" si="1"/>
        <v>POINT 24.6,16.105977151356</v>
      </c>
    </row>
    <row r="94" spans="1:2" x14ac:dyDescent="0.6">
      <c r="A94" s="1" t="str">
        <f>_xlfn.CONCAT(HiperbolaTabla!$C105,",",HiperbolaTabla!D105)</f>
        <v>25.2,16.6195667813575</v>
      </c>
      <c r="B94" s="1" t="str">
        <f t="shared" si="1"/>
        <v>POINT 25.2,16.6195667813575</v>
      </c>
    </row>
    <row r="95" spans="1:2" x14ac:dyDescent="0.6">
      <c r="A95" s="1" t="str">
        <f>_xlfn.CONCAT(HiperbolaTabla!$C106,",",HiperbolaTabla!D106)</f>
        <v>25.8,17.1295796796069</v>
      </c>
      <c r="B95" s="1" t="str">
        <f t="shared" si="1"/>
        <v>POINT 25.8,17.1295796796069</v>
      </c>
    </row>
    <row r="96" spans="1:2" x14ac:dyDescent="0.6">
      <c r="A96" s="1" t="str">
        <f>_xlfn.CONCAT(HiperbolaTabla!$C107,",",HiperbolaTabla!D107)</f>
        <v>26.4,17.6363261480389</v>
      </c>
      <c r="B96" s="1" t="str">
        <f t="shared" si="1"/>
        <v>POINT 26.4,17.6363261480389</v>
      </c>
    </row>
    <row r="97" spans="1:2" x14ac:dyDescent="0.6">
      <c r="A97" s="1" t="str">
        <f>_xlfn.CONCAT(HiperbolaTabla!$C108,",",HiperbolaTabla!D108)</f>
        <v>27,18.1400799336718</v>
      </c>
      <c r="B97" s="1" t="str">
        <f t="shared" si="1"/>
        <v>POINT 27,18.1400799336718</v>
      </c>
    </row>
    <row r="98" spans="1:2" x14ac:dyDescent="0.6">
      <c r="A98" s="1" t="str">
        <f>_xlfn.CONCAT(HiperbolaTabla!$C109,",",HiperbolaTabla!D109)</f>
        <v>27.6,18.6410836594872</v>
      </c>
      <c r="B98" s="1" t="str">
        <f t="shared" si="1"/>
        <v>POINT 27.6,18.6410836594872</v>
      </c>
    </row>
    <row r="99" spans="1:2" x14ac:dyDescent="0.6">
      <c r="A99" s="1" t="str">
        <f>_xlfn.CONCAT(HiperbolaTabla!$C110,",",HiperbolaTabla!D110)</f>
        <v>28.2,19.1395532863231</v>
      </c>
      <c r="B99" s="1" t="str">
        <f t="shared" si="1"/>
        <v>POINT 28.2,19.1395532863231</v>
      </c>
    </row>
    <row r="100" spans="1:2" x14ac:dyDescent="0.6">
      <c r="A100" s="1" t="str">
        <f>_xlfn.CONCAT(HiperbolaTabla!$C111,",",HiperbolaTabla!D111)</f>
        <v>28.8000000000001,19.6356818063443</v>
      </c>
      <c r="B100" s="1" t="str">
        <f t="shared" si="1"/>
        <v>POINT 28.8000000000001,19.6356818063443</v>
      </c>
    </row>
    <row r="101" spans="1:2" x14ac:dyDescent="0.6">
      <c r="A101" s="1" t="str">
        <f>_xlfn.CONCAT(HiperbolaTabla!$C112,",",HiperbolaTabla!D112)</f>
        <v>29.4000000000001,20.1296423217106</v>
      </c>
      <c r="B101" s="1" t="str">
        <f t="shared" si="1"/>
        <v>POINT 29.4000000000001,20.1296423217106</v>
      </c>
    </row>
    <row r="103" spans="1:2" x14ac:dyDescent="0.6">
      <c r="A103" s="1" t="s">
        <v>17</v>
      </c>
    </row>
    <row r="104" spans="1:2" x14ac:dyDescent="0.6">
      <c r="A104" s="1" t="str">
        <f>_xlfn.CONCAT(HiperbolaTabla!$E13,",",HiperbolaTabla!F13)</f>
        <v>30,-20.6215906273013</v>
      </c>
      <c r="B104" s="1" t="str">
        <f t="shared" ref="B104:B167" si="2">_xlfn.CONCAT("POINT ",A104)</f>
        <v>POINT 30,-20.6215906273013</v>
      </c>
    </row>
    <row r="105" spans="1:2" x14ac:dyDescent="0.6">
      <c r="A105" s="1" t="str">
        <f>_xlfn.CONCAT(HiperbolaTabla!$E14,",",HiperbolaTabla!F14)</f>
        <v>29.4,-20.1296423217105</v>
      </c>
      <c r="B105" s="1" t="str">
        <f t="shared" si="2"/>
        <v>POINT 29.4,-20.1296423217105</v>
      </c>
    </row>
    <row r="106" spans="1:2" x14ac:dyDescent="0.6">
      <c r="A106" s="1" t="str">
        <f>_xlfn.CONCAT(HiperbolaTabla!$E15,",",HiperbolaTabla!F15)</f>
        <v>28.8,-19.6356818063443</v>
      </c>
      <c r="B106" s="1" t="str">
        <f t="shared" si="2"/>
        <v>POINT 28.8,-19.6356818063443</v>
      </c>
    </row>
    <row r="107" spans="1:2" x14ac:dyDescent="0.6">
      <c r="A107" s="1" t="str">
        <f>_xlfn.CONCAT(HiperbolaTabla!$E16,",",HiperbolaTabla!F16)</f>
        <v>28.2,-19.1395532863231</v>
      </c>
      <c r="B107" s="1" t="str">
        <f t="shared" si="2"/>
        <v>POINT 28.2,-19.1395532863231</v>
      </c>
    </row>
    <row r="108" spans="1:2" x14ac:dyDescent="0.6">
      <c r="A108" s="1" t="str">
        <f>_xlfn.CONCAT(HiperbolaTabla!$E17,",",HiperbolaTabla!F17)</f>
        <v>27.6,-18.6410836594872</v>
      </c>
      <c r="B108" s="1" t="str">
        <f t="shared" si="2"/>
        <v>POINT 27.6,-18.6410836594872</v>
      </c>
    </row>
    <row r="109" spans="1:2" x14ac:dyDescent="0.6">
      <c r="A109" s="1" t="str">
        <f>_xlfn.CONCAT(HiperbolaTabla!$E18,",",HiperbolaTabla!F18)</f>
        <v>27,-18.1400799336717</v>
      </c>
      <c r="B109" s="1" t="str">
        <f t="shared" si="2"/>
        <v>POINT 27,-18.1400799336717</v>
      </c>
    </row>
    <row r="110" spans="1:2" x14ac:dyDescent="0.6">
      <c r="A110" s="1" t="str">
        <f>_xlfn.CONCAT(HiperbolaTabla!$E19,",",HiperbolaTabla!F19)</f>
        <v>26.4,-17.6363261480389</v>
      </c>
      <c r="B110" s="1" t="str">
        <f t="shared" si="2"/>
        <v>POINT 26.4,-17.6363261480389</v>
      </c>
    </row>
    <row r="111" spans="1:2" x14ac:dyDescent="0.6">
      <c r="A111" s="1" t="str">
        <f>_xlfn.CONCAT(HiperbolaTabla!$E20,",",HiperbolaTabla!F20)</f>
        <v>25.8,-17.1295796796068</v>
      </c>
      <c r="B111" s="1" t="str">
        <f t="shared" si="2"/>
        <v>POINT 25.8,-17.1295796796068</v>
      </c>
    </row>
    <row r="112" spans="1:2" x14ac:dyDescent="0.6">
      <c r="A112" s="1" t="str">
        <f>_xlfn.CONCAT(HiperbolaTabla!$E21,",",HiperbolaTabla!F21)</f>
        <v>25.2,-16.6195667813574</v>
      </c>
      <c r="B112" s="1" t="str">
        <f t="shared" si="2"/>
        <v>POINT 25.2,-16.6195667813574</v>
      </c>
    </row>
    <row r="113" spans="1:2" x14ac:dyDescent="0.6">
      <c r="A113" s="1" t="str">
        <f>_xlfn.CONCAT(HiperbolaTabla!$E22,",",HiperbolaTabla!F22)</f>
        <v>24.6,-16.1059771513559</v>
      </c>
      <c r="B113" s="1" t="str">
        <f t="shared" si="2"/>
        <v>POINT 24.6,-16.1059771513559</v>
      </c>
    </row>
    <row r="114" spans="1:2" x14ac:dyDescent="0.6">
      <c r="A114" s="1" t="str">
        <f>_xlfn.CONCAT(HiperbolaTabla!$E23,",",HiperbolaTabla!F23)</f>
        <v>24,-15.5884572681199</v>
      </c>
      <c r="B114" s="1" t="str">
        <f t="shared" si="2"/>
        <v>POINT 24,-15.5884572681199</v>
      </c>
    </row>
    <row r="115" spans="1:2" x14ac:dyDescent="0.6">
      <c r="A115" s="1" t="str">
        <f>_xlfn.CONCAT(HiperbolaTabla!$E24,",",HiperbolaTabla!F24)</f>
        <v>23.4,-15.0666021385049</v>
      </c>
      <c r="B115" s="1" t="str">
        <f t="shared" si="2"/>
        <v>POINT 23.4,-15.0666021385049</v>
      </c>
    </row>
    <row r="116" spans="1:2" x14ac:dyDescent="0.6">
      <c r="A116" s="1" t="str">
        <f>_xlfn.CONCAT(HiperbolaTabla!$E25,",",HiperbolaTabla!F25)</f>
        <v>22.8,-14.5399449792631</v>
      </c>
      <c r="B116" s="1" t="str">
        <f t="shared" si="2"/>
        <v>POINT 22.8,-14.5399449792631</v>
      </c>
    </row>
    <row r="117" spans="1:2" x14ac:dyDescent="0.6">
      <c r="A117" s="1" t="str">
        <f>_xlfn.CONCAT(HiperbolaTabla!$E26,",",HiperbolaTabla!F26)</f>
        <v>22.2,-14.007944174646</v>
      </c>
      <c r="B117" s="1" t="str">
        <f t="shared" si="2"/>
        <v>POINT 22.2,-14.007944174646</v>
      </c>
    </row>
    <row r="118" spans="1:2" x14ac:dyDescent="0.6">
      <c r="A118" s="1" t="str">
        <f>_xlfn.CONCAT(HiperbolaTabla!$E27,",",HiperbolaTabla!F27)</f>
        <v>21.6,-13.4699665923862</v>
      </c>
      <c r="B118" s="1" t="str">
        <f t="shared" si="2"/>
        <v>POINT 21.6,-13.4699665923862</v>
      </c>
    </row>
    <row r="119" spans="1:2" x14ac:dyDescent="0.6">
      <c r="A119" s="1" t="str">
        <f>_xlfn.CONCAT(HiperbolaTabla!$E28,",",HiperbolaTabla!F28)</f>
        <v>21,-12.9252659547105</v>
      </c>
      <c r="B119" s="1" t="str">
        <f t="shared" si="2"/>
        <v>POINT 21,-12.9252659547105</v>
      </c>
    </row>
    <row r="120" spans="1:2" x14ac:dyDescent="0.6">
      <c r="A120" s="1" t="str">
        <f>_xlfn.CONCAT(HiperbolaTabla!$E29,",",HiperbolaTabla!F29)</f>
        <v>20.4,-12.3729543763807</v>
      </c>
      <c r="B120" s="1" t="str">
        <f t="shared" si="2"/>
        <v>POINT 20.4,-12.3729543763807</v>
      </c>
    </row>
    <row r="121" spans="1:2" x14ac:dyDescent="0.6">
      <c r="A121" s="1" t="str">
        <f>_xlfn.CONCAT(HiperbolaTabla!$E30,",",HiperbolaTabla!F30)</f>
        <v>19.8,-11.811964273566</v>
      </c>
      <c r="B121" s="1" t="str">
        <f t="shared" si="2"/>
        <v>POINT 19.8,-11.811964273566</v>
      </c>
    </row>
    <row r="122" spans="1:2" x14ac:dyDescent="0.6">
      <c r="A122" s="1" t="str">
        <f>_xlfn.CONCAT(HiperbolaTabla!$E31,",",HiperbolaTabla!F31)</f>
        <v>19.2,-11.2409963971171</v>
      </c>
      <c r="B122" s="1" t="str">
        <f t="shared" si="2"/>
        <v>POINT 19.2,-11.2409963971171</v>
      </c>
    </row>
    <row r="123" spans="1:2" x14ac:dyDescent="0.6">
      <c r="A123" s="1" t="str">
        <f>_xlfn.CONCAT(HiperbolaTabla!$E32,",",HiperbolaTabla!F32)</f>
        <v>18.6,-10.6584473540943</v>
      </c>
      <c r="B123" s="1" t="str">
        <f t="shared" si="2"/>
        <v>POINT 18.6,-10.6584473540943</v>
      </c>
    </row>
    <row r="124" spans="1:2" x14ac:dyDescent="0.6">
      <c r="A124" s="1" t="str">
        <f>_xlfn.CONCAT(HiperbolaTabla!$E33,",",HiperbolaTabla!F33)</f>
        <v>18,-10.062305898749</v>
      </c>
      <c r="B124" s="1" t="str">
        <f t="shared" si="2"/>
        <v>POINT 18,-10.062305898749</v>
      </c>
    </row>
    <row r="125" spans="1:2" x14ac:dyDescent="0.6">
      <c r="A125" s="1" t="str">
        <f>_xlfn.CONCAT(HiperbolaTabla!$E34,",",HiperbolaTabla!F34)</f>
        <v>17.4,-9.44999999999997</v>
      </c>
      <c r="B125" s="1" t="str">
        <f t="shared" si="2"/>
        <v>POINT 17.4,-9.44999999999997</v>
      </c>
    </row>
    <row r="126" spans="1:2" x14ac:dyDescent="0.6">
      <c r="A126" s="1" t="str">
        <f>_xlfn.CONCAT(HiperbolaTabla!$E35,",",HiperbolaTabla!F35)</f>
        <v>16.8,-8.81816307401941</v>
      </c>
      <c r="B126" s="1" t="str">
        <f t="shared" si="2"/>
        <v>POINT 16.8,-8.81816307401941</v>
      </c>
    </row>
    <row r="127" spans="1:2" x14ac:dyDescent="0.6">
      <c r="A127" s="1" t="str">
        <f>_xlfn.CONCAT(HiperbolaTabla!$E36,",",HiperbolaTabla!F36)</f>
        <v>16.2,-8.16226071624764</v>
      </c>
      <c r="B127" s="1" t="str">
        <f t="shared" si="2"/>
        <v>POINT 16.2,-8.16226071624764</v>
      </c>
    </row>
    <row r="128" spans="1:2" x14ac:dyDescent="0.6">
      <c r="A128" s="1" t="str">
        <f>_xlfn.CONCAT(HiperbolaTabla!$E37,",",HiperbolaTabla!F37)</f>
        <v>15.6,-7.47596147662623</v>
      </c>
      <c r="B128" s="1" t="str">
        <f t="shared" si="2"/>
        <v>POINT 15.6,-7.47596147662623</v>
      </c>
    </row>
    <row r="129" spans="1:2" x14ac:dyDescent="0.6">
      <c r="A129" s="1" t="str">
        <f>_xlfn.CONCAT(HiperbolaTabla!$E38,",",HiperbolaTabla!F38)</f>
        <v>15,-6.74999999999996</v>
      </c>
      <c r="B129" s="1" t="str">
        <f t="shared" si="2"/>
        <v>POINT 15,-6.74999999999996</v>
      </c>
    </row>
    <row r="130" spans="1:2" x14ac:dyDescent="0.6">
      <c r="A130" s="1" t="str">
        <f>_xlfn.CONCAT(HiperbolaTabla!$E39,",",HiperbolaTabla!F39)</f>
        <v>14.4,-5.96992462263968</v>
      </c>
      <c r="B130" s="1" t="str">
        <f t="shared" si="2"/>
        <v>POINT 14.4,-5.96992462263968</v>
      </c>
    </row>
    <row r="131" spans="1:2" x14ac:dyDescent="0.6">
      <c r="A131" s="1" t="str">
        <f>_xlfn.CONCAT(HiperbolaTabla!$E40,",",HiperbolaTabla!F40)</f>
        <v>13.8,-5.1110175112202</v>
      </c>
      <c r="B131" s="1" t="str">
        <f t="shared" si="2"/>
        <v>POINT 13.8,-5.1110175112202</v>
      </c>
    </row>
    <row r="132" spans="1:2" x14ac:dyDescent="0.6">
      <c r="A132" s="1" t="str">
        <f>_xlfn.CONCAT(HiperbolaTabla!$E41,",",HiperbolaTabla!F41)</f>
        <v>13.2,-4.1243181254602</v>
      </c>
      <c r="B132" s="1" t="str">
        <f t="shared" si="2"/>
        <v>POINT 13.2,-4.1243181254602</v>
      </c>
    </row>
    <row r="133" spans="1:2" x14ac:dyDescent="0.6">
      <c r="A133" s="1" t="str">
        <f>_xlfn.CONCAT(HiperbolaTabla!$E42,",",HiperbolaTabla!F42)</f>
        <v>12.6,-2.88140590684471</v>
      </c>
      <c r="B133" s="1" t="str">
        <f t="shared" si="2"/>
        <v>POINT 12.6,-2.88140590684471</v>
      </c>
    </row>
    <row r="134" spans="1:2" x14ac:dyDescent="0.6">
      <c r="A134" s="1" t="str">
        <f>_xlfn.CONCAT(HiperbolaTabla!$E43,",",HiperbolaTabla!F43)</f>
        <v>12,</v>
      </c>
      <c r="B134" s="1" t="str">
        <f t="shared" si="2"/>
        <v>POINT 12,</v>
      </c>
    </row>
    <row r="135" spans="1:2" x14ac:dyDescent="0.6">
      <c r="A135" s="1" t="str">
        <f>_xlfn.CONCAT(HiperbolaTabla!$E44,",",HiperbolaTabla!F44)</f>
        <v>11.4,</v>
      </c>
      <c r="B135" s="1" t="str">
        <f t="shared" si="2"/>
        <v>POINT 11.4,</v>
      </c>
    </row>
    <row r="136" spans="1:2" x14ac:dyDescent="0.6">
      <c r="A136" s="1" t="str">
        <f>_xlfn.CONCAT(HiperbolaTabla!$E45,",",HiperbolaTabla!F45)</f>
        <v>10.8,</v>
      </c>
      <c r="B136" s="1" t="str">
        <f t="shared" si="2"/>
        <v>POINT 10.8,</v>
      </c>
    </row>
    <row r="137" spans="1:2" x14ac:dyDescent="0.6">
      <c r="A137" s="1" t="str">
        <f>_xlfn.CONCAT(HiperbolaTabla!$E46,",",HiperbolaTabla!F46)</f>
        <v>10.2,</v>
      </c>
      <c r="B137" s="1" t="str">
        <f t="shared" si="2"/>
        <v>POINT 10.2,</v>
      </c>
    </row>
    <row r="138" spans="1:2" x14ac:dyDescent="0.6">
      <c r="A138" s="1" t="str">
        <f>_xlfn.CONCAT(HiperbolaTabla!$E47,",",HiperbolaTabla!F47)</f>
        <v>9.59999999999997,</v>
      </c>
      <c r="B138" s="1" t="str">
        <f t="shared" si="2"/>
        <v>POINT 9.59999999999997,</v>
      </c>
    </row>
    <row r="139" spans="1:2" x14ac:dyDescent="0.6">
      <c r="A139" s="1" t="str">
        <f>_xlfn.CONCAT(HiperbolaTabla!$E48,",",HiperbolaTabla!F48)</f>
        <v>8.99999999999997,</v>
      </c>
      <c r="B139" s="1" t="str">
        <f t="shared" si="2"/>
        <v>POINT 8.99999999999997,</v>
      </c>
    </row>
    <row r="140" spans="1:2" x14ac:dyDescent="0.6">
      <c r="A140" s="1" t="str">
        <f>_xlfn.CONCAT(HiperbolaTabla!$E49,",",HiperbolaTabla!F49)</f>
        <v>8.39999999999997,</v>
      </c>
      <c r="B140" s="1" t="str">
        <f t="shared" si="2"/>
        <v>POINT 8.39999999999997,</v>
      </c>
    </row>
    <row r="141" spans="1:2" x14ac:dyDescent="0.6">
      <c r="A141" s="1" t="str">
        <f>_xlfn.CONCAT(HiperbolaTabla!$E50,",",HiperbolaTabla!F50)</f>
        <v>7.79999999999997,</v>
      </c>
      <c r="B141" s="1" t="str">
        <f t="shared" si="2"/>
        <v>POINT 7.79999999999997,</v>
      </c>
    </row>
    <row r="142" spans="1:2" x14ac:dyDescent="0.6">
      <c r="A142" s="1" t="str">
        <f>_xlfn.CONCAT(HiperbolaTabla!$E51,",",HiperbolaTabla!F51)</f>
        <v>7.19999999999997,</v>
      </c>
      <c r="B142" s="1" t="str">
        <f t="shared" si="2"/>
        <v>POINT 7.19999999999997,</v>
      </c>
    </row>
    <row r="143" spans="1:2" x14ac:dyDescent="0.6">
      <c r="A143" s="1" t="str">
        <f>_xlfn.CONCAT(HiperbolaTabla!$E52,",",HiperbolaTabla!F52)</f>
        <v>6.59999999999997,</v>
      </c>
      <c r="B143" s="1" t="str">
        <f t="shared" si="2"/>
        <v>POINT 6.59999999999997,</v>
      </c>
    </row>
    <row r="144" spans="1:2" x14ac:dyDescent="0.6">
      <c r="A144" s="1" t="str">
        <f>_xlfn.CONCAT(HiperbolaTabla!$E53,",",HiperbolaTabla!F53)</f>
        <v>5.99999999999997,</v>
      </c>
      <c r="B144" s="1" t="str">
        <f t="shared" si="2"/>
        <v>POINT 5.99999999999997,</v>
      </c>
    </row>
    <row r="145" spans="1:2" x14ac:dyDescent="0.6">
      <c r="A145" s="1" t="str">
        <f>_xlfn.CONCAT(HiperbolaTabla!$E54,",",HiperbolaTabla!F54)</f>
        <v>5.39999999999997,</v>
      </c>
      <c r="B145" s="1" t="str">
        <f t="shared" si="2"/>
        <v>POINT 5.39999999999997,</v>
      </c>
    </row>
    <row r="146" spans="1:2" x14ac:dyDescent="0.6">
      <c r="A146" s="1" t="str">
        <f>_xlfn.CONCAT(HiperbolaTabla!$E55,",",HiperbolaTabla!F55)</f>
        <v>4.79999999999997,</v>
      </c>
      <c r="B146" s="1" t="str">
        <f t="shared" si="2"/>
        <v>POINT 4.79999999999997,</v>
      </c>
    </row>
    <row r="147" spans="1:2" x14ac:dyDescent="0.6">
      <c r="A147" s="1" t="str">
        <f>_xlfn.CONCAT(HiperbolaTabla!$E56,",",HiperbolaTabla!F56)</f>
        <v>4.19999999999997,</v>
      </c>
      <c r="B147" s="1" t="str">
        <f t="shared" si="2"/>
        <v>POINT 4.19999999999997,</v>
      </c>
    </row>
    <row r="148" spans="1:2" x14ac:dyDescent="0.6">
      <c r="A148" s="1" t="str">
        <f>_xlfn.CONCAT(HiperbolaTabla!$E57,",",HiperbolaTabla!F57)</f>
        <v>3.59999999999997,</v>
      </c>
      <c r="B148" s="1" t="str">
        <f t="shared" si="2"/>
        <v>POINT 3.59999999999997,</v>
      </c>
    </row>
    <row r="149" spans="1:2" x14ac:dyDescent="0.6">
      <c r="A149" s="1" t="str">
        <f>_xlfn.CONCAT(HiperbolaTabla!$E58,",",HiperbolaTabla!F58)</f>
        <v>2.99999999999997,</v>
      </c>
      <c r="B149" s="1" t="str">
        <f t="shared" si="2"/>
        <v>POINT 2.99999999999997,</v>
      </c>
    </row>
    <row r="150" spans="1:2" x14ac:dyDescent="0.6">
      <c r="A150" s="1" t="str">
        <f>_xlfn.CONCAT(HiperbolaTabla!$E59,",",HiperbolaTabla!F59)</f>
        <v>2.39999999999997,</v>
      </c>
      <c r="B150" s="1" t="str">
        <f t="shared" si="2"/>
        <v>POINT 2.39999999999997,</v>
      </c>
    </row>
    <row r="151" spans="1:2" x14ac:dyDescent="0.6">
      <c r="A151" s="1" t="str">
        <f>_xlfn.CONCAT(HiperbolaTabla!$E60,",",HiperbolaTabla!F60)</f>
        <v>1.79999999999997,</v>
      </c>
      <c r="B151" s="1" t="str">
        <f t="shared" si="2"/>
        <v>POINT 1.79999999999997,</v>
      </c>
    </row>
    <row r="152" spans="1:2" x14ac:dyDescent="0.6">
      <c r="A152" s="1" t="str">
        <f>_xlfn.CONCAT(HiperbolaTabla!$E61,",",HiperbolaTabla!F61)</f>
        <v>1.19999999999997,</v>
      </c>
      <c r="B152" s="1" t="str">
        <f t="shared" si="2"/>
        <v>POINT 1.19999999999997,</v>
      </c>
    </row>
    <row r="153" spans="1:2" x14ac:dyDescent="0.6">
      <c r="A153" s="1" t="str">
        <f>_xlfn.CONCAT(HiperbolaTabla!$E62,",",HiperbolaTabla!F62)</f>
        <v>0.599999999999974,</v>
      </c>
      <c r="B153" s="1" t="str">
        <f t="shared" si="2"/>
        <v>POINT 0.599999999999974,</v>
      </c>
    </row>
    <row r="154" spans="1:2" x14ac:dyDescent="0.6">
      <c r="A154" s="1" t="str">
        <f>_xlfn.CONCAT(HiperbolaTabla!$E63,",",HiperbolaTabla!F63)</f>
        <v>-2.59792187762287E-14,</v>
      </c>
      <c r="B154" s="1" t="str">
        <f t="shared" si="2"/>
        <v>POINT -2.59792187762287E-14,</v>
      </c>
    </row>
    <row r="155" spans="1:2" x14ac:dyDescent="0.6">
      <c r="A155" s="1" t="str">
        <f>_xlfn.CONCAT(HiperbolaTabla!$E64,",",HiperbolaTabla!F64)</f>
        <v>-0.600000000000026,</v>
      </c>
      <c r="B155" s="1" t="str">
        <f t="shared" si="2"/>
        <v>POINT -0.600000000000026,</v>
      </c>
    </row>
    <row r="156" spans="1:2" x14ac:dyDescent="0.6">
      <c r="A156" s="1" t="str">
        <f>_xlfn.CONCAT(HiperbolaTabla!$E65,",",HiperbolaTabla!F65)</f>
        <v>-1.20000000000003,</v>
      </c>
      <c r="B156" s="1" t="str">
        <f t="shared" si="2"/>
        <v>POINT -1.20000000000003,</v>
      </c>
    </row>
    <row r="157" spans="1:2" x14ac:dyDescent="0.6">
      <c r="A157" s="1" t="str">
        <f>_xlfn.CONCAT(HiperbolaTabla!$E66,",",HiperbolaTabla!F66)</f>
        <v>-1.80000000000003,</v>
      </c>
      <c r="B157" s="1" t="str">
        <f t="shared" si="2"/>
        <v>POINT -1.80000000000003,</v>
      </c>
    </row>
    <row r="158" spans="1:2" x14ac:dyDescent="0.6">
      <c r="A158" s="1" t="str">
        <f>_xlfn.CONCAT(HiperbolaTabla!$E67,",",HiperbolaTabla!F67)</f>
        <v>-2.40000000000003,</v>
      </c>
      <c r="B158" s="1" t="str">
        <f t="shared" si="2"/>
        <v>POINT -2.40000000000003,</v>
      </c>
    </row>
    <row r="159" spans="1:2" x14ac:dyDescent="0.6">
      <c r="A159" s="1" t="str">
        <f>_xlfn.CONCAT(HiperbolaTabla!$E68,",",HiperbolaTabla!F68)</f>
        <v>-3.00000000000003,</v>
      </c>
      <c r="B159" s="1" t="str">
        <f t="shared" si="2"/>
        <v>POINT -3.00000000000003,</v>
      </c>
    </row>
    <row r="160" spans="1:2" x14ac:dyDescent="0.6">
      <c r="A160" s="1" t="str">
        <f>_xlfn.CONCAT(HiperbolaTabla!$E69,",",HiperbolaTabla!F69)</f>
        <v>-3.60000000000003,</v>
      </c>
      <c r="B160" s="1" t="str">
        <f t="shared" si="2"/>
        <v>POINT -3.60000000000003,</v>
      </c>
    </row>
    <row r="161" spans="1:2" x14ac:dyDescent="0.6">
      <c r="A161" s="1" t="str">
        <f>_xlfn.CONCAT(HiperbolaTabla!$E70,",",HiperbolaTabla!F70)</f>
        <v>-4.20000000000003,</v>
      </c>
      <c r="B161" s="1" t="str">
        <f t="shared" si="2"/>
        <v>POINT -4.20000000000003,</v>
      </c>
    </row>
    <row r="162" spans="1:2" x14ac:dyDescent="0.6">
      <c r="A162" s="1" t="str">
        <f>_xlfn.CONCAT(HiperbolaTabla!$E71,",",HiperbolaTabla!F71)</f>
        <v>-4.80000000000003,</v>
      </c>
      <c r="B162" s="1" t="str">
        <f t="shared" si="2"/>
        <v>POINT -4.80000000000003,</v>
      </c>
    </row>
    <row r="163" spans="1:2" x14ac:dyDescent="0.6">
      <c r="A163" s="1" t="str">
        <f>_xlfn.CONCAT(HiperbolaTabla!$E72,",",HiperbolaTabla!F72)</f>
        <v>-5.40000000000003,</v>
      </c>
      <c r="B163" s="1" t="str">
        <f t="shared" si="2"/>
        <v>POINT -5.40000000000003,</v>
      </c>
    </row>
    <row r="164" spans="1:2" x14ac:dyDescent="0.6">
      <c r="A164" s="1" t="str">
        <f>_xlfn.CONCAT(HiperbolaTabla!$E73,",",HiperbolaTabla!F73)</f>
        <v>-6.00000000000002,</v>
      </c>
      <c r="B164" s="1" t="str">
        <f t="shared" si="2"/>
        <v>POINT -6.00000000000002,</v>
      </c>
    </row>
    <row r="165" spans="1:2" x14ac:dyDescent="0.6">
      <c r="A165" s="1" t="str">
        <f>_xlfn.CONCAT(HiperbolaTabla!$E74,",",HiperbolaTabla!F74)</f>
        <v>-6.60000000000002,</v>
      </c>
      <c r="B165" s="1" t="str">
        <f t="shared" si="2"/>
        <v>POINT -6.60000000000002,</v>
      </c>
    </row>
    <row r="166" spans="1:2" x14ac:dyDescent="0.6">
      <c r="A166" s="1" t="str">
        <f>_xlfn.CONCAT(HiperbolaTabla!$E75,",",HiperbolaTabla!F75)</f>
        <v>-7.20000000000002,</v>
      </c>
      <c r="B166" s="1" t="str">
        <f t="shared" si="2"/>
        <v>POINT -7.20000000000002,</v>
      </c>
    </row>
    <row r="167" spans="1:2" x14ac:dyDescent="0.6">
      <c r="A167" s="1" t="str">
        <f>_xlfn.CONCAT(HiperbolaTabla!$E76,",",HiperbolaTabla!F76)</f>
        <v>-7.80000000000002,</v>
      </c>
      <c r="B167" s="1" t="str">
        <f t="shared" si="2"/>
        <v>POINT -7.80000000000002,</v>
      </c>
    </row>
    <row r="168" spans="1:2" x14ac:dyDescent="0.6">
      <c r="A168" s="1" t="str">
        <f>_xlfn.CONCAT(HiperbolaTabla!$E77,",",HiperbolaTabla!F77)</f>
        <v>-8.40000000000002,</v>
      </c>
      <c r="B168" s="1" t="str">
        <f t="shared" ref="B168:B203" si="3">_xlfn.CONCAT("POINT ",A168)</f>
        <v>POINT -8.40000000000002,</v>
      </c>
    </row>
    <row r="169" spans="1:2" x14ac:dyDescent="0.6">
      <c r="A169" s="1" t="str">
        <f>_xlfn.CONCAT(HiperbolaTabla!$E78,",",HiperbolaTabla!F78)</f>
        <v>-9.00000000000002,</v>
      </c>
      <c r="B169" s="1" t="str">
        <f t="shared" si="3"/>
        <v>POINT -9.00000000000002,</v>
      </c>
    </row>
    <row r="170" spans="1:2" x14ac:dyDescent="0.6">
      <c r="A170" s="1" t="str">
        <f>_xlfn.CONCAT(HiperbolaTabla!$E79,",",HiperbolaTabla!F79)</f>
        <v>-9.60000000000002,</v>
      </c>
      <c r="B170" s="1" t="str">
        <f t="shared" si="3"/>
        <v>POINT -9.60000000000002,</v>
      </c>
    </row>
    <row r="171" spans="1:2" x14ac:dyDescent="0.6">
      <c r="A171" s="1" t="str">
        <f>_xlfn.CONCAT(HiperbolaTabla!$E80,",",HiperbolaTabla!F80)</f>
        <v>-10.2,</v>
      </c>
      <c r="B171" s="1" t="str">
        <f t="shared" si="3"/>
        <v>POINT -10.2,</v>
      </c>
    </row>
    <row r="172" spans="1:2" x14ac:dyDescent="0.6">
      <c r="A172" s="1" t="str">
        <f>_xlfn.CONCAT(HiperbolaTabla!$E81,",",HiperbolaTabla!F81)</f>
        <v>-10.8,</v>
      </c>
      <c r="B172" s="1" t="str">
        <f t="shared" si="3"/>
        <v>POINT -10.8,</v>
      </c>
    </row>
    <row r="173" spans="1:2" x14ac:dyDescent="0.6">
      <c r="A173" s="1" t="str">
        <f>_xlfn.CONCAT(HiperbolaTabla!$E82,",",HiperbolaTabla!F82)</f>
        <v>-11.4,</v>
      </c>
      <c r="B173" s="1" t="str">
        <f t="shared" si="3"/>
        <v>POINT -11.4,</v>
      </c>
    </row>
    <row r="174" spans="1:2" x14ac:dyDescent="0.6">
      <c r="A174" s="1" t="str">
        <f>_xlfn.CONCAT(HiperbolaTabla!$E83,",",HiperbolaTabla!F83)</f>
        <v>-12,-5.36441802978516E-07</v>
      </c>
      <c r="B174" s="1" t="str">
        <f t="shared" si="3"/>
        <v>POINT -12,-5.36441802978516E-07</v>
      </c>
    </row>
    <row r="175" spans="1:2" x14ac:dyDescent="0.6">
      <c r="A175" s="1" t="str">
        <f>_xlfn.CONCAT(HiperbolaTabla!$E84,",",HiperbolaTabla!F84)</f>
        <v>-12.6,-2.88140590684483</v>
      </c>
      <c r="B175" s="1" t="str">
        <f t="shared" si="3"/>
        <v>POINT -12.6,-2.88140590684483</v>
      </c>
    </row>
    <row r="176" spans="1:2" x14ac:dyDescent="0.6">
      <c r="A176" s="1" t="str">
        <f>_xlfn.CONCAT(HiperbolaTabla!$E85,",",HiperbolaTabla!F85)</f>
        <v>-13.2,-4.12431812546029</v>
      </c>
      <c r="B176" s="1" t="str">
        <f t="shared" si="3"/>
        <v>POINT -13.2,-4.12431812546029</v>
      </c>
    </row>
    <row r="177" spans="1:2" x14ac:dyDescent="0.6">
      <c r="A177" s="1" t="str">
        <f>_xlfn.CONCAT(HiperbolaTabla!$E86,",",HiperbolaTabla!F86)</f>
        <v>-13.8,-5.11101751122028</v>
      </c>
      <c r="B177" s="1" t="str">
        <f t="shared" si="3"/>
        <v>POINT -13.8,-5.11101751122028</v>
      </c>
    </row>
    <row r="178" spans="1:2" x14ac:dyDescent="0.6">
      <c r="A178" s="1" t="str">
        <f>_xlfn.CONCAT(HiperbolaTabla!$E87,",",HiperbolaTabla!F87)</f>
        <v>-14.4,-5.96992462263975</v>
      </c>
      <c r="B178" s="1" t="str">
        <f t="shared" si="3"/>
        <v>POINT -14.4,-5.96992462263975</v>
      </c>
    </row>
    <row r="179" spans="1:2" x14ac:dyDescent="0.6">
      <c r="A179" s="1" t="str">
        <f>_xlfn.CONCAT(HiperbolaTabla!$E88,",",HiperbolaTabla!F88)</f>
        <v>-15,-6.75000000000002</v>
      </c>
      <c r="B179" s="1" t="str">
        <f t="shared" si="3"/>
        <v>POINT -15,-6.75000000000002</v>
      </c>
    </row>
    <row r="180" spans="1:2" x14ac:dyDescent="0.6">
      <c r="A180" s="1" t="str">
        <f>_xlfn.CONCAT(HiperbolaTabla!$E89,",",HiperbolaTabla!F89)</f>
        <v>-15.6,-7.47596147662629</v>
      </c>
      <c r="B180" s="1" t="str">
        <f t="shared" si="3"/>
        <v>POINT -15.6,-7.47596147662629</v>
      </c>
    </row>
    <row r="181" spans="1:2" x14ac:dyDescent="0.6">
      <c r="A181" s="1" t="str">
        <f>_xlfn.CONCAT(HiperbolaTabla!$E90,",",HiperbolaTabla!F90)</f>
        <v>-16.2,-8.1622607162477</v>
      </c>
      <c r="B181" s="1" t="str">
        <f t="shared" si="3"/>
        <v>POINT -16.2,-8.1622607162477</v>
      </c>
    </row>
    <row r="182" spans="1:2" x14ac:dyDescent="0.6">
      <c r="A182" s="1" t="str">
        <f>_xlfn.CONCAT(HiperbolaTabla!$E91,",",HiperbolaTabla!F91)</f>
        <v>-16.8,-8.81816307401947</v>
      </c>
      <c r="B182" s="1" t="str">
        <f t="shared" si="3"/>
        <v>POINT -16.8,-8.81816307401947</v>
      </c>
    </row>
    <row r="183" spans="1:2" x14ac:dyDescent="0.6">
      <c r="A183" s="1" t="str">
        <f>_xlfn.CONCAT(HiperbolaTabla!$E92,",",HiperbolaTabla!F92)</f>
        <v>-17.4,-9.45000000000002</v>
      </c>
      <c r="B183" s="1" t="str">
        <f t="shared" si="3"/>
        <v>POINT -17.4,-9.45000000000002</v>
      </c>
    </row>
    <row r="184" spans="1:2" x14ac:dyDescent="0.6">
      <c r="A184" s="1" t="str">
        <f>_xlfn.CONCAT(HiperbolaTabla!$E93,",",HiperbolaTabla!F93)</f>
        <v>-18,-10.0623058987491</v>
      </c>
      <c r="B184" s="1" t="str">
        <f t="shared" si="3"/>
        <v>POINT -18,-10.0623058987491</v>
      </c>
    </row>
    <row r="185" spans="1:2" x14ac:dyDescent="0.6">
      <c r="A185" s="1" t="str">
        <f>_xlfn.CONCAT(HiperbolaTabla!$E94,",",HiperbolaTabla!F94)</f>
        <v>-18.6,-10.6584473540943</v>
      </c>
      <c r="B185" s="1" t="str">
        <f t="shared" si="3"/>
        <v>POINT -18.6,-10.6584473540943</v>
      </c>
    </row>
    <row r="186" spans="1:2" x14ac:dyDescent="0.6">
      <c r="A186" s="1" t="str">
        <f>_xlfn.CONCAT(HiperbolaTabla!$E95,",",HiperbolaTabla!F95)</f>
        <v>-19.2,-11.2409963971171</v>
      </c>
      <c r="B186" s="1" t="str">
        <f t="shared" si="3"/>
        <v>POINT -19.2,-11.2409963971171</v>
      </c>
    </row>
    <row r="187" spans="1:2" x14ac:dyDescent="0.6">
      <c r="A187" s="1" t="str">
        <f>_xlfn.CONCAT(HiperbolaTabla!$E96,",",HiperbolaTabla!F96)</f>
        <v>-19.8,-11.811964273566</v>
      </c>
      <c r="B187" s="1" t="str">
        <f t="shared" si="3"/>
        <v>POINT -19.8,-11.811964273566</v>
      </c>
    </row>
    <row r="188" spans="1:2" x14ac:dyDescent="0.6">
      <c r="A188" s="1" t="str">
        <f>_xlfn.CONCAT(HiperbolaTabla!$E97,",",HiperbolaTabla!F97)</f>
        <v>-20.4,-12.3729543763808</v>
      </c>
      <c r="B188" s="1" t="str">
        <f t="shared" si="3"/>
        <v>POINT -20.4,-12.3729543763808</v>
      </c>
    </row>
    <row r="189" spans="1:2" x14ac:dyDescent="0.6">
      <c r="A189" s="1" t="str">
        <f>_xlfn.CONCAT(HiperbolaTabla!$E98,",",HiperbolaTabla!F98)</f>
        <v>-21,-12.9252659547106</v>
      </c>
      <c r="B189" s="1" t="str">
        <f t="shared" si="3"/>
        <v>POINT -21,-12.9252659547106</v>
      </c>
    </row>
    <row r="190" spans="1:2" x14ac:dyDescent="0.6">
      <c r="A190" s="1" t="str">
        <f>_xlfn.CONCAT(HiperbolaTabla!$E99,",",HiperbolaTabla!F99)</f>
        <v>-21.6,-13.4699665923862</v>
      </c>
      <c r="B190" s="1" t="str">
        <f t="shared" si="3"/>
        <v>POINT -21.6,-13.4699665923862</v>
      </c>
    </row>
    <row r="191" spans="1:2" x14ac:dyDescent="0.6">
      <c r="A191" s="1" t="str">
        <f>_xlfn.CONCAT(HiperbolaTabla!$E100,",",HiperbolaTabla!F100)</f>
        <v>-22.2,-14.0079441746461</v>
      </c>
      <c r="B191" s="1" t="str">
        <f t="shared" si="3"/>
        <v>POINT -22.2,-14.0079441746461</v>
      </c>
    </row>
    <row r="192" spans="1:2" x14ac:dyDescent="0.6">
      <c r="A192" s="1" t="str">
        <f>_xlfn.CONCAT(HiperbolaTabla!$E101,",",HiperbolaTabla!F101)</f>
        <v>-22.8,-14.5399449792632</v>
      </c>
      <c r="B192" s="1" t="str">
        <f t="shared" si="3"/>
        <v>POINT -22.8,-14.5399449792632</v>
      </c>
    </row>
    <row r="193" spans="1:2" x14ac:dyDescent="0.6">
      <c r="A193" s="1" t="str">
        <f>_xlfn.CONCAT(HiperbolaTabla!$E102,",",HiperbolaTabla!F102)</f>
        <v>-23.4,-15.0666021385049</v>
      </c>
      <c r="B193" s="1" t="str">
        <f t="shared" si="3"/>
        <v>POINT -23.4,-15.0666021385049</v>
      </c>
    </row>
    <row r="194" spans="1:2" x14ac:dyDescent="0.6">
      <c r="A194" s="1" t="str">
        <f>_xlfn.CONCAT(HiperbolaTabla!$E103,",",HiperbolaTabla!F103)</f>
        <v>-24,-15.5884572681199</v>
      </c>
      <c r="B194" s="1" t="str">
        <f t="shared" si="3"/>
        <v>POINT -24,-15.5884572681199</v>
      </c>
    </row>
    <row r="195" spans="1:2" x14ac:dyDescent="0.6">
      <c r="A195" s="1" t="str">
        <f>_xlfn.CONCAT(HiperbolaTabla!$E104,",",HiperbolaTabla!F104)</f>
        <v>-24.6,-16.105977151356</v>
      </c>
      <c r="B195" s="1" t="str">
        <f t="shared" si="3"/>
        <v>POINT -24.6,-16.105977151356</v>
      </c>
    </row>
    <row r="196" spans="1:2" x14ac:dyDescent="0.6">
      <c r="A196" s="1" t="str">
        <f>_xlfn.CONCAT(HiperbolaTabla!$E105,",",HiperbolaTabla!F105)</f>
        <v>-25.2,-16.6195667813575</v>
      </c>
      <c r="B196" s="1" t="str">
        <f t="shared" si="3"/>
        <v>POINT -25.2,-16.6195667813575</v>
      </c>
    </row>
    <row r="197" spans="1:2" x14ac:dyDescent="0.6">
      <c r="A197" s="1" t="str">
        <f>_xlfn.CONCAT(HiperbolaTabla!$E106,",",HiperbolaTabla!F106)</f>
        <v>-25.8,-17.1295796796069</v>
      </c>
      <c r="B197" s="1" t="str">
        <f t="shared" si="3"/>
        <v>POINT -25.8,-17.1295796796069</v>
      </c>
    </row>
    <row r="198" spans="1:2" x14ac:dyDescent="0.6">
      <c r="A198" s="1" t="str">
        <f>_xlfn.CONCAT(HiperbolaTabla!$E107,",",HiperbolaTabla!F107)</f>
        <v>-26.4,-17.6363261480389</v>
      </c>
      <c r="B198" s="1" t="str">
        <f t="shared" si="3"/>
        <v>POINT -26.4,-17.6363261480389</v>
      </c>
    </row>
    <row r="199" spans="1:2" x14ac:dyDescent="0.6">
      <c r="A199" s="1" t="str">
        <f>_xlfn.CONCAT(HiperbolaTabla!$E108,",",HiperbolaTabla!F108)</f>
        <v>-27,-18.1400799336718</v>
      </c>
      <c r="B199" s="1" t="str">
        <f t="shared" si="3"/>
        <v>POINT -27,-18.1400799336718</v>
      </c>
    </row>
    <row r="200" spans="1:2" x14ac:dyDescent="0.6">
      <c r="A200" s="1" t="str">
        <f>_xlfn.CONCAT(HiperbolaTabla!$E109,",",HiperbolaTabla!F109)</f>
        <v>-27.6,-18.6410836594872</v>
      </c>
      <c r="B200" s="1" t="str">
        <f t="shared" si="3"/>
        <v>POINT -27.6,-18.6410836594872</v>
      </c>
    </row>
    <row r="201" spans="1:2" x14ac:dyDescent="0.6">
      <c r="A201" s="1" t="str">
        <f>_xlfn.CONCAT(HiperbolaTabla!$E110,",",HiperbolaTabla!F110)</f>
        <v>-28.2,-19.1395532863231</v>
      </c>
      <c r="B201" s="1" t="str">
        <f t="shared" si="3"/>
        <v>POINT -28.2,-19.1395532863231</v>
      </c>
    </row>
    <row r="202" spans="1:2" x14ac:dyDescent="0.6">
      <c r="A202" s="1" t="str">
        <f>_xlfn.CONCAT(HiperbolaTabla!$E111,",",HiperbolaTabla!F111)</f>
        <v>-28.8000000000001,-19.6356818063443</v>
      </c>
      <c r="B202" s="1" t="str">
        <f t="shared" si="3"/>
        <v>POINT -28.8000000000001,-19.6356818063443</v>
      </c>
    </row>
    <row r="203" spans="1:2" x14ac:dyDescent="0.6">
      <c r="A203" s="1" t="str">
        <f>_xlfn.CONCAT(HiperbolaTabla!$E112,",",HiperbolaTabla!F112)</f>
        <v>-29.4000000000001,-20.1296423217106</v>
      </c>
      <c r="B203" s="1" t="str">
        <f t="shared" si="3"/>
        <v>POINT -29.4000000000001,-20.1296423217106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B3" sqref="B3"/>
    </sheetView>
  </sheetViews>
  <sheetFormatPr defaultColWidth="10.6640625" defaultRowHeight="16.5" x14ac:dyDescent="0.6"/>
  <cols>
    <col min="1" max="1" width="2.59765625" style="1" customWidth="1"/>
    <col min="2" max="2" width="27.53125" style="1" customWidth="1"/>
    <col min="3" max="16384" width="10.6640625" style="1"/>
  </cols>
  <sheetData>
    <row r="2" spans="2:2" x14ac:dyDescent="0.6">
      <c r="B2" s="1" t="s">
        <v>18</v>
      </c>
    </row>
    <row r="3" spans="2:2" x14ac:dyDescent="0.6">
      <c r="B3" s="1" t="s">
        <v>19</v>
      </c>
    </row>
    <row r="4" spans="2:2" x14ac:dyDescent="0.6">
      <c r="B4" s="1" t="s">
        <v>20</v>
      </c>
    </row>
  </sheetData>
  <sheetProtection algorithmName="SHA-512" hashValue="LTdCJyVS2iykCmUD2QgLoTMChQxGkNUmEr03z/0aP8bv2Ct3a4W1bRsTzKra/KtVTE6bpCq8zVJQmhvaBdsIGw==" saltValue="58u1yoSQOyWDVTXjY+2/+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5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ElipseTabla</vt:lpstr>
      <vt:lpstr>ElipseAutoCAD</vt:lpstr>
      <vt:lpstr>HiperbolaTabla</vt:lpstr>
      <vt:lpstr>HiperbolaAutoCAD</vt:lpstr>
      <vt:lpstr>Metadata</vt:lpstr>
      <vt:lpstr>ElipseGráfico</vt:lpstr>
      <vt:lpstr>a_elipse</vt:lpstr>
      <vt:lpstr>a_hiperbola</vt:lpstr>
      <vt:lpstr>b_elipse</vt:lpstr>
      <vt:lpstr>b_hiperbola</vt:lpstr>
      <vt:lpstr>h_elipse</vt:lpstr>
      <vt:lpstr>k_elipse</vt:lpstr>
      <vt:lpstr>np_elipse</vt:lpstr>
      <vt:lpstr>np_hiperbola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2025-06-29T19:51:20Z</dcterms:modified>
</cp:coreProperties>
</file>