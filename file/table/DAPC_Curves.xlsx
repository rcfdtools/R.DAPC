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DAPC\file\table\"/>
    </mc:Choice>
  </mc:AlternateContent>
  <xr:revisionPtr revIDLastSave="0" documentId="13_ncr:1_{E6C82AB1-D1B8-4370-9A4E-FCF0EC7C3486}" xr6:coauthVersionLast="47" xr6:coauthVersionMax="47" xr10:uidLastSave="{00000000-0000-0000-0000-000000000000}"/>
  <bookViews>
    <workbookView xWindow="-98" yWindow="-98" windowWidth="19396" windowHeight="11475" xr2:uid="{9A4D6CE6-1E62-441D-8A43-C5F05171BE31}"/>
  </bookViews>
  <sheets>
    <sheet name="Elipse" sheetId="1" r:id="rId1"/>
    <sheet name="Gráfico" sheetId="3" r:id="rId2"/>
    <sheet name="AutoCAD" sheetId="4" r:id="rId3"/>
    <sheet name="Mettadata" sheetId="5" r:id="rId4"/>
  </sheets>
  <definedNames>
    <definedName name="a">Elipse!$D$7</definedName>
    <definedName name="b">Elipse!$D$8</definedName>
    <definedName name="h">Elipse!$D$5</definedName>
    <definedName name="k">Elipse!$D$6</definedName>
    <definedName name="np">Elipse!$D$9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4" i="4" l="1"/>
  <c r="E13" i="1"/>
  <c r="C13" i="1"/>
  <c r="C14" i="1" s="1"/>
  <c r="D10" i="1"/>
  <c r="D11" i="1" s="1"/>
  <c r="A3" i="4" l="1"/>
  <c r="A2" i="4"/>
  <c r="F13" i="1"/>
  <c r="D13" i="1"/>
  <c r="C15" i="1"/>
  <c r="D14" i="1"/>
  <c r="H13" i="1"/>
  <c r="F14" i="1" l="1"/>
  <c r="A308" i="4"/>
  <c r="A206" i="4"/>
  <c r="E14" i="1"/>
  <c r="G13" i="1"/>
  <c r="G14" i="1"/>
  <c r="C16" i="1"/>
  <c r="D15" i="1"/>
  <c r="A4" i="4" s="1"/>
  <c r="A309" i="4" l="1"/>
  <c r="A207" i="4"/>
  <c r="H14" i="1"/>
  <c r="A105" i="4"/>
  <c r="F15" i="1"/>
  <c r="F16" i="1" s="1"/>
  <c r="E15" i="1"/>
  <c r="C17" i="1"/>
  <c r="D16" i="1"/>
  <c r="A5" i="4" s="1"/>
  <c r="G15" i="1"/>
  <c r="A209" i="4" l="1"/>
  <c r="H15" i="1"/>
  <c r="A106" i="4"/>
  <c r="A310" i="4"/>
  <c r="A208" i="4"/>
  <c r="F17" i="1"/>
  <c r="E16" i="1"/>
  <c r="C18" i="1"/>
  <c r="D17" i="1"/>
  <c r="A6" i="4" s="1"/>
  <c r="G16" i="1"/>
  <c r="H16" i="1" l="1"/>
  <c r="A311" i="4" s="1"/>
  <c r="A107" i="4"/>
  <c r="F18" i="1"/>
  <c r="E17" i="1"/>
  <c r="C19" i="1"/>
  <c r="D18" i="1"/>
  <c r="A7" i="4" s="1"/>
  <c r="G17" i="1"/>
  <c r="A210" i="4" s="1"/>
  <c r="H17" i="1" l="1"/>
  <c r="A312" i="4" s="1"/>
  <c r="A108" i="4"/>
  <c r="F19" i="1"/>
  <c r="E18" i="1"/>
  <c r="A109" i="4" s="1"/>
  <c r="C20" i="1"/>
  <c r="D19" i="1"/>
  <c r="A8" i="4" s="1"/>
  <c r="G18" i="1"/>
  <c r="A211" i="4" s="1"/>
  <c r="A9" i="4" l="1"/>
  <c r="A212" i="4"/>
  <c r="F20" i="1"/>
  <c r="E19" i="1"/>
  <c r="A110" i="4" s="1"/>
  <c r="H18" i="1"/>
  <c r="A313" i="4" s="1"/>
  <c r="C21" i="1"/>
  <c r="D20" i="1"/>
  <c r="G19" i="1"/>
  <c r="A10" i="4" l="1"/>
  <c r="A213" i="4"/>
  <c r="E20" i="1"/>
  <c r="F21" i="1"/>
  <c r="H19" i="1"/>
  <c r="A314" i="4" s="1"/>
  <c r="C22" i="1"/>
  <c r="D21" i="1"/>
  <c r="G20" i="1"/>
  <c r="H20" i="1" l="1"/>
  <c r="A315" i="4" s="1"/>
  <c r="A111" i="4"/>
  <c r="E21" i="1"/>
  <c r="F22" i="1"/>
  <c r="C23" i="1"/>
  <c r="D22" i="1"/>
  <c r="A11" i="4" s="1"/>
  <c r="G21" i="1"/>
  <c r="A214" i="4" s="1"/>
  <c r="H21" i="1" l="1"/>
  <c r="A316" i="4" s="1"/>
  <c r="A112" i="4"/>
  <c r="E22" i="1"/>
  <c r="A113" i="4" s="1"/>
  <c r="F23" i="1"/>
  <c r="G22" i="1"/>
  <c r="A215" i="4" s="1"/>
  <c r="C24" i="1"/>
  <c r="D23" i="1"/>
  <c r="A12" i="4" s="1"/>
  <c r="H22" i="1" l="1"/>
  <c r="A317" i="4" s="1"/>
  <c r="E23" i="1"/>
  <c r="A114" i="4" s="1"/>
  <c r="F24" i="1"/>
  <c r="C25" i="1"/>
  <c r="D24" i="1"/>
  <c r="E24" i="1" s="1"/>
  <c r="A115" i="4" s="1"/>
  <c r="G23" i="1"/>
  <c r="A216" i="4" s="1"/>
  <c r="A13" i="4" l="1"/>
  <c r="A14" i="4"/>
  <c r="A116" i="4"/>
  <c r="H23" i="1"/>
  <c r="A318" i="4" s="1"/>
  <c r="F25" i="1"/>
  <c r="C26" i="1"/>
  <c r="D25" i="1"/>
  <c r="E25" i="1" s="1"/>
  <c r="G24" i="1"/>
  <c r="A217" i="4" s="1"/>
  <c r="A15" i="4" l="1"/>
  <c r="A117" i="4"/>
  <c r="F26" i="1"/>
  <c r="H24" i="1"/>
  <c r="A319" i="4" s="1"/>
  <c r="C27" i="1"/>
  <c r="D26" i="1"/>
  <c r="E26" i="1" s="1"/>
  <c r="G25" i="1"/>
  <c r="A218" i="4" s="1"/>
  <c r="A118" i="4" l="1"/>
  <c r="A219" i="4"/>
  <c r="F27" i="1"/>
  <c r="H25" i="1"/>
  <c r="A320" i="4" s="1"/>
  <c r="G26" i="1"/>
  <c r="C28" i="1"/>
  <c r="D27" i="1"/>
  <c r="E27" i="1" s="1"/>
  <c r="A16" i="4" l="1"/>
  <c r="A17" i="4"/>
  <c r="F28" i="1"/>
  <c r="H27" i="1"/>
  <c r="A322" i="4" s="1"/>
  <c r="H26" i="1"/>
  <c r="A321" i="4" s="1"/>
  <c r="C29" i="1"/>
  <c r="D28" i="1"/>
  <c r="E28" i="1" s="1"/>
  <c r="A119" i="4" s="1"/>
  <c r="G27" i="1"/>
  <c r="A220" i="4" s="1"/>
  <c r="A221" i="4" l="1"/>
  <c r="F29" i="1"/>
  <c r="C30" i="1"/>
  <c r="D29" i="1"/>
  <c r="E29" i="1" s="1"/>
  <c r="A120" i="4" s="1"/>
  <c r="G28" i="1"/>
  <c r="A18" i="4" l="1"/>
  <c r="A121" i="4"/>
  <c r="A19" i="4"/>
  <c r="A222" i="4"/>
  <c r="F30" i="1"/>
  <c r="H28" i="1"/>
  <c r="A323" i="4" s="1"/>
  <c r="C31" i="1"/>
  <c r="D30" i="1"/>
  <c r="E30" i="1" s="1"/>
  <c r="G29" i="1"/>
  <c r="A20" i="4" l="1"/>
  <c r="F31" i="1"/>
  <c r="H29" i="1"/>
  <c r="A324" i="4" s="1"/>
  <c r="G30" i="1"/>
  <c r="A223" i="4" s="1"/>
  <c r="C32" i="1"/>
  <c r="D31" i="1"/>
  <c r="E31" i="1" s="1"/>
  <c r="A122" i="4" s="1"/>
  <c r="A21" i="4" l="1"/>
  <c r="A326" i="4"/>
  <c r="F32" i="1"/>
  <c r="H31" i="1"/>
  <c r="H30" i="1"/>
  <c r="A325" i="4" s="1"/>
  <c r="C33" i="1"/>
  <c r="D32" i="1"/>
  <c r="E32" i="1" s="1"/>
  <c r="A123" i="4" s="1"/>
  <c r="G31" i="1"/>
  <c r="A224" i="4" s="1"/>
  <c r="A22" i="4" l="1"/>
  <c r="A327" i="4"/>
  <c r="F33" i="1"/>
  <c r="H32" i="1"/>
  <c r="G32" i="1"/>
  <c r="A225" i="4" s="1"/>
  <c r="C34" i="1"/>
  <c r="D33" i="1"/>
  <c r="E33" i="1" s="1"/>
  <c r="A124" i="4" s="1"/>
  <c r="F34" i="1" l="1"/>
  <c r="C35" i="1"/>
  <c r="D34" i="1"/>
  <c r="E34" i="1" s="1"/>
  <c r="A125" i="4" s="1"/>
  <c r="G33" i="1"/>
  <c r="A226" i="4" s="1"/>
  <c r="A227" i="4" l="1"/>
  <c r="A329" i="4"/>
  <c r="F35" i="1"/>
  <c r="A23" i="4"/>
  <c r="H33" i="1"/>
  <c r="A328" i="4" s="1"/>
  <c r="G34" i="1"/>
  <c r="C36" i="1"/>
  <c r="D35" i="1"/>
  <c r="G35" i="1" s="1"/>
  <c r="H34" i="1"/>
  <c r="F36" i="1" l="1"/>
  <c r="A24" i="4"/>
  <c r="A228" i="4"/>
  <c r="E35" i="1"/>
  <c r="C37" i="1"/>
  <c r="D36" i="1"/>
  <c r="A25" i="4" s="1"/>
  <c r="F37" i="1" l="1"/>
  <c r="A26" i="4"/>
  <c r="H35" i="1"/>
  <c r="A330" i="4" s="1"/>
  <c r="A126" i="4"/>
  <c r="E36" i="1"/>
  <c r="A127" i="4" s="1"/>
  <c r="C38" i="1"/>
  <c r="D37" i="1"/>
  <c r="G36" i="1"/>
  <c r="A229" i="4" s="1"/>
  <c r="F38" i="1" l="1"/>
  <c r="E37" i="1"/>
  <c r="H36" i="1"/>
  <c r="A331" i="4" s="1"/>
  <c r="G37" i="1"/>
  <c r="A230" i="4" s="1"/>
  <c r="C39" i="1"/>
  <c r="D38" i="1"/>
  <c r="A27" i="4" s="1"/>
  <c r="H37" i="1" l="1"/>
  <c r="A332" i="4" s="1"/>
  <c r="A128" i="4"/>
  <c r="F39" i="1"/>
  <c r="A28" i="4"/>
  <c r="A231" i="4"/>
  <c r="E38" i="1"/>
  <c r="C40" i="1"/>
  <c r="D39" i="1"/>
  <c r="G38" i="1"/>
  <c r="F40" i="1" l="1"/>
  <c r="H38" i="1"/>
  <c r="A333" i="4" s="1"/>
  <c r="A129" i="4"/>
  <c r="E39" i="1"/>
  <c r="C41" i="1"/>
  <c r="D40" i="1"/>
  <c r="A29" i="4" s="1"/>
  <c r="G39" i="1"/>
  <c r="A232" i="4" s="1"/>
  <c r="F41" i="1" l="1"/>
  <c r="H39" i="1"/>
  <c r="A334" i="4" s="1"/>
  <c r="A130" i="4"/>
  <c r="E40" i="1"/>
  <c r="A131" i="4" s="1"/>
  <c r="C42" i="1"/>
  <c r="D41" i="1"/>
  <c r="A30" i="4" s="1"/>
  <c r="G40" i="1"/>
  <c r="A233" i="4" s="1"/>
  <c r="F42" i="1" l="1"/>
  <c r="E41" i="1"/>
  <c r="H40" i="1"/>
  <c r="A335" i="4" s="1"/>
  <c r="C43" i="1"/>
  <c r="D42" i="1"/>
  <c r="A31" i="4" s="1"/>
  <c r="G41" i="1"/>
  <c r="A234" i="4" s="1"/>
  <c r="F43" i="1" l="1"/>
  <c r="H41" i="1"/>
  <c r="A336" i="4" s="1"/>
  <c r="A132" i="4"/>
  <c r="E42" i="1"/>
  <c r="C44" i="1"/>
  <c r="D43" i="1"/>
  <c r="A32" i="4" s="1"/>
  <c r="G42" i="1"/>
  <c r="A235" i="4" s="1"/>
  <c r="F44" i="1" l="1"/>
  <c r="A236" i="4"/>
  <c r="H42" i="1"/>
  <c r="A337" i="4" s="1"/>
  <c r="A133" i="4"/>
  <c r="E43" i="1"/>
  <c r="C45" i="1"/>
  <c r="D44" i="1"/>
  <c r="A33" i="4" s="1"/>
  <c r="G43" i="1"/>
  <c r="F45" i="1" l="1"/>
  <c r="H43" i="1"/>
  <c r="A338" i="4" s="1"/>
  <c r="A134" i="4"/>
  <c r="E44" i="1"/>
  <c r="C46" i="1"/>
  <c r="D45" i="1"/>
  <c r="A34" i="4" s="1"/>
  <c r="G44" i="1"/>
  <c r="A237" i="4" s="1"/>
  <c r="F46" i="1" l="1"/>
  <c r="A238" i="4"/>
  <c r="H44" i="1"/>
  <c r="A339" i="4" s="1"/>
  <c r="A135" i="4"/>
  <c r="E45" i="1"/>
  <c r="C47" i="1"/>
  <c r="D46" i="1"/>
  <c r="A35" i="4" s="1"/>
  <c r="G45" i="1"/>
  <c r="F47" i="1" l="1"/>
  <c r="A239" i="4"/>
  <c r="H45" i="1"/>
  <c r="A340" i="4" s="1"/>
  <c r="A136" i="4"/>
  <c r="E46" i="1"/>
  <c r="C48" i="1"/>
  <c r="D47" i="1"/>
  <c r="A36" i="4" s="1"/>
  <c r="G46" i="1"/>
  <c r="H46" i="1" l="1"/>
  <c r="A341" i="4" s="1"/>
  <c r="A137" i="4"/>
  <c r="F48" i="1"/>
  <c r="A240" i="4"/>
  <c r="E47" i="1"/>
  <c r="C49" i="1"/>
  <c r="D48" i="1"/>
  <c r="A37" i="4" s="1"/>
  <c r="G47" i="1"/>
  <c r="H47" i="1" l="1"/>
  <c r="A342" i="4" s="1"/>
  <c r="A138" i="4"/>
  <c r="F49" i="1"/>
  <c r="A241" i="4"/>
  <c r="E48" i="1"/>
  <c r="C50" i="1"/>
  <c r="D49" i="1"/>
  <c r="A38" i="4" s="1"/>
  <c r="G48" i="1"/>
  <c r="H48" i="1" l="1"/>
  <c r="A343" i="4" s="1"/>
  <c r="A139" i="4"/>
  <c r="F50" i="1"/>
  <c r="A242" i="4"/>
  <c r="E49" i="1"/>
  <c r="C51" i="1"/>
  <c r="D50" i="1"/>
  <c r="A39" i="4" s="1"/>
  <c r="G49" i="1"/>
  <c r="H49" i="1" l="1"/>
  <c r="A344" i="4" s="1"/>
  <c r="A140" i="4"/>
  <c r="F51" i="1"/>
  <c r="E50" i="1"/>
  <c r="C52" i="1"/>
  <c r="D51" i="1"/>
  <c r="A40" i="4" s="1"/>
  <c r="G50" i="1"/>
  <c r="A243" i="4" s="1"/>
  <c r="H50" i="1" l="1"/>
  <c r="A345" i="4" s="1"/>
  <c r="A141" i="4"/>
  <c r="F52" i="1"/>
  <c r="E51" i="1"/>
  <c r="C53" i="1"/>
  <c r="D52" i="1"/>
  <c r="A41" i="4" s="1"/>
  <c r="G51" i="1"/>
  <c r="A244" i="4" s="1"/>
  <c r="H51" i="1" l="1"/>
  <c r="A346" i="4" s="1"/>
  <c r="A142" i="4"/>
  <c r="F53" i="1"/>
  <c r="A245" i="4"/>
  <c r="E52" i="1"/>
  <c r="C54" i="1"/>
  <c r="D53" i="1"/>
  <c r="E53" i="1" s="1"/>
  <c r="A144" i="4" s="1"/>
  <c r="G52" i="1"/>
  <c r="H52" i="1" l="1"/>
  <c r="A347" i="4" s="1"/>
  <c r="A143" i="4"/>
  <c r="A42" i="4"/>
  <c r="F54" i="1"/>
  <c r="C55" i="1"/>
  <c r="D54" i="1"/>
  <c r="E54" i="1" s="1"/>
  <c r="A145" i="4" s="1"/>
  <c r="G53" i="1"/>
  <c r="A246" i="4" s="1"/>
  <c r="H53" i="1"/>
  <c r="A348" i="4" s="1"/>
  <c r="A43" i="4" l="1"/>
  <c r="F55" i="1"/>
  <c r="C56" i="1"/>
  <c r="D55" i="1"/>
  <c r="E55" i="1" s="1"/>
  <c r="A146" i="4" s="1"/>
  <c r="G54" i="1"/>
  <c r="A247" i="4" s="1"/>
  <c r="H54" i="1"/>
  <c r="A349" i="4" s="1"/>
  <c r="A248" i="4" l="1"/>
  <c r="F56" i="1"/>
  <c r="A147" i="4"/>
  <c r="A45" i="4"/>
  <c r="A44" i="4"/>
  <c r="C57" i="1"/>
  <c r="D56" i="1"/>
  <c r="E56" i="1" s="1"/>
  <c r="H55" i="1"/>
  <c r="A350" i="4" s="1"/>
  <c r="G55" i="1"/>
  <c r="F57" i="1" l="1"/>
  <c r="A351" i="4"/>
  <c r="C58" i="1"/>
  <c r="D57" i="1"/>
  <c r="E57" i="1" s="1"/>
  <c r="A148" i="4" s="1"/>
  <c r="G56" i="1"/>
  <c r="A249" i="4" s="1"/>
  <c r="H56" i="1"/>
  <c r="F58" i="1" l="1"/>
  <c r="A46" i="4"/>
  <c r="C59" i="1"/>
  <c r="D58" i="1"/>
  <c r="E58" i="1" s="1"/>
  <c r="A149" i="4" s="1"/>
  <c r="H57" i="1"/>
  <c r="A352" i="4" s="1"/>
  <c r="G57" i="1"/>
  <c r="A250" i="4" s="1"/>
  <c r="F59" i="1" l="1"/>
  <c r="A48" i="4"/>
  <c r="A47" i="4"/>
  <c r="C60" i="1"/>
  <c r="D59" i="1"/>
  <c r="E59" i="1" s="1"/>
  <c r="A150" i="4" s="1"/>
  <c r="H58" i="1"/>
  <c r="A353" i="4" s="1"/>
  <c r="G58" i="1"/>
  <c r="A251" i="4" s="1"/>
  <c r="A252" i="4" l="1"/>
  <c r="F60" i="1"/>
  <c r="C61" i="1"/>
  <c r="D60" i="1"/>
  <c r="E60" i="1" s="1"/>
  <c r="A151" i="4" s="1"/>
  <c r="G59" i="1"/>
  <c r="H59" i="1"/>
  <c r="A354" i="4" s="1"/>
  <c r="F61" i="1" l="1"/>
  <c r="A152" i="4"/>
  <c r="A49" i="4"/>
  <c r="A253" i="4"/>
  <c r="C62" i="1"/>
  <c r="D61" i="1"/>
  <c r="E61" i="1" s="1"/>
  <c r="G60" i="1"/>
  <c r="H60" i="1"/>
  <c r="A355" i="4" s="1"/>
  <c r="F62" i="1" l="1"/>
  <c r="A153" i="4"/>
  <c r="A51" i="4"/>
  <c r="A50" i="4"/>
  <c r="C63" i="1"/>
  <c r="D62" i="1"/>
  <c r="E62" i="1" s="1"/>
  <c r="G61" i="1"/>
  <c r="A254" i="4" s="1"/>
  <c r="H61" i="1"/>
  <c r="A356" i="4" s="1"/>
  <c r="F63" i="1" l="1"/>
  <c r="A52" i="4"/>
  <c r="A357" i="4"/>
  <c r="A255" i="4"/>
  <c r="C64" i="1"/>
  <c r="D63" i="1"/>
  <c r="E63" i="1" s="1"/>
  <c r="A154" i="4" s="1"/>
  <c r="H62" i="1"/>
  <c r="G62" i="1"/>
  <c r="F64" i="1" l="1"/>
  <c r="C65" i="1"/>
  <c r="D64" i="1"/>
  <c r="E64" i="1" s="1"/>
  <c r="A155" i="4" s="1"/>
  <c r="G63" i="1"/>
  <c r="A256" i="4" s="1"/>
  <c r="H63" i="1"/>
  <c r="A358" i="4" s="1"/>
  <c r="F65" i="1" l="1"/>
  <c r="A53" i="4"/>
  <c r="C66" i="1"/>
  <c r="D65" i="1"/>
  <c r="E65" i="1" s="1"/>
  <c r="A156" i="4" s="1"/>
  <c r="H64" i="1"/>
  <c r="A359" i="4" s="1"/>
  <c r="G64" i="1"/>
  <c r="A257" i="4" s="1"/>
  <c r="F66" i="1" l="1"/>
  <c r="A55" i="4"/>
  <c r="A360" i="4"/>
  <c r="A54" i="4"/>
  <c r="C67" i="1"/>
  <c r="D66" i="1"/>
  <c r="E66" i="1" s="1"/>
  <c r="A157" i="4" s="1"/>
  <c r="H65" i="1"/>
  <c r="G65" i="1"/>
  <c r="A258" i="4" s="1"/>
  <c r="A259" i="4" l="1"/>
  <c r="A361" i="4"/>
  <c r="F67" i="1"/>
  <c r="A158" i="4"/>
  <c r="A56" i="4"/>
  <c r="C68" i="1"/>
  <c r="D67" i="1"/>
  <c r="E67" i="1" s="1"/>
  <c r="H66" i="1"/>
  <c r="G66" i="1"/>
  <c r="F68" i="1" l="1"/>
  <c r="A57" i="4"/>
  <c r="A260" i="4"/>
  <c r="A362" i="4"/>
  <c r="C69" i="1"/>
  <c r="D68" i="1"/>
  <c r="E68" i="1" s="1"/>
  <c r="A159" i="4" s="1"/>
  <c r="H67" i="1"/>
  <c r="G67" i="1"/>
  <c r="A363" i="4" l="1"/>
  <c r="F69" i="1"/>
  <c r="A58" i="4"/>
  <c r="C70" i="1"/>
  <c r="D69" i="1"/>
  <c r="E69" i="1" s="1"/>
  <c r="A160" i="4" s="1"/>
  <c r="H68" i="1"/>
  <c r="G68" i="1"/>
  <c r="A261" i="4" s="1"/>
  <c r="F70" i="1" l="1"/>
  <c r="A161" i="4"/>
  <c r="A262" i="4"/>
  <c r="A364" i="4"/>
  <c r="C71" i="1"/>
  <c r="D70" i="1"/>
  <c r="E70" i="1" s="1"/>
  <c r="G69" i="1"/>
  <c r="H69" i="1"/>
  <c r="A263" i="4" l="1"/>
  <c r="F71" i="1"/>
  <c r="A59" i="4"/>
  <c r="C72" i="1"/>
  <c r="D71" i="1"/>
  <c r="E71" i="1" s="1"/>
  <c r="A162" i="4" s="1"/>
  <c r="G70" i="1"/>
  <c r="H70" i="1"/>
  <c r="A365" i="4" s="1"/>
  <c r="A366" i="4" l="1"/>
  <c r="F72" i="1"/>
  <c r="A61" i="4"/>
  <c r="A60" i="4"/>
  <c r="C73" i="1"/>
  <c r="D72" i="1"/>
  <c r="E72" i="1" s="1"/>
  <c r="A163" i="4" s="1"/>
  <c r="G71" i="1"/>
  <c r="A264" i="4" s="1"/>
  <c r="H71" i="1"/>
  <c r="F73" i="1" l="1"/>
  <c r="A265" i="4"/>
  <c r="C74" i="1"/>
  <c r="D73" i="1"/>
  <c r="E73" i="1" s="1"/>
  <c r="A164" i="4" s="1"/>
  <c r="G72" i="1"/>
  <c r="H72" i="1"/>
  <c r="A367" i="4" s="1"/>
  <c r="F74" i="1" l="1"/>
  <c r="A63" i="4"/>
  <c r="A368" i="4"/>
  <c r="A62" i="4"/>
  <c r="C75" i="1"/>
  <c r="D74" i="1"/>
  <c r="E74" i="1" s="1"/>
  <c r="A165" i="4" s="1"/>
  <c r="H73" i="1"/>
  <c r="G73" i="1"/>
  <c r="A266" i="4" s="1"/>
  <c r="A369" i="4" l="1"/>
  <c r="F75" i="1"/>
  <c r="C76" i="1"/>
  <c r="D75" i="1"/>
  <c r="E75" i="1" s="1"/>
  <c r="A166" i="4" s="1"/>
  <c r="H74" i="1"/>
  <c r="G74" i="1"/>
  <c r="A267" i="4" s="1"/>
  <c r="F76" i="1" l="1"/>
  <c r="A65" i="4"/>
  <c r="A64" i="4"/>
  <c r="A268" i="4"/>
  <c r="A370" i="4"/>
  <c r="C77" i="1"/>
  <c r="D76" i="1"/>
  <c r="E76" i="1" s="1"/>
  <c r="A167" i="4" s="1"/>
  <c r="G75" i="1"/>
  <c r="H75" i="1"/>
  <c r="A269" i="4" l="1"/>
  <c r="A371" i="4"/>
  <c r="F77" i="1"/>
  <c r="A168" i="4"/>
  <c r="C78" i="1"/>
  <c r="D77" i="1"/>
  <c r="E77" i="1" s="1"/>
  <c r="G76" i="1"/>
  <c r="H76" i="1"/>
  <c r="F78" i="1" l="1"/>
  <c r="A169" i="4"/>
  <c r="A66" i="4"/>
  <c r="A270" i="4"/>
  <c r="C79" i="1"/>
  <c r="D78" i="1"/>
  <c r="E78" i="1" s="1"/>
  <c r="H77" i="1"/>
  <c r="A372" i="4" s="1"/>
  <c r="G77" i="1"/>
  <c r="A373" i="4" l="1"/>
  <c r="F79" i="1"/>
  <c r="A67" i="4"/>
  <c r="C80" i="1"/>
  <c r="D79" i="1"/>
  <c r="E79" i="1" s="1"/>
  <c r="A170" i="4" s="1"/>
  <c r="H78" i="1"/>
  <c r="G78" i="1"/>
  <c r="A271" i="4" s="1"/>
  <c r="F80" i="1" l="1"/>
  <c r="A171" i="4"/>
  <c r="A68" i="4"/>
  <c r="C81" i="1"/>
  <c r="D80" i="1"/>
  <c r="E80" i="1" s="1"/>
  <c r="G79" i="1"/>
  <c r="A272" i="4" s="1"/>
  <c r="H79" i="1"/>
  <c r="A374" i="4" s="1"/>
  <c r="F81" i="1" l="1"/>
  <c r="A375" i="4"/>
  <c r="A69" i="4"/>
  <c r="C82" i="1"/>
  <c r="D81" i="1"/>
  <c r="E81" i="1" s="1"/>
  <c r="A172" i="4" s="1"/>
  <c r="G80" i="1"/>
  <c r="A273" i="4" s="1"/>
  <c r="H80" i="1"/>
  <c r="A376" i="4" l="1"/>
  <c r="F82" i="1"/>
  <c r="A71" i="4"/>
  <c r="A173" i="4"/>
  <c r="A70" i="4"/>
  <c r="C83" i="1"/>
  <c r="D82" i="1"/>
  <c r="E82" i="1" s="1"/>
  <c r="H81" i="1"/>
  <c r="G81" i="1"/>
  <c r="A274" i="4" s="1"/>
  <c r="F83" i="1" l="1"/>
  <c r="A174" i="4"/>
  <c r="A275" i="4"/>
  <c r="C84" i="1"/>
  <c r="D83" i="1"/>
  <c r="E83" i="1" s="1"/>
  <c r="G82" i="1"/>
  <c r="H82" i="1"/>
  <c r="A377" i="4" s="1"/>
  <c r="A378" i="4" l="1"/>
  <c r="F84" i="1"/>
  <c r="A175" i="4"/>
  <c r="A73" i="4"/>
  <c r="A72" i="4"/>
  <c r="C85" i="1"/>
  <c r="D84" i="1"/>
  <c r="E84" i="1" s="1"/>
  <c r="H83" i="1"/>
  <c r="G83" i="1"/>
  <c r="A276" i="4" s="1"/>
  <c r="F85" i="1" l="1"/>
  <c r="A176" i="4"/>
  <c r="A74" i="4"/>
  <c r="A277" i="4"/>
  <c r="C86" i="1"/>
  <c r="D85" i="1"/>
  <c r="E85" i="1" s="1"/>
  <c r="G84" i="1"/>
  <c r="H84" i="1"/>
  <c r="A379" i="4" s="1"/>
  <c r="A278" i="4" l="1"/>
  <c r="A380" i="4"/>
  <c r="F86" i="1"/>
  <c r="A177" i="4"/>
  <c r="A75" i="4"/>
  <c r="C87" i="1"/>
  <c r="D86" i="1"/>
  <c r="E86" i="1" s="1"/>
  <c r="G85" i="1"/>
  <c r="H85" i="1"/>
  <c r="F87" i="1" l="1"/>
  <c r="A381" i="4"/>
  <c r="A279" i="4"/>
  <c r="C88" i="1"/>
  <c r="D87" i="1"/>
  <c r="E87" i="1" s="1"/>
  <c r="A178" i="4" s="1"/>
  <c r="H86" i="1"/>
  <c r="G86" i="1"/>
  <c r="F88" i="1" l="1"/>
  <c r="A179" i="4"/>
  <c r="A77" i="4"/>
  <c r="A76" i="4"/>
  <c r="A280" i="4"/>
  <c r="C89" i="1"/>
  <c r="D88" i="1"/>
  <c r="E88" i="1" s="1"/>
  <c r="G87" i="1"/>
  <c r="H87" i="1"/>
  <c r="A382" i="4" s="1"/>
  <c r="A383" i="4" l="1"/>
  <c r="A281" i="4"/>
  <c r="F89" i="1"/>
  <c r="A180" i="4"/>
  <c r="C90" i="1"/>
  <c r="D89" i="1"/>
  <c r="E89" i="1" s="1"/>
  <c r="G88" i="1"/>
  <c r="H88" i="1"/>
  <c r="F90" i="1" l="1"/>
  <c r="A79" i="4"/>
  <c r="A78" i="4"/>
  <c r="C91" i="1"/>
  <c r="D90" i="1"/>
  <c r="E90" i="1" s="1"/>
  <c r="A181" i="4" s="1"/>
  <c r="H89" i="1"/>
  <c r="A384" i="4" s="1"/>
  <c r="G89" i="1"/>
  <c r="A282" i="4" s="1"/>
  <c r="F91" i="1" l="1"/>
  <c r="C92" i="1"/>
  <c r="D91" i="1"/>
  <c r="E91" i="1" s="1"/>
  <c r="A182" i="4" s="1"/>
  <c r="H90" i="1"/>
  <c r="A385" i="4" s="1"/>
  <c r="G90" i="1"/>
  <c r="A283" i="4" s="1"/>
  <c r="F92" i="1" l="1"/>
  <c r="A80" i="4"/>
  <c r="A284" i="4"/>
  <c r="C93" i="1"/>
  <c r="D92" i="1"/>
  <c r="E92" i="1" s="1"/>
  <c r="A183" i="4" s="1"/>
  <c r="H91" i="1"/>
  <c r="A386" i="4" s="1"/>
  <c r="G91" i="1"/>
  <c r="F93" i="1" l="1"/>
  <c r="A81" i="4"/>
  <c r="C94" i="1"/>
  <c r="D93" i="1"/>
  <c r="E93" i="1" s="1"/>
  <c r="A184" i="4" s="1"/>
  <c r="H92" i="1"/>
  <c r="A387" i="4" s="1"/>
  <c r="G92" i="1"/>
  <c r="A285" i="4" s="1"/>
  <c r="F94" i="1" l="1"/>
  <c r="A82" i="4"/>
  <c r="A286" i="4"/>
  <c r="A388" i="4"/>
  <c r="C95" i="1"/>
  <c r="D94" i="1"/>
  <c r="E94" i="1" s="1"/>
  <c r="A185" i="4" s="1"/>
  <c r="G93" i="1"/>
  <c r="H93" i="1"/>
  <c r="F95" i="1" l="1"/>
  <c r="A83" i="4"/>
  <c r="A287" i="4"/>
  <c r="C96" i="1"/>
  <c r="D95" i="1"/>
  <c r="E95" i="1" s="1"/>
  <c r="A186" i="4" s="1"/>
  <c r="H94" i="1"/>
  <c r="A389" i="4" s="1"/>
  <c r="G94" i="1"/>
  <c r="A84" i="4" l="1"/>
  <c r="F96" i="1"/>
  <c r="C97" i="1"/>
  <c r="D96" i="1"/>
  <c r="E96" i="1" s="1"/>
  <c r="A187" i="4" s="1"/>
  <c r="H95" i="1"/>
  <c r="A390" i="4" s="1"/>
  <c r="G95" i="1"/>
  <c r="A288" i="4" s="1"/>
  <c r="A391" i="4" l="1"/>
  <c r="A85" i="4"/>
  <c r="F97" i="1"/>
  <c r="C98" i="1"/>
  <c r="D97" i="1"/>
  <c r="E97" i="1" s="1"/>
  <c r="A188" i="4" s="1"/>
  <c r="G96" i="1"/>
  <c r="A289" i="4" s="1"/>
  <c r="H96" i="1"/>
  <c r="A86" i="4" l="1"/>
  <c r="F98" i="1"/>
  <c r="A290" i="4"/>
  <c r="C99" i="1"/>
  <c r="D98" i="1"/>
  <c r="E98" i="1" s="1"/>
  <c r="A189" i="4" s="1"/>
  <c r="H97" i="1"/>
  <c r="A392" i="4" s="1"/>
  <c r="G97" i="1"/>
  <c r="F99" i="1" l="1"/>
  <c r="A87" i="4"/>
  <c r="C100" i="1"/>
  <c r="D99" i="1"/>
  <c r="E99" i="1" s="1"/>
  <c r="A190" i="4" s="1"/>
  <c r="G98" i="1"/>
  <c r="A291" i="4" s="1"/>
  <c r="H98" i="1"/>
  <c r="A393" i="4" s="1"/>
  <c r="F100" i="1" l="1"/>
  <c r="A88" i="4"/>
  <c r="A394" i="4"/>
  <c r="C101" i="1"/>
  <c r="D100" i="1"/>
  <c r="E100" i="1" s="1"/>
  <c r="A191" i="4" s="1"/>
  <c r="H99" i="1"/>
  <c r="G99" i="1"/>
  <c r="A292" i="4" s="1"/>
  <c r="F101" i="1" l="1"/>
  <c r="A192" i="4"/>
  <c r="A89" i="4"/>
  <c r="C102" i="1"/>
  <c r="D101" i="1"/>
  <c r="E101" i="1" s="1"/>
  <c r="H100" i="1"/>
  <c r="A395" i="4" s="1"/>
  <c r="G100" i="1"/>
  <c r="A293" i="4" s="1"/>
  <c r="F102" i="1" l="1"/>
  <c r="A90" i="4"/>
  <c r="A294" i="4"/>
  <c r="A396" i="4"/>
  <c r="C103" i="1"/>
  <c r="D102" i="1"/>
  <c r="E102" i="1" s="1"/>
  <c r="A193" i="4" s="1"/>
  <c r="G101" i="1"/>
  <c r="H101" i="1"/>
  <c r="A91" i="4" l="1"/>
  <c r="F103" i="1"/>
  <c r="A295" i="4"/>
  <c r="C104" i="1"/>
  <c r="D103" i="1"/>
  <c r="E103" i="1" s="1"/>
  <c r="A194" i="4" s="1"/>
  <c r="H102" i="1"/>
  <c r="A397" i="4" s="1"/>
  <c r="G102" i="1"/>
  <c r="A92" i="4" l="1"/>
  <c r="F104" i="1"/>
  <c r="A398" i="4"/>
  <c r="A296" i="4"/>
  <c r="C105" i="1"/>
  <c r="D104" i="1"/>
  <c r="E104" i="1" s="1"/>
  <c r="A195" i="4" s="1"/>
  <c r="H103" i="1"/>
  <c r="G103" i="1"/>
  <c r="F105" i="1" l="1"/>
  <c r="A93" i="4"/>
  <c r="C106" i="1"/>
  <c r="D105" i="1"/>
  <c r="E105" i="1" s="1"/>
  <c r="A196" i="4" s="1"/>
  <c r="G104" i="1"/>
  <c r="A297" i="4" s="1"/>
  <c r="H104" i="1"/>
  <c r="A399" i="4" s="1"/>
  <c r="F106" i="1" l="1"/>
  <c r="A95" i="4"/>
  <c r="A197" i="4"/>
  <c r="A94" i="4"/>
  <c r="A298" i="4"/>
  <c r="C107" i="1"/>
  <c r="D106" i="1"/>
  <c r="E106" i="1" s="1"/>
  <c r="G105" i="1"/>
  <c r="H105" i="1"/>
  <c r="A400" i="4" s="1"/>
  <c r="F107" i="1" l="1"/>
  <c r="A198" i="4"/>
  <c r="A299" i="4"/>
  <c r="C108" i="1"/>
  <c r="D107" i="1"/>
  <c r="E107" i="1" s="1"/>
  <c r="H106" i="1"/>
  <c r="A401" i="4" s="1"/>
  <c r="G106" i="1"/>
  <c r="F108" i="1" l="1"/>
  <c r="A199" i="4"/>
  <c r="A96" i="4"/>
  <c r="A402" i="4"/>
  <c r="C109" i="1"/>
  <c r="D108" i="1"/>
  <c r="E108" i="1" s="1"/>
  <c r="H107" i="1"/>
  <c r="G107" i="1"/>
  <c r="A300" i="4" s="1"/>
  <c r="F109" i="1" l="1"/>
  <c r="A200" i="4"/>
  <c r="A97" i="4"/>
  <c r="C110" i="1"/>
  <c r="D109" i="1"/>
  <c r="E109" i="1" s="1"/>
  <c r="H108" i="1"/>
  <c r="A403" i="4" s="1"/>
  <c r="G108" i="1"/>
  <c r="A301" i="4" s="1"/>
  <c r="F110" i="1" l="1"/>
  <c r="A201" i="4"/>
  <c r="A99" i="4"/>
  <c r="A98" i="4"/>
  <c r="C111" i="1"/>
  <c r="D110" i="1"/>
  <c r="E110" i="1" s="1"/>
  <c r="G109" i="1"/>
  <c r="A302" i="4" s="1"/>
  <c r="H109" i="1"/>
  <c r="A404" i="4" s="1"/>
  <c r="A405" i="4" l="1"/>
  <c r="A303" i="4"/>
  <c r="F111" i="1"/>
  <c r="C112" i="1"/>
  <c r="D111" i="1"/>
  <c r="E111" i="1" s="1"/>
  <c r="A202" i="4" s="1"/>
  <c r="G110" i="1"/>
  <c r="H110" i="1"/>
  <c r="A406" i="4" l="1"/>
  <c r="A304" i="4"/>
  <c r="D112" i="1"/>
  <c r="A101" i="4" s="1"/>
  <c r="A100" i="4"/>
  <c r="F112" i="1"/>
  <c r="G111" i="1"/>
  <c r="H111" i="1"/>
  <c r="A305" i="4" l="1"/>
  <c r="E112" i="1"/>
  <c r="A203" i="4" s="1"/>
  <c r="H112" i="1"/>
  <c r="A407" i="4" s="1"/>
  <c r="G1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9" authorId="0" shapeId="0" xr:uid="{ABCE5FB0-9B2F-4968-BC47-87C9D3F8EB9F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sharedStrings.xml><?xml version="1.0" encoding="utf-8"?>
<sst xmlns="http://schemas.openxmlformats.org/spreadsheetml/2006/main" count="24" uniqueCount="21">
  <si>
    <t>Semieje menor, b</t>
  </si>
  <si>
    <t>Semieje mayor, a</t>
  </si>
  <si>
    <t>Centroide en x, h</t>
  </si>
  <si>
    <t>Centroide en y, k</t>
  </si>
  <si>
    <t>Excentricidad, e</t>
  </si>
  <si>
    <t>Foco, c ±</t>
  </si>
  <si>
    <t>X</t>
  </si>
  <si>
    <t xml:space="preserve"> -X</t>
  </si>
  <si>
    <t>YC1</t>
  </si>
  <si>
    <t>YC2</t>
  </si>
  <si>
    <t>YC3</t>
  </si>
  <si>
    <t>YC4</t>
  </si>
  <si>
    <t>Puntos por cuadrante</t>
  </si>
  <si>
    <t>Parámetro</t>
  </si>
  <si>
    <t>Valor</t>
  </si>
  <si>
    <t>Nodo</t>
  </si>
  <si>
    <t>Dibujo de la Elipse con centro en (h,k)</t>
  </si>
  <si>
    <t>PLINE</t>
  </si>
  <si>
    <t>Metadata</t>
  </si>
  <si>
    <t>Creado por r.cfdtools</t>
  </si>
  <si>
    <t>Pass: 1234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</si>
</sst>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b/>
      <sz val="11"/>
      <color theme="1"/>
      <name val="Segoe UI Light"/>
      <family val="2"/>
    </font>
    <font>
      <sz val="9"/>
      <color indexed="8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theme="0" tint="-4.9989318521683403E-2"/>
      </top>
      <bottom style="thin">
        <color indexed="64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1" fillId="2" borderId="2" xfId="0" applyFont="1" applyFill="1" applyBorder="1"/>
    <xf numFmtId="0" fontId="1" fillId="2" borderId="3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1" fillId="2" borderId="10" xfId="0" applyFont="1" applyFill="1" applyBorder="1"/>
    <xf numFmtId="0" fontId="1" fillId="0" borderId="15" xfId="0" applyFont="1" applyBorder="1"/>
    <xf numFmtId="0" fontId="1" fillId="0" borderId="16" xfId="0" applyFont="1" applyBorder="1"/>
    <xf numFmtId="0" fontId="1" fillId="0" borderId="18" xfId="0" applyFont="1" applyBorder="1"/>
    <xf numFmtId="0" fontId="1" fillId="0" borderId="17" xfId="0" applyFont="1" applyBorder="1" applyAlignment="1">
      <alignment horizontal="center"/>
    </xf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 applyAlignment="1">
      <alignment horizontal="center"/>
    </xf>
    <xf numFmtId="0" fontId="3" fillId="0" borderId="22" xfId="0" applyFont="1" applyBorder="1"/>
    <xf numFmtId="0" fontId="2" fillId="0" borderId="17" xfId="0" applyFont="1" applyBorder="1" applyAlignment="1" applyProtection="1">
      <alignment horizontal="center"/>
      <protection locked="0"/>
    </xf>
    <xf numFmtId="0" fontId="1" fillId="0" borderId="23" xfId="0" applyFont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132196537418781"/>
          <c:y val="5.7846468565658331E-2"/>
          <c:w val="0.76679839304860276"/>
          <c:h val="0.6514956202562575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Elipse!$D$12</c:f>
              <c:strCache>
                <c:ptCount val="1"/>
                <c:pt idx="0">
                  <c:v>YC1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Elipse!$C$13:$C$112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Elipse!$D$13:$D$112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04-4664-BD73-9C519E714293}"/>
            </c:ext>
          </c:extLst>
        </c:ser>
        <c:ser>
          <c:idx val="1"/>
          <c:order val="1"/>
          <c:tx>
            <c:strRef>
              <c:f>Elipse!$E$12</c:f>
              <c:strCache>
                <c:ptCount val="1"/>
                <c:pt idx="0">
                  <c:v>YC2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Elipse!$C$13:$C$112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Elipse!$E$13:$E$112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A004-4664-BD73-9C519E714293}"/>
            </c:ext>
          </c:extLst>
        </c:ser>
        <c:ser>
          <c:idx val="2"/>
          <c:order val="2"/>
          <c:tx>
            <c:strRef>
              <c:f>Elipse!$G$12</c:f>
              <c:strCache>
                <c:ptCount val="1"/>
                <c:pt idx="0">
                  <c:v>YC3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Elipse!$F$13:$F$112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Elipse!$G$13:$G$112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A004-4664-BD73-9C519E714293}"/>
            </c:ext>
          </c:extLst>
        </c:ser>
        <c:ser>
          <c:idx val="3"/>
          <c:order val="3"/>
          <c:tx>
            <c:strRef>
              <c:f>Elipse!$H$12</c:f>
              <c:strCache>
                <c:ptCount val="1"/>
                <c:pt idx="0">
                  <c:v>YC4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Elipse!$F$13:$F$112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Elipse!$H$13:$H$112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A004-4664-BD73-9C519E7142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rotection>
    <c:chartObject val="0"/>
    <c:data val="0"/>
    <c:formatting val="0"/>
    <c:selection val="0"/>
    <c:userInterface val="0"/>
  </c:protection>
  <c:chart>
    <c:title>
      <c:tx>
        <c:strRef>
          <c:f>Elipse!$B$2</c:f>
          <c:strCache>
            <c:ptCount val="1"/>
            <c:pt idx="0">
              <c:v>Dibujo de la Elipse con centro en (h,k)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5.3059331219961141E-2"/>
          <c:y val="8.7593059927872294E-2"/>
          <c:w val="0.92196437263523878"/>
          <c:h val="0.7960771709915659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Elipse!$D$12</c:f>
              <c:strCache>
                <c:ptCount val="1"/>
                <c:pt idx="0">
                  <c:v>YC1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Elipse!$C$13:$C$112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Elipse!$D$13:$D$112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4A6-4D7E-882E-E6467E297C20}"/>
            </c:ext>
          </c:extLst>
        </c:ser>
        <c:ser>
          <c:idx val="1"/>
          <c:order val="1"/>
          <c:tx>
            <c:strRef>
              <c:f>Elipse!$E$12</c:f>
              <c:strCache>
                <c:ptCount val="1"/>
                <c:pt idx="0">
                  <c:v>YC2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Elipse!$C$13:$C$112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Elipse!$E$13:$E$112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4A6-4D7E-882E-E6467E297C20}"/>
            </c:ext>
          </c:extLst>
        </c:ser>
        <c:ser>
          <c:idx val="2"/>
          <c:order val="2"/>
          <c:tx>
            <c:strRef>
              <c:f>Elipse!$G$12</c:f>
              <c:strCache>
                <c:ptCount val="1"/>
                <c:pt idx="0">
                  <c:v>YC3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Elipse!$F$13:$F$112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Elipse!$G$13:$G$112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4A6-4D7E-882E-E6467E297C20}"/>
            </c:ext>
          </c:extLst>
        </c:ser>
        <c:ser>
          <c:idx val="3"/>
          <c:order val="3"/>
          <c:tx>
            <c:strRef>
              <c:f>Elipse!$H$12</c:f>
              <c:strCache>
                <c:ptCount val="1"/>
                <c:pt idx="0">
                  <c:v>YC4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Elipse!$F$13:$F$112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Elipse!$H$13:$H$112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4A6-4D7E-882E-E6467E297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19712F2-8C9D-4334-9A45-634DD1EA633A}">
  <sheetPr/>
  <sheetViews>
    <sheetView zoomScale="72" workbookViewId="0" zoomToFit="1"/>
  </sheetViews>
  <sheetProtection algorithmName="SHA-512" hashValue="U1RlEWgYgwX9iiS1e3zOQsQY8MbllI4/V3DTujHfVF7HLaMWiSbsVn/MlDcLiC2yfyBbvowqcGnU1LUWmm3TPg==" saltValue="sAUeNqgtWxKptxfrO+Ksew==" spinCount="100000" content="1" objects="1"/>
  <pageMargins left="0.25" right="0.25" top="0.75" bottom="0.75" header="0.3" footer="0.3"/>
  <pageSetup paperSize="5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101256</xdr:colOff>
      <xdr:row>3</xdr:row>
      <xdr:rowOff>67847</xdr:rowOff>
    </xdr:from>
    <xdr:to>
      <xdr:col>7</xdr:col>
      <xdr:colOff>733011</xdr:colOff>
      <xdr:row>10</xdr:row>
      <xdr:rowOff>165651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FEBCFDA-A4B8-4736-A912-14692FCCE0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5</xdr:col>
      <xdr:colOff>216839</xdr:colOff>
      <xdr:row>1</xdr:row>
      <xdr:rowOff>68655</xdr:rowOff>
    </xdr:from>
    <xdr:ext cx="1179066" cy="2945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35986" y="278862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𝑥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h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𝑎</m:t>
                          </m:r>
                        </m:e>
                        <m:sup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</m:den>
                  </m:f>
                </m:oMath>
              </a14:m>
              <a:r>
                <a:rPr lang="es-CO" sz="1200"/>
                <a:t>+</a:t>
              </a:r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𝑦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𝑘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den>
                  </m:f>
                  <m:r>
                    <a:rPr lang="en-US" sz="12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=1</m:t>
                  </m:r>
                </m:oMath>
              </a14:m>
              <a:endParaRPr lang="es-CO" sz="1200"/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35986" y="278862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〖(𝑥−ℎ)〗^2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US" sz="1200" b="0" i="0">
                  <a:latin typeface="Cambria Math" panose="02040503050406030204" pitchFamily="18" charset="0"/>
                </a:rPr>
                <a:t>𝑎^2 </a:t>
              </a:r>
              <a:r>
                <a:rPr lang="es-CO" sz="1200"/>
                <a:t>+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〖(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−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)〗^2/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^2 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=1</a:t>
              </a:r>
              <a:endParaRPr lang="es-CO" sz="12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2223750" cy="627883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5FD18B-EABE-1FC0-2ED2-6E3085332DA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14C66-0199-4E41-AD41-CF9343293C52}">
  <dimension ref="B2:H112"/>
  <sheetViews>
    <sheetView showGridLines="0" tabSelected="1" zoomScale="190" zoomScaleNormal="190" workbookViewId="0">
      <selection activeCell="J11" sqref="J11"/>
    </sheetView>
  </sheetViews>
  <sheetFormatPr baseColWidth="10" defaultRowHeight="16.5" x14ac:dyDescent="0.6"/>
  <cols>
    <col min="1" max="1" width="2.59765625" style="1" customWidth="1"/>
    <col min="2" max="2" width="7.1328125" style="29" customWidth="1"/>
    <col min="3" max="8" width="11.53125" style="1" customWidth="1"/>
    <col min="9" max="16384" width="10.6640625" style="1"/>
  </cols>
  <sheetData>
    <row r="2" spans="2:8" x14ac:dyDescent="0.6">
      <c r="B2" s="23" t="s">
        <v>16</v>
      </c>
      <c r="C2" s="10"/>
      <c r="D2" s="10"/>
      <c r="E2" s="10"/>
      <c r="F2" s="10"/>
      <c r="G2" s="10"/>
      <c r="H2" s="11"/>
    </row>
    <row r="3" spans="2:8" x14ac:dyDescent="0.6">
      <c r="B3" s="25"/>
      <c r="C3" s="13"/>
      <c r="D3" s="13"/>
      <c r="E3" s="13"/>
      <c r="F3" s="13"/>
      <c r="G3" s="13"/>
      <c r="H3" s="14"/>
    </row>
    <row r="4" spans="2:8" x14ac:dyDescent="0.6">
      <c r="B4" s="2" t="s">
        <v>13</v>
      </c>
      <c r="C4" s="15"/>
      <c r="D4" s="3" t="s">
        <v>14</v>
      </c>
      <c r="E4" s="10"/>
      <c r="F4" s="10"/>
      <c r="G4" s="10"/>
      <c r="H4" s="11"/>
    </row>
    <row r="5" spans="2:8" x14ac:dyDescent="0.6">
      <c r="B5" s="16" t="s">
        <v>2</v>
      </c>
      <c r="C5" s="17"/>
      <c r="D5" s="24">
        <v>100</v>
      </c>
      <c r="H5" s="12"/>
    </row>
    <row r="6" spans="2:8" x14ac:dyDescent="0.6">
      <c r="B6" s="16" t="s">
        <v>3</v>
      </c>
      <c r="C6" s="18"/>
      <c r="D6" s="24">
        <v>50</v>
      </c>
      <c r="H6" s="12"/>
    </row>
    <row r="7" spans="2:8" x14ac:dyDescent="0.6">
      <c r="B7" s="16" t="s">
        <v>1</v>
      </c>
      <c r="C7" s="18"/>
      <c r="D7" s="24">
        <v>60</v>
      </c>
      <c r="H7" s="12"/>
    </row>
    <row r="8" spans="2:8" x14ac:dyDescent="0.6">
      <c r="B8" s="16" t="s">
        <v>0</v>
      </c>
      <c r="C8" s="18"/>
      <c r="D8" s="24">
        <v>20</v>
      </c>
      <c r="H8" s="12"/>
    </row>
    <row r="9" spans="2:8" x14ac:dyDescent="0.6">
      <c r="B9" s="16" t="s">
        <v>12</v>
      </c>
      <c r="C9" s="18"/>
      <c r="D9" s="24">
        <v>48</v>
      </c>
      <c r="H9" s="12"/>
    </row>
    <row r="10" spans="2:8" x14ac:dyDescent="0.6">
      <c r="B10" s="16" t="s">
        <v>5</v>
      </c>
      <c r="C10" s="18"/>
      <c r="D10" s="19">
        <f>IF(a&gt;b,(a^2-b^2)^0.5,(b^2-a^2)^0.5)</f>
        <v>56.568542494923804</v>
      </c>
      <c r="H10" s="12"/>
    </row>
    <row r="11" spans="2:8" x14ac:dyDescent="0.6">
      <c r="B11" s="20" t="s">
        <v>4</v>
      </c>
      <c r="C11" s="21"/>
      <c r="D11" s="22">
        <f>D10/a</f>
        <v>0.94280904158206336</v>
      </c>
      <c r="E11" s="13"/>
      <c r="F11" s="13"/>
      <c r="G11" s="13"/>
      <c r="H11" s="14"/>
    </row>
    <row r="12" spans="2:8" x14ac:dyDescent="0.6">
      <c r="B12" s="26" t="s">
        <v>15</v>
      </c>
      <c r="C12" s="4" t="s">
        <v>6</v>
      </c>
      <c r="D12" s="4" t="s">
        <v>8</v>
      </c>
      <c r="E12" s="4" t="s">
        <v>9</v>
      </c>
      <c r="F12" s="4" t="s">
        <v>7</v>
      </c>
      <c r="G12" s="4" t="s">
        <v>10</v>
      </c>
      <c r="H12" s="5" t="s">
        <v>11</v>
      </c>
    </row>
    <row r="13" spans="2:8" x14ac:dyDescent="0.6">
      <c r="B13" s="27">
        <v>1</v>
      </c>
      <c r="C13" s="6">
        <f>h</f>
        <v>100</v>
      </c>
      <c r="D13" s="6">
        <f t="shared" ref="D13:D44" si="0">(((1-(($C13-h)^2/a^2))*(b^2))^0.5)+k</f>
        <v>70</v>
      </c>
      <c r="E13" s="6">
        <f>k-b</f>
        <v>30</v>
      </c>
      <c r="F13" s="6">
        <f>C13</f>
        <v>100</v>
      </c>
      <c r="G13" s="6">
        <f>D13</f>
        <v>70</v>
      </c>
      <c r="H13" s="7">
        <f>E13</f>
        <v>30</v>
      </c>
    </row>
    <row r="14" spans="2:8" x14ac:dyDescent="0.6">
      <c r="B14" s="27">
        <v>2</v>
      </c>
      <c r="C14" s="6">
        <f t="shared" ref="C14:C45" si="1">IF((a/np)+C13&gt;=h+a,h+a,(a/np)+C13)</f>
        <v>101.25</v>
      </c>
      <c r="D14" s="6">
        <f t="shared" si="0"/>
        <v>69.995659251169712</v>
      </c>
      <c r="E14" s="6">
        <f>E13+(D13-D14)</f>
        <v>30.004340748830288</v>
      </c>
      <c r="F14" s="6">
        <f>(F13-(C14-C13))</f>
        <v>98.75</v>
      </c>
      <c r="G14" s="6">
        <f t="shared" ref="G14:G77" si="2">D14</f>
        <v>69.995659251169712</v>
      </c>
      <c r="H14" s="7">
        <f t="shared" ref="H14:H77" si="3">E14</f>
        <v>30.004340748830288</v>
      </c>
    </row>
    <row r="15" spans="2:8" x14ac:dyDescent="0.6">
      <c r="B15" s="27">
        <v>3</v>
      </c>
      <c r="C15" s="6">
        <f t="shared" si="1"/>
        <v>102.5</v>
      </c>
      <c r="D15" s="6">
        <f t="shared" si="0"/>
        <v>69.982631347136333</v>
      </c>
      <c r="E15" s="6">
        <f t="shared" ref="E15:E78" si="4">E14+(D14-D15)</f>
        <v>30.017368652863667</v>
      </c>
      <c r="F15" s="6">
        <f t="shared" ref="F15:F78" si="5">(F14-(C15-C14))</f>
        <v>97.5</v>
      </c>
      <c r="G15" s="6">
        <f t="shared" si="2"/>
        <v>69.982631347136333</v>
      </c>
      <c r="H15" s="7">
        <f t="shared" si="3"/>
        <v>30.017368652863667</v>
      </c>
    </row>
    <row r="16" spans="2:8" x14ac:dyDescent="0.6">
      <c r="B16" s="27">
        <v>4</v>
      </c>
      <c r="C16" s="6">
        <f t="shared" si="1"/>
        <v>103.75</v>
      </c>
      <c r="D16" s="6">
        <f t="shared" si="0"/>
        <v>69.960899278339141</v>
      </c>
      <c r="E16" s="6">
        <f t="shared" si="4"/>
        <v>30.039100721660859</v>
      </c>
      <c r="F16" s="6">
        <f t="shared" si="5"/>
        <v>96.25</v>
      </c>
      <c r="G16" s="6">
        <f t="shared" si="2"/>
        <v>69.960899278339141</v>
      </c>
      <c r="H16" s="7">
        <f t="shared" si="3"/>
        <v>30.039100721660859</v>
      </c>
    </row>
    <row r="17" spans="2:8" x14ac:dyDescent="0.6">
      <c r="B17" s="27">
        <v>5</v>
      </c>
      <c r="C17" s="6">
        <f t="shared" si="1"/>
        <v>105</v>
      </c>
      <c r="D17" s="6">
        <f t="shared" si="0"/>
        <v>69.930434571835661</v>
      </c>
      <c r="E17" s="6">
        <f t="shared" si="4"/>
        <v>30.069565428164339</v>
      </c>
      <c r="F17" s="6">
        <f t="shared" si="5"/>
        <v>95</v>
      </c>
      <c r="G17" s="6">
        <f t="shared" si="2"/>
        <v>69.930434571835661</v>
      </c>
      <c r="H17" s="7">
        <f t="shared" si="3"/>
        <v>30.069565428164339</v>
      </c>
    </row>
    <row r="18" spans="2:8" x14ac:dyDescent="0.6">
      <c r="B18" s="27">
        <v>6</v>
      </c>
      <c r="C18" s="6">
        <f t="shared" si="1"/>
        <v>106.25</v>
      </c>
      <c r="D18" s="6">
        <f t="shared" si="0"/>
        <v>69.89119710380001</v>
      </c>
      <c r="E18" s="6">
        <f t="shared" si="4"/>
        <v>30.10880289619999</v>
      </c>
      <c r="F18" s="6">
        <f t="shared" si="5"/>
        <v>93.75</v>
      </c>
      <c r="G18" s="6">
        <f t="shared" si="2"/>
        <v>69.89119710380001</v>
      </c>
      <c r="H18" s="7">
        <f t="shared" si="3"/>
        <v>30.10880289619999</v>
      </c>
    </row>
    <row r="19" spans="2:8" x14ac:dyDescent="0.6">
      <c r="B19" s="27">
        <v>7</v>
      </c>
      <c r="C19" s="6">
        <f t="shared" si="1"/>
        <v>107.5</v>
      </c>
      <c r="D19" s="6">
        <f t="shared" si="0"/>
        <v>69.843134832984433</v>
      </c>
      <c r="E19" s="6">
        <f t="shared" si="4"/>
        <v>30.156865167015567</v>
      </c>
      <c r="F19" s="6">
        <f t="shared" si="5"/>
        <v>92.5</v>
      </c>
      <c r="G19" s="6">
        <f t="shared" si="2"/>
        <v>69.843134832984433</v>
      </c>
      <c r="H19" s="7">
        <f t="shared" si="3"/>
        <v>30.156865167015567</v>
      </c>
    </row>
    <row r="20" spans="2:8" x14ac:dyDescent="0.6">
      <c r="B20" s="27">
        <v>8</v>
      </c>
      <c r="C20" s="6">
        <f t="shared" si="1"/>
        <v>108.75</v>
      </c>
      <c r="D20" s="6">
        <f t="shared" si="0"/>
        <v>69.786183450972942</v>
      </c>
      <c r="E20" s="6">
        <f t="shared" si="4"/>
        <v>30.213816549027058</v>
      </c>
      <c r="F20" s="6">
        <f t="shared" si="5"/>
        <v>91.25</v>
      </c>
      <c r="G20" s="6">
        <f t="shared" si="2"/>
        <v>69.786183450972942</v>
      </c>
      <c r="H20" s="7">
        <f t="shared" si="3"/>
        <v>30.213816549027058</v>
      </c>
    </row>
    <row r="21" spans="2:8" x14ac:dyDescent="0.6">
      <c r="B21" s="27">
        <v>9</v>
      </c>
      <c r="C21" s="6">
        <f t="shared" si="1"/>
        <v>110</v>
      </c>
      <c r="D21" s="6">
        <f t="shared" si="0"/>
        <v>69.720265943665382</v>
      </c>
      <c r="E21" s="6">
        <f t="shared" si="4"/>
        <v>30.279734056334618</v>
      </c>
      <c r="F21" s="6">
        <f t="shared" si="5"/>
        <v>90</v>
      </c>
      <c r="G21" s="6">
        <f t="shared" si="2"/>
        <v>69.720265943665382</v>
      </c>
      <c r="H21" s="7">
        <f t="shared" si="3"/>
        <v>30.279734056334618</v>
      </c>
    </row>
    <row r="22" spans="2:8" x14ac:dyDescent="0.6">
      <c r="B22" s="27">
        <v>10</v>
      </c>
      <c r="C22" s="6">
        <f t="shared" si="1"/>
        <v>111.25</v>
      </c>
      <c r="D22" s="6">
        <f t="shared" si="0"/>
        <v>69.645292056877139</v>
      </c>
      <c r="E22" s="6">
        <f t="shared" si="4"/>
        <v>30.354707943122861</v>
      </c>
      <c r="F22" s="6">
        <f t="shared" si="5"/>
        <v>88.75</v>
      </c>
      <c r="G22" s="6">
        <f t="shared" si="2"/>
        <v>69.645292056877139</v>
      </c>
      <c r="H22" s="7">
        <f t="shared" si="3"/>
        <v>30.354707943122861</v>
      </c>
    </row>
    <row r="23" spans="2:8" x14ac:dyDescent="0.6">
      <c r="B23" s="27">
        <v>11</v>
      </c>
      <c r="C23" s="6">
        <f t="shared" si="1"/>
        <v>112.5</v>
      </c>
      <c r="D23" s="6">
        <f t="shared" si="0"/>
        <v>69.561157657175841</v>
      </c>
      <c r="E23" s="6">
        <f t="shared" si="4"/>
        <v>30.438842342824159</v>
      </c>
      <c r="F23" s="6">
        <f t="shared" si="5"/>
        <v>87.5</v>
      </c>
      <c r="G23" s="6">
        <f t="shared" si="2"/>
        <v>69.561157657175841</v>
      </c>
      <c r="H23" s="7">
        <f t="shared" si="3"/>
        <v>30.438842342824159</v>
      </c>
    </row>
    <row r="24" spans="2:8" x14ac:dyDescent="0.6">
      <c r="B24" s="27">
        <v>12</v>
      </c>
      <c r="C24" s="6">
        <f t="shared" si="1"/>
        <v>113.75</v>
      </c>
      <c r="D24" s="6">
        <f t="shared" si="0"/>
        <v>69.467743977039447</v>
      </c>
      <c r="E24" s="6">
        <f t="shared" si="4"/>
        <v>30.532256022960553</v>
      </c>
      <c r="F24" s="6">
        <f t="shared" si="5"/>
        <v>86.25</v>
      </c>
      <c r="G24" s="6">
        <f t="shared" si="2"/>
        <v>69.467743977039447</v>
      </c>
      <c r="H24" s="7">
        <f t="shared" si="3"/>
        <v>30.532256022960553</v>
      </c>
    </row>
    <row r="25" spans="2:8" x14ac:dyDescent="0.6">
      <c r="B25" s="27">
        <v>13</v>
      </c>
      <c r="C25" s="6">
        <f t="shared" si="1"/>
        <v>115</v>
      </c>
      <c r="D25" s="6">
        <f t="shared" si="0"/>
        <v>69.364916731037084</v>
      </c>
      <c r="E25" s="6">
        <f t="shared" si="4"/>
        <v>30.635083268962916</v>
      </c>
      <c r="F25" s="6">
        <f t="shared" si="5"/>
        <v>85</v>
      </c>
      <c r="G25" s="6">
        <f t="shared" si="2"/>
        <v>69.364916731037084</v>
      </c>
      <c r="H25" s="7">
        <f t="shared" si="3"/>
        <v>30.635083268962916</v>
      </c>
    </row>
    <row r="26" spans="2:8" x14ac:dyDescent="0.6">
      <c r="B26" s="27">
        <v>14</v>
      </c>
      <c r="C26" s="6">
        <f t="shared" si="1"/>
        <v>116.25</v>
      </c>
      <c r="D26" s="6">
        <f t="shared" si="0"/>
        <v>69.252525086913209</v>
      </c>
      <c r="E26" s="6">
        <f t="shared" si="4"/>
        <v>30.747474913086791</v>
      </c>
      <c r="F26" s="6">
        <f t="shared" si="5"/>
        <v>83.75</v>
      </c>
      <c r="G26" s="6">
        <f t="shared" si="2"/>
        <v>69.252525086913209</v>
      </c>
      <c r="H26" s="7">
        <f t="shared" si="3"/>
        <v>30.747474913086791</v>
      </c>
    </row>
    <row r="27" spans="2:8" x14ac:dyDescent="0.6">
      <c r="B27" s="27">
        <v>15</v>
      </c>
      <c r="C27" s="6">
        <f t="shared" si="1"/>
        <v>117.5</v>
      </c>
      <c r="D27" s="6">
        <f t="shared" si="0"/>
        <v>69.130400472081661</v>
      </c>
      <c r="E27" s="6">
        <f t="shared" si="4"/>
        <v>30.869599527918339</v>
      </c>
      <c r="F27" s="6">
        <f t="shared" si="5"/>
        <v>82.5</v>
      </c>
      <c r="G27" s="6">
        <f t="shared" si="2"/>
        <v>69.130400472081661</v>
      </c>
      <c r="H27" s="7">
        <f t="shared" si="3"/>
        <v>30.869599527918339</v>
      </c>
    </row>
    <row r="28" spans="2:8" x14ac:dyDescent="0.6">
      <c r="B28" s="27">
        <v>16</v>
      </c>
      <c r="C28" s="6">
        <f t="shared" si="1"/>
        <v>118.75</v>
      </c>
      <c r="D28" s="6">
        <f t="shared" si="0"/>
        <v>68.998355191963327</v>
      </c>
      <c r="E28" s="6">
        <f t="shared" si="4"/>
        <v>31.001644808036673</v>
      </c>
      <c r="F28" s="6">
        <f t="shared" si="5"/>
        <v>81.25</v>
      </c>
      <c r="G28" s="6">
        <f t="shared" si="2"/>
        <v>68.998355191963327</v>
      </c>
      <c r="H28" s="7">
        <f t="shared" si="3"/>
        <v>31.001644808036673</v>
      </c>
    </row>
    <row r="29" spans="2:8" x14ac:dyDescent="0.6">
      <c r="B29" s="27">
        <v>17</v>
      </c>
      <c r="C29" s="6">
        <f t="shared" si="1"/>
        <v>120</v>
      </c>
      <c r="D29" s="6">
        <f t="shared" si="0"/>
        <v>68.856180831641268</v>
      </c>
      <c r="E29" s="6">
        <f t="shared" si="4"/>
        <v>31.143819168358732</v>
      </c>
      <c r="F29" s="6">
        <f t="shared" si="5"/>
        <v>80</v>
      </c>
      <c r="G29" s="6">
        <f t="shared" si="2"/>
        <v>68.856180831641268</v>
      </c>
      <c r="H29" s="7">
        <f t="shared" si="3"/>
        <v>31.143819168358732</v>
      </c>
    </row>
    <row r="30" spans="2:8" x14ac:dyDescent="0.6">
      <c r="B30" s="27">
        <v>18</v>
      </c>
      <c r="C30" s="6">
        <f t="shared" si="1"/>
        <v>121.25</v>
      </c>
      <c r="D30" s="6">
        <f t="shared" si="0"/>
        <v>68.703646406219534</v>
      </c>
      <c r="E30" s="6">
        <f t="shared" si="4"/>
        <v>31.296353593780466</v>
      </c>
      <c r="F30" s="6">
        <f t="shared" si="5"/>
        <v>78.75</v>
      </c>
      <c r="G30" s="6">
        <f t="shared" si="2"/>
        <v>68.703646406219534</v>
      </c>
      <c r="H30" s="7">
        <f t="shared" si="3"/>
        <v>31.296353593780466</v>
      </c>
    </row>
    <row r="31" spans="2:8" x14ac:dyDescent="0.6">
      <c r="B31" s="27">
        <v>19</v>
      </c>
      <c r="C31" s="6">
        <f t="shared" si="1"/>
        <v>122.5</v>
      </c>
      <c r="D31" s="6">
        <f t="shared" si="0"/>
        <v>68.540496217739161</v>
      </c>
      <c r="E31" s="6">
        <f t="shared" si="4"/>
        <v>31.459503782260839</v>
      </c>
      <c r="F31" s="6">
        <f t="shared" si="5"/>
        <v>77.5</v>
      </c>
      <c r="G31" s="6">
        <f t="shared" si="2"/>
        <v>68.540496217739161</v>
      </c>
      <c r="H31" s="7">
        <f t="shared" si="3"/>
        <v>31.459503782260839</v>
      </c>
    </row>
    <row r="32" spans="2:8" x14ac:dyDescent="0.6">
      <c r="B32" s="27">
        <v>20</v>
      </c>
      <c r="C32" s="6">
        <f t="shared" si="1"/>
        <v>123.75</v>
      </c>
      <c r="D32" s="6">
        <f t="shared" si="0"/>
        <v>68.366447367111817</v>
      </c>
      <c r="E32" s="6">
        <f t="shared" si="4"/>
        <v>31.633552632888183</v>
      </c>
      <c r="F32" s="6">
        <f t="shared" si="5"/>
        <v>76.25</v>
      </c>
      <c r="G32" s="6">
        <f t="shared" si="2"/>
        <v>68.366447367111817</v>
      </c>
      <c r="H32" s="7">
        <f t="shared" si="3"/>
        <v>31.633552632888183</v>
      </c>
    </row>
    <row r="33" spans="2:8" x14ac:dyDescent="0.6">
      <c r="B33" s="27">
        <v>21</v>
      </c>
      <c r="C33" s="6">
        <f t="shared" si="1"/>
        <v>125</v>
      </c>
      <c r="D33" s="6">
        <f t="shared" si="0"/>
        <v>68.181186857726189</v>
      </c>
      <c r="E33" s="6">
        <f t="shared" si="4"/>
        <v>31.818813142273811</v>
      </c>
      <c r="F33" s="6">
        <f t="shared" si="5"/>
        <v>75</v>
      </c>
      <c r="G33" s="6">
        <f t="shared" si="2"/>
        <v>68.181186857726189</v>
      </c>
      <c r="H33" s="7">
        <f t="shared" si="3"/>
        <v>31.818813142273811</v>
      </c>
    </row>
    <row r="34" spans="2:8" x14ac:dyDescent="0.6">
      <c r="B34" s="27">
        <v>22</v>
      </c>
      <c r="C34" s="6">
        <f t="shared" si="1"/>
        <v>126.25</v>
      </c>
      <c r="D34" s="6">
        <f t="shared" si="0"/>
        <v>67.984368212422694</v>
      </c>
      <c r="E34" s="6">
        <f t="shared" si="4"/>
        <v>32.015631787577306</v>
      </c>
      <c r="F34" s="6">
        <f t="shared" si="5"/>
        <v>73.75</v>
      </c>
      <c r="G34" s="6">
        <f t="shared" si="2"/>
        <v>67.984368212422694</v>
      </c>
      <c r="H34" s="7">
        <f t="shared" si="3"/>
        <v>32.015631787577306</v>
      </c>
    </row>
    <row r="35" spans="2:8" x14ac:dyDescent="0.6">
      <c r="B35" s="27">
        <v>23</v>
      </c>
      <c r="C35" s="6">
        <f t="shared" si="1"/>
        <v>127.5</v>
      </c>
      <c r="D35" s="6">
        <f t="shared" si="0"/>
        <v>67.775607506417956</v>
      </c>
      <c r="E35" s="6">
        <f t="shared" si="4"/>
        <v>32.224392493582044</v>
      </c>
      <c r="F35" s="6">
        <f t="shared" si="5"/>
        <v>72.5</v>
      </c>
      <c r="G35" s="6">
        <f t="shared" si="2"/>
        <v>67.775607506417956</v>
      </c>
      <c r="H35" s="7">
        <f t="shared" si="3"/>
        <v>32.224392493582044</v>
      </c>
    </row>
    <row r="36" spans="2:8" x14ac:dyDescent="0.6">
      <c r="B36" s="27">
        <v>24</v>
      </c>
      <c r="C36" s="6">
        <f t="shared" si="1"/>
        <v>128.75</v>
      </c>
      <c r="D36" s="6">
        <f t="shared" si="0"/>
        <v>67.554478694117421</v>
      </c>
      <c r="E36" s="6">
        <f t="shared" si="4"/>
        <v>32.445521305882579</v>
      </c>
      <c r="F36" s="6">
        <f t="shared" si="5"/>
        <v>71.25</v>
      </c>
      <c r="G36" s="6">
        <f t="shared" si="2"/>
        <v>67.554478694117421</v>
      </c>
      <c r="H36" s="7">
        <f t="shared" si="3"/>
        <v>32.445521305882579</v>
      </c>
    </row>
    <row r="37" spans="2:8" x14ac:dyDescent="0.6">
      <c r="B37" s="27">
        <v>25</v>
      </c>
      <c r="C37" s="6">
        <f t="shared" si="1"/>
        <v>130</v>
      </c>
      <c r="D37" s="6">
        <f t="shared" si="0"/>
        <v>67.320508075688778</v>
      </c>
      <c r="E37" s="6">
        <f t="shared" si="4"/>
        <v>32.679491924311222</v>
      </c>
      <c r="F37" s="6">
        <f t="shared" si="5"/>
        <v>70</v>
      </c>
      <c r="G37" s="6">
        <f t="shared" si="2"/>
        <v>67.320508075688778</v>
      </c>
      <c r="H37" s="7">
        <f t="shared" si="3"/>
        <v>32.679491924311222</v>
      </c>
    </row>
    <row r="38" spans="2:8" x14ac:dyDescent="0.6">
      <c r="B38" s="27">
        <v>26</v>
      </c>
      <c r="C38" s="6">
        <f t="shared" si="1"/>
        <v>131.25</v>
      </c>
      <c r="D38" s="6">
        <f t="shared" si="0"/>
        <v>67.073167707123233</v>
      </c>
      <c r="E38" s="6">
        <f t="shared" si="4"/>
        <v>32.926832292876767</v>
      </c>
      <c r="F38" s="6">
        <f t="shared" si="5"/>
        <v>68.75</v>
      </c>
      <c r="G38" s="6">
        <f t="shared" si="2"/>
        <v>67.073167707123233</v>
      </c>
      <c r="H38" s="7">
        <f t="shared" si="3"/>
        <v>32.926832292876767</v>
      </c>
    </row>
    <row r="39" spans="2:8" x14ac:dyDescent="0.6">
      <c r="B39" s="27">
        <v>27</v>
      </c>
      <c r="C39" s="6">
        <f t="shared" si="1"/>
        <v>132.5</v>
      </c>
      <c r="D39" s="6">
        <f t="shared" si="0"/>
        <v>66.811867501526677</v>
      </c>
      <c r="E39" s="6">
        <f t="shared" si="4"/>
        <v>33.188132498473323</v>
      </c>
      <c r="F39" s="6">
        <f t="shared" si="5"/>
        <v>67.5</v>
      </c>
      <c r="G39" s="6">
        <f t="shared" si="2"/>
        <v>66.811867501526677</v>
      </c>
      <c r="H39" s="7">
        <f t="shared" si="3"/>
        <v>33.188132498473323</v>
      </c>
    </row>
    <row r="40" spans="2:8" x14ac:dyDescent="0.6">
      <c r="B40" s="27">
        <v>28</v>
      </c>
      <c r="C40" s="6">
        <f t="shared" si="1"/>
        <v>133.75</v>
      </c>
      <c r="D40" s="6">
        <f t="shared" si="0"/>
        <v>66.535945694153696</v>
      </c>
      <c r="E40" s="6">
        <f t="shared" si="4"/>
        <v>33.464054305846304</v>
      </c>
      <c r="F40" s="6">
        <f t="shared" si="5"/>
        <v>66.25</v>
      </c>
      <c r="G40" s="6">
        <f t="shared" si="2"/>
        <v>66.535945694153696</v>
      </c>
      <c r="H40" s="7">
        <f t="shared" si="3"/>
        <v>33.464054305846304</v>
      </c>
    </row>
    <row r="41" spans="2:8" x14ac:dyDescent="0.6">
      <c r="B41" s="27">
        <v>29</v>
      </c>
      <c r="C41" s="6">
        <f t="shared" si="1"/>
        <v>135</v>
      </c>
      <c r="D41" s="6">
        <f t="shared" si="0"/>
        <v>66.244657241348278</v>
      </c>
      <c r="E41" s="6">
        <f t="shared" si="4"/>
        <v>33.755342758651722</v>
      </c>
      <c r="F41" s="6">
        <f t="shared" si="5"/>
        <v>65</v>
      </c>
      <c r="G41" s="6">
        <f t="shared" si="2"/>
        <v>66.244657241348278</v>
      </c>
      <c r="H41" s="7">
        <f t="shared" si="3"/>
        <v>33.755342758651722</v>
      </c>
    </row>
    <row r="42" spans="2:8" x14ac:dyDescent="0.6">
      <c r="B42" s="27">
        <v>30</v>
      </c>
      <c r="C42" s="6">
        <f t="shared" si="1"/>
        <v>136.25</v>
      </c>
      <c r="D42" s="6">
        <f t="shared" si="0"/>
        <v>65.93715958242106</v>
      </c>
      <c r="E42" s="6">
        <f t="shared" si="4"/>
        <v>34.06284041757894</v>
      </c>
      <c r="F42" s="6">
        <f t="shared" si="5"/>
        <v>63.75</v>
      </c>
      <c r="G42" s="6">
        <f t="shared" si="2"/>
        <v>65.93715958242106</v>
      </c>
      <c r="H42" s="7">
        <f t="shared" si="3"/>
        <v>34.06284041757894</v>
      </c>
    </row>
    <row r="43" spans="2:8" x14ac:dyDescent="0.6">
      <c r="B43" s="27">
        <v>31</v>
      </c>
      <c r="C43" s="6">
        <f t="shared" si="1"/>
        <v>137.5</v>
      </c>
      <c r="D43" s="6">
        <f t="shared" si="0"/>
        <v>65.612494995996002</v>
      </c>
      <c r="E43" s="6">
        <f t="shared" si="4"/>
        <v>34.387505004003998</v>
      </c>
      <c r="F43" s="6">
        <f t="shared" si="5"/>
        <v>62.5</v>
      </c>
      <c r="G43" s="6">
        <f t="shared" si="2"/>
        <v>65.612494995996002</v>
      </c>
      <c r="H43" s="7">
        <f t="shared" si="3"/>
        <v>34.387505004003998</v>
      </c>
    </row>
    <row r="44" spans="2:8" x14ac:dyDescent="0.6">
      <c r="B44" s="27">
        <v>32</v>
      </c>
      <c r="C44" s="6">
        <f t="shared" si="1"/>
        <v>138.75</v>
      </c>
      <c r="D44" s="6">
        <f t="shared" si="0"/>
        <v>65.269568501507251</v>
      </c>
      <c r="E44" s="6">
        <f t="shared" si="4"/>
        <v>34.730431498492749</v>
      </c>
      <c r="F44" s="6">
        <f t="shared" si="5"/>
        <v>61.25</v>
      </c>
      <c r="G44" s="6">
        <f t="shared" si="2"/>
        <v>65.269568501507251</v>
      </c>
      <c r="H44" s="7">
        <f t="shared" si="3"/>
        <v>34.730431498492749</v>
      </c>
    </row>
    <row r="45" spans="2:8" x14ac:dyDescent="0.6">
      <c r="B45" s="27">
        <v>33</v>
      </c>
      <c r="C45" s="6">
        <f t="shared" si="1"/>
        <v>140</v>
      </c>
      <c r="D45" s="6">
        <f t="shared" ref="D45:D76" si="6">(((1-(($C45-h)^2/a^2))*(b^2))^0.5)+k</f>
        <v>64.907119849998594</v>
      </c>
      <c r="E45" s="6">
        <f t="shared" si="4"/>
        <v>35.092880150001406</v>
      </c>
      <c r="F45" s="6">
        <f t="shared" si="5"/>
        <v>60</v>
      </c>
      <c r="G45" s="6">
        <f t="shared" si="2"/>
        <v>64.907119849998594</v>
      </c>
      <c r="H45" s="7">
        <f t="shared" si="3"/>
        <v>35.092880150001406</v>
      </c>
    </row>
    <row r="46" spans="2:8" x14ac:dyDescent="0.6">
      <c r="B46" s="27">
        <v>34</v>
      </c>
      <c r="C46" s="6">
        <f t="shared" ref="C46:C77" si="7">IF((a/np)+C45&gt;=h+a,h+a,(a/np)+C45)</f>
        <v>141.25</v>
      </c>
      <c r="D46" s="6">
        <f t="shared" si="6"/>
        <v>64.52368754827782</v>
      </c>
      <c r="E46" s="6">
        <f t="shared" si="4"/>
        <v>35.47631245172218</v>
      </c>
      <c r="F46" s="6">
        <f t="shared" si="5"/>
        <v>58.75</v>
      </c>
      <c r="G46" s="6">
        <f t="shared" si="2"/>
        <v>64.52368754827782</v>
      </c>
      <c r="H46" s="7">
        <f t="shared" si="3"/>
        <v>35.47631245172218</v>
      </c>
    </row>
    <row r="47" spans="2:8" x14ac:dyDescent="0.6">
      <c r="B47" s="27">
        <v>35</v>
      </c>
      <c r="C47" s="6">
        <f t="shared" si="7"/>
        <v>142.5</v>
      </c>
      <c r="D47" s="6">
        <f t="shared" si="6"/>
        <v>64.117561955081186</v>
      </c>
      <c r="E47" s="6">
        <f t="shared" si="4"/>
        <v>35.882438044918814</v>
      </c>
      <c r="F47" s="6">
        <f t="shared" si="5"/>
        <v>57.5</v>
      </c>
      <c r="G47" s="6">
        <f t="shared" si="2"/>
        <v>64.117561955081186</v>
      </c>
      <c r="H47" s="7">
        <f t="shared" si="3"/>
        <v>35.882438044918814</v>
      </c>
    </row>
    <row r="48" spans="2:8" x14ac:dyDescent="0.6">
      <c r="B48" s="27">
        <v>36</v>
      </c>
      <c r="C48" s="6">
        <f t="shared" si="7"/>
        <v>143.75</v>
      </c>
      <c r="D48" s="6">
        <f t="shared" si="6"/>
        <v>63.686723088047366</v>
      </c>
      <c r="E48" s="6">
        <f t="shared" si="4"/>
        <v>36.313276911952634</v>
      </c>
      <c r="F48" s="6">
        <f t="shared" si="5"/>
        <v>56.25</v>
      </c>
      <c r="G48" s="6">
        <f t="shared" si="2"/>
        <v>63.686723088047366</v>
      </c>
      <c r="H48" s="7">
        <f t="shared" si="3"/>
        <v>36.313276911952634</v>
      </c>
    </row>
    <row r="49" spans="2:8" x14ac:dyDescent="0.6">
      <c r="B49" s="27">
        <v>37</v>
      </c>
      <c r="C49" s="6">
        <f t="shared" si="7"/>
        <v>145</v>
      </c>
      <c r="D49" s="6">
        <f t="shared" si="6"/>
        <v>63.228756555322953</v>
      </c>
      <c r="E49" s="6">
        <f t="shared" si="4"/>
        <v>36.771243444677047</v>
      </c>
      <c r="F49" s="6">
        <f t="shared" si="5"/>
        <v>55</v>
      </c>
      <c r="G49" s="6">
        <f t="shared" si="2"/>
        <v>63.228756555322953</v>
      </c>
      <c r="H49" s="7">
        <f t="shared" si="3"/>
        <v>36.771243444677047</v>
      </c>
    </row>
    <row r="50" spans="2:8" x14ac:dyDescent="0.6">
      <c r="B50" s="27">
        <v>38</v>
      </c>
      <c r="C50" s="6">
        <f t="shared" si="7"/>
        <v>146.25</v>
      </c>
      <c r="D50" s="6">
        <f t="shared" si="6"/>
        <v>62.74073737618388</v>
      </c>
      <c r="E50" s="6">
        <f t="shared" si="4"/>
        <v>37.25926262381612</v>
      </c>
      <c r="F50" s="6">
        <f t="shared" si="5"/>
        <v>53.75</v>
      </c>
      <c r="G50" s="6">
        <f t="shared" si="2"/>
        <v>62.74073737618388</v>
      </c>
      <c r="H50" s="7">
        <f t="shared" si="3"/>
        <v>37.25926262381612</v>
      </c>
    </row>
    <row r="51" spans="2:8" x14ac:dyDescent="0.6">
      <c r="B51" s="27">
        <v>39</v>
      </c>
      <c r="C51" s="6">
        <f t="shared" si="7"/>
        <v>147.5</v>
      </c>
      <c r="D51" s="6">
        <f t="shared" si="6"/>
        <v>62.219065248845979</v>
      </c>
      <c r="E51" s="6">
        <f t="shared" si="4"/>
        <v>37.780934751154021</v>
      </c>
      <c r="F51" s="6">
        <f t="shared" si="5"/>
        <v>52.5</v>
      </c>
      <c r="G51" s="6">
        <f t="shared" si="2"/>
        <v>62.219065248845979</v>
      </c>
      <c r="H51" s="7">
        <f t="shared" si="3"/>
        <v>37.780934751154021</v>
      </c>
    </row>
    <row r="52" spans="2:8" x14ac:dyDescent="0.6">
      <c r="B52" s="27">
        <v>40</v>
      </c>
      <c r="C52" s="6">
        <f t="shared" si="7"/>
        <v>148.75</v>
      </c>
      <c r="D52" s="6">
        <f t="shared" si="6"/>
        <v>61.65922381636102</v>
      </c>
      <c r="E52" s="6">
        <f t="shared" si="4"/>
        <v>38.34077618363898</v>
      </c>
      <c r="F52" s="6">
        <f t="shared" si="5"/>
        <v>51.25</v>
      </c>
      <c r="G52" s="6">
        <f t="shared" si="2"/>
        <v>61.65922381636102</v>
      </c>
      <c r="H52" s="7">
        <f t="shared" si="3"/>
        <v>38.34077618363898</v>
      </c>
    </row>
    <row r="53" spans="2:8" x14ac:dyDescent="0.6">
      <c r="B53" s="27">
        <v>41</v>
      </c>
      <c r="C53" s="6">
        <f t="shared" si="7"/>
        <v>150</v>
      </c>
      <c r="D53" s="6">
        <f t="shared" si="6"/>
        <v>61.055415967851332</v>
      </c>
      <c r="E53" s="6">
        <f t="shared" si="4"/>
        <v>38.944584032148668</v>
      </c>
      <c r="F53" s="6">
        <f t="shared" si="5"/>
        <v>50</v>
      </c>
      <c r="G53" s="6">
        <f t="shared" si="2"/>
        <v>61.055415967851332</v>
      </c>
      <c r="H53" s="7">
        <f t="shared" si="3"/>
        <v>38.944584032148668</v>
      </c>
    </row>
    <row r="54" spans="2:8" x14ac:dyDescent="0.6">
      <c r="B54" s="27">
        <v>42</v>
      </c>
      <c r="C54" s="6">
        <f t="shared" si="7"/>
        <v>151.25</v>
      </c>
      <c r="D54" s="6">
        <f t="shared" si="6"/>
        <v>60.399986645290568</v>
      </c>
      <c r="E54" s="6">
        <f t="shared" si="4"/>
        <v>39.600013354709432</v>
      </c>
      <c r="F54" s="6">
        <f t="shared" si="5"/>
        <v>48.75</v>
      </c>
      <c r="G54" s="6">
        <f t="shared" si="2"/>
        <v>60.399986645290568</v>
      </c>
      <c r="H54" s="7">
        <f t="shared" si="3"/>
        <v>39.600013354709432</v>
      </c>
    </row>
    <row r="55" spans="2:8" x14ac:dyDescent="0.6">
      <c r="B55" s="27">
        <v>43</v>
      </c>
      <c r="C55" s="6">
        <f t="shared" si="7"/>
        <v>152.5</v>
      </c>
      <c r="D55" s="6">
        <f t="shared" si="6"/>
        <v>59.682458365518542</v>
      </c>
      <c r="E55" s="6">
        <f t="shared" si="4"/>
        <v>40.317541634481458</v>
      </c>
      <c r="F55" s="6">
        <f t="shared" si="5"/>
        <v>47.5</v>
      </c>
      <c r="G55" s="6">
        <f t="shared" si="2"/>
        <v>59.682458365518542</v>
      </c>
      <c r="H55" s="7">
        <f t="shared" si="3"/>
        <v>40.317541634481458</v>
      </c>
    </row>
    <row r="56" spans="2:8" x14ac:dyDescent="0.6">
      <c r="B56" s="27">
        <v>44</v>
      </c>
      <c r="C56" s="6">
        <f t="shared" si="7"/>
        <v>153.75</v>
      </c>
      <c r="D56" s="6">
        <f t="shared" si="6"/>
        <v>58.887803753208971</v>
      </c>
      <c r="E56" s="6">
        <f t="shared" si="4"/>
        <v>41.112196246791029</v>
      </c>
      <c r="F56" s="6">
        <f t="shared" si="5"/>
        <v>46.25</v>
      </c>
      <c r="G56" s="6">
        <f t="shared" si="2"/>
        <v>58.887803753208971</v>
      </c>
      <c r="H56" s="7">
        <f t="shared" si="3"/>
        <v>41.112196246791029</v>
      </c>
    </row>
    <row r="57" spans="2:8" x14ac:dyDescent="0.6">
      <c r="B57" s="27">
        <v>45</v>
      </c>
      <c r="C57" s="6">
        <f t="shared" si="7"/>
        <v>155</v>
      </c>
      <c r="D57" s="6">
        <f t="shared" si="6"/>
        <v>57.993052538854535</v>
      </c>
      <c r="E57" s="6">
        <f t="shared" si="4"/>
        <v>42.006947461145465</v>
      </c>
      <c r="F57" s="6">
        <f t="shared" si="5"/>
        <v>45</v>
      </c>
      <c r="G57" s="6">
        <f t="shared" si="2"/>
        <v>57.993052538854535</v>
      </c>
      <c r="H57" s="7">
        <f t="shared" si="3"/>
        <v>42.006947461145465</v>
      </c>
    </row>
    <row r="58" spans="2:8" x14ac:dyDescent="0.6">
      <c r="B58" s="27">
        <v>46</v>
      </c>
      <c r="C58" s="6">
        <f t="shared" si="7"/>
        <v>156.25</v>
      </c>
      <c r="D58" s="6">
        <f t="shared" si="6"/>
        <v>56.959705453537524</v>
      </c>
      <c r="E58" s="6">
        <f t="shared" si="4"/>
        <v>43.040294546462476</v>
      </c>
      <c r="F58" s="6">
        <f t="shared" si="5"/>
        <v>43.75</v>
      </c>
      <c r="G58" s="6">
        <f t="shared" si="2"/>
        <v>56.959705453537524</v>
      </c>
      <c r="H58" s="7">
        <f t="shared" si="3"/>
        <v>43.040294546462476</v>
      </c>
    </row>
    <row r="59" spans="2:8" x14ac:dyDescent="0.6">
      <c r="B59" s="27">
        <v>47</v>
      </c>
      <c r="C59" s="6">
        <f t="shared" si="7"/>
        <v>157.5</v>
      </c>
      <c r="D59" s="6">
        <f t="shared" si="6"/>
        <v>55.713045500334204</v>
      </c>
      <c r="E59" s="6">
        <f t="shared" si="4"/>
        <v>44.286954499665796</v>
      </c>
      <c r="F59" s="6">
        <f t="shared" si="5"/>
        <v>42.5</v>
      </c>
      <c r="G59" s="6">
        <f t="shared" si="2"/>
        <v>55.713045500334204</v>
      </c>
      <c r="H59" s="7">
        <f t="shared" si="3"/>
        <v>44.286954499665796</v>
      </c>
    </row>
    <row r="60" spans="2:8" x14ac:dyDescent="0.6">
      <c r="B60" s="27">
        <v>48</v>
      </c>
      <c r="C60" s="6">
        <f t="shared" si="7"/>
        <v>158.75</v>
      </c>
      <c r="D60" s="6">
        <f t="shared" si="6"/>
        <v>54.061164310337062</v>
      </c>
      <c r="E60" s="6">
        <f t="shared" si="4"/>
        <v>45.938835689662938</v>
      </c>
      <c r="F60" s="6">
        <f t="shared" si="5"/>
        <v>41.25</v>
      </c>
      <c r="G60" s="6">
        <f t="shared" si="2"/>
        <v>54.061164310337062</v>
      </c>
      <c r="H60" s="7">
        <f t="shared" si="3"/>
        <v>45.938835689662938</v>
      </c>
    </row>
    <row r="61" spans="2:8" x14ac:dyDescent="0.6">
      <c r="B61" s="27">
        <v>49</v>
      </c>
      <c r="C61" s="6">
        <f t="shared" si="7"/>
        <v>160</v>
      </c>
      <c r="D61" s="6">
        <f t="shared" si="6"/>
        <v>50</v>
      </c>
      <c r="E61" s="6">
        <f t="shared" si="4"/>
        <v>50</v>
      </c>
      <c r="F61" s="6">
        <f t="shared" si="5"/>
        <v>40</v>
      </c>
      <c r="G61" s="6">
        <f t="shared" si="2"/>
        <v>50</v>
      </c>
      <c r="H61" s="7">
        <f t="shared" si="3"/>
        <v>50</v>
      </c>
    </row>
    <row r="62" spans="2:8" x14ac:dyDescent="0.6">
      <c r="B62" s="27">
        <v>50</v>
      </c>
      <c r="C62" s="6">
        <f t="shared" si="7"/>
        <v>160</v>
      </c>
      <c r="D62" s="6">
        <f t="shared" si="6"/>
        <v>50</v>
      </c>
      <c r="E62" s="6">
        <f t="shared" si="4"/>
        <v>50</v>
      </c>
      <c r="F62" s="6">
        <f t="shared" si="5"/>
        <v>40</v>
      </c>
      <c r="G62" s="6">
        <f t="shared" si="2"/>
        <v>50</v>
      </c>
      <c r="H62" s="7">
        <f t="shared" si="3"/>
        <v>50</v>
      </c>
    </row>
    <row r="63" spans="2:8" x14ac:dyDescent="0.6">
      <c r="B63" s="27">
        <v>51</v>
      </c>
      <c r="C63" s="6">
        <f t="shared" si="7"/>
        <v>160</v>
      </c>
      <c r="D63" s="6">
        <f t="shared" si="6"/>
        <v>50</v>
      </c>
      <c r="E63" s="6">
        <f t="shared" si="4"/>
        <v>50</v>
      </c>
      <c r="F63" s="6">
        <f t="shared" si="5"/>
        <v>40</v>
      </c>
      <c r="G63" s="6">
        <f t="shared" si="2"/>
        <v>50</v>
      </c>
      <c r="H63" s="7">
        <f t="shared" si="3"/>
        <v>50</v>
      </c>
    </row>
    <row r="64" spans="2:8" x14ac:dyDescent="0.6">
      <c r="B64" s="27">
        <v>52</v>
      </c>
      <c r="C64" s="6">
        <f t="shared" si="7"/>
        <v>160</v>
      </c>
      <c r="D64" s="6">
        <f t="shared" si="6"/>
        <v>50</v>
      </c>
      <c r="E64" s="6">
        <f t="shared" si="4"/>
        <v>50</v>
      </c>
      <c r="F64" s="6">
        <f t="shared" si="5"/>
        <v>40</v>
      </c>
      <c r="G64" s="6">
        <f t="shared" si="2"/>
        <v>50</v>
      </c>
      <c r="H64" s="7">
        <f t="shared" si="3"/>
        <v>50</v>
      </c>
    </row>
    <row r="65" spans="2:8" x14ac:dyDescent="0.6">
      <c r="B65" s="27">
        <v>53</v>
      </c>
      <c r="C65" s="6">
        <f t="shared" si="7"/>
        <v>160</v>
      </c>
      <c r="D65" s="6">
        <f t="shared" si="6"/>
        <v>50</v>
      </c>
      <c r="E65" s="6">
        <f t="shared" si="4"/>
        <v>50</v>
      </c>
      <c r="F65" s="6">
        <f t="shared" si="5"/>
        <v>40</v>
      </c>
      <c r="G65" s="6">
        <f t="shared" si="2"/>
        <v>50</v>
      </c>
      <c r="H65" s="7">
        <f t="shared" si="3"/>
        <v>50</v>
      </c>
    </row>
    <row r="66" spans="2:8" x14ac:dyDescent="0.6">
      <c r="B66" s="27">
        <v>54</v>
      </c>
      <c r="C66" s="6">
        <f t="shared" si="7"/>
        <v>160</v>
      </c>
      <c r="D66" s="6">
        <f t="shared" si="6"/>
        <v>50</v>
      </c>
      <c r="E66" s="6">
        <f t="shared" si="4"/>
        <v>50</v>
      </c>
      <c r="F66" s="6">
        <f t="shared" si="5"/>
        <v>40</v>
      </c>
      <c r="G66" s="6">
        <f t="shared" si="2"/>
        <v>50</v>
      </c>
      <c r="H66" s="7">
        <f t="shared" si="3"/>
        <v>50</v>
      </c>
    </row>
    <row r="67" spans="2:8" x14ac:dyDescent="0.6">
      <c r="B67" s="27">
        <v>55</v>
      </c>
      <c r="C67" s="6">
        <f t="shared" si="7"/>
        <v>160</v>
      </c>
      <c r="D67" s="6">
        <f t="shared" si="6"/>
        <v>50</v>
      </c>
      <c r="E67" s="6">
        <f t="shared" si="4"/>
        <v>50</v>
      </c>
      <c r="F67" s="6">
        <f t="shared" si="5"/>
        <v>40</v>
      </c>
      <c r="G67" s="6">
        <f t="shared" si="2"/>
        <v>50</v>
      </c>
      <c r="H67" s="7">
        <f t="shared" si="3"/>
        <v>50</v>
      </c>
    </row>
    <row r="68" spans="2:8" x14ac:dyDescent="0.6">
      <c r="B68" s="27">
        <v>56</v>
      </c>
      <c r="C68" s="6">
        <f t="shared" si="7"/>
        <v>160</v>
      </c>
      <c r="D68" s="6">
        <f t="shared" si="6"/>
        <v>50</v>
      </c>
      <c r="E68" s="6">
        <f t="shared" si="4"/>
        <v>50</v>
      </c>
      <c r="F68" s="6">
        <f t="shared" si="5"/>
        <v>40</v>
      </c>
      <c r="G68" s="6">
        <f t="shared" si="2"/>
        <v>50</v>
      </c>
      <c r="H68" s="7">
        <f t="shared" si="3"/>
        <v>50</v>
      </c>
    </row>
    <row r="69" spans="2:8" x14ac:dyDescent="0.6">
      <c r="B69" s="27">
        <v>57</v>
      </c>
      <c r="C69" s="6">
        <f t="shared" si="7"/>
        <v>160</v>
      </c>
      <c r="D69" s="6">
        <f t="shared" si="6"/>
        <v>50</v>
      </c>
      <c r="E69" s="6">
        <f t="shared" si="4"/>
        <v>50</v>
      </c>
      <c r="F69" s="6">
        <f t="shared" si="5"/>
        <v>40</v>
      </c>
      <c r="G69" s="6">
        <f t="shared" si="2"/>
        <v>50</v>
      </c>
      <c r="H69" s="7">
        <f t="shared" si="3"/>
        <v>50</v>
      </c>
    </row>
    <row r="70" spans="2:8" x14ac:dyDescent="0.6">
      <c r="B70" s="27">
        <v>58</v>
      </c>
      <c r="C70" s="6">
        <f t="shared" si="7"/>
        <v>160</v>
      </c>
      <c r="D70" s="6">
        <f t="shared" si="6"/>
        <v>50</v>
      </c>
      <c r="E70" s="6">
        <f t="shared" si="4"/>
        <v>50</v>
      </c>
      <c r="F70" s="6">
        <f t="shared" si="5"/>
        <v>40</v>
      </c>
      <c r="G70" s="6">
        <f t="shared" si="2"/>
        <v>50</v>
      </c>
      <c r="H70" s="7">
        <f t="shared" si="3"/>
        <v>50</v>
      </c>
    </row>
    <row r="71" spans="2:8" x14ac:dyDescent="0.6">
      <c r="B71" s="27">
        <v>59</v>
      </c>
      <c r="C71" s="6">
        <f t="shared" si="7"/>
        <v>160</v>
      </c>
      <c r="D71" s="6">
        <f t="shared" si="6"/>
        <v>50</v>
      </c>
      <c r="E71" s="6">
        <f t="shared" si="4"/>
        <v>50</v>
      </c>
      <c r="F71" s="6">
        <f t="shared" si="5"/>
        <v>40</v>
      </c>
      <c r="G71" s="6">
        <f t="shared" si="2"/>
        <v>50</v>
      </c>
      <c r="H71" s="7">
        <f t="shared" si="3"/>
        <v>50</v>
      </c>
    </row>
    <row r="72" spans="2:8" x14ac:dyDescent="0.6">
      <c r="B72" s="27">
        <v>60</v>
      </c>
      <c r="C72" s="6">
        <f t="shared" si="7"/>
        <v>160</v>
      </c>
      <c r="D72" s="6">
        <f t="shared" si="6"/>
        <v>50</v>
      </c>
      <c r="E72" s="6">
        <f t="shared" si="4"/>
        <v>50</v>
      </c>
      <c r="F72" s="6">
        <f t="shared" si="5"/>
        <v>40</v>
      </c>
      <c r="G72" s="6">
        <f t="shared" si="2"/>
        <v>50</v>
      </c>
      <c r="H72" s="7">
        <f t="shared" si="3"/>
        <v>50</v>
      </c>
    </row>
    <row r="73" spans="2:8" x14ac:dyDescent="0.6">
      <c r="B73" s="27">
        <v>61</v>
      </c>
      <c r="C73" s="6">
        <f t="shared" si="7"/>
        <v>160</v>
      </c>
      <c r="D73" s="6">
        <f t="shared" si="6"/>
        <v>50</v>
      </c>
      <c r="E73" s="6">
        <f t="shared" si="4"/>
        <v>50</v>
      </c>
      <c r="F73" s="6">
        <f t="shared" si="5"/>
        <v>40</v>
      </c>
      <c r="G73" s="6">
        <f t="shared" si="2"/>
        <v>50</v>
      </c>
      <c r="H73" s="7">
        <f t="shared" si="3"/>
        <v>50</v>
      </c>
    </row>
    <row r="74" spans="2:8" x14ac:dyDescent="0.6">
      <c r="B74" s="27">
        <v>62</v>
      </c>
      <c r="C74" s="6">
        <f t="shared" si="7"/>
        <v>160</v>
      </c>
      <c r="D74" s="6">
        <f t="shared" si="6"/>
        <v>50</v>
      </c>
      <c r="E74" s="6">
        <f t="shared" si="4"/>
        <v>50</v>
      </c>
      <c r="F74" s="6">
        <f t="shared" si="5"/>
        <v>40</v>
      </c>
      <c r="G74" s="6">
        <f t="shared" si="2"/>
        <v>50</v>
      </c>
      <c r="H74" s="7">
        <f t="shared" si="3"/>
        <v>50</v>
      </c>
    </row>
    <row r="75" spans="2:8" x14ac:dyDescent="0.6">
      <c r="B75" s="27">
        <v>63</v>
      </c>
      <c r="C75" s="6">
        <f t="shared" si="7"/>
        <v>160</v>
      </c>
      <c r="D75" s="6">
        <f t="shared" si="6"/>
        <v>50</v>
      </c>
      <c r="E75" s="6">
        <f t="shared" si="4"/>
        <v>50</v>
      </c>
      <c r="F75" s="6">
        <f t="shared" si="5"/>
        <v>40</v>
      </c>
      <c r="G75" s="6">
        <f t="shared" si="2"/>
        <v>50</v>
      </c>
      <c r="H75" s="7">
        <f t="shared" si="3"/>
        <v>50</v>
      </c>
    </row>
    <row r="76" spans="2:8" x14ac:dyDescent="0.6">
      <c r="B76" s="27">
        <v>64</v>
      </c>
      <c r="C76" s="6">
        <f t="shared" si="7"/>
        <v>160</v>
      </c>
      <c r="D76" s="6">
        <f t="shared" si="6"/>
        <v>50</v>
      </c>
      <c r="E76" s="6">
        <f t="shared" si="4"/>
        <v>50</v>
      </c>
      <c r="F76" s="6">
        <f t="shared" si="5"/>
        <v>40</v>
      </c>
      <c r="G76" s="6">
        <f t="shared" si="2"/>
        <v>50</v>
      </c>
      <c r="H76" s="7">
        <f t="shared" si="3"/>
        <v>50</v>
      </c>
    </row>
    <row r="77" spans="2:8" x14ac:dyDescent="0.6">
      <c r="B77" s="27">
        <v>65</v>
      </c>
      <c r="C77" s="6">
        <f t="shared" si="7"/>
        <v>160</v>
      </c>
      <c r="D77" s="6">
        <f t="shared" ref="D77:D112" si="8">(((1-(($C77-h)^2/a^2))*(b^2))^0.5)+k</f>
        <v>50</v>
      </c>
      <c r="E77" s="6">
        <f t="shared" si="4"/>
        <v>50</v>
      </c>
      <c r="F77" s="6">
        <f t="shared" si="5"/>
        <v>40</v>
      </c>
      <c r="G77" s="6">
        <f t="shared" si="2"/>
        <v>50</v>
      </c>
      <c r="H77" s="7">
        <f t="shared" si="3"/>
        <v>50</v>
      </c>
    </row>
    <row r="78" spans="2:8" x14ac:dyDescent="0.6">
      <c r="B78" s="27">
        <v>66</v>
      </c>
      <c r="C78" s="6">
        <f t="shared" ref="C78:C112" si="9">IF((a/np)+C77&gt;=h+a,h+a,(a/np)+C77)</f>
        <v>160</v>
      </c>
      <c r="D78" s="6">
        <f t="shared" si="8"/>
        <v>50</v>
      </c>
      <c r="E78" s="6">
        <f t="shared" si="4"/>
        <v>50</v>
      </c>
      <c r="F78" s="6">
        <f t="shared" si="5"/>
        <v>40</v>
      </c>
      <c r="G78" s="6">
        <f t="shared" ref="G78:G112" si="10">D78</f>
        <v>50</v>
      </c>
      <c r="H78" s="7">
        <f t="shared" ref="H78:H112" si="11">E78</f>
        <v>50</v>
      </c>
    </row>
    <row r="79" spans="2:8" x14ac:dyDescent="0.6">
      <c r="B79" s="27">
        <v>67</v>
      </c>
      <c r="C79" s="6">
        <f t="shared" si="9"/>
        <v>160</v>
      </c>
      <c r="D79" s="6">
        <f t="shared" si="8"/>
        <v>50</v>
      </c>
      <c r="E79" s="6">
        <f t="shared" ref="E79:E112" si="12">E78+(D78-D79)</f>
        <v>50</v>
      </c>
      <c r="F79" s="6">
        <f t="shared" ref="F79:F112" si="13">(F78-(C79-C78))</f>
        <v>40</v>
      </c>
      <c r="G79" s="6">
        <f t="shared" si="10"/>
        <v>50</v>
      </c>
      <c r="H79" s="7">
        <f t="shared" si="11"/>
        <v>50</v>
      </c>
    </row>
    <row r="80" spans="2:8" x14ac:dyDescent="0.6">
      <c r="B80" s="27">
        <v>68</v>
      </c>
      <c r="C80" s="6">
        <f t="shared" si="9"/>
        <v>160</v>
      </c>
      <c r="D80" s="6">
        <f t="shared" si="8"/>
        <v>50</v>
      </c>
      <c r="E80" s="6">
        <f t="shared" si="12"/>
        <v>50</v>
      </c>
      <c r="F80" s="6">
        <f t="shared" si="13"/>
        <v>40</v>
      </c>
      <c r="G80" s="6">
        <f t="shared" si="10"/>
        <v>50</v>
      </c>
      <c r="H80" s="7">
        <f t="shared" si="11"/>
        <v>50</v>
      </c>
    </row>
    <row r="81" spans="2:8" x14ac:dyDescent="0.6">
      <c r="B81" s="27">
        <v>69</v>
      </c>
      <c r="C81" s="6">
        <f t="shared" si="9"/>
        <v>160</v>
      </c>
      <c r="D81" s="6">
        <f t="shared" si="8"/>
        <v>50</v>
      </c>
      <c r="E81" s="6">
        <f t="shared" si="12"/>
        <v>50</v>
      </c>
      <c r="F81" s="6">
        <f t="shared" si="13"/>
        <v>40</v>
      </c>
      <c r="G81" s="6">
        <f t="shared" si="10"/>
        <v>50</v>
      </c>
      <c r="H81" s="7">
        <f t="shared" si="11"/>
        <v>50</v>
      </c>
    </row>
    <row r="82" spans="2:8" x14ac:dyDescent="0.6">
      <c r="B82" s="27">
        <v>70</v>
      </c>
      <c r="C82" s="6">
        <f t="shared" si="9"/>
        <v>160</v>
      </c>
      <c r="D82" s="6">
        <f t="shared" si="8"/>
        <v>50</v>
      </c>
      <c r="E82" s="6">
        <f t="shared" si="12"/>
        <v>50</v>
      </c>
      <c r="F82" s="6">
        <f t="shared" si="13"/>
        <v>40</v>
      </c>
      <c r="G82" s="6">
        <f t="shared" si="10"/>
        <v>50</v>
      </c>
      <c r="H82" s="7">
        <f t="shared" si="11"/>
        <v>50</v>
      </c>
    </row>
    <row r="83" spans="2:8" x14ac:dyDescent="0.6">
      <c r="B83" s="27">
        <v>71</v>
      </c>
      <c r="C83" s="6">
        <f t="shared" si="9"/>
        <v>160</v>
      </c>
      <c r="D83" s="6">
        <f t="shared" si="8"/>
        <v>50</v>
      </c>
      <c r="E83" s="6">
        <f t="shared" si="12"/>
        <v>50</v>
      </c>
      <c r="F83" s="6">
        <f t="shared" si="13"/>
        <v>40</v>
      </c>
      <c r="G83" s="6">
        <f t="shared" si="10"/>
        <v>50</v>
      </c>
      <c r="H83" s="7">
        <f t="shared" si="11"/>
        <v>50</v>
      </c>
    </row>
    <row r="84" spans="2:8" x14ac:dyDescent="0.6">
      <c r="B84" s="27">
        <v>72</v>
      </c>
      <c r="C84" s="6">
        <f t="shared" si="9"/>
        <v>160</v>
      </c>
      <c r="D84" s="6">
        <f t="shared" si="8"/>
        <v>50</v>
      </c>
      <c r="E84" s="6">
        <f t="shared" si="12"/>
        <v>50</v>
      </c>
      <c r="F84" s="6">
        <f t="shared" si="13"/>
        <v>40</v>
      </c>
      <c r="G84" s="6">
        <f t="shared" si="10"/>
        <v>50</v>
      </c>
      <c r="H84" s="7">
        <f t="shared" si="11"/>
        <v>50</v>
      </c>
    </row>
    <row r="85" spans="2:8" x14ac:dyDescent="0.6">
      <c r="B85" s="27">
        <v>73</v>
      </c>
      <c r="C85" s="6">
        <f t="shared" si="9"/>
        <v>160</v>
      </c>
      <c r="D85" s="6">
        <f t="shared" si="8"/>
        <v>50</v>
      </c>
      <c r="E85" s="6">
        <f t="shared" si="12"/>
        <v>50</v>
      </c>
      <c r="F85" s="6">
        <f t="shared" si="13"/>
        <v>40</v>
      </c>
      <c r="G85" s="6">
        <f t="shared" si="10"/>
        <v>50</v>
      </c>
      <c r="H85" s="7">
        <f t="shared" si="11"/>
        <v>50</v>
      </c>
    </row>
    <row r="86" spans="2:8" x14ac:dyDescent="0.6">
      <c r="B86" s="27">
        <v>74</v>
      </c>
      <c r="C86" s="6">
        <f t="shared" si="9"/>
        <v>160</v>
      </c>
      <c r="D86" s="6">
        <f t="shared" si="8"/>
        <v>50</v>
      </c>
      <c r="E86" s="6">
        <f t="shared" si="12"/>
        <v>50</v>
      </c>
      <c r="F86" s="6">
        <f t="shared" si="13"/>
        <v>40</v>
      </c>
      <c r="G86" s="6">
        <f t="shared" si="10"/>
        <v>50</v>
      </c>
      <c r="H86" s="7">
        <f t="shared" si="11"/>
        <v>50</v>
      </c>
    </row>
    <row r="87" spans="2:8" x14ac:dyDescent="0.6">
      <c r="B87" s="27">
        <v>75</v>
      </c>
      <c r="C87" s="6">
        <f t="shared" si="9"/>
        <v>160</v>
      </c>
      <c r="D87" s="6">
        <f t="shared" si="8"/>
        <v>50</v>
      </c>
      <c r="E87" s="6">
        <f t="shared" si="12"/>
        <v>50</v>
      </c>
      <c r="F87" s="6">
        <f t="shared" si="13"/>
        <v>40</v>
      </c>
      <c r="G87" s="6">
        <f t="shared" si="10"/>
        <v>50</v>
      </c>
      <c r="H87" s="7">
        <f t="shared" si="11"/>
        <v>50</v>
      </c>
    </row>
    <row r="88" spans="2:8" x14ac:dyDescent="0.6">
      <c r="B88" s="27">
        <v>76</v>
      </c>
      <c r="C88" s="6">
        <f t="shared" si="9"/>
        <v>160</v>
      </c>
      <c r="D88" s="6">
        <f t="shared" si="8"/>
        <v>50</v>
      </c>
      <c r="E88" s="6">
        <f t="shared" si="12"/>
        <v>50</v>
      </c>
      <c r="F88" s="6">
        <f t="shared" si="13"/>
        <v>40</v>
      </c>
      <c r="G88" s="6">
        <f t="shared" si="10"/>
        <v>50</v>
      </c>
      <c r="H88" s="7">
        <f t="shared" si="11"/>
        <v>50</v>
      </c>
    </row>
    <row r="89" spans="2:8" x14ac:dyDescent="0.6">
      <c r="B89" s="27">
        <v>77</v>
      </c>
      <c r="C89" s="6">
        <f t="shared" si="9"/>
        <v>160</v>
      </c>
      <c r="D89" s="6">
        <f t="shared" si="8"/>
        <v>50</v>
      </c>
      <c r="E89" s="6">
        <f t="shared" si="12"/>
        <v>50</v>
      </c>
      <c r="F89" s="6">
        <f t="shared" si="13"/>
        <v>40</v>
      </c>
      <c r="G89" s="6">
        <f t="shared" si="10"/>
        <v>50</v>
      </c>
      <c r="H89" s="7">
        <f t="shared" si="11"/>
        <v>50</v>
      </c>
    </row>
    <row r="90" spans="2:8" x14ac:dyDescent="0.6">
      <c r="B90" s="27">
        <v>78</v>
      </c>
      <c r="C90" s="6">
        <f t="shared" si="9"/>
        <v>160</v>
      </c>
      <c r="D90" s="6">
        <f t="shared" si="8"/>
        <v>50</v>
      </c>
      <c r="E90" s="6">
        <f t="shared" si="12"/>
        <v>50</v>
      </c>
      <c r="F90" s="6">
        <f t="shared" si="13"/>
        <v>40</v>
      </c>
      <c r="G90" s="6">
        <f t="shared" si="10"/>
        <v>50</v>
      </c>
      <c r="H90" s="7">
        <f t="shared" si="11"/>
        <v>50</v>
      </c>
    </row>
    <row r="91" spans="2:8" x14ac:dyDescent="0.6">
      <c r="B91" s="27">
        <v>79</v>
      </c>
      <c r="C91" s="6">
        <f t="shared" si="9"/>
        <v>160</v>
      </c>
      <c r="D91" s="6">
        <f t="shared" si="8"/>
        <v>50</v>
      </c>
      <c r="E91" s="6">
        <f t="shared" si="12"/>
        <v>50</v>
      </c>
      <c r="F91" s="6">
        <f t="shared" si="13"/>
        <v>40</v>
      </c>
      <c r="G91" s="6">
        <f t="shared" si="10"/>
        <v>50</v>
      </c>
      <c r="H91" s="7">
        <f t="shared" si="11"/>
        <v>50</v>
      </c>
    </row>
    <row r="92" spans="2:8" x14ac:dyDescent="0.6">
      <c r="B92" s="27">
        <v>80</v>
      </c>
      <c r="C92" s="6">
        <f t="shared" si="9"/>
        <v>160</v>
      </c>
      <c r="D92" s="6">
        <f t="shared" si="8"/>
        <v>50</v>
      </c>
      <c r="E92" s="6">
        <f t="shared" si="12"/>
        <v>50</v>
      </c>
      <c r="F92" s="6">
        <f t="shared" si="13"/>
        <v>40</v>
      </c>
      <c r="G92" s="6">
        <f t="shared" si="10"/>
        <v>50</v>
      </c>
      <c r="H92" s="7">
        <f t="shared" si="11"/>
        <v>50</v>
      </c>
    </row>
    <row r="93" spans="2:8" x14ac:dyDescent="0.6">
      <c r="B93" s="27">
        <v>81</v>
      </c>
      <c r="C93" s="6">
        <f t="shared" si="9"/>
        <v>160</v>
      </c>
      <c r="D93" s="6">
        <f t="shared" si="8"/>
        <v>50</v>
      </c>
      <c r="E93" s="6">
        <f t="shared" si="12"/>
        <v>50</v>
      </c>
      <c r="F93" s="6">
        <f t="shared" si="13"/>
        <v>40</v>
      </c>
      <c r="G93" s="6">
        <f t="shared" si="10"/>
        <v>50</v>
      </c>
      <c r="H93" s="7">
        <f t="shared" si="11"/>
        <v>50</v>
      </c>
    </row>
    <row r="94" spans="2:8" x14ac:dyDescent="0.6">
      <c r="B94" s="27">
        <v>82</v>
      </c>
      <c r="C94" s="6">
        <f t="shared" si="9"/>
        <v>160</v>
      </c>
      <c r="D94" s="6">
        <f t="shared" si="8"/>
        <v>50</v>
      </c>
      <c r="E94" s="6">
        <f t="shared" si="12"/>
        <v>50</v>
      </c>
      <c r="F94" s="6">
        <f t="shared" si="13"/>
        <v>40</v>
      </c>
      <c r="G94" s="6">
        <f t="shared" si="10"/>
        <v>50</v>
      </c>
      <c r="H94" s="7">
        <f t="shared" si="11"/>
        <v>50</v>
      </c>
    </row>
    <row r="95" spans="2:8" x14ac:dyDescent="0.6">
      <c r="B95" s="27">
        <v>83</v>
      </c>
      <c r="C95" s="6">
        <f t="shared" si="9"/>
        <v>160</v>
      </c>
      <c r="D95" s="6">
        <f t="shared" si="8"/>
        <v>50</v>
      </c>
      <c r="E95" s="6">
        <f t="shared" si="12"/>
        <v>50</v>
      </c>
      <c r="F95" s="6">
        <f t="shared" si="13"/>
        <v>40</v>
      </c>
      <c r="G95" s="6">
        <f t="shared" si="10"/>
        <v>50</v>
      </c>
      <c r="H95" s="7">
        <f t="shared" si="11"/>
        <v>50</v>
      </c>
    </row>
    <row r="96" spans="2:8" x14ac:dyDescent="0.6">
      <c r="B96" s="27">
        <v>84</v>
      </c>
      <c r="C96" s="6">
        <f t="shared" si="9"/>
        <v>160</v>
      </c>
      <c r="D96" s="6">
        <f t="shared" si="8"/>
        <v>50</v>
      </c>
      <c r="E96" s="6">
        <f t="shared" si="12"/>
        <v>50</v>
      </c>
      <c r="F96" s="6">
        <f t="shared" si="13"/>
        <v>40</v>
      </c>
      <c r="G96" s="6">
        <f t="shared" si="10"/>
        <v>50</v>
      </c>
      <c r="H96" s="7">
        <f t="shared" si="11"/>
        <v>50</v>
      </c>
    </row>
    <row r="97" spans="2:8" x14ac:dyDescent="0.6">
      <c r="B97" s="27">
        <v>85</v>
      </c>
      <c r="C97" s="6">
        <f t="shared" si="9"/>
        <v>160</v>
      </c>
      <c r="D97" s="6">
        <f t="shared" si="8"/>
        <v>50</v>
      </c>
      <c r="E97" s="6">
        <f t="shared" si="12"/>
        <v>50</v>
      </c>
      <c r="F97" s="6">
        <f t="shared" si="13"/>
        <v>40</v>
      </c>
      <c r="G97" s="6">
        <f t="shared" si="10"/>
        <v>50</v>
      </c>
      <c r="H97" s="7">
        <f t="shared" si="11"/>
        <v>50</v>
      </c>
    </row>
    <row r="98" spans="2:8" x14ac:dyDescent="0.6">
      <c r="B98" s="27">
        <v>86</v>
      </c>
      <c r="C98" s="6">
        <f t="shared" si="9"/>
        <v>160</v>
      </c>
      <c r="D98" s="6">
        <f t="shared" si="8"/>
        <v>50</v>
      </c>
      <c r="E98" s="6">
        <f t="shared" si="12"/>
        <v>50</v>
      </c>
      <c r="F98" s="6">
        <f t="shared" si="13"/>
        <v>40</v>
      </c>
      <c r="G98" s="6">
        <f t="shared" si="10"/>
        <v>50</v>
      </c>
      <c r="H98" s="7">
        <f t="shared" si="11"/>
        <v>50</v>
      </c>
    </row>
    <row r="99" spans="2:8" x14ac:dyDescent="0.6">
      <c r="B99" s="27">
        <v>87</v>
      </c>
      <c r="C99" s="6">
        <f t="shared" si="9"/>
        <v>160</v>
      </c>
      <c r="D99" s="6">
        <f t="shared" si="8"/>
        <v>50</v>
      </c>
      <c r="E99" s="6">
        <f t="shared" si="12"/>
        <v>50</v>
      </c>
      <c r="F99" s="6">
        <f t="shared" si="13"/>
        <v>40</v>
      </c>
      <c r="G99" s="6">
        <f t="shared" si="10"/>
        <v>50</v>
      </c>
      <c r="H99" s="7">
        <f t="shared" si="11"/>
        <v>50</v>
      </c>
    </row>
    <row r="100" spans="2:8" x14ac:dyDescent="0.6">
      <c r="B100" s="27">
        <v>88</v>
      </c>
      <c r="C100" s="6">
        <f t="shared" si="9"/>
        <v>160</v>
      </c>
      <c r="D100" s="6">
        <f t="shared" si="8"/>
        <v>50</v>
      </c>
      <c r="E100" s="6">
        <f t="shared" si="12"/>
        <v>50</v>
      </c>
      <c r="F100" s="6">
        <f t="shared" si="13"/>
        <v>40</v>
      </c>
      <c r="G100" s="6">
        <f t="shared" si="10"/>
        <v>50</v>
      </c>
      <c r="H100" s="7">
        <f t="shared" si="11"/>
        <v>50</v>
      </c>
    </row>
    <row r="101" spans="2:8" x14ac:dyDescent="0.6">
      <c r="B101" s="27">
        <v>89</v>
      </c>
      <c r="C101" s="6">
        <f t="shared" si="9"/>
        <v>160</v>
      </c>
      <c r="D101" s="6">
        <f t="shared" si="8"/>
        <v>50</v>
      </c>
      <c r="E101" s="6">
        <f t="shared" si="12"/>
        <v>50</v>
      </c>
      <c r="F101" s="6">
        <f t="shared" si="13"/>
        <v>40</v>
      </c>
      <c r="G101" s="6">
        <f t="shared" si="10"/>
        <v>50</v>
      </c>
      <c r="H101" s="7">
        <f t="shared" si="11"/>
        <v>50</v>
      </c>
    </row>
    <row r="102" spans="2:8" x14ac:dyDescent="0.6">
      <c r="B102" s="27">
        <v>90</v>
      </c>
      <c r="C102" s="6">
        <f t="shared" si="9"/>
        <v>160</v>
      </c>
      <c r="D102" s="6">
        <f t="shared" si="8"/>
        <v>50</v>
      </c>
      <c r="E102" s="6">
        <f t="shared" si="12"/>
        <v>50</v>
      </c>
      <c r="F102" s="6">
        <f t="shared" si="13"/>
        <v>40</v>
      </c>
      <c r="G102" s="6">
        <f t="shared" si="10"/>
        <v>50</v>
      </c>
      <c r="H102" s="7">
        <f t="shared" si="11"/>
        <v>50</v>
      </c>
    </row>
    <row r="103" spans="2:8" x14ac:dyDescent="0.6">
      <c r="B103" s="27">
        <v>91</v>
      </c>
      <c r="C103" s="6">
        <f t="shared" si="9"/>
        <v>160</v>
      </c>
      <c r="D103" s="6">
        <f t="shared" si="8"/>
        <v>50</v>
      </c>
      <c r="E103" s="6">
        <f t="shared" si="12"/>
        <v>50</v>
      </c>
      <c r="F103" s="6">
        <f t="shared" si="13"/>
        <v>40</v>
      </c>
      <c r="G103" s="6">
        <f t="shared" si="10"/>
        <v>50</v>
      </c>
      <c r="H103" s="7">
        <f t="shared" si="11"/>
        <v>50</v>
      </c>
    </row>
    <row r="104" spans="2:8" x14ac:dyDescent="0.6">
      <c r="B104" s="27">
        <v>92</v>
      </c>
      <c r="C104" s="6">
        <f t="shared" si="9"/>
        <v>160</v>
      </c>
      <c r="D104" s="6">
        <f t="shared" si="8"/>
        <v>50</v>
      </c>
      <c r="E104" s="6">
        <f t="shared" si="12"/>
        <v>50</v>
      </c>
      <c r="F104" s="6">
        <f t="shared" si="13"/>
        <v>40</v>
      </c>
      <c r="G104" s="6">
        <f t="shared" si="10"/>
        <v>50</v>
      </c>
      <c r="H104" s="7">
        <f t="shared" si="11"/>
        <v>50</v>
      </c>
    </row>
    <row r="105" spans="2:8" x14ac:dyDescent="0.6">
      <c r="B105" s="27">
        <v>93</v>
      </c>
      <c r="C105" s="6">
        <f t="shared" si="9"/>
        <v>160</v>
      </c>
      <c r="D105" s="6">
        <f t="shared" si="8"/>
        <v>50</v>
      </c>
      <c r="E105" s="6">
        <f t="shared" si="12"/>
        <v>50</v>
      </c>
      <c r="F105" s="6">
        <f t="shared" si="13"/>
        <v>40</v>
      </c>
      <c r="G105" s="6">
        <f t="shared" si="10"/>
        <v>50</v>
      </c>
      <c r="H105" s="7">
        <f t="shared" si="11"/>
        <v>50</v>
      </c>
    </row>
    <row r="106" spans="2:8" x14ac:dyDescent="0.6">
      <c r="B106" s="27">
        <v>94</v>
      </c>
      <c r="C106" s="6">
        <f t="shared" si="9"/>
        <v>160</v>
      </c>
      <c r="D106" s="6">
        <f t="shared" si="8"/>
        <v>50</v>
      </c>
      <c r="E106" s="6">
        <f t="shared" si="12"/>
        <v>50</v>
      </c>
      <c r="F106" s="6">
        <f t="shared" si="13"/>
        <v>40</v>
      </c>
      <c r="G106" s="6">
        <f t="shared" si="10"/>
        <v>50</v>
      </c>
      <c r="H106" s="7">
        <f t="shared" si="11"/>
        <v>50</v>
      </c>
    </row>
    <row r="107" spans="2:8" x14ac:dyDescent="0.6">
      <c r="B107" s="27">
        <v>95</v>
      </c>
      <c r="C107" s="6">
        <f t="shared" si="9"/>
        <v>160</v>
      </c>
      <c r="D107" s="6">
        <f t="shared" si="8"/>
        <v>50</v>
      </c>
      <c r="E107" s="6">
        <f t="shared" si="12"/>
        <v>50</v>
      </c>
      <c r="F107" s="6">
        <f t="shared" si="13"/>
        <v>40</v>
      </c>
      <c r="G107" s="6">
        <f t="shared" si="10"/>
        <v>50</v>
      </c>
      <c r="H107" s="7">
        <f t="shared" si="11"/>
        <v>50</v>
      </c>
    </row>
    <row r="108" spans="2:8" x14ac:dyDescent="0.6">
      <c r="B108" s="27">
        <v>96</v>
      </c>
      <c r="C108" s="6">
        <f t="shared" si="9"/>
        <v>160</v>
      </c>
      <c r="D108" s="6">
        <f t="shared" si="8"/>
        <v>50</v>
      </c>
      <c r="E108" s="6">
        <f t="shared" si="12"/>
        <v>50</v>
      </c>
      <c r="F108" s="6">
        <f t="shared" si="13"/>
        <v>40</v>
      </c>
      <c r="G108" s="6">
        <f t="shared" si="10"/>
        <v>50</v>
      </c>
      <c r="H108" s="7">
        <f t="shared" si="11"/>
        <v>50</v>
      </c>
    </row>
    <row r="109" spans="2:8" x14ac:dyDescent="0.6">
      <c r="B109" s="27">
        <v>97</v>
      </c>
      <c r="C109" s="6">
        <f t="shared" si="9"/>
        <v>160</v>
      </c>
      <c r="D109" s="6">
        <f t="shared" si="8"/>
        <v>50</v>
      </c>
      <c r="E109" s="6">
        <f t="shared" si="12"/>
        <v>50</v>
      </c>
      <c r="F109" s="6">
        <f t="shared" si="13"/>
        <v>40</v>
      </c>
      <c r="G109" s="6">
        <f t="shared" si="10"/>
        <v>50</v>
      </c>
      <c r="H109" s="7">
        <f t="shared" si="11"/>
        <v>50</v>
      </c>
    </row>
    <row r="110" spans="2:8" x14ac:dyDescent="0.6">
      <c r="B110" s="27">
        <v>98</v>
      </c>
      <c r="C110" s="6">
        <f t="shared" si="9"/>
        <v>160</v>
      </c>
      <c r="D110" s="6">
        <f t="shared" si="8"/>
        <v>50</v>
      </c>
      <c r="E110" s="6">
        <f t="shared" si="12"/>
        <v>50</v>
      </c>
      <c r="F110" s="6">
        <f t="shared" si="13"/>
        <v>40</v>
      </c>
      <c r="G110" s="6">
        <f t="shared" si="10"/>
        <v>50</v>
      </c>
      <c r="H110" s="7">
        <f t="shared" si="11"/>
        <v>50</v>
      </c>
    </row>
    <row r="111" spans="2:8" x14ac:dyDescent="0.6">
      <c r="B111" s="27">
        <v>99</v>
      </c>
      <c r="C111" s="6">
        <f t="shared" si="9"/>
        <v>160</v>
      </c>
      <c r="D111" s="6">
        <f t="shared" si="8"/>
        <v>50</v>
      </c>
      <c r="E111" s="6">
        <f t="shared" si="12"/>
        <v>50</v>
      </c>
      <c r="F111" s="6">
        <f t="shared" si="13"/>
        <v>40</v>
      </c>
      <c r="G111" s="6">
        <f t="shared" si="10"/>
        <v>50</v>
      </c>
      <c r="H111" s="7">
        <f t="shared" si="11"/>
        <v>50</v>
      </c>
    </row>
    <row r="112" spans="2:8" x14ac:dyDescent="0.6">
      <c r="B112" s="28">
        <v>100</v>
      </c>
      <c r="C112" s="8">
        <f t="shared" si="9"/>
        <v>160</v>
      </c>
      <c r="D112" s="8">
        <f t="shared" si="8"/>
        <v>50</v>
      </c>
      <c r="E112" s="8">
        <f t="shared" si="12"/>
        <v>50</v>
      </c>
      <c r="F112" s="8">
        <f t="shared" si="13"/>
        <v>40</v>
      </c>
      <c r="G112" s="8">
        <f t="shared" si="10"/>
        <v>50</v>
      </c>
      <c r="H112" s="9">
        <f t="shared" si="11"/>
        <v>50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FD8F5-27BA-4577-AFDE-75F52D7C7DF0}">
  <dimension ref="A1:A407"/>
  <sheetViews>
    <sheetView showGridLines="0" zoomScale="130" zoomScaleNormal="130" workbookViewId="0">
      <pane ySplit="1" topLeftCell="A2" activePane="bottomLeft" state="frozen"/>
      <selection pane="bottomLeft" sqref="A1:A1048576"/>
    </sheetView>
  </sheetViews>
  <sheetFormatPr baseColWidth="10" defaultRowHeight="16.5" x14ac:dyDescent="0.6"/>
  <cols>
    <col min="1" max="1" width="28.19921875" style="1" customWidth="1"/>
    <col min="2" max="16384" width="10.6640625" style="1"/>
  </cols>
  <sheetData>
    <row r="1" spans="1:1" x14ac:dyDescent="0.6">
      <c r="A1" s="1" t="s">
        <v>17</v>
      </c>
    </row>
    <row r="2" spans="1:1" x14ac:dyDescent="0.6">
      <c r="A2" s="1" t="str">
        <f>_xlfn.CONCAT(Elipse!$C13,",",Elipse!D13)</f>
        <v>100,70</v>
      </c>
    </row>
    <row r="3" spans="1:1" x14ac:dyDescent="0.6">
      <c r="A3" s="1" t="str">
        <f>_xlfn.CONCAT(Elipse!C14,",",Elipse!$D14)</f>
        <v>101.25,69.9956592511697</v>
      </c>
    </row>
    <row r="4" spans="1:1" x14ac:dyDescent="0.6">
      <c r="A4" s="1" t="str">
        <f>_xlfn.CONCAT(Elipse!C15,",",Elipse!D15)</f>
        <v>102.5,69.9826313471363</v>
      </c>
    </row>
    <row r="5" spans="1:1" x14ac:dyDescent="0.6">
      <c r="A5" s="1" t="str">
        <f>_xlfn.CONCAT(Elipse!C16,",",Elipse!D16)</f>
        <v>103.75,69.9608992783391</v>
      </c>
    </row>
    <row r="6" spans="1:1" x14ac:dyDescent="0.6">
      <c r="A6" s="1" t="str">
        <f>_xlfn.CONCAT(Elipse!C17,",",Elipse!D17)</f>
        <v>105,69.9304345718357</v>
      </c>
    </row>
    <row r="7" spans="1:1" x14ac:dyDescent="0.6">
      <c r="A7" s="1" t="str">
        <f>_xlfn.CONCAT(Elipse!C18,",",Elipse!D18)</f>
        <v>106.25,69.8911971038</v>
      </c>
    </row>
    <row r="8" spans="1:1" x14ac:dyDescent="0.6">
      <c r="A8" s="1" t="str">
        <f>_xlfn.CONCAT(Elipse!C19,",",Elipse!D19)</f>
        <v>107.5,69.8431348329844</v>
      </c>
    </row>
    <row r="9" spans="1:1" x14ac:dyDescent="0.6">
      <c r="A9" s="1" t="str">
        <f>_xlfn.CONCAT(Elipse!C20,",",Elipse!D20)</f>
        <v>108.75,69.7861834509729</v>
      </c>
    </row>
    <row r="10" spans="1:1" x14ac:dyDescent="0.6">
      <c r="A10" s="1" t="str">
        <f>_xlfn.CONCAT(Elipse!C21,",",Elipse!D21)</f>
        <v>110,69.7202659436654</v>
      </c>
    </row>
    <row r="11" spans="1:1" x14ac:dyDescent="0.6">
      <c r="A11" s="1" t="str">
        <f>_xlfn.CONCAT(Elipse!C22,",",Elipse!D22)</f>
        <v>111.25,69.6452920568771</v>
      </c>
    </row>
    <row r="12" spans="1:1" x14ac:dyDescent="0.6">
      <c r="A12" s="1" t="str">
        <f>_xlfn.CONCAT(Elipse!C23,",",Elipse!D23)</f>
        <v>112.5,69.5611576571758</v>
      </c>
    </row>
    <row r="13" spans="1:1" x14ac:dyDescent="0.6">
      <c r="A13" s="1" t="str">
        <f>_xlfn.CONCAT(Elipse!C24,",",Elipse!D24)</f>
        <v>113.75,69.4677439770394</v>
      </c>
    </row>
    <row r="14" spans="1:1" x14ac:dyDescent="0.6">
      <c r="A14" s="1" t="str">
        <f>_xlfn.CONCAT(Elipse!C25,",",Elipse!D25)</f>
        <v>115,69.3649167310371</v>
      </c>
    </row>
    <row r="15" spans="1:1" x14ac:dyDescent="0.6">
      <c r="A15" s="1" t="str">
        <f>_xlfn.CONCAT(Elipse!C26,",",Elipse!D26)</f>
        <v>116.25,69.2525250869132</v>
      </c>
    </row>
    <row r="16" spans="1:1" x14ac:dyDescent="0.6">
      <c r="A16" s="1" t="str">
        <f>_xlfn.CONCAT(Elipse!C27,",",Elipse!D27)</f>
        <v>117.5,69.1304004720817</v>
      </c>
    </row>
    <row r="17" spans="1:1" x14ac:dyDescent="0.6">
      <c r="A17" s="1" t="str">
        <f>_xlfn.CONCAT(Elipse!C28,",",Elipse!D28)</f>
        <v>118.75,68.9983551919633</v>
      </c>
    </row>
    <row r="18" spans="1:1" x14ac:dyDescent="0.6">
      <c r="A18" s="1" t="str">
        <f>_xlfn.CONCAT(Elipse!C29,",",Elipse!D29)</f>
        <v>120,68.8561808316413</v>
      </c>
    </row>
    <row r="19" spans="1:1" x14ac:dyDescent="0.6">
      <c r="A19" s="1" t="str">
        <f>_xlfn.CONCAT(Elipse!C30,",",Elipse!D30)</f>
        <v>121.25,68.7036464062195</v>
      </c>
    </row>
    <row r="20" spans="1:1" x14ac:dyDescent="0.6">
      <c r="A20" s="1" t="str">
        <f>_xlfn.CONCAT(Elipse!C31,",",Elipse!D31)</f>
        <v>122.5,68.5404962177392</v>
      </c>
    </row>
    <row r="21" spans="1:1" x14ac:dyDescent="0.6">
      <c r="A21" s="1" t="str">
        <f>_xlfn.CONCAT(Elipse!C32,",",Elipse!D32)</f>
        <v>123.75,68.3664473671118</v>
      </c>
    </row>
    <row r="22" spans="1:1" x14ac:dyDescent="0.6">
      <c r="A22" s="1" t="str">
        <f>_xlfn.CONCAT(Elipse!C33,",",Elipse!D33)</f>
        <v>125,68.1811868577262</v>
      </c>
    </row>
    <row r="23" spans="1:1" x14ac:dyDescent="0.6">
      <c r="A23" s="1" t="str">
        <f>_xlfn.CONCAT(Elipse!C34,",",Elipse!D34)</f>
        <v>126.25,67.9843682124227</v>
      </c>
    </row>
    <row r="24" spans="1:1" x14ac:dyDescent="0.6">
      <c r="A24" s="1" t="str">
        <f>_xlfn.CONCAT(Elipse!C35,",",Elipse!D35)</f>
        <v>127.5,67.775607506418</v>
      </c>
    </row>
    <row r="25" spans="1:1" x14ac:dyDescent="0.6">
      <c r="A25" s="1" t="str">
        <f>_xlfn.CONCAT(Elipse!C36,",",Elipse!D36)</f>
        <v>128.75,67.5544786941174</v>
      </c>
    </row>
    <row r="26" spans="1:1" x14ac:dyDescent="0.6">
      <c r="A26" s="1" t="str">
        <f>_xlfn.CONCAT(Elipse!C37,",",Elipse!D37)</f>
        <v>130,67.3205080756888</v>
      </c>
    </row>
    <row r="27" spans="1:1" x14ac:dyDescent="0.6">
      <c r="A27" s="1" t="str">
        <f>_xlfn.CONCAT(Elipse!C38,",",Elipse!D38)</f>
        <v>131.25,67.0731677071232</v>
      </c>
    </row>
    <row r="28" spans="1:1" x14ac:dyDescent="0.6">
      <c r="A28" s="1" t="str">
        <f>_xlfn.CONCAT(Elipse!C39,",",Elipse!D39)</f>
        <v>132.5,66.8118675015267</v>
      </c>
    </row>
    <row r="29" spans="1:1" x14ac:dyDescent="0.6">
      <c r="A29" s="1" t="str">
        <f>_xlfn.CONCAT(Elipse!C40,",",Elipse!D40)</f>
        <v>133.75,66.5359456941537</v>
      </c>
    </row>
    <row r="30" spans="1:1" x14ac:dyDescent="0.6">
      <c r="A30" s="1" t="str">
        <f>_xlfn.CONCAT(Elipse!C41,",",Elipse!D41)</f>
        <v>135,66.2446572413483</v>
      </c>
    </row>
    <row r="31" spans="1:1" x14ac:dyDescent="0.6">
      <c r="A31" s="1" t="str">
        <f>_xlfn.CONCAT(Elipse!C42,",",Elipse!D42)</f>
        <v>136.25,65.9371595824211</v>
      </c>
    </row>
    <row r="32" spans="1:1" x14ac:dyDescent="0.6">
      <c r="A32" s="1" t="str">
        <f>_xlfn.CONCAT(Elipse!C43,",",Elipse!D43)</f>
        <v>137.5,65.612494995996</v>
      </c>
    </row>
    <row r="33" spans="1:1" x14ac:dyDescent="0.6">
      <c r="A33" s="1" t="str">
        <f>_xlfn.CONCAT(Elipse!C44,",",Elipse!D44)</f>
        <v>138.75,65.2695685015073</v>
      </c>
    </row>
    <row r="34" spans="1:1" x14ac:dyDescent="0.6">
      <c r="A34" s="1" t="str">
        <f>_xlfn.CONCAT(Elipse!C45,",",Elipse!D45)</f>
        <v>140,64.9071198499986</v>
      </c>
    </row>
    <row r="35" spans="1:1" x14ac:dyDescent="0.6">
      <c r="A35" s="1" t="str">
        <f>_xlfn.CONCAT(Elipse!C46,",",Elipse!D46)</f>
        <v>141.25,64.5236875482778</v>
      </c>
    </row>
    <row r="36" spans="1:1" x14ac:dyDescent="0.6">
      <c r="A36" s="1" t="str">
        <f>_xlfn.CONCAT(Elipse!C47,",",Elipse!D47)</f>
        <v>142.5,64.1175619550812</v>
      </c>
    </row>
    <row r="37" spans="1:1" x14ac:dyDescent="0.6">
      <c r="A37" s="1" t="str">
        <f>_xlfn.CONCAT(Elipse!C48,",",Elipse!D48)</f>
        <v>143.75,63.6867230880474</v>
      </c>
    </row>
    <row r="38" spans="1:1" x14ac:dyDescent="0.6">
      <c r="A38" s="1" t="str">
        <f>_xlfn.CONCAT(Elipse!C49,",",Elipse!D49)</f>
        <v>145,63.228756555323</v>
      </c>
    </row>
    <row r="39" spans="1:1" x14ac:dyDescent="0.6">
      <c r="A39" s="1" t="str">
        <f>_xlfn.CONCAT(Elipse!C50,",",Elipse!D50)</f>
        <v>146.25,62.7407373761839</v>
      </c>
    </row>
    <row r="40" spans="1:1" x14ac:dyDescent="0.6">
      <c r="A40" s="1" t="str">
        <f>_xlfn.CONCAT(Elipse!C51,",",Elipse!D51)</f>
        <v>147.5,62.219065248846</v>
      </c>
    </row>
    <row r="41" spans="1:1" x14ac:dyDescent="0.6">
      <c r="A41" s="1" t="str">
        <f>_xlfn.CONCAT(Elipse!C52,",",Elipse!D52)</f>
        <v>148.75,61.659223816361</v>
      </c>
    </row>
    <row r="42" spans="1:1" x14ac:dyDescent="0.6">
      <c r="A42" s="1" t="str">
        <f>_xlfn.CONCAT(Elipse!C53,",",Elipse!D53)</f>
        <v>150,61.0554159678513</v>
      </c>
    </row>
    <row r="43" spans="1:1" x14ac:dyDescent="0.6">
      <c r="A43" s="1" t="str">
        <f>_xlfn.CONCAT(Elipse!C54,",",Elipse!D54)</f>
        <v>151.25,60.3999866452906</v>
      </c>
    </row>
    <row r="44" spans="1:1" x14ac:dyDescent="0.6">
      <c r="A44" s="1" t="str">
        <f>_xlfn.CONCAT(Elipse!C55,",",Elipse!D55)</f>
        <v>152.5,59.6824583655185</v>
      </c>
    </row>
    <row r="45" spans="1:1" x14ac:dyDescent="0.6">
      <c r="A45" s="1" t="str">
        <f>_xlfn.CONCAT(Elipse!C56,",",Elipse!D56)</f>
        <v>153.75,58.887803753209</v>
      </c>
    </row>
    <row r="46" spans="1:1" x14ac:dyDescent="0.6">
      <c r="A46" s="1" t="str">
        <f>_xlfn.CONCAT(Elipse!C57,",",Elipse!D57)</f>
        <v>155,57.9930525388545</v>
      </c>
    </row>
    <row r="47" spans="1:1" x14ac:dyDescent="0.6">
      <c r="A47" s="1" t="str">
        <f>_xlfn.CONCAT(Elipse!C58,",",Elipse!D58)</f>
        <v>156.25,56.9597054535375</v>
      </c>
    </row>
    <row r="48" spans="1:1" x14ac:dyDescent="0.6">
      <c r="A48" s="1" t="str">
        <f>_xlfn.CONCAT(Elipse!C59,",",Elipse!D59)</f>
        <v>157.5,55.7130455003342</v>
      </c>
    </row>
    <row r="49" spans="1:1" x14ac:dyDescent="0.6">
      <c r="A49" s="1" t="str">
        <f>_xlfn.CONCAT(Elipse!C60,",",Elipse!D60)</f>
        <v>158.75,54.0611643103371</v>
      </c>
    </row>
    <row r="50" spans="1:1" x14ac:dyDescent="0.6">
      <c r="A50" s="1" t="str">
        <f>_xlfn.CONCAT(Elipse!C61,",",Elipse!D61)</f>
        <v>160,50</v>
      </c>
    </row>
    <row r="51" spans="1:1" x14ac:dyDescent="0.6">
      <c r="A51" s="1" t="str">
        <f>_xlfn.CONCAT(Elipse!C62,",",Elipse!D62)</f>
        <v>160,50</v>
      </c>
    </row>
    <row r="52" spans="1:1" x14ac:dyDescent="0.6">
      <c r="A52" s="1" t="str">
        <f>_xlfn.CONCAT(Elipse!C63,",",Elipse!D63)</f>
        <v>160,50</v>
      </c>
    </row>
    <row r="53" spans="1:1" x14ac:dyDescent="0.6">
      <c r="A53" s="1" t="str">
        <f>_xlfn.CONCAT(Elipse!C64,",",Elipse!D64)</f>
        <v>160,50</v>
      </c>
    </row>
    <row r="54" spans="1:1" x14ac:dyDescent="0.6">
      <c r="A54" s="1" t="str">
        <f>_xlfn.CONCAT(Elipse!C65,",",Elipse!D65)</f>
        <v>160,50</v>
      </c>
    </row>
    <row r="55" spans="1:1" x14ac:dyDescent="0.6">
      <c r="A55" s="1" t="str">
        <f>_xlfn.CONCAT(Elipse!C66,",",Elipse!D66)</f>
        <v>160,50</v>
      </c>
    </row>
    <row r="56" spans="1:1" x14ac:dyDescent="0.6">
      <c r="A56" s="1" t="str">
        <f>_xlfn.CONCAT(Elipse!C67,",",Elipse!D67)</f>
        <v>160,50</v>
      </c>
    </row>
    <row r="57" spans="1:1" x14ac:dyDescent="0.6">
      <c r="A57" s="1" t="str">
        <f>_xlfn.CONCAT(Elipse!C68,",",Elipse!D68)</f>
        <v>160,50</v>
      </c>
    </row>
    <row r="58" spans="1:1" x14ac:dyDescent="0.6">
      <c r="A58" s="1" t="str">
        <f>_xlfn.CONCAT(Elipse!C69,",",Elipse!D69)</f>
        <v>160,50</v>
      </c>
    </row>
    <row r="59" spans="1:1" x14ac:dyDescent="0.6">
      <c r="A59" s="1" t="str">
        <f>_xlfn.CONCAT(Elipse!C70,",",Elipse!D70)</f>
        <v>160,50</v>
      </c>
    </row>
    <row r="60" spans="1:1" x14ac:dyDescent="0.6">
      <c r="A60" s="1" t="str">
        <f>_xlfn.CONCAT(Elipse!C71,",",Elipse!D71)</f>
        <v>160,50</v>
      </c>
    </row>
    <row r="61" spans="1:1" x14ac:dyDescent="0.6">
      <c r="A61" s="1" t="str">
        <f>_xlfn.CONCAT(Elipse!C72,",",Elipse!D72)</f>
        <v>160,50</v>
      </c>
    </row>
    <row r="62" spans="1:1" x14ac:dyDescent="0.6">
      <c r="A62" s="1" t="str">
        <f>_xlfn.CONCAT(Elipse!C73,",",Elipse!D73)</f>
        <v>160,50</v>
      </c>
    </row>
    <row r="63" spans="1:1" x14ac:dyDescent="0.6">
      <c r="A63" s="1" t="str">
        <f>_xlfn.CONCAT(Elipse!C74,",",Elipse!D74)</f>
        <v>160,50</v>
      </c>
    </row>
    <row r="64" spans="1:1" x14ac:dyDescent="0.6">
      <c r="A64" s="1" t="str">
        <f>_xlfn.CONCAT(Elipse!C75,",",Elipse!D75)</f>
        <v>160,50</v>
      </c>
    </row>
    <row r="65" spans="1:1" x14ac:dyDescent="0.6">
      <c r="A65" s="1" t="str">
        <f>_xlfn.CONCAT(Elipse!C76,",",Elipse!D76)</f>
        <v>160,50</v>
      </c>
    </row>
    <row r="66" spans="1:1" x14ac:dyDescent="0.6">
      <c r="A66" s="1" t="str">
        <f>_xlfn.CONCAT(Elipse!C77,",",Elipse!D77)</f>
        <v>160,50</v>
      </c>
    </row>
    <row r="67" spans="1:1" x14ac:dyDescent="0.6">
      <c r="A67" s="1" t="str">
        <f>_xlfn.CONCAT(Elipse!C78,",",Elipse!D78)</f>
        <v>160,50</v>
      </c>
    </row>
    <row r="68" spans="1:1" x14ac:dyDescent="0.6">
      <c r="A68" s="1" t="str">
        <f>_xlfn.CONCAT(Elipse!C79,",",Elipse!D79)</f>
        <v>160,50</v>
      </c>
    </row>
    <row r="69" spans="1:1" x14ac:dyDescent="0.6">
      <c r="A69" s="1" t="str">
        <f>_xlfn.CONCAT(Elipse!C80,",",Elipse!D80)</f>
        <v>160,50</v>
      </c>
    </row>
    <row r="70" spans="1:1" x14ac:dyDescent="0.6">
      <c r="A70" s="1" t="str">
        <f>_xlfn.CONCAT(Elipse!C81,",",Elipse!D81)</f>
        <v>160,50</v>
      </c>
    </row>
    <row r="71" spans="1:1" x14ac:dyDescent="0.6">
      <c r="A71" s="1" t="str">
        <f>_xlfn.CONCAT(Elipse!C82,",",Elipse!D82)</f>
        <v>160,50</v>
      </c>
    </row>
    <row r="72" spans="1:1" x14ac:dyDescent="0.6">
      <c r="A72" s="1" t="str">
        <f>_xlfn.CONCAT(Elipse!C83,",",Elipse!D83)</f>
        <v>160,50</v>
      </c>
    </row>
    <row r="73" spans="1:1" x14ac:dyDescent="0.6">
      <c r="A73" s="1" t="str">
        <f>_xlfn.CONCAT(Elipse!C84,",",Elipse!D84)</f>
        <v>160,50</v>
      </c>
    </row>
    <row r="74" spans="1:1" x14ac:dyDescent="0.6">
      <c r="A74" s="1" t="str">
        <f>_xlfn.CONCAT(Elipse!C85,",",Elipse!D85)</f>
        <v>160,50</v>
      </c>
    </row>
    <row r="75" spans="1:1" x14ac:dyDescent="0.6">
      <c r="A75" s="1" t="str">
        <f>_xlfn.CONCAT(Elipse!C86,",",Elipse!D86)</f>
        <v>160,50</v>
      </c>
    </row>
    <row r="76" spans="1:1" x14ac:dyDescent="0.6">
      <c r="A76" s="1" t="str">
        <f>_xlfn.CONCAT(Elipse!C87,",",Elipse!D87)</f>
        <v>160,50</v>
      </c>
    </row>
    <row r="77" spans="1:1" x14ac:dyDescent="0.6">
      <c r="A77" s="1" t="str">
        <f>_xlfn.CONCAT(Elipse!C88,",",Elipse!D88)</f>
        <v>160,50</v>
      </c>
    </row>
    <row r="78" spans="1:1" x14ac:dyDescent="0.6">
      <c r="A78" s="1" t="str">
        <f>_xlfn.CONCAT(Elipse!C89,",",Elipse!D89)</f>
        <v>160,50</v>
      </c>
    </row>
    <row r="79" spans="1:1" x14ac:dyDescent="0.6">
      <c r="A79" s="1" t="str">
        <f>_xlfn.CONCAT(Elipse!C90,",",Elipse!D90)</f>
        <v>160,50</v>
      </c>
    </row>
    <row r="80" spans="1:1" x14ac:dyDescent="0.6">
      <c r="A80" s="1" t="str">
        <f>_xlfn.CONCAT(Elipse!C91,",",Elipse!D91)</f>
        <v>160,50</v>
      </c>
    </row>
    <row r="81" spans="1:1" x14ac:dyDescent="0.6">
      <c r="A81" s="1" t="str">
        <f>_xlfn.CONCAT(Elipse!C92,",",Elipse!D92)</f>
        <v>160,50</v>
      </c>
    </row>
    <row r="82" spans="1:1" x14ac:dyDescent="0.6">
      <c r="A82" s="1" t="str">
        <f>_xlfn.CONCAT(Elipse!C93,",",Elipse!D93)</f>
        <v>160,50</v>
      </c>
    </row>
    <row r="83" spans="1:1" x14ac:dyDescent="0.6">
      <c r="A83" s="1" t="str">
        <f>_xlfn.CONCAT(Elipse!C94,",",Elipse!D94)</f>
        <v>160,50</v>
      </c>
    </row>
    <row r="84" spans="1:1" x14ac:dyDescent="0.6">
      <c r="A84" s="1" t="str">
        <f>_xlfn.CONCAT(Elipse!C95,",",Elipse!D95)</f>
        <v>160,50</v>
      </c>
    </row>
    <row r="85" spans="1:1" x14ac:dyDescent="0.6">
      <c r="A85" s="1" t="str">
        <f>_xlfn.CONCAT(Elipse!C96,",",Elipse!D96)</f>
        <v>160,50</v>
      </c>
    </row>
    <row r="86" spans="1:1" x14ac:dyDescent="0.6">
      <c r="A86" s="1" t="str">
        <f>_xlfn.CONCAT(Elipse!C97,",",Elipse!D97)</f>
        <v>160,50</v>
      </c>
    </row>
    <row r="87" spans="1:1" x14ac:dyDescent="0.6">
      <c r="A87" s="1" t="str">
        <f>_xlfn.CONCAT(Elipse!C98,",",Elipse!D98)</f>
        <v>160,50</v>
      </c>
    </row>
    <row r="88" spans="1:1" x14ac:dyDescent="0.6">
      <c r="A88" s="1" t="str">
        <f>_xlfn.CONCAT(Elipse!C99,",",Elipse!D99)</f>
        <v>160,50</v>
      </c>
    </row>
    <row r="89" spans="1:1" x14ac:dyDescent="0.6">
      <c r="A89" s="1" t="str">
        <f>_xlfn.CONCAT(Elipse!C100,",",Elipse!D100)</f>
        <v>160,50</v>
      </c>
    </row>
    <row r="90" spans="1:1" x14ac:dyDescent="0.6">
      <c r="A90" s="1" t="str">
        <f>_xlfn.CONCAT(Elipse!C101,",",Elipse!D101)</f>
        <v>160,50</v>
      </c>
    </row>
    <row r="91" spans="1:1" x14ac:dyDescent="0.6">
      <c r="A91" s="1" t="str">
        <f>_xlfn.CONCAT(Elipse!C102,",",Elipse!D102)</f>
        <v>160,50</v>
      </c>
    </row>
    <row r="92" spans="1:1" x14ac:dyDescent="0.6">
      <c r="A92" s="1" t="str">
        <f>_xlfn.CONCAT(Elipse!C103,",",Elipse!D103)</f>
        <v>160,50</v>
      </c>
    </row>
    <row r="93" spans="1:1" x14ac:dyDescent="0.6">
      <c r="A93" s="1" t="str">
        <f>_xlfn.CONCAT(Elipse!C104,",",Elipse!D104)</f>
        <v>160,50</v>
      </c>
    </row>
    <row r="94" spans="1:1" x14ac:dyDescent="0.6">
      <c r="A94" s="1" t="str">
        <f>_xlfn.CONCAT(Elipse!C105,",",Elipse!D105)</f>
        <v>160,50</v>
      </c>
    </row>
    <row r="95" spans="1:1" x14ac:dyDescent="0.6">
      <c r="A95" s="1" t="str">
        <f>_xlfn.CONCAT(Elipse!C106,",",Elipse!D106)</f>
        <v>160,50</v>
      </c>
    </row>
    <row r="96" spans="1:1" x14ac:dyDescent="0.6">
      <c r="A96" s="1" t="str">
        <f>_xlfn.CONCAT(Elipse!C107,",",Elipse!D107)</f>
        <v>160,50</v>
      </c>
    </row>
    <row r="97" spans="1:1" x14ac:dyDescent="0.6">
      <c r="A97" s="1" t="str">
        <f>_xlfn.CONCAT(Elipse!C108,",",Elipse!D108)</f>
        <v>160,50</v>
      </c>
    </row>
    <row r="98" spans="1:1" x14ac:dyDescent="0.6">
      <c r="A98" s="1" t="str">
        <f>_xlfn.CONCAT(Elipse!C109,",",Elipse!D109)</f>
        <v>160,50</v>
      </c>
    </row>
    <row r="99" spans="1:1" x14ac:dyDescent="0.6">
      <c r="A99" s="1" t="str">
        <f>_xlfn.CONCAT(Elipse!C110,",",Elipse!D110)</f>
        <v>160,50</v>
      </c>
    </row>
    <row r="100" spans="1:1" x14ac:dyDescent="0.6">
      <c r="A100" s="1" t="str">
        <f>_xlfn.CONCAT(Elipse!C111,",",Elipse!D111)</f>
        <v>160,50</v>
      </c>
    </row>
    <row r="101" spans="1:1" x14ac:dyDescent="0.6">
      <c r="A101" s="1" t="str">
        <f>_xlfn.CONCAT(Elipse!C112,",",Elipse!D112)</f>
        <v>160,50</v>
      </c>
    </row>
    <row r="103" spans="1:1" x14ac:dyDescent="0.6">
      <c r="A103" s="1" t="s">
        <v>17</v>
      </c>
    </row>
    <row r="104" spans="1:1" x14ac:dyDescent="0.6">
      <c r="A104" s="1" t="str">
        <f>_xlfn.CONCAT(Elipse!$C13,",",Elipse!E13)</f>
        <v>100,30</v>
      </c>
    </row>
    <row r="105" spans="1:1" x14ac:dyDescent="0.6">
      <c r="A105" s="1" t="str">
        <f>_xlfn.CONCAT(Elipse!$C14,",",Elipse!E14)</f>
        <v>101.25,30.0043407488303</v>
      </c>
    </row>
    <row r="106" spans="1:1" x14ac:dyDescent="0.6">
      <c r="A106" s="1" t="str">
        <f>_xlfn.CONCAT(Elipse!$C15,",",Elipse!E15)</f>
        <v>102.5,30.0173686528637</v>
      </c>
    </row>
    <row r="107" spans="1:1" x14ac:dyDescent="0.6">
      <c r="A107" s="1" t="str">
        <f>_xlfn.CONCAT(Elipse!$C16,",",Elipse!E16)</f>
        <v>103.75,30.0391007216609</v>
      </c>
    </row>
    <row r="108" spans="1:1" x14ac:dyDescent="0.6">
      <c r="A108" s="1" t="str">
        <f>_xlfn.CONCAT(Elipse!$C17,",",Elipse!E17)</f>
        <v>105,30.0695654281643</v>
      </c>
    </row>
    <row r="109" spans="1:1" x14ac:dyDescent="0.6">
      <c r="A109" s="1" t="str">
        <f>_xlfn.CONCAT(Elipse!$C18,",",Elipse!E18)</f>
        <v>106.25,30.1088028962</v>
      </c>
    </row>
    <row r="110" spans="1:1" x14ac:dyDescent="0.6">
      <c r="A110" s="1" t="str">
        <f>_xlfn.CONCAT(Elipse!$C19,",",Elipse!E19)</f>
        <v>107.5,30.1568651670156</v>
      </c>
    </row>
    <row r="111" spans="1:1" x14ac:dyDescent="0.6">
      <c r="A111" s="1" t="str">
        <f>_xlfn.CONCAT(Elipse!$C20,",",Elipse!E20)</f>
        <v>108.75,30.2138165490271</v>
      </c>
    </row>
    <row r="112" spans="1:1" x14ac:dyDescent="0.6">
      <c r="A112" s="1" t="str">
        <f>_xlfn.CONCAT(Elipse!$C21,",",Elipse!E21)</f>
        <v>110,30.2797340563346</v>
      </c>
    </row>
    <row r="113" spans="1:1" x14ac:dyDescent="0.6">
      <c r="A113" s="1" t="str">
        <f>_xlfn.CONCAT(Elipse!$C22,",",Elipse!E22)</f>
        <v>111.25,30.3547079431229</v>
      </c>
    </row>
    <row r="114" spans="1:1" x14ac:dyDescent="0.6">
      <c r="A114" s="1" t="str">
        <f>_xlfn.CONCAT(Elipse!$C23,",",Elipse!E23)</f>
        <v>112.5,30.4388423428242</v>
      </c>
    </row>
    <row r="115" spans="1:1" x14ac:dyDescent="0.6">
      <c r="A115" s="1" t="str">
        <f>_xlfn.CONCAT(Elipse!$C24,",",Elipse!E24)</f>
        <v>113.75,30.5322560229606</v>
      </c>
    </row>
    <row r="116" spans="1:1" x14ac:dyDescent="0.6">
      <c r="A116" s="1" t="str">
        <f>_xlfn.CONCAT(Elipse!$C25,",",Elipse!E25)</f>
        <v>115,30.6350832689629</v>
      </c>
    </row>
    <row r="117" spans="1:1" x14ac:dyDescent="0.6">
      <c r="A117" s="1" t="str">
        <f>_xlfn.CONCAT(Elipse!$C26,",",Elipse!E26)</f>
        <v>116.25,30.7474749130868</v>
      </c>
    </row>
    <row r="118" spans="1:1" x14ac:dyDescent="0.6">
      <c r="A118" s="1" t="str">
        <f>_xlfn.CONCAT(Elipse!$C27,",",Elipse!E27)</f>
        <v>117.5,30.8695995279183</v>
      </c>
    </row>
    <row r="119" spans="1:1" x14ac:dyDescent="0.6">
      <c r="A119" s="1" t="str">
        <f>_xlfn.CONCAT(Elipse!$C28,",",Elipse!E28)</f>
        <v>118.75,31.0016448080367</v>
      </c>
    </row>
    <row r="120" spans="1:1" x14ac:dyDescent="0.6">
      <c r="A120" s="1" t="str">
        <f>_xlfn.CONCAT(Elipse!$C29,",",Elipse!E29)</f>
        <v>120,31.1438191683587</v>
      </c>
    </row>
    <row r="121" spans="1:1" x14ac:dyDescent="0.6">
      <c r="A121" s="1" t="str">
        <f>_xlfn.CONCAT(Elipse!$C30,",",Elipse!E30)</f>
        <v>121.25,31.2963535937805</v>
      </c>
    </row>
    <row r="122" spans="1:1" x14ac:dyDescent="0.6">
      <c r="A122" s="1" t="str">
        <f>_xlfn.CONCAT(Elipse!$C31,",",Elipse!E31)</f>
        <v>122.5,31.4595037822608</v>
      </c>
    </row>
    <row r="123" spans="1:1" x14ac:dyDescent="0.6">
      <c r="A123" s="1" t="str">
        <f>_xlfn.CONCAT(Elipse!$C32,",",Elipse!E32)</f>
        <v>123.75,31.6335526328882</v>
      </c>
    </row>
    <row r="124" spans="1:1" x14ac:dyDescent="0.6">
      <c r="A124" s="1" t="str">
        <f>_xlfn.CONCAT(Elipse!$C33,",",Elipse!E33)</f>
        <v>125,31.8188131422738</v>
      </c>
    </row>
    <row r="125" spans="1:1" x14ac:dyDescent="0.6">
      <c r="A125" s="1" t="str">
        <f>_xlfn.CONCAT(Elipse!$C34,",",Elipse!E34)</f>
        <v>126.25,32.0156317875773</v>
      </c>
    </row>
    <row r="126" spans="1:1" x14ac:dyDescent="0.6">
      <c r="A126" s="1" t="str">
        <f>_xlfn.CONCAT(Elipse!$C35,",",Elipse!E35)</f>
        <v>127.5,32.224392493582</v>
      </c>
    </row>
    <row r="127" spans="1:1" x14ac:dyDescent="0.6">
      <c r="A127" s="1" t="str">
        <f>_xlfn.CONCAT(Elipse!$C36,",",Elipse!E36)</f>
        <v>128.75,32.4455213058826</v>
      </c>
    </row>
    <row r="128" spans="1:1" x14ac:dyDescent="0.6">
      <c r="A128" s="1" t="str">
        <f>_xlfn.CONCAT(Elipse!$C37,",",Elipse!E37)</f>
        <v>130,32.6794919243112</v>
      </c>
    </row>
    <row r="129" spans="1:1" x14ac:dyDescent="0.6">
      <c r="A129" s="1" t="str">
        <f>_xlfn.CONCAT(Elipse!$C38,",",Elipse!E38)</f>
        <v>131.25,32.9268322928768</v>
      </c>
    </row>
    <row r="130" spans="1:1" x14ac:dyDescent="0.6">
      <c r="A130" s="1" t="str">
        <f>_xlfn.CONCAT(Elipse!$C39,",",Elipse!E39)</f>
        <v>132.5,33.1881324984733</v>
      </c>
    </row>
    <row r="131" spans="1:1" x14ac:dyDescent="0.6">
      <c r="A131" s="1" t="str">
        <f>_xlfn.CONCAT(Elipse!$C40,",",Elipse!E40)</f>
        <v>133.75,33.4640543058463</v>
      </c>
    </row>
    <row r="132" spans="1:1" x14ac:dyDescent="0.6">
      <c r="A132" s="1" t="str">
        <f>_xlfn.CONCAT(Elipse!$C41,",",Elipse!E41)</f>
        <v>135,33.7553427586517</v>
      </c>
    </row>
    <row r="133" spans="1:1" x14ac:dyDescent="0.6">
      <c r="A133" s="1" t="str">
        <f>_xlfn.CONCAT(Elipse!$C42,",",Elipse!E42)</f>
        <v>136.25,34.0628404175789</v>
      </c>
    </row>
    <row r="134" spans="1:1" x14ac:dyDescent="0.6">
      <c r="A134" s="1" t="str">
        <f>_xlfn.CONCAT(Elipse!$C43,",",Elipse!E43)</f>
        <v>137.5,34.387505004004</v>
      </c>
    </row>
    <row r="135" spans="1:1" x14ac:dyDescent="0.6">
      <c r="A135" s="1" t="str">
        <f>_xlfn.CONCAT(Elipse!$C44,",",Elipse!E44)</f>
        <v>138.75,34.7304314984927</v>
      </c>
    </row>
    <row r="136" spans="1:1" x14ac:dyDescent="0.6">
      <c r="A136" s="1" t="str">
        <f>_xlfn.CONCAT(Elipse!$C45,",",Elipse!E45)</f>
        <v>140,35.0928801500014</v>
      </c>
    </row>
    <row r="137" spans="1:1" x14ac:dyDescent="0.6">
      <c r="A137" s="1" t="str">
        <f>_xlfn.CONCAT(Elipse!$C46,",",Elipse!E46)</f>
        <v>141.25,35.4763124517222</v>
      </c>
    </row>
    <row r="138" spans="1:1" x14ac:dyDescent="0.6">
      <c r="A138" s="1" t="str">
        <f>_xlfn.CONCAT(Elipse!$C47,",",Elipse!E47)</f>
        <v>142.5,35.8824380449188</v>
      </c>
    </row>
    <row r="139" spans="1:1" x14ac:dyDescent="0.6">
      <c r="A139" s="1" t="str">
        <f>_xlfn.CONCAT(Elipse!$C48,",",Elipse!E48)</f>
        <v>143.75,36.3132769119526</v>
      </c>
    </row>
    <row r="140" spans="1:1" x14ac:dyDescent="0.6">
      <c r="A140" s="1" t="str">
        <f>_xlfn.CONCAT(Elipse!$C49,",",Elipse!E49)</f>
        <v>145,36.771243444677</v>
      </c>
    </row>
    <row r="141" spans="1:1" x14ac:dyDescent="0.6">
      <c r="A141" s="1" t="str">
        <f>_xlfn.CONCAT(Elipse!$C50,",",Elipse!E50)</f>
        <v>146.25,37.2592626238161</v>
      </c>
    </row>
    <row r="142" spans="1:1" x14ac:dyDescent="0.6">
      <c r="A142" s="1" t="str">
        <f>_xlfn.CONCAT(Elipse!$C51,",",Elipse!E51)</f>
        <v>147.5,37.780934751154</v>
      </c>
    </row>
    <row r="143" spans="1:1" x14ac:dyDescent="0.6">
      <c r="A143" s="1" t="str">
        <f>_xlfn.CONCAT(Elipse!$C52,",",Elipse!E52)</f>
        <v>148.75,38.340776183639</v>
      </c>
    </row>
    <row r="144" spans="1:1" x14ac:dyDescent="0.6">
      <c r="A144" s="1" t="str">
        <f>_xlfn.CONCAT(Elipse!$C53,",",Elipse!E53)</f>
        <v>150,38.9445840321487</v>
      </c>
    </row>
    <row r="145" spans="1:1" x14ac:dyDescent="0.6">
      <c r="A145" s="1" t="str">
        <f>_xlfn.CONCAT(Elipse!$C54,",",Elipse!E54)</f>
        <v>151.25,39.6000133547094</v>
      </c>
    </row>
    <row r="146" spans="1:1" x14ac:dyDescent="0.6">
      <c r="A146" s="1" t="str">
        <f>_xlfn.CONCAT(Elipse!$C55,",",Elipse!E55)</f>
        <v>152.5,40.3175416344815</v>
      </c>
    </row>
    <row r="147" spans="1:1" x14ac:dyDescent="0.6">
      <c r="A147" s="1" t="str">
        <f>_xlfn.CONCAT(Elipse!$C56,",",Elipse!E56)</f>
        <v>153.75,41.112196246791</v>
      </c>
    </row>
    <row r="148" spans="1:1" x14ac:dyDescent="0.6">
      <c r="A148" s="1" t="str">
        <f>_xlfn.CONCAT(Elipse!$C57,",",Elipse!E57)</f>
        <v>155,42.0069474611455</v>
      </c>
    </row>
    <row r="149" spans="1:1" x14ac:dyDescent="0.6">
      <c r="A149" s="1" t="str">
        <f>_xlfn.CONCAT(Elipse!$C58,",",Elipse!E58)</f>
        <v>156.25,43.0402945464625</v>
      </c>
    </row>
    <row r="150" spans="1:1" x14ac:dyDescent="0.6">
      <c r="A150" s="1" t="str">
        <f>_xlfn.CONCAT(Elipse!$C59,",",Elipse!E59)</f>
        <v>157.5,44.2869544996658</v>
      </c>
    </row>
    <row r="151" spans="1:1" x14ac:dyDescent="0.6">
      <c r="A151" s="1" t="str">
        <f>_xlfn.CONCAT(Elipse!$C60,",",Elipse!E60)</f>
        <v>158.75,45.9388356896629</v>
      </c>
    </row>
    <row r="152" spans="1:1" x14ac:dyDescent="0.6">
      <c r="A152" s="1" t="str">
        <f>_xlfn.CONCAT(Elipse!$C61,",",Elipse!E61)</f>
        <v>160,50</v>
      </c>
    </row>
    <row r="153" spans="1:1" x14ac:dyDescent="0.6">
      <c r="A153" s="1" t="str">
        <f>_xlfn.CONCAT(Elipse!$C62,",",Elipse!E62)</f>
        <v>160,50</v>
      </c>
    </row>
    <row r="154" spans="1:1" x14ac:dyDescent="0.6">
      <c r="A154" s="1" t="str">
        <f>_xlfn.CONCAT(Elipse!$C63,",",Elipse!E63)</f>
        <v>160,50</v>
      </c>
    </row>
    <row r="155" spans="1:1" x14ac:dyDescent="0.6">
      <c r="A155" s="1" t="str">
        <f>_xlfn.CONCAT(Elipse!$C64,",",Elipse!E64)</f>
        <v>160,50</v>
      </c>
    </row>
    <row r="156" spans="1:1" x14ac:dyDescent="0.6">
      <c r="A156" s="1" t="str">
        <f>_xlfn.CONCAT(Elipse!$C65,",",Elipse!E65)</f>
        <v>160,50</v>
      </c>
    </row>
    <row r="157" spans="1:1" x14ac:dyDescent="0.6">
      <c r="A157" s="1" t="str">
        <f>_xlfn.CONCAT(Elipse!$C66,",",Elipse!E66)</f>
        <v>160,50</v>
      </c>
    </row>
    <row r="158" spans="1:1" x14ac:dyDescent="0.6">
      <c r="A158" s="1" t="str">
        <f>_xlfn.CONCAT(Elipse!$C67,",",Elipse!E67)</f>
        <v>160,50</v>
      </c>
    </row>
    <row r="159" spans="1:1" x14ac:dyDescent="0.6">
      <c r="A159" s="1" t="str">
        <f>_xlfn.CONCAT(Elipse!$C68,",",Elipse!E68)</f>
        <v>160,50</v>
      </c>
    </row>
    <row r="160" spans="1:1" x14ac:dyDescent="0.6">
      <c r="A160" s="1" t="str">
        <f>_xlfn.CONCAT(Elipse!$C69,",",Elipse!E69)</f>
        <v>160,50</v>
      </c>
    </row>
    <row r="161" spans="1:1" x14ac:dyDescent="0.6">
      <c r="A161" s="1" t="str">
        <f>_xlfn.CONCAT(Elipse!$C70,",",Elipse!E70)</f>
        <v>160,50</v>
      </c>
    </row>
    <row r="162" spans="1:1" x14ac:dyDescent="0.6">
      <c r="A162" s="1" t="str">
        <f>_xlfn.CONCAT(Elipse!$C71,",",Elipse!E71)</f>
        <v>160,50</v>
      </c>
    </row>
    <row r="163" spans="1:1" x14ac:dyDescent="0.6">
      <c r="A163" s="1" t="str">
        <f>_xlfn.CONCAT(Elipse!$C72,",",Elipse!E72)</f>
        <v>160,50</v>
      </c>
    </row>
    <row r="164" spans="1:1" x14ac:dyDescent="0.6">
      <c r="A164" s="1" t="str">
        <f>_xlfn.CONCAT(Elipse!$C73,",",Elipse!E73)</f>
        <v>160,50</v>
      </c>
    </row>
    <row r="165" spans="1:1" x14ac:dyDescent="0.6">
      <c r="A165" s="1" t="str">
        <f>_xlfn.CONCAT(Elipse!$C74,",",Elipse!E74)</f>
        <v>160,50</v>
      </c>
    </row>
    <row r="166" spans="1:1" x14ac:dyDescent="0.6">
      <c r="A166" s="1" t="str">
        <f>_xlfn.CONCAT(Elipse!$C75,",",Elipse!E75)</f>
        <v>160,50</v>
      </c>
    </row>
    <row r="167" spans="1:1" x14ac:dyDescent="0.6">
      <c r="A167" s="1" t="str">
        <f>_xlfn.CONCAT(Elipse!$C76,",",Elipse!E76)</f>
        <v>160,50</v>
      </c>
    </row>
    <row r="168" spans="1:1" x14ac:dyDescent="0.6">
      <c r="A168" s="1" t="str">
        <f>_xlfn.CONCAT(Elipse!$C77,",",Elipse!E77)</f>
        <v>160,50</v>
      </c>
    </row>
    <row r="169" spans="1:1" x14ac:dyDescent="0.6">
      <c r="A169" s="1" t="str">
        <f>_xlfn.CONCAT(Elipse!$C78,",",Elipse!E78)</f>
        <v>160,50</v>
      </c>
    </row>
    <row r="170" spans="1:1" x14ac:dyDescent="0.6">
      <c r="A170" s="1" t="str">
        <f>_xlfn.CONCAT(Elipse!$C79,",",Elipse!E79)</f>
        <v>160,50</v>
      </c>
    </row>
    <row r="171" spans="1:1" x14ac:dyDescent="0.6">
      <c r="A171" s="1" t="str">
        <f>_xlfn.CONCAT(Elipse!$C80,",",Elipse!E80)</f>
        <v>160,50</v>
      </c>
    </row>
    <row r="172" spans="1:1" x14ac:dyDescent="0.6">
      <c r="A172" s="1" t="str">
        <f>_xlfn.CONCAT(Elipse!$C81,",",Elipse!E81)</f>
        <v>160,50</v>
      </c>
    </row>
    <row r="173" spans="1:1" x14ac:dyDescent="0.6">
      <c r="A173" s="1" t="str">
        <f>_xlfn.CONCAT(Elipse!$C82,",",Elipse!E82)</f>
        <v>160,50</v>
      </c>
    </row>
    <row r="174" spans="1:1" x14ac:dyDescent="0.6">
      <c r="A174" s="1" t="str">
        <f>_xlfn.CONCAT(Elipse!$C83,",",Elipse!E83)</f>
        <v>160,50</v>
      </c>
    </row>
    <row r="175" spans="1:1" x14ac:dyDescent="0.6">
      <c r="A175" s="1" t="str">
        <f>_xlfn.CONCAT(Elipse!$C84,",",Elipse!E84)</f>
        <v>160,50</v>
      </c>
    </row>
    <row r="176" spans="1:1" x14ac:dyDescent="0.6">
      <c r="A176" s="1" t="str">
        <f>_xlfn.CONCAT(Elipse!$C85,",",Elipse!E85)</f>
        <v>160,50</v>
      </c>
    </row>
    <row r="177" spans="1:1" x14ac:dyDescent="0.6">
      <c r="A177" s="1" t="str">
        <f>_xlfn.CONCAT(Elipse!$C86,",",Elipse!E86)</f>
        <v>160,50</v>
      </c>
    </row>
    <row r="178" spans="1:1" x14ac:dyDescent="0.6">
      <c r="A178" s="1" t="str">
        <f>_xlfn.CONCAT(Elipse!$C87,",",Elipse!E87)</f>
        <v>160,50</v>
      </c>
    </row>
    <row r="179" spans="1:1" x14ac:dyDescent="0.6">
      <c r="A179" s="1" t="str">
        <f>_xlfn.CONCAT(Elipse!$C88,",",Elipse!E88)</f>
        <v>160,50</v>
      </c>
    </row>
    <row r="180" spans="1:1" x14ac:dyDescent="0.6">
      <c r="A180" s="1" t="str">
        <f>_xlfn.CONCAT(Elipse!$C89,",",Elipse!E89)</f>
        <v>160,50</v>
      </c>
    </row>
    <row r="181" spans="1:1" x14ac:dyDescent="0.6">
      <c r="A181" s="1" t="str">
        <f>_xlfn.CONCAT(Elipse!$C90,",",Elipse!E90)</f>
        <v>160,50</v>
      </c>
    </row>
    <row r="182" spans="1:1" x14ac:dyDescent="0.6">
      <c r="A182" s="1" t="str">
        <f>_xlfn.CONCAT(Elipse!$C91,",",Elipse!E91)</f>
        <v>160,50</v>
      </c>
    </row>
    <row r="183" spans="1:1" x14ac:dyDescent="0.6">
      <c r="A183" s="1" t="str">
        <f>_xlfn.CONCAT(Elipse!$C92,",",Elipse!E92)</f>
        <v>160,50</v>
      </c>
    </row>
    <row r="184" spans="1:1" x14ac:dyDescent="0.6">
      <c r="A184" s="1" t="str">
        <f>_xlfn.CONCAT(Elipse!$C93,",",Elipse!E93)</f>
        <v>160,50</v>
      </c>
    </row>
    <row r="185" spans="1:1" x14ac:dyDescent="0.6">
      <c r="A185" s="1" t="str">
        <f>_xlfn.CONCAT(Elipse!$C94,",",Elipse!E94)</f>
        <v>160,50</v>
      </c>
    </row>
    <row r="186" spans="1:1" x14ac:dyDescent="0.6">
      <c r="A186" s="1" t="str">
        <f>_xlfn.CONCAT(Elipse!$C95,",",Elipse!E95)</f>
        <v>160,50</v>
      </c>
    </row>
    <row r="187" spans="1:1" x14ac:dyDescent="0.6">
      <c r="A187" s="1" t="str">
        <f>_xlfn.CONCAT(Elipse!$C96,",",Elipse!E96)</f>
        <v>160,50</v>
      </c>
    </row>
    <row r="188" spans="1:1" x14ac:dyDescent="0.6">
      <c r="A188" s="1" t="str">
        <f>_xlfn.CONCAT(Elipse!$C97,",",Elipse!E97)</f>
        <v>160,50</v>
      </c>
    </row>
    <row r="189" spans="1:1" x14ac:dyDescent="0.6">
      <c r="A189" s="1" t="str">
        <f>_xlfn.CONCAT(Elipse!$C98,",",Elipse!E98)</f>
        <v>160,50</v>
      </c>
    </row>
    <row r="190" spans="1:1" x14ac:dyDescent="0.6">
      <c r="A190" s="1" t="str">
        <f>_xlfn.CONCAT(Elipse!$C99,",",Elipse!E99)</f>
        <v>160,50</v>
      </c>
    </row>
    <row r="191" spans="1:1" x14ac:dyDescent="0.6">
      <c r="A191" s="1" t="str">
        <f>_xlfn.CONCAT(Elipse!$C100,",",Elipse!E100)</f>
        <v>160,50</v>
      </c>
    </row>
    <row r="192" spans="1:1" x14ac:dyDescent="0.6">
      <c r="A192" s="1" t="str">
        <f>_xlfn.CONCAT(Elipse!$C101,",",Elipse!E101)</f>
        <v>160,50</v>
      </c>
    </row>
    <row r="193" spans="1:1" x14ac:dyDescent="0.6">
      <c r="A193" s="1" t="str">
        <f>_xlfn.CONCAT(Elipse!$C102,",",Elipse!E102)</f>
        <v>160,50</v>
      </c>
    </row>
    <row r="194" spans="1:1" x14ac:dyDescent="0.6">
      <c r="A194" s="1" t="str">
        <f>_xlfn.CONCAT(Elipse!$C103,",",Elipse!E103)</f>
        <v>160,50</v>
      </c>
    </row>
    <row r="195" spans="1:1" x14ac:dyDescent="0.6">
      <c r="A195" s="1" t="str">
        <f>_xlfn.CONCAT(Elipse!$C104,",",Elipse!E104)</f>
        <v>160,50</v>
      </c>
    </row>
    <row r="196" spans="1:1" x14ac:dyDescent="0.6">
      <c r="A196" s="1" t="str">
        <f>_xlfn.CONCAT(Elipse!$C105,",",Elipse!E105)</f>
        <v>160,50</v>
      </c>
    </row>
    <row r="197" spans="1:1" x14ac:dyDescent="0.6">
      <c r="A197" s="1" t="str">
        <f>_xlfn.CONCAT(Elipse!$C106,",",Elipse!E106)</f>
        <v>160,50</v>
      </c>
    </row>
    <row r="198" spans="1:1" x14ac:dyDescent="0.6">
      <c r="A198" s="1" t="str">
        <f>_xlfn.CONCAT(Elipse!$C107,",",Elipse!E107)</f>
        <v>160,50</v>
      </c>
    </row>
    <row r="199" spans="1:1" x14ac:dyDescent="0.6">
      <c r="A199" s="1" t="str">
        <f>_xlfn.CONCAT(Elipse!$C108,",",Elipse!E108)</f>
        <v>160,50</v>
      </c>
    </row>
    <row r="200" spans="1:1" x14ac:dyDescent="0.6">
      <c r="A200" s="1" t="str">
        <f>_xlfn.CONCAT(Elipse!$C109,",",Elipse!E109)</f>
        <v>160,50</v>
      </c>
    </row>
    <row r="201" spans="1:1" x14ac:dyDescent="0.6">
      <c r="A201" s="1" t="str">
        <f>_xlfn.CONCAT(Elipse!$C110,",",Elipse!E110)</f>
        <v>160,50</v>
      </c>
    </row>
    <row r="202" spans="1:1" x14ac:dyDescent="0.6">
      <c r="A202" s="1" t="str">
        <f>_xlfn.CONCAT(Elipse!$C111,",",Elipse!E111)</f>
        <v>160,50</v>
      </c>
    </row>
    <row r="203" spans="1:1" x14ac:dyDescent="0.6">
      <c r="A203" s="1" t="str">
        <f>_xlfn.CONCAT(Elipse!$C112,",",Elipse!E112)</f>
        <v>160,50</v>
      </c>
    </row>
    <row r="205" spans="1:1" x14ac:dyDescent="0.6">
      <c r="A205" s="1" t="s">
        <v>17</v>
      </c>
    </row>
    <row r="206" spans="1:1" x14ac:dyDescent="0.6">
      <c r="A206" s="1" t="str">
        <f>_xlfn.CONCAT(Elipse!$F13,",",Elipse!G13)</f>
        <v>100,70</v>
      </c>
    </row>
    <row r="207" spans="1:1" x14ac:dyDescent="0.6">
      <c r="A207" s="1" t="str">
        <f>_xlfn.CONCAT(Elipse!$F14,",",Elipse!G14)</f>
        <v>98.75,69.9956592511697</v>
      </c>
    </row>
    <row r="208" spans="1:1" x14ac:dyDescent="0.6">
      <c r="A208" s="1" t="str">
        <f>_xlfn.CONCAT(Elipse!$F15,",",Elipse!G15)</f>
        <v>97.5,69.9826313471363</v>
      </c>
    </row>
    <row r="209" spans="1:1" x14ac:dyDescent="0.6">
      <c r="A209" s="1" t="str">
        <f>_xlfn.CONCAT(Elipse!$F16,",",Elipse!G16)</f>
        <v>96.25,69.9608992783391</v>
      </c>
    </row>
    <row r="210" spans="1:1" x14ac:dyDescent="0.6">
      <c r="A210" s="1" t="str">
        <f>_xlfn.CONCAT(Elipse!$F17,",",Elipse!G17)</f>
        <v>95,69.9304345718357</v>
      </c>
    </row>
    <row r="211" spans="1:1" x14ac:dyDescent="0.6">
      <c r="A211" s="1" t="str">
        <f>_xlfn.CONCAT(Elipse!$F18,",",Elipse!G18)</f>
        <v>93.75,69.8911971038</v>
      </c>
    </row>
    <row r="212" spans="1:1" x14ac:dyDescent="0.6">
      <c r="A212" s="1" t="str">
        <f>_xlfn.CONCAT(Elipse!$F19,",",Elipse!G19)</f>
        <v>92.5,69.8431348329844</v>
      </c>
    </row>
    <row r="213" spans="1:1" x14ac:dyDescent="0.6">
      <c r="A213" s="1" t="str">
        <f>_xlfn.CONCAT(Elipse!$F20,",",Elipse!G20)</f>
        <v>91.25,69.7861834509729</v>
      </c>
    </row>
    <row r="214" spans="1:1" x14ac:dyDescent="0.6">
      <c r="A214" s="1" t="str">
        <f>_xlfn.CONCAT(Elipse!$F21,",",Elipse!G21)</f>
        <v>90,69.7202659436654</v>
      </c>
    </row>
    <row r="215" spans="1:1" x14ac:dyDescent="0.6">
      <c r="A215" s="1" t="str">
        <f>_xlfn.CONCAT(Elipse!$F22,",",Elipse!G22)</f>
        <v>88.75,69.6452920568771</v>
      </c>
    </row>
    <row r="216" spans="1:1" x14ac:dyDescent="0.6">
      <c r="A216" s="1" t="str">
        <f>_xlfn.CONCAT(Elipse!$F23,",",Elipse!G23)</f>
        <v>87.5,69.5611576571758</v>
      </c>
    </row>
    <row r="217" spans="1:1" x14ac:dyDescent="0.6">
      <c r="A217" s="1" t="str">
        <f>_xlfn.CONCAT(Elipse!$F24,",",Elipse!G24)</f>
        <v>86.25,69.4677439770394</v>
      </c>
    </row>
    <row r="218" spans="1:1" x14ac:dyDescent="0.6">
      <c r="A218" s="1" t="str">
        <f>_xlfn.CONCAT(Elipse!$F25,",",Elipse!G25)</f>
        <v>85,69.3649167310371</v>
      </c>
    </row>
    <row r="219" spans="1:1" x14ac:dyDescent="0.6">
      <c r="A219" s="1" t="str">
        <f>_xlfn.CONCAT(Elipse!$F26,",",Elipse!G26)</f>
        <v>83.75,69.2525250869132</v>
      </c>
    </row>
    <row r="220" spans="1:1" x14ac:dyDescent="0.6">
      <c r="A220" s="1" t="str">
        <f>_xlfn.CONCAT(Elipse!$F27,",",Elipse!G27)</f>
        <v>82.5,69.1304004720817</v>
      </c>
    </row>
    <row r="221" spans="1:1" x14ac:dyDescent="0.6">
      <c r="A221" s="1" t="str">
        <f>_xlfn.CONCAT(Elipse!$F28,",",Elipse!G28)</f>
        <v>81.25,68.9983551919633</v>
      </c>
    </row>
    <row r="222" spans="1:1" x14ac:dyDescent="0.6">
      <c r="A222" s="1" t="str">
        <f>_xlfn.CONCAT(Elipse!$F29,",",Elipse!G29)</f>
        <v>80,68.8561808316413</v>
      </c>
    </row>
    <row r="223" spans="1:1" x14ac:dyDescent="0.6">
      <c r="A223" s="1" t="str">
        <f>_xlfn.CONCAT(Elipse!$F30,",",Elipse!G30)</f>
        <v>78.75,68.7036464062195</v>
      </c>
    </row>
    <row r="224" spans="1:1" x14ac:dyDescent="0.6">
      <c r="A224" s="1" t="str">
        <f>_xlfn.CONCAT(Elipse!$F31,",",Elipse!G31)</f>
        <v>77.5,68.5404962177392</v>
      </c>
    </row>
    <row r="225" spans="1:1" x14ac:dyDescent="0.6">
      <c r="A225" s="1" t="str">
        <f>_xlfn.CONCAT(Elipse!$F32,",",Elipse!G32)</f>
        <v>76.25,68.3664473671118</v>
      </c>
    </row>
    <row r="226" spans="1:1" x14ac:dyDescent="0.6">
      <c r="A226" s="1" t="str">
        <f>_xlfn.CONCAT(Elipse!$F33,",",Elipse!G33)</f>
        <v>75,68.1811868577262</v>
      </c>
    </row>
    <row r="227" spans="1:1" x14ac:dyDescent="0.6">
      <c r="A227" s="1" t="str">
        <f>_xlfn.CONCAT(Elipse!$F34,",",Elipse!G34)</f>
        <v>73.75,67.9843682124227</v>
      </c>
    </row>
    <row r="228" spans="1:1" x14ac:dyDescent="0.6">
      <c r="A228" s="1" t="str">
        <f>_xlfn.CONCAT(Elipse!$F35,",",Elipse!G35)</f>
        <v>72.5,67.775607506418</v>
      </c>
    </row>
    <row r="229" spans="1:1" x14ac:dyDescent="0.6">
      <c r="A229" s="1" t="str">
        <f>_xlfn.CONCAT(Elipse!$F36,",",Elipse!G36)</f>
        <v>71.25,67.5544786941174</v>
      </c>
    </row>
    <row r="230" spans="1:1" x14ac:dyDescent="0.6">
      <c r="A230" s="1" t="str">
        <f>_xlfn.CONCAT(Elipse!$F37,",",Elipse!G37)</f>
        <v>70,67.3205080756888</v>
      </c>
    </row>
    <row r="231" spans="1:1" x14ac:dyDescent="0.6">
      <c r="A231" s="1" t="str">
        <f>_xlfn.CONCAT(Elipse!$F38,",",Elipse!G38)</f>
        <v>68.75,67.0731677071232</v>
      </c>
    </row>
    <row r="232" spans="1:1" x14ac:dyDescent="0.6">
      <c r="A232" s="1" t="str">
        <f>_xlfn.CONCAT(Elipse!$F39,",",Elipse!G39)</f>
        <v>67.5,66.8118675015267</v>
      </c>
    </row>
    <row r="233" spans="1:1" x14ac:dyDescent="0.6">
      <c r="A233" s="1" t="str">
        <f>_xlfn.CONCAT(Elipse!$F40,",",Elipse!G40)</f>
        <v>66.25,66.5359456941537</v>
      </c>
    </row>
    <row r="234" spans="1:1" x14ac:dyDescent="0.6">
      <c r="A234" s="1" t="str">
        <f>_xlfn.CONCAT(Elipse!$F41,",",Elipse!G41)</f>
        <v>65,66.2446572413483</v>
      </c>
    </row>
    <row r="235" spans="1:1" x14ac:dyDescent="0.6">
      <c r="A235" s="1" t="str">
        <f>_xlfn.CONCAT(Elipse!$F42,",",Elipse!G42)</f>
        <v>63.75,65.9371595824211</v>
      </c>
    </row>
    <row r="236" spans="1:1" x14ac:dyDescent="0.6">
      <c r="A236" s="1" t="str">
        <f>_xlfn.CONCAT(Elipse!$F43,",",Elipse!G43)</f>
        <v>62.5,65.612494995996</v>
      </c>
    </row>
    <row r="237" spans="1:1" x14ac:dyDescent="0.6">
      <c r="A237" s="1" t="str">
        <f>_xlfn.CONCAT(Elipse!$F44,",",Elipse!G44)</f>
        <v>61.25,65.2695685015073</v>
      </c>
    </row>
    <row r="238" spans="1:1" x14ac:dyDescent="0.6">
      <c r="A238" s="1" t="str">
        <f>_xlfn.CONCAT(Elipse!$F45,",",Elipse!G45)</f>
        <v>60,64.9071198499986</v>
      </c>
    </row>
    <row r="239" spans="1:1" x14ac:dyDescent="0.6">
      <c r="A239" s="1" t="str">
        <f>_xlfn.CONCAT(Elipse!$F46,",",Elipse!G46)</f>
        <v>58.75,64.5236875482778</v>
      </c>
    </row>
    <row r="240" spans="1:1" x14ac:dyDescent="0.6">
      <c r="A240" s="1" t="str">
        <f>_xlfn.CONCAT(Elipse!$F47,",",Elipse!G47)</f>
        <v>57.5,64.1175619550812</v>
      </c>
    </row>
    <row r="241" spans="1:1" x14ac:dyDescent="0.6">
      <c r="A241" s="1" t="str">
        <f>_xlfn.CONCAT(Elipse!$F48,",",Elipse!G48)</f>
        <v>56.25,63.6867230880474</v>
      </c>
    </row>
    <row r="242" spans="1:1" x14ac:dyDescent="0.6">
      <c r="A242" s="1" t="str">
        <f>_xlfn.CONCAT(Elipse!$F49,",",Elipse!G49)</f>
        <v>55,63.228756555323</v>
      </c>
    </row>
    <row r="243" spans="1:1" x14ac:dyDescent="0.6">
      <c r="A243" s="1" t="str">
        <f>_xlfn.CONCAT(Elipse!$F50,",",Elipse!G50)</f>
        <v>53.75,62.7407373761839</v>
      </c>
    </row>
    <row r="244" spans="1:1" x14ac:dyDescent="0.6">
      <c r="A244" s="1" t="str">
        <f>_xlfn.CONCAT(Elipse!$F51,",",Elipse!G51)</f>
        <v>52.5,62.219065248846</v>
      </c>
    </row>
    <row r="245" spans="1:1" x14ac:dyDescent="0.6">
      <c r="A245" s="1" t="str">
        <f>_xlfn.CONCAT(Elipse!$F52,",",Elipse!G52)</f>
        <v>51.25,61.659223816361</v>
      </c>
    </row>
    <row r="246" spans="1:1" x14ac:dyDescent="0.6">
      <c r="A246" s="1" t="str">
        <f>_xlfn.CONCAT(Elipse!$F53,",",Elipse!G53)</f>
        <v>50,61.0554159678513</v>
      </c>
    </row>
    <row r="247" spans="1:1" x14ac:dyDescent="0.6">
      <c r="A247" s="1" t="str">
        <f>_xlfn.CONCAT(Elipse!$F54,",",Elipse!G54)</f>
        <v>48.75,60.3999866452906</v>
      </c>
    </row>
    <row r="248" spans="1:1" x14ac:dyDescent="0.6">
      <c r="A248" s="1" t="str">
        <f>_xlfn.CONCAT(Elipse!$F55,",",Elipse!G55)</f>
        <v>47.5,59.6824583655185</v>
      </c>
    </row>
    <row r="249" spans="1:1" x14ac:dyDescent="0.6">
      <c r="A249" s="1" t="str">
        <f>_xlfn.CONCAT(Elipse!$F56,",",Elipse!G56)</f>
        <v>46.25,58.887803753209</v>
      </c>
    </row>
    <row r="250" spans="1:1" x14ac:dyDescent="0.6">
      <c r="A250" s="1" t="str">
        <f>_xlfn.CONCAT(Elipse!$F57,",",Elipse!G57)</f>
        <v>45,57.9930525388545</v>
      </c>
    </row>
    <row r="251" spans="1:1" x14ac:dyDescent="0.6">
      <c r="A251" s="1" t="str">
        <f>_xlfn.CONCAT(Elipse!$F58,",",Elipse!G58)</f>
        <v>43.75,56.9597054535375</v>
      </c>
    </row>
    <row r="252" spans="1:1" x14ac:dyDescent="0.6">
      <c r="A252" s="1" t="str">
        <f>_xlfn.CONCAT(Elipse!$F59,",",Elipse!G59)</f>
        <v>42.5,55.7130455003342</v>
      </c>
    </row>
    <row r="253" spans="1:1" x14ac:dyDescent="0.6">
      <c r="A253" s="1" t="str">
        <f>_xlfn.CONCAT(Elipse!$F60,",",Elipse!G60)</f>
        <v>41.25,54.0611643103371</v>
      </c>
    </row>
    <row r="254" spans="1:1" x14ac:dyDescent="0.6">
      <c r="A254" s="1" t="str">
        <f>_xlfn.CONCAT(Elipse!$F61,",",Elipse!G61)</f>
        <v>40,50</v>
      </c>
    </row>
    <row r="255" spans="1:1" x14ac:dyDescent="0.6">
      <c r="A255" s="1" t="str">
        <f>_xlfn.CONCAT(Elipse!$F62,",",Elipse!G62)</f>
        <v>40,50</v>
      </c>
    </row>
    <row r="256" spans="1:1" x14ac:dyDescent="0.6">
      <c r="A256" s="1" t="str">
        <f>_xlfn.CONCAT(Elipse!$F63,",",Elipse!G63)</f>
        <v>40,50</v>
      </c>
    </row>
    <row r="257" spans="1:1" x14ac:dyDescent="0.6">
      <c r="A257" s="1" t="str">
        <f>_xlfn.CONCAT(Elipse!$F64,",",Elipse!G64)</f>
        <v>40,50</v>
      </c>
    </row>
    <row r="258" spans="1:1" x14ac:dyDescent="0.6">
      <c r="A258" s="1" t="str">
        <f>_xlfn.CONCAT(Elipse!$F65,",",Elipse!G65)</f>
        <v>40,50</v>
      </c>
    </row>
    <row r="259" spans="1:1" x14ac:dyDescent="0.6">
      <c r="A259" s="1" t="str">
        <f>_xlfn.CONCAT(Elipse!$F66,",",Elipse!G66)</f>
        <v>40,50</v>
      </c>
    </row>
    <row r="260" spans="1:1" x14ac:dyDescent="0.6">
      <c r="A260" s="1" t="str">
        <f>_xlfn.CONCAT(Elipse!$F67,",",Elipse!G67)</f>
        <v>40,50</v>
      </c>
    </row>
    <row r="261" spans="1:1" x14ac:dyDescent="0.6">
      <c r="A261" s="1" t="str">
        <f>_xlfn.CONCAT(Elipse!$F68,",",Elipse!G68)</f>
        <v>40,50</v>
      </c>
    </row>
    <row r="262" spans="1:1" x14ac:dyDescent="0.6">
      <c r="A262" s="1" t="str">
        <f>_xlfn.CONCAT(Elipse!$F69,",",Elipse!G69)</f>
        <v>40,50</v>
      </c>
    </row>
    <row r="263" spans="1:1" x14ac:dyDescent="0.6">
      <c r="A263" s="1" t="str">
        <f>_xlfn.CONCAT(Elipse!$F70,",",Elipse!G70)</f>
        <v>40,50</v>
      </c>
    </row>
    <row r="264" spans="1:1" x14ac:dyDescent="0.6">
      <c r="A264" s="1" t="str">
        <f>_xlfn.CONCAT(Elipse!$F71,",",Elipse!G71)</f>
        <v>40,50</v>
      </c>
    </row>
    <row r="265" spans="1:1" x14ac:dyDescent="0.6">
      <c r="A265" s="1" t="str">
        <f>_xlfn.CONCAT(Elipse!$F72,",",Elipse!G72)</f>
        <v>40,50</v>
      </c>
    </row>
    <row r="266" spans="1:1" x14ac:dyDescent="0.6">
      <c r="A266" s="1" t="str">
        <f>_xlfn.CONCAT(Elipse!$F73,",",Elipse!G73)</f>
        <v>40,50</v>
      </c>
    </row>
    <row r="267" spans="1:1" x14ac:dyDescent="0.6">
      <c r="A267" s="1" t="str">
        <f>_xlfn.CONCAT(Elipse!$F74,",",Elipse!G74)</f>
        <v>40,50</v>
      </c>
    </row>
    <row r="268" spans="1:1" x14ac:dyDescent="0.6">
      <c r="A268" s="1" t="str">
        <f>_xlfn.CONCAT(Elipse!$F75,",",Elipse!G75)</f>
        <v>40,50</v>
      </c>
    </row>
    <row r="269" spans="1:1" x14ac:dyDescent="0.6">
      <c r="A269" s="1" t="str">
        <f>_xlfn.CONCAT(Elipse!$F76,",",Elipse!G76)</f>
        <v>40,50</v>
      </c>
    </row>
    <row r="270" spans="1:1" x14ac:dyDescent="0.6">
      <c r="A270" s="1" t="str">
        <f>_xlfn.CONCAT(Elipse!$F77,",",Elipse!G77)</f>
        <v>40,50</v>
      </c>
    </row>
    <row r="271" spans="1:1" x14ac:dyDescent="0.6">
      <c r="A271" s="1" t="str">
        <f>_xlfn.CONCAT(Elipse!$F78,",",Elipse!G78)</f>
        <v>40,50</v>
      </c>
    </row>
    <row r="272" spans="1:1" x14ac:dyDescent="0.6">
      <c r="A272" s="1" t="str">
        <f>_xlfn.CONCAT(Elipse!$F79,",",Elipse!G79)</f>
        <v>40,50</v>
      </c>
    </row>
    <row r="273" spans="1:1" x14ac:dyDescent="0.6">
      <c r="A273" s="1" t="str">
        <f>_xlfn.CONCAT(Elipse!$F80,",",Elipse!G80)</f>
        <v>40,50</v>
      </c>
    </row>
    <row r="274" spans="1:1" x14ac:dyDescent="0.6">
      <c r="A274" s="1" t="str">
        <f>_xlfn.CONCAT(Elipse!$F81,",",Elipse!G81)</f>
        <v>40,50</v>
      </c>
    </row>
    <row r="275" spans="1:1" x14ac:dyDescent="0.6">
      <c r="A275" s="1" t="str">
        <f>_xlfn.CONCAT(Elipse!$F82,",",Elipse!G82)</f>
        <v>40,50</v>
      </c>
    </row>
    <row r="276" spans="1:1" x14ac:dyDescent="0.6">
      <c r="A276" s="1" t="str">
        <f>_xlfn.CONCAT(Elipse!$F83,",",Elipse!G83)</f>
        <v>40,50</v>
      </c>
    </row>
    <row r="277" spans="1:1" x14ac:dyDescent="0.6">
      <c r="A277" s="1" t="str">
        <f>_xlfn.CONCAT(Elipse!$F84,",",Elipse!G84)</f>
        <v>40,50</v>
      </c>
    </row>
    <row r="278" spans="1:1" x14ac:dyDescent="0.6">
      <c r="A278" s="1" t="str">
        <f>_xlfn.CONCAT(Elipse!$F85,",",Elipse!G85)</f>
        <v>40,50</v>
      </c>
    </row>
    <row r="279" spans="1:1" x14ac:dyDescent="0.6">
      <c r="A279" s="1" t="str">
        <f>_xlfn.CONCAT(Elipse!$F86,",",Elipse!G86)</f>
        <v>40,50</v>
      </c>
    </row>
    <row r="280" spans="1:1" x14ac:dyDescent="0.6">
      <c r="A280" s="1" t="str">
        <f>_xlfn.CONCAT(Elipse!$F87,",",Elipse!G87)</f>
        <v>40,50</v>
      </c>
    </row>
    <row r="281" spans="1:1" x14ac:dyDescent="0.6">
      <c r="A281" s="1" t="str">
        <f>_xlfn.CONCAT(Elipse!$F88,",",Elipse!G88)</f>
        <v>40,50</v>
      </c>
    </row>
    <row r="282" spans="1:1" x14ac:dyDescent="0.6">
      <c r="A282" s="1" t="str">
        <f>_xlfn.CONCAT(Elipse!$F89,",",Elipse!G89)</f>
        <v>40,50</v>
      </c>
    </row>
    <row r="283" spans="1:1" x14ac:dyDescent="0.6">
      <c r="A283" s="1" t="str">
        <f>_xlfn.CONCAT(Elipse!$F90,",",Elipse!G90)</f>
        <v>40,50</v>
      </c>
    </row>
    <row r="284" spans="1:1" x14ac:dyDescent="0.6">
      <c r="A284" s="1" t="str">
        <f>_xlfn.CONCAT(Elipse!$F91,",",Elipse!G91)</f>
        <v>40,50</v>
      </c>
    </row>
    <row r="285" spans="1:1" x14ac:dyDescent="0.6">
      <c r="A285" s="1" t="str">
        <f>_xlfn.CONCAT(Elipse!$F92,",",Elipse!G92)</f>
        <v>40,50</v>
      </c>
    </row>
    <row r="286" spans="1:1" x14ac:dyDescent="0.6">
      <c r="A286" s="1" t="str">
        <f>_xlfn.CONCAT(Elipse!$F93,",",Elipse!G93)</f>
        <v>40,50</v>
      </c>
    </row>
    <row r="287" spans="1:1" x14ac:dyDescent="0.6">
      <c r="A287" s="1" t="str">
        <f>_xlfn.CONCAT(Elipse!$F94,",",Elipse!G94)</f>
        <v>40,50</v>
      </c>
    </row>
    <row r="288" spans="1:1" x14ac:dyDescent="0.6">
      <c r="A288" s="1" t="str">
        <f>_xlfn.CONCAT(Elipse!$F95,",",Elipse!G95)</f>
        <v>40,50</v>
      </c>
    </row>
    <row r="289" spans="1:1" x14ac:dyDescent="0.6">
      <c r="A289" s="1" t="str">
        <f>_xlfn.CONCAT(Elipse!$F96,",",Elipse!G96)</f>
        <v>40,50</v>
      </c>
    </row>
    <row r="290" spans="1:1" x14ac:dyDescent="0.6">
      <c r="A290" s="1" t="str">
        <f>_xlfn.CONCAT(Elipse!$F97,",",Elipse!G97)</f>
        <v>40,50</v>
      </c>
    </row>
    <row r="291" spans="1:1" x14ac:dyDescent="0.6">
      <c r="A291" s="1" t="str">
        <f>_xlfn.CONCAT(Elipse!$F98,",",Elipse!G98)</f>
        <v>40,50</v>
      </c>
    </row>
    <row r="292" spans="1:1" x14ac:dyDescent="0.6">
      <c r="A292" s="1" t="str">
        <f>_xlfn.CONCAT(Elipse!$F99,",",Elipse!G99)</f>
        <v>40,50</v>
      </c>
    </row>
    <row r="293" spans="1:1" x14ac:dyDescent="0.6">
      <c r="A293" s="1" t="str">
        <f>_xlfn.CONCAT(Elipse!$F100,",",Elipse!G100)</f>
        <v>40,50</v>
      </c>
    </row>
    <row r="294" spans="1:1" x14ac:dyDescent="0.6">
      <c r="A294" s="1" t="str">
        <f>_xlfn.CONCAT(Elipse!$F101,",",Elipse!G101)</f>
        <v>40,50</v>
      </c>
    </row>
    <row r="295" spans="1:1" x14ac:dyDescent="0.6">
      <c r="A295" s="1" t="str">
        <f>_xlfn.CONCAT(Elipse!$F102,",",Elipse!G102)</f>
        <v>40,50</v>
      </c>
    </row>
    <row r="296" spans="1:1" x14ac:dyDescent="0.6">
      <c r="A296" s="1" t="str">
        <f>_xlfn.CONCAT(Elipse!$F103,",",Elipse!G103)</f>
        <v>40,50</v>
      </c>
    </row>
    <row r="297" spans="1:1" x14ac:dyDescent="0.6">
      <c r="A297" s="1" t="str">
        <f>_xlfn.CONCAT(Elipse!$F104,",",Elipse!G104)</f>
        <v>40,50</v>
      </c>
    </row>
    <row r="298" spans="1:1" x14ac:dyDescent="0.6">
      <c r="A298" s="1" t="str">
        <f>_xlfn.CONCAT(Elipse!$F105,",",Elipse!G105)</f>
        <v>40,50</v>
      </c>
    </row>
    <row r="299" spans="1:1" x14ac:dyDescent="0.6">
      <c r="A299" s="1" t="str">
        <f>_xlfn.CONCAT(Elipse!$F106,",",Elipse!G106)</f>
        <v>40,50</v>
      </c>
    </row>
    <row r="300" spans="1:1" x14ac:dyDescent="0.6">
      <c r="A300" s="1" t="str">
        <f>_xlfn.CONCAT(Elipse!$F107,",",Elipse!G107)</f>
        <v>40,50</v>
      </c>
    </row>
    <row r="301" spans="1:1" x14ac:dyDescent="0.6">
      <c r="A301" s="1" t="str">
        <f>_xlfn.CONCAT(Elipse!$F108,",",Elipse!G108)</f>
        <v>40,50</v>
      </c>
    </row>
    <row r="302" spans="1:1" x14ac:dyDescent="0.6">
      <c r="A302" s="1" t="str">
        <f>_xlfn.CONCAT(Elipse!$F109,",",Elipse!G109)</f>
        <v>40,50</v>
      </c>
    </row>
    <row r="303" spans="1:1" x14ac:dyDescent="0.6">
      <c r="A303" s="1" t="str">
        <f>_xlfn.CONCAT(Elipse!$F110,",",Elipse!G110)</f>
        <v>40,50</v>
      </c>
    </row>
    <row r="304" spans="1:1" x14ac:dyDescent="0.6">
      <c r="A304" s="1" t="str">
        <f>_xlfn.CONCAT(Elipse!$F111,",",Elipse!G111)</f>
        <v>40,50</v>
      </c>
    </row>
    <row r="305" spans="1:1" x14ac:dyDescent="0.6">
      <c r="A305" s="1" t="str">
        <f>_xlfn.CONCAT(Elipse!$F112,",",Elipse!G112)</f>
        <v>40,50</v>
      </c>
    </row>
    <row r="307" spans="1:1" x14ac:dyDescent="0.6">
      <c r="A307" s="1" t="s">
        <v>17</v>
      </c>
    </row>
    <row r="308" spans="1:1" x14ac:dyDescent="0.6">
      <c r="A308" s="1" t="str">
        <f>_xlfn.CONCAT(Elipse!$F13,",",Elipse!H13)</f>
        <v>100,30</v>
      </c>
    </row>
    <row r="309" spans="1:1" x14ac:dyDescent="0.6">
      <c r="A309" s="1" t="str">
        <f>_xlfn.CONCAT(Elipse!$F14,",",Elipse!H14)</f>
        <v>98.75,30.0043407488303</v>
      </c>
    </row>
    <row r="310" spans="1:1" x14ac:dyDescent="0.6">
      <c r="A310" s="1" t="str">
        <f>_xlfn.CONCAT(Elipse!$F15,",",Elipse!H15)</f>
        <v>97.5,30.0173686528637</v>
      </c>
    </row>
    <row r="311" spans="1:1" x14ac:dyDescent="0.6">
      <c r="A311" s="1" t="str">
        <f>_xlfn.CONCAT(Elipse!$F16,",",Elipse!H16)</f>
        <v>96.25,30.0391007216609</v>
      </c>
    </row>
    <row r="312" spans="1:1" x14ac:dyDescent="0.6">
      <c r="A312" s="1" t="str">
        <f>_xlfn.CONCAT(Elipse!$F17,",",Elipse!H17)</f>
        <v>95,30.0695654281643</v>
      </c>
    </row>
    <row r="313" spans="1:1" x14ac:dyDescent="0.6">
      <c r="A313" s="1" t="str">
        <f>_xlfn.CONCAT(Elipse!$F18,",",Elipse!H18)</f>
        <v>93.75,30.1088028962</v>
      </c>
    </row>
    <row r="314" spans="1:1" x14ac:dyDescent="0.6">
      <c r="A314" s="1" t="str">
        <f>_xlfn.CONCAT(Elipse!$F19,",",Elipse!H19)</f>
        <v>92.5,30.1568651670156</v>
      </c>
    </row>
    <row r="315" spans="1:1" x14ac:dyDescent="0.6">
      <c r="A315" s="1" t="str">
        <f>_xlfn.CONCAT(Elipse!$F20,",",Elipse!H20)</f>
        <v>91.25,30.2138165490271</v>
      </c>
    </row>
    <row r="316" spans="1:1" x14ac:dyDescent="0.6">
      <c r="A316" s="1" t="str">
        <f>_xlfn.CONCAT(Elipse!$F21,",",Elipse!H21)</f>
        <v>90,30.2797340563346</v>
      </c>
    </row>
    <row r="317" spans="1:1" x14ac:dyDescent="0.6">
      <c r="A317" s="1" t="str">
        <f>_xlfn.CONCAT(Elipse!$F22,",",Elipse!H22)</f>
        <v>88.75,30.3547079431229</v>
      </c>
    </row>
    <row r="318" spans="1:1" x14ac:dyDescent="0.6">
      <c r="A318" s="1" t="str">
        <f>_xlfn.CONCAT(Elipse!$F23,",",Elipse!H23)</f>
        <v>87.5,30.4388423428242</v>
      </c>
    </row>
    <row r="319" spans="1:1" x14ac:dyDescent="0.6">
      <c r="A319" s="1" t="str">
        <f>_xlfn.CONCAT(Elipse!$F24,",",Elipse!H24)</f>
        <v>86.25,30.5322560229606</v>
      </c>
    </row>
    <row r="320" spans="1:1" x14ac:dyDescent="0.6">
      <c r="A320" s="1" t="str">
        <f>_xlfn.CONCAT(Elipse!$F25,",",Elipse!H25)</f>
        <v>85,30.6350832689629</v>
      </c>
    </row>
    <row r="321" spans="1:1" x14ac:dyDescent="0.6">
      <c r="A321" s="1" t="str">
        <f>_xlfn.CONCAT(Elipse!$F26,",",Elipse!H26)</f>
        <v>83.75,30.7474749130868</v>
      </c>
    </row>
    <row r="322" spans="1:1" x14ac:dyDescent="0.6">
      <c r="A322" s="1" t="str">
        <f>_xlfn.CONCAT(Elipse!$F27,",",Elipse!H27)</f>
        <v>82.5,30.8695995279183</v>
      </c>
    </row>
    <row r="323" spans="1:1" x14ac:dyDescent="0.6">
      <c r="A323" s="1" t="str">
        <f>_xlfn.CONCAT(Elipse!$F28,",",Elipse!H28)</f>
        <v>81.25,31.0016448080367</v>
      </c>
    </row>
    <row r="324" spans="1:1" x14ac:dyDescent="0.6">
      <c r="A324" s="1" t="str">
        <f>_xlfn.CONCAT(Elipse!$F29,",",Elipse!H29)</f>
        <v>80,31.1438191683587</v>
      </c>
    </row>
    <row r="325" spans="1:1" x14ac:dyDescent="0.6">
      <c r="A325" s="1" t="str">
        <f>_xlfn.CONCAT(Elipse!$F30,",",Elipse!H30)</f>
        <v>78.75,31.2963535937805</v>
      </c>
    </row>
    <row r="326" spans="1:1" x14ac:dyDescent="0.6">
      <c r="A326" s="1" t="str">
        <f>_xlfn.CONCAT(Elipse!$F31,",",Elipse!H31)</f>
        <v>77.5,31.4595037822608</v>
      </c>
    </row>
    <row r="327" spans="1:1" x14ac:dyDescent="0.6">
      <c r="A327" s="1" t="str">
        <f>_xlfn.CONCAT(Elipse!$F32,",",Elipse!H32)</f>
        <v>76.25,31.6335526328882</v>
      </c>
    </row>
    <row r="328" spans="1:1" x14ac:dyDescent="0.6">
      <c r="A328" s="1" t="str">
        <f>_xlfn.CONCAT(Elipse!$F33,",",Elipse!H33)</f>
        <v>75,31.8188131422738</v>
      </c>
    </row>
    <row r="329" spans="1:1" x14ac:dyDescent="0.6">
      <c r="A329" s="1" t="str">
        <f>_xlfn.CONCAT(Elipse!$F34,",",Elipse!H34)</f>
        <v>73.75,32.0156317875773</v>
      </c>
    </row>
    <row r="330" spans="1:1" x14ac:dyDescent="0.6">
      <c r="A330" s="1" t="str">
        <f>_xlfn.CONCAT(Elipse!$F35,",",Elipse!H35)</f>
        <v>72.5,32.224392493582</v>
      </c>
    </row>
    <row r="331" spans="1:1" x14ac:dyDescent="0.6">
      <c r="A331" s="1" t="str">
        <f>_xlfn.CONCAT(Elipse!$F36,",",Elipse!H36)</f>
        <v>71.25,32.4455213058826</v>
      </c>
    </row>
    <row r="332" spans="1:1" x14ac:dyDescent="0.6">
      <c r="A332" s="1" t="str">
        <f>_xlfn.CONCAT(Elipse!$F37,",",Elipse!H37)</f>
        <v>70,32.6794919243112</v>
      </c>
    </row>
    <row r="333" spans="1:1" x14ac:dyDescent="0.6">
      <c r="A333" s="1" t="str">
        <f>_xlfn.CONCAT(Elipse!$F38,",",Elipse!H38)</f>
        <v>68.75,32.9268322928768</v>
      </c>
    </row>
    <row r="334" spans="1:1" x14ac:dyDescent="0.6">
      <c r="A334" s="1" t="str">
        <f>_xlfn.CONCAT(Elipse!$F39,",",Elipse!H39)</f>
        <v>67.5,33.1881324984733</v>
      </c>
    </row>
    <row r="335" spans="1:1" x14ac:dyDescent="0.6">
      <c r="A335" s="1" t="str">
        <f>_xlfn.CONCAT(Elipse!$F40,",",Elipse!H40)</f>
        <v>66.25,33.4640543058463</v>
      </c>
    </row>
    <row r="336" spans="1:1" x14ac:dyDescent="0.6">
      <c r="A336" s="1" t="str">
        <f>_xlfn.CONCAT(Elipse!$F41,",",Elipse!H41)</f>
        <v>65,33.7553427586517</v>
      </c>
    </row>
    <row r="337" spans="1:1" x14ac:dyDescent="0.6">
      <c r="A337" s="1" t="str">
        <f>_xlfn.CONCAT(Elipse!$F42,",",Elipse!H42)</f>
        <v>63.75,34.0628404175789</v>
      </c>
    </row>
    <row r="338" spans="1:1" x14ac:dyDescent="0.6">
      <c r="A338" s="1" t="str">
        <f>_xlfn.CONCAT(Elipse!$F43,",",Elipse!H43)</f>
        <v>62.5,34.387505004004</v>
      </c>
    </row>
    <row r="339" spans="1:1" x14ac:dyDescent="0.6">
      <c r="A339" s="1" t="str">
        <f>_xlfn.CONCAT(Elipse!$F44,",",Elipse!H44)</f>
        <v>61.25,34.7304314984927</v>
      </c>
    </row>
    <row r="340" spans="1:1" x14ac:dyDescent="0.6">
      <c r="A340" s="1" t="str">
        <f>_xlfn.CONCAT(Elipse!$F45,",",Elipse!H45)</f>
        <v>60,35.0928801500014</v>
      </c>
    </row>
    <row r="341" spans="1:1" x14ac:dyDescent="0.6">
      <c r="A341" s="1" t="str">
        <f>_xlfn.CONCAT(Elipse!$F46,",",Elipse!H46)</f>
        <v>58.75,35.4763124517222</v>
      </c>
    </row>
    <row r="342" spans="1:1" x14ac:dyDescent="0.6">
      <c r="A342" s="1" t="str">
        <f>_xlfn.CONCAT(Elipse!$F47,",",Elipse!H47)</f>
        <v>57.5,35.8824380449188</v>
      </c>
    </row>
    <row r="343" spans="1:1" x14ac:dyDescent="0.6">
      <c r="A343" s="1" t="str">
        <f>_xlfn.CONCAT(Elipse!$F48,",",Elipse!H48)</f>
        <v>56.25,36.3132769119526</v>
      </c>
    </row>
    <row r="344" spans="1:1" x14ac:dyDescent="0.6">
      <c r="A344" s="1" t="str">
        <f>_xlfn.CONCAT(Elipse!$F49,",",Elipse!H49)</f>
        <v>55,36.771243444677</v>
      </c>
    </row>
    <row r="345" spans="1:1" x14ac:dyDescent="0.6">
      <c r="A345" s="1" t="str">
        <f>_xlfn.CONCAT(Elipse!$F50,",",Elipse!H50)</f>
        <v>53.75,37.2592626238161</v>
      </c>
    </row>
    <row r="346" spans="1:1" x14ac:dyDescent="0.6">
      <c r="A346" s="1" t="str">
        <f>_xlfn.CONCAT(Elipse!$F51,",",Elipse!H51)</f>
        <v>52.5,37.780934751154</v>
      </c>
    </row>
    <row r="347" spans="1:1" x14ac:dyDescent="0.6">
      <c r="A347" s="1" t="str">
        <f>_xlfn.CONCAT(Elipse!$F52,",",Elipse!H52)</f>
        <v>51.25,38.340776183639</v>
      </c>
    </row>
    <row r="348" spans="1:1" x14ac:dyDescent="0.6">
      <c r="A348" s="1" t="str">
        <f>_xlfn.CONCAT(Elipse!$F53,",",Elipse!H53)</f>
        <v>50,38.9445840321487</v>
      </c>
    </row>
    <row r="349" spans="1:1" x14ac:dyDescent="0.6">
      <c r="A349" s="1" t="str">
        <f>_xlfn.CONCAT(Elipse!$F54,",",Elipse!H54)</f>
        <v>48.75,39.6000133547094</v>
      </c>
    </row>
    <row r="350" spans="1:1" x14ac:dyDescent="0.6">
      <c r="A350" s="1" t="str">
        <f>_xlfn.CONCAT(Elipse!$F55,",",Elipse!H55)</f>
        <v>47.5,40.3175416344815</v>
      </c>
    </row>
    <row r="351" spans="1:1" x14ac:dyDescent="0.6">
      <c r="A351" s="1" t="str">
        <f>_xlfn.CONCAT(Elipse!$F56,",",Elipse!H56)</f>
        <v>46.25,41.112196246791</v>
      </c>
    </row>
    <row r="352" spans="1:1" x14ac:dyDescent="0.6">
      <c r="A352" s="1" t="str">
        <f>_xlfn.CONCAT(Elipse!$F57,",",Elipse!H57)</f>
        <v>45,42.0069474611455</v>
      </c>
    </row>
    <row r="353" spans="1:1" x14ac:dyDescent="0.6">
      <c r="A353" s="1" t="str">
        <f>_xlfn.CONCAT(Elipse!$F58,",",Elipse!H58)</f>
        <v>43.75,43.0402945464625</v>
      </c>
    </row>
    <row r="354" spans="1:1" x14ac:dyDescent="0.6">
      <c r="A354" s="1" t="str">
        <f>_xlfn.CONCAT(Elipse!$F59,",",Elipse!H59)</f>
        <v>42.5,44.2869544996658</v>
      </c>
    </row>
    <row r="355" spans="1:1" x14ac:dyDescent="0.6">
      <c r="A355" s="1" t="str">
        <f>_xlfn.CONCAT(Elipse!$F60,",",Elipse!H60)</f>
        <v>41.25,45.9388356896629</v>
      </c>
    </row>
    <row r="356" spans="1:1" x14ac:dyDescent="0.6">
      <c r="A356" s="1" t="str">
        <f>_xlfn.CONCAT(Elipse!$F61,",",Elipse!H61)</f>
        <v>40,50</v>
      </c>
    </row>
    <row r="357" spans="1:1" x14ac:dyDescent="0.6">
      <c r="A357" s="1" t="str">
        <f>_xlfn.CONCAT(Elipse!$F62,",",Elipse!H62)</f>
        <v>40,50</v>
      </c>
    </row>
    <row r="358" spans="1:1" x14ac:dyDescent="0.6">
      <c r="A358" s="1" t="str">
        <f>_xlfn.CONCAT(Elipse!$F63,",",Elipse!H63)</f>
        <v>40,50</v>
      </c>
    </row>
    <row r="359" spans="1:1" x14ac:dyDescent="0.6">
      <c r="A359" s="1" t="str">
        <f>_xlfn.CONCAT(Elipse!$F64,",",Elipse!H64)</f>
        <v>40,50</v>
      </c>
    </row>
    <row r="360" spans="1:1" x14ac:dyDescent="0.6">
      <c r="A360" s="1" t="str">
        <f>_xlfn.CONCAT(Elipse!$F65,",",Elipse!H65)</f>
        <v>40,50</v>
      </c>
    </row>
    <row r="361" spans="1:1" x14ac:dyDescent="0.6">
      <c r="A361" s="1" t="str">
        <f>_xlfn.CONCAT(Elipse!$F66,",",Elipse!H66)</f>
        <v>40,50</v>
      </c>
    </row>
    <row r="362" spans="1:1" x14ac:dyDescent="0.6">
      <c r="A362" s="1" t="str">
        <f>_xlfn.CONCAT(Elipse!$F67,",",Elipse!H67)</f>
        <v>40,50</v>
      </c>
    </row>
    <row r="363" spans="1:1" x14ac:dyDescent="0.6">
      <c r="A363" s="1" t="str">
        <f>_xlfn.CONCAT(Elipse!$F68,",",Elipse!H68)</f>
        <v>40,50</v>
      </c>
    </row>
    <row r="364" spans="1:1" x14ac:dyDescent="0.6">
      <c r="A364" s="1" t="str">
        <f>_xlfn.CONCAT(Elipse!$F69,",",Elipse!H69)</f>
        <v>40,50</v>
      </c>
    </row>
    <row r="365" spans="1:1" x14ac:dyDescent="0.6">
      <c r="A365" s="1" t="str">
        <f>_xlfn.CONCAT(Elipse!$F70,",",Elipse!H70)</f>
        <v>40,50</v>
      </c>
    </row>
    <row r="366" spans="1:1" x14ac:dyDescent="0.6">
      <c r="A366" s="1" t="str">
        <f>_xlfn.CONCAT(Elipse!$F71,",",Elipse!H71)</f>
        <v>40,50</v>
      </c>
    </row>
    <row r="367" spans="1:1" x14ac:dyDescent="0.6">
      <c r="A367" s="1" t="str">
        <f>_xlfn.CONCAT(Elipse!$F72,",",Elipse!H72)</f>
        <v>40,50</v>
      </c>
    </row>
    <row r="368" spans="1:1" x14ac:dyDescent="0.6">
      <c r="A368" s="1" t="str">
        <f>_xlfn.CONCAT(Elipse!$F73,",",Elipse!H73)</f>
        <v>40,50</v>
      </c>
    </row>
    <row r="369" spans="1:1" x14ac:dyDescent="0.6">
      <c r="A369" s="1" t="str">
        <f>_xlfn.CONCAT(Elipse!$F74,",",Elipse!H74)</f>
        <v>40,50</v>
      </c>
    </row>
    <row r="370" spans="1:1" x14ac:dyDescent="0.6">
      <c r="A370" s="1" t="str">
        <f>_xlfn.CONCAT(Elipse!$F75,",",Elipse!H75)</f>
        <v>40,50</v>
      </c>
    </row>
    <row r="371" spans="1:1" x14ac:dyDescent="0.6">
      <c r="A371" s="1" t="str">
        <f>_xlfn.CONCAT(Elipse!$F76,",",Elipse!H76)</f>
        <v>40,50</v>
      </c>
    </row>
    <row r="372" spans="1:1" x14ac:dyDescent="0.6">
      <c r="A372" s="1" t="str">
        <f>_xlfn.CONCAT(Elipse!$F77,",",Elipse!H77)</f>
        <v>40,50</v>
      </c>
    </row>
    <row r="373" spans="1:1" x14ac:dyDescent="0.6">
      <c r="A373" s="1" t="str">
        <f>_xlfn.CONCAT(Elipse!$F78,",",Elipse!H78)</f>
        <v>40,50</v>
      </c>
    </row>
    <row r="374" spans="1:1" x14ac:dyDescent="0.6">
      <c r="A374" s="1" t="str">
        <f>_xlfn.CONCAT(Elipse!$F79,",",Elipse!H79)</f>
        <v>40,50</v>
      </c>
    </row>
    <row r="375" spans="1:1" x14ac:dyDescent="0.6">
      <c r="A375" s="1" t="str">
        <f>_xlfn.CONCAT(Elipse!$F80,",",Elipse!H80)</f>
        <v>40,50</v>
      </c>
    </row>
    <row r="376" spans="1:1" x14ac:dyDescent="0.6">
      <c r="A376" s="1" t="str">
        <f>_xlfn.CONCAT(Elipse!$F81,",",Elipse!H81)</f>
        <v>40,50</v>
      </c>
    </row>
    <row r="377" spans="1:1" x14ac:dyDescent="0.6">
      <c r="A377" s="1" t="str">
        <f>_xlfn.CONCAT(Elipse!$F82,",",Elipse!H82)</f>
        <v>40,50</v>
      </c>
    </row>
    <row r="378" spans="1:1" x14ac:dyDescent="0.6">
      <c r="A378" s="1" t="str">
        <f>_xlfn.CONCAT(Elipse!$F83,",",Elipse!H83)</f>
        <v>40,50</v>
      </c>
    </row>
    <row r="379" spans="1:1" x14ac:dyDescent="0.6">
      <c r="A379" s="1" t="str">
        <f>_xlfn.CONCAT(Elipse!$F84,",",Elipse!H84)</f>
        <v>40,50</v>
      </c>
    </row>
    <row r="380" spans="1:1" x14ac:dyDescent="0.6">
      <c r="A380" s="1" t="str">
        <f>_xlfn.CONCAT(Elipse!$F85,",",Elipse!H85)</f>
        <v>40,50</v>
      </c>
    </row>
    <row r="381" spans="1:1" x14ac:dyDescent="0.6">
      <c r="A381" s="1" t="str">
        <f>_xlfn.CONCAT(Elipse!$F86,",",Elipse!H86)</f>
        <v>40,50</v>
      </c>
    </row>
    <row r="382" spans="1:1" x14ac:dyDescent="0.6">
      <c r="A382" s="1" t="str">
        <f>_xlfn.CONCAT(Elipse!$F87,",",Elipse!H87)</f>
        <v>40,50</v>
      </c>
    </row>
    <row r="383" spans="1:1" x14ac:dyDescent="0.6">
      <c r="A383" s="1" t="str">
        <f>_xlfn.CONCAT(Elipse!$F88,",",Elipse!H88)</f>
        <v>40,50</v>
      </c>
    </row>
    <row r="384" spans="1:1" x14ac:dyDescent="0.6">
      <c r="A384" s="1" t="str">
        <f>_xlfn.CONCAT(Elipse!$F89,",",Elipse!H89)</f>
        <v>40,50</v>
      </c>
    </row>
    <row r="385" spans="1:1" x14ac:dyDescent="0.6">
      <c r="A385" s="1" t="str">
        <f>_xlfn.CONCAT(Elipse!$F90,",",Elipse!H90)</f>
        <v>40,50</v>
      </c>
    </row>
    <row r="386" spans="1:1" x14ac:dyDescent="0.6">
      <c r="A386" s="1" t="str">
        <f>_xlfn.CONCAT(Elipse!$F91,",",Elipse!H91)</f>
        <v>40,50</v>
      </c>
    </row>
    <row r="387" spans="1:1" x14ac:dyDescent="0.6">
      <c r="A387" s="1" t="str">
        <f>_xlfn.CONCAT(Elipse!$F92,",",Elipse!H92)</f>
        <v>40,50</v>
      </c>
    </row>
    <row r="388" spans="1:1" x14ac:dyDescent="0.6">
      <c r="A388" s="1" t="str">
        <f>_xlfn.CONCAT(Elipse!$F93,",",Elipse!H93)</f>
        <v>40,50</v>
      </c>
    </row>
    <row r="389" spans="1:1" x14ac:dyDescent="0.6">
      <c r="A389" s="1" t="str">
        <f>_xlfn.CONCAT(Elipse!$F94,",",Elipse!H94)</f>
        <v>40,50</v>
      </c>
    </row>
    <row r="390" spans="1:1" x14ac:dyDescent="0.6">
      <c r="A390" s="1" t="str">
        <f>_xlfn.CONCAT(Elipse!$F95,",",Elipse!H95)</f>
        <v>40,50</v>
      </c>
    </row>
    <row r="391" spans="1:1" x14ac:dyDescent="0.6">
      <c r="A391" s="1" t="str">
        <f>_xlfn.CONCAT(Elipse!$F96,",",Elipse!H96)</f>
        <v>40,50</v>
      </c>
    </row>
    <row r="392" spans="1:1" x14ac:dyDescent="0.6">
      <c r="A392" s="1" t="str">
        <f>_xlfn.CONCAT(Elipse!$F97,",",Elipse!H97)</f>
        <v>40,50</v>
      </c>
    </row>
    <row r="393" spans="1:1" x14ac:dyDescent="0.6">
      <c r="A393" s="1" t="str">
        <f>_xlfn.CONCAT(Elipse!$F98,",",Elipse!H98)</f>
        <v>40,50</v>
      </c>
    </row>
    <row r="394" spans="1:1" x14ac:dyDescent="0.6">
      <c r="A394" s="1" t="str">
        <f>_xlfn.CONCAT(Elipse!$F99,",",Elipse!H99)</f>
        <v>40,50</v>
      </c>
    </row>
    <row r="395" spans="1:1" x14ac:dyDescent="0.6">
      <c r="A395" s="1" t="str">
        <f>_xlfn.CONCAT(Elipse!$F100,",",Elipse!H100)</f>
        <v>40,50</v>
      </c>
    </row>
    <row r="396" spans="1:1" x14ac:dyDescent="0.6">
      <c r="A396" s="1" t="str">
        <f>_xlfn.CONCAT(Elipse!$F101,",",Elipse!H101)</f>
        <v>40,50</v>
      </c>
    </row>
    <row r="397" spans="1:1" x14ac:dyDescent="0.6">
      <c r="A397" s="1" t="str">
        <f>_xlfn.CONCAT(Elipse!$F102,",",Elipse!H102)</f>
        <v>40,50</v>
      </c>
    </row>
    <row r="398" spans="1:1" x14ac:dyDescent="0.6">
      <c r="A398" s="1" t="str">
        <f>_xlfn.CONCAT(Elipse!$F103,",",Elipse!H103)</f>
        <v>40,50</v>
      </c>
    </row>
    <row r="399" spans="1:1" x14ac:dyDescent="0.6">
      <c r="A399" s="1" t="str">
        <f>_xlfn.CONCAT(Elipse!$F104,",",Elipse!H104)</f>
        <v>40,50</v>
      </c>
    </row>
    <row r="400" spans="1:1" x14ac:dyDescent="0.6">
      <c r="A400" s="1" t="str">
        <f>_xlfn.CONCAT(Elipse!$F105,",",Elipse!H105)</f>
        <v>40,50</v>
      </c>
    </row>
    <row r="401" spans="1:1" x14ac:dyDescent="0.6">
      <c r="A401" s="1" t="str">
        <f>_xlfn.CONCAT(Elipse!$F106,",",Elipse!H106)</f>
        <v>40,50</v>
      </c>
    </row>
    <row r="402" spans="1:1" x14ac:dyDescent="0.6">
      <c r="A402" s="1" t="str">
        <f>_xlfn.CONCAT(Elipse!$F107,",",Elipse!H107)</f>
        <v>40,50</v>
      </c>
    </row>
    <row r="403" spans="1:1" x14ac:dyDescent="0.6">
      <c r="A403" s="1" t="str">
        <f>_xlfn.CONCAT(Elipse!$F108,",",Elipse!H108)</f>
        <v>40,50</v>
      </c>
    </row>
    <row r="404" spans="1:1" x14ac:dyDescent="0.6">
      <c r="A404" s="1" t="str">
        <f>_xlfn.CONCAT(Elipse!$F109,",",Elipse!H109)</f>
        <v>40,50</v>
      </c>
    </row>
    <row r="405" spans="1:1" x14ac:dyDescent="0.6">
      <c r="A405" s="1" t="str">
        <f>_xlfn.CONCAT(Elipse!$F110,",",Elipse!H110)</f>
        <v>40,50</v>
      </c>
    </row>
    <row r="406" spans="1:1" x14ac:dyDescent="0.6">
      <c r="A406" s="1" t="str">
        <f>_xlfn.CONCAT(Elipse!$F111,",",Elipse!H111)</f>
        <v>40,50</v>
      </c>
    </row>
    <row r="407" spans="1:1" x14ac:dyDescent="0.6">
      <c r="A407" s="1" t="str">
        <f>_xlfn.CONCAT(Elipse!$F112,",",Elipse!H112)</f>
        <v>40,50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94A28-7A0A-4CE9-8CDF-F0A2576C2004}">
  <dimension ref="B2:B4"/>
  <sheetViews>
    <sheetView showGridLines="0" zoomScale="130" zoomScaleNormal="130" workbookViewId="0">
      <selection activeCell="B3" sqref="B3"/>
    </sheetView>
  </sheetViews>
  <sheetFormatPr baseColWidth="10" defaultRowHeight="16.5" x14ac:dyDescent="0.6"/>
  <cols>
    <col min="1" max="1" width="2.59765625" style="1" customWidth="1"/>
    <col min="2" max="2" width="27.53125" style="1" customWidth="1"/>
    <col min="3" max="16384" width="10.6640625" style="1"/>
  </cols>
  <sheetData>
    <row r="2" spans="2:2" x14ac:dyDescent="0.6">
      <c r="B2" s="1" t="s">
        <v>18</v>
      </c>
    </row>
    <row r="3" spans="2:2" x14ac:dyDescent="0.6">
      <c r="B3" s="1" t="s">
        <v>19</v>
      </c>
    </row>
    <row r="4" spans="2:2" x14ac:dyDescent="0.6">
      <c r="B4" s="1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Hojas de cálculo</vt:lpstr>
      </vt:variant>
      <vt:variant>
        <vt:i4>3</vt:i4>
      </vt:variant>
      <vt:variant>
        <vt:lpstr>Gráficos</vt:lpstr>
      </vt:variant>
      <vt:variant>
        <vt:i4>1</vt:i4>
      </vt:variant>
      <vt:variant>
        <vt:lpstr>Rangos con nombre</vt:lpstr>
      </vt:variant>
      <vt:variant>
        <vt:i4>5</vt:i4>
      </vt:variant>
    </vt:vector>
  </HeadingPairs>
  <TitlesOfParts>
    <vt:vector size="9" baseType="lpstr">
      <vt:lpstr>Elipse</vt:lpstr>
      <vt:lpstr>AutoCAD</vt:lpstr>
      <vt:lpstr>Mettadata</vt:lpstr>
      <vt:lpstr>Gráfico</vt:lpstr>
      <vt:lpstr>a</vt:lpstr>
      <vt:lpstr>b</vt:lpstr>
      <vt:lpstr>h</vt:lpstr>
      <vt:lpstr>k</vt:lpstr>
      <vt:lpstr>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2025-06-28T13:37:21Z</dcterms:created>
  <dcterms:modified xsi:type="dcterms:W3CDTF">2025-06-28T16:58:05Z</dcterms:modified>
</cp:coreProperties>
</file>