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AD974AF2-CE91-4EDE-BE45-8DAEF11DA476}" xr6:coauthVersionLast="47" xr6:coauthVersionMax="47" xr10:uidLastSave="{00000000-0000-0000-0000-000000000000}"/>
  <bookViews>
    <workbookView xWindow="-98" yWindow="-98" windowWidth="28996" windowHeight="15675" tabRatio="684" firstSheet="2" activeTab="8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Parabola" sheetId="12" r:id="rId8"/>
    <sheet name="PistaAtlDiscoRect" sheetId="11" r:id="rId9"/>
    <sheet name="Trigonometrica" sheetId="8" r:id="rId10"/>
    <sheet name="Metadata" sheetId="5" r:id="rId11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2" l="1"/>
  <c r="C9" i="11"/>
  <c r="C7" i="11"/>
  <c r="C8" i="11"/>
  <c r="C10" i="11" s="1"/>
  <c r="C12" i="9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 s="1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B308" i="10" s="1"/>
  <c r="A104" i="10"/>
  <c r="B104" i="10" s="1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D15" i="1"/>
  <c r="G15" i="1" s="1"/>
  <c r="E15" i="6"/>
  <c r="C16" i="6"/>
  <c r="F15" i="1"/>
  <c r="A308" i="4"/>
  <c r="B308" i="4" s="1"/>
  <c r="G14" i="1"/>
  <c r="A206" i="4" s="1"/>
  <c r="B206" i="4" s="1"/>
  <c r="A3" i="7" l="1"/>
  <c r="B3" i="7" s="1"/>
  <c r="E12" i="9"/>
  <c r="A3" i="10"/>
  <c r="B3" i="10" s="1"/>
  <c r="B206" i="10"/>
  <c r="D16" i="1"/>
  <c r="A4" i="4" s="1"/>
  <c r="B4" i="4" s="1"/>
  <c r="C17" i="1"/>
  <c r="D17" i="1" s="1"/>
  <c r="A5" i="4" s="1"/>
  <c r="B5" i="4" s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 l="1"/>
  <c r="C19" i="1" s="1"/>
  <c r="G16" i="1"/>
  <c r="A208" i="4" s="1"/>
  <c r="B208" i="4" s="1"/>
  <c r="E13" i="9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G17" i="1"/>
  <c r="D18" i="1" l="1"/>
  <c r="A6" i="4" s="1"/>
  <c r="B6" i="4" s="1"/>
  <c r="H13" i="9"/>
  <c r="A310" i="10" s="1"/>
  <c r="E15" i="9"/>
  <c r="A6" i="10"/>
  <c r="B6" i="10" s="1"/>
  <c r="E14" i="9"/>
  <c r="A5" i="10"/>
  <c r="B5" i="10" s="1"/>
  <c r="A309" i="4"/>
  <c r="B309" i="4" s="1"/>
  <c r="B309" i="10"/>
  <c r="E17" i="1"/>
  <c r="B106" i="10"/>
  <c r="F18" i="1"/>
  <c r="F19" i="1" s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C20" i="1"/>
  <c r="D19" i="1"/>
  <c r="A7" i="4" s="1"/>
  <c r="B7" i="4" s="1"/>
  <c r="G18" i="1" l="1"/>
  <c r="A210" i="4" s="1"/>
  <c r="B210" i="4" s="1"/>
  <c r="H14" i="9"/>
  <c r="A311" i="10" s="1"/>
  <c r="A107" i="10"/>
  <c r="B107" i="10" s="1"/>
  <c r="E16" i="9"/>
  <c r="A7" i="10"/>
  <c r="B7" i="10" s="1"/>
  <c r="H15" i="9"/>
  <c r="A312" i="10" s="1"/>
  <c r="A108" i="10"/>
  <c r="E18" i="1"/>
  <c r="E19" i="1" s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C21" i="1"/>
  <c r="D20" i="1"/>
  <c r="A8" i="4" s="1"/>
  <c r="B8" i="4" s="1"/>
  <c r="G19" i="1"/>
  <c r="A211" i="4" s="1"/>
  <c r="B211" i="4" s="1"/>
  <c r="B108" i="10" l="1"/>
  <c r="E17" i="9"/>
  <c r="A8" i="10"/>
  <c r="B8" i="10" s="1"/>
  <c r="H16" i="9"/>
  <c r="A313" i="10" s="1"/>
  <c r="A109" i="10"/>
  <c r="B109" i="10" s="1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109" i="4"/>
  <c r="B109" i="4" s="1"/>
  <c r="C21" i="6"/>
  <c r="E20" i="6"/>
  <c r="F21" i="1"/>
  <c r="E20" i="1"/>
  <c r="H19" i="1"/>
  <c r="C22" i="1"/>
  <c r="D21" i="1"/>
  <c r="A9" i="4" s="1"/>
  <c r="B9" i="4" s="1"/>
  <c r="G20" i="1"/>
  <c r="A212" i="4" s="1"/>
  <c r="B212" i="4" s="1"/>
  <c r="A312" i="4" l="1"/>
  <c r="B312" i="4" s="1"/>
  <c r="B313" i="10"/>
  <c r="H17" i="9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A9" i="7" l="1"/>
  <c r="B9" i="7" s="1"/>
  <c r="B314" i="10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B111" i="7" s="1"/>
  <c r="D22" i="6"/>
  <c r="F22" i="6" s="1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A113" i="7" l="1"/>
  <c r="B113" i="7" s="1"/>
  <c r="E21" i="9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 s="1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A23" i="7" l="1"/>
  <c r="B23" i="7" s="1"/>
  <c r="B328" i="10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6" i="10" s="1"/>
  <c r="B229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332" i="4"/>
  <c r="B332" i="4" s="1"/>
  <c r="C41" i="6"/>
  <c r="E40" i="6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A28" i="7" l="1"/>
  <c r="B28" i="7" s="1"/>
  <c r="B130" i="10"/>
  <c r="E38" i="9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B131" i="10" l="1"/>
  <c r="B334" i="10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32" i="10" s="1"/>
  <c r="B133" i="10"/>
  <c r="B336" i="10"/>
  <c r="B235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B135" i="10" l="1"/>
  <c r="E43" i="9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41" i="7" l="1"/>
  <c r="B41" i="7" s="1"/>
  <c r="E51" i="9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B144" i="10" l="1"/>
  <c r="E52" i="9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H58" i="1" s="1"/>
  <c r="A352" i="4" s="1"/>
  <c r="B352" i="4" s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G58" i="1"/>
  <c r="A250" i="4" s="1"/>
  <c r="B250" i="4" s="1"/>
  <c r="E59" i="1" l="1"/>
  <c r="A149" i="4" s="1"/>
  <c r="B149" i="4" s="1"/>
  <c r="E56" i="9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B153" i="10" s="1"/>
  <c r="A51" i="10"/>
  <c r="B51" i="10" s="1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B155" i="10" s="1"/>
  <c r="A53" i="10"/>
  <c r="B53" i="10" s="1"/>
  <c r="B256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B168" i="10" s="1"/>
  <c r="A66" i="10"/>
  <c r="B66" i="10" s="1"/>
  <c r="B269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71" i="10" s="1"/>
  <c r="B274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A175" i="7" l="1"/>
  <c r="B175" i="7" s="1"/>
  <c r="E83" i="9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3" i="7"/>
  <c r="B73" i="7" s="1"/>
  <c r="C87" i="6"/>
  <c r="E86" i="6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A74" i="7" l="1"/>
  <c r="B74" i="7" s="1"/>
  <c r="A176" i="7"/>
  <c r="B176" i="7" s="1"/>
  <c r="E84" i="9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A178" i="7" l="1"/>
  <c r="B178" i="7" s="1"/>
  <c r="E86" i="9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B180" i="10" s="1"/>
  <c r="A78" i="10"/>
  <c r="B78" i="10" s="1"/>
  <c r="B281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A182" i="7" l="1"/>
  <c r="B182" i="7" s="1"/>
  <c r="E90" i="9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A183" i="7" l="1"/>
  <c r="B183" i="7" s="1"/>
  <c r="E91" i="9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A184" i="7" l="1"/>
  <c r="B184" i="7" s="1"/>
  <c r="E92" i="9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2" i="7"/>
  <c r="B82" i="7" s="1"/>
  <c r="C96" i="6"/>
  <c r="E95" i="6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A185" i="7" l="1"/>
  <c r="B185" i="7" s="1"/>
  <c r="A83" i="7"/>
  <c r="B83" i="7" s="1"/>
  <c r="E93" i="9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186" i="7" l="1"/>
  <c r="B186" i="7" s="1"/>
  <c r="E94" i="9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A87" i="7" l="1"/>
  <c r="B87" i="7" s="1"/>
  <c r="E97" i="9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190" i="7" l="1"/>
  <c r="B190" i="7" s="1"/>
  <c r="E98" i="9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193" i="7" l="1"/>
  <c r="B193" i="7" s="1"/>
  <c r="E101" i="9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A200" i="7" l="1"/>
  <c r="B200" i="7" s="1"/>
  <c r="E108" i="9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A201" i="7" l="1"/>
  <c r="B201" i="7" s="1"/>
  <c r="E109" i="9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G113" i="1"/>
  <c r="A305" i="4" s="1"/>
  <c r="B305" i="4" s="1"/>
  <c r="B203" i="10" l="1"/>
  <c r="H110" i="9"/>
  <c r="A407" i="10" s="1"/>
  <c r="B305" i="10"/>
  <c r="A203" i="7"/>
  <c r="B203" i="7" s="1"/>
  <c r="A101" i="7"/>
  <c r="B101" i="7" s="1"/>
  <c r="A203" i="4"/>
  <c r="B203" i="4" s="1"/>
  <c r="H113" i="1"/>
  <c r="B407" i="10" l="1"/>
  <c r="A407" i="4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<sst xmlns="http://schemas.openxmlformats.org/spreadsheetml/2006/main" count="102" uniqueCount="57">
  <si>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</si>
  <si>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</si>
  <si>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</si>
  <si>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</si>
  <si>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</si>
  <si>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</si>
  <si>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</si>
  <si>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</si>
  <si>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</si>
  <si>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</si>
  <si>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</si>
  <si>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</si>
  <si>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</si>
  <si>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</si>
  <si>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</si>
  <si>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</si>
  <si>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</si>
  <si>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</si>
  <si>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</si>
  <si>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</si>
  <si>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</si>
  <si>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</si>
  <si>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</si>
  <si>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</si>
  <si>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</si>
  <si>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</si>
  <si>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</si>
  <si>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</si>
  <si>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</si>
  <si>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</si>
  <si>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</si>
  <si>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</si>
  <si>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</si>
  <si>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</si>
  <si>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</si>
  <si>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</si>
  <si>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</si>
  <si>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</si>
  <si>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</si>
  <si>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</si>
  <si>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</si>
  <si>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</si>
  <si>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</si>
  <si>
    <t>v.20260206</t>
  </si>
  <si>
    <t>Pista atlética tipo disco rectángulo</t>
  </si>
  <si>
    <t>Parábola</t>
  </si>
  <si>
    <t>v.20260819</t>
  </si>
  <si>
    <t>X, longitud horizontal</t>
  </si>
  <si>
    <t>Y, longitud vertical</t>
  </si>
  <si>
    <t>X² = 4PY</t>
  </si>
  <si>
    <t>P, distancia VW entre el punto de inflexión y la línea directriz</t>
  </si>
  <si>
    <t>L curva 1</t>
  </si>
  <si>
    <t>L recta 1</t>
  </si>
  <si>
    <t>L total carril 1</t>
  </si>
  <si>
    <t>Radio disco</t>
  </si>
  <si>
    <t>Largo rectángulo</t>
  </si>
  <si>
    <t>Alto rectángulo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</si>
</sst>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  <font>
      <sz val="1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2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2" borderId="23" xfId="0" applyFont="1" applyFill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2" xfId="0" applyFont="1" applyBorder="1"/>
    <xf numFmtId="0" fontId="1" fillId="0" borderId="21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5" fillId="0" borderId="0" xfId="0" applyFont="1" applyAlignment="1">
      <alignment horizontal="right" vertical="top"/>
    </xf>
    <xf numFmtId="0" fontId="1" fillId="0" borderId="4" xfId="0" applyFont="1" applyBorder="1"/>
    <xf numFmtId="0" fontId="1" fillId="0" borderId="6" xfId="0" applyFont="1" applyBorder="1"/>
    <xf numFmtId="0" fontId="1" fillId="0" borderId="20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6" xfId="0" applyFont="1" applyBorder="1" applyAlignment="1">
      <alignment wrapText="1"/>
    </xf>
    <xf numFmtId="0" fontId="2" fillId="0" borderId="5" xfId="0" applyFont="1" applyBorder="1" applyAlignment="1" applyProtection="1">
      <alignment horizontal="center"/>
      <protection locked="0"/>
    </xf>
    <xf numFmtId="0" fontId="6" fillId="0" borderId="7" xfId="0" applyNumberFormat="1" applyFont="1" applyBorder="1" applyAlignment="1">
      <alignment horizontal="center" vertical="top"/>
    </xf>
    <xf numFmtId="0" fontId="2" fillId="0" borderId="5" xfId="0" applyNumberFormat="1" applyFont="1" applyBorder="1" applyAlignment="1" applyProtection="1">
      <alignment horizontal="center"/>
      <protection locked="0"/>
    </xf>
    <xf numFmtId="0" fontId="6" fillId="0" borderId="5" xfId="0" applyNumberFormat="1" applyFont="1" applyBorder="1" applyAlignment="1">
      <alignment horizontal="center"/>
    </xf>
    <xf numFmtId="0" fontId="6" fillId="0" borderId="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4.xml"/><Relationship Id="rId15" Type="http://schemas.openxmlformats.org/officeDocument/2006/relationships/calcChain" Target="calcChain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100.50505050505051</c:v>
                </c:pt>
                <c:pt idx="2">
                  <c:v>101.01010101010101</c:v>
                </c:pt>
                <c:pt idx="3">
                  <c:v>101.51515151515152</c:v>
                </c:pt>
                <c:pt idx="4">
                  <c:v>102.02020202020202</c:v>
                </c:pt>
                <c:pt idx="5">
                  <c:v>102.52525252525253</c:v>
                </c:pt>
                <c:pt idx="6">
                  <c:v>103.03030303030303</c:v>
                </c:pt>
                <c:pt idx="7">
                  <c:v>103.53535353535354</c:v>
                </c:pt>
                <c:pt idx="8">
                  <c:v>104.04040404040404</c:v>
                </c:pt>
                <c:pt idx="9">
                  <c:v>104.54545454545455</c:v>
                </c:pt>
                <c:pt idx="10">
                  <c:v>105.05050505050505</c:v>
                </c:pt>
                <c:pt idx="11">
                  <c:v>105.55555555555556</c:v>
                </c:pt>
                <c:pt idx="12">
                  <c:v>106.06060606060606</c:v>
                </c:pt>
                <c:pt idx="13">
                  <c:v>106.56565656565657</c:v>
                </c:pt>
                <c:pt idx="14">
                  <c:v>107.07070707070707</c:v>
                </c:pt>
                <c:pt idx="15">
                  <c:v>107.57575757575758</c:v>
                </c:pt>
                <c:pt idx="16">
                  <c:v>108.08080808080808</c:v>
                </c:pt>
                <c:pt idx="17">
                  <c:v>108.58585858585859</c:v>
                </c:pt>
                <c:pt idx="18">
                  <c:v>109.09090909090909</c:v>
                </c:pt>
                <c:pt idx="19">
                  <c:v>109.5959595959596</c:v>
                </c:pt>
                <c:pt idx="20">
                  <c:v>110.1010101010101</c:v>
                </c:pt>
                <c:pt idx="21">
                  <c:v>110.60606060606061</c:v>
                </c:pt>
                <c:pt idx="22">
                  <c:v>111.11111111111111</c:v>
                </c:pt>
                <c:pt idx="23">
                  <c:v>111.61616161616162</c:v>
                </c:pt>
                <c:pt idx="24">
                  <c:v>112.12121212121212</c:v>
                </c:pt>
                <c:pt idx="25">
                  <c:v>112.62626262626263</c:v>
                </c:pt>
                <c:pt idx="26">
                  <c:v>113.13131313131314</c:v>
                </c:pt>
                <c:pt idx="27">
                  <c:v>113.63636363636364</c:v>
                </c:pt>
                <c:pt idx="28">
                  <c:v>114.14141414141415</c:v>
                </c:pt>
                <c:pt idx="29">
                  <c:v>114.64646464646465</c:v>
                </c:pt>
                <c:pt idx="30">
                  <c:v>115.15151515151516</c:v>
                </c:pt>
                <c:pt idx="31">
                  <c:v>115.65656565656566</c:v>
                </c:pt>
                <c:pt idx="32">
                  <c:v>116.16161616161617</c:v>
                </c:pt>
                <c:pt idx="33">
                  <c:v>116.66666666666667</c:v>
                </c:pt>
                <c:pt idx="34">
                  <c:v>117.17171717171718</c:v>
                </c:pt>
                <c:pt idx="35">
                  <c:v>117.67676767676768</c:v>
                </c:pt>
                <c:pt idx="36">
                  <c:v>118.18181818181819</c:v>
                </c:pt>
                <c:pt idx="37">
                  <c:v>118.68686868686869</c:v>
                </c:pt>
                <c:pt idx="38">
                  <c:v>119.1919191919192</c:v>
                </c:pt>
                <c:pt idx="39">
                  <c:v>119.6969696969697</c:v>
                </c:pt>
                <c:pt idx="40">
                  <c:v>120.20202020202021</c:v>
                </c:pt>
                <c:pt idx="41">
                  <c:v>120.70707070707071</c:v>
                </c:pt>
                <c:pt idx="42">
                  <c:v>121.21212121212122</c:v>
                </c:pt>
                <c:pt idx="43">
                  <c:v>121.71717171717172</c:v>
                </c:pt>
                <c:pt idx="44">
                  <c:v>122.22222222222223</c:v>
                </c:pt>
                <c:pt idx="45">
                  <c:v>122.72727272727273</c:v>
                </c:pt>
                <c:pt idx="46">
                  <c:v>123.23232323232324</c:v>
                </c:pt>
                <c:pt idx="47">
                  <c:v>123.73737373737374</c:v>
                </c:pt>
                <c:pt idx="48">
                  <c:v>124.24242424242425</c:v>
                </c:pt>
                <c:pt idx="49">
                  <c:v>124.74747474747475</c:v>
                </c:pt>
                <c:pt idx="50">
                  <c:v>125.25252525252526</c:v>
                </c:pt>
                <c:pt idx="51">
                  <c:v>125.75757575757576</c:v>
                </c:pt>
                <c:pt idx="52">
                  <c:v>126.26262626262627</c:v>
                </c:pt>
                <c:pt idx="53">
                  <c:v>126.76767676767678</c:v>
                </c:pt>
                <c:pt idx="54">
                  <c:v>127.27272727272728</c:v>
                </c:pt>
                <c:pt idx="55">
                  <c:v>127.77777777777779</c:v>
                </c:pt>
                <c:pt idx="56">
                  <c:v>128.28282828282829</c:v>
                </c:pt>
                <c:pt idx="57">
                  <c:v>128.78787878787878</c:v>
                </c:pt>
                <c:pt idx="58">
                  <c:v>129.29292929292927</c:v>
                </c:pt>
                <c:pt idx="59">
                  <c:v>129.79797979797976</c:v>
                </c:pt>
                <c:pt idx="60">
                  <c:v>130.30303030303025</c:v>
                </c:pt>
                <c:pt idx="61">
                  <c:v>130.80808080808075</c:v>
                </c:pt>
                <c:pt idx="62">
                  <c:v>131.31313131313124</c:v>
                </c:pt>
                <c:pt idx="63">
                  <c:v>131.81818181818173</c:v>
                </c:pt>
                <c:pt idx="64">
                  <c:v>132.32323232323222</c:v>
                </c:pt>
                <c:pt idx="65">
                  <c:v>132.82828282828271</c:v>
                </c:pt>
                <c:pt idx="66">
                  <c:v>133.3333333333332</c:v>
                </c:pt>
                <c:pt idx="67">
                  <c:v>133.83838383838369</c:v>
                </c:pt>
                <c:pt idx="68">
                  <c:v>134.34343434343418</c:v>
                </c:pt>
                <c:pt idx="69">
                  <c:v>134.84848484848467</c:v>
                </c:pt>
                <c:pt idx="70">
                  <c:v>135.35353535353516</c:v>
                </c:pt>
                <c:pt idx="71">
                  <c:v>135.85858585858566</c:v>
                </c:pt>
                <c:pt idx="72">
                  <c:v>136.36363636363615</c:v>
                </c:pt>
                <c:pt idx="73">
                  <c:v>136.86868686868664</c:v>
                </c:pt>
                <c:pt idx="74">
                  <c:v>137.37373737373713</c:v>
                </c:pt>
                <c:pt idx="75">
                  <c:v>137.87878787878762</c:v>
                </c:pt>
                <c:pt idx="76">
                  <c:v>138.38383838383811</c:v>
                </c:pt>
                <c:pt idx="77">
                  <c:v>138.8888888888886</c:v>
                </c:pt>
                <c:pt idx="78">
                  <c:v>139.39393939393909</c:v>
                </c:pt>
                <c:pt idx="79">
                  <c:v>139.89898989898958</c:v>
                </c:pt>
                <c:pt idx="80">
                  <c:v>140.40404040404007</c:v>
                </c:pt>
                <c:pt idx="81">
                  <c:v>140.90909090909057</c:v>
                </c:pt>
                <c:pt idx="82">
                  <c:v>141.41414141414106</c:v>
                </c:pt>
                <c:pt idx="83">
                  <c:v>141.91919191919155</c:v>
                </c:pt>
                <c:pt idx="84">
                  <c:v>142.42424242424204</c:v>
                </c:pt>
                <c:pt idx="85">
                  <c:v>142.92929292929253</c:v>
                </c:pt>
                <c:pt idx="86">
                  <c:v>143.43434343434302</c:v>
                </c:pt>
                <c:pt idx="87">
                  <c:v>143.93939393939351</c:v>
                </c:pt>
                <c:pt idx="88">
                  <c:v>144.444444444444</c:v>
                </c:pt>
                <c:pt idx="89">
                  <c:v>144.94949494949449</c:v>
                </c:pt>
                <c:pt idx="90">
                  <c:v>145.45454545454498</c:v>
                </c:pt>
                <c:pt idx="91">
                  <c:v>145.95959595959548</c:v>
                </c:pt>
                <c:pt idx="92">
                  <c:v>146.46464646464597</c:v>
                </c:pt>
                <c:pt idx="93">
                  <c:v>146.96969696969646</c:v>
                </c:pt>
                <c:pt idx="94">
                  <c:v>147.47474747474695</c:v>
                </c:pt>
                <c:pt idx="95">
                  <c:v>147.97979797979744</c:v>
                </c:pt>
                <c:pt idx="96">
                  <c:v>148.48484848484793</c:v>
                </c:pt>
                <c:pt idx="97">
                  <c:v>148.98989898989842</c:v>
                </c:pt>
                <c:pt idx="98">
                  <c:v>149.49494949494891</c:v>
                </c:pt>
                <c:pt idx="99">
                  <c:v>149.9999999999994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71</c:v>
                </c:pt>
                <c:pt idx="1">
                  <c:v>70.998928653418687</c:v>
                </c:pt>
                <c:pt idx="2">
                  <c:v>70.995714285669663</c:v>
                </c:pt>
                <c:pt idx="3">
                  <c:v>70.990355912235358</c:v>
                </c:pt>
                <c:pt idx="4">
                  <c:v>70.982851890577024</c:v>
                </c:pt>
                <c:pt idx="5">
                  <c:v>70.973199917614039</c:v>
                </c:pt>
                <c:pt idx="6">
                  <c:v>70.961397026182595</c:v>
                </c:pt>
                <c:pt idx="7">
                  <c:v>70.947439580460497</c:v>
                </c:pt>
                <c:pt idx="8">
                  <c:v>70.931323270342148</c:v>
                </c:pt>
                <c:pt idx="9">
                  <c:v>70.913043104742712</c:v>
                </c:pt>
                <c:pt idx="10">
                  <c:v>70.892593403807552</c:v>
                </c:pt>
                <c:pt idx="11">
                  <c:v>70.869967789998043</c:v>
                </c:pt>
                <c:pt idx="12">
                  <c:v>70.845159178020793</c:v>
                </c:pt>
                <c:pt idx="13">
                  <c:v>70.818159763562932</c:v>
                </c:pt>
                <c:pt idx="14">
                  <c:v>70.788961010790615</c:v>
                </c:pt>
                <c:pt idx="15">
                  <c:v>70.757553638563749</c:v>
                </c:pt>
                <c:pt idx="16">
                  <c:v>70.723927605313293</c:v>
                </c:pt>
                <c:pt idx="17">
                  <c:v>70.688072092522731</c:v>
                </c:pt>
                <c:pt idx="18">
                  <c:v>70.649975486748303</c:v>
                </c:pt>
                <c:pt idx="19">
                  <c:v>70.609625360106151</c:v>
                </c:pt>
                <c:pt idx="20">
                  <c:v>70.567008449147167</c:v>
                </c:pt>
                <c:pt idx="21">
                  <c:v>70.522110632032678</c:v>
                </c:pt>
                <c:pt idx="22">
                  <c:v>70.474916903914959</c:v>
                </c:pt>
                <c:pt idx="23">
                  <c:v>70.425411350418187</c:v>
                </c:pt>
                <c:pt idx="24">
                  <c:v>70.37357711910451</c:v>
                </c:pt>
                <c:pt idx="25">
                  <c:v>70.319396388799106</c:v>
                </c:pt>
                <c:pt idx="26">
                  <c:v>70.262850336636305</c:v>
                </c:pt>
                <c:pt idx="27">
                  <c:v>70.203919102675059</c:v>
                </c:pt>
                <c:pt idx="28">
                  <c:v>70.14258175191776</c:v>
                </c:pt>
                <c:pt idx="29">
                  <c:v>70.078816233550214</c:v>
                </c:pt>
                <c:pt idx="30">
                  <c:v>70.012599337202673</c:v>
                </c:pt>
                <c:pt idx="31">
                  <c:v>69.943906646012636</c:v>
                </c:pt>
                <c:pt idx="32">
                  <c:v>69.872712486247693</c:v>
                </c:pt>
                <c:pt idx="33">
                  <c:v>69.798989873223334</c:v>
                </c:pt>
                <c:pt idx="34">
                  <c:v>69.722710453222987</c:v>
                </c:pt>
                <c:pt idx="35">
                  <c:v>69.643844441098565</c:v>
                </c:pt>
                <c:pt idx="36">
                  <c:v>69.562360553195589</c:v>
                </c:pt>
                <c:pt idx="37">
                  <c:v>69.478225935210418</c:v>
                </c:pt>
                <c:pt idx="38">
                  <c:v>69.391406084544798</c:v>
                </c:pt>
                <c:pt idx="39">
                  <c:v>69.301864766676673</c:v>
                </c:pt>
                <c:pt idx="40">
                  <c:v>69.2095639250131</c:v>
                </c:pt>
                <c:pt idx="41">
                  <c:v>69.114463583631917</c:v>
                </c:pt>
                <c:pt idx="42">
                  <c:v>69.01652174225228</c:v>
                </c:pt>
                <c:pt idx="43">
                  <c:v>68.915694262697656</c:v>
                </c:pt>
                <c:pt idx="44">
                  <c:v>68.811934746029948</c:v>
                </c:pt>
                <c:pt idx="45">
                  <c:v>68.705194399435172</c:v>
                </c:pt>
                <c:pt idx="46">
                  <c:v>68.595421891830526</c:v>
                </c:pt>
                <c:pt idx="47">
                  <c:v>68.482563197035603</c:v>
                </c:pt>
                <c:pt idx="48">
                  <c:v>68.366561423205937</c:v>
                </c:pt>
                <c:pt idx="49">
                  <c:v>68.247356627060114</c:v>
                </c:pt>
                <c:pt idx="50">
                  <c:v>68.124885611240956</c:v>
                </c:pt>
                <c:pt idx="51">
                  <c:v>67.999081702930297</c:v>
                </c:pt>
                <c:pt idx="52">
                  <c:v>67.869874511581997</c:v>
                </c:pt>
                <c:pt idx="53">
                  <c:v>67.737189663341582</c:v>
                </c:pt>
                <c:pt idx="54">
                  <c:v>67.600948509377332</c:v>
                </c:pt>
                <c:pt idx="55">
                  <c:v>67.46106780494506</c:v>
                </c:pt>
                <c:pt idx="56">
                  <c:v>67.317459355539484</c:v>
                </c:pt>
                <c:pt idx="57">
                  <c:v>67.17002962593169</c:v>
                </c:pt>
                <c:pt idx="58">
                  <c:v>67.018679307241158</c:v>
                </c:pt>
                <c:pt idx="59">
                  <c:v>66.863302836419706</c:v>
                </c:pt>
                <c:pt idx="60">
                  <c:v>66.703787861608532</c:v>
                </c:pt>
                <c:pt idx="61">
                  <c:v>66.540014645736449</c:v>
                </c:pt>
                <c:pt idx="62">
                  <c:v>66.371855399418479</c:v>
                </c:pt>
                <c:pt idx="63">
                  <c:v>66.199173532637303</c:v>
                </c:pt>
                <c:pt idx="64">
                  <c:v>66.021822812784507</c:v>
                </c:pt>
                <c:pt idx="65">
                  <c:v>65.83964641432263</c:v>
                </c:pt>
                <c:pt idx="66">
                  <c:v>65.652475842498575</c:v>
                </c:pt>
                <c:pt idx="67">
                  <c:v>65.460129710063114</c:v>
                </c:pt>
                <c:pt idx="68">
                  <c:v>65.262412341654482</c:v>
                </c:pt>
                <c:pt idx="69">
                  <c:v>65.059112175162724</c:v>
                </c:pt>
                <c:pt idx="70">
                  <c:v>64.849999922704313</c:v>
                </c:pt>
                <c:pt idx="71">
                  <c:v>64.634826445408862</c:v>
                </c:pt>
                <c:pt idx="72">
                  <c:v>64.413320285516988</c:v>
                </c:pt>
                <c:pt idx="73">
                  <c:v>64.185184785588405</c:v>
                </c:pt>
                <c:pt idx="74">
                  <c:v>63.950094706933655</c:v>
                </c:pt>
                <c:pt idx="75">
                  <c:v>63.707692236342503</c:v>
                </c:pt>
                <c:pt idx="76">
                  <c:v>63.457582239870838</c:v>
                </c:pt>
                <c:pt idx="77">
                  <c:v>63.199326582149041</c:v>
                </c:pt>
                <c:pt idx="78">
                  <c:v>62.932437275482982</c:v>
                </c:pt>
                <c:pt idx="79">
                  <c:v>62.65636814924067</c:v>
                </c:pt>
                <c:pt idx="80">
                  <c:v>62.370504628213929</c:v>
                </c:pt>
                <c:pt idx="81">
                  <c:v>62.074151066097656</c:v>
                </c:pt>
                <c:pt idx="82">
                  <c:v>61.766514877395451</c:v>
                </c:pt>
                <c:pt idx="83">
                  <c:v>61.446686417288035</c:v>
                </c:pt>
                <c:pt idx="84">
                  <c:v>61.113613125092158</c:v>
                </c:pt>
                <c:pt idx="85">
                  <c:v>60.766065791896843</c:v>
                </c:pt>
                <c:pt idx="86">
                  <c:v>60.402593799597227</c:v>
                </c:pt>
                <c:pt idx="87">
                  <c:v>60.02146456692445</c:v>
                </c:pt>
                <c:pt idx="88">
                  <c:v>59.620579793108234</c:v>
                </c:pt>
                <c:pt idx="89">
                  <c:v>59.197356589136852</c:v>
                </c:pt>
                <c:pt idx="90">
                  <c:v>58.74855359946158</c:v>
                </c:pt>
                <c:pt idx="91">
                  <c:v>58.270007322868693</c:v>
                </c:pt>
                <c:pt idx="92">
                  <c:v>57.756214369180867</c:v>
                </c:pt>
                <c:pt idx="93">
                  <c:v>57.199632681172709</c:v>
                </c:pt>
                <c:pt idx="94">
                  <c:v>56.589428604186331</c:v>
                </c:pt>
                <c:pt idx="95">
                  <c:v>55.909013208503133</c:v>
                </c:pt>
                <c:pt idx="96">
                  <c:v>55.130527658009093</c:v>
                </c:pt>
                <c:pt idx="97">
                  <c:v>54.199785730684901</c:v>
                </c:pt>
                <c:pt idx="98">
                  <c:v>52.97726308889041</c:v>
                </c:pt>
                <c:pt idx="99">
                  <c:v>50.000003244469077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99.494949494949495</c:v>
                </c:pt>
                <c:pt idx="2">
                  <c:v>98.98989898989899</c:v>
                </c:pt>
                <c:pt idx="3">
                  <c:v>98.484848484848484</c:v>
                </c:pt>
                <c:pt idx="4">
                  <c:v>97.979797979797979</c:v>
                </c:pt>
                <c:pt idx="5">
                  <c:v>97.474747474747474</c:v>
                </c:pt>
                <c:pt idx="6">
                  <c:v>96.969696969696969</c:v>
                </c:pt>
                <c:pt idx="7">
                  <c:v>96.464646464646464</c:v>
                </c:pt>
                <c:pt idx="8">
                  <c:v>95.959595959595958</c:v>
                </c:pt>
                <c:pt idx="9">
                  <c:v>95.454545454545453</c:v>
                </c:pt>
                <c:pt idx="10">
                  <c:v>94.949494949494948</c:v>
                </c:pt>
                <c:pt idx="11">
                  <c:v>94.444444444444443</c:v>
                </c:pt>
                <c:pt idx="12">
                  <c:v>93.939393939393938</c:v>
                </c:pt>
                <c:pt idx="13">
                  <c:v>93.434343434343432</c:v>
                </c:pt>
                <c:pt idx="14">
                  <c:v>92.929292929292927</c:v>
                </c:pt>
                <c:pt idx="15">
                  <c:v>92.424242424242422</c:v>
                </c:pt>
                <c:pt idx="16">
                  <c:v>91.919191919191917</c:v>
                </c:pt>
                <c:pt idx="17">
                  <c:v>91.414141414141412</c:v>
                </c:pt>
                <c:pt idx="18">
                  <c:v>90.909090909090907</c:v>
                </c:pt>
                <c:pt idx="19">
                  <c:v>90.404040404040401</c:v>
                </c:pt>
                <c:pt idx="20">
                  <c:v>89.898989898989896</c:v>
                </c:pt>
                <c:pt idx="21">
                  <c:v>89.393939393939391</c:v>
                </c:pt>
                <c:pt idx="22">
                  <c:v>88.888888888888886</c:v>
                </c:pt>
                <c:pt idx="23">
                  <c:v>88.383838383838381</c:v>
                </c:pt>
                <c:pt idx="24">
                  <c:v>87.878787878787875</c:v>
                </c:pt>
                <c:pt idx="25">
                  <c:v>87.37373737373737</c:v>
                </c:pt>
                <c:pt idx="26">
                  <c:v>86.868686868686865</c:v>
                </c:pt>
                <c:pt idx="27">
                  <c:v>86.36363636363636</c:v>
                </c:pt>
                <c:pt idx="28">
                  <c:v>85.858585858585855</c:v>
                </c:pt>
                <c:pt idx="29">
                  <c:v>85.353535353535349</c:v>
                </c:pt>
                <c:pt idx="30">
                  <c:v>84.848484848484844</c:v>
                </c:pt>
                <c:pt idx="31">
                  <c:v>84.343434343434339</c:v>
                </c:pt>
                <c:pt idx="32">
                  <c:v>83.838383838383834</c:v>
                </c:pt>
                <c:pt idx="33">
                  <c:v>83.333333333333329</c:v>
                </c:pt>
                <c:pt idx="34">
                  <c:v>82.828282828282823</c:v>
                </c:pt>
                <c:pt idx="35">
                  <c:v>82.323232323232318</c:v>
                </c:pt>
                <c:pt idx="36">
                  <c:v>81.818181818181813</c:v>
                </c:pt>
                <c:pt idx="37">
                  <c:v>81.313131313131308</c:v>
                </c:pt>
                <c:pt idx="38">
                  <c:v>80.808080808080803</c:v>
                </c:pt>
                <c:pt idx="39">
                  <c:v>80.303030303030297</c:v>
                </c:pt>
                <c:pt idx="40">
                  <c:v>79.797979797979792</c:v>
                </c:pt>
                <c:pt idx="41">
                  <c:v>79.292929292929287</c:v>
                </c:pt>
                <c:pt idx="42">
                  <c:v>78.787878787878782</c:v>
                </c:pt>
                <c:pt idx="43">
                  <c:v>78.282828282828277</c:v>
                </c:pt>
                <c:pt idx="44">
                  <c:v>77.777777777777771</c:v>
                </c:pt>
                <c:pt idx="45">
                  <c:v>77.272727272727266</c:v>
                </c:pt>
                <c:pt idx="46">
                  <c:v>76.767676767676761</c:v>
                </c:pt>
                <c:pt idx="47">
                  <c:v>76.262626262626256</c:v>
                </c:pt>
                <c:pt idx="48">
                  <c:v>75.757575757575751</c:v>
                </c:pt>
                <c:pt idx="49">
                  <c:v>75.252525252525245</c:v>
                </c:pt>
                <c:pt idx="50">
                  <c:v>74.74747474747474</c:v>
                </c:pt>
                <c:pt idx="51">
                  <c:v>74.242424242424235</c:v>
                </c:pt>
                <c:pt idx="52">
                  <c:v>73.73737373737373</c:v>
                </c:pt>
                <c:pt idx="53">
                  <c:v>73.232323232323225</c:v>
                </c:pt>
                <c:pt idx="54">
                  <c:v>72.72727272727272</c:v>
                </c:pt>
                <c:pt idx="55">
                  <c:v>72.222222222222214</c:v>
                </c:pt>
                <c:pt idx="56">
                  <c:v>71.717171717171709</c:v>
                </c:pt>
                <c:pt idx="57">
                  <c:v>71.212121212121218</c:v>
                </c:pt>
                <c:pt idx="58">
                  <c:v>70.707070707070727</c:v>
                </c:pt>
                <c:pt idx="59">
                  <c:v>70.202020202020236</c:v>
                </c:pt>
                <c:pt idx="60">
                  <c:v>69.696969696969745</c:v>
                </c:pt>
                <c:pt idx="61">
                  <c:v>69.191919191919254</c:v>
                </c:pt>
                <c:pt idx="62">
                  <c:v>68.686868686868763</c:v>
                </c:pt>
                <c:pt idx="63">
                  <c:v>68.181818181818272</c:v>
                </c:pt>
                <c:pt idx="64">
                  <c:v>67.676767676767781</c:v>
                </c:pt>
                <c:pt idx="65">
                  <c:v>67.17171717171729</c:v>
                </c:pt>
                <c:pt idx="66">
                  <c:v>66.666666666666799</c:v>
                </c:pt>
                <c:pt idx="67">
                  <c:v>66.161616161616308</c:v>
                </c:pt>
                <c:pt idx="68">
                  <c:v>65.656565656565817</c:v>
                </c:pt>
                <c:pt idx="69">
                  <c:v>65.151515151515326</c:v>
                </c:pt>
                <c:pt idx="70">
                  <c:v>64.646464646464835</c:v>
                </c:pt>
                <c:pt idx="71">
                  <c:v>64.141414141414344</c:v>
                </c:pt>
                <c:pt idx="72">
                  <c:v>63.636363636363853</c:v>
                </c:pt>
                <c:pt idx="73">
                  <c:v>63.131313131313362</c:v>
                </c:pt>
                <c:pt idx="74">
                  <c:v>62.626262626262871</c:v>
                </c:pt>
                <c:pt idx="75">
                  <c:v>62.12121212121238</c:v>
                </c:pt>
                <c:pt idx="76">
                  <c:v>61.616161616161889</c:v>
                </c:pt>
                <c:pt idx="77">
                  <c:v>61.111111111111398</c:v>
                </c:pt>
                <c:pt idx="78">
                  <c:v>60.606060606060908</c:v>
                </c:pt>
                <c:pt idx="79">
                  <c:v>60.101010101010417</c:v>
                </c:pt>
                <c:pt idx="80">
                  <c:v>59.595959595959926</c:v>
                </c:pt>
                <c:pt idx="81">
                  <c:v>59.090909090909435</c:v>
                </c:pt>
                <c:pt idx="82">
                  <c:v>58.585858585858944</c:v>
                </c:pt>
                <c:pt idx="83">
                  <c:v>58.080808080808453</c:v>
                </c:pt>
                <c:pt idx="84">
                  <c:v>57.575757575757962</c:v>
                </c:pt>
                <c:pt idx="85">
                  <c:v>57.070707070707471</c:v>
                </c:pt>
                <c:pt idx="86">
                  <c:v>56.56565656565698</c:v>
                </c:pt>
                <c:pt idx="87">
                  <c:v>56.060606060606489</c:v>
                </c:pt>
                <c:pt idx="88">
                  <c:v>55.555555555555998</c:v>
                </c:pt>
                <c:pt idx="89">
                  <c:v>55.050505050505507</c:v>
                </c:pt>
                <c:pt idx="90">
                  <c:v>54.545454545455016</c:v>
                </c:pt>
                <c:pt idx="91">
                  <c:v>54.040404040404525</c:v>
                </c:pt>
                <c:pt idx="92">
                  <c:v>53.535353535354034</c:v>
                </c:pt>
                <c:pt idx="93">
                  <c:v>53.030303030303543</c:v>
                </c:pt>
                <c:pt idx="94">
                  <c:v>52.525252525253052</c:v>
                </c:pt>
                <c:pt idx="95">
                  <c:v>52.020202020202561</c:v>
                </c:pt>
                <c:pt idx="96">
                  <c:v>51.51515151515207</c:v>
                </c:pt>
                <c:pt idx="97">
                  <c:v>51.010101010101579</c:v>
                </c:pt>
                <c:pt idx="98">
                  <c:v>50.505050505051088</c:v>
                </c:pt>
                <c:pt idx="99">
                  <c:v>50.000000000000597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29</c:v>
                </c:pt>
                <c:pt idx="1">
                  <c:v>29.001071346581313</c:v>
                </c:pt>
                <c:pt idx="2">
                  <c:v>29.004285714330337</c:v>
                </c:pt>
                <c:pt idx="3">
                  <c:v>29.009644087764642</c:v>
                </c:pt>
                <c:pt idx="4">
                  <c:v>29.017148109422976</c:v>
                </c:pt>
                <c:pt idx="5">
                  <c:v>29.026800082385961</c:v>
                </c:pt>
                <c:pt idx="6">
                  <c:v>29.038602973817405</c:v>
                </c:pt>
                <c:pt idx="7">
                  <c:v>29.052560419539503</c:v>
                </c:pt>
                <c:pt idx="8">
                  <c:v>29.068676729657852</c:v>
                </c:pt>
                <c:pt idx="9">
                  <c:v>29.086956895257288</c:v>
                </c:pt>
                <c:pt idx="10">
                  <c:v>29.107406596192448</c:v>
                </c:pt>
                <c:pt idx="11">
                  <c:v>29.130032210001957</c:v>
                </c:pt>
                <c:pt idx="12">
                  <c:v>29.154840821979207</c:v>
                </c:pt>
                <c:pt idx="13">
                  <c:v>29.181840236437068</c:v>
                </c:pt>
                <c:pt idx="14">
                  <c:v>29.211038989209385</c:v>
                </c:pt>
                <c:pt idx="15">
                  <c:v>29.242446361436251</c:v>
                </c:pt>
                <c:pt idx="16">
                  <c:v>29.276072394686707</c:v>
                </c:pt>
                <c:pt idx="17">
                  <c:v>29.311927907477269</c:v>
                </c:pt>
                <c:pt idx="18">
                  <c:v>29.350024513251697</c:v>
                </c:pt>
                <c:pt idx="19">
                  <c:v>29.390374639893849</c:v>
                </c:pt>
                <c:pt idx="20">
                  <c:v>29.432991550852833</c:v>
                </c:pt>
                <c:pt idx="21">
                  <c:v>29.477889367967322</c:v>
                </c:pt>
                <c:pt idx="22">
                  <c:v>29.525083096085041</c:v>
                </c:pt>
                <c:pt idx="23">
                  <c:v>29.574588649581813</c:v>
                </c:pt>
                <c:pt idx="24">
                  <c:v>29.62642288089549</c:v>
                </c:pt>
                <c:pt idx="25">
                  <c:v>29.680603611200894</c:v>
                </c:pt>
                <c:pt idx="26">
                  <c:v>29.737149663363695</c:v>
                </c:pt>
                <c:pt idx="27">
                  <c:v>29.796080897324941</c:v>
                </c:pt>
                <c:pt idx="28">
                  <c:v>29.85741824808224</c:v>
                </c:pt>
                <c:pt idx="29">
                  <c:v>29.921183766449786</c:v>
                </c:pt>
                <c:pt idx="30">
                  <c:v>29.987400662797327</c:v>
                </c:pt>
                <c:pt idx="31">
                  <c:v>30.056093353987364</c:v>
                </c:pt>
                <c:pt idx="32">
                  <c:v>30.127287513752307</c:v>
                </c:pt>
                <c:pt idx="33">
                  <c:v>30.201010126776666</c:v>
                </c:pt>
                <c:pt idx="34">
                  <c:v>30.277289546777013</c:v>
                </c:pt>
                <c:pt idx="35">
                  <c:v>30.356155558901435</c:v>
                </c:pt>
                <c:pt idx="36">
                  <c:v>30.437639446804411</c:v>
                </c:pt>
                <c:pt idx="37">
                  <c:v>30.521774064789582</c:v>
                </c:pt>
                <c:pt idx="38">
                  <c:v>30.608593915455202</c:v>
                </c:pt>
                <c:pt idx="39">
                  <c:v>30.698135233323327</c:v>
                </c:pt>
                <c:pt idx="40">
                  <c:v>30.7904360749869</c:v>
                </c:pt>
                <c:pt idx="41">
                  <c:v>30.885536416368083</c:v>
                </c:pt>
                <c:pt idx="42">
                  <c:v>30.98347825774772</c:v>
                </c:pt>
                <c:pt idx="43">
                  <c:v>31.084305737302344</c:v>
                </c:pt>
                <c:pt idx="44">
                  <c:v>31.188065253970052</c:v>
                </c:pt>
                <c:pt idx="45">
                  <c:v>31.294805600564828</c:v>
                </c:pt>
                <c:pt idx="46">
                  <c:v>31.404578108169474</c:v>
                </c:pt>
                <c:pt idx="47">
                  <c:v>31.517436802964397</c:v>
                </c:pt>
                <c:pt idx="48">
                  <c:v>31.633438576794063</c:v>
                </c:pt>
                <c:pt idx="49">
                  <c:v>31.752643372939886</c:v>
                </c:pt>
                <c:pt idx="50">
                  <c:v>31.875114388759044</c:v>
                </c:pt>
                <c:pt idx="51">
                  <c:v>32.000918297069703</c:v>
                </c:pt>
                <c:pt idx="52">
                  <c:v>32.130125488418003</c:v>
                </c:pt>
                <c:pt idx="53">
                  <c:v>32.262810336658418</c:v>
                </c:pt>
                <c:pt idx="54">
                  <c:v>32.399051490622668</c:v>
                </c:pt>
                <c:pt idx="55">
                  <c:v>32.53893219505494</c:v>
                </c:pt>
                <c:pt idx="56">
                  <c:v>32.682540644460516</c:v>
                </c:pt>
                <c:pt idx="57">
                  <c:v>32.82997037406831</c:v>
                </c:pt>
                <c:pt idx="58">
                  <c:v>32.981320692758842</c:v>
                </c:pt>
                <c:pt idx="59">
                  <c:v>33.136697163580294</c:v>
                </c:pt>
                <c:pt idx="60">
                  <c:v>33.296212138391468</c:v>
                </c:pt>
                <c:pt idx="61">
                  <c:v>33.459985354263551</c:v>
                </c:pt>
                <c:pt idx="62">
                  <c:v>33.628144600581521</c:v>
                </c:pt>
                <c:pt idx="63">
                  <c:v>33.800826467362697</c:v>
                </c:pt>
                <c:pt idx="64">
                  <c:v>33.978177187215493</c:v>
                </c:pt>
                <c:pt idx="65">
                  <c:v>34.16035358567737</c:v>
                </c:pt>
                <c:pt idx="66">
                  <c:v>34.347524157501425</c:v>
                </c:pt>
                <c:pt idx="67">
                  <c:v>34.539870289936886</c:v>
                </c:pt>
                <c:pt idx="68">
                  <c:v>34.737587658345518</c:v>
                </c:pt>
                <c:pt idx="69">
                  <c:v>34.940887824837276</c:v>
                </c:pt>
                <c:pt idx="70">
                  <c:v>35.150000077295687</c:v>
                </c:pt>
                <c:pt idx="71">
                  <c:v>35.365173554591138</c:v>
                </c:pt>
                <c:pt idx="72">
                  <c:v>35.586679714483012</c:v>
                </c:pt>
                <c:pt idx="73">
                  <c:v>35.814815214411595</c:v>
                </c:pt>
                <c:pt idx="74">
                  <c:v>36.049905293066345</c:v>
                </c:pt>
                <c:pt idx="75">
                  <c:v>36.292307763657497</c:v>
                </c:pt>
                <c:pt idx="76">
                  <c:v>36.542417760129162</c:v>
                </c:pt>
                <c:pt idx="77">
                  <c:v>36.800673417850959</c:v>
                </c:pt>
                <c:pt idx="78">
                  <c:v>37.067562724517018</c:v>
                </c:pt>
                <c:pt idx="79">
                  <c:v>37.34363185075933</c:v>
                </c:pt>
                <c:pt idx="80">
                  <c:v>37.629495371786071</c:v>
                </c:pt>
                <c:pt idx="81">
                  <c:v>37.925848933902344</c:v>
                </c:pt>
                <c:pt idx="82">
                  <c:v>38.233485122604549</c:v>
                </c:pt>
                <c:pt idx="83">
                  <c:v>38.553313582711965</c:v>
                </c:pt>
                <c:pt idx="84">
                  <c:v>38.886386874907842</c:v>
                </c:pt>
                <c:pt idx="85">
                  <c:v>39.233934208103157</c:v>
                </c:pt>
                <c:pt idx="86">
                  <c:v>39.597406200402773</c:v>
                </c:pt>
                <c:pt idx="87">
                  <c:v>39.97853543307555</c:v>
                </c:pt>
                <c:pt idx="88">
                  <c:v>40.379420206891766</c:v>
                </c:pt>
                <c:pt idx="89">
                  <c:v>40.802643410863148</c:v>
                </c:pt>
                <c:pt idx="90">
                  <c:v>41.25144640053842</c:v>
                </c:pt>
                <c:pt idx="91">
                  <c:v>41.729992677131307</c:v>
                </c:pt>
                <c:pt idx="92">
                  <c:v>42.243785630819133</c:v>
                </c:pt>
                <c:pt idx="93">
                  <c:v>42.800367318827291</c:v>
                </c:pt>
                <c:pt idx="94">
                  <c:v>43.410571395813669</c:v>
                </c:pt>
                <c:pt idx="95">
                  <c:v>44.090986791496867</c:v>
                </c:pt>
                <c:pt idx="96">
                  <c:v>44.869472341990907</c:v>
                </c:pt>
                <c:pt idx="97">
                  <c:v>45.800214269315099</c:v>
                </c:pt>
                <c:pt idx="98">
                  <c:v>47.02273691110959</c:v>
                </c:pt>
                <c:pt idx="99">
                  <c:v>49.999996755530923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2</xdr:row>
      <xdr:rowOff>95251</xdr:rowOff>
    </xdr:from>
    <xdr:to>
      <xdr:col>7</xdr:col>
      <xdr:colOff>731106</xdr:colOff>
      <xdr:row>11</xdr:row>
      <xdr:rowOff>166605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484272</xdr:colOff>
      <xdr:row>0</xdr:row>
      <xdr:rowOff>54001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ℎ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〖(𝑥−ℎ)〗^2/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〖(𝑦−𝑘)〗^2/𝑏^2 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555304</xdr:colOff>
      <xdr:row>0</xdr:row>
      <xdr:rowOff>33245</xdr:rowOff>
    </xdr:from>
    <xdr:ext cx="1179066" cy="344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8</xdr:col>
      <xdr:colOff>187983</xdr:colOff>
      <xdr:row>1</xdr:row>
      <xdr:rowOff>95249</xdr:rowOff>
    </xdr:from>
    <xdr:to>
      <xdr:col>12</xdr:col>
      <xdr:colOff>457047</xdr:colOff>
      <xdr:row>9</xdr:row>
      <xdr:rowOff>84259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368" y="304067"/>
          <a:ext cx="2756554" cy="1659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65690</xdr:colOff>
      <xdr:row>2</xdr:row>
      <xdr:rowOff>78827</xdr:rowOff>
    </xdr:from>
    <xdr:to>
      <xdr:col>7</xdr:col>
      <xdr:colOff>706163</xdr:colOff>
      <xdr:row>8</xdr:row>
      <xdr:rowOff>91966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2</xdr:row>
      <xdr:rowOff>106240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696405</xdr:colOff>
      <xdr:row>0</xdr:row>
      <xdr:rowOff>24277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  <xdr:twoCellAnchor editAs="oneCell">
    <xdr:from>
      <xdr:col>7</xdr:col>
      <xdr:colOff>344870</xdr:colOff>
      <xdr:row>2</xdr:row>
      <xdr:rowOff>193785</xdr:rowOff>
    </xdr:from>
    <xdr:to>
      <xdr:col>12</xdr:col>
      <xdr:colOff>88995</xdr:colOff>
      <xdr:row>10</xdr:row>
      <xdr:rowOff>147802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C4F0A003-5877-9455-7E25-C2F69E025C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4879" y="614199"/>
          <a:ext cx="3554125" cy="16356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80367</xdr:colOff>
      <xdr:row>0</xdr:row>
      <xdr:rowOff>127991</xdr:rowOff>
    </xdr:from>
    <xdr:to>
      <xdr:col>1</xdr:col>
      <xdr:colOff>1102625</xdr:colOff>
      <xdr:row>1</xdr:row>
      <xdr:rowOff>156818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42F1455-08E7-41F4-AEE4-B423E7A5E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6105" y="127991"/>
          <a:ext cx="1022258" cy="23837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</xdr:colOff>
      <xdr:row>2</xdr:row>
      <xdr:rowOff>130628</xdr:rowOff>
    </xdr:from>
    <xdr:to>
      <xdr:col>7</xdr:col>
      <xdr:colOff>282485</xdr:colOff>
      <xdr:row>7</xdr:row>
      <xdr:rowOff>5443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CFFF4C-F6B6-2EED-769F-48C6A0927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7064" y="549728"/>
          <a:ext cx="2146664" cy="1341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80367</xdr:colOff>
      <xdr:row>0</xdr:row>
      <xdr:rowOff>127991</xdr:rowOff>
    </xdr:from>
    <xdr:to>
      <xdr:col>1</xdr:col>
      <xdr:colOff>1102625</xdr:colOff>
      <xdr:row>1</xdr:row>
      <xdr:rowOff>156818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BED22AF-DF48-4644-993D-2437DCAC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4914" y="127991"/>
          <a:ext cx="1022258" cy="237186"/>
        </a:xfrm>
        <a:prstGeom prst="rect">
          <a:avLst/>
        </a:prstGeom>
      </xdr:spPr>
    </xdr:pic>
    <xdr:clientData/>
  </xdr:twoCellAnchor>
  <xdr:twoCellAnchor editAs="oneCell">
    <xdr:from>
      <xdr:col>3</xdr:col>
      <xdr:colOff>244926</xdr:colOff>
      <xdr:row>1</xdr:row>
      <xdr:rowOff>72857</xdr:rowOff>
    </xdr:from>
    <xdr:to>
      <xdr:col>10</xdr:col>
      <xdr:colOff>93961</xdr:colOff>
      <xdr:row>11</xdr:row>
      <xdr:rowOff>95285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4A2F9D-3F9E-5CD9-8B06-24CF42DD1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132362" y="282407"/>
          <a:ext cx="4382935" cy="211792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53" t="s">
        <v>39</v>
      </c>
    </row>
    <row r="3" spans="2:10" x14ac:dyDescent="0.6">
      <c r="B3" s="56" t="s">
        <v>40</v>
      </c>
      <c r="C3" s="57"/>
      <c r="D3" s="57"/>
      <c r="E3" s="41"/>
      <c r="F3" s="9"/>
      <c r="G3" s="9"/>
      <c r="H3" s="10"/>
    </row>
    <row r="4" spans="2:10" x14ac:dyDescent="0.6">
      <c r="B4" s="58"/>
      <c r="C4" s="59"/>
      <c r="D4" s="59"/>
      <c r="E4" s="49"/>
      <c r="H4" s="11"/>
    </row>
    <row r="5" spans="2:10" x14ac:dyDescent="0.6">
      <c r="B5" s="2" t="s">
        <v>13</v>
      </c>
      <c r="C5" s="14"/>
      <c r="D5" s="45" t="s">
        <v>14</v>
      </c>
      <c r="E5" s="49"/>
      <c r="H5" s="11"/>
    </row>
    <row r="6" spans="2:10" x14ac:dyDescent="0.6">
      <c r="B6" s="15" t="s">
        <v>2</v>
      </c>
      <c r="C6" s="16"/>
      <c r="D6" s="46">
        <v>100</v>
      </c>
      <c r="E6" s="49"/>
      <c r="H6" s="11"/>
    </row>
    <row r="7" spans="2:10" x14ac:dyDescent="0.6">
      <c r="B7" s="15" t="s">
        <v>3</v>
      </c>
      <c r="C7" s="17"/>
      <c r="D7" s="46">
        <v>50</v>
      </c>
      <c r="E7" s="49"/>
      <c r="H7" s="11"/>
    </row>
    <row r="8" spans="2:10" x14ac:dyDescent="0.6">
      <c r="B8" s="15" t="s">
        <v>1</v>
      </c>
      <c r="C8" s="17"/>
      <c r="D8" s="46">
        <v>50</v>
      </c>
      <c r="E8" s="49"/>
      <c r="H8" s="11"/>
    </row>
    <row r="9" spans="2:10" x14ac:dyDescent="0.6">
      <c r="B9" s="15" t="s">
        <v>0</v>
      </c>
      <c r="C9" s="17"/>
      <c r="D9" s="46">
        <v>21</v>
      </c>
      <c r="E9" s="49"/>
      <c r="H9" s="11"/>
    </row>
    <row r="10" spans="2:10" x14ac:dyDescent="0.6">
      <c r="B10" s="15" t="s">
        <v>12</v>
      </c>
      <c r="C10" s="17"/>
      <c r="D10" s="46">
        <v>99</v>
      </c>
      <c r="E10" s="49"/>
      <c r="H10" s="11"/>
    </row>
    <row r="11" spans="2:10" x14ac:dyDescent="0.6">
      <c r="B11" s="15" t="s">
        <v>5</v>
      </c>
      <c r="C11" s="17"/>
      <c r="D11" s="51">
        <f>IF(a_elipse&gt;b_elipse,(a_elipse^2-b_elipse^2)^0.5,(b_elipse^2-a_elipse^2)^0.5)</f>
        <v>45.376205218153707</v>
      </c>
      <c r="E11" s="49"/>
      <c r="H11" s="11"/>
    </row>
    <row r="12" spans="2:10" x14ac:dyDescent="0.6">
      <c r="B12" s="18" t="s">
        <v>4</v>
      </c>
      <c r="C12" s="19"/>
      <c r="D12" s="52">
        <f>D11/a_elipse</f>
        <v>0.90752410436307418</v>
      </c>
      <c r="E12" s="50"/>
      <c r="F12" s="12"/>
      <c r="G12" s="12"/>
      <c r="H12" s="13"/>
    </row>
    <row r="13" spans="2:10" x14ac:dyDescent="0.6">
      <c r="B13" s="20" t="s">
        <v>15</v>
      </c>
      <c r="C13" s="4" t="s">
        <v>6</v>
      </c>
      <c r="D13" s="4" t="s">
        <v>8</v>
      </c>
      <c r="E13" s="47" t="s">
        <v>9</v>
      </c>
      <c r="F13" s="47" t="s">
        <v>7</v>
      </c>
      <c r="G13" s="47" t="s">
        <v>10</v>
      </c>
      <c r="H13" s="48" t="s">
        <v>11</v>
      </c>
      <c r="J13"/>
    </row>
    <row r="14" spans="2:10" x14ac:dyDescent="0.6">
      <c r="B14" s="21">
        <v>1</v>
      </c>
      <c r="C14" s="5">
        <f>h_elipse</f>
        <v>100</v>
      </c>
      <c r="D14" s="5">
        <f t="shared" ref="D14:D45" si="0">(((1-(($C14-h_elipse)^2/a_elipse^2))*(b_elipse^2))^0.5)+k_elipse</f>
        <v>71</v>
      </c>
      <c r="E14" s="5">
        <f>k_elipse-b_elipse</f>
        <v>29</v>
      </c>
      <c r="F14" s="5">
        <f>C14</f>
        <v>100</v>
      </c>
      <c r="G14" s="5">
        <f>D14</f>
        <v>71</v>
      </c>
      <c r="H14" s="6">
        <f>E14</f>
        <v>29</v>
      </c>
    </row>
    <row r="15" spans="2:10" x14ac:dyDescent="0.6">
      <c r="B15" s="21">
        <v>2</v>
      </c>
      <c r="C15" s="5">
        <f t="shared" ref="C15:C46" si="1">IF((a_elipse/np_elipse)+C14&gt;=h_elipse+a_elipse,h_elipse+a_elipse,(a_elipse/np_elipse)+C14)</f>
        <v>100.50505050505051</v>
      </c>
      <c r="D15" s="5">
        <f t="shared" si="0"/>
        <v>70.998928653418687</v>
      </c>
      <c r="E15" s="5">
        <f>E14+(D14-D15)</f>
        <v>29.001071346581313</v>
      </c>
      <c r="F15" s="5">
        <f>(F14-(C15-C14))</f>
        <v>99.494949494949495</v>
      </c>
      <c r="G15" s="5">
        <f t="shared" ref="G15:G78" si="2">D15</f>
        <v>70.998928653418687</v>
      </c>
      <c r="H15" s="6">
        <f t="shared" ref="H15:H78" si="3">E15</f>
        <v>29.001071346581313</v>
      </c>
    </row>
    <row r="16" spans="2:10" x14ac:dyDescent="0.6">
      <c r="B16" s="21">
        <v>3</v>
      </c>
      <c r="C16" s="5">
        <f t="shared" si="1"/>
        <v>101.01010101010101</v>
      </c>
      <c r="D16" s="5">
        <f t="shared" si="0"/>
        <v>70.995714285669663</v>
      </c>
      <c r="E16" s="5">
        <f t="shared" ref="E16:E79" si="4">E15+(D15-D16)</f>
        <v>29.004285714330337</v>
      </c>
      <c r="F16" s="5">
        <f t="shared" ref="F16:F79" si="5">(F15-(C16-C15))</f>
        <v>98.98989898989899</v>
      </c>
      <c r="G16" s="5">
        <f t="shared" si="2"/>
        <v>70.995714285669663</v>
      </c>
      <c r="H16" s="6">
        <f t="shared" si="3"/>
        <v>29.004285714330337</v>
      </c>
    </row>
    <row r="17" spans="2:8" x14ac:dyDescent="0.6">
      <c r="B17" s="21">
        <v>4</v>
      </c>
      <c r="C17" s="5">
        <f t="shared" si="1"/>
        <v>101.51515151515152</v>
      </c>
      <c r="D17" s="5">
        <f t="shared" si="0"/>
        <v>70.990355912235358</v>
      </c>
      <c r="E17" s="5">
        <f t="shared" si="4"/>
        <v>29.009644087764642</v>
      </c>
      <c r="F17" s="5">
        <f t="shared" si="5"/>
        <v>98.484848484848484</v>
      </c>
      <c r="G17" s="5">
        <f t="shared" si="2"/>
        <v>70.990355912235358</v>
      </c>
      <c r="H17" s="6">
        <f t="shared" si="3"/>
        <v>29.009644087764642</v>
      </c>
    </row>
    <row r="18" spans="2:8" x14ac:dyDescent="0.6">
      <c r="B18" s="21">
        <v>5</v>
      </c>
      <c r="C18" s="5">
        <f t="shared" si="1"/>
        <v>102.02020202020202</v>
      </c>
      <c r="D18" s="5">
        <f t="shared" si="0"/>
        <v>70.982851890577024</v>
      </c>
      <c r="E18" s="5">
        <f t="shared" si="4"/>
        <v>29.017148109422976</v>
      </c>
      <c r="F18" s="5">
        <f t="shared" si="5"/>
        <v>97.979797979797979</v>
      </c>
      <c r="G18" s="5">
        <f t="shared" si="2"/>
        <v>70.982851890577024</v>
      </c>
      <c r="H18" s="6">
        <f t="shared" si="3"/>
        <v>29.017148109422976</v>
      </c>
    </row>
    <row r="19" spans="2:8" x14ac:dyDescent="0.6">
      <c r="B19" s="21">
        <v>6</v>
      </c>
      <c r="C19" s="5">
        <f t="shared" si="1"/>
        <v>102.52525252525253</v>
      </c>
      <c r="D19" s="5">
        <f t="shared" si="0"/>
        <v>70.973199917614039</v>
      </c>
      <c r="E19" s="5">
        <f t="shared" si="4"/>
        <v>29.026800082385961</v>
      </c>
      <c r="F19" s="5">
        <f t="shared" si="5"/>
        <v>97.474747474747474</v>
      </c>
      <c r="G19" s="5">
        <f t="shared" si="2"/>
        <v>70.973199917614039</v>
      </c>
      <c r="H19" s="6">
        <f t="shared" si="3"/>
        <v>29.026800082385961</v>
      </c>
    </row>
    <row r="20" spans="2:8" x14ac:dyDescent="0.6">
      <c r="B20" s="21">
        <v>7</v>
      </c>
      <c r="C20" s="5">
        <f t="shared" si="1"/>
        <v>103.03030303030303</v>
      </c>
      <c r="D20" s="5">
        <f t="shared" si="0"/>
        <v>70.961397026182595</v>
      </c>
      <c r="E20" s="5">
        <f t="shared" si="4"/>
        <v>29.038602973817405</v>
      </c>
      <c r="F20" s="5">
        <f t="shared" si="5"/>
        <v>96.969696969696969</v>
      </c>
      <c r="G20" s="5">
        <f t="shared" si="2"/>
        <v>70.961397026182595</v>
      </c>
      <c r="H20" s="6">
        <f t="shared" si="3"/>
        <v>29.038602973817405</v>
      </c>
    </row>
    <row r="21" spans="2:8" x14ac:dyDescent="0.6">
      <c r="B21" s="21">
        <v>8</v>
      </c>
      <c r="C21" s="5">
        <f t="shared" si="1"/>
        <v>103.53535353535354</v>
      </c>
      <c r="D21" s="5">
        <f t="shared" si="0"/>
        <v>70.947439580460497</v>
      </c>
      <c r="E21" s="5">
        <f t="shared" si="4"/>
        <v>29.052560419539503</v>
      </c>
      <c r="F21" s="5">
        <f t="shared" si="5"/>
        <v>96.464646464646464</v>
      </c>
      <c r="G21" s="5">
        <f t="shared" si="2"/>
        <v>70.947439580460497</v>
      </c>
      <c r="H21" s="6">
        <f t="shared" si="3"/>
        <v>29.052560419539503</v>
      </c>
    </row>
    <row r="22" spans="2:8" x14ac:dyDescent="0.6">
      <c r="B22" s="21">
        <v>9</v>
      </c>
      <c r="C22" s="5">
        <f t="shared" si="1"/>
        <v>104.04040404040404</v>
      </c>
      <c r="D22" s="5">
        <f t="shared" si="0"/>
        <v>70.931323270342148</v>
      </c>
      <c r="E22" s="5">
        <f t="shared" si="4"/>
        <v>29.068676729657852</v>
      </c>
      <c r="F22" s="5">
        <f t="shared" si="5"/>
        <v>95.959595959595958</v>
      </c>
      <c r="G22" s="5">
        <f t="shared" si="2"/>
        <v>70.931323270342148</v>
      </c>
      <c r="H22" s="6">
        <f t="shared" si="3"/>
        <v>29.068676729657852</v>
      </c>
    </row>
    <row r="23" spans="2:8" x14ac:dyDescent="0.6">
      <c r="B23" s="21">
        <v>10</v>
      </c>
      <c r="C23" s="5">
        <f t="shared" si="1"/>
        <v>104.54545454545455</v>
      </c>
      <c r="D23" s="5">
        <f t="shared" si="0"/>
        <v>70.913043104742712</v>
      </c>
      <c r="E23" s="5">
        <f t="shared" si="4"/>
        <v>29.086956895257288</v>
      </c>
      <c r="F23" s="5">
        <f t="shared" si="5"/>
        <v>95.454545454545453</v>
      </c>
      <c r="G23" s="5">
        <f t="shared" si="2"/>
        <v>70.913043104742712</v>
      </c>
      <c r="H23" s="6">
        <f t="shared" si="3"/>
        <v>29.086956895257288</v>
      </c>
    </row>
    <row r="24" spans="2:8" x14ac:dyDescent="0.6">
      <c r="B24" s="21">
        <v>11</v>
      </c>
      <c r="C24" s="5">
        <f t="shared" si="1"/>
        <v>105.05050505050505</v>
      </c>
      <c r="D24" s="5">
        <f t="shared" si="0"/>
        <v>70.892593403807552</v>
      </c>
      <c r="E24" s="5">
        <f t="shared" si="4"/>
        <v>29.107406596192448</v>
      </c>
      <c r="F24" s="5">
        <f t="shared" si="5"/>
        <v>94.949494949494948</v>
      </c>
      <c r="G24" s="5">
        <f t="shared" si="2"/>
        <v>70.892593403807552</v>
      </c>
      <c r="H24" s="6">
        <f t="shared" si="3"/>
        <v>29.107406596192448</v>
      </c>
    </row>
    <row r="25" spans="2:8" x14ac:dyDescent="0.6">
      <c r="B25" s="21">
        <v>12</v>
      </c>
      <c r="C25" s="5">
        <f t="shared" si="1"/>
        <v>105.55555555555556</v>
      </c>
      <c r="D25" s="5">
        <f t="shared" si="0"/>
        <v>70.869967789998043</v>
      </c>
      <c r="E25" s="5">
        <f t="shared" si="4"/>
        <v>29.130032210001957</v>
      </c>
      <c r="F25" s="5">
        <f t="shared" si="5"/>
        <v>94.444444444444443</v>
      </c>
      <c r="G25" s="5">
        <f t="shared" si="2"/>
        <v>70.869967789998043</v>
      </c>
      <c r="H25" s="6">
        <f t="shared" si="3"/>
        <v>29.130032210001957</v>
      </c>
    </row>
    <row r="26" spans="2:8" x14ac:dyDescent="0.6">
      <c r="B26" s="21">
        <v>13</v>
      </c>
      <c r="C26" s="5">
        <f t="shared" si="1"/>
        <v>106.06060606060606</v>
      </c>
      <c r="D26" s="5">
        <f t="shared" si="0"/>
        <v>70.845159178020793</v>
      </c>
      <c r="E26" s="5">
        <f t="shared" si="4"/>
        <v>29.154840821979207</v>
      </c>
      <c r="F26" s="5">
        <f t="shared" si="5"/>
        <v>93.939393939393938</v>
      </c>
      <c r="G26" s="5">
        <f t="shared" si="2"/>
        <v>70.845159178020793</v>
      </c>
      <c r="H26" s="6">
        <f t="shared" si="3"/>
        <v>29.154840821979207</v>
      </c>
    </row>
    <row r="27" spans="2:8" x14ac:dyDescent="0.6">
      <c r="B27" s="21">
        <v>14</v>
      </c>
      <c r="C27" s="5">
        <f t="shared" si="1"/>
        <v>106.56565656565657</v>
      </c>
      <c r="D27" s="5">
        <f t="shared" si="0"/>
        <v>70.818159763562932</v>
      </c>
      <c r="E27" s="5">
        <f t="shared" si="4"/>
        <v>29.181840236437068</v>
      </c>
      <c r="F27" s="5">
        <f t="shared" si="5"/>
        <v>93.434343434343432</v>
      </c>
      <c r="G27" s="5">
        <f t="shared" si="2"/>
        <v>70.818159763562932</v>
      </c>
      <c r="H27" s="6">
        <f t="shared" si="3"/>
        <v>29.181840236437068</v>
      </c>
    </row>
    <row r="28" spans="2:8" x14ac:dyDescent="0.6">
      <c r="B28" s="21">
        <v>15</v>
      </c>
      <c r="C28" s="5">
        <f t="shared" si="1"/>
        <v>107.07070707070707</v>
      </c>
      <c r="D28" s="5">
        <f t="shared" si="0"/>
        <v>70.788961010790615</v>
      </c>
      <c r="E28" s="5">
        <f t="shared" si="4"/>
        <v>29.211038989209385</v>
      </c>
      <c r="F28" s="5">
        <f t="shared" si="5"/>
        <v>92.929292929292927</v>
      </c>
      <c r="G28" s="5">
        <f t="shared" si="2"/>
        <v>70.788961010790615</v>
      </c>
      <c r="H28" s="6">
        <f t="shared" si="3"/>
        <v>29.211038989209385</v>
      </c>
    </row>
    <row r="29" spans="2:8" x14ac:dyDescent="0.6">
      <c r="B29" s="21">
        <v>16</v>
      </c>
      <c r="C29" s="5">
        <f t="shared" si="1"/>
        <v>107.57575757575758</v>
      </c>
      <c r="D29" s="5">
        <f t="shared" si="0"/>
        <v>70.757553638563749</v>
      </c>
      <c r="E29" s="5">
        <f t="shared" si="4"/>
        <v>29.242446361436251</v>
      </c>
      <c r="F29" s="5">
        <f t="shared" si="5"/>
        <v>92.424242424242422</v>
      </c>
      <c r="G29" s="5">
        <f t="shared" si="2"/>
        <v>70.757553638563749</v>
      </c>
      <c r="H29" s="6">
        <f t="shared" si="3"/>
        <v>29.242446361436251</v>
      </c>
    </row>
    <row r="30" spans="2:8" x14ac:dyDescent="0.6">
      <c r="B30" s="21">
        <v>17</v>
      </c>
      <c r="C30" s="5">
        <f t="shared" si="1"/>
        <v>108.08080808080808</v>
      </c>
      <c r="D30" s="5">
        <f t="shared" si="0"/>
        <v>70.723927605313293</v>
      </c>
      <c r="E30" s="5">
        <f t="shared" si="4"/>
        <v>29.276072394686707</v>
      </c>
      <c r="F30" s="5">
        <f t="shared" si="5"/>
        <v>91.919191919191917</v>
      </c>
      <c r="G30" s="5">
        <f t="shared" si="2"/>
        <v>70.723927605313293</v>
      </c>
      <c r="H30" s="6">
        <f t="shared" si="3"/>
        <v>29.276072394686707</v>
      </c>
    </row>
    <row r="31" spans="2:8" x14ac:dyDescent="0.6">
      <c r="B31" s="21">
        <v>18</v>
      </c>
      <c r="C31" s="5">
        <f t="shared" si="1"/>
        <v>108.58585858585859</v>
      </c>
      <c r="D31" s="5">
        <f t="shared" si="0"/>
        <v>70.688072092522731</v>
      </c>
      <c r="E31" s="5">
        <f t="shared" si="4"/>
        <v>29.311927907477269</v>
      </c>
      <c r="F31" s="5">
        <f t="shared" si="5"/>
        <v>91.414141414141412</v>
      </c>
      <c r="G31" s="5">
        <f t="shared" si="2"/>
        <v>70.688072092522731</v>
      </c>
      <c r="H31" s="6">
        <f t="shared" si="3"/>
        <v>29.311927907477269</v>
      </c>
    </row>
    <row r="32" spans="2:8" x14ac:dyDescent="0.6">
      <c r="B32" s="21">
        <v>19</v>
      </c>
      <c r="C32" s="5">
        <f t="shared" si="1"/>
        <v>109.09090909090909</v>
      </c>
      <c r="D32" s="5">
        <f t="shared" si="0"/>
        <v>70.649975486748303</v>
      </c>
      <c r="E32" s="5">
        <f t="shared" si="4"/>
        <v>29.350024513251697</v>
      </c>
      <c r="F32" s="5">
        <f t="shared" si="5"/>
        <v>90.909090909090907</v>
      </c>
      <c r="G32" s="5">
        <f t="shared" si="2"/>
        <v>70.649975486748303</v>
      </c>
      <c r="H32" s="6">
        <f t="shared" si="3"/>
        <v>29.350024513251697</v>
      </c>
    </row>
    <row r="33" spans="2:8" x14ac:dyDescent="0.6">
      <c r="B33" s="21">
        <v>20</v>
      </c>
      <c r="C33" s="5">
        <f t="shared" si="1"/>
        <v>109.5959595959596</v>
      </c>
      <c r="D33" s="5">
        <f t="shared" si="0"/>
        <v>70.609625360106151</v>
      </c>
      <c r="E33" s="5">
        <f t="shared" si="4"/>
        <v>29.390374639893849</v>
      </c>
      <c r="F33" s="5">
        <f t="shared" si="5"/>
        <v>90.404040404040401</v>
      </c>
      <c r="G33" s="5">
        <f t="shared" si="2"/>
        <v>70.609625360106151</v>
      </c>
      <c r="H33" s="6">
        <f t="shared" si="3"/>
        <v>29.390374639893849</v>
      </c>
    </row>
    <row r="34" spans="2:8" x14ac:dyDescent="0.6">
      <c r="B34" s="21">
        <v>21</v>
      </c>
      <c r="C34" s="5">
        <f t="shared" si="1"/>
        <v>110.1010101010101</v>
      </c>
      <c r="D34" s="5">
        <f t="shared" si="0"/>
        <v>70.567008449147167</v>
      </c>
      <c r="E34" s="5">
        <f t="shared" si="4"/>
        <v>29.432991550852833</v>
      </c>
      <c r="F34" s="5">
        <f t="shared" si="5"/>
        <v>89.898989898989896</v>
      </c>
      <c r="G34" s="5">
        <f t="shared" si="2"/>
        <v>70.567008449147167</v>
      </c>
      <c r="H34" s="6">
        <f t="shared" si="3"/>
        <v>29.432991550852833</v>
      </c>
    </row>
    <row r="35" spans="2:8" x14ac:dyDescent="0.6">
      <c r="B35" s="21">
        <v>22</v>
      </c>
      <c r="C35" s="5">
        <f t="shared" si="1"/>
        <v>110.60606060606061</v>
      </c>
      <c r="D35" s="5">
        <f t="shared" si="0"/>
        <v>70.522110632032678</v>
      </c>
      <c r="E35" s="5">
        <f t="shared" si="4"/>
        <v>29.477889367967322</v>
      </c>
      <c r="F35" s="5">
        <f t="shared" si="5"/>
        <v>89.393939393939391</v>
      </c>
      <c r="G35" s="5">
        <f t="shared" si="2"/>
        <v>70.522110632032678</v>
      </c>
      <c r="H35" s="6">
        <f t="shared" si="3"/>
        <v>29.477889367967322</v>
      </c>
    </row>
    <row r="36" spans="2:8" x14ac:dyDescent="0.6">
      <c r="B36" s="21">
        <v>23</v>
      </c>
      <c r="C36" s="5">
        <f t="shared" si="1"/>
        <v>111.11111111111111</v>
      </c>
      <c r="D36" s="5">
        <f t="shared" si="0"/>
        <v>70.474916903914959</v>
      </c>
      <c r="E36" s="5">
        <f t="shared" si="4"/>
        <v>29.525083096085041</v>
      </c>
      <c r="F36" s="5">
        <f t="shared" si="5"/>
        <v>88.888888888888886</v>
      </c>
      <c r="G36" s="5">
        <f t="shared" si="2"/>
        <v>70.474916903914959</v>
      </c>
      <c r="H36" s="6">
        <f t="shared" si="3"/>
        <v>29.525083096085041</v>
      </c>
    </row>
    <row r="37" spans="2:8" x14ac:dyDescent="0.6">
      <c r="B37" s="21">
        <v>24</v>
      </c>
      <c r="C37" s="5">
        <f t="shared" si="1"/>
        <v>111.61616161616162</v>
      </c>
      <c r="D37" s="5">
        <f t="shared" si="0"/>
        <v>70.425411350418187</v>
      </c>
      <c r="E37" s="5">
        <f t="shared" si="4"/>
        <v>29.574588649581813</v>
      </c>
      <c r="F37" s="5">
        <f t="shared" si="5"/>
        <v>88.383838383838381</v>
      </c>
      <c r="G37" s="5">
        <f t="shared" si="2"/>
        <v>70.425411350418187</v>
      </c>
      <c r="H37" s="6">
        <f t="shared" si="3"/>
        <v>29.574588649581813</v>
      </c>
    </row>
    <row r="38" spans="2:8" x14ac:dyDescent="0.6">
      <c r="B38" s="21">
        <v>25</v>
      </c>
      <c r="C38" s="5">
        <f t="shared" si="1"/>
        <v>112.12121212121212</v>
      </c>
      <c r="D38" s="5">
        <f t="shared" si="0"/>
        <v>70.37357711910451</v>
      </c>
      <c r="E38" s="5">
        <f t="shared" si="4"/>
        <v>29.62642288089549</v>
      </c>
      <c r="F38" s="5">
        <f t="shared" si="5"/>
        <v>87.878787878787875</v>
      </c>
      <c r="G38" s="5">
        <f t="shared" si="2"/>
        <v>70.37357711910451</v>
      </c>
      <c r="H38" s="6">
        <f t="shared" si="3"/>
        <v>29.62642288089549</v>
      </c>
    </row>
    <row r="39" spans="2:8" x14ac:dyDescent="0.6">
      <c r="B39" s="21">
        <v>26</v>
      </c>
      <c r="C39" s="5">
        <f t="shared" si="1"/>
        <v>112.62626262626263</v>
      </c>
      <c r="D39" s="5">
        <f t="shared" si="0"/>
        <v>70.319396388799106</v>
      </c>
      <c r="E39" s="5">
        <f t="shared" si="4"/>
        <v>29.680603611200894</v>
      </c>
      <c r="F39" s="5">
        <f t="shared" si="5"/>
        <v>87.37373737373737</v>
      </c>
      <c r="G39" s="5">
        <f t="shared" si="2"/>
        <v>70.319396388799106</v>
      </c>
      <c r="H39" s="6">
        <f t="shared" si="3"/>
        <v>29.680603611200894</v>
      </c>
    </row>
    <row r="40" spans="2:8" x14ac:dyDescent="0.6">
      <c r="B40" s="21">
        <v>27</v>
      </c>
      <c r="C40" s="5">
        <f t="shared" si="1"/>
        <v>113.13131313131314</v>
      </c>
      <c r="D40" s="5">
        <f t="shared" si="0"/>
        <v>70.262850336636305</v>
      </c>
      <c r="E40" s="5">
        <f t="shared" si="4"/>
        <v>29.737149663363695</v>
      </c>
      <c r="F40" s="5">
        <f t="shared" si="5"/>
        <v>86.868686868686865</v>
      </c>
      <c r="G40" s="5">
        <f t="shared" si="2"/>
        <v>70.262850336636305</v>
      </c>
      <c r="H40" s="6">
        <f t="shared" si="3"/>
        <v>29.737149663363695</v>
      </c>
    </row>
    <row r="41" spans="2:8" x14ac:dyDescent="0.6">
      <c r="B41" s="21">
        <v>28</v>
      </c>
      <c r="C41" s="5">
        <f t="shared" si="1"/>
        <v>113.63636363636364</v>
      </c>
      <c r="D41" s="5">
        <f t="shared" si="0"/>
        <v>70.203919102675059</v>
      </c>
      <c r="E41" s="5">
        <f t="shared" si="4"/>
        <v>29.796080897324941</v>
      </c>
      <c r="F41" s="5">
        <f t="shared" si="5"/>
        <v>86.36363636363636</v>
      </c>
      <c r="G41" s="5">
        <f t="shared" si="2"/>
        <v>70.203919102675059</v>
      </c>
      <c r="H41" s="6">
        <f t="shared" si="3"/>
        <v>29.796080897324941</v>
      </c>
    </row>
    <row r="42" spans="2:8" x14ac:dyDescent="0.6">
      <c r="B42" s="21">
        <v>29</v>
      </c>
      <c r="C42" s="5">
        <f t="shared" si="1"/>
        <v>114.14141414141415</v>
      </c>
      <c r="D42" s="5">
        <f t="shared" si="0"/>
        <v>70.14258175191776</v>
      </c>
      <c r="E42" s="5">
        <f t="shared" si="4"/>
        <v>29.85741824808224</v>
      </c>
      <c r="F42" s="5">
        <f t="shared" si="5"/>
        <v>85.858585858585855</v>
      </c>
      <c r="G42" s="5">
        <f t="shared" si="2"/>
        <v>70.14258175191776</v>
      </c>
      <c r="H42" s="6">
        <f t="shared" si="3"/>
        <v>29.85741824808224</v>
      </c>
    </row>
    <row r="43" spans="2:8" x14ac:dyDescent="0.6">
      <c r="B43" s="21">
        <v>30</v>
      </c>
      <c r="C43" s="5">
        <f t="shared" si="1"/>
        <v>114.64646464646465</v>
      </c>
      <c r="D43" s="5">
        <f t="shared" si="0"/>
        <v>70.078816233550214</v>
      </c>
      <c r="E43" s="5">
        <f t="shared" si="4"/>
        <v>29.921183766449786</v>
      </c>
      <c r="F43" s="5">
        <f t="shared" si="5"/>
        <v>85.353535353535349</v>
      </c>
      <c r="G43" s="5">
        <f t="shared" si="2"/>
        <v>70.078816233550214</v>
      </c>
      <c r="H43" s="6">
        <f t="shared" si="3"/>
        <v>29.921183766449786</v>
      </c>
    </row>
    <row r="44" spans="2:8" x14ac:dyDescent="0.6">
      <c r="B44" s="21">
        <v>31</v>
      </c>
      <c r="C44" s="5">
        <f t="shared" si="1"/>
        <v>115.15151515151516</v>
      </c>
      <c r="D44" s="5">
        <f t="shared" si="0"/>
        <v>70.012599337202673</v>
      </c>
      <c r="E44" s="5">
        <f t="shared" si="4"/>
        <v>29.987400662797327</v>
      </c>
      <c r="F44" s="5">
        <f t="shared" si="5"/>
        <v>84.848484848484844</v>
      </c>
      <c r="G44" s="5">
        <f t="shared" si="2"/>
        <v>70.012599337202673</v>
      </c>
      <c r="H44" s="6">
        <f t="shared" si="3"/>
        <v>29.987400662797327</v>
      </c>
    </row>
    <row r="45" spans="2:8" x14ac:dyDescent="0.6">
      <c r="B45" s="21">
        <v>32</v>
      </c>
      <c r="C45" s="5">
        <f t="shared" si="1"/>
        <v>115.65656565656566</v>
      </c>
      <c r="D45" s="5">
        <f t="shared" si="0"/>
        <v>69.943906646012636</v>
      </c>
      <c r="E45" s="5">
        <f t="shared" si="4"/>
        <v>30.056093353987364</v>
      </c>
      <c r="F45" s="5">
        <f t="shared" si="5"/>
        <v>84.343434343434339</v>
      </c>
      <c r="G45" s="5">
        <f t="shared" si="2"/>
        <v>69.943906646012636</v>
      </c>
      <c r="H45" s="6">
        <f t="shared" si="3"/>
        <v>30.056093353987364</v>
      </c>
    </row>
    <row r="46" spans="2:8" x14ac:dyDescent="0.6">
      <c r="B46" s="21">
        <v>33</v>
      </c>
      <c r="C46" s="5">
        <f t="shared" si="1"/>
        <v>116.16161616161617</v>
      </c>
      <c r="D46" s="5">
        <f t="shared" ref="D46:D77" si="6">(((1-(($C46-h_elipse)^2/a_elipse^2))*(b_elipse^2))^0.5)+k_elipse</f>
        <v>69.872712486247693</v>
      </c>
      <c r="E46" s="5">
        <f t="shared" si="4"/>
        <v>30.127287513752307</v>
      </c>
      <c r="F46" s="5">
        <f t="shared" si="5"/>
        <v>83.838383838383834</v>
      </c>
      <c r="G46" s="5">
        <f t="shared" si="2"/>
        <v>69.872712486247693</v>
      </c>
      <c r="H46" s="6">
        <f t="shared" si="3"/>
        <v>30.127287513752307</v>
      </c>
    </row>
    <row r="47" spans="2:8" x14ac:dyDescent="0.6">
      <c r="B47" s="21">
        <v>34</v>
      </c>
      <c r="C47" s="5">
        <f t="shared" ref="C47:C78" si="7">IF((a_elipse/np_elipse)+C46&gt;=h_elipse+a_elipse,h_elipse+a_elipse,(a_elipse/np_elipse)+C46)</f>
        <v>116.66666666666667</v>
      </c>
      <c r="D47" s="5">
        <f t="shared" si="6"/>
        <v>69.798989873223334</v>
      </c>
      <c r="E47" s="5">
        <f t="shared" si="4"/>
        <v>30.201010126776666</v>
      </c>
      <c r="F47" s="5">
        <f t="shared" si="5"/>
        <v>83.333333333333329</v>
      </c>
      <c r="G47" s="5">
        <f t="shared" si="2"/>
        <v>69.798989873223334</v>
      </c>
      <c r="H47" s="6">
        <f t="shared" si="3"/>
        <v>30.201010126776666</v>
      </c>
    </row>
    <row r="48" spans="2:8" x14ac:dyDescent="0.6">
      <c r="B48" s="21">
        <v>35</v>
      </c>
      <c r="C48" s="5">
        <f t="shared" si="7"/>
        <v>117.17171717171718</v>
      </c>
      <c r="D48" s="5">
        <f t="shared" si="6"/>
        <v>69.722710453222987</v>
      </c>
      <c r="E48" s="5">
        <f t="shared" si="4"/>
        <v>30.277289546777013</v>
      </c>
      <c r="F48" s="5">
        <f t="shared" si="5"/>
        <v>82.828282828282823</v>
      </c>
      <c r="G48" s="5">
        <f t="shared" si="2"/>
        <v>69.722710453222987</v>
      </c>
      <c r="H48" s="6">
        <f t="shared" si="3"/>
        <v>30.277289546777013</v>
      </c>
    </row>
    <row r="49" spans="2:8" x14ac:dyDescent="0.6">
      <c r="B49" s="21">
        <v>36</v>
      </c>
      <c r="C49" s="5">
        <f t="shared" si="7"/>
        <v>117.67676767676768</v>
      </c>
      <c r="D49" s="5">
        <f t="shared" si="6"/>
        <v>69.643844441098565</v>
      </c>
      <c r="E49" s="5">
        <f t="shared" si="4"/>
        <v>30.356155558901435</v>
      </c>
      <c r="F49" s="5">
        <f t="shared" si="5"/>
        <v>82.323232323232318</v>
      </c>
      <c r="G49" s="5">
        <f t="shared" si="2"/>
        <v>69.643844441098565</v>
      </c>
      <c r="H49" s="6">
        <f t="shared" si="3"/>
        <v>30.356155558901435</v>
      </c>
    </row>
    <row r="50" spans="2:8" x14ac:dyDescent="0.6">
      <c r="B50" s="21">
        <v>37</v>
      </c>
      <c r="C50" s="5">
        <f t="shared" si="7"/>
        <v>118.18181818181819</v>
      </c>
      <c r="D50" s="5">
        <f t="shared" si="6"/>
        <v>69.562360553195589</v>
      </c>
      <c r="E50" s="5">
        <f t="shared" si="4"/>
        <v>30.437639446804411</v>
      </c>
      <c r="F50" s="5">
        <f t="shared" si="5"/>
        <v>81.818181818181813</v>
      </c>
      <c r="G50" s="5">
        <f t="shared" si="2"/>
        <v>69.562360553195589</v>
      </c>
      <c r="H50" s="6">
        <f t="shared" si="3"/>
        <v>30.437639446804411</v>
      </c>
    </row>
    <row r="51" spans="2:8" x14ac:dyDescent="0.6">
      <c r="B51" s="21">
        <v>38</v>
      </c>
      <c r="C51" s="5">
        <f t="shared" si="7"/>
        <v>118.68686868686869</v>
      </c>
      <c r="D51" s="5">
        <f t="shared" si="6"/>
        <v>69.478225935210418</v>
      </c>
      <c r="E51" s="5">
        <f t="shared" si="4"/>
        <v>30.521774064789582</v>
      </c>
      <c r="F51" s="5">
        <f t="shared" si="5"/>
        <v>81.313131313131308</v>
      </c>
      <c r="G51" s="5">
        <f t="shared" si="2"/>
        <v>69.478225935210418</v>
      </c>
      <c r="H51" s="6">
        <f t="shared" si="3"/>
        <v>30.521774064789582</v>
      </c>
    </row>
    <row r="52" spans="2:8" x14ac:dyDescent="0.6">
      <c r="B52" s="21">
        <v>39</v>
      </c>
      <c r="C52" s="5">
        <f t="shared" si="7"/>
        <v>119.1919191919192</v>
      </c>
      <c r="D52" s="5">
        <f t="shared" si="6"/>
        <v>69.391406084544798</v>
      </c>
      <c r="E52" s="5">
        <f t="shared" si="4"/>
        <v>30.608593915455202</v>
      </c>
      <c r="F52" s="5">
        <f t="shared" si="5"/>
        <v>80.808080808080803</v>
      </c>
      <c r="G52" s="5">
        <f t="shared" si="2"/>
        <v>69.391406084544798</v>
      </c>
      <c r="H52" s="6">
        <f t="shared" si="3"/>
        <v>30.608593915455202</v>
      </c>
    </row>
    <row r="53" spans="2:8" x14ac:dyDescent="0.6">
      <c r="B53" s="21">
        <v>40</v>
      </c>
      <c r="C53" s="5">
        <f t="shared" si="7"/>
        <v>119.6969696969697</v>
      </c>
      <c r="D53" s="5">
        <f t="shared" si="6"/>
        <v>69.301864766676673</v>
      </c>
      <c r="E53" s="5">
        <f t="shared" si="4"/>
        <v>30.698135233323327</v>
      </c>
      <c r="F53" s="5">
        <f t="shared" si="5"/>
        <v>80.303030303030297</v>
      </c>
      <c r="G53" s="5">
        <f t="shared" si="2"/>
        <v>69.301864766676673</v>
      </c>
      <c r="H53" s="6">
        <f t="shared" si="3"/>
        <v>30.698135233323327</v>
      </c>
    </row>
    <row r="54" spans="2:8" x14ac:dyDescent="0.6">
      <c r="B54" s="21">
        <v>41</v>
      </c>
      <c r="C54" s="5">
        <f t="shared" si="7"/>
        <v>120.20202020202021</v>
      </c>
      <c r="D54" s="5">
        <f t="shared" si="6"/>
        <v>69.2095639250131</v>
      </c>
      <c r="E54" s="5">
        <f t="shared" si="4"/>
        <v>30.7904360749869</v>
      </c>
      <c r="F54" s="5">
        <f t="shared" si="5"/>
        <v>79.797979797979792</v>
      </c>
      <c r="G54" s="5">
        <f t="shared" si="2"/>
        <v>69.2095639250131</v>
      </c>
      <c r="H54" s="6">
        <f t="shared" si="3"/>
        <v>30.7904360749869</v>
      </c>
    </row>
    <row r="55" spans="2:8" x14ac:dyDescent="0.6">
      <c r="B55" s="21">
        <v>42</v>
      </c>
      <c r="C55" s="5">
        <f t="shared" si="7"/>
        <v>120.70707070707071</v>
      </c>
      <c r="D55" s="5">
        <f t="shared" si="6"/>
        <v>69.114463583631917</v>
      </c>
      <c r="E55" s="5">
        <f t="shared" si="4"/>
        <v>30.885536416368083</v>
      </c>
      <c r="F55" s="5">
        <f t="shared" si="5"/>
        <v>79.292929292929287</v>
      </c>
      <c r="G55" s="5">
        <f t="shared" si="2"/>
        <v>69.114463583631917</v>
      </c>
      <c r="H55" s="6">
        <f t="shared" si="3"/>
        <v>30.885536416368083</v>
      </c>
    </row>
    <row r="56" spans="2:8" x14ac:dyDescent="0.6">
      <c r="B56" s="21">
        <v>43</v>
      </c>
      <c r="C56" s="5">
        <f t="shared" si="7"/>
        <v>121.21212121212122</v>
      </c>
      <c r="D56" s="5">
        <f t="shared" si="6"/>
        <v>69.01652174225228</v>
      </c>
      <c r="E56" s="5">
        <f t="shared" si="4"/>
        <v>30.98347825774772</v>
      </c>
      <c r="F56" s="5">
        <f t="shared" si="5"/>
        <v>78.787878787878782</v>
      </c>
      <c r="G56" s="5">
        <f t="shared" si="2"/>
        <v>69.01652174225228</v>
      </c>
      <c r="H56" s="6">
        <f t="shared" si="3"/>
        <v>30.98347825774772</v>
      </c>
    </row>
    <row r="57" spans="2:8" x14ac:dyDescent="0.6">
      <c r="B57" s="21">
        <v>44</v>
      </c>
      <c r="C57" s="5">
        <f t="shared" si="7"/>
        <v>121.71717171717172</v>
      </c>
      <c r="D57" s="5">
        <f t="shared" si="6"/>
        <v>68.915694262697656</v>
      </c>
      <c r="E57" s="5">
        <f t="shared" si="4"/>
        <v>31.084305737302344</v>
      </c>
      <c r="F57" s="5">
        <f t="shared" si="5"/>
        <v>78.282828282828277</v>
      </c>
      <c r="G57" s="5">
        <f t="shared" si="2"/>
        <v>68.915694262697656</v>
      </c>
      <c r="H57" s="6">
        <f t="shared" si="3"/>
        <v>31.084305737302344</v>
      </c>
    </row>
    <row r="58" spans="2:8" x14ac:dyDescent="0.6">
      <c r="B58" s="21">
        <v>45</v>
      </c>
      <c r="C58" s="5">
        <f t="shared" si="7"/>
        <v>122.22222222222223</v>
      </c>
      <c r="D58" s="5">
        <f t="shared" si="6"/>
        <v>68.811934746029948</v>
      </c>
      <c r="E58" s="5">
        <f t="shared" si="4"/>
        <v>31.188065253970052</v>
      </c>
      <c r="F58" s="5">
        <f t="shared" si="5"/>
        <v>77.777777777777771</v>
      </c>
      <c r="G58" s="5">
        <f t="shared" si="2"/>
        <v>68.811934746029948</v>
      </c>
      <c r="H58" s="6">
        <f t="shared" si="3"/>
        <v>31.188065253970052</v>
      </c>
    </row>
    <row r="59" spans="2:8" x14ac:dyDescent="0.6">
      <c r="B59" s="21">
        <v>46</v>
      </c>
      <c r="C59" s="5">
        <f t="shared" si="7"/>
        <v>122.72727272727273</v>
      </c>
      <c r="D59" s="5">
        <f t="shared" si="6"/>
        <v>68.705194399435172</v>
      </c>
      <c r="E59" s="5">
        <f t="shared" si="4"/>
        <v>31.294805600564828</v>
      </c>
      <c r="F59" s="5">
        <f t="shared" si="5"/>
        <v>77.272727272727266</v>
      </c>
      <c r="G59" s="5">
        <f t="shared" si="2"/>
        <v>68.705194399435172</v>
      </c>
      <c r="H59" s="6">
        <f t="shared" si="3"/>
        <v>31.294805600564828</v>
      </c>
    </row>
    <row r="60" spans="2:8" x14ac:dyDescent="0.6">
      <c r="B60" s="21">
        <v>47</v>
      </c>
      <c r="C60" s="5">
        <f t="shared" si="7"/>
        <v>123.23232323232324</v>
      </c>
      <c r="D60" s="5">
        <f t="shared" si="6"/>
        <v>68.595421891830526</v>
      </c>
      <c r="E60" s="5">
        <f t="shared" si="4"/>
        <v>31.404578108169474</v>
      </c>
      <c r="F60" s="5">
        <f t="shared" si="5"/>
        <v>76.767676767676761</v>
      </c>
      <c r="G60" s="5">
        <f t="shared" si="2"/>
        <v>68.595421891830526</v>
      </c>
      <c r="H60" s="6">
        <f t="shared" si="3"/>
        <v>31.404578108169474</v>
      </c>
    </row>
    <row r="61" spans="2:8" x14ac:dyDescent="0.6">
      <c r="B61" s="21">
        <v>48</v>
      </c>
      <c r="C61" s="5">
        <f t="shared" si="7"/>
        <v>123.73737373737374</v>
      </c>
      <c r="D61" s="5">
        <f t="shared" si="6"/>
        <v>68.482563197035603</v>
      </c>
      <c r="E61" s="5">
        <f t="shared" si="4"/>
        <v>31.517436802964397</v>
      </c>
      <c r="F61" s="5">
        <f t="shared" si="5"/>
        <v>76.262626262626256</v>
      </c>
      <c r="G61" s="5">
        <f t="shared" si="2"/>
        <v>68.482563197035603</v>
      </c>
      <c r="H61" s="6">
        <f t="shared" si="3"/>
        <v>31.517436802964397</v>
      </c>
    </row>
    <row r="62" spans="2:8" x14ac:dyDescent="0.6">
      <c r="B62" s="21">
        <v>49</v>
      </c>
      <c r="C62" s="5">
        <f t="shared" si="7"/>
        <v>124.24242424242425</v>
      </c>
      <c r="D62" s="5">
        <f t="shared" si="6"/>
        <v>68.366561423205937</v>
      </c>
      <c r="E62" s="5">
        <f t="shared" si="4"/>
        <v>31.633438576794063</v>
      </c>
      <c r="F62" s="5">
        <f t="shared" si="5"/>
        <v>75.757575757575751</v>
      </c>
      <c r="G62" s="5">
        <f t="shared" si="2"/>
        <v>68.366561423205937</v>
      </c>
      <c r="H62" s="6">
        <f t="shared" si="3"/>
        <v>31.633438576794063</v>
      </c>
    </row>
    <row r="63" spans="2:8" x14ac:dyDescent="0.6">
      <c r="B63" s="21">
        <v>50</v>
      </c>
      <c r="C63" s="5">
        <f t="shared" si="7"/>
        <v>124.74747474747475</v>
      </c>
      <c r="D63" s="5">
        <f t="shared" si="6"/>
        <v>68.247356627060114</v>
      </c>
      <c r="E63" s="5">
        <f t="shared" si="4"/>
        <v>31.752643372939886</v>
      </c>
      <c r="F63" s="5">
        <f t="shared" si="5"/>
        <v>75.252525252525245</v>
      </c>
      <c r="G63" s="5">
        <f t="shared" si="2"/>
        <v>68.247356627060114</v>
      </c>
      <c r="H63" s="6">
        <f t="shared" si="3"/>
        <v>31.752643372939886</v>
      </c>
    </row>
    <row r="64" spans="2:8" x14ac:dyDescent="0.6">
      <c r="B64" s="21">
        <v>51</v>
      </c>
      <c r="C64" s="5">
        <f t="shared" si="7"/>
        <v>125.25252525252526</v>
      </c>
      <c r="D64" s="5">
        <f t="shared" si="6"/>
        <v>68.124885611240956</v>
      </c>
      <c r="E64" s="5">
        <f t="shared" si="4"/>
        <v>31.875114388759044</v>
      </c>
      <c r="F64" s="5">
        <f t="shared" si="5"/>
        <v>74.74747474747474</v>
      </c>
      <c r="G64" s="5">
        <f t="shared" si="2"/>
        <v>68.124885611240956</v>
      </c>
      <c r="H64" s="6">
        <f t="shared" si="3"/>
        <v>31.875114388759044</v>
      </c>
    </row>
    <row r="65" spans="2:8" x14ac:dyDescent="0.6">
      <c r="B65" s="21">
        <v>52</v>
      </c>
      <c r="C65" s="5">
        <f t="shared" si="7"/>
        <v>125.75757575757576</v>
      </c>
      <c r="D65" s="5">
        <f t="shared" si="6"/>
        <v>67.999081702930297</v>
      </c>
      <c r="E65" s="5">
        <f t="shared" si="4"/>
        <v>32.000918297069703</v>
      </c>
      <c r="F65" s="5">
        <f t="shared" si="5"/>
        <v>74.242424242424235</v>
      </c>
      <c r="G65" s="5">
        <f t="shared" si="2"/>
        <v>67.999081702930297</v>
      </c>
      <c r="H65" s="6">
        <f t="shared" si="3"/>
        <v>32.000918297069703</v>
      </c>
    </row>
    <row r="66" spans="2:8" x14ac:dyDescent="0.6">
      <c r="B66" s="21">
        <v>53</v>
      </c>
      <c r="C66" s="5">
        <f t="shared" si="7"/>
        <v>126.26262626262627</v>
      </c>
      <c r="D66" s="5">
        <f t="shared" si="6"/>
        <v>67.869874511581997</v>
      </c>
      <c r="E66" s="5">
        <f t="shared" si="4"/>
        <v>32.130125488418003</v>
      </c>
      <c r="F66" s="5">
        <f t="shared" si="5"/>
        <v>73.73737373737373</v>
      </c>
      <c r="G66" s="5">
        <f t="shared" si="2"/>
        <v>67.869874511581997</v>
      </c>
      <c r="H66" s="6">
        <f t="shared" si="3"/>
        <v>32.130125488418003</v>
      </c>
    </row>
    <row r="67" spans="2:8" x14ac:dyDescent="0.6">
      <c r="B67" s="21">
        <v>54</v>
      </c>
      <c r="C67" s="5">
        <f t="shared" si="7"/>
        <v>126.76767676767678</v>
      </c>
      <c r="D67" s="5">
        <f t="shared" si="6"/>
        <v>67.737189663341582</v>
      </c>
      <c r="E67" s="5">
        <f t="shared" si="4"/>
        <v>32.262810336658418</v>
      </c>
      <c r="F67" s="5">
        <f t="shared" si="5"/>
        <v>73.232323232323225</v>
      </c>
      <c r="G67" s="5">
        <f t="shared" si="2"/>
        <v>67.737189663341582</v>
      </c>
      <c r="H67" s="6">
        <f t="shared" si="3"/>
        <v>32.262810336658418</v>
      </c>
    </row>
    <row r="68" spans="2:8" x14ac:dyDescent="0.6">
      <c r="B68" s="21">
        <v>55</v>
      </c>
      <c r="C68" s="5">
        <f t="shared" si="7"/>
        <v>127.27272727272728</v>
      </c>
      <c r="D68" s="5">
        <f t="shared" si="6"/>
        <v>67.600948509377332</v>
      </c>
      <c r="E68" s="5">
        <f t="shared" si="4"/>
        <v>32.399051490622668</v>
      </c>
      <c r="F68" s="5">
        <f t="shared" si="5"/>
        <v>72.72727272727272</v>
      </c>
      <c r="G68" s="5">
        <f t="shared" si="2"/>
        <v>67.600948509377332</v>
      </c>
      <c r="H68" s="6">
        <f t="shared" si="3"/>
        <v>32.399051490622668</v>
      </c>
    </row>
    <row r="69" spans="2:8" x14ac:dyDescent="0.6">
      <c r="B69" s="21">
        <v>56</v>
      </c>
      <c r="C69" s="5">
        <f t="shared" si="7"/>
        <v>127.77777777777779</v>
      </c>
      <c r="D69" s="5">
        <f t="shared" si="6"/>
        <v>67.46106780494506</v>
      </c>
      <c r="E69" s="5">
        <f t="shared" si="4"/>
        <v>32.53893219505494</v>
      </c>
      <c r="F69" s="5">
        <f t="shared" si="5"/>
        <v>72.222222222222214</v>
      </c>
      <c r="G69" s="5">
        <f t="shared" si="2"/>
        <v>67.46106780494506</v>
      </c>
      <c r="H69" s="6">
        <f t="shared" si="3"/>
        <v>32.53893219505494</v>
      </c>
    </row>
    <row r="70" spans="2:8" x14ac:dyDescent="0.6">
      <c r="B70" s="21">
        <v>57</v>
      </c>
      <c r="C70" s="5">
        <f t="shared" si="7"/>
        <v>128.28282828282829</v>
      </c>
      <c r="D70" s="5">
        <f t="shared" si="6"/>
        <v>67.317459355539484</v>
      </c>
      <c r="E70" s="5">
        <f t="shared" si="4"/>
        <v>32.682540644460516</v>
      </c>
      <c r="F70" s="5">
        <f t="shared" si="5"/>
        <v>71.717171717171709</v>
      </c>
      <c r="G70" s="5">
        <f t="shared" si="2"/>
        <v>67.317459355539484</v>
      </c>
      <c r="H70" s="6">
        <f t="shared" si="3"/>
        <v>32.682540644460516</v>
      </c>
    </row>
    <row r="71" spans="2:8" x14ac:dyDescent="0.6">
      <c r="B71" s="21">
        <v>58</v>
      </c>
      <c r="C71" s="5">
        <f t="shared" si="7"/>
        <v>128.78787878787878</v>
      </c>
      <c r="D71" s="5">
        <f t="shared" si="6"/>
        <v>67.17002962593169</v>
      </c>
      <c r="E71" s="5">
        <f t="shared" si="4"/>
        <v>32.82997037406831</v>
      </c>
      <c r="F71" s="5">
        <f t="shared" si="5"/>
        <v>71.212121212121218</v>
      </c>
      <c r="G71" s="5">
        <f t="shared" si="2"/>
        <v>67.17002962593169</v>
      </c>
      <c r="H71" s="6">
        <f t="shared" si="3"/>
        <v>32.82997037406831</v>
      </c>
    </row>
    <row r="72" spans="2:8" x14ac:dyDescent="0.6">
      <c r="B72" s="21">
        <v>59</v>
      </c>
      <c r="C72" s="5">
        <f t="shared" si="7"/>
        <v>129.29292929292927</v>
      </c>
      <c r="D72" s="5">
        <f t="shared" si="6"/>
        <v>67.018679307241158</v>
      </c>
      <c r="E72" s="5">
        <f t="shared" si="4"/>
        <v>32.981320692758842</v>
      </c>
      <c r="F72" s="5">
        <f t="shared" si="5"/>
        <v>70.707070707070727</v>
      </c>
      <c r="G72" s="5">
        <f t="shared" si="2"/>
        <v>67.018679307241158</v>
      </c>
      <c r="H72" s="6">
        <f t="shared" si="3"/>
        <v>32.981320692758842</v>
      </c>
    </row>
    <row r="73" spans="2:8" x14ac:dyDescent="0.6">
      <c r="B73" s="21">
        <v>60</v>
      </c>
      <c r="C73" s="5">
        <f t="shared" si="7"/>
        <v>129.79797979797976</v>
      </c>
      <c r="D73" s="5">
        <f t="shared" si="6"/>
        <v>66.863302836419706</v>
      </c>
      <c r="E73" s="5">
        <f t="shared" si="4"/>
        <v>33.136697163580294</v>
      </c>
      <c r="F73" s="5">
        <f t="shared" si="5"/>
        <v>70.202020202020236</v>
      </c>
      <c r="G73" s="5">
        <f t="shared" si="2"/>
        <v>66.863302836419706</v>
      </c>
      <c r="H73" s="6">
        <f t="shared" si="3"/>
        <v>33.136697163580294</v>
      </c>
    </row>
    <row r="74" spans="2:8" x14ac:dyDescent="0.6">
      <c r="B74" s="21">
        <v>61</v>
      </c>
      <c r="C74" s="5">
        <f t="shared" si="7"/>
        <v>130.30303030303025</v>
      </c>
      <c r="D74" s="5">
        <f t="shared" si="6"/>
        <v>66.703787861608532</v>
      </c>
      <c r="E74" s="5">
        <f t="shared" si="4"/>
        <v>33.296212138391468</v>
      </c>
      <c r="F74" s="5">
        <f t="shared" si="5"/>
        <v>69.696969696969745</v>
      </c>
      <c r="G74" s="5">
        <f t="shared" si="2"/>
        <v>66.703787861608532</v>
      </c>
      <c r="H74" s="6">
        <f t="shared" si="3"/>
        <v>33.296212138391468</v>
      </c>
    </row>
    <row r="75" spans="2:8" x14ac:dyDescent="0.6">
      <c r="B75" s="21">
        <v>62</v>
      </c>
      <c r="C75" s="5">
        <f t="shared" si="7"/>
        <v>130.80808080808075</v>
      </c>
      <c r="D75" s="5">
        <f t="shared" si="6"/>
        <v>66.540014645736449</v>
      </c>
      <c r="E75" s="5">
        <f t="shared" si="4"/>
        <v>33.459985354263551</v>
      </c>
      <c r="F75" s="5">
        <f t="shared" si="5"/>
        <v>69.191919191919254</v>
      </c>
      <c r="G75" s="5">
        <f t="shared" si="2"/>
        <v>66.540014645736449</v>
      </c>
      <c r="H75" s="6">
        <f t="shared" si="3"/>
        <v>33.459985354263551</v>
      </c>
    </row>
    <row r="76" spans="2:8" x14ac:dyDescent="0.6">
      <c r="B76" s="21">
        <v>63</v>
      </c>
      <c r="C76" s="5">
        <f t="shared" si="7"/>
        <v>131.31313131313124</v>
      </c>
      <c r="D76" s="5">
        <f t="shared" si="6"/>
        <v>66.371855399418479</v>
      </c>
      <c r="E76" s="5">
        <f t="shared" si="4"/>
        <v>33.628144600581521</v>
      </c>
      <c r="F76" s="5">
        <f t="shared" si="5"/>
        <v>68.686868686868763</v>
      </c>
      <c r="G76" s="5">
        <f t="shared" si="2"/>
        <v>66.371855399418479</v>
      </c>
      <c r="H76" s="6">
        <f t="shared" si="3"/>
        <v>33.628144600581521</v>
      </c>
    </row>
    <row r="77" spans="2:8" x14ac:dyDescent="0.6">
      <c r="B77" s="21">
        <v>64</v>
      </c>
      <c r="C77" s="5">
        <f t="shared" si="7"/>
        <v>131.81818181818173</v>
      </c>
      <c r="D77" s="5">
        <f t="shared" si="6"/>
        <v>66.199173532637303</v>
      </c>
      <c r="E77" s="5">
        <f t="shared" si="4"/>
        <v>33.800826467362697</v>
      </c>
      <c r="F77" s="5">
        <f t="shared" si="5"/>
        <v>68.181818181818272</v>
      </c>
      <c r="G77" s="5">
        <f t="shared" si="2"/>
        <v>66.199173532637303</v>
      </c>
      <c r="H77" s="6">
        <f t="shared" si="3"/>
        <v>33.800826467362697</v>
      </c>
    </row>
    <row r="78" spans="2:8" x14ac:dyDescent="0.6">
      <c r="B78" s="21">
        <v>65</v>
      </c>
      <c r="C78" s="5">
        <f t="shared" si="7"/>
        <v>132.32323232323222</v>
      </c>
      <c r="D78" s="5">
        <f t="shared" ref="D78:D113" si="8">(((1-(($C78-h_elipse)^2/a_elipse^2))*(b_elipse^2))^0.5)+k_elipse</f>
        <v>66.021822812784507</v>
      </c>
      <c r="E78" s="5">
        <f t="shared" si="4"/>
        <v>33.978177187215493</v>
      </c>
      <c r="F78" s="5">
        <f t="shared" si="5"/>
        <v>67.676767676767781</v>
      </c>
      <c r="G78" s="5">
        <f t="shared" si="2"/>
        <v>66.021822812784507</v>
      </c>
      <c r="H78" s="6">
        <f t="shared" si="3"/>
        <v>33.978177187215493</v>
      </c>
    </row>
    <row r="79" spans="2:8" x14ac:dyDescent="0.6">
      <c r="B79" s="21">
        <v>66</v>
      </c>
      <c r="C79" s="5">
        <f t="shared" ref="C79:C113" si="9">IF((a_elipse/np_elipse)+C78&gt;=h_elipse+a_elipse,h_elipse+a_elipse,(a_elipse/np_elipse)+C78)</f>
        <v>132.82828282828271</v>
      </c>
      <c r="D79" s="5">
        <f t="shared" si="8"/>
        <v>65.83964641432263</v>
      </c>
      <c r="E79" s="5">
        <f t="shared" si="4"/>
        <v>34.16035358567737</v>
      </c>
      <c r="F79" s="5">
        <f t="shared" si="5"/>
        <v>67.17171717171729</v>
      </c>
      <c r="G79" s="5">
        <f t="shared" ref="G79:G113" si="10">D79</f>
        <v>65.83964641432263</v>
      </c>
      <c r="H79" s="6">
        <f t="shared" ref="H79:H113" si="11">E79</f>
        <v>34.16035358567737</v>
      </c>
    </row>
    <row r="80" spans="2:8" x14ac:dyDescent="0.6">
      <c r="B80" s="21">
        <v>67</v>
      </c>
      <c r="C80" s="5">
        <f t="shared" si="9"/>
        <v>133.3333333333332</v>
      </c>
      <c r="D80" s="5">
        <f t="shared" si="8"/>
        <v>65.652475842498575</v>
      </c>
      <c r="E80" s="5">
        <f t="shared" ref="E80:E113" si="12">E79+(D79-D80)</f>
        <v>34.347524157501425</v>
      </c>
      <c r="F80" s="5">
        <f t="shared" ref="F80:F113" si="13">(F79-(C80-C79))</f>
        <v>66.666666666666799</v>
      </c>
      <c r="G80" s="5">
        <f t="shared" si="10"/>
        <v>65.652475842498575</v>
      </c>
      <c r="H80" s="6">
        <f t="shared" si="11"/>
        <v>34.347524157501425</v>
      </c>
    </row>
    <row r="81" spans="2:8" x14ac:dyDescent="0.6">
      <c r="B81" s="21">
        <v>68</v>
      </c>
      <c r="C81" s="5">
        <f t="shared" si="9"/>
        <v>133.83838383838369</v>
      </c>
      <c r="D81" s="5">
        <f t="shared" si="8"/>
        <v>65.460129710063114</v>
      </c>
      <c r="E81" s="5">
        <f t="shared" si="12"/>
        <v>34.539870289936886</v>
      </c>
      <c r="F81" s="5">
        <f t="shared" si="13"/>
        <v>66.161616161616308</v>
      </c>
      <c r="G81" s="5">
        <f t="shared" si="10"/>
        <v>65.460129710063114</v>
      </c>
      <c r="H81" s="6">
        <f t="shared" si="11"/>
        <v>34.539870289936886</v>
      </c>
    </row>
    <row r="82" spans="2:8" x14ac:dyDescent="0.6">
      <c r="B82" s="21">
        <v>69</v>
      </c>
      <c r="C82" s="5">
        <f t="shared" si="9"/>
        <v>134.34343434343418</v>
      </c>
      <c r="D82" s="5">
        <f t="shared" si="8"/>
        <v>65.262412341654482</v>
      </c>
      <c r="E82" s="5">
        <f t="shared" si="12"/>
        <v>34.737587658345518</v>
      </c>
      <c r="F82" s="5">
        <f t="shared" si="13"/>
        <v>65.656565656565817</v>
      </c>
      <c r="G82" s="5">
        <f t="shared" si="10"/>
        <v>65.262412341654482</v>
      </c>
      <c r="H82" s="6">
        <f t="shared" si="11"/>
        <v>34.737587658345518</v>
      </c>
    </row>
    <row r="83" spans="2:8" x14ac:dyDescent="0.6">
      <c r="B83" s="21">
        <v>70</v>
      </c>
      <c r="C83" s="5">
        <f t="shared" si="9"/>
        <v>134.84848484848467</v>
      </c>
      <c r="D83" s="5">
        <f t="shared" si="8"/>
        <v>65.059112175162724</v>
      </c>
      <c r="E83" s="5">
        <f t="shared" si="12"/>
        <v>34.940887824837276</v>
      </c>
      <c r="F83" s="5">
        <f t="shared" si="13"/>
        <v>65.151515151515326</v>
      </c>
      <c r="G83" s="5">
        <f t="shared" si="10"/>
        <v>65.059112175162724</v>
      </c>
      <c r="H83" s="6">
        <f t="shared" si="11"/>
        <v>34.940887824837276</v>
      </c>
    </row>
    <row r="84" spans="2:8" x14ac:dyDescent="0.6">
      <c r="B84" s="21">
        <v>71</v>
      </c>
      <c r="C84" s="5">
        <f t="shared" si="9"/>
        <v>135.35353535353516</v>
      </c>
      <c r="D84" s="5">
        <f t="shared" si="8"/>
        <v>64.849999922704313</v>
      </c>
      <c r="E84" s="5">
        <f t="shared" si="12"/>
        <v>35.150000077295687</v>
      </c>
      <c r="F84" s="5">
        <f t="shared" si="13"/>
        <v>64.646464646464835</v>
      </c>
      <c r="G84" s="5">
        <f t="shared" si="10"/>
        <v>64.849999922704313</v>
      </c>
      <c r="H84" s="6">
        <f t="shared" si="11"/>
        <v>35.150000077295687</v>
      </c>
    </row>
    <row r="85" spans="2:8" x14ac:dyDescent="0.6">
      <c r="B85" s="21">
        <v>72</v>
      </c>
      <c r="C85" s="5">
        <f t="shared" si="9"/>
        <v>135.85858585858566</v>
      </c>
      <c r="D85" s="5">
        <f t="shared" si="8"/>
        <v>64.634826445408862</v>
      </c>
      <c r="E85" s="5">
        <f t="shared" si="12"/>
        <v>35.365173554591138</v>
      </c>
      <c r="F85" s="5">
        <f t="shared" si="13"/>
        <v>64.141414141414344</v>
      </c>
      <c r="G85" s="5">
        <f t="shared" si="10"/>
        <v>64.634826445408862</v>
      </c>
      <c r="H85" s="6">
        <f t="shared" si="11"/>
        <v>35.365173554591138</v>
      </c>
    </row>
    <row r="86" spans="2:8" x14ac:dyDescent="0.6">
      <c r="B86" s="21">
        <v>73</v>
      </c>
      <c r="C86" s="5">
        <f t="shared" si="9"/>
        <v>136.36363636363615</v>
      </c>
      <c r="D86" s="5">
        <f t="shared" si="8"/>
        <v>64.413320285516988</v>
      </c>
      <c r="E86" s="5">
        <f t="shared" si="12"/>
        <v>35.586679714483012</v>
      </c>
      <c r="F86" s="5">
        <f t="shared" si="13"/>
        <v>63.636363636363853</v>
      </c>
      <c r="G86" s="5">
        <f t="shared" si="10"/>
        <v>64.413320285516988</v>
      </c>
      <c r="H86" s="6">
        <f t="shared" si="11"/>
        <v>35.586679714483012</v>
      </c>
    </row>
    <row r="87" spans="2:8" x14ac:dyDescent="0.6">
      <c r="B87" s="21">
        <v>74</v>
      </c>
      <c r="C87" s="5">
        <f t="shared" si="9"/>
        <v>136.86868686868664</v>
      </c>
      <c r="D87" s="5">
        <f t="shared" si="8"/>
        <v>64.185184785588405</v>
      </c>
      <c r="E87" s="5">
        <f t="shared" si="12"/>
        <v>35.814815214411595</v>
      </c>
      <c r="F87" s="5">
        <f t="shared" si="13"/>
        <v>63.131313131313362</v>
      </c>
      <c r="G87" s="5">
        <f t="shared" si="10"/>
        <v>64.185184785588405</v>
      </c>
      <c r="H87" s="6">
        <f t="shared" si="11"/>
        <v>35.814815214411595</v>
      </c>
    </row>
    <row r="88" spans="2:8" x14ac:dyDescent="0.6">
      <c r="B88" s="21">
        <v>75</v>
      </c>
      <c r="C88" s="5">
        <f t="shared" si="9"/>
        <v>137.37373737373713</v>
      </c>
      <c r="D88" s="5">
        <f t="shared" si="8"/>
        <v>63.950094706933655</v>
      </c>
      <c r="E88" s="5">
        <f t="shared" si="12"/>
        <v>36.049905293066345</v>
      </c>
      <c r="F88" s="5">
        <f t="shared" si="13"/>
        <v>62.626262626262871</v>
      </c>
      <c r="G88" s="5">
        <f t="shared" si="10"/>
        <v>63.950094706933655</v>
      </c>
      <c r="H88" s="6">
        <f t="shared" si="11"/>
        <v>36.049905293066345</v>
      </c>
    </row>
    <row r="89" spans="2:8" x14ac:dyDescent="0.6">
      <c r="B89" s="21">
        <v>76</v>
      </c>
      <c r="C89" s="5">
        <f t="shared" si="9"/>
        <v>137.87878787878762</v>
      </c>
      <c r="D89" s="5">
        <f t="shared" si="8"/>
        <v>63.707692236342503</v>
      </c>
      <c r="E89" s="5">
        <f t="shared" si="12"/>
        <v>36.292307763657497</v>
      </c>
      <c r="F89" s="5">
        <f t="shared" si="13"/>
        <v>62.12121212121238</v>
      </c>
      <c r="G89" s="5">
        <f t="shared" si="10"/>
        <v>63.707692236342503</v>
      </c>
      <c r="H89" s="6">
        <f t="shared" si="11"/>
        <v>36.292307763657497</v>
      </c>
    </row>
    <row r="90" spans="2:8" x14ac:dyDescent="0.6">
      <c r="B90" s="21">
        <v>77</v>
      </c>
      <c r="C90" s="5">
        <f t="shared" si="9"/>
        <v>138.38383838383811</v>
      </c>
      <c r="D90" s="5">
        <f t="shared" si="8"/>
        <v>63.457582239870838</v>
      </c>
      <c r="E90" s="5">
        <f t="shared" si="12"/>
        <v>36.542417760129162</v>
      </c>
      <c r="F90" s="5">
        <f t="shared" si="13"/>
        <v>61.616161616161889</v>
      </c>
      <c r="G90" s="5">
        <f t="shared" si="10"/>
        <v>63.457582239870838</v>
      </c>
      <c r="H90" s="6">
        <f t="shared" si="11"/>
        <v>36.542417760129162</v>
      </c>
    </row>
    <row r="91" spans="2:8" x14ac:dyDescent="0.6">
      <c r="B91" s="21">
        <v>78</v>
      </c>
      <c r="C91" s="5">
        <f t="shared" si="9"/>
        <v>138.8888888888886</v>
      </c>
      <c r="D91" s="5">
        <f t="shared" si="8"/>
        <v>63.199326582149041</v>
      </c>
      <c r="E91" s="5">
        <f t="shared" si="12"/>
        <v>36.800673417850959</v>
      </c>
      <c r="F91" s="5">
        <f t="shared" si="13"/>
        <v>61.111111111111398</v>
      </c>
      <c r="G91" s="5">
        <f t="shared" si="10"/>
        <v>63.199326582149041</v>
      </c>
      <c r="H91" s="6">
        <f t="shared" si="11"/>
        <v>36.800673417850959</v>
      </c>
    </row>
    <row r="92" spans="2:8" x14ac:dyDescent="0.6">
      <c r="B92" s="21">
        <v>79</v>
      </c>
      <c r="C92" s="5">
        <f t="shared" si="9"/>
        <v>139.39393939393909</v>
      </c>
      <c r="D92" s="5">
        <f t="shared" si="8"/>
        <v>62.932437275482982</v>
      </c>
      <c r="E92" s="5">
        <f t="shared" si="12"/>
        <v>37.067562724517018</v>
      </c>
      <c r="F92" s="5">
        <f t="shared" si="13"/>
        <v>60.606060606060908</v>
      </c>
      <c r="G92" s="5">
        <f t="shared" si="10"/>
        <v>62.932437275482982</v>
      </c>
      <c r="H92" s="6">
        <f t="shared" si="11"/>
        <v>37.067562724517018</v>
      </c>
    </row>
    <row r="93" spans="2:8" x14ac:dyDescent="0.6">
      <c r="B93" s="21">
        <v>80</v>
      </c>
      <c r="C93" s="5">
        <f t="shared" si="9"/>
        <v>139.89898989898958</v>
      </c>
      <c r="D93" s="5">
        <f t="shared" si="8"/>
        <v>62.65636814924067</v>
      </c>
      <c r="E93" s="5">
        <f t="shared" si="12"/>
        <v>37.34363185075933</v>
      </c>
      <c r="F93" s="5">
        <f t="shared" si="13"/>
        <v>60.101010101010417</v>
      </c>
      <c r="G93" s="5">
        <f t="shared" si="10"/>
        <v>62.65636814924067</v>
      </c>
      <c r="H93" s="6">
        <f t="shared" si="11"/>
        <v>37.34363185075933</v>
      </c>
    </row>
    <row r="94" spans="2:8" x14ac:dyDescent="0.6">
      <c r="B94" s="21">
        <v>81</v>
      </c>
      <c r="C94" s="5">
        <f t="shared" si="9"/>
        <v>140.40404040404007</v>
      </c>
      <c r="D94" s="5">
        <f t="shared" si="8"/>
        <v>62.370504628213929</v>
      </c>
      <c r="E94" s="5">
        <f t="shared" si="12"/>
        <v>37.629495371786071</v>
      </c>
      <c r="F94" s="5">
        <f t="shared" si="13"/>
        <v>59.595959595959926</v>
      </c>
      <c r="G94" s="5">
        <f t="shared" si="10"/>
        <v>62.370504628213929</v>
      </c>
      <c r="H94" s="6">
        <f t="shared" si="11"/>
        <v>37.629495371786071</v>
      </c>
    </row>
    <row r="95" spans="2:8" x14ac:dyDescent="0.6">
      <c r="B95" s="21">
        <v>82</v>
      </c>
      <c r="C95" s="5">
        <f t="shared" si="9"/>
        <v>140.90909090909057</v>
      </c>
      <c r="D95" s="5">
        <f t="shared" si="8"/>
        <v>62.074151066097656</v>
      </c>
      <c r="E95" s="5">
        <f t="shared" si="12"/>
        <v>37.925848933902344</v>
      </c>
      <c r="F95" s="5">
        <f t="shared" si="13"/>
        <v>59.090909090909435</v>
      </c>
      <c r="G95" s="5">
        <f t="shared" si="10"/>
        <v>62.074151066097656</v>
      </c>
      <c r="H95" s="6">
        <f t="shared" si="11"/>
        <v>37.925848933902344</v>
      </c>
    </row>
    <row r="96" spans="2:8" x14ac:dyDescent="0.6">
      <c r="B96" s="21">
        <v>83</v>
      </c>
      <c r="C96" s="5">
        <f t="shared" si="9"/>
        <v>141.41414141414106</v>
      </c>
      <c r="D96" s="5">
        <f t="shared" si="8"/>
        <v>61.766514877395451</v>
      </c>
      <c r="E96" s="5">
        <f t="shared" si="12"/>
        <v>38.233485122604549</v>
      </c>
      <c r="F96" s="5">
        <f t="shared" si="13"/>
        <v>58.585858585858944</v>
      </c>
      <c r="G96" s="5">
        <f t="shared" si="10"/>
        <v>61.766514877395451</v>
      </c>
      <c r="H96" s="6">
        <f t="shared" si="11"/>
        <v>38.233485122604549</v>
      </c>
    </row>
    <row r="97" spans="2:8" x14ac:dyDescent="0.6">
      <c r="B97" s="21">
        <v>84</v>
      </c>
      <c r="C97" s="5">
        <f t="shared" si="9"/>
        <v>141.91919191919155</v>
      </c>
      <c r="D97" s="5">
        <f t="shared" si="8"/>
        <v>61.446686417288035</v>
      </c>
      <c r="E97" s="5">
        <f t="shared" si="12"/>
        <v>38.553313582711965</v>
      </c>
      <c r="F97" s="5">
        <f t="shared" si="13"/>
        <v>58.080808080808453</v>
      </c>
      <c r="G97" s="5">
        <f t="shared" si="10"/>
        <v>61.446686417288035</v>
      </c>
      <c r="H97" s="6">
        <f t="shared" si="11"/>
        <v>38.553313582711965</v>
      </c>
    </row>
    <row r="98" spans="2:8" x14ac:dyDescent="0.6">
      <c r="B98" s="21">
        <v>85</v>
      </c>
      <c r="C98" s="5">
        <f t="shared" si="9"/>
        <v>142.42424242424204</v>
      </c>
      <c r="D98" s="5">
        <f t="shared" si="8"/>
        <v>61.113613125092158</v>
      </c>
      <c r="E98" s="5">
        <f t="shared" si="12"/>
        <v>38.886386874907842</v>
      </c>
      <c r="F98" s="5">
        <f t="shared" si="13"/>
        <v>57.575757575757962</v>
      </c>
      <c r="G98" s="5">
        <f t="shared" si="10"/>
        <v>61.113613125092158</v>
      </c>
      <c r="H98" s="6">
        <f t="shared" si="11"/>
        <v>38.886386874907842</v>
      </c>
    </row>
    <row r="99" spans="2:8" x14ac:dyDescent="0.6">
      <c r="B99" s="21">
        <v>86</v>
      </c>
      <c r="C99" s="5">
        <f t="shared" si="9"/>
        <v>142.92929292929253</v>
      </c>
      <c r="D99" s="5">
        <f t="shared" si="8"/>
        <v>60.766065791896843</v>
      </c>
      <c r="E99" s="5">
        <f t="shared" si="12"/>
        <v>39.233934208103157</v>
      </c>
      <c r="F99" s="5">
        <f t="shared" si="13"/>
        <v>57.070707070707471</v>
      </c>
      <c r="G99" s="5">
        <f t="shared" si="10"/>
        <v>60.766065791896843</v>
      </c>
      <c r="H99" s="6">
        <f t="shared" si="11"/>
        <v>39.233934208103157</v>
      </c>
    </row>
    <row r="100" spans="2:8" x14ac:dyDescent="0.6">
      <c r="B100" s="21">
        <v>87</v>
      </c>
      <c r="C100" s="5">
        <f t="shared" si="9"/>
        <v>143.43434343434302</v>
      </c>
      <c r="D100" s="5">
        <f t="shared" si="8"/>
        <v>60.402593799597227</v>
      </c>
      <c r="E100" s="5">
        <f t="shared" si="12"/>
        <v>39.597406200402773</v>
      </c>
      <c r="F100" s="5">
        <f t="shared" si="13"/>
        <v>56.56565656565698</v>
      </c>
      <c r="G100" s="5">
        <f t="shared" si="10"/>
        <v>60.402593799597227</v>
      </c>
      <c r="H100" s="6">
        <f t="shared" si="11"/>
        <v>39.597406200402773</v>
      </c>
    </row>
    <row r="101" spans="2:8" x14ac:dyDescent="0.6">
      <c r="B101" s="21">
        <v>88</v>
      </c>
      <c r="C101" s="5">
        <f t="shared" si="9"/>
        <v>143.93939393939351</v>
      </c>
      <c r="D101" s="5">
        <f t="shared" si="8"/>
        <v>60.02146456692445</v>
      </c>
      <c r="E101" s="5">
        <f t="shared" si="12"/>
        <v>39.97853543307555</v>
      </c>
      <c r="F101" s="5">
        <f t="shared" si="13"/>
        <v>56.060606060606489</v>
      </c>
      <c r="G101" s="5">
        <f t="shared" si="10"/>
        <v>60.02146456692445</v>
      </c>
      <c r="H101" s="6">
        <f t="shared" si="11"/>
        <v>39.97853543307555</v>
      </c>
    </row>
    <row r="102" spans="2:8" x14ac:dyDescent="0.6">
      <c r="B102" s="21">
        <v>89</v>
      </c>
      <c r="C102" s="5">
        <f t="shared" si="9"/>
        <v>144.444444444444</v>
      </c>
      <c r="D102" s="5">
        <f t="shared" si="8"/>
        <v>59.620579793108234</v>
      </c>
      <c r="E102" s="5">
        <f t="shared" si="12"/>
        <v>40.379420206891766</v>
      </c>
      <c r="F102" s="5">
        <f t="shared" si="13"/>
        <v>55.555555555555998</v>
      </c>
      <c r="G102" s="5">
        <f t="shared" si="10"/>
        <v>59.620579793108234</v>
      </c>
      <c r="H102" s="6">
        <f t="shared" si="11"/>
        <v>40.379420206891766</v>
      </c>
    </row>
    <row r="103" spans="2:8" x14ac:dyDescent="0.6">
      <c r="B103" s="21">
        <v>90</v>
      </c>
      <c r="C103" s="5">
        <f t="shared" si="9"/>
        <v>144.94949494949449</v>
      </c>
      <c r="D103" s="5">
        <f t="shared" si="8"/>
        <v>59.197356589136852</v>
      </c>
      <c r="E103" s="5">
        <f t="shared" si="12"/>
        <v>40.802643410863148</v>
      </c>
      <c r="F103" s="5">
        <f t="shared" si="13"/>
        <v>55.050505050505507</v>
      </c>
      <c r="G103" s="5">
        <f t="shared" si="10"/>
        <v>59.197356589136852</v>
      </c>
      <c r="H103" s="6">
        <f t="shared" si="11"/>
        <v>40.802643410863148</v>
      </c>
    </row>
    <row r="104" spans="2:8" x14ac:dyDescent="0.6">
      <c r="B104" s="21">
        <v>91</v>
      </c>
      <c r="C104" s="5">
        <f t="shared" si="9"/>
        <v>145.45454545454498</v>
      </c>
      <c r="D104" s="5">
        <f t="shared" si="8"/>
        <v>58.74855359946158</v>
      </c>
      <c r="E104" s="5">
        <f t="shared" si="12"/>
        <v>41.25144640053842</v>
      </c>
      <c r="F104" s="5">
        <f t="shared" si="13"/>
        <v>54.545454545455016</v>
      </c>
      <c r="G104" s="5">
        <f t="shared" si="10"/>
        <v>58.74855359946158</v>
      </c>
      <c r="H104" s="6">
        <f t="shared" si="11"/>
        <v>41.25144640053842</v>
      </c>
    </row>
    <row r="105" spans="2:8" x14ac:dyDescent="0.6">
      <c r="B105" s="21">
        <v>92</v>
      </c>
      <c r="C105" s="5">
        <f t="shared" si="9"/>
        <v>145.95959595959548</v>
      </c>
      <c r="D105" s="5">
        <f t="shared" si="8"/>
        <v>58.270007322868693</v>
      </c>
      <c r="E105" s="5">
        <f t="shared" si="12"/>
        <v>41.729992677131307</v>
      </c>
      <c r="F105" s="5">
        <f t="shared" si="13"/>
        <v>54.040404040404525</v>
      </c>
      <c r="G105" s="5">
        <f t="shared" si="10"/>
        <v>58.270007322868693</v>
      </c>
      <c r="H105" s="6">
        <f t="shared" si="11"/>
        <v>41.729992677131307</v>
      </c>
    </row>
    <row r="106" spans="2:8" x14ac:dyDescent="0.6">
      <c r="B106" s="21">
        <v>93</v>
      </c>
      <c r="C106" s="5">
        <f t="shared" si="9"/>
        <v>146.46464646464597</v>
      </c>
      <c r="D106" s="5">
        <f t="shared" si="8"/>
        <v>57.756214369180867</v>
      </c>
      <c r="E106" s="5">
        <f t="shared" si="12"/>
        <v>42.243785630819133</v>
      </c>
      <c r="F106" s="5">
        <f t="shared" si="13"/>
        <v>53.535353535354034</v>
      </c>
      <c r="G106" s="5">
        <f t="shared" si="10"/>
        <v>57.756214369180867</v>
      </c>
      <c r="H106" s="6">
        <f t="shared" si="11"/>
        <v>42.243785630819133</v>
      </c>
    </row>
    <row r="107" spans="2:8" x14ac:dyDescent="0.6">
      <c r="B107" s="21">
        <v>94</v>
      </c>
      <c r="C107" s="5">
        <f t="shared" si="9"/>
        <v>146.96969696969646</v>
      </c>
      <c r="D107" s="5">
        <f t="shared" si="8"/>
        <v>57.199632681172709</v>
      </c>
      <c r="E107" s="5">
        <f t="shared" si="12"/>
        <v>42.800367318827291</v>
      </c>
      <c r="F107" s="5">
        <f t="shared" si="13"/>
        <v>53.030303030303543</v>
      </c>
      <c r="G107" s="5">
        <f t="shared" si="10"/>
        <v>57.199632681172709</v>
      </c>
      <c r="H107" s="6">
        <f t="shared" si="11"/>
        <v>42.800367318827291</v>
      </c>
    </row>
    <row r="108" spans="2:8" x14ac:dyDescent="0.6">
      <c r="B108" s="21">
        <v>95</v>
      </c>
      <c r="C108" s="5">
        <f t="shared" si="9"/>
        <v>147.47474747474695</v>
      </c>
      <c r="D108" s="5">
        <f t="shared" si="8"/>
        <v>56.589428604186331</v>
      </c>
      <c r="E108" s="5">
        <f t="shared" si="12"/>
        <v>43.410571395813669</v>
      </c>
      <c r="F108" s="5">
        <f t="shared" si="13"/>
        <v>52.525252525253052</v>
      </c>
      <c r="G108" s="5">
        <f t="shared" si="10"/>
        <v>56.589428604186331</v>
      </c>
      <c r="H108" s="6">
        <f t="shared" si="11"/>
        <v>43.410571395813669</v>
      </c>
    </row>
    <row r="109" spans="2:8" x14ac:dyDescent="0.6">
      <c r="B109" s="21">
        <v>96</v>
      </c>
      <c r="C109" s="5">
        <f t="shared" si="9"/>
        <v>147.97979797979744</v>
      </c>
      <c r="D109" s="5">
        <f t="shared" si="8"/>
        <v>55.909013208503133</v>
      </c>
      <c r="E109" s="5">
        <f t="shared" si="12"/>
        <v>44.090986791496867</v>
      </c>
      <c r="F109" s="5">
        <f t="shared" si="13"/>
        <v>52.020202020202561</v>
      </c>
      <c r="G109" s="5">
        <f t="shared" si="10"/>
        <v>55.909013208503133</v>
      </c>
      <c r="H109" s="6">
        <f t="shared" si="11"/>
        <v>44.090986791496867</v>
      </c>
    </row>
    <row r="110" spans="2:8" x14ac:dyDescent="0.6">
      <c r="B110" s="21">
        <v>97</v>
      </c>
      <c r="C110" s="5">
        <f t="shared" si="9"/>
        <v>148.48484848484793</v>
      </c>
      <c r="D110" s="5">
        <f t="shared" si="8"/>
        <v>55.130527658009093</v>
      </c>
      <c r="E110" s="5">
        <f t="shared" si="12"/>
        <v>44.869472341990907</v>
      </c>
      <c r="F110" s="5">
        <f t="shared" si="13"/>
        <v>51.51515151515207</v>
      </c>
      <c r="G110" s="5">
        <f t="shared" si="10"/>
        <v>55.130527658009093</v>
      </c>
      <c r="H110" s="6">
        <f t="shared" si="11"/>
        <v>44.869472341990907</v>
      </c>
    </row>
    <row r="111" spans="2:8" x14ac:dyDescent="0.6">
      <c r="B111" s="21">
        <v>98</v>
      </c>
      <c r="C111" s="5">
        <f t="shared" si="9"/>
        <v>148.98989898989842</v>
      </c>
      <c r="D111" s="5">
        <f t="shared" si="8"/>
        <v>54.199785730684901</v>
      </c>
      <c r="E111" s="5">
        <f t="shared" si="12"/>
        <v>45.800214269315099</v>
      </c>
      <c r="F111" s="5">
        <f t="shared" si="13"/>
        <v>51.010101010101579</v>
      </c>
      <c r="G111" s="5">
        <f t="shared" si="10"/>
        <v>54.199785730684901</v>
      </c>
      <c r="H111" s="6">
        <f t="shared" si="11"/>
        <v>45.800214269315099</v>
      </c>
    </row>
    <row r="112" spans="2:8" x14ac:dyDescent="0.6">
      <c r="B112" s="21">
        <v>99</v>
      </c>
      <c r="C112" s="5">
        <f t="shared" si="9"/>
        <v>149.49494949494891</v>
      </c>
      <c r="D112" s="5">
        <f t="shared" si="8"/>
        <v>52.97726308889041</v>
      </c>
      <c r="E112" s="5">
        <f t="shared" si="12"/>
        <v>47.02273691110959</v>
      </c>
      <c r="F112" s="5">
        <f t="shared" si="13"/>
        <v>50.505050505051088</v>
      </c>
      <c r="G112" s="5">
        <f t="shared" si="10"/>
        <v>52.97726308889041</v>
      </c>
      <c r="H112" s="6">
        <f t="shared" si="11"/>
        <v>47.02273691110959</v>
      </c>
    </row>
    <row r="113" spans="2:8" x14ac:dyDescent="0.6">
      <c r="B113" s="22">
        <v>100</v>
      </c>
      <c r="C113" s="7">
        <f t="shared" si="9"/>
        <v>149.9999999999994</v>
      </c>
      <c r="D113" s="7">
        <f t="shared" si="8"/>
        <v>50.000003244469077</v>
      </c>
      <c r="E113" s="7">
        <f t="shared" si="12"/>
        <v>49.999996755530923</v>
      </c>
      <c r="F113" s="7">
        <f t="shared" si="13"/>
        <v>50.000000000000597</v>
      </c>
      <c r="G113" s="7">
        <f t="shared" si="10"/>
        <v>50.000003244469077</v>
      </c>
      <c r="H113" s="8">
        <f t="shared" si="11"/>
        <v>49.999996755530923</v>
      </c>
    </row>
  </sheetData>
  <sheetProtection algorithmName="SHA-512" hashValue="EnwqIvI0CNIq9o56HMAegDUOniQRr1y5LyZmuAWt7+hdAq0pb7q4UJchECXPtrdJEOcyI9snE/lrGwk0OaxSnw==" saltValue="aJzmr1lEm2lUQCVAw8AA9Q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100,71</v>
      </c>
      <c r="B2" s="1" t="str">
        <f>_xlfn.CONCAT("POINT ",A2)</f>
        <v>POINT 100,71</v>
      </c>
    </row>
    <row r="3" spans="1:2" x14ac:dyDescent="0.6">
      <c r="A3" s="1" t="str">
        <f>_xlfn.CONCAT(ElipseTabla!C15,",",ElipseTabla!$D15)</f>
        <v>100.505050505051,70.9989286534187</v>
      </c>
      <c r="B3" s="1" t="str">
        <f t="shared" ref="B3:B66" si="0">_xlfn.CONCAT("POINT ",A3)</f>
        <v>POINT 100.505050505051,70.9989286534187</v>
      </c>
    </row>
    <row r="4" spans="1:2" x14ac:dyDescent="0.6">
      <c r="A4" s="1" t="str">
        <f>_xlfn.CONCAT(ElipseTabla!C16,",",ElipseTabla!D16)</f>
        <v>101.010101010101,70.9957142856697</v>
      </c>
      <c r="B4" s="1" t="str">
        <f t="shared" si="0"/>
        <v>POINT 101.010101010101,70.9957142856697</v>
      </c>
    </row>
    <row r="5" spans="1:2" x14ac:dyDescent="0.6">
      <c r="A5" s="1" t="str">
        <f>_xlfn.CONCAT(ElipseTabla!C17,",",ElipseTabla!D17)</f>
        <v>101.515151515152,70.9903559122354</v>
      </c>
      <c r="B5" s="1" t="str">
        <f t="shared" si="0"/>
        <v>POINT 101.515151515152,70.9903559122354</v>
      </c>
    </row>
    <row r="6" spans="1:2" x14ac:dyDescent="0.6">
      <c r="A6" s="1" t="str">
        <f>_xlfn.CONCAT(ElipseTabla!C18,",",ElipseTabla!D18)</f>
        <v>102.020202020202,70.982851890577</v>
      </c>
      <c r="B6" s="1" t="str">
        <f t="shared" si="0"/>
        <v>POINT 102.020202020202,70.982851890577</v>
      </c>
    </row>
    <row r="7" spans="1:2" x14ac:dyDescent="0.6">
      <c r="A7" s="1" t="str">
        <f>_xlfn.CONCAT(ElipseTabla!C19,",",ElipseTabla!D19)</f>
        <v>102.525252525253,70.973199917614</v>
      </c>
      <c r="B7" s="1" t="str">
        <f t="shared" si="0"/>
        <v>POINT 102.525252525253,70.973199917614</v>
      </c>
    </row>
    <row r="8" spans="1:2" x14ac:dyDescent="0.6">
      <c r="A8" s="1" t="str">
        <f>_xlfn.CONCAT(ElipseTabla!C20,",",ElipseTabla!D20)</f>
        <v>103.030303030303,70.9613970261826</v>
      </c>
      <c r="B8" s="1" t="str">
        <f t="shared" si="0"/>
        <v>POINT 103.030303030303,70.9613970261826</v>
      </c>
    </row>
    <row r="9" spans="1:2" x14ac:dyDescent="0.6">
      <c r="A9" s="1" t="str">
        <f>_xlfn.CONCAT(ElipseTabla!C21,",",ElipseTabla!D21)</f>
        <v>103.535353535354,70.9474395804605</v>
      </c>
      <c r="B9" s="1" t="str">
        <f t="shared" si="0"/>
        <v>POINT 103.535353535354,70.9474395804605</v>
      </c>
    </row>
    <row r="10" spans="1:2" x14ac:dyDescent="0.6">
      <c r="A10" s="1" t="str">
        <f>_xlfn.CONCAT(ElipseTabla!C22,",",ElipseTabla!D22)</f>
        <v>104.040404040404,70.9313232703421</v>
      </c>
      <c r="B10" s="1" t="str">
        <f t="shared" si="0"/>
        <v>POINT 104.040404040404,70.9313232703421</v>
      </c>
    </row>
    <row r="11" spans="1:2" x14ac:dyDescent="0.6">
      <c r="A11" s="1" t="str">
        <f>_xlfn.CONCAT(ElipseTabla!C23,",",ElipseTabla!D23)</f>
        <v>104.545454545455,70.9130431047427</v>
      </c>
      <c r="B11" s="1" t="str">
        <f t="shared" si="0"/>
        <v>POINT 104.545454545455,70.9130431047427</v>
      </c>
    </row>
    <row r="12" spans="1:2" x14ac:dyDescent="0.6">
      <c r="A12" s="1" t="str">
        <f>_xlfn.CONCAT(ElipseTabla!C24,",",ElipseTabla!D24)</f>
        <v>105.050505050505,70.8925934038076</v>
      </c>
      <c r="B12" s="1" t="str">
        <f t="shared" si="0"/>
        <v>POINT 105.050505050505,70.8925934038076</v>
      </c>
    </row>
    <row r="13" spans="1:2" x14ac:dyDescent="0.6">
      <c r="A13" s="1" t="str">
        <f>_xlfn.CONCAT(ElipseTabla!C25,",",ElipseTabla!D25)</f>
        <v>105.555555555556,70.869967789998</v>
      </c>
      <c r="B13" s="1" t="str">
        <f t="shared" si="0"/>
        <v>POINT 105.555555555556,70.869967789998</v>
      </c>
    </row>
    <row r="14" spans="1:2" x14ac:dyDescent="0.6">
      <c r="A14" s="1" t="str">
        <f>_xlfn.CONCAT(ElipseTabla!C26,",",ElipseTabla!D26)</f>
        <v>106.060606060606,70.8451591780208</v>
      </c>
      <c r="B14" s="1" t="str">
        <f t="shared" si="0"/>
        <v>POINT 106.060606060606,70.8451591780208</v>
      </c>
    </row>
    <row r="15" spans="1:2" x14ac:dyDescent="0.6">
      <c r="A15" s="1" t="str">
        <f>_xlfn.CONCAT(ElipseTabla!C27,",",ElipseTabla!D27)</f>
        <v>106.565656565657,70.8181597635629</v>
      </c>
      <c r="B15" s="1" t="str">
        <f t="shared" si="0"/>
        <v>POINT 106.565656565657,70.8181597635629</v>
      </c>
    </row>
    <row r="16" spans="1:2" x14ac:dyDescent="0.6">
      <c r="A16" s="1" t="str">
        <f>_xlfn.CONCAT(ElipseTabla!C28,",",ElipseTabla!D28)</f>
        <v>107.070707070707,70.7889610107906</v>
      </c>
      <c r="B16" s="1" t="str">
        <f t="shared" si="0"/>
        <v>POINT 107.070707070707,70.7889610107906</v>
      </c>
    </row>
    <row r="17" spans="1:2" x14ac:dyDescent="0.6">
      <c r="A17" s="1" t="str">
        <f>_xlfn.CONCAT(ElipseTabla!C29,",",ElipseTabla!D29)</f>
        <v>107.575757575758,70.7575536385637</v>
      </c>
      <c r="B17" s="1" t="str">
        <f t="shared" si="0"/>
        <v>POINT 107.575757575758,70.7575536385637</v>
      </c>
    </row>
    <row r="18" spans="1:2" x14ac:dyDescent="0.6">
      <c r="A18" s="1" t="str">
        <f>_xlfn.CONCAT(ElipseTabla!C30,",",ElipseTabla!D30)</f>
        <v>108.080808080808,70.7239276053133</v>
      </c>
      <c r="B18" s="1" t="str">
        <f t="shared" si="0"/>
        <v>POINT 108.080808080808,70.7239276053133</v>
      </c>
    </row>
    <row r="19" spans="1:2" x14ac:dyDescent="0.6">
      <c r="A19" s="1" t="str">
        <f>_xlfn.CONCAT(ElipseTabla!C31,",",ElipseTabla!D31)</f>
        <v>108.585858585859,70.6880720925227</v>
      </c>
      <c r="B19" s="1" t="str">
        <f t="shared" si="0"/>
        <v>POINT 108.585858585859,70.6880720925227</v>
      </c>
    </row>
    <row r="20" spans="1:2" x14ac:dyDescent="0.6">
      <c r="A20" s="1" t="str">
        <f>_xlfn.CONCAT(ElipseTabla!C32,",",ElipseTabla!D32)</f>
        <v>109.090909090909,70.6499754867483</v>
      </c>
      <c r="B20" s="1" t="str">
        <f t="shared" si="0"/>
        <v>POINT 109.090909090909,70.6499754867483</v>
      </c>
    </row>
    <row r="21" spans="1:2" x14ac:dyDescent="0.6">
      <c r="A21" s="1" t="str">
        <f>_xlfn.CONCAT(ElipseTabla!C33,",",ElipseTabla!D33)</f>
        <v>109.59595959596,70.6096253601062</v>
      </c>
      <c r="B21" s="1" t="str">
        <f t="shared" si="0"/>
        <v>POINT 109.59595959596,70.6096253601062</v>
      </c>
    </row>
    <row r="22" spans="1:2" x14ac:dyDescent="0.6">
      <c r="A22" s="1" t="str">
        <f>_xlfn.CONCAT(ElipseTabla!C34,",",ElipseTabla!D34)</f>
        <v>110.10101010101,70.5670084491472</v>
      </c>
      <c r="B22" s="1" t="str">
        <f t="shared" si="0"/>
        <v>POINT 110.10101010101,70.5670084491472</v>
      </c>
    </row>
    <row r="23" spans="1:2" x14ac:dyDescent="0.6">
      <c r="A23" s="1" t="str">
        <f>_xlfn.CONCAT(ElipseTabla!C35,",",ElipseTabla!D35)</f>
        <v>110.606060606061,70.5221106320327</v>
      </c>
      <c r="B23" s="1" t="str">
        <f t="shared" si="0"/>
        <v>POINT 110.606060606061,70.5221106320327</v>
      </c>
    </row>
    <row r="24" spans="1:2" x14ac:dyDescent="0.6">
      <c r="A24" s="1" t="str">
        <f>_xlfn.CONCAT(ElipseTabla!C36,",",ElipseTabla!D36)</f>
        <v>111.111111111111,70.474916903915</v>
      </c>
      <c r="B24" s="1" t="str">
        <f t="shared" si="0"/>
        <v>POINT 111.111111111111,70.474916903915</v>
      </c>
    </row>
    <row r="25" spans="1:2" x14ac:dyDescent="0.6">
      <c r="A25" s="1" t="str">
        <f>_xlfn.CONCAT(ElipseTabla!C37,",",ElipseTabla!D37)</f>
        <v>111.616161616162,70.4254113504182</v>
      </c>
      <c r="B25" s="1" t="str">
        <f t="shared" si="0"/>
        <v>POINT 111.616161616162,70.4254113504182</v>
      </c>
    </row>
    <row r="26" spans="1:2" x14ac:dyDescent="0.6">
      <c r="A26" s="1" t="str">
        <f>_xlfn.CONCAT(ElipseTabla!C38,",",ElipseTabla!D38)</f>
        <v>112.121212121212,70.3735771191045</v>
      </c>
      <c r="B26" s="1" t="str">
        <f t="shared" si="0"/>
        <v>POINT 112.121212121212,70.3735771191045</v>
      </c>
    </row>
    <row r="27" spans="1:2" x14ac:dyDescent="0.6">
      <c r="A27" s="1" t="str">
        <f>_xlfn.CONCAT(ElipseTabla!C39,",",ElipseTabla!D39)</f>
        <v>112.626262626263,70.3193963887991</v>
      </c>
      <c r="B27" s="1" t="str">
        <f t="shared" si="0"/>
        <v>POINT 112.626262626263,70.3193963887991</v>
      </c>
    </row>
    <row r="28" spans="1:2" x14ac:dyDescent="0.6">
      <c r="A28" s="1" t="str">
        <f>_xlfn.CONCAT(ElipseTabla!C40,",",ElipseTabla!D40)</f>
        <v>113.131313131313,70.2628503366363</v>
      </c>
      <c r="B28" s="1" t="str">
        <f t="shared" si="0"/>
        <v>POINT 113.131313131313,70.2628503366363</v>
      </c>
    </row>
    <row r="29" spans="1:2" x14ac:dyDescent="0.6">
      <c r="A29" s="1" t="str">
        <f>_xlfn.CONCAT(ElipseTabla!C41,",",ElipseTabla!D41)</f>
        <v>113.636363636364,70.2039191026751</v>
      </c>
      <c r="B29" s="1" t="str">
        <f t="shared" si="0"/>
        <v>POINT 113.636363636364,70.2039191026751</v>
      </c>
    </row>
    <row r="30" spans="1:2" x14ac:dyDescent="0.6">
      <c r="A30" s="1" t="str">
        <f>_xlfn.CONCAT(ElipseTabla!C42,",",ElipseTabla!D42)</f>
        <v>114.141414141414,70.1425817519178</v>
      </c>
      <c r="B30" s="1" t="str">
        <f t="shared" si="0"/>
        <v>POINT 114.141414141414,70.1425817519178</v>
      </c>
    </row>
    <row r="31" spans="1:2" x14ac:dyDescent="0.6">
      <c r="A31" s="1" t="str">
        <f>_xlfn.CONCAT(ElipseTabla!C43,",",ElipseTabla!D43)</f>
        <v>114.646464646465,70.0788162335502</v>
      </c>
      <c r="B31" s="1" t="str">
        <f t="shared" si="0"/>
        <v>POINT 114.646464646465,70.0788162335502</v>
      </c>
    </row>
    <row r="32" spans="1:2" x14ac:dyDescent="0.6">
      <c r="A32" s="1" t="str">
        <f>_xlfn.CONCAT(ElipseTabla!C44,",",ElipseTabla!D44)</f>
        <v>115.151515151515,70.0125993372027</v>
      </c>
      <c r="B32" s="1" t="str">
        <f t="shared" si="0"/>
        <v>POINT 115.151515151515,70.0125993372027</v>
      </c>
    </row>
    <row r="33" spans="1:2" x14ac:dyDescent="0.6">
      <c r="A33" s="1" t="str">
        <f>_xlfn.CONCAT(ElipseTabla!C45,",",ElipseTabla!D45)</f>
        <v>115.656565656566,69.9439066460126</v>
      </c>
      <c r="B33" s="1" t="str">
        <f t="shared" si="0"/>
        <v>POINT 115.656565656566,69.9439066460126</v>
      </c>
    </row>
    <row r="34" spans="1:2" x14ac:dyDescent="0.6">
      <c r="A34" s="1" t="str">
        <f>_xlfn.CONCAT(ElipseTabla!C46,",",ElipseTabla!D46)</f>
        <v>116.161616161616,69.8727124862477</v>
      </c>
      <c r="B34" s="1" t="str">
        <f t="shared" si="0"/>
        <v>POINT 116.161616161616,69.8727124862477</v>
      </c>
    </row>
    <row r="35" spans="1:2" x14ac:dyDescent="0.6">
      <c r="A35" s="1" t="str">
        <f>_xlfn.CONCAT(ElipseTabla!C47,",",ElipseTabla!D47)</f>
        <v>116.666666666667,69.7989898732233</v>
      </c>
      <c r="B35" s="1" t="str">
        <f t="shared" si="0"/>
        <v>POINT 116.666666666667,69.7989898732233</v>
      </c>
    </row>
    <row r="36" spans="1:2" x14ac:dyDescent="0.6">
      <c r="A36" s="1" t="str">
        <f>_xlfn.CONCAT(ElipseTabla!C48,",",ElipseTabla!D48)</f>
        <v>117.171717171717,69.722710453223</v>
      </c>
      <c r="B36" s="1" t="str">
        <f t="shared" si="0"/>
        <v>POINT 117.171717171717,69.722710453223</v>
      </c>
    </row>
    <row r="37" spans="1:2" x14ac:dyDescent="0.6">
      <c r="A37" s="1" t="str">
        <f>_xlfn.CONCAT(ElipseTabla!C49,",",ElipseTabla!D49)</f>
        <v>117.676767676768,69.6438444410986</v>
      </c>
      <c r="B37" s="1" t="str">
        <f t="shared" si="0"/>
        <v>POINT 117.676767676768,69.6438444410986</v>
      </c>
    </row>
    <row r="38" spans="1:2" x14ac:dyDescent="0.6">
      <c r="A38" s="1" t="str">
        <f>_xlfn.CONCAT(ElipseTabla!C50,",",ElipseTabla!D50)</f>
        <v>118.181818181818,69.5623605531956</v>
      </c>
      <c r="B38" s="1" t="str">
        <f t="shared" si="0"/>
        <v>POINT 118.181818181818,69.5623605531956</v>
      </c>
    </row>
    <row r="39" spans="1:2" x14ac:dyDescent="0.6">
      <c r="A39" s="1" t="str">
        <f>_xlfn.CONCAT(ElipseTabla!C51,",",ElipseTabla!D51)</f>
        <v>118.686868686869,69.4782259352104</v>
      </c>
      <c r="B39" s="1" t="str">
        <f t="shared" si="0"/>
        <v>POINT 118.686868686869,69.4782259352104</v>
      </c>
    </row>
    <row r="40" spans="1:2" x14ac:dyDescent="0.6">
      <c r="A40" s="1" t="str">
        <f>_xlfn.CONCAT(ElipseTabla!C52,",",ElipseTabla!D52)</f>
        <v>119.191919191919,69.3914060845448</v>
      </c>
      <c r="B40" s="1" t="str">
        <f t="shared" si="0"/>
        <v>POINT 119.191919191919,69.3914060845448</v>
      </c>
    </row>
    <row r="41" spans="1:2" x14ac:dyDescent="0.6">
      <c r="A41" s="1" t="str">
        <f>_xlfn.CONCAT(ElipseTabla!C53,",",ElipseTabla!D53)</f>
        <v>119.69696969697,69.3018647666767</v>
      </c>
      <c r="B41" s="1" t="str">
        <f t="shared" si="0"/>
        <v>POINT 119.69696969697,69.3018647666767</v>
      </c>
    </row>
    <row r="42" spans="1:2" x14ac:dyDescent="0.6">
      <c r="A42" s="1" t="str">
        <f>_xlfn.CONCAT(ElipseTabla!C54,",",ElipseTabla!D54)</f>
        <v>120.20202020202,69.2095639250131</v>
      </c>
      <c r="B42" s="1" t="str">
        <f t="shared" si="0"/>
        <v>POINT 120.20202020202,69.2095639250131</v>
      </c>
    </row>
    <row r="43" spans="1:2" x14ac:dyDescent="0.6">
      <c r="A43" s="1" t="str">
        <f>_xlfn.CONCAT(ElipseTabla!C55,",",ElipseTabla!D55)</f>
        <v>120.707070707071,69.1144635836319</v>
      </c>
      <c r="B43" s="1" t="str">
        <f t="shared" si="0"/>
        <v>POINT 120.707070707071,69.1144635836319</v>
      </c>
    </row>
    <row r="44" spans="1:2" x14ac:dyDescent="0.6">
      <c r="A44" s="1" t="str">
        <f>_xlfn.CONCAT(ElipseTabla!C56,",",ElipseTabla!D56)</f>
        <v>121.212121212121,69.0165217422523</v>
      </c>
      <c r="B44" s="1" t="str">
        <f t="shared" si="0"/>
        <v>POINT 121.212121212121,69.0165217422523</v>
      </c>
    </row>
    <row r="45" spans="1:2" x14ac:dyDescent="0.6">
      <c r="A45" s="1" t="str">
        <f>_xlfn.CONCAT(ElipseTabla!C57,",",ElipseTabla!D57)</f>
        <v>121.717171717172,68.9156942626977</v>
      </c>
      <c r="B45" s="1" t="str">
        <f t="shared" si="0"/>
        <v>POINT 121.717171717172,68.9156942626977</v>
      </c>
    </row>
    <row r="46" spans="1:2" x14ac:dyDescent="0.6">
      <c r="A46" s="1" t="str">
        <f>_xlfn.CONCAT(ElipseTabla!C58,",",ElipseTabla!D58)</f>
        <v>122.222222222222,68.8119347460299</v>
      </c>
      <c r="B46" s="1" t="str">
        <f t="shared" si="0"/>
        <v>POINT 122.222222222222,68.8119347460299</v>
      </c>
    </row>
    <row r="47" spans="1:2" x14ac:dyDescent="0.6">
      <c r="A47" s="1" t="str">
        <f>_xlfn.CONCAT(ElipseTabla!C59,",",ElipseTabla!D59)</f>
        <v>122.727272727273,68.7051943994352</v>
      </c>
      <c r="B47" s="1" t="str">
        <f t="shared" si="0"/>
        <v>POINT 122.727272727273,68.7051943994352</v>
      </c>
    </row>
    <row r="48" spans="1:2" x14ac:dyDescent="0.6">
      <c r="A48" s="1" t="str">
        <f>_xlfn.CONCAT(ElipseTabla!C60,",",ElipseTabla!D60)</f>
        <v>123.232323232323,68.5954218918305</v>
      </c>
      <c r="B48" s="1" t="str">
        <f t="shared" si="0"/>
        <v>POINT 123.232323232323,68.5954218918305</v>
      </c>
    </row>
    <row r="49" spans="1:2" x14ac:dyDescent="0.6">
      <c r="A49" s="1" t="str">
        <f>_xlfn.CONCAT(ElipseTabla!C61,",",ElipseTabla!D61)</f>
        <v>123.737373737374,68.4825631970356</v>
      </c>
      <c r="B49" s="1" t="str">
        <f t="shared" si="0"/>
        <v>POINT 123.737373737374,68.4825631970356</v>
      </c>
    </row>
    <row r="50" spans="1:2" x14ac:dyDescent="0.6">
      <c r="A50" s="1" t="str">
        <f>_xlfn.CONCAT(ElipseTabla!C62,",",ElipseTabla!D62)</f>
        <v>124.242424242424,68.3665614232059</v>
      </c>
      <c r="B50" s="1" t="str">
        <f t="shared" si="0"/>
        <v>POINT 124.242424242424,68.3665614232059</v>
      </c>
    </row>
    <row r="51" spans="1:2" x14ac:dyDescent="0.6">
      <c r="A51" s="1" t="str">
        <f>_xlfn.CONCAT(ElipseTabla!C63,",",ElipseTabla!D63)</f>
        <v>124.747474747475,68.2473566270601</v>
      </c>
      <c r="B51" s="1" t="str">
        <f t="shared" si="0"/>
        <v>POINT 124.747474747475,68.2473566270601</v>
      </c>
    </row>
    <row r="52" spans="1:2" x14ac:dyDescent="0.6">
      <c r="A52" s="1" t="str">
        <f>_xlfn.CONCAT(ElipseTabla!C64,",",ElipseTabla!D64)</f>
        <v>125.252525252525,68.124885611241</v>
      </c>
      <c r="B52" s="1" t="str">
        <f t="shared" si="0"/>
        <v>POINT 125.252525252525,68.124885611241</v>
      </c>
    </row>
    <row r="53" spans="1:2" x14ac:dyDescent="0.6">
      <c r="A53" s="1" t="str">
        <f>_xlfn.CONCAT(ElipseTabla!C65,",",ElipseTabla!D65)</f>
        <v>125.757575757576,67.9990817029303</v>
      </c>
      <c r="B53" s="1" t="str">
        <f t="shared" si="0"/>
        <v>POINT 125.757575757576,67.9990817029303</v>
      </c>
    </row>
    <row r="54" spans="1:2" x14ac:dyDescent="0.6">
      <c r="A54" s="1" t="str">
        <f>_xlfn.CONCAT(ElipseTabla!C66,",",ElipseTabla!D66)</f>
        <v>126.262626262626,67.869874511582</v>
      </c>
      <c r="B54" s="1" t="str">
        <f t="shared" si="0"/>
        <v>POINT 126.262626262626,67.869874511582</v>
      </c>
    </row>
    <row r="55" spans="1:2" x14ac:dyDescent="0.6">
      <c r="A55" s="1" t="str">
        <f>_xlfn.CONCAT(ElipseTabla!C67,",",ElipseTabla!D67)</f>
        <v>126.767676767677,67.7371896633416</v>
      </c>
      <c r="B55" s="1" t="str">
        <f t="shared" si="0"/>
        <v>POINT 126.767676767677,67.7371896633416</v>
      </c>
    </row>
    <row r="56" spans="1:2" x14ac:dyDescent="0.6">
      <c r="A56" s="1" t="str">
        <f>_xlfn.CONCAT(ElipseTabla!C68,",",ElipseTabla!D68)</f>
        <v>127.272727272727,67.6009485093773</v>
      </c>
      <c r="B56" s="1" t="str">
        <f t="shared" si="0"/>
        <v>POINT 127.272727272727,67.6009485093773</v>
      </c>
    </row>
    <row r="57" spans="1:2" x14ac:dyDescent="0.6">
      <c r="A57" s="1" t="str">
        <f>_xlfn.CONCAT(ElipseTabla!C69,",",ElipseTabla!D69)</f>
        <v>127.777777777778,67.4610678049451</v>
      </c>
      <c r="B57" s="1" t="str">
        <f t="shared" si="0"/>
        <v>POINT 127.777777777778,67.4610678049451</v>
      </c>
    </row>
    <row r="58" spans="1:2" x14ac:dyDescent="0.6">
      <c r="A58" s="1" t="str">
        <f>_xlfn.CONCAT(ElipseTabla!C70,",",ElipseTabla!D70)</f>
        <v>128.282828282828,67.3174593555395</v>
      </c>
      <c r="B58" s="1" t="str">
        <f t="shared" si="0"/>
        <v>POINT 128.282828282828,67.3174593555395</v>
      </c>
    </row>
    <row r="59" spans="1:2" x14ac:dyDescent="0.6">
      <c r="A59" s="1" t="str">
        <f>_xlfn.CONCAT(ElipseTabla!C71,",",ElipseTabla!D71)</f>
        <v>128.787878787879,67.1700296259317</v>
      </c>
      <c r="B59" s="1" t="str">
        <f t="shared" si="0"/>
        <v>POINT 128.787878787879,67.1700296259317</v>
      </c>
    </row>
    <row r="60" spans="1:2" x14ac:dyDescent="0.6">
      <c r="A60" s="1" t="str">
        <f>_xlfn.CONCAT(ElipseTabla!C72,",",ElipseTabla!D72)</f>
        <v>129.292929292929,67.0186793072412</v>
      </c>
      <c r="B60" s="1" t="str">
        <f t="shared" si="0"/>
        <v>POINT 129.292929292929,67.0186793072412</v>
      </c>
    </row>
    <row r="61" spans="1:2" x14ac:dyDescent="0.6">
      <c r="A61" s="1" t="str">
        <f>_xlfn.CONCAT(ElipseTabla!C73,",",ElipseTabla!D73)</f>
        <v>129.79797979798,66.8633028364197</v>
      </c>
      <c r="B61" s="1" t="str">
        <f t="shared" si="0"/>
        <v>POINT 129.79797979798,66.8633028364197</v>
      </c>
    </row>
    <row r="62" spans="1:2" x14ac:dyDescent="0.6">
      <c r="A62" s="1" t="str">
        <f>_xlfn.CONCAT(ElipseTabla!C74,",",ElipseTabla!D74)</f>
        <v>130.30303030303,66.7037878616085</v>
      </c>
      <c r="B62" s="1" t="str">
        <f t="shared" si="0"/>
        <v>POINT 130.30303030303,66.7037878616085</v>
      </c>
    </row>
    <row r="63" spans="1:2" x14ac:dyDescent="0.6">
      <c r="A63" s="1" t="str">
        <f>_xlfn.CONCAT(ElipseTabla!C75,",",ElipseTabla!D75)</f>
        <v>130.808080808081,66.5400146457364</v>
      </c>
      <c r="B63" s="1" t="str">
        <f t="shared" si="0"/>
        <v>POINT 130.808080808081,66.5400146457364</v>
      </c>
    </row>
    <row r="64" spans="1:2" x14ac:dyDescent="0.6">
      <c r="A64" s="1" t="str">
        <f>_xlfn.CONCAT(ElipseTabla!C76,",",ElipseTabla!D76)</f>
        <v>131.313131313131,66.3718553994185</v>
      </c>
      <c r="B64" s="1" t="str">
        <f t="shared" si="0"/>
        <v>POINT 131.313131313131,66.3718553994185</v>
      </c>
    </row>
    <row r="65" spans="1:2" x14ac:dyDescent="0.6">
      <c r="A65" s="1" t="str">
        <f>_xlfn.CONCAT(ElipseTabla!C77,",",ElipseTabla!D77)</f>
        <v>131.818181818182,66.1991735326373</v>
      </c>
      <c r="B65" s="1" t="str">
        <f t="shared" si="0"/>
        <v>POINT 131.818181818182,66.1991735326373</v>
      </c>
    </row>
    <row r="66" spans="1:2" x14ac:dyDescent="0.6">
      <c r="A66" s="1" t="str">
        <f>_xlfn.CONCAT(ElipseTabla!C78,",",ElipseTabla!D78)</f>
        <v>132.323232323232,66.0218228127845</v>
      </c>
      <c r="B66" s="1" t="str">
        <f t="shared" si="0"/>
        <v>POINT 132.323232323232,66.0218228127845</v>
      </c>
    </row>
    <row r="67" spans="1:2" x14ac:dyDescent="0.6">
      <c r="A67" s="1" t="str">
        <f>_xlfn.CONCAT(ElipseTabla!C79,",",ElipseTabla!D79)</f>
        <v>132.828282828283,65.8396464143226</v>
      </c>
      <c r="B67" s="1" t="str">
        <f t="shared" ref="B67:B101" si="1">_xlfn.CONCAT("POINT ",A67)</f>
        <v>POINT 132.828282828283,65.8396464143226</v>
      </c>
    </row>
    <row r="68" spans="1:2" x14ac:dyDescent="0.6">
      <c r="A68" s="1" t="str">
        <f>_xlfn.CONCAT(ElipseTabla!C80,",",ElipseTabla!D80)</f>
        <v>133.333333333333,65.6524758424986</v>
      </c>
      <c r="B68" s="1" t="str">
        <f t="shared" si="1"/>
        <v>POINT 133.333333333333,65.6524758424986</v>
      </c>
    </row>
    <row r="69" spans="1:2" x14ac:dyDescent="0.6">
      <c r="A69" s="1" t="str">
        <f>_xlfn.CONCAT(ElipseTabla!C81,",",ElipseTabla!D81)</f>
        <v>133.838383838384,65.4601297100631</v>
      </c>
      <c r="B69" s="1" t="str">
        <f t="shared" si="1"/>
        <v>POINT 133.838383838384,65.4601297100631</v>
      </c>
    </row>
    <row r="70" spans="1:2" x14ac:dyDescent="0.6">
      <c r="A70" s="1" t="str">
        <f>_xlfn.CONCAT(ElipseTabla!C82,",",ElipseTabla!D82)</f>
        <v>134.343434343434,65.2624123416545</v>
      </c>
      <c r="B70" s="1" t="str">
        <f t="shared" si="1"/>
        <v>POINT 134.343434343434,65.2624123416545</v>
      </c>
    </row>
    <row r="71" spans="1:2" x14ac:dyDescent="0.6">
      <c r="A71" s="1" t="str">
        <f>_xlfn.CONCAT(ElipseTabla!C83,",",ElipseTabla!D83)</f>
        <v>134.848484848485,65.0591121751627</v>
      </c>
      <c r="B71" s="1" t="str">
        <f t="shared" si="1"/>
        <v>POINT 134.848484848485,65.0591121751627</v>
      </c>
    </row>
    <row r="72" spans="1:2" x14ac:dyDescent="0.6">
      <c r="A72" s="1" t="str">
        <f>_xlfn.CONCAT(ElipseTabla!C84,",",ElipseTabla!D84)</f>
        <v>135.353535353535,64.8499999227043</v>
      </c>
      <c r="B72" s="1" t="str">
        <f t="shared" si="1"/>
        <v>POINT 135.353535353535,64.8499999227043</v>
      </c>
    </row>
    <row r="73" spans="1:2" x14ac:dyDescent="0.6">
      <c r="A73" s="1" t="str">
        <f>_xlfn.CONCAT(ElipseTabla!C85,",",ElipseTabla!D85)</f>
        <v>135.858585858586,64.6348264454089</v>
      </c>
      <c r="B73" s="1" t="str">
        <f t="shared" si="1"/>
        <v>POINT 135.858585858586,64.6348264454089</v>
      </c>
    </row>
    <row r="74" spans="1:2" x14ac:dyDescent="0.6">
      <c r="A74" s="1" t="str">
        <f>_xlfn.CONCAT(ElipseTabla!C86,",",ElipseTabla!D86)</f>
        <v>136.363636363636,64.413320285517</v>
      </c>
      <c r="B74" s="1" t="str">
        <f t="shared" si="1"/>
        <v>POINT 136.363636363636,64.413320285517</v>
      </c>
    </row>
    <row r="75" spans="1:2" x14ac:dyDescent="0.6">
      <c r="A75" s="1" t="str">
        <f>_xlfn.CONCAT(ElipseTabla!C87,",",ElipseTabla!D87)</f>
        <v>136.868686868687,64.1851847855884</v>
      </c>
      <c r="B75" s="1" t="str">
        <f t="shared" si="1"/>
        <v>POINT 136.868686868687,64.1851847855884</v>
      </c>
    </row>
    <row r="76" spans="1:2" x14ac:dyDescent="0.6">
      <c r="A76" s="1" t="str">
        <f>_xlfn.CONCAT(ElipseTabla!C88,",",ElipseTabla!D88)</f>
        <v>137.373737373737,63.9500947069337</v>
      </c>
      <c r="B76" s="1" t="str">
        <f t="shared" si="1"/>
        <v>POINT 137.373737373737,63.9500947069337</v>
      </c>
    </row>
    <row r="77" spans="1:2" x14ac:dyDescent="0.6">
      <c r="A77" s="1" t="str">
        <f>_xlfn.CONCAT(ElipseTabla!C89,",",ElipseTabla!D89)</f>
        <v>137.878787878788,63.7076922363425</v>
      </c>
      <c r="B77" s="1" t="str">
        <f t="shared" si="1"/>
        <v>POINT 137.878787878788,63.7076922363425</v>
      </c>
    </row>
    <row r="78" spans="1:2" x14ac:dyDescent="0.6">
      <c r="A78" s="1" t="str">
        <f>_xlfn.CONCAT(ElipseTabla!C90,",",ElipseTabla!D90)</f>
        <v>138.383838383838,63.4575822398708</v>
      </c>
      <c r="B78" s="1" t="str">
        <f t="shared" si="1"/>
        <v>POINT 138.383838383838,63.4575822398708</v>
      </c>
    </row>
    <row r="79" spans="1:2" x14ac:dyDescent="0.6">
      <c r="A79" s="1" t="str">
        <f>_xlfn.CONCAT(ElipseTabla!C91,",",ElipseTabla!D91)</f>
        <v>138.888888888889,63.199326582149</v>
      </c>
      <c r="B79" s="1" t="str">
        <f t="shared" si="1"/>
        <v>POINT 138.888888888889,63.199326582149</v>
      </c>
    </row>
    <row r="80" spans="1:2" x14ac:dyDescent="0.6">
      <c r="A80" s="1" t="str">
        <f>_xlfn.CONCAT(ElipseTabla!C92,",",ElipseTabla!D92)</f>
        <v>139.393939393939,62.932437275483</v>
      </c>
      <c r="B80" s="1" t="str">
        <f t="shared" si="1"/>
        <v>POINT 139.393939393939,62.932437275483</v>
      </c>
    </row>
    <row r="81" spans="1:2" x14ac:dyDescent="0.6">
      <c r="A81" s="1" t="str">
        <f>_xlfn.CONCAT(ElipseTabla!C93,",",ElipseTabla!D93)</f>
        <v>139.89898989899,62.6563681492407</v>
      </c>
      <c r="B81" s="1" t="str">
        <f t="shared" si="1"/>
        <v>POINT 139.89898989899,62.6563681492407</v>
      </c>
    </row>
    <row r="82" spans="1:2" x14ac:dyDescent="0.6">
      <c r="A82" s="1" t="str">
        <f>_xlfn.CONCAT(ElipseTabla!C94,",",ElipseTabla!D94)</f>
        <v>140.40404040404,62.3705046282139</v>
      </c>
      <c r="B82" s="1" t="str">
        <f t="shared" si="1"/>
        <v>POINT 140.40404040404,62.3705046282139</v>
      </c>
    </row>
    <row r="83" spans="1:2" x14ac:dyDescent="0.6">
      <c r="A83" s="1" t="str">
        <f>_xlfn.CONCAT(ElipseTabla!C95,",",ElipseTabla!D95)</f>
        <v>140.909090909091,62.0741510660977</v>
      </c>
      <c r="B83" s="1" t="str">
        <f t="shared" si="1"/>
        <v>POINT 140.909090909091,62.0741510660977</v>
      </c>
    </row>
    <row r="84" spans="1:2" x14ac:dyDescent="0.6">
      <c r="A84" s="1" t="str">
        <f>_xlfn.CONCAT(ElipseTabla!C96,",",ElipseTabla!D96)</f>
        <v>141.414141414141,61.7665148773955</v>
      </c>
      <c r="B84" s="1" t="str">
        <f t="shared" si="1"/>
        <v>POINT 141.414141414141,61.7665148773955</v>
      </c>
    </row>
    <row r="85" spans="1:2" x14ac:dyDescent="0.6">
      <c r="A85" s="1" t="str">
        <f>_xlfn.CONCAT(ElipseTabla!C97,",",ElipseTabla!D97)</f>
        <v>141.919191919192,61.446686417288</v>
      </c>
      <c r="B85" s="1" t="str">
        <f t="shared" si="1"/>
        <v>POINT 141.919191919192,61.446686417288</v>
      </c>
    </row>
    <row r="86" spans="1:2" x14ac:dyDescent="0.6">
      <c r="A86" s="1" t="str">
        <f>_xlfn.CONCAT(ElipseTabla!C98,",",ElipseTabla!D98)</f>
        <v>142.424242424242,61.1136131250922</v>
      </c>
      <c r="B86" s="1" t="str">
        <f t="shared" si="1"/>
        <v>POINT 142.424242424242,61.1136131250922</v>
      </c>
    </row>
    <row r="87" spans="1:2" x14ac:dyDescent="0.6">
      <c r="A87" s="1" t="str">
        <f>_xlfn.CONCAT(ElipseTabla!C99,",",ElipseTabla!D99)</f>
        <v>142.929292929293,60.7660657918968</v>
      </c>
      <c r="B87" s="1" t="str">
        <f t="shared" si="1"/>
        <v>POINT 142.929292929293,60.7660657918968</v>
      </c>
    </row>
    <row r="88" spans="1:2" x14ac:dyDescent="0.6">
      <c r="A88" s="1" t="str">
        <f>_xlfn.CONCAT(ElipseTabla!C100,",",ElipseTabla!D100)</f>
        <v>143.434343434343,60.4025937995972</v>
      </c>
      <c r="B88" s="1" t="str">
        <f t="shared" si="1"/>
        <v>POINT 143.434343434343,60.4025937995972</v>
      </c>
    </row>
    <row r="89" spans="1:2" x14ac:dyDescent="0.6">
      <c r="A89" s="1" t="str">
        <f>_xlfn.CONCAT(ElipseTabla!C101,",",ElipseTabla!D101)</f>
        <v>143.939393939394,60.0214645669245</v>
      </c>
      <c r="B89" s="1" t="str">
        <f t="shared" si="1"/>
        <v>POINT 143.939393939394,60.0214645669245</v>
      </c>
    </row>
    <row r="90" spans="1:2" x14ac:dyDescent="0.6">
      <c r="A90" s="1" t="str">
        <f>_xlfn.CONCAT(ElipseTabla!C102,",",ElipseTabla!D102)</f>
        <v>144.444444444444,59.6205797931082</v>
      </c>
      <c r="B90" s="1" t="str">
        <f t="shared" si="1"/>
        <v>POINT 144.444444444444,59.6205797931082</v>
      </c>
    </row>
    <row r="91" spans="1:2" x14ac:dyDescent="0.6">
      <c r="A91" s="1" t="str">
        <f>_xlfn.CONCAT(ElipseTabla!C103,",",ElipseTabla!D103)</f>
        <v>144.949494949494,59.1973565891369</v>
      </c>
      <c r="B91" s="1" t="str">
        <f t="shared" si="1"/>
        <v>POINT 144.949494949494,59.1973565891369</v>
      </c>
    </row>
    <row r="92" spans="1:2" x14ac:dyDescent="0.6">
      <c r="A92" s="1" t="str">
        <f>_xlfn.CONCAT(ElipseTabla!C104,",",ElipseTabla!D104)</f>
        <v>145.454545454545,58.7485535994616</v>
      </c>
      <c r="B92" s="1" t="str">
        <f t="shared" si="1"/>
        <v>POINT 145.454545454545,58.7485535994616</v>
      </c>
    </row>
    <row r="93" spans="1:2" x14ac:dyDescent="0.6">
      <c r="A93" s="1" t="str">
        <f>_xlfn.CONCAT(ElipseTabla!C105,",",ElipseTabla!D105)</f>
        <v>145.959595959595,58.2700073228687</v>
      </c>
      <c r="B93" s="1" t="str">
        <f t="shared" si="1"/>
        <v>POINT 145.959595959595,58.2700073228687</v>
      </c>
    </row>
    <row r="94" spans="1:2" x14ac:dyDescent="0.6">
      <c r="A94" s="1" t="str">
        <f>_xlfn.CONCAT(ElipseTabla!C106,",",ElipseTabla!D106)</f>
        <v>146.464646464646,57.7562143691809</v>
      </c>
      <c r="B94" s="1" t="str">
        <f t="shared" si="1"/>
        <v>POINT 146.464646464646,57.7562143691809</v>
      </c>
    </row>
    <row r="95" spans="1:2" x14ac:dyDescent="0.6">
      <c r="A95" s="1" t="str">
        <f>_xlfn.CONCAT(ElipseTabla!C107,",",ElipseTabla!D107)</f>
        <v>146.969696969696,57.1996326811727</v>
      </c>
      <c r="B95" s="1" t="str">
        <f t="shared" si="1"/>
        <v>POINT 146.969696969696,57.1996326811727</v>
      </c>
    </row>
    <row r="96" spans="1:2" x14ac:dyDescent="0.6">
      <c r="A96" s="1" t="str">
        <f>_xlfn.CONCAT(ElipseTabla!C108,",",ElipseTabla!D108)</f>
        <v>147.474747474747,56.5894286041863</v>
      </c>
      <c r="B96" s="1" t="str">
        <f t="shared" si="1"/>
        <v>POINT 147.474747474747,56.5894286041863</v>
      </c>
    </row>
    <row r="97" spans="1:2" x14ac:dyDescent="0.6">
      <c r="A97" s="1" t="str">
        <f>_xlfn.CONCAT(ElipseTabla!C109,",",ElipseTabla!D109)</f>
        <v>147.979797979797,55.9090132085031</v>
      </c>
      <c r="B97" s="1" t="str">
        <f t="shared" si="1"/>
        <v>POINT 147.979797979797,55.9090132085031</v>
      </c>
    </row>
    <row r="98" spans="1:2" x14ac:dyDescent="0.6">
      <c r="A98" s="1" t="str">
        <f>_xlfn.CONCAT(ElipseTabla!C110,",",ElipseTabla!D110)</f>
        <v>148.484848484848,55.1305276580091</v>
      </c>
      <c r="B98" s="1" t="str">
        <f t="shared" si="1"/>
        <v>POINT 148.484848484848,55.1305276580091</v>
      </c>
    </row>
    <row r="99" spans="1:2" x14ac:dyDescent="0.6">
      <c r="A99" s="1" t="str">
        <f>_xlfn.CONCAT(ElipseTabla!C111,",",ElipseTabla!D111)</f>
        <v>148.989898989898,54.1997857306849</v>
      </c>
      <c r="B99" s="1" t="str">
        <f t="shared" si="1"/>
        <v>POINT 148.989898989898,54.1997857306849</v>
      </c>
    </row>
    <row r="100" spans="1:2" x14ac:dyDescent="0.6">
      <c r="A100" s="1" t="str">
        <f>_xlfn.CONCAT(ElipseTabla!C112,",",ElipseTabla!D112)</f>
        <v>149.494949494949,52.9772630888904</v>
      </c>
      <c r="B100" s="1" t="str">
        <f t="shared" si="1"/>
        <v>POINT 149.494949494949,52.9772630888904</v>
      </c>
    </row>
    <row r="101" spans="1:2" x14ac:dyDescent="0.6">
      <c r="A101" s="1" t="str">
        <f>_xlfn.CONCAT(ElipseTabla!C113,",",ElipseTabla!D113)</f>
        <v>149.999999999999,50.0000032444691</v>
      </c>
      <c r="B101" s="1" t="str">
        <f t="shared" si="1"/>
        <v>POINT 149.999999999999,50.0000032444691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100,29</v>
      </c>
      <c r="B104" s="1" t="str">
        <f t="shared" ref="B104:B167" si="2">_xlfn.CONCAT("POINT ",A104)</f>
        <v>POINT 100,29</v>
      </c>
    </row>
    <row r="105" spans="1:2" x14ac:dyDescent="0.6">
      <c r="A105" s="1" t="str">
        <f>_xlfn.CONCAT(ElipseTabla!$C15,",",ElipseTabla!E15)</f>
        <v>100.505050505051,29.0010713465813</v>
      </c>
      <c r="B105" s="1" t="str">
        <f t="shared" si="2"/>
        <v>POINT 100.505050505051,29.0010713465813</v>
      </c>
    </row>
    <row r="106" spans="1:2" x14ac:dyDescent="0.6">
      <c r="A106" s="1" t="str">
        <f>_xlfn.CONCAT(ElipseTabla!$C16,",",ElipseTabla!E16)</f>
        <v>101.010101010101,29.0042857143303</v>
      </c>
      <c r="B106" s="1" t="str">
        <f t="shared" si="2"/>
        <v>POINT 101.010101010101,29.0042857143303</v>
      </c>
    </row>
    <row r="107" spans="1:2" x14ac:dyDescent="0.6">
      <c r="A107" s="1" t="str">
        <f>_xlfn.CONCAT(ElipseTabla!$C17,",",ElipseTabla!E17)</f>
        <v>101.515151515152,29.0096440877646</v>
      </c>
      <c r="B107" s="1" t="str">
        <f t="shared" si="2"/>
        <v>POINT 101.515151515152,29.0096440877646</v>
      </c>
    </row>
    <row r="108" spans="1:2" x14ac:dyDescent="0.6">
      <c r="A108" s="1" t="str">
        <f>_xlfn.CONCAT(ElipseTabla!$C18,",",ElipseTabla!E18)</f>
        <v>102.020202020202,29.017148109423</v>
      </c>
      <c r="B108" s="1" t="str">
        <f t="shared" si="2"/>
        <v>POINT 102.020202020202,29.017148109423</v>
      </c>
    </row>
    <row r="109" spans="1:2" x14ac:dyDescent="0.6">
      <c r="A109" s="1" t="str">
        <f>_xlfn.CONCAT(ElipseTabla!$C19,",",ElipseTabla!E19)</f>
        <v>102.525252525253,29.026800082386</v>
      </c>
      <c r="B109" s="1" t="str">
        <f t="shared" si="2"/>
        <v>POINT 102.525252525253,29.026800082386</v>
      </c>
    </row>
    <row r="110" spans="1:2" x14ac:dyDescent="0.6">
      <c r="A110" s="1" t="str">
        <f>_xlfn.CONCAT(ElipseTabla!$C20,",",ElipseTabla!E20)</f>
        <v>103.030303030303,29.0386029738174</v>
      </c>
      <c r="B110" s="1" t="str">
        <f t="shared" si="2"/>
        <v>POINT 103.030303030303,29.0386029738174</v>
      </c>
    </row>
    <row r="111" spans="1:2" x14ac:dyDescent="0.6">
      <c r="A111" s="1" t="str">
        <f>_xlfn.CONCAT(ElipseTabla!$C21,",",ElipseTabla!E21)</f>
        <v>103.535353535354,29.0525604195395</v>
      </c>
      <c r="B111" s="1" t="str">
        <f t="shared" si="2"/>
        <v>POINT 103.535353535354,29.0525604195395</v>
      </c>
    </row>
    <row r="112" spans="1:2" x14ac:dyDescent="0.6">
      <c r="A112" s="1" t="str">
        <f>_xlfn.CONCAT(ElipseTabla!$C22,",",ElipseTabla!E22)</f>
        <v>104.040404040404,29.0686767296579</v>
      </c>
      <c r="B112" s="1" t="str">
        <f t="shared" si="2"/>
        <v>POINT 104.040404040404,29.0686767296579</v>
      </c>
    </row>
    <row r="113" spans="1:2" x14ac:dyDescent="0.6">
      <c r="A113" s="1" t="str">
        <f>_xlfn.CONCAT(ElipseTabla!$C23,",",ElipseTabla!E23)</f>
        <v>104.545454545455,29.0869568952573</v>
      </c>
      <c r="B113" s="1" t="str">
        <f t="shared" si="2"/>
        <v>POINT 104.545454545455,29.0869568952573</v>
      </c>
    </row>
    <row r="114" spans="1:2" x14ac:dyDescent="0.6">
      <c r="A114" s="1" t="str">
        <f>_xlfn.CONCAT(ElipseTabla!$C24,",",ElipseTabla!E24)</f>
        <v>105.050505050505,29.1074065961924</v>
      </c>
      <c r="B114" s="1" t="str">
        <f t="shared" si="2"/>
        <v>POINT 105.050505050505,29.1074065961924</v>
      </c>
    </row>
    <row r="115" spans="1:2" x14ac:dyDescent="0.6">
      <c r="A115" s="1" t="str">
        <f>_xlfn.CONCAT(ElipseTabla!$C25,",",ElipseTabla!E25)</f>
        <v>105.555555555556,29.130032210002</v>
      </c>
      <c r="B115" s="1" t="str">
        <f t="shared" si="2"/>
        <v>POINT 105.555555555556,29.130032210002</v>
      </c>
    </row>
    <row r="116" spans="1:2" x14ac:dyDescent="0.6">
      <c r="A116" s="1" t="str">
        <f>_xlfn.CONCAT(ElipseTabla!$C26,",",ElipseTabla!E26)</f>
        <v>106.060606060606,29.1548408219792</v>
      </c>
      <c r="B116" s="1" t="str">
        <f t="shared" si="2"/>
        <v>POINT 106.060606060606,29.1548408219792</v>
      </c>
    </row>
    <row r="117" spans="1:2" x14ac:dyDescent="0.6">
      <c r="A117" s="1" t="str">
        <f>_xlfn.CONCAT(ElipseTabla!$C27,",",ElipseTabla!E27)</f>
        <v>106.565656565657,29.1818402364371</v>
      </c>
      <c r="B117" s="1" t="str">
        <f t="shared" si="2"/>
        <v>POINT 106.565656565657,29.1818402364371</v>
      </c>
    </row>
    <row r="118" spans="1:2" x14ac:dyDescent="0.6">
      <c r="A118" s="1" t="str">
        <f>_xlfn.CONCAT(ElipseTabla!$C28,",",ElipseTabla!E28)</f>
        <v>107.070707070707,29.2110389892094</v>
      </c>
      <c r="B118" s="1" t="str">
        <f t="shared" si="2"/>
        <v>POINT 107.070707070707,29.2110389892094</v>
      </c>
    </row>
    <row r="119" spans="1:2" x14ac:dyDescent="0.6">
      <c r="A119" s="1" t="str">
        <f>_xlfn.CONCAT(ElipseTabla!$C29,",",ElipseTabla!E29)</f>
        <v>107.575757575758,29.2424463614363</v>
      </c>
      <c r="B119" s="1" t="str">
        <f t="shared" si="2"/>
        <v>POINT 107.575757575758,29.2424463614363</v>
      </c>
    </row>
    <row r="120" spans="1:2" x14ac:dyDescent="0.6">
      <c r="A120" s="1" t="str">
        <f>_xlfn.CONCAT(ElipseTabla!$C30,",",ElipseTabla!E30)</f>
        <v>108.080808080808,29.2760723946867</v>
      </c>
      <c r="B120" s="1" t="str">
        <f t="shared" si="2"/>
        <v>POINT 108.080808080808,29.2760723946867</v>
      </c>
    </row>
    <row r="121" spans="1:2" x14ac:dyDescent="0.6">
      <c r="A121" s="1" t="str">
        <f>_xlfn.CONCAT(ElipseTabla!$C31,",",ElipseTabla!E31)</f>
        <v>108.585858585859,29.3119279074773</v>
      </c>
      <c r="B121" s="1" t="str">
        <f t="shared" si="2"/>
        <v>POINT 108.585858585859,29.3119279074773</v>
      </c>
    </row>
    <row r="122" spans="1:2" x14ac:dyDescent="0.6">
      <c r="A122" s="1" t="str">
        <f>_xlfn.CONCAT(ElipseTabla!$C32,",",ElipseTabla!E32)</f>
        <v>109.090909090909,29.3500245132517</v>
      </c>
      <c r="B122" s="1" t="str">
        <f t="shared" si="2"/>
        <v>POINT 109.090909090909,29.3500245132517</v>
      </c>
    </row>
    <row r="123" spans="1:2" x14ac:dyDescent="0.6">
      <c r="A123" s="1" t="str">
        <f>_xlfn.CONCAT(ElipseTabla!$C33,",",ElipseTabla!E33)</f>
        <v>109.59595959596,29.3903746398938</v>
      </c>
      <c r="B123" s="1" t="str">
        <f t="shared" si="2"/>
        <v>POINT 109.59595959596,29.3903746398938</v>
      </c>
    </row>
    <row r="124" spans="1:2" x14ac:dyDescent="0.6">
      <c r="A124" s="1" t="str">
        <f>_xlfn.CONCAT(ElipseTabla!$C34,",",ElipseTabla!E34)</f>
        <v>110.10101010101,29.4329915508528</v>
      </c>
      <c r="B124" s="1" t="str">
        <f t="shared" si="2"/>
        <v>POINT 110.10101010101,29.4329915508528</v>
      </c>
    </row>
    <row r="125" spans="1:2" x14ac:dyDescent="0.6">
      <c r="A125" s="1" t="str">
        <f>_xlfn.CONCAT(ElipseTabla!$C35,",",ElipseTabla!E35)</f>
        <v>110.606060606061,29.4778893679673</v>
      </c>
      <c r="B125" s="1" t="str">
        <f t="shared" si="2"/>
        <v>POINT 110.606060606061,29.4778893679673</v>
      </c>
    </row>
    <row r="126" spans="1:2" x14ac:dyDescent="0.6">
      <c r="A126" s="1" t="str">
        <f>_xlfn.CONCAT(ElipseTabla!$C36,",",ElipseTabla!E36)</f>
        <v>111.111111111111,29.525083096085</v>
      </c>
      <c r="B126" s="1" t="str">
        <f t="shared" si="2"/>
        <v>POINT 111.111111111111,29.525083096085</v>
      </c>
    </row>
    <row r="127" spans="1:2" x14ac:dyDescent="0.6">
      <c r="A127" s="1" t="str">
        <f>_xlfn.CONCAT(ElipseTabla!$C37,",",ElipseTabla!E37)</f>
        <v>111.616161616162,29.5745886495818</v>
      </c>
      <c r="B127" s="1" t="str">
        <f t="shared" si="2"/>
        <v>POINT 111.616161616162,29.5745886495818</v>
      </c>
    </row>
    <row r="128" spans="1:2" x14ac:dyDescent="0.6">
      <c r="A128" s="1" t="str">
        <f>_xlfn.CONCAT(ElipseTabla!$C38,",",ElipseTabla!E38)</f>
        <v>112.121212121212,29.6264228808955</v>
      </c>
      <c r="B128" s="1" t="str">
        <f t="shared" si="2"/>
        <v>POINT 112.121212121212,29.6264228808955</v>
      </c>
    </row>
    <row r="129" spans="1:2" x14ac:dyDescent="0.6">
      <c r="A129" s="1" t="str">
        <f>_xlfn.CONCAT(ElipseTabla!$C39,",",ElipseTabla!E39)</f>
        <v>112.626262626263,29.6806036112009</v>
      </c>
      <c r="B129" s="1" t="str">
        <f t="shared" si="2"/>
        <v>POINT 112.626262626263,29.6806036112009</v>
      </c>
    </row>
    <row r="130" spans="1:2" x14ac:dyDescent="0.6">
      <c r="A130" s="1" t="str">
        <f>_xlfn.CONCAT(ElipseTabla!$C40,",",ElipseTabla!E40)</f>
        <v>113.131313131313,29.7371496633637</v>
      </c>
      <c r="B130" s="1" t="str">
        <f t="shared" si="2"/>
        <v>POINT 113.131313131313,29.7371496633637</v>
      </c>
    </row>
    <row r="131" spans="1:2" x14ac:dyDescent="0.6">
      <c r="A131" s="1" t="str">
        <f>_xlfn.CONCAT(ElipseTabla!$C41,",",ElipseTabla!E41)</f>
        <v>113.636363636364,29.7960808973249</v>
      </c>
      <c r="B131" s="1" t="str">
        <f t="shared" si="2"/>
        <v>POINT 113.636363636364,29.7960808973249</v>
      </c>
    </row>
    <row r="132" spans="1:2" x14ac:dyDescent="0.6">
      <c r="A132" s="1" t="str">
        <f>_xlfn.CONCAT(ElipseTabla!$C42,",",ElipseTabla!E42)</f>
        <v>114.141414141414,29.8574182480822</v>
      </c>
      <c r="B132" s="1" t="str">
        <f t="shared" si="2"/>
        <v>POINT 114.141414141414,29.8574182480822</v>
      </c>
    </row>
    <row r="133" spans="1:2" x14ac:dyDescent="0.6">
      <c r="A133" s="1" t="str">
        <f>_xlfn.CONCAT(ElipseTabla!$C43,",",ElipseTabla!E43)</f>
        <v>114.646464646465,29.9211837664498</v>
      </c>
      <c r="B133" s="1" t="str">
        <f t="shared" si="2"/>
        <v>POINT 114.646464646465,29.9211837664498</v>
      </c>
    </row>
    <row r="134" spans="1:2" x14ac:dyDescent="0.6">
      <c r="A134" s="1" t="str">
        <f>_xlfn.CONCAT(ElipseTabla!$C44,",",ElipseTabla!E44)</f>
        <v>115.151515151515,29.9874006627973</v>
      </c>
      <c r="B134" s="1" t="str">
        <f t="shared" si="2"/>
        <v>POINT 115.151515151515,29.9874006627973</v>
      </c>
    </row>
    <row r="135" spans="1:2" x14ac:dyDescent="0.6">
      <c r="A135" s="1" t="str">
        <f>_xlfn.CONCAT(ElipseTabla!$C45,",",ElipseTabla!E45)</f>
        <v>115.656565656566,30.0560933539874</v>
      </c>
      <c r="B135" s="1" t="str">
        <f t="shared" si="2"/>
        <v>POINT 115.656565656566,30.0560933539874</v>
      </c>
    </row>
    <row r="136" spans="1:2" x14ac:dyDescent="0.6">
      <c r="A136" s="1" t="str">
        <f>_xlfn.CONCAT(ElipseTabla!$C46,",",ElipseTabla!E46)</f>
        <v>116.161616161616,30.1272875137523</v>
      </c>
      <c r="B136" s="1" t="str">
        <f t="shared" si="2"/>
        <v>POINT 116.161616161616,30.1272875137523</v>
      </c>
    </row>
    <row r="137" spans="1:2" x14ac:dyDescent="0.6">
      <c r="A137" s="1" t="str">
        <f>_xlfn.CONCAT(ElipseTabla!$C47,",",ElipseTabla!E47)</f>
        <v>116.666666666667,30.2010101267767</v>
      </c>
      <c r="B137" s="1" t="str">
        <f t="shared" si="2"/>
        <v>POINT 116.666666666667,30.2010101267767</v>
      </c>
    </row>
    <row r="138" spans="1:2" x14ac:dyDescent="0.6">
      <c r="A138" s="1" t="str">
        <f>_xlfn.CONCAT(ElipseTabla!$C48,",",ElipseTabla!E48)</f>
        <v>117.171717171717,30.277289546777</v>
      </c>
      <c r="B138" s="1" t="str">
        <f t="shared" si="2"/>
        <v>POINT 117.171717171717,30.277289546777</v>
      </c>
    </row>
    <row r="139" spans="1:2" x14ac:dyDescent="0.6">
      <c r="A139" s="1" t="str">
        <f>_xlfn.CONCAT(ElipseTabla!$C49,",",ElipseTabla!E49)</f>
        <v>117.676767676768,30.3561555589014</v>
      </c>
      <c r="B139" s="1" t="str">
        <f t="shared" si="2"/>
        <v>POINT 117.676767676768,30.3561555589014</v>
      </c>
    </row>
    <row r="140" spans="1:2" x14ac:dyDescent="0.6">
      <c r="A140" s="1" t="str">
        <f>_xlfn.CONCAT(ElipseTabla!$C50,",",ElipseTabla!E50)</f>
        <v>118.181818181818,30.4376394468044</v>
      </c>
      <c r="B140" s="1" t="str">
        <f t="shared" si="2"/>
        <v>POINT 118.181818181818,30.4376394468044</v>
      </c>
    </row>
    <row r="141" spans="1:2" x14ac:dyDescent="0.6">
      <c r="A141" s="1" t="str">
        <f>_xlfn.CONCAT(ElipseTabla!$C51,",",ElipseTabla!E51)</f>
        <v>118.686868686869,30.5217740647896</v>
      </c>
      <c r="B141" s="1" t="str">
        <f t="shared" si="2"/>
        <v>POINT 118.686868686869,30.5217740647896</v>
      </c>
    </row>
    <row r="142" spans="1:2" x14ac:dyDescent="0.6">
      <c r="A142" s="1" t="str">
        <f>_xlfn.CONCAT(ElipseTabla!$C52,",",ElipseTabla!E52)</f>
        <v>119.191919191919,30.6085939154552</v>
      </c>
      <c r="B142" s="1" t="str">
        <f t="shared" si="2"/>
        <v>POINT 119.191919191919,30.6085939154552</v>
      </c>
    </row>
    <row r="143" spans="1:2" x14ac:dyDescent="0.6">
      <c r="A143" s="1" t="str">
        <f>_xlfn.CONCAT(ElipseTabla!$C53,",",ElipseTabla!E53)</f>
        <v>119.69696969697,30.6981352333233</v>
      </c>
      <c r="B143" s="1" t="str">
        <f t="shared" si="2"/>
        <v>POINT 119.69696969697,30.6981352333233</v>
      </c>
    </row>
    <row r="144" spans="1:2" x14ac:dyDescent="0.6">
      <c r="A144" s="1" t="str">
        <f>_xlfn.CONCAT(ElipseTabla!$C54,",",ElipseTabla!E54)</f>
        <v>120.20202020202,30.7904360749869</v>
      </c>
      <c r="B144" s="1" t="str">
        <f t="shared" si="2"/>
        <v>POINT 120.20202020202,30.7904360749869</v>
      </c>
    </row>
    <row r="145" spans="1:2" x14ac:dyDescent="0.6">
      <c r="A145" s="1" t="str">
        <f>_xlfn.CONCAT(ElipseTabla!$C55,",",ElipseTabla!E55)</f>
        <v>120.707070707071,30.8855364163681</v>
      </c>
      <c r="B145" s="1" t="str">
        <f t="shared" si="2"/>
        <v>POINT 120.707070707071,30.8855364163681</v>
      </c>
    </row>
    <row r="146" spans="1:2" x14ac:dyDescent="0.6">
      <c r="A146" s="1" t="str">
        <f>_xlfn.CONCAT(ElipseTabla!$C56,",",ElipseTabla!E56)</f>
        <v>121.212121212121,30.9834782577477</v>
      </c>
      <c r="B146" s="1" t="str">
        <f t="shared" si="2"/>
        <v>POINT 121.212121212121,30.9834782577477</v>
      </c>
    </row>
    <row r="147" spans="1:2" x14ac:dyDescent="0.6">
      <c r="A147" s="1" t="str">
        <f>_xlfn.CONCAT(ElipseTabla!$C57,",",ElipseTabla!E57)</f>
        <v>121.717171717172,31.0843057373023</v>
      </c>
      <c r="B147" s="1" t="str">
        <f t="shared" si="2"/>
        <v>POINT 121.717171717172,31.0843057373023</v>
      </c>
    </row>
    <row r="148" spans="1:2" x14ac:dyDescent="0.6">
      <c r="A148" s="1" t="str">
        <f>_xlfn.CONCAT(ElipseTabla!$C58,",",ElipseTabla!E58)</f>
        <v>122.222222222222,31.1880652539701</v>
      </c>
      <c r="B148" s="1" t="str">
        <f t="shared" si="2"/>
        <v>POINT 122.222222222222,31.1880652539701</v>
      </c>
    </row>
    <row r="149" spans="1:2" x14ac:dyDescent="0.6">
      <c r="A149" s="1" t="str">
        <f>_xlfn.CONCAT(ElipseTabla!$C59,",",ElipseTabla!E59)</f>
        <v>122.727272727273,31.2948056005648</v>
      </c>
      <c r="B149" s="1" t="str">
        <f t="shared" si="2"/>
        <v>POINT 122.727272727273,31.2948056005648</v>
      </c>
    </row>
    <row r="150" spans="1:2" x14ac:dyDescent="0.6">
      <c r="A150" s="1" t="str">
        <f>_xlfn.CONCAT(ElipseTabla!$C60,",",ElipseTabla!E60)</f>
        <v>123.232323232323,31.4045781081695</v>
      </c>
      <c r="B150" s="1" t="str">
        <f t="shared" si="2"/>
        <v>POINT 123.232323232323,31.4045781081695</v>
      </c>
    </row>
    <row r="151" spans="1:2" x14ac:dyDescent="0.6">
      <c r="A151" s="1" t="str">
        <f>_xlfn.CONCAT(ElipseTabla!$C61,",",ElipseTabla!E61)</f>
        <v>123.737373737374,31.5174368029644</v>
      </c>
      <c r="B151" s="1" t="str">
        <f t="shared" si="2"/>
        <v>POINT 123.737373737374,31.5174368029644</v>
      </c>
    </row>
    <row r="152" spans="1:2" x14ac:dyDescent="0.6">
      <c r="A152" s="1" t="str">
        <f>_xlfn.CONCAT(ElipseTabla!$C62,",",ElipseTabla!E62)</f>
        <v>124.242424242424,31.6334385767941</v>
      </c>
      <c r="B152" s="1" t="str">
        <f t="shared" si="2"/>
        <v>POINT 124.242424242424,31.6334385767941</v>
      </c>
    </row>
    <row r="153" spans="1:2" x14ac:dyDescent="0.6">
      <c r="A153" s="1" t="str">
        <f>_xlfn.CONCAT(ElipseTabla!$C63,",",ElipseTabla!E63)</f>
        <v>124.747474747475,31.7526433729399</v>
      </c>
      <c r="B153" s="1" t="str">
        <f t="shared" si="2"/>
        <v>POINT 124.747474747475,31.7526433729399</v>
      </c>
    </row>
    <row r="154" spans="1:2" x14ac:dyDescent="0.6">
      <c r="A154" s="1" t="str">
        <f>_xlfn.CONCAT(ElipseTabla!$C64,",",ElipseTabla!E64)</f>
        <v>125.252525252525,31.875114388759</v>
      </c>
      <c r="B154" s="1" t="str">
        <f t="shared" si="2"/>
        <v>POINT 125.252525252525,31.875114388759</v>
      </c>
    </row>
    <row r="155" spans="1:2" x14ac:dyDescent="0.6">
      <c r="A155" s="1" t="str">
        <f>_xlfn.CONCAT(ElipseTabla!$C65,",",ElipseTabla!E65)</f>
        <v>125.757575757576,32.0009182970697</v>
      </c>
      <c r="B155" s="1" t="str">
        <f t="shared" si="2"/>
        <v>POINT 125.757575757576,32.0009182970697</v>
      </c>
    </row>
    <row r="156" spans="1:2" x14ac:dyDescent="0.6">
      <c r="A156" s="1" t="str">
        <f>_xlfn.CONCAT(ElipseTabla!$C66,",",ElipseTabla!E66)</f>
        <v>126.262626262626,32.130125488418</v>
      </c>
      <c r="B156" s="1" t="str">
        <f t="shared" si="2"/>
        <v>POINT 126.262626262626,32.130125488418</v>
      </c>
    </row>
    <row r="157" spans="1:2" x14ac:dyDescent="0.6">
      <c r="A157" s="1" t="str">
        <f>_xlfn.CONCAT(ElipseTabla!$C67,",",ElipseTabla!E67)</f>
        <v>126.767676767677,32.2628103366584</v>
      </c>
      <c r="B157" s="1" t="str">
        <f t="shared" si="2"/>
        <v>POINT 126.767676767677,32.2628103366584</v>
      </c>
    </row>
    <row r="158" spans="1:2" x14ac:dyDescent="0.6">
      <c r="A158" s="1" t="str">
        <f>_xlfn.CONCAT(ElipseTabla!$C68,",",ElipseTabla!E68)</f>
        <v>127.272727272727,32.3990514906227</v>
      </c>
      <c r="B158" s="1" t="str">
        <f t="shared" si="2"/>
        <v>POINT 127.272727272727,32.3990514906227</v>
      </c>
    </row>
    <row r="159" spans="1:2" x14ac:dyDescent="0.6">
      <c r="A159" s="1" t="str">
        <f>_xlfn.CONCAT(ElipseTabla!$C69,",",ElipseTabla!E69)</f>
        <v>127.777777777778,32.5389321950549</v>
      </c>
      <c r="B159" s="1" t="str">
        <f t="shared" si="2"/>
        <v>POINT 127.777777777778,32.5389321950549</v>
      </c>
    </row>
    <row r="160" spans="1:2" x14ac:dyDescent="0.6">
      <c r="A160" s="1" t="str">
        <f>_xlfn.CONCAT(ElipseTabla!$C70,",",ElipseTabla!E70)</f>
        <v>128.282828282828,32.6825406444605</v>
      </c>
      <c r="B160" s="1" t="str">
        <f t="shared" si="2"/>
        <v>POINT 128.282828282828,32.6825406444605</v>
      </c>
    </row>
    <row r="161" spans="1:2" x14ac:dyDescent="0.6">
      <c r="A161" s="1" t="str">
        <f>_xlfn.CONCAT(ElipseTabla!$C71,",",ElipseTabla!E71)</f>
        <v>128.787878787879,32.8299703740683</v>
      </c>
      <c r="B161" s="1" t="str">
        <f t="shared" si="2"/>
        <v>POINT 128.787878787879,32.8299703740683</v>
      </c>
    </row>
    <row r="162" spans="1:2" x14ac:dyDescent="0.6">
      <c r="A162" s="1" t="str">
        <f>_xlfn.CONCAT(ElipseTabla!$C72,",",ElipseTabla!E72)</f>
        <v>129.292929292929,32.9813206927588</v>
      </c>
      <c r="B162" s="1" t="str">
        <f t="shared" si="2"/>
        <v>POINT 129.292929292929,32.9813206927588</v>
      </c>
    </row>
    <row r="163" spans="1:2" x14ac:dyDescent="0.6">
      <c r="A163" s="1" t="str">
        <f>_xlfn.CONCAT(ElipseTabla!$C73,",",ElipseTabla!E73)</f>
        <v>129.79797979798,33.1366971635803</v>
      </c>
      <c r="B163" s="1" t="str">
        <f t="shared" si="2"/>
        <v>POINT 129.79797979798,33.1366971635803</v>
      </c>
    </row>
    <row r="164" spans="1:2" x14ac:dyDescent="0.6">
      <c r="A164" s="1" t="str">
        <f>_xlfn.CONCAT(ElipseTabla!$C74,",",ElipseTabla!E74)</f>
        <v>130.30303030303,33.2962121383915</v>
      </c>
      <c r="B164" s="1" t="str">
        <f t="shared" si="2"/>
        <v>POINT 130.30303030303,33.2962121383915</v>
      </c>
    </row>
    <row r="165" spans="1:2" x14ac:dyDescent="0.6">
      <c r="A165" s="1" t="str">
        <f>_xlfn.CONCAT(ElipseTabla!$C75,",",ElipseTabla!E75)</f>
        <v>130.808080808081,33.4599853542636</v>
      </c>
      <c r="B165" s="1" t="str">
        <f t="shared" si="2"/>
        <v>POINT 130.808080808081,33.4599853542636</v>
      </c>
    </row>
    <row r="166" spans="1:2" x14ac:dyDescent="0.6">
      <c r="A166" s="1" t="str">
        <f>_xlfn.CONCAT(ElipseTabla!$C76,",",ElipseTabla!E76)</f>
        <v>131.313131313131,33.6281446005815</v>
      </c>
      <c r="B166" s="1" t="str">
        <f t="shared" si="2"/>
        <v>POINT 131.313131313131,33.6281446005815</v>
      </c>
    </row>
    <row r="167" spans="1:2" x14ac:dyDescent="0.6">
      <c r="A167" s="1" t="str">
        <f>_xlfn.CONCAT(ElipseTabla!$C77,",",ElipseTabla!E77)</f>
        <v>131.818181818182,33.8008264673627</v>
      </c>
      <c r="B167" s="1" t="str">
        <f t="shared" si="2"/>
        <v>POINT 131.818181818182,33.8008264673627</v>
      </c>
    </row>
    <row r="168" spans="1:2" x14ac:dyDescent="0.6">
      <c r="A168" s="1" t="str">
        <f>_xlfn.CONCAT(ElipseTabla!$C78,",",ElipseTabla!E78)</f>
        <v>132.323232323232,33.9781771872155</v>
      </c>
      <c r="B168" s="1" t="str">
        <f t="shared" ref="B168:B203" si="3">_xlfn.CONCAT("POINT ",A168)</f>
        <v>POINT 132.323232323232,33.9781771872155</v>
      </c>
    </row>
    <row r="169" spans="1:2" x14ac:dyDescent="0.6">
      <c r="A169" s="1" t="str">
        <f>_xlfn.CONCAT(ElipseTabla!$C79,",",ElipseTabla!E79)</f>
        <v>132.828282828283,34.1603535856774</v>
      </c>
      <c r="B169" s="1" t="str">
        <f t="shared" si="3"/>
        <v>POINT 132.828282828283,34.1603535856774</v>
      </c>
    </row>
    <row r="170" spans="1:2" x14ac:dyDescent="0.6">
      <c r="A170" s="1" t="str">
        <f>_xlfn.CONCAT(ElipseTabla!$C80,",",ElipseTabla!E80)</f>
        <v>133.333333333333,34.3475241575014</v>
      </c>
      <c r="B170" s="1" t="str">
        <f t="shared" si="3"/>
        <v>POINT 133.333333333333,34.3475241575014</v>
      </c>
    </row>
    <row r="171" spans="1:2" x14ac:dyDescent="0.6">
      <c r="A171" s="1" t="str">
        <f>_xlfn.CONCAT(ElipseTabla!$C81,",",ElipseTabla!E81)</f>
        <v>133.838383838384,34.5398702899369</v>
      </c>
      <c r="B171" s="1" t="str">
        <f t="shared" si="3"/>
        <v>POINT 133.838383838384,34.5398702899369</v>
      </c>
    </row>
    <row r="172" spans="1:2" x14ac:dyDescent="0.6">
      <c r="A172" s="1" t="str">
        <f>_xlfn.CONCAT(ElipseTabla!$C82,",",ElipseTabla!E82)</f>
        <v>134.343434343434,34.7375876583455</v>
      </c>
      <c r="B172" s="1" t="str">
        <f t="shared" si="3"/>
        <v>POINT 134.343434343434,34.7375876583455</v>
      </c>
    </row>
    <row r="173" spans="1:2" x14ac:dyDescent="0.6">
      <c r="A173" s="1" t="str">
        <f>_xlfn.CONCAT(ElipseTabla!$C83,",",ElipseTabla!E83)</f>
        <v>134.848484848485,34.9408878248373</v>
      </c>
      <c r="B173" s="1" t="str">
        <f t="shared" si="3"/>
        <v>POINT 134.848484848485,34.9408878248373</v>
      </c>
    </row>
    <row r="174" spans="1:2" x14ac:dyDescent="0.6">
      <c r="A174" s="1" t="str">
        <f>_xlfn.CONCAT(ElipseTabla!$C84,",",ElipseTabla!E84)</f>
        <v>135.353535353535,35.1500000772957</v>
      </c>
      <c r="B174" s="1" t="str">
        <f t="shared" si="3"/>
        <v>POINT 135.353535353535,35.1500000772957</v>
      </c>
    </row>
    <row r="175" spans="1:2" x14ac:dyDescent="0.6">
      <c r="A175" s="1" t="str">
        <f>_xlfn.CONCAT(ElipseTabla!$C85,",",ElipseTabla!E85)</f>
        <v>135.858585858586,35.3651735545911</v>
      </c>
      <c r="B175" s="1" t="str">
        <f t="shared" si="3"/>
        <v>POINT 135.858585858586,35.3651735545911</v>
      </c>
    </row>
    <row r="176" spans="1:2" x14ac:dyDescent="0.6">
      <c r="A176" s="1" t="str">
        <f>_xlfn.CONCAT(ElipseTabla!$C86,",",ElipseTabla!E86)</f>
        <v>136.363636363636,35.586679714483</v>
      </c>
      <c r="B176" s="1" t="str">
        <f t="shared" si="3"/>
        <v>POINT 136.363636363636,35.586679714483</v>
      </c>
    </row>
    <row r="177" spans="1:2" x14ac:dyDescent="0.6">
      <c r="A177" s="1" t="str">
        <f>_xlfn.CONCAT(ElipseTabla!$C87,",",ElipseTabla!E87)</f>
        <v>136.868686868687,35.8148152144116</v>
      </c>
      <c r="B177" s="1" t="str">
        <f t="shared" si="3"/>
        <v>POINT 136.868686868687,35.8148152144116</v>
      </c>
    </row>
    <row r="178" spans="1:2" x14ac:dyDescent="0.6">
      <c r="A178" s="1" t="str">
        <f>_xlfn.CONCAT(ElipseTabla!$C88,",",ElipseTabla!E88)</f>
        <v>137.373737373737,36.0499052930663</v>
      </c>
      <c r="B178" s="1" t="str">
        <f t="shared" si="3"/>
        <v>POINT 137.373737373737,36.0499052930663</v>
      </c>
    </row>
    <row r="179" spans="1:2" x14ac:dyDescent="0.6">
      <c r="A179" s="1" t="str">
        <f>_xlfn.CONCAT(ElipseTabla!$C89,",",ElipseTabla!E89)</f>
        <v>137.878787878788,36.2923077636575</v>
      </c>
      <c r="B179" s="1" t="str">
        <f t="shared" si="3"/>
        <v>POINT 137.878787878788,36.2923077636575</v>
      </c>
    </row>
    <row r="180" spans="1:2" x14ac:dyDescent="0.6">
      <c r="A180" s="1" t="str">
        <f>_xlfn.CONCAT(ElipseTabla!$C90,",",ElipseTabla!E90)</f>
        <v>138.383838383838,36.5424177601292</v>
      </c>
      <c r="B180" s="1" t="str">
        <f t="shared" si="3"/>
        <v>POINT 138.383838383838,36.5424177601292</v>
      </c>
    </row>
    <row r="181" spans="1:2" x14ac:dyDescent="0.6">
      <c r="A181" s="1" t="str">
        <f>_xlfn.CONCAT(ElipseTabla!$C91,",",ElipseTabla!E91)</f>
        <v>138.888888888889,36.800673417851</v>
      </c>
      <c r="B181" s="1" t="str">
        <f t="shared" si="3"/>
        <v>POINT 138.888888888889,36.800673417851</v>
      </c>
    </row>
    <row r="182" spans="1:2" x14ac:dyDescent="0.6">
      <c r="A182" s="1" t="str">
        <f>_xlfn.CONCAT(ElipseTabla!$C92,",",ElipseTabla!E92)</f>
        <v>139.393939393939,37.067562724517</v>
      </c>
      <c r="B182" s="1" t="str">
        <f t="shared" si="3"/>
        <v>POINT 139.393939393939,37.067562724517</v>
      </c>
    </row>
    <row r="183" spans="1:2" x14ac:dyDescent="0.6">
      <c r="A183" s="1" t="str">
        <f>_xlfn.CONCAT(ElipseTabla!$C93,",",ElipseTabla!E93)</f>
        <v>139.89898989899,37.3436318507593</v>
      </c>
      <c r="B183" s="1" t="str">
        <f t="shared" si="3"/>
        <v>POINT 139.89898989899,37.3436318507593</v>
      </c>
    </row>
    <row r="184" spans="1:2" x14ac:dyDescent="0.6">
      <c r="A184" s="1" t="str">
        <f>_xlfn.CONCAT(ElipseTabla!$C94,",",ElipseTabla!E94)</f>
        <v>140.40404040404,37.6294953717861</v>
      </c>
      <c r="B184" s="1" t="str">
        <f t="shared" si="3"/>
        <v>POINT 140.40404040404,37.6294953717861</v>
      </c>
    </row>
    <row r="185" spans="1:2" x14ac:dyDescent="0.6">
      <c r="A185" s="1" t="str">
        <f>_xlfn.CONCAT(ElipseTabla!$C95,",",ElipseTabla!E95)</f>
        <v>140.909090909091,37.9258489339023</v>
      </c>
      <c r="B185" s="1" t="str">
        <f t="shared" si="3"/>
        <v>POINT 140.909090909091,37.9258489339023</v>
      </c>
    </row>
    <row r="186" spans="1:2" x14ac:dyDescent="0.6">
      <c r="A186" s="1" t="str">
        <f>_xlfn.CONCAT(ElipseTabla!$C96,",",ElipseTabla!E96)</f>
        <v>141.414141414141,38.2334851226045</v>
      </c>
      <c r="B186" s="1" t="str">
        <f t="shared" si="3"/>
        <v>POINT 141.414141414141,38.2334851226045</v>
      </c>
    </row>
    <row r="187" spans="1:2" x14ac:dyDescent="0.6">
      <c r="A187" s="1" t="str">
        <f>_xlfn.CONCAT(ElipseTabla!$C97,",",ElipseTabla!E97)</f>
        <v>141.919191919192,38.553313582712</v>
      </c>
      <c r="B187" s="1" t="str">
        <f t="shared" si="3"/>
        <v>POINT 141.919191919192,38.553313582712</v>
      </c>
    </row>
    <row r="188" spans="1:2" x14ac:dyDescent="0.6">
      <c r="A188" s="1" t="str">
        <f>_xlfn.CONCAT(ElipseTabla!$C98,",",ElipseTabla!E98)</f>
        <v>142.424242424242,38.8863868749078</v>
      </c>
      <c r="B188" s="1" t="str">
        <f t="shared" si="3"/>
        <v>POINT 142.424242424242,38.8863868749078</v>
      </c>
    </row>
    <row r="189" spans="1:2" x14ac:dyDescent="0.6">
      <c r="A189" s="1" t="str">
        <f>_xlfn.CONCAT(ElipseTabla!$C99,",",ElipseTabla!E99)</f>
        <v>142.929292929293,39.2339342081032</v>
      </c>
      <c r="B189" s="1" t="str">
        <f t="shared" si="3"/>
        <v>POINT 142.929292929293,39.2339342081032</v>
      </c>
    </row>
    <row r="190" spans="1:2" x14ac:dyDescent="0.6">
      <c r="A190" s="1" t="str">
        <f>_xlfn.CONCAT(ElipseTabla!$C100,",",ElipseTabla!E100)</f>
        <v>143.434343434343,39.5974062004028</v>
      </c>
      <c r="B190" s="1" t="str">
        <f t="shared" si="3"/>
        <v>POINT 143.434343434343,39.5974062004028</v>
      </c>
    </row>
    <row r="191" spans="1:2" x14ac:dyDescent="0.6">
      <c r="A191" s="1" t="str">
        <f>_xlfn.CONCAT(ElipseTabla!$C101,",",ElipseTabla!E101)</f>
        <v>143.939393939394,39.9785354330755</v>
      </c>
      <c r="B191" s="1" t="str">
        <f t="shared" si="3"/>
        <v>POINT 143.939393939394,39.9785354330755</v>
      </c>
    </row>
    <row r="192" spans="1:2" x14ac:dyDescent="0.6">
      <c r="A192" s="1" t="str">
        <f>_xlfn.CONCAT(ElipseTabla!$C102,",",ElipseTabla!E102)</f>
        <v>144.444444444444,40.3794202068918</v>
      </c>
      <c r="B192" s="1" t="str">
        <f t="shared" si="3"/>
        <v>POINT 144.444444444444,40.3794202068918</v>
      </c>
    </row>
    <row r="193" spans="1:2" x14ac:dyDescent="0.6">
      <c r="A193" s="1" t="str">
        <f>_xlfn.CONCAT(ElipseTabla!$C103,",",ElipseTabla!E103)</f>
        <v>144.949494949494,40.8026434108631</v>
      </c>
      <c r="B193" s="1" t="str">
        <f t="shared" si="3"/>
        <v>POINT 144.949494949494,40.8026434108631</v>
      </c>
    </row>
    <row r="194" spans="1:2" x14ac:dyDescent="0.6">
      <c r="A194" s="1" t="str">
        <f>_xlfn.CONCAT(ElipseTabla!$C104,",",ElipseTabla!E104)</f>
        <v>145.454545454545,41.2514464005384</v>
      </c>
      <c r="B194" s="1" t="str">
        <f t="shared" si="3"/>
        <v>POINT 145.454545454545,41.2514464005384</v>
      </c>
    </row>
    <row r="195" spans="1:2" x14ac:dyDescent="0.6">
      <c r="A195" s="1" t="str">
        <f>_xlfn.CONCAT(ElipseTabla!$C105,",",ElipseTabla!E105)</f>
        <v>145.959595959595,41.7299926771313</v>
      </c>
      <c r="B195" s="1" t="str">
        <f t="shared" si="3"/>
        <v>POINT 145.959595959595,41.7299926771313</v>
      </c>
    </row>
    <row r="196" spans="1:2" x14ac:dyDescent="0.6">
      <c r="A196" s="1" t="str">
        <f>_xlfn.CONCAT(ElipseTabla!$C106,",",ElipseTabla!E106)</f>
        <v>146.464646464646,42.2437856308191</v>
      </c>
      <c r="B196" s="1" t="str">
        <f t="shared" si="3"/>
        <v>POINT 146.464646464646,42.2437856308191</v>
      </c>
    </row>
    <row r="197" spans="1:2" x14ac:dyDescent="0.6">
      <c r="A197" s="1" t="str">
        <f>_xlfn.CONCAT(ElipseTabla!$C107,",",ElipseTabla!E107)</f>
        <v>146.969696969696,42.8003673188273</v>
      </c>
      <c r="B197" s="1" t="str">
        <f t="shared" si="3"/>
        <v>POINT 146.969696969696,42.8003673188273</v>
      </c>
    </row>
    <row r="198" spans="1:2" x14ac:dyDescent="0.6">
      <c r="A198" s="1" t="str">
        <f>_xlfn.CONCAT(ElipseTabla!$C108,",",ElipseTabla!E108)</f>
        <v>147.474747474747,43.4105713958137</v>
      </c>
      <c r="B198" s="1" t="str">
        <f t="shared" si="3"/>
        <v>POINT 147.474747474747,43.4105713958137</v>
      </c>
    </row>
    <row r="199" spans="1:2" x14ac:dyDescent="0.6">
      <c r="A199" s="1" t="str">
        <f>_xlfn.CONCAT(ElipseTabla!$C109,",",ElipseTabla!E109)</f>
        <v>147.979797979797,44.0909867914969</v>
      </c>
      <c r="B199" s="1" t="str">
        <f t="shared" si="3"/>
        <v>POINT 147.979797979797,44.0909867914969</v>
      </c>
    </row>
    <row r="200" spans="1:2" x14ac:dyDescent="0.6">
      <c r="A200" s="1" t="str">
        <f>_xlfn.CONCAT(ElipseTabla!$C110,",",ElipseTabla!E110)</f>
        <v>148.484848484848,44.8694723419909</v>
      </c>
      <c r="B200" s="1" t="str">
        <f t="shared" si="3"/>
        <v>POINT 148.484848484848,44.8694723419909</v>
      </c>
    </row>
    <row r="201" spans="1:2" x14ac:dyDescent="0.6">
      <c r="A201" s="1" t="str">
        <f>_xlfn.CONCAT(ElipseTabla!$C111,",",ElipseTabla!E111)</f>
        <v>148.989898989898,45.8002142693151</v>
      </c>
      <c r="B201" s="1" t="str">
        <f t="shared" si="3"/>
        <v>POINT 148.989898989898,45.8002142693151</v>
      </c>
    </row>
    <row r="202" spans="1:2" x14ac:dyDescent="0.6">
      <c r="A202" s="1" t="str">
        <f>_xlfn.CONCAT(ElipseTabla!$C112,",",ElipseTabla!E112)</f>
        <v>149.494949494949,47.0227369111096</v>
      </c>
      <c r="B202" s="1" t="str">
        <f t="shared" si="3"/>
        <v>POINT 149.494949494949,47.0227369111096</v>
      </c>
    </row>
    <row r="203" spans="1:2" x14ac:dyDescent="0.6">
      <c r="A203" s="1" t="str">
        <f>_xlfn.CONCAT(ElipseTabla!$C113,",",ElipseTabla!E113)</f>
        <v>149.999999999999,49.9999967555309</v>
      </c>
      <c r="B203" s="1" t="str">
        <f t="shared" si="3"/>
        <v>POINT 149.999999999999,49.9999967555309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100,71</v>
      </c>
      <c r="B206" s="1" t="str">
        <f t="shared" ref="B206:B269" si="4">_xlfn.CONCAT("POINT ",A206)</f>
        <v>POINT 100,71</v>
      </c>
    </row>
    <row r="207" spans="1:2" x14ac:dyDescent="0.6">
      <c r="A207" s="1" t="str">
        <f>_xlfn.CONCAT(ElipseTabla!$F15,",",ElipseTabla!G15)</f>
        <v>99.4949494949495,70.9989286534187</v>
      </c>
      <c r="B207" s="1" t="str">
        <f t="shared" si="4"/>
        <v>POINT 99.4949494949495,70.9989286534187</v>
      </c>
    </row>
    <row r="208" spans="1:2" x14ac:dyDescent="0.6">
      <c r="A208" s="1" t="str">
        <f>_xlfn.CONCAT(ElipseTabla!$F16,",",ElipseTabla!G16)</f>
        <v>98.989898989899,70.9957142856697</v>
      </c>
      <c r="B208" s="1" t="str">
        <f t="shared" si="4"/>
        <v>POINT 98.989898989899,70.9957142856697</v>
      </c>
    </row>
    <row r="209" spans="1:2" x14ac:dyDescent="0.6">
      <c r="A209" s="1" t="str">
        <f>_xlfn.CONCAT(ElipseTabla!$F17,",",ElipseTabla!G17)</f>
        <v>98.4848484848485,70.9903559122354</v>
      </c>
      <c r="B209" s="1" t="str">
        <f t="shared" si="4"/>
        <v>POINT 98.4848484848485,70.9903559122354</v>
      </c>
    </row>
    <row r="210" spans="1:2" x14ac:dyDescent="0.6">
      <c r="A210" s="1" t="str">
        <f>_xlfn.CONCAT(ElipseTabla!$F18,",",ElipseTabla!G18)</f>
        <v>97.979797979798,70.982851890577</v>
      </c>
      <c r="B210" s="1" t="str">
        <f t="shared" si="4"/>
        <v>POINT 97.979797979798,70.982851890577</v>
      </c>
    </row>
    <row r="211" spans="1:2" x14ac:dyDescent="0.6">
      <c r="A211" s="1" t="str">
        <f>_xlfn.CONCAT(ElipseTabla!$F19,",",ElipseTabla!G19)</f>
        <v>97.4747474747475,70.973199917614</v>
      </c>
      <c r="B211" s="1" t="str">
        <f t="shared" si="4"/>
        <v>POINT 97.4747474747475,70.973199917614</v>
      </c>
    </row>
    <row r="212" spans="1:2" x14ac:dyDescent="0.6">
      <c r="A212" s="1" t="str">
        <f>_xlfn.CONCAT(ElipseTabla!$F20,",",ElipseTabla!G20)</f>
        <v>96.969696969697,70.9613970261826</v>
      </c>
      <c r="B212" s="1" t="str">
        <f t="shared" si="4"/>
        <v>POINT 96.969696969697,70.9613970261826</v>
      </c>
    </row>
    <row r="213" spans="1:2" x14ac:dyDescent="0.6">
      <c r="A213" s="1" t="str">
        <f>_xlfn.CONCAT(ElipseTabla!$F21,",",ElipseTabla!G21)</f>
        <v>96.4646464646465,70.9474395804605</v>
      </c>
      <c r="B213" s="1" t="str">
        <f t="shared" si="4"/>
        <v>POINT 96.4646464646465,70.9474395804605</v>
      </c>
    </row>
    <row r="214" spans="1:2" x14ac:dyDescent="0.6">
      <c r="A214" s="1" t="str">
        <f>_xlfn.CONCAT(ElipseTabla!$F22,",",ElipseTabla!G22)</f>
        <v>95.959595959596,70.9313232703421</v>
      </c>
      <c r="B214" s="1" t="str">
        <f t="shared" si="4"/>
        <v>POINT 95.959595959596,70.9313232703421</v>
      </c>
    </row>
    <row r="215" spans="1:2" x14ac:dyDescent="0.6">
      <c r="A215" s="1" t="str">
        <f>_xlfn.CONCAT(ElipseTabla!$F23,",",ElipseTabla!G23)</f>
        <v>95.4545454545455,70.9130431047427</v>
      </c>
      <c r="B215" s="1" t="str">
        <f t="shared" si="4"/>
        <v>POINT 95.4545454545455,70.9130431047427</v>
      </c>
    </row>
    <row r="216" spans="1:2" x14ac:dyDescent="0.6">
      <c r="A216" s="1" t="str">
        <f>_xlfn.CONCAT(ElipseTabla!$F24,",",ElipseTabla!G24)</f>
        <v>94.9494949494949,70.8925934038076</v>
      </c>
      <c r="B216" s="1" t="str">
        <f t="shared" si="4"/>
        <v>POINT 94.9494949494949,70.8925934038076</v>
      </c>
    </row>
    <row r="217" spans="1:2" x14ac:dyDescent="0.6">
      <c r="A217" s="1" t="str">
        <f>_xlfn.CONCAT(ElipseTabla!$F25,",",ElipseTabla!G25)</f>
        <v>94.4444444444444,70.869967789998</v>
      </c>
      <c r="B217" s="1" t="str">
        <f t="shared" si="4"/>
        <v>POINT 94.4444444444444,70.869967789998</v>
      </c>
    </row>
    <row r="218" spans="1:2" x14ac:dyDescent="0.6">
      <c r="A218" s="1" t="str">
        <f>_xlfn.CONCAT(ElipseTabla!$F26,",",ElipseTabla!G26)</f>
        <v>93.9393939393939,70.8451591780208</v>
      </c>
      <c r="B218" s="1" t="str">
        <f t="shared" si="4"/>
        <v>POINT 93.9393939393939,70.8451591780208</v>
      </c>
    </row>
    <row r="219" spans="1:2" x14ac:dyDescent="0.6">
      <c r="A219" s="1" t="str">
        <f>_xlfn.CONCAT(ElipseTabla!$F27,",",ElipseTabla!G27)</f>
        <v>93.4343434343434,70.8181597635629</v>
      </c>
      <c r="B219" s="1" t="str">
        <f t="shared" si="4"/>
        <v>POINT 93.4343434343434,70.8181597635629</v>
      </c>
    </row>
    <row r="220" spans="1:2" x14ac:dyDescent="0.6">
      <c r="A220" s="1" t="str">
        <f>_xlfn.CONCAT(ElipseTabla!$F28,",",ElipseTabla!G28)</f>
        <v>92.9292929292929,70.7889610107906</v>
      </c>
      <c r="B220" s="1" t="str">
        <f t="shared" si="4"/>
        <v>POINT 92.9292929292929,70.7889610107906</v>
      </c>
    </row>
    <row r="221" spans="1:2" x14ac:dyDescent="0.6">
      <c r="A221" s="1" t="str">
        <f>_xlfn.CONCAT(ElipseTabla!$F29,",",ElipseTabla!G29)</f>
        <v>92.4242424242424,70.7575536385637</v>
      </c>
      <c r="B221" s="1" t="str">
        <f t="shared" si="4"/>
        <v>POINT 92.4242424242424,70.7575536385637</v>
      </c>
    </row>
    <row r="222" spans="1:2" x14ac:dyDescent="0.6">
      <c r="A222" s="1" t="str">
        <f>_xlfn.CONCAT(ElipseTabla!$F30,",",ElipseTabla!G30)</f>
        <v>91.9191919191919,70.7239276053133</v>
      </c>
      <c r="B222" s="1" t="str">
        <f t="shared" si="4"/>
        <v>POINT 91.9191919191919,70.7239276053133</v>
      </c>
    </row>
    <row r="223" spans="1:2" x14ac:dyDescent="0.6">
      <c r="A223" s="1" t="str">
        <f>_xlfn.CONCAT(ElipseTabla!$F31,",",ElipseTabla!G31)</f>
        <v>91.4141414141414,70.6880720925227</v>
      </c>
      <c r="B223" s="1" t="str">
        <f t="shared" si="4"/>
        <v>POINT 91.4141414141414,70.6880720925227</v>
      </c>
    </row>
    <row r="224" spans="1:2" x14ac:dyDescent="0.6">
      <c r="A224" s="1" t="str">
        <f>_xlfn.CONCAT(ElipseTabla!$F32,",",ElipseTabla!G32)</f>
        <v>90.9090909090909,70.6499754867483</v>
      </c>
      <c r="B224" s="1" t="str">
        <f t="shared" si="4"/>
        <v>POINT 90.9090909090909,70.6499754867483</v>
      </c>
    </row>
    <row r="225" spans="1:2" x14ac:dyDescent="0.6">
      <c r="A225" s="1" t="str">
        <f>_xlfn.CONCAT(ElipseTabla!$F33,",",ElipseTabla!G33)</f>
        <v>90.4040404040404,70.6096253601062</v>
      </c>
      <c r="B225" s="1" t="str">
        <f t="shared" si="4"/>
        <v>POINT 90.4040404040404,70.6096253601062</v>
      </c>
    </row>
    <row r="226" spans="1:2" x14ac:dyDescent="0.6">
      <c r="A226" s="1" t="str">
        <f>_xlfn.CONCAT(ElipseTabla!$F34,",",ElipseTabla!G34)</f>
        <v>89.8989898989899,70.5670084491472</v>
      </c>
      <c r="B226" s="1" t="str">
        <f t="shared" si="4"/>
        <v>POINT 89.8989898989899,70.5670084491472</v>
      </c>
    </row>
    <row r="227" spans="1:2" x14ac:dyDescent="0.6">
      <c r="A227" s="1" t="str">
        <f>_xlfn.CONCAT(ElipseTabla!$F35,",",ElipseTabla!G35)</f>
        <v>89.3939393939394,70.5221106320327</v>
      </c>
      <c r="B227" s="1" t="str">
        <f t="shared" si="4"/>
        <v>POINT 89.3939393939394,70.5221106320327</v>
      </c>
    </row>
    <row r="228" spans="1:2" x14ac:dyDescent="0.6">
      <c r="A228" s="1" t="str">
        <f>_xlfn.CONCAT(ElipseTabla!$F36,",",ElipseTabla!G36)</f>
        <v>88.8888888888889,70.474916903915</v>
      </c>
      <c r="B228" s="1" t="str">
        <f t="shared" si="4"/>
        <v>POINT 88.8888888888889,70.474916903915</v>
      </c>
    </row>
    <row r="229" spans="1:2" x14ac:dyDescent="0.6">
      <c r="A229" s="1" t="str">
        <f>_xlfn.CONCAT(ElipseTabla!$F37,",",ElipseTabla!G37)</f>
        <v>88.3838383838384,70.4254113504182</v>
      </c>
      <c r="B229" s="1" t="str">
        <f t="shared" si="4"/>
        <v>POINT 88.3838383838384,70.4254113504182</v>
      </c>
    </row>
    <row r="230" spans="1:2" x14ac:dyDescent="0.6">
      <c r="A230" s="1" t="str">
        <f>_xlfn.CONCAT(ElipseTabla!$F38,",",ElipseTabla!G38)</f>
        <v>87.8787878787879,70.3735771191045</v>
      </c>
      <c r="B230" s="1" t="str">
        <f t="shared" si="4"/>
        <v>POINT 87.8787878787879,70.3735771191045</v>
      </c>
    </row>
    <row r="231" spans="1:2" x14ac:dyDescent="0.6">
      <c r="A231" s="1" t="str">
        <f>_xlfn.CONCAT(ElipseTabla!$F39,",",ElipseTabla!G39)</f>
        <v>87.3737373737374,70.3193963887991</v>
      </c>
      <c r="B231" s="1" t="str">
        <f t="shared" si="4"/>
        <v>POINT 87.3737373737374,70.3193963887991</v>
      </c>
    </row>
    <row r="232" spans="1:2" x14ac:dyDescent="0.6">
      <c r="A232" s="1" t="str">
        <f>_xlfn.CONCAT(ElipseTabla!$F40,",",ElipseTabla!G40)</f>
        <v>86.8686868686869,70.2628503366363</v>
      </c>
      <c r="B232" s="1" t="str">
        <f t="shared" si="4"/>
        <v>POINT 86.8686868686869,70.2628503366363</v>
      </c>
    </row>
    <row r="233" spans="1:2" x14ac:dyDescent="0.6">
      <c r="A233" s="1" t="str">
        <f>_xlfn.CONCAT(ElipseTabla!$F41,",",ElipseTabla!G41)</f>
        <v>86.3636363636364,70.2039191026751</v>
      </c>
      <c r="B233" s="1" t="str">
        <f t="shared" si="4"/>
        <v>POINT 86.3636363636364,70.2039191026751</v>
      </c>
    </row>
    <row r="234" spans="1:2" x14ac:dyDescent="0.6">
      <c r="A234" s="1" t="str">
        <f>_xlfn.CONCAT(ElipseTabla!$F42,",",ElipseTabla!G42)</f>
        <v>85.8585858585859,70.1425817519178</v>
      </c>
      <c r="B234" s="1" t="str">
        <f t="shared" si="4"/>
        <v>POINT 85.8585858585859,70.1425817519178</v>
      </c>
    </row>
    <row r="235" spans="1:2" x14ac:dyDescent="0.6">
      <c r="A235" s="1" t="str">
        <f>_xlfn.CONCAT(ElipseTabla!$F43,",",ElipseTabla!G43)</f>
        <v>85.3535353535353,70.0788162335502</v>
      </c>
      <c r="B235" s="1" t="str">
        <f t="shared" si="4"/>
        <v>POINT 85.3535353535353,70.0788162335502</v>
      </c>
    </row>
    <row r="236" spans="1:2" x14ac:dyDescent="0.6">
      <c r="A236" s="1" t="str">
        <f>_xlfn.CONCAT(ElipseTabla!$F44,",",ElipseTabla!G44)</f>
        <v>84.8484848484848,70.0125993372027</v>
      </c>
      <c r="B236" s="1" t="str">
        <f t="shared" si="4"/>
        <v>POINT 84.8484848484848,70.0125993372027</v>
      </c>
    </row>
    <row r="237" spans="1:2" x14ac:dyDescent="0.6">
      <c r="A237" s="1" t="str">
        <f>_xlfn.CONCAT(ElipseTabla!$F45,",",ElipseTabla!G45)</f>
        <v>84.3434343434343,69.9439066460126</v>
      </c>
      <c r="B237" s="1" t="str">
        <f t="shared" si="4"/>
        <v>POINT 84.3434343434343,69.9439066460126</v>
      </c>
    </row>
    <row r="238" spans="1:2" x14ac:dyDescent="0.6">
      <c r="A238" s="1" t="str">
        <f>_xlfn.CONCAT(ElipseTabla!$F46,",",ElipseTabla!G46)</f>
        <v>83.8383838383838,69.8727124862477</v>
      </c>
      <c r="B238" s="1" t="str">
        <f t="shared" si="4"/>
        <v>POINT 83.8383838383838,69.8727124862477</v>
      </c>
    </row>
    <row r="239" spans="1:2" x14ac:dyDescent="0.6">
      <c r="A239" s="1" t="str">
        <f>_xlfn.CONCAT(ElipseTabla!$F47,",",ElipseTabla!G47)</f>
        <v>83.3333333333333,69.7989898732233</v>
      </c>
      <c r="B239" s="1" t="str">
        <f t="shared" si="4"/>
        <v>POINT 83.3333333333333,69.7989898732233</v>
      </c>
    </row>
    <row r="240" spans="1:2" x14ac:dyDescent="0.6">
      <c r="A240" s="1" t="str">
        <f>_xlfn.CONCAT(ElipseTabla!$F48,",",ElipseTabla!G48)</f>
        <v>82.8282828282828,69.722710453223</v>
      </c>
      <c r="B240" s="1" t="str">
        <f t="shared" si="4"/>
        <v>POINT 82.8282828282828,69.722710453223</v>
      </c>
    </row>
    <row r="241" spans="1:2" x14ac:dyDescent="0.6">
      <c r="A241" s="1" t="str">
        <f>_xlfn.CONCAT(ElipseTabla!$F49,",",ElipseTabla!G49)</f>
        <v>82.3232323232323,69.6438444410986</v>
      </c>
      <c r="B241" s="1" t="str">
        <f t="shared" si="4"/>
        <v>POINT 82.3232323232323,69.6438444410986</v>
      </c>
    </row>
    <row r="242" spans="1:2" x14ac:dyDescent="0.6">
      <c r="A242" s="1" t="str">
        <f>_xlfn.CONCAT(ElipseTabla!$F50,",",ElipseTabla!G50)</f>
        <v>81.8181818181818,69.5623605531956</v>
      </c>
      <c r="B242" s="1" t="str">
        <f t="shared" si="4"/>
        <v>POINT 81.8181818181818,69.5623605531956</v>
      </c>
    </row>
    <row r="243" spans="1:2" x14ac:dyDescent="0.6">
      <c r="A243" s="1" t="str">
        <f>_xlfn.CONCAT(ElipseTabla!$F51,",",ElipseTabla!G51)</f>
        <v>81.3131313131313,69.4782259352104</v>
      </c>
      <c r="B243" s="1" t="str">
        <f t="shared" si="4"/>
        <v>POINT 81.3131313131313,69.4782259352104</v>
      </c>
    </row>
    <row r="244" spans="1:2" x14ac:dyDescent="0.6">
      <c r="A244" s="1" t="str">
        <f>_xlfn.CONCAT(ElipseTabla!$F52,",",ElipseTabla!G52)</f>
        <v>80.8080808080808,69.3914060845448</v>
      </c>
      <c r="B244" s="1" t="str">
        <f t="shared" si="4"/>
        <v>POINT 80.8080808080808,69.3914060845448</v>
      </c>
    </row>
    <row r="245" spans="1:2" x14ac:dyDescent="0.6">
      <c r="A245" s="1" t="str">
        <f>_xlfn.CONCAT(ElipseTabla!$F53,",",ElipseTabla!G53)</f>
        <v>80.3030303030303,69.3018647666767</v>
      </c>
      <c r="B245" s="1" t="str">
        <f t="shared" si="4"/>
        <v>POINT 80.3030303030303,69.3018647666767</v>
      </c>
    </row>
    <row r="246" spans="1:2" x14ac:dyDescent="0.6">
      <c r="A246" s="1" t="str">
        <f>_xlfn.CONCAT(ElipseTabla!$F54,",",ElipseTabla!G54)</f>
        <v>79.7979797979798,69.2095639250131</v>
      </c>
      <c r="B246" s="1" t="str">
        <f t="shared" si="4"/>
        <v>POINT 79.7979797979798,69.2095639250131</v>
      </c>
    </row>
    <row r="247" spans="1:2" x14ac:dyDescent="0.6">
      <c r="A247" s="1" t="str">
        <f>_xlfn.CONCAT(ElipseTabla!$F55,",",ElipseTabla!G55)</f>
        <v>79.2929292929293,69.1144635836319</v>
      </c>
      <c r="B247" s="1" t="str">
        <f t="shared" si="4"/>
        <v>POINT 79.2929292929293,69.1144635836319</v>
      </c>
    </row>
    <row r="248" spans="1:2" x14ac:dyDescent="0.6">
      <c r="A248" s="1" t="str">
        <f>_xlfn.CONCAT(ElipseTabla!$F56,",",ElipseTabla!G56)</f>
        <v>78.7878787878788,69.0165217422523</v>
      </c>
      <c r="B248" s="1" t="str">
        <f t="shared" si="4"/>
        <v>POINT 78.7878787878788,69.0165217422523</v>
      </c>
    </row>
    <row r="249" spans="1:2" x14ac:dyDescent="0.6">
      <c r="A249" s="1" t="str">
        <f>_xlfn.CONCAT(ElipseTabla!$F57,",",ElipseTabla!G57)</f>
        <v>78.2828282828283,68.9156942626977</v>
      </c>
      <c r="B249" s="1" t="str">
        <f t="shared" si="4"/>
        <v>POINT 78.2828282828283,68.9156942626977</v>
      </c>
    </row>
    <row r="250" spans="1:2" x14ac:dyDescent="0.6">
      <c r="A250" s="1" t="str">
        <f>_xlfn.CONCAT(ElipseTabla!$F58,",",ElipseTabla!G58)</f>
        <v>77.7777777777778,68.8119347460299</v>
      </c>
      <c r="B250" s="1" t="str">
        <f t="shared" si="4"/>
        <v>POINT 77.7777777777778,68.8119347460299</v>
      </c>
    </row>
    <row r="251" spans="1:2" x14ac:dyDescent="0.6">
      <c r="A251" s="1" t="str">
        <f>_xlfn.CONCAT(ElipseTabla!$F59,",",ElipseTabla!G59)</f>
        <v>77.2727272727273,68.7051943994352</v>
      </c>
      <c r="B251" s="1" t="str">
        <f t="shared" si="4"/>
        <v>POINT 77.2727272727273,68.7051943994352</v>
      </c>
    </row>
    <row r="252" spans="1:2" x14ac:dyDescent="0.6">
      <c r="A252" s="1" t="str">
        <f>_xlfn.CONCAT(ElipseTabla!$F60,",",ElipseTabla!G60)</f>
        <v>76.7676767676768,68.5954218918305</v>
      </c>
      <c r="B252" s="1" t="str">
        <f t="shared" si="4"/>
        <v>POINT 76.7676767676768,68.5954218918305</v>
      </c>
    </row>
    <row r="253" spans="1:2" x14ac:dyDescent="0.6">
      <c r="A253" s="1" t="str">
        <f>_xlfn.CONCAT(ElipseTabla!$F61,",",ElipseTabla!G61)</f>
        <v>76.2626262626263,68.4825631970356</v>
      </c>
      <c r="B253" s="1" t="str">
        <f t="shared" si="4"/>
        <v>POINT 76.2626262626263,68.4825631970356</v>
      </c>
    </row>
    <row r="254" spans="1:2" x14ac:dyDescent="0.6">
      <c r="A254" s="1" t="str">
        <f>_xlfn.CONCAT(ElipseTabla!$F62,",",ElipseTabla!G62)</f>
        <v>75.7575757575758,68.3665614232059</v>
      </c>
      <c r="B254" s="1" t="str">
        <f t="shared" si="4"/>
        <v>POINT 75.7575757575758,68.3665614232059</v>
      </c>
    </row>
    <row r="255" spans="1:2" x14ac:dyDescent="0.6">
      <c r="A255" s="1" t="str">
        <f>_xlfn.CONCAT(ElipseTabla!$F63,",",ElipseTabla!G63)</f>
        <v>75.2525252525252,68.2473566270601</v>
      </c>
      <c r="B255" s="1" t="str">
        <f t="shared" si="4"/>
        <v>POINT 75.2525252525252,68.2473566270601</v>
      </c>
    </row>
    <row r="256" spans="1:2" x14ac:dyDescent="0.6">
      <c r="A256" s="1" t="str">
        <f>_xlfn.CONCAT(ElipseTabla!$F64,",",ElipseTabla!G64)</f>
        <v>74.7474747474747,68.124885611241</v>
      </c>
      <c r="B256" s="1" t="str">
        <f t="shared" si="4"/>
        <v>POINT 74.7474747474747,68.124885611241</v>
      </c>
    </row>
    <row r="257" spans="1:2" x14ac:dyDescent="0.6">
      <c r="A257" s="1" t="str">
        <f>_xlfn.CONCAT(ElipseTabla!$F65,",",ElipseTabla!G65)</f>
        <v>74.2424242424242,67.9990817029303</v>
      </c>
      <c r="B257" s="1" t="str">
        <f t="shared" si="4"/>
        <v>POINT 74.2424242424242,67.9990817029303</v>
      </c>
    </row>
    <row r="258" spans="1:2" x14ac:dyDescent="0.6">
      <c r="A258" s="1" t="str">
        <f>_xlfn.CONCAT(ElipseTabla!$F66,",",ElipseTabla!G66)</f>
        <v>73.7373737373737,67.869874511582</v>
      </c>
      <c r="B258" s="1" t="str">
        <f t="shared" si="4"/>
        <v>POINT 73.7373737373737,67.869874511582</v>
      </c>
    </row>
    <row r="259" spans="1:2" x14ac:dyDescent="0.6">
      <c r="A259" s="1" t="str">
        <f>_xlfn.CONCAT(ElipseTabla!$F67,",",ElipseTabla!G67)</f>
        <v>73.2323232323232,67.7371896633416</v>
      </c>
      <c r="B259" s="1" t="str">
        <f t="shared" si="4"/>
        <v>POINT 73.2323232323232,67.7371896633416</v>
      </c>
    </row>
    <row r="260" spans="1:2" x14ac:dyDescent="0.6">
      <c r="A260" s="1" t="str">
        <f>_xlfn.CONCAT(ElipseTabla!$F68,",",ElipseTabla!G68)</f>
        <v>72.7272727272727,67.6009485093773</v>
      </c>
      <c r="B260" s="1" t="str">
        <f t="shared" si="4"/>
        <v>POINT 72.7272727272727,67.6009485093773</v>
      </c>
    </row>
    <row r="261" spans="1:2" x14ac:dyDescent="0.6">
      <c r="A261" s="1" t="str">
        <f>_xlfn.CONCAT(ElipseTabla!$F69,",",ElipseTabla!G69)</f>
        <v>72.2222222222222,67.4610678049451</v>
      </c>
      <c r="B261" s="1" t="str">
        <f t="shared" si="4"/>
        <v>POINT 72.2222222222222,67.4610678049451</v>
      </c>
    </row>
    <row r="262" spans="1:2" x14ac:dyDescent="0.6">
      <c r="A262" s="1" t="str">
        <f>_xlfn.CONCAT(ElipseTabla!$F70,",",ElipseTabla!G70)</f>
        <v>71.7171717171717,67.3174593555395</v>
      </c>
      <c r="B262" s="1" t="str">
        <f t="shared" si="4"/>
        <v>POINT 71.7171717171717,67.3174593555395</v>
      </c>
    </row>
    <row r="263" spans="1:2" x14ac:dyDescent="0.6">
      <c r="A263" s="1" t="str">
        <f>_xlfn.CONCAT(ElipseTabla!$F71,",",ElipseTabla!G71)</f>
        <v>71.2121212121212,67.1700296259317</v>
      </c>
      <c r="B263" s="1" t="str">
        <f t="shared" si="4"/>
        <v>POINT 71.2121212121212,67.1700296259317</v>
      </c>
    </row>
    <row r="264" spans="1:2" x14ac:dyDescent="0.6">
      <c r="A264" s="1" t="str">
        <f>_xlfn.CONCAT(ElipseTabla!$F72,",",ElipseTabla!G72)</f>
        <v>70.7070707070707,67.0186793072412</v>
      </c>
      <c r="B264" s="1" t="str">
        <f t="shared" si="4"/>
        <v>POINT 70.7070707070707,67.0186793072412</v>
      </c>
    </row>
    <row r="265" spans="1:2" x14ac:dyDescent="0.6">
      <c r="A265" s="1" t="str">
        <f>_xlfn.CONCAT(ElipseTabla!$F73,",",ElipseTabla!G73)</f>
        <v>70.2020202020202,66.8633028364197</v>
      </c>
      <c r="B265" s="1" t="str">
        <f t="shared" si="4"/>
        <v>POINT 70.2020202020202,66.8633028364197</v>
      </c>
    </row>
    <row r="266" spans="1:2" x14ac:dyDescent="0.6">
      <c r="A266" s="1" t="str">
        <f>_xlfn.CONCAT(ElipseTabla!$F74,",",ElipseTabla!G74)</f>
        <v>69.6969696969697,66.7037878616085</v>
      </c>
      <c r="B266" s="1" t="str">
        <f t="shared" si="4"/>
        <v>POINT 69.6969696969697,66.7037878616085</v>
      </c>
    </row>
    <row r="267" spans="1:2" x14ac:dyDescent="0.6">
      <c r="A267" s="1" t="str">
        <f>_xlfn.CONCAT(ElipseTabla!$F75,",",ElipseTabla!G75)</f>
        <v>69.1919191919193,66.5400146457364</v>
      </c>
      <c r="B267" s="1" t="str">
        <f t="shared" si="4"/>
        <v>POINT 69.1919191919193,66.5400146457364</v>
      </c>
    </row>
    <row r="268" spans="1:2" x14ac:dyDescent="0.6">
      <c r="A268" s="1" t="str">
        <f>_xlfn.CONCAT(ElipseTabla!$F76,",",ElipseTabla!G76)</f>
        <v>68.6868686868688,66.3718553994185</v>
      </c>
      <c r="B268" s="1" t="str">
        <f t="shared" si="4"/>
        <v>POINT 68.6868686868688,66.3718553994185</v>
      </c>
    </row>
    <row r="269" spans="1:2" x14ac:dyDescent="0.6">
      <c r="A269" s="1" t="str">
        <f>_xlfn.CONCAT(ElipseTabla!$F77,",",ElipseTabla!G77)</f>
        <v>68.1818181818183,66.1991735326373</v>
      </c>
      <c r="B269" s="1" t="str">
        <f t="shared" si="4"/>
        <v>POINT 68.1818181818183,66.1991735326373</v>
      </c>
    </row>
    <row r="270" spans="1:2" x14ac:dyDescent="0.6">
      <c r="A270" s="1" t="str">
        <f>_xlfn.CONCAT(ElipseTabla!$F78,",",ElipseTabla!G78)</f>
        <v>67.6767676767678,66.0218228127845</v>
      </c>
      <c r="B270" s="1" t="str">
        <f t="shared" ref="B270:B305" si="5">_xlfn.CONCAT("POINT ",A270)</f>
        <v>POINT 67.6767676767678,66.0218228127845</v>
      </c>
    </row>
    <row r="271" spans="1:2" x14ac:dyDescent="0.6">
      <c r="A271" s="1" t="str">
        <f>_xlfn.CONCAT(ElipseTabla!$F79,",",ElipseTabla!G79)</f>
        <v>67.1717171717173,65.8396464143226</v>
      </c>
      <c r="B271" s="1" t="str">
        <f t="shared" si="5"/>
        <v>POINT 67.1717171717173,65.8396464143226</v>
      </c>
    </row>
    <row r="272" spans="1:2" x14ac:dyDescent="0.6">
      <c r="A272" s="1" t="str">
        <f>_xlfn.CONCAT(ElipseTabla!$F80,",",ElipseTabla!G80)</f>
        <v>66.6666666666668,65.6524758424986</v>
      </c>
      <c r="B272" s="1" t="str">
        <f t="shared" si="5"/>
        <v>POINT 66.6666666666668,65.6524758424986</v>
      </c>
    </row>
    <row r="273" spans="1:2" x14ac:dyDescent="0.6">
      <c r="A273" s="1" t="str">
        <f>_xlfn.CONCAT(ElipseTabla!$F81,",",ElipseTabla!G81)</f>
        <v>66.1616161616163,65.4601297100631</v>
      </c>
      <c r="B273" s="1" t="str">
        <f t="shared" si="5"/>
        <v>POINT 66.1616161616163,65.4601297100631</v>
      </c>
    </row>
    <row r="274" spans="1:2" x14ac:dyDescent="0.6">
      <c r="A274" s="1" t="str">
        <f>_xlfn.CONCAT(ElipseTabla!$F82,",",ElipseTabla!G82)</f>
        <v>65.6565656565658,65.2624123416545</v>
      </c>
      <c r="B274" s="1" t="str">
        <f t="shared" si="5"/>
        <v>POINT 65.6565656565658,65.2624123416545</v>
      </c>
    </row>
    <row r="275" spans="1:2" x14ac:dyDescent="0.6">
      <c r="A275" s="1" t="str">
        <f>_xlfn.CONCAT(ElipseTabla!$F83,",",ElipseTabla!G83)</f>
        <v>65.1515151515153,65.0591121751627</v>
      </c>
      <c r="B275" s="1" t="str">
        <f t="shared" si="5"/>
        <v>POINT 65.1515151515153,65.0591121751627</v>
      </c>
    </row>
    <row r="276" spans="1:2" x14ac:dyDescent="0.6">
      <c r="A276" s="1" t="str">
        <f>_xlfn.CONCAT(ElipseTabla!$F84,",",ElipseTabla!G84)</f>
        <v>64.6464646464648,64.8499999227043</v>
      </c>
      <c r="B276" s="1" t="str">
        <f t="shared" si="5"/>
        <v>POINT 64.6464646464648,64.8499999227043</v>
      </c>
    </row>
    <row r="277" spans="1:2" x14ac:dyDescent="0.6">
      <c r="A277" s="1" t="str">
        <f>_xlfn.CONCAT(ElipseTabla!$F85,",",ElipseTabla!G85)</f>
        <v>64.1414141414143,64.6348264454089</v>
      </c>
      <c r="B277" s="1" t="str">
        <f t="shared" si="5"/>
        <v>POINT 64.1414141414143,64.6348264454089</v>
      </c>
    </row>
    <row r="278" spans="1:2" x14ac:dyDescent="0.6">
      <c r="A278" s="1" t="str">
        <f>_xlfn.CONCAT(ElipseTabla!$F86,",",ElipseTabla!G86)</f>
        <v>63.6363636363639,64.413320285517</v>
      </c>
      <c r="B278" s="1" t="str">
        <f t="shared" si="5"/>
        <v>POINT 63.6363636363639,64.413320285517</v>
      </c>
    </row>
    <row r="279" spans="1:2" x14ac:dyDescent="0.6">
      <c r="A279" s="1" t="str">
        <f>_xlfn.CONCAT(ElipseTabla!$F87,",",ElipseTabla!G87)</f>
        <v>63.1313131313134,64.1851847855884</v>
      </c>
      <c r="B279" s="1" t="str">
        <f t="shared" si="5"/>
        <v>POINT 63.1313131313134,64.1851847855884</v>
      </c>
    </row>
    <row r="280" spans="1:2" x14ac:dyDescent="0.6">
      <c r="A280" s="1" t="str">
        <f>_xlfn.CONCAT(ElipseTabla!$F88,",",ElipseTabla!G88)</f>
        <v>62.6262626262629,63.9500947069337</v>
      </c>
      <c r="B280" s="1" t="str">
        <f t="shared" si="5"/>
        <v>POINT 62.6262626262629,63.9500947069337</v>
      </c>
    </row>
    <row r="281" spans="1:2" x14ac:dyDescent="0.6">
      <c r="A281" s="1" t="str">
        <f>_xlfn.CONCAT(ElipseTabla!$F89,",",ElipseTabla!G89)</f>
        <v>62.1212121212124,63.7076922363425</v>
      </c>
      <c r="B281" s="1" t="str">
        <f t="shared" si="5"/>
        <v>POINT 62.1212121212124,63.7076922363425</v>
      </c>
    </row>
    <row r="282" spans="1:2" x14ac:dyDescent="0.6">
      <c r="A282" s="1" t="str">
        <f>_xlfn.CONCAT(ElipseTabla!$F90,",",ElipseTabla!G90)</f>
        <v>61.6161616161619,63.4575822398708</v>
      </c>
      <c r="B282" s="1" t="str">
        <f t="shared" si="5"/>
        <v>POINT 61.6161616161619,63.4575822398708</v>
      </c>
    </row>
    <row r="283" spans="1:2" x14ac:dyDescent="0.6">
      <c r="A283" s="1" t="str">
        <f>_xlfn.CONCAT(ElipseTabla!$F91,",",ElipseTabla!G91)</f>
        <v>61.1111111111114,63.199326582149</v>
      </c>
      <c r="B283" s="1" t="str">
        <f t="shared" si="5"/>
        <v>POINT 61.1111111111114,63.199326582149</v>
      </c>
    </row>
    <row r="284" spans="1:2" x14ac:dyDescent="0.6">
      <c r="A284" s="1" t="str">
        <f>_xlfn.CONCAT(ElipseTabla!$F92,",",ElipseTabla!G92)</f>
        <v>60.6060606060609,62.932437275483</v>
      </c>
      <c r="B284" s="1" t="str">
        <f t="shared" si="5"/>
        <v>POINT 60.6060606060609,62.932437275483</v>
      </c>
    </row>
    <row r="285" spans="1:2" x14ac:dyDescent="0.6">
      <c r="A285" s="1" t="str">
        <f>_xlfn.CONCAT(ElipseTabla!$F93,",",ElipseTabla!G93)</f>
        <v>60.1010101010104,62.6563681492407</v>
      </c>
      <c r="B285" s="1" t="str">
        <f t="shared" si="5"/>
        <v>POINT 60.1010101010104,62.6563681492407</v>
      </c>
    </row>
    <row r="286" spans="1:2" x14ac:dyDescent="0.6">
      <c r="A286" s="1" t="str">
        <f>_xlfn.CONCAT(ElipseTabla!$F94,",",ElipseTabla!G94)</f>
        <v>59.5959595959599,62.3705046282139</v>
      </c>
      <c r="B286" s="1" t="str">
        <f t="shared" si="5"/>
        <v>POINT 59.5959595959599,62.3705046282139</v>
      </c>
    </row>
    <row r="287" spans="1:2" x14ac:dyDescent="0.6">
      <c r="A287" s="1" t="str">
        <f>_xlfn.CONCAT(ElipseTabla!$F95,",",ElipseTabla!G95)</f>
        <v>59.0909090909094,62.0741510660977</v>
      </c>
      <c r="B287" s="1" t="str">
        <f t="shared" si="5"/>
        <v>POINT 59.0909090909094,62.0741510660977</v>
      </c>
    </row>
    <row r="288" spans="1:2" x14ac:dyDescent="0.6">
      <c r="A288" s="1" t="str">
        <f>_xlfn.CONCAT(ElipseTabla!$F96,",",ElipseTabla!G96)</f>
        <v>58.5858585858589,61.7665148773955</v>
      </c>
      <c r="B288" s="1" t="str">
        <f t="shared" si="5"/>
        <v>POINT 58.5858585858589,61.7665148773955</v>
      </c>
    </row>
    <row r="289" spans="1:2" x14ac:dyDescent="0.6">
      <c r="A289" s="1" t="str">
        <f>_xlfn.CONCAT(ElipseTabla!$F97,",",ElipseTabla!G97)</f>
        <v>58.0808080808085,61.446686417288</v>
      </c>
      <c r="B289" s="1" t="str">
        <f t="shared" si="5"/>
        <v>POINT 58.0808080808085,61.446686417288</v>
      </c>
    </row>
    <row r="290" spans="1:2" x14ac:dyDescent="0.6">
      <c r="A290" s="1" t="str">
        <f>_xlfn.CONCAT(ElipseTabla!$F98,",",ElipseTabla!G98)</f>
        <v>57.575757575758,61.1136131250922</v>
      </c>
      <c r="B290" s="1" t="str">
        <f t="shared" si="5"/>
        <v>POINT 57.575757575758,61.1136131250922</v>
      </c>
    </row>
    <row r="291" spans="1:2" x14ac:dyDescent="0.6">
      <c r="A291" s="1" t="str">
        <f>_xlfn.CONCAT(ElipseTabla!$F99,",",ElipseTabla!G99)</f>
        <v>57.0707070707075,60.7660657918968</v>
      </c>
      <c r="B291" s="1" t="str">
        <f t="shared" si="5"/>
        <v>POINT 57.0707070707075,60.7660657918968</v>
      </c>
    </row>
    <row r="292" spans="1:2" x14ac:dyDescent="0.6">
      <c r="A292" s="1" t="str">
        <f>_xlfn.CONCAT(ElipseTabla!$F100,",",ElipseTabla!G100)</f>
        <v>56.565656565657,60.4025937995972</v>
      </c>
      <c r="B292" s="1" t="str">
        <f t="shared" si="5"/>
        <v>POINT 56.565656565657,60.4025937995972</v>
      </c>
    </row>
    <row r="293" spans="1:2" x14ac:dyDescent="0.6">
      <c r="A293" s="1" t="str">
        <f>_xlfn.CONCAT(ElipseTabla!$F101,",",ElipseTabla!G101)</f>
        <v>56.0606060606065,60.0214645669245</v>
      </c>
      <c r="B293" s="1" t="str">
        <f t="shared" si="5"/>
        <v>POINT 56.0606060606065,60.0214645669245</v>
      </c>
    </row>
    <row r="294" spans="1:2" x14ac:dyDescent="0.6">
      <c r="A294" s="1" t="str">
        <f>_xlfn.CONCAT(ElipseTabla!$F102,",",ElipseTabla!G102)</f>
        <v>55.555555555556,59.6205797931082</v>
      </c>
      <c r="B294" s="1" t="str">
        <f t="shared" si="5"/>
        <v>POINT 55.555555555556,59.6205797931082</v>
      </c>
    </row>
    <row r="295" spans="1:2" x14ac:dyDescent="0.6">
      <c r="A295" s="1" t="str">
        <f>_xlfn.CONCAT(ElipseTabla!$F103,",",ElipseTabla!G103)</f>
        <v>55.0505050505055,59.1973565891369</v>
      </c>
      <c r="B295" s="1" t="str">
        <f t="shared" si="5"/>
        <v>POINT 55.0505050505055,59.1973565891369</v>
      </c>
    </row>
    <row r="296" spans="1:2" x14ac:dyDescent="0.6">
      <c r="A296" s="1" t="str">
        <f>_xlfn.CONCAT(ElipseTabla!$F104,",",ElipseTabla!G104)</f>
        <v>54.545454545455,58.7485535994616</v>
      </c>
      <c r="B296" s="1" t="str">
        <f t="shared" si="5"/>
        <v>POINT 54.545454545455,58.7485535994616</v>
      </c>
    </row>
    <row r="297" spans="1:2" x14ac:dyDescent="0.6">
      <c r="A297" s="1" t="str">
        <f>_xlfn.CONCAT(ElipseTabla!$F105,",",ElipseTabla!G105)</f>
        <v>54.0404040404045,58.2700073228687</v>
      </c>
      <c r="B297" s="1" t="str">
        <f t="shared" si="5"/>
        <v>POINT 54.0404040404045,58.2700073228687</v>
      </c>
    </row>
    <row r="298" spans="1:2" x14ac:dyDescent="0.6">
      <c r="A298" s="1" t="str">
        <f>_xlfn.CONCAT(ElipseTabla!$F106,",",ElipseTabla!G106)</f>
        <v>53.535353535354,57.7562143691809</v>
      </c>
      <c r="B298" s="1" t="str">
        <f t="shared" si="5"/>
        <v>POINT 53.535353535354,57.7562143691809</v>
      </c>
    </row>
    <row r="299" spans="1:2" x14ac:dyDescent="0.6">
      <c r="A299" s="1" t="str">
        <f>_xlfn.CONCAT(ElipseTabla!$F107,",",ElipseTabla!G107)</f>
        <v>53.0303030303035,57.1996326811727</v>
      </c>
      <c r="B299" s="1" t="str">
        <f t="shared" si="5"/>
        <v>POINT 53.0303030303035,57.1996326811727</v>
      </c>
    </row>
    <row r="300" spans="1:2" x14ac:dyDescent="0.6">
      <c r="A300" s="1" t="str">
        <f>_xlfn.CONCAT(ElipseTabla!$F108,",",ElipseTabla!G108)</f>
        <v>52.5252525252531,56.5894286041863</v>
      </c>
      <c r="B300" s="1" t="str">
        <f t="shared" si="5"/>
        <v>POINT 52.5252525252531,56.5894286041863</v>
      </c>
    </row>
    <row r="301" spans="1:2" x14ac:dyDescent="0.6">
      <c r="A301" s="1" t="str">
        <f>_xlfn.CONCAT(ElipseTabla!$F109,",",ElipseTabla!G109)</f>
        <v>52.0202020202026,55.9090132085031</v>
      </c>
      <c r="B301" s="1" t="str">
        <f t="shared" si="5"/>
        <v>POINT 52.0202020202026,55.9090132085031</v>
      </c>
    </row>
    <row r="302" spans="1:2" x14ac:dyDescent="0.6">
      <c r="A302" s="1" t="str">
        <f>_xlfn.CONCAT(ElipseTabla!$F110,",",ElipseTabla!G110)</f>
        <v>51.5151515151521,55.1305276580091</v>
      </c>
      <c r="B302" s="1" t="str">
        <f t="shared" si="5"/>
        <v>POINT 51.5151515151521,55.1305276580091</v>
      </c>
    </row>
    <row r="303" spans="1:2" x14ac:dyDescent="0.6">
      <c r="A303" s="1" t="str">
        <f>_xlfn.CONCAT(ElipseTabla!$F111,",",ElipseTabla!G111)</f>
        <v>51.0101010101016,54.1997857306849</v>
      </c>
      <c r="B303" s="1" t="str">
        <f t="shared" si="5"/>
        <v>POINT 51.0101010101016,54.1997857306849</v>
      </c>
    </row>
    <row r="304" spans="1:2" x14ac:dyDescent="0.6">
      <c r="A304" s="1" t="str">
        <f>_xlfn.CONCAT(ElipseTabla!$F112,",",ElipseTabla!G112)</f>
        <v>50.5050505050511,52.9772630888904</v>
      </c>
      <c r="B304" s="1" t="str">
        <f t="shared" si="5"/>
        <v>POINT 50.5050505050511,52.9772630888904</v>
      </c>
    </row>
    <row r="305" spans="1:2" x14ac:dyDescent="0.6">
      <c r="A305" s="1" t="str">
        <f>_xlfn.CONCAT(ElipseTabla!$F113,",",ElipseTabla!G113)</f>
        <v>50.0000000000006,50.0000032444691</v>
      </c>
      <c r="B305" s="1" t="str">
        <f t="shared" si="5"/>
        <v>POINT 50.0000000000006,50.0000032444691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100,29</v>
      </c>
      <c r="B308" s="1" t="str">
        <f t="shared" ref="B308:B371" si="6">_xlfn.CONCAT("POINT ",A308)</f>
        <v>POINT 100,29</v>
      </c>
    </row>
    <row r="309" spans="1:2" x14ac:dyDescent="0.6">
      <c r="A309" s="1" t="str">
        <f>_xlfn.CONCAT(ElipseTabla!$F15,",",ElipseTabla!H15)</f>
        <v>99.4949494949495,29.0010713465813</v>
      </c>
      <c r="B309" s="1" t="str">
        <f t="shared" si="6"/>
        <v>POINT 99.4949494949495,29.0010713465813</v>
      </c>
    </row>
    <row r="310" spans="1:2" x14ac:dyDescent="0.6">
      <c r="A310" s="1" t="str">
        <f>_xlfn.CONCAT(ElipseTabla!$F16,",",ElipseTabla!H16)</f>
        <v>98.989898989899,29.0042857143303</v>
      </c>
      <c r="B310" s="1" t="str">
        <f t="shared" si="6"/>
        <v>POINT 98.989898989899,29.0042857143303</v>
      </c>
    </row>
    <row r="311" spans="1:2" x14ac:dyDescent="0.6">
      <c r="A311" s="1" t="str">
        <f>_xlfn.CONCAT(ElipseTabla!$F17,",",ElipseTabla!H17)</f>
        <v>98.4848484848485,29.0096440877646</v>
      </c>
      <c r="B311" s="1" t="str">
        <f t="shared" si="6"/>
        <v>POINT 98.4848484848485,29.0096440877646</v>
      </c>
    </row>
    <row r="312" spans="1:2" x14ac:dyDescent="0.6">
      <c r="A312" s="1" t="str">
        <f>_xlfn.CONCAT(ElipseTabla!$F18,",",ElipseTabla!H18)</f>
        <v>97.979797979798,29.017148109423</v>
      </c>
      <c r="B312" s="1" t="str">
        <f t="shared" si="6"/>
        <v>POINT 97.979797979798,29.017148109423</v>
      </c>
    </row>
    <row r="313" spans="1:2" x14ac:dyDescent="0.6">
      <c r="A313" s="1" t="str">
        <f>_xlfn.CONCAT(ElipseTabla!$F19,",",ElipseTabla!H19)</f>
        <v>97.4747474747475,29.026800082386</v>
      </c>
      <c r="B313" s="1" t="str">
        <f t="shared" si="6"/>
        <v>POINT 97.4747474747475,29.026800082386</v>
      </c>
    </row>
    <row r="314" spans="1:2" x14ac:dyDescent="0.6">
      <c r="A314" s="1" t="str">
        <f>_xlfn.CONCAT(ElipseTabla!$F20,",",ElipseTabla!H20)</f>
        <v>96.969696969697,29.0386029738174</v>
      </c>
      <c r="B314" s="1" t="str">
        <f t="shared" si="6"/>
        <v>POINT 96.969696969697,29.0386029738174</v>
      </c>
    </row>
    <row r="315" spans="1:2" x14ac:dyDescent="0.6">
      <c r="A315" s="1" t="str">
        <f>_xlfn.CONCAT(ElipseTabla!$F21,",",ElipseTabla!H21)</f>
        <v>96.4646464646465,29.0525604195395</v>
      </c>
      <c r="B315" s="1" t="str">
        <f t="shared" si="6"/>
        <v>POINT 96.4646464646465,29.0525604195395</v>
      </c>
    </row>
    <row r="316" spans="1:2" x14ac:dyDescent="0.6">
      <c r="A316" s="1" t="str">
        <f>_xlfn.CONCAT(ElipseTabla!$F22,",",ElipseTabla!H22)</f>
        <v>95.959595959596,29.0686767296579</v>
      </c>
      <c r="B316" s="1" t="str">
        <f t="shared" si="6"/>
        <v>POINT 95.959595959596,29.0686767296579</v>
      </c>
    </row>
    <row r="317" spans="1:2" x14ac:dyDescent="0.6">
      <c r="A317" s="1" t="str">
        <f>_xlfn.CONCAT(ElipseTabla!$F23,",",ElipseTabla!H23)</f>
        <v>95.4545454545455,29.0869568952573</v>
      </c>
      <c r="B317" s="1" t="str">
        <f t="shared" si="6"/>
        <v>POINT 95.4545454545455,29.0869568952573</v>
      </c>
    </row>
    <row r="318" spans="1:2" x14ac:dyDescent="0.6">
      <c r="A318" s="1" t="str">
        <f>_xlfn.CONCAT(ElipseTabla!$F24,",",ElipseTabla!H24)</f>
        <v>94.9494949494949,29.1074065961924</v>
      </c>
      <c r="B318" s="1" t="str">
        <f t="shared" si="6"/>
        <v>POINT 94.9494949494949,29.1074065961924</v>
      </c>
    </row>
    <row r="319" spans="1:2" x14ac:dyDescent="0.6">
      <c r="A319" s="1" t="str">
        <f>_xlfn.CONCAT(ElipseTabla!$F25,",",ElipseTabla!H25)</f>
        <v>94.4444444444444,29.130032210002</v>
      </c>
      <c r="B319" s="1" t="str">
        <f t="shared" si="6"/>
        <v>POINT 94.4444444444444,29.130032210002</v>
      </c>
    </row>
    <row r="320" spans="1:2" x14ac:dyDescent="0.6">
      <c r="A320" s="1" t="str">
        <f>_xlfn.CONCAT(ElipseTabla!$F26,",",ElipseTabla!H26)</f>
        <v>93.9393939393939,29.1548408219792</v>
      </c>
      <c r="B320" s="1" t="str">
        <f t="shared" si="6"/>
        <v>POINT 93.9393939393939,29.1548408219792</v>
      </c>
    </row>
    <row r="321" spans="1:2" x14ac:dyDescent="0.6">
      <c r="A321" s="1" t="str">
        <f>_xlfn.CONCAT(ElipseTabla!$F27,",",ElipseTabla!H27)</f>
        <v>93.4343434343434,29.1818402364371</v>
      </c>
      <c r="B321" s="1" t="str">
        <f t="shared" si="6"/>
        <v>POINT 93.4343434343434,29.1818402364371</v>
      </c>
    </row>
    <row r="322" spans="1:2" x14ac:dyDescent="0.6">
      <c r="A322" s="1" t="str">
        <f>_xlfn.CONCAT(ElipseTabla!$F28,",",ElipseTabla!H28)</f>
        <v>92.9292929292929,29.2110389892094</v>
      </c>
      <c r="B322" s="1" t="str">
        <f t="shared" si="6"/>
        <v>POINT 92.9292929292929,29.2110389892094</v>
      </c>
    </row>
    <row r="323" spans="1:2" x14ac:dyDescent="0.6">
      <c r="A323" s="1" t="str">
        <f>_xlfn.CONCAT(ElipseTabla!$F29,",",ElipseTabla!H29)</f>
        <v>92.4242424242424,29.2424463614363</v>
      </c>
      <c r="B323" s="1" t="str">
        <f t="shared" si="6"/>
        <v>POINT 92.4242424242424,29.2424463614363</v>
      </c>
    </row>
    <row r="324" spans="1:2" x14ac:dyDescent="0.6">
      <c r="A324" s="1" t="str">
        <f>_xlfn.CONCAT(ElipseTabla!$F30,",",ElipseTabla!H30)</f>
        <v>91.9191919191919,29.2760723946867</v>
      </c>
      <c r="B324" s="1" t="str">
        <f t="shared" si="6"/>
        <v>POINT 91.9191919191919,29.2760723946867</v>
      </c>
    </row>
    <row r="325" spans="1:2" x14ac:dyDescent="0.6">
      <c r="A325" s="1" t="str">
        <f>_xlfn.CONCAT(ElipseTabla!$F31,",",ElipseTabla!H31)</f>
        <v>91.4141414141414,29.3119279074773</v>
      </c>
      <c r="B325" s="1" t="str">
        <f t="shared" si="6"/>
        <v>POINT 91.4141414141414,29.3119279074773</v>
      </c>
    </row>
    <row r="326" spans="1:2" x14ac:dyDescent="0.6">
      <c r="A326" s="1" t="str">
        <f>_xlfn.CONCAT(ElipseTabla!$F32,",",ElipseTabla!H32)</f>
        <v>90.9090909090909,29.3500245132517</v>
      </c>
      <c r="B326" s="1" t="str">
        <f t="shared" si="6"/>
        <v>POINT 90.9090909090909,29.3500245132517</v>
      </c>
    </row>
    <row r="327" spans="1:2" x14ac:dyDescent="0.6">
      <c r="A327" s="1" t="str">
        <f>_xlfn.CONCAT(ElipseTabla!$F33,",",ElipseTabla!H33)</f>
        <v>90.4040404040404,29.3903746398938</v>
      </c>
      <c r="B327" s="1" t="str">
        <f t="shared" si="6"/>
        <v>POINT 90.4040404040404,29.3903746398938</v>
      </c>
    </row>
    <row r="328" spans="1:2" x14ac:dyDescent="0.6">
      <c r="A328" s="1" t="str">
        <f>_xlfn.CONCAT(ElipseTabla!$F34,",",ElipseTabla!H34)</f>
        <v>89.8989898989899,29.4329915508528</v>
      </c>
      <c r="B328" s="1" t="str">
        <f t="shared" si="6"/>
        <v>POINT 89.8989898989899,29.4329915508528</v>
      </c>
    </row>
    <row r="329" spans="1:2" x14ac:dyDescent="0.6">
      <c r="A329" s="1" t="str">
        <f>_xlfn.CONCAT(ElipseTabla!$F35,",",ElipseTabla!H35)</f>
        <v>89.3939393939394,29.4778893679673</v>
      </c>
      <c r="B329" s="1" t="str">
        <f t="shared" si="6"/>
        <v>POINT 89.3939393939394,29.4778893679673</v>
      </c>
    </row>
    <row r="330" spans="1:2" x14ac:dyDescent="0.6">
      <c r="A330" s="1" t="str">
        <f>_xlfn.CONCAT(ElipseTabla!$F36,",",ElipseTabla!H36)</f>
        <v>88.8888888888889,29.525083096085</v>
      </c>
      <c r="B330" s="1" t="str">
        <f t="shared" si="6"/>
        <v>POINT 88.8888888888889,29.525083096085</v>
      </c>
    </row>
    <row r="331" spans="1:2" x14ac:dyDescent="0.6">
      <c r="A331" s="1" t="str">
        <f>_xlfn.CONCAT(ElipseTabla!$F37,",",ElipseTabla!H37)</f>
        <v>88.3838383838384,29.5745886495818</v>
      </c>
      <c r="B331" s="1" t="str">
        <f t="shared" si="6"/>
        <v>POINT 88.3838383838384,29.5745886495818</v>
      </c>
    </row>
    <row r="332" spans="1:2" x14ac:dyDescent="0.6">
      <c r="A332" s="1" t="str">
        <f>_xlfn.CONCAT(ElipseTabla!$F38,",",ElipseTabla!H38)</f>
        <v>87.8787878787879,29.6264228808955</v>
      </c>
      <c r="B332" s="1" t="str">
        <f t="shared" si="6"/>
        <v>POINT 87.8787878787879,29.6264228808955</v>
      </c>
    </row>
    <row r="333" spans="1:2" x14ac:dyDescent="0.6">
      <c r="A333" s="1" t="str">
        <f>_xlfn.CONCAT(ElipseTabla!$F39,",",ElipseTabla!H39)</f>
        <v>87.3737373737374,29.6806036112009</v>
      </c>
      <c r="B333" s="1" t="str">
        <f t="shared" si="6"/>
        <v>POINT 87.3737373737374,29.6806036112009</v>
      </c>
    </row>
    <row r="334" spans="1:2" x14ac:dyDescent="0.6">
      <c r="A334" s="1" t="str">
        <f>_xlfn.CONCAT(ElipseTabla!$F40,",",ElipseTabla!H40)</f>
        <v>86.8686868686869,29.7371496633637</v>
      </c>
      <c r="B334" s="1" t="str">
        <f t="shared" si="6"/>
        <v>POINT 86.8686868686869,29.7371496633637</v>
      </c>
    </row>
    <row r="335" spans="1:2" x14ac:dyDescent="0.6">
      <c r="A335" s="1" t="str">
        <f>_xlfn.CONCAT(ElipseTabla!$F41,",",ElipseTabla!H41)</f>
        <v>86.3636363636364,29.7960808973249</v>
      </c>
      <c r="B335" s="1" t="str">
        <f t="shared" si="6"/>
        <v>POINT 86.3636363636364,29.7960808973249</v>
      </c>
    </row>
    <row r="336" spans="1:2" x14ac:dyDescent="0.6">
      <c r="A336" s="1" t="str">
        <f>_xlfn.CONCAT(ElipseTabla!$F42,",",ElipseTabla!H42)</f>
        <v>85.8585858585859,29.8574182480822</v>
      </c>
      <c r="B336" s="1" t="str">
        <f t="shared" si="6"/>
        <v>POINT 85.8585858585859,29.8574182480822</v>
      </c>
    </row>
    <row r="337" spans="1:2" x14ac:dyDescent="0.6">
      <c r="A337" s="1" t="str">
        <f>_xlfn.CONCAT(ElipseTabla!$F43,",",ElipseTabla!H43)</f>
        <v>85.3535353535353,29.9211837664498</v>
      </c>
      <c r="B337" s="1" t="str">
        <f t="shared" si="6"/>
        <v>POINT 85.3535353535353,29.9211837664498</v>
      </c>
    </row>
    <row r="338" spans="1:2" x14ac:dyDescent="0.6">
      <c r="A338" s="1" t="str">
        <f>_xlfn.CONCAT(ElipseTabla!$F44,",",ElipseTabla!H44)</f>
        <v>84.8484848484848,29.9874006627973</v>
      </c>
      <c r="B338" s="1" t="str">
        <f t="shared" si="6"/>
        <v>POINT 84.8484848484848,29.9874006627973</v>
      </c>
    </row>
    <row r="339" spans="1:2" x14ac:dyDescent="0.6">
      <c r="A339" s="1" t="str">
        <f>_xlfn.CONCAT(ElipseTabla!$F45,",",ElipseTabla!H45)</f>
        <v>84.3434343434343,30.0560933539874</v>
      </c>
      <c r="B339" s="1" t="str">
        <f t="shared" si="6"/>
        <v>POINT 84.3434343434343,30.0560933539874</v>
      </c>
    </row>
    <row r="340" spans="1:2" x14ac:dyDescent="0.6">
      <c r="A340" s="1" t="str">
        <f>_xlfn.CONCAT(ElipseTabla!$F46,",",ElipseTabla!H46)</f>
        <v>83.8383838383838,30.1272875137523</v>
      </c>
      <c r="B340" s="1" t="str">
        <f t="shared" si="6"/>
        <v>POINT 83.8383838383838,30.1272875137523</v>
      </c>
    </row>
    <row r="341" spans="1:2" x14ac:dyDescent="0.6">
      <c r="A341" s="1" t="str">
        <f>_xlfn.CONCAT(ElipseTabla!$F47,",",ElipseTabla!H47)</f>
        <v>83.3333333333333,30.2010101267767</v>
      </c>
      <c r="B341" s="1" t="str">
        <f t="shared" si="6"/>
        <v>POINT 83.3333333333333,30.2010101267767</v>
      </c>
    </row>
    <row r="342" spans="1:2" x14ac:dyDescent="0.6">
      <c r="A342" s="1" t="str">
        <f>_xlfn.CONCAT(ElipseTabla!$F48,",",ElipseTabla!H48)</f>
        <v>82.8282828282828,30.277289546777</v>
      </c>
      <c r="B342" s="1" t="str">
        <f t="shared" si="6"/>
        <v>POINT 82.8282828282828,30.277289546777</v>
      </c>
    </row>
    <row r="343" spans="1:2" x14ac:dyDescent="0.6">
      <c r="A343" s="1" t="str">
        <f>_xlfn.CONCAT(ElipseTabla!$F49,",",ElipseTabla!H49)</f>
        <v>82.3232323232323,30.3561555589014</v>
      </c>
      <c r="B343" s="1" t="str">
        <f t="shared" si="6"/>
        <v>POINT 82.3232323232323,30.3561555589014</v>
      </c>
    </row>
    <row r="344" spans="1:2" x14ac:dyDescent="0.6">
      <c r="A344" s="1" t="str">
        <f>_xlfn.CONCAT(ElipseTabla!$F50,",",ElipseTabla!H50)</f>
        <v>81.8181818181818,30.4376394468044</v>
      </c>
      <c r="B344" s="1" t="str">
        <f t="shared" si="6"/>
        <v>POINT 81.8181818181818,30.4376394468044</v>
      </c>
    </row>
    <row r="345" spans="1:2" x14ac:dyDescent="0.6">
      <c r="A345" s="1" t="str">
        <f>_xlfn.CONCAT(ElipseTabla!$F51,",",ElipseTabla!H51)</f>
        <v>81.3131313131313,30.5217740647896</v>
      </c>
      <c r="B345" s="1" t="str">
        <f t="shared" si="6"/>
        <v>POINT 81.3131313131313,30.5217740647896</v>
      </c>
    </row>
    <row r="346" spans="1:2" x14ac:dyDescent="0.6">
      <c r="A346" s="1" t="str">
        <f>_xlfn.CONCAT(ElipseTabla!$F52,",",ElipseTabla!H52)</f>
        <v>80.8080808080808,30.6085939154552</v>
      </c>
      <c r="B346" s="1" t="str">
        <f t="shared" si="6"/>
        <v>POINT 80.8080808080808,30.6085939154552</v>
      </c>
    </row>
    <row r="347" spans="1:2" x14ac:dyDescent="0.6">
      <c r="A347" s="1" t="str">
        <f>_xlfn.CONCAT(ElipseTabla!$F53,",",ElipseTabla!H53)</f>
        <v>80.3030303030303,30.6981352333233</v>
      </c>
      <c r="B347" s="1" t="str">
        <f t="shared" si="6"/>
        <v>POINT 80.3030303030303,30.6981352333233</v>
      </c>
    </row>
    <row r="348" spans="1:2" x14ac:dyDescent="0.6">
      <c r="A348" s="1" t="str">
        <f>_xlfn.CONCAT(ElipseTabla!$F54,",",ElipseTabla!H54)</f>
        <v>79.7979797979798,30.7904360749869</v>
      </c>
      <c r="B348" s="1" t="str">
        <f t="shared" si="6"/>
        <v>POINT 79.7979797979798,30.7904360749869</v>
      </c>
    </row>
    <row r="349" spans="1:2" x14ac:dyDescent="0.6">
      <c r="A349" s="1" t="str">
        <f>_xlfn.CONCAT(ElipseTabla!$F55,",",ElipseTabla!H55)</f>
        <v>79.2929292929293,30.8855364163681</v>
      </c>
      <c r="B349" s="1" t="str">
        <f t="shared" si="6"/>
        <v>POINT 79.2929292929293,30.8855364163681</v>
      </c>
    </row>
    <row r="350" spans="1:2" x14ac:dyDescent="0.6">
      <c r="A350" s="1" t="str">
        <f>_xlfn.CONCAT(ElipseTabla!$F56,",",ElipseTabla!H56)</f>
        <v>78.7878787878788,30.9834782577477</v>
      </c>
      <c r="B350" s="1" t="str">
        <f t="shared" si="6"/>
        <v>POINT 78.7878787878788,30.9834782577477</v>
      </c>
    </row>
    <row r="351" spans="1:2" x14ac:dyDescent="0.6">
      <c r="A351" s="1" t="str">
        <f>_xlfn.CONCAT(ElipseTabla!$F57,",",ElipseTabla!H57)</f>
        <v>78.2828282828283,31.0843057373023</v>
      </c>
      <c r="B351" s="1" t="str">
        <f t="shared" si="6"/>
        <v>POINT 78.2828282828283,31.0843057373023</v>
      </c>
    </row>
    <row r="352" spans="1:2" x14ac:dyDescent="0.6">
      <c r="A352" s="1" t="str">
        <f>_xlfn.CONCAT(ElipseTabla!$F58,",",ElipseTabla!H58)</f>
        <v>77.7777777777778,31.1880652539701</v>
      </c>
      <c r="B352" s="1" t="str">
        <f t="shared" si="6"/>
        <v>POINT 77.7777777777778,31.1880652539701</v>
      </c>
    </row>
    <row r="353" spans="1:2" x14ac:dyDescent="0.6">
      <c r="A353" s="1" t="str">
        <f>_xlfn.CONCAT(ElipseTabla!$F59,",",ElipseTabla!H59)</f>
        <v>77.2727272727273,31.2948056005648</v>
      </c>
      <c r="B353" s="1" t="str">
        <f t="shared" si="6"/>
        <v>POINT 77.2727272727273,31.2948056005648</v>
      </c>
    </row>
    <row r="354" spans="1:2" x14ac:dyDescent="0.6">
      <c r="A354" s="1" t="str">
        <f>_xlfn.CONCAT(ElipseTabla!$F60,",",ElipseTabla!H60)</f>
        <v>76.7676767676768,31.4045781081695</v>
      </c>
      <c r="B354" s="1" t="str">
        <f t="shared" si="6"/>
        <v>POINT 76.7676767676768,31.4045781081695</v>
      </c>
    </row>
    <row r="355" spans="1:2" x14ac:dyDescent="0.6">
      <c r="A355" s="1" t="str">
        <f>_xlfn.CONCAT(ElipseTabla!$F61,",",ElipseTabla!H61)</f>
        <v>76.2626262626263,31.5174368029644</v>
      </c>
      <c r="B355" s="1" t="str">
        <f t="shared" si="6"/>
        <v>POINT 76.2626262626263,31.5174368029644</v>
      </c>
    </row>
    <row r="356" spans="1:2" x14ac:dyDescent="0.6">
      <c r="A356" s="1" t="str">
        <f>_xlfn.CONCAT(ElipseTabla!$F62,",",ElipseTabla!H62)</f>
        <v>75.7575757575758,31.6334385767941</v>
      </c>
      <c r="B356" s="1" t="str">
        <f t="shared" si="6"/>
        <v>POINT 75.7575757575758,31.6334385767941</v>
      </c>
    </row>
    <row r="357" spans="1:2" x14ac:dyDescent="0.6">
      <c r="A357" s="1" t="str">
        <f>_xlfn.CONCAT(ElipseTabla!$F63,",",ElipseTabla!H63)</f>
        <v>75.2525252525252,31.7526433729399</v>
      </c>
      <c r="B357" s="1" t="str">
        <f t="shared" si="6"/>
        <v>POINT 75.2525252525252,31.7526433729399</v>
      </c>
    </row>
    <row r="358" spans="1:2" x14ac:dyDescent="0.6">
      <c r="A358" s="1" t="str">
        <f>_xlfn.CONCAT(ElipseTabla!$F64,",",ElipseTabla!H64)</f>
        <v>74.7474747474747,31.875114388759</v>
      </c>
      <c r="B358" s="1" t="str">
        <f t="shared" si="6"/>
        <v>POINT 74.7474747474747,31.875114388759</v>
      </c>
    </row>
    <row r="359" spans="1:2" x14ac:dyDescent="0.6">
      <c r="A359" s="1" t="str">
        <f>_xlfn.CONCAT(ElipseTabla!$F65,",",ElipseTabla!H65)</f>
        <v>74.2424242424242,32.0009182970697</v>
      </c>
      <c r="B359" s="1" t="str">
        <f t="shared" si="6"/>
        <v>POINT 74.2424242424242,32.0009182970697</v>
      </c>
    </row>
    <row r="360" spans="1:2" x14ac:dyDescent="0.6">
      <c r="A360" s="1" t="str">
        <f>_xlfn.CONCAT(ElipseTabla!$F66,",",ElipseTabla!H66)</f>
        <v>73.7373737373737,32.130125488418</v>
      </c>
      <c r="B360" s="1" t="str">
        <f t="shared" si="6"/>
        <v>POINT 73.7373737373737,32.130125488418</v>
      </c>
    </row>
    <row r="361" spans="1:2" x14ac:dyDescent="0.6">
      <c r="A361" s="1" t="str">
        <f>_xlfn.CONCAT(ElipseTabla!$F67,",",ElipseTabla!H67)</f>
        <v>73.2323232323232,32.2628103366584</v>
      </c>
      <c r="B361" s="1" t="str">
        <f t="shared" si="6"/>
        <v>POINT 73.2323232323232,32.2628103366584</v>
      </c>
    </row>
    <row r="362" spans="1:2" x14ac:dyDescent="0.6">
      <c r="A362" s="1" t="str">
        <f>_xlfn.CONCAT(ElipseTabla!$F68,",",ElipseTabla!H68)</f>
        <v>72.7272727272727,32.3990514906227</v>
      </c>
      <c r="B362" s="1" t="str">
        <f t="shared" si="6"/>
        <v>POINT 72.7272727272727,32.3990514906227</v>
      </c>
    </row>
    <row r="363" spans="1:2" x14ac:dyDescent="0.6">
      <c r="A363" s="1" t="str">
        <f>_xlfn.CONCAT(ElipseTabla!$F69,",",ElipseTabla!H69)</f>
        <v>72.2222222222222,32.5389321950549</v>
      </c>
      <c r="B363" s="1" t="str">
        <f t="shared" si="6"/>
        <v>POINT 72.2222222222222,32.5389321950549</v>
      </c>
    </row>
    <row r="364" spans="1:2" x14ac:dyDescent="0.6">
      <c r="A364" s="1" t="str">
        <f>_xlfn.CONCAT(ElipseTabla!$F70,",",ElipseTabla!H70)</f>
        <v>71.7171717171717,32.6825406444605</v>
      </c>
      <c r="B364" s="1" t="str">
        <f t="shared" si="6"/>
        <v>POINT 71.7171717171717,32.6825406444605</v>
      </c>
    </row>
    <row r="365" spans="1:2" x14ac:dyDescent="0.6">
      <c r="A365" s="1" t="str">
        <f>_xlfn.CONCAT(ElipseTabla!$F71,",",ElipseTabla!H71)</f>
        <v>71.2121212121212,32.8299703740683</v>
      </c>
      <c r="B365" s="1" t="str">
        <f t="shared" si="6"/>
        <v>POINT 71.2121212121212,32.8299703740683</v>
      </c>
    </row>
    <row r="366" spans="1:2" x14ac:dyDescent="0.6">
      <c r="A366" s="1" t="str">
        <f>_xlfn.CONCAT(ElipseTabla!$F72,",",ElipseTabla!H72)</f>
        <v>70.7070707070707,32.9813206927588</v>
      </c>
      <c r="B366" s="1" t="str">
        <f t="shared" si="6"/>
        <v>POINT 70.7070707070707,32.9813206927588</v>
      </c>
    </row>
    <row r="367" spans="1:2" x14ac:dyDescent="0.6">
      <c r="A367" s="1" t="str">
        <f>_xlfn.CONCAT(ElipseTabla!$F73,",",ElipseTabla!H73)</f>
        <v>70.2020202020202,33.1366971635803</v>
      </c>
      <c r="B367" s="1" t="str">
        <f t="shared" si="6"/>
        <v>POINT 70.2020202020202,33.1366971635803</v>
      </c>
    </row>
    <row r="368" spans="1:2" x14ac:dyDescent="0.6">
      <c r="A368" s="1" t="str">
        <f>_xlfn.CONCAT(ElipseTabla!$F74,",",ElipseTabla!H74)</f>
        <v>69.6969696969697,33.2962121383915</v>
      </c>
      <c r="B368" s="1" t="str">
        <f t="shared" si="6"/>
        <v>POINT 69.6969696969697,33.2962121383915</v>
      </c>
    </row>
    <row r="369" spans="1:2" x14ac:dyDescent="0.6">
      <c r="A369" s="1" t="str">
        <f>_xlfn.CONCAT(ElipseTabla!$F75,",",ElipseTabla!H75)</f>
        <v>69.1919191919193,33.4599853542636</v>
      </c>
      <c r="B369" s="1" t="str">
        <f t="shared" si="6"/>
        <v>POINT 69.1919191919193,33.4599853542636</v>
      </c>
    </row>
    <row r="370" spans="1:2" x14ac:dyDescent="0.6">
      <c r="A370" s="1" t="str">
        <f>_xlfn.CONCAT(ElipseTabla!$F76,",",ElipseTabla!H76)</f>
        <v>68.6868686868688,33.6281446005815</v>
      </c>
      <c r="B370" s="1" t="str">
        <f t="shared" si="6"/>
        <v>POINT 68.6868686868688,33.6281446005815</v>
      </c>
    </row>
    <row r="371" spans="1:2" x14ac:dyDescent="0.6">
      <c r="A371" s="1" t="str">
        <f>_xlfn.CONCAT(ElipseTabla!$F77,",",ElipseTabla!H77)</f>
        <v>68.1818181818183,33.8008264673627</v>
      </c>
      <c r="B371" s="1" t="str">
        <f t="shared" si="6"/>
        <v>POINT 68.1818181818183,33.8008264673627</v>
      </c>
    </row>
    <row r="372" spans="1:2" x14ac:dyDescent="0.6">
      <c r="A372" s="1" t="str">
        <f>_xlfn.CONCAT(ElipseTabla!$F78,",",ElipseTabla!H78)</f>
        <v>67.6767676767678,33.9781771872155</v>
      </c>
      <c r="B372" s="1" t="str">
        <f t="shared" ref="B372:B407" si="7">_xlfn.CONCAT("POINT ",A372)</f>
        <v>POINT 67.6767676767678,33.9781771872155</v>
      </c>
    </row>
    <row r="373" spans="1:2" x14ac:dyDescent="0.6">
      <c r="A373" s="1" t="str">
        <f>_xlfn.CONCAT(ElipseTabla!$F79,",",ElipseTabla!H79)</f>
        <v>67.1717171717173,34.1603535856774</v>
      </c>
      <c r="B373" s="1" t="str">
        <f t="shared" si="7"/>
        <v>POINT 67.1717171717173,34.1603535856774</v>
      </c>
    </row>
    <row r="374" spans="1:2" x14ac:dyDescent="0.6">
      <c r="A374" s="1" t="str">
        <f>_xlfn.CONCAT(ElipseTabla!$F80,",",ElipseTabla!H80)</f>
        <v>66.6666666666668,34.3475241575014</v>
      </c>
      <c r="B374" s="1" t="str">
        <f t="shared" si="7"/>
        <v>POINT 66.6666666666668,34.3475241575014</v>
      </c>
    </row>
    <row r="375" spans="1:2" x14ac:dyDescent="0.6">
      <c r="A375" s="1" t="str">
        <f>_xlfn.CONCAT(ElipseTabla!$F81,",",ElipseTabla!H81)</f>
        <v>66.1616161616163,34.5398702899369</v>
      </c>
      <c r="B375" s="1" t="str">
        <f t="shared" si="7"/>
        <v>POINT 66.1616161616163,34.5398702899369</v>
      </c>
    </row>
    <row r="376" spans="1:2" x14ac:dyDescent="0.6">
      <c r="A376" s="1" t="str">
        <f>_xlfn.CONCAT(ElipseTabla!$F82,",",ElipseTabla!H82)</f>
        <v>65.6565656565658,34.7375876583455</v>
      </c>
      <c r="B376" s="1" t="str">
        <f t="shared" si="7"/>
        <v>POINT 65.6565656565658,34.7375876583455</v>
      </c>
    </row>
    <row r="377" spans="1:2" x14ac:dyDescent="0.6">
      <c r="A377" s="1" t="str">
        <f>_xlfn.CONCAT(ElipseTabla!$F83,",",ElipseTabla!H83)</f>
        <v>65.1515151515153,34.9408878248373</v>
      </c>
      <c r="B377" s="1" t="str">
        <f t="shared" si="7"/>
        <v>POINT 65.1515151515153,34.9408878248373</v>
      </c>
    </row>
    <row r="378" spans="1:2" x14ac:dyDescent="0.6">
      <c r="A378" s="1" t="str">
        <f>_xlfn.CONCAT(ElipseTabla!$F84,",",ElipseTabla!H84)</f>
        <v>64.6464646464648,35.1500000772957</v>
      </c>
      <c r="B378" s="1" t="str">
        <f t="shared" si="7"/>
        <v>POINT 64.6464646464648,35.1500000772957</v>
      </c>
    </row>
    <row r="379" spans="1:2" x14ac:dyDescent="0.6">
      <c r="A379" s="1" t="str">
        <f>_xlfn.CONCAT(ElipseTabla!$F85,",",ElipseTabla!H85)</f>
        <v>64.1414141414143,35.3651735545911</v>
      </c>
      <c r="B379" s="1" t="str">
        <f t="shared" si="7"/>
        <v>POINT 64.1414141414143,35.3651735545911</v>
      </c>
    </row>
    <row r="380" spans="1:2" x14ac:dyDescent="0.6">
      <c r="A380" s="1" t="str">
        <f>_xlfn.CONCAT(ElipseTabla!$F86,",",ElipseTabla!H86)</f>
        <v>63.6363636363639,35.586679714483</v>
      </c>
      <c r="B380" s="1" t="str">
        <f t="shared" si="7"/>
        <v>POINT 63.6363636363639,35.586679714483</v>
      </c>
    </row>
    <row r="381" spans="1:2" x14ac:dyDescent="0.6">
      <c r="A381" s="1" t="str">
        <f>_xlfn.CONCAT(ElipseTabla!$F87,",",ElipseTabla!H87)</f>
        <v>63.1313131313134,35.8148152144116</v>
      </c>
      <c r="B381" s="1" t="str">
        <f t="shared" si="7"/>
        <v>POINT 63.1313131313134,35.8148152144116</v>
      </c>
    </row>
    <row r="382" spans="1:2" x14ac:dyDescent="0.6">
      <c r="A382" s="1" t="str">
        <f>_xlfn.CONCAT(ElipseTabla!$F88,",",ElipseTabla!H88)</f>
        <v>62.6262626262629,36.0499052930663</v>
      </c>
      <c r="B382" s="1" t="str">
        <f t="shared" si="7"/>
        <v>POINT 62.6262626262629,36.0499052930663</v>
      </c>
    </row>
    <row r="383" spans="1:2" x14ac:dyDescent="0.6">
      <c r="A383" s="1" t="str">
        <f>_xlfn.CONCAT(ElipseTabla!$F89,",",ElipseTabla!H89)</f>
        <v>62.1212121212124,36.2923077636575</v>
      </c>
      <c r="B383" s="1" t="str">
        <f t="shared" si="7"/>
        <v>POINT 62.1212121212124,36.2923077636575</v>
      </c>
    </row>
    <row r="384" spans="1:2" x14ac:dyDescent="0.6">
      <c r="A384" s="1" t="str">
        <f>_xlfn.CONCAT(ElipseTabla!$F90,",",ElipseTabla!H90)</f>
        <v>61.6161616161619,36.5424177601292</v>
      </c>
      <c r="B384" s="1" t="str">
        <f t="shared" si="7"/>
        <v>POINT 61.6161616161619,36.5424177601292</v>
      </c>
    </row>
    <row r="385" spans="1:2" x14ac:dyDescent="0.6">
      <c r="A385" s="1" t="str">
        <f>_xlfn.CONCAT(ElipseTabla!$F91,",",ElipseTabla!H91)</f>
        <v>61.1111111111114,36.800673417851</v>
      </c>
      <c r="B385" s="1" t="str">
        <f t="shared" si="7"/>
        <v>POINT 61.1111111111114,36.800673417851</v>
      </c>
    </row>
    <row r="386" spans="1:2" x14ac:dyDescent="0.6">
      <c r="A386" s="1" t="str">
        <f>_xlfn.CONCAT(ElipseTabla!$F92,",",ElipseTabla!H92)</f>
        <v>60.6060606060609,37.067562724517</v>
      </c>
      <c r="B386" s="1" t="str">
        <f t="shared" si="7"/>
        <v>POINT 60.6060606060609,37.067562724517</v>
      </c>
    </row>
    <row r="387" spans="1:2" x14ac:dyDescent="0.6">
      <c r="A387" s="1" t="str">
        <f>_xlfn.CONCAT(ElipseTabla!$F93,",",ElipseTabla!H93)</f>
        <v>60.1010101010104,37.3436318507593</v>
      </c>
      <c r="B387" s="1" t="str">
        <f t="shared" si="7"/>
        <v>POINT 60.1010101010104,37.3436318507593</v>
      </c>
    </row>
    <row r="388" spans="1:2" x14ac:dyDescent="0.6">
      <c r="A388" s="1" t="str">
        <f>_xlfn.CONCAT(ElipseTabla!$F94,",",ElipseTabla!H94)</f>
        <v>59.5959595959599,37.6294953717861</v>
      </c>
      <c r="B388" s="1" t="str">
        <f t="shared" si="7"/>
        <v>POINT 59.5959595959599,37.6294953717861</v>
      </c>
    </row>
    <row r="389" spans="1:2" x14ac:dyDescent="0.6">
      <c r="A389" s="1" t="str">
        <f>_xlfn.CONCAT(ElipseTabla!$F95,",",ElipseTabla!H95)</f>
        <v>59.0909090909094,37.9258489339023</v>
      </c>
      <c r="B389" s="1" t="str">
        <f t="shared" si="7"/>
        <v>POINT 59.0909090909094,37.9258489339023</v>
      </c>
    </row>
    <row r="390" spans="1:2" x14ac:dyDescent="0.6">
      <c r="A390" s="1" t="str">
        <f>_xlfn.CONCAT(ElipseTabla!$F96,",",ElipseTabla!H96)</f>
        <v>58.5858585858589,38.2334851226045</v>
      </c>
      <c r="B390" s="1" t="str">
        <f t="shared" si="7"/>
        <v>POINT 58.5858585858589,38.2334851226045</v>
      </c>
    </row>
    <row r="391" spans="1:2" x14ac:dyDescent="0.6">
      <c r="A391" s="1" t="str">
        <f>_xlfn.CONCAT(ElipseTabla!$F97,",",ElipseTabla!H97)</f>
        <v>58.0808080808085,38.553313582712</v>
      </c>
      <c r="B391" s="1" t="str">
        <f t="shared" si="7"/>
        <v>POINT 58.0808080808085,38.553313582712</v>
      </c>
    </row>
    <row r="392" spans="1:2" x14ac:dyDescent="0.6">
      <c r="A392" s="1" t="str">
        <f>_xlfn.CONCAT(ElipseTabla!$F98,",",ElipseTabla!H98)</f>
        <v>57.575757575758,38.8863868749078</v>
      </c>
      <c r="B392" s="1" t="str">
        <f t="shared" si="7"/>
        <v>POINT 57.575757575758,38.8863868749078</v>
      </c>
    </row>
    <row r="393" spans="1:2" x14ac:dyDescent="0.6">
      <c r="A393" s="1" t="str">
        <f>_xlfn.CONCAT(ElipseTabla!$F99,",",ElipseTabla!H99)</f>
        <v>57.0707070707075,39.2339342081032</v>
      </c>
      <c r="B393" s="1" t="str">
        <f t="shared" si="7"/>
        <v>POINT 57.0707070707075,39.2339342081032</v>
      </c>
    </row>
    <row r="394" spans="1:2" x14ac:dyDescent="0.6">
      <c r="A394" s="1" t="str">
        <f>_xlfn.CONCAT(ElipseTabla!$F100,",",ElipseTabla!H100)</f>
        <v>56.565656565657,39.5974062004028</v>
      </c>
      <c r="B394" s="1" t="str">
        <f t="shared" si="7"/>
        <v>POINT 56.565656565657,39.5974062004028</v>
      </c>
    </row>
    <row r="395" spans="1:2" x14ac:dyDescent="0.6">
      <c r="A395" s="1" t="str">
        <f>_xlfn.CONCAT(ElipseTabla!$F101,",",ElipseTabla!H101)</f>
        <v>56.0606060606065,39.9785354330755</v>
      </c>
      <c r="B395" s="1" t="str">
        <f t="shared" si="7"/>
        <v>POINT 56.0606060606065,39.9785354330755</v>
      </c>
    </row>
    <row r="396" spans="1:2" x14ac:dyDescent="0.6">
      <c r="A396" s="1" t="str">
        <f>_xlfn.CONCAT(ElipseTabla!$F102,",",ElipseTabla!H102)</f>
        <v>55.555555555556,40.3794202068918</v>
      </c>
      <c r="B396" s="1" t="str">
        <f t="shared" si="7"/>
        <v>POINT 55.555555555556,40.3794202068918</v>
      </c>
    </row>
    <row r="397" spans="1:2" x14ac:dyDescent="0.6">
      <c r="A397" s="1" t="str">
        <f>_xlfn.CONCAT(ElipseTabla!$F103,",",ElipseTabla!H103)</f>
        <v>55.0505050505055,40.8026434108631</v>
      </c>
      <c r="B397" s="1" t="str">
        <f t="shared" si="7"/>
        <v>POINT 55.0505050505055,40.8026434108631</v>
      </c>
    </row>
    <row r="398" spans="1:2" x14ac:dyDescent="0.6">
      <c r="A398" s="1" t="str">
        <f>_xlfn.CONCAT(ElipseTabla!$F104,",",ElipseTabla!H104)</f>
        <v>54.545454545455,41.2514464005384</v>
      </c>
      <c r="B398" s="1" t="str">
        <f t="shared" si="7"/>
        <v>POINT 54.545454545455,41.2514464005384</v>
      </c>
    </row>
    <row r="399" spans="1:2" x14ac:dyDescent="0.6">
      <c r="A399" s="1" t="str">
        <f>_xlfn.CONCAT(ElipseTabla!$F105,",",ElipseTabla!H105)</f>
        <v>54.0404040404045,41.7299926771313</v>
      </c>
      <c r="B399" s="1" t="str">
        <f t="shared" si="7"/>
        <v>POINT 54.0404040404045,41.7299926771313</v>
      </c>
    </row>
    <row r="400" spans="1:2" x14ac:dyDescent="0.6">
      <c r="A400" s="1" t="str">
        <f>_xlfn.CONCAT(ElipseTabla!$F106,",",ElipseTabla!H106)</f>
        <v>53.535353535354,42.2437856308191</v>
      </c>
      <c r="B400" s="1" t="str">
        <f t="shared" si="7"/>
        <v>POINT 53.535353535354,42.2437856308191</v>
      </c>
    </row>
    <row r="401" spans="1:2" x14ac:dyDescent="0.6">
      <c r="A401" s="1" t="str">
        <f>_xlfn.CONCAT(ElipseTabla!$F107,",",ElipseTabla!H107)</f>
        <v>53.0303030303035,42.8003673188273</v>
      </c>
      <c r="B401" s="1" t="str">
        <f t="shared" si="7"/>
        <v>POINT 53.0303030303035,42.8003673188273</v>
      </c>
    </row>
    <row r="402" spans="1:2" x14ac:dyDescent="0.6">
      <c r="A402" s="1" t="str">
        <f>_xlfn.CONCAT(ElipseTabla!$F108,",",ElipseTabla!H108)</f>
        <v>52.5252525252531,43.4105713958137</v>
      </c>
      <c r="B402" s="1" t="str">
        <f t="shared" si="7"/>
        <v>POINT 52.5252525252531,43.4105713958137</v>
      </c>
    </row>
    <row r="403" spans="1:2" x14ac:dyDescent="0.6">
      <c r="A403" s="1" t="str">
        <f>_xlfn.CONCAT(ElipseTabla!$F109,",",ElipseTabla!H109)</f>
        <v>52.0202020202026,44.0909867914969</v>
      </c>
      <c r="B403" s="1" t="str">
        <f t="shared" si="7"/>
        <v>POINT 52.0202020202026,44.0909867914969</v>
      </c>
    </row>
    <row r="404" spans="1:2" x14ac:dyDescent="0.6">
      <c r="A404" s="1" t="str">
        <f>_xlfn.CONCAT(ElipseTabla!$F110,",",ElipseTabla!H110)</f>
        <v>51.5151515151521,44.8694723419909</v>
      </c>
      <c r="B404" s="1" t="str">
        <f t="shared" si="7"/>
        <v>POINT 51.5151515151521,44.8694723419909</v>
      </c>
    </row>
    <row r="405" spans="1:2" x14ac:dyDescent="0.6">
      <c r="A405" s="1" t="str">
        <f>_xlfn.CONCAT(ElipseTabla!$F111,",",ElipseTabla!H111)</f>
        <v>51.0101010101016,45.8002142693151</v>
      </c>
      <c r="B405" s="1" t="str">
        <f t="shared" si="7"/>
        <v>POINT 51.0101010101016,45.8002142693151</v>
      </c>
    </row>
    <row r="406" spans="1:2" x14ac:dyDescent="0.6">
      <c r="A406" s="1" t="str">
        <f>_xlfn.CONCAT(ElipseTabla!$F112,",",ElipseTabla!H112)</f>
        <v>50.5050505050511,47.0227369111096</v>
      </c>
      <c r="B406" s="1" t="str">
        <f t="shared" si="7"/>
        <v>POINT 50.5050505050511,47.0227369111096</v>
      </c>
    </row>
    <row r="407" spans="1:2" x14ac:dyDescent="0.6">
      <c r="A407" s="1" t="str">
        <f>_xlfn.CONCAT(ElipseTabla!$F113,",",ElipseTabla!H113)</f>
        <v>50.0000000000006,49.9999967555309</v>
      </c>
      <c r="B407" s="1" t="str">
        <f t="shared" si="7"/>
        <v>POINT 50.0000000000006,49.9999967555309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zoomScale="160" zoomScaleNormal="160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9765625" style="1" customWidth="1"/>
    <col min="9" max="9" width="2.796875" style="1" customWidth="1"/>
    <col min="10" max="16384" width="10.6640625" style="1"/>
  </cols>
  <sheetData>
    <row r="1" spans="2:11" x14ac:dyDescent="0.6">
      <c r="H1" s="53" t="s">
        <v>43</v>
      </c>
    </row>
    <row r="3" spans="2:11" x14ac:dyDescent="0.6">
      <c r="B3" s="56" t="s">
        <v>41</v>
      </c>
      <c r="C3" s="57"/>
      <c r="D3" s="60"/>
      <c r="E3" s="41"/>
      <c r="F3" s="9"/>
      <c r="G3" s="9"/>
      <c r="H3" s="10"/>
    </row>
    <row r="4" spans="2:11" x14ac:dyDescent="0.6">
      <c r="B4" s="58"/>
      <c r="C4" s="59"/>
      <c r="D4" s="61"/>
      <c r="E4" s="49"/>
      <c r="H4" s="11"/>
    </row>
    <row r="5" spans="2:11" x14ac:dyDescent="0.6">
      <c r="B5" s="2" t="s">
        <v>13</v>
      </c>
      <c r="C5" s="14"/>
      <c r="D5" s="45" t="s">
        <v>14</v>
      </c>
      <c r="E5" s="49"/>
      <c r="H5" s="11"/>
    </row>
    <row r="6" spans="2:11" x14ac:dyDescent="0.6">
      <c r="B6" s="15" t="s">
        <v>42</v>
      </c>
      <c r="C6" s="17"/>
      <c r="D6" s="46">
        <v>4</v>
      </c>
      <c r="E6" s="49"/>
      <c r="H6" s="11"/>
      <c r="K6"/>
    </row>
    <row r="7" spans="2:11" x14ac:dyDescent="0.6">
      <c r="B7" s="15" t="s">
        <v>1</v>
      </c>
      <c r="C7" s="17"/>
      <c r="D7" s="46">
        <v>105</v>
      </c>
      <c r="E7" s="49"/>
      <c r="H7" s="11"/>
    </row>
    <row r="8" spans="2:11" x14ac:dyDescent="0.6">
      <c r="B8" s="15" t="s">
        <v>0</v>
      </c>
      <c r="C8" s="17"/>
      <c r="D8" s="46">
        <v>68</v>
      </c>
      <c r="E8" s="49"/>
      <c r="H8" s="11"/>
    </row>
    <row r="9" spans="2:11" x14ac:dyDescent="0.6">
      <c r="B9" s="15" t="s">
        <v>12</v>
      </c>
      <c r="C9" s="17"/>
      <c r="D9" s="46">
        <v>99</v>
      </c>
      <c r="E9" s="50"/>
      <c r="F9" s="12"/>
      <c r="G9" s="12"/>
      <c r="H9" s="13"/>
    </row>
    <row r="10" spans="2:11" x14ac:dyDescent="0.6">
      <c r="B10" s="20" t="s">
        <v>15</v>
      </c>
      <c r="C10" s="4" t="s">
        <v>6</v>
      </c>
      <c r="D10" s="4" t="s">
        <v>8</v>
      </c>
      <c r="E10" s="47" t="s">
        <v>9</v>
      </c>
      <c r="F10" s="47" t="s">
        <v>7</v>
      </c>
      <c r="G10" s="47" t="s">
        <v>10</v>
      </c>
      <c r="H10" s="48" t="s">
        <v>11</v>
      </c>
      <c r="J10"/>
    </row>
    <row r="11" spans="2:11" x14ac:dyDescent="0.6">
      <c r="B11" s="21">
        <v>1</v>
      </c>
      <c r="C11" s="5">
        <v>0</v>
      </c>
      <c r="D11" s="5">
        <f t="shared" ref="D11:D42" si="0">((1-($C11/a_superelipse)^n_superelipse)^(1/n_superelipse))*b_superelipse</f>
        <v>68</v>
      </c>
      <c r="E11" s="5">
        <f>-D11</f>
        <v>-68</v>
      </c>
      <c r="F11" s="5">
        <f>C11</f>
        <v>0</v>
      </c>
      <c r="G11" s="5">
        <f>D11</f>
        <v>68</v>
      </c>
      <c r="H11" s="6">
        <f>E11</f>
        <v>-68</v>
      </c>
    </row>
    <row r="12" spans="2:11" x14ac:dyDescent="0.6">
      <c r="B12" s="21">
        <v>2</v>
      </c>
      <c r="C12" s="5">
        <f t="shared" ref="C12:C43" si="1">IF((a_superelipse/np_superelipse)+C11&gt;=a_superelipse,a_superelipse,(a_superelipse/np_superelipse)+C11)</f>
        <v>1.0606060606060606</v>
      </c>
      <c r="D12" s="5">
        <f t="shared" si="0"/>
        <v>67.999999823026542</v>
      </c>
      <c r="E12" s="5">
        <f>-D12</f>
        <v>-67.999999823026542</v>
      </c>
      <c r="F12" s="5">
        <f>(F11-(C12-C11))</f>
        <v>-1.0606060606060606</v>
      </c>
      <c r="G12" s="5">
        <f t="shared" ref="G12:H75" si="2">D12</f>
        <v>67.999999823026542</v>
      </c>
      <c r="H12" s="6">
        <f>E12</f>
        <v>-67.999999823026542</v>
      </c>
    </row>
    <row r="13" spans="2:11" x14ac:dyDescent="0.6">
      <c r="B13" s="21">
        <v>3</v>
      </c>
      <c r="C13" s="5">
        <f t="shared" si="1"/>
        <v>2.1212121212121211</v>
      </c>
      <c r="D13" s="5">
        <f t="shared" si="0"/>
        <v>67.999997168424457</v>
      </c>
      <c r="E13" s="5">
        <f>-D13</f>
        <v>-67.999997168424457</v>
      </c>
      <c r="F13" s="5">
        <f t="shared" ref="F13:F76" si="3">(F12-(C13-C12))</f>
        <v>-2.1212121212121211</v>
      </c>
      <c r="G13" s="5">
        <f t="shared" si="2"/>
        <v>67.999997168424457</v>
      </c>
      <c r="H13" s="6">
        <f t="shared" si="2"/>
        <v>-67.999997168424457</v>
      </c>
    </row>
    <row r="14" spans="2:11" x14ac:dyDescent="0.6">
      <c r="B14" s="21">
        <v>4</v>
      </c>
      <c r="C14" s="5">
        <f t="shared" si="1"/>
        <v>3.1818181818181817</v>
      </c>
      <c r="D14" s="5">
        <f t="shared" si="0"/>
        <v>67.999985665145175</v>
      </c>
      <c r="E14" s="5">
        <f t="shared" ref="E14:E75" si="4">-D14</f>
        <v>-67.999985665145175</v>
      </c>
      <c r="F14" s="5">
        <f t="shared" si="3"/>
        <v>-3.1818181818181817</v>
      </c>
      <c r="G14" s="5">
        <f t="shared" si="2"/>
        <v>67.999985665145175</v>
      </c>
      <c r="H14" s="6">
        <f>E14</f>
        <v>-67.999985665145175</v>
      </c>
    </row>
    <row r="15" spans="2:11" x14ac:dyDescent="0.6">
      <c r="B15" s="21">
        <v>5</v>
      </c>
      <c r="C15" s="5">
        <f t="shared" si="1"/>
        <v>4.2424242424242422</v>
      </c>
      <c r="D15" s="5">
        <f t="shared" si="0"/>
        <v>67.999954694748851</v>
      </c>
      <c r="E15" s="5">
        <f t="shared" si="4"/>
        <v>-67.999954694748851</v>
      </c>
      <c r="F15" s="5">
        <f t="shared" si="3"/>
        <v>-4.2424242424242422</v>
      </c>
      <c r="G15" s="5">
        <f t="shared" si="2"/>
        <v>67.999954694748851</v>
      </c>
      <c r="H15" s="6">
        <f>E15</f>
        <v>-67.999954694748851</v>
      </c>
    </row>
    <row r="16" spans="2:11" x14ac:dyDescent="0.6">
      <c r="B16" s="21">
        <v>6</v>
      </c>
      <c r="C16" s="5">
        <f t="shared" si="1"/>
        <v>5.3030303030303028</v>
      </c>
      <c r="D16" s="5">
        <f t="shared" si="0"/>
        <v>67.999889391317339</v>
      </c>
      <c r="E16" s="5">
        <f t="shared" si="4"/>
        <v>-67.999889391317339</v>
      </c>
      <c r="F16" s="5">
        <f t="shared" si="3"/>
        <v>-5.3030303030303028</v>
      </c>
      <c r="G16" s="5">
        <f t="shared" si="2"/>
        <v>67.999889391317339</v>
      </c>
      <c r="H16" s="6">
        <f>E16</f>
        <v>-67.999889391317339</v>
      </c>
    </row>
    <row r="17" spans="2:8" x14ac:dyDescent="0.6">
      <c r="B17" s="21">
        <v>7</v>
      </c>
      <c r="C17" s="5">
        <f t="shared" si="1"/>
        <v>6.3636363636363633</v>
      </c>
      <c r="D17" s="5">
        <f t="shared" si="0"/>
        <v>67.999770641234818</v>
      </c>
      <c r="E17" s="5">
        <f t="shared" si="4"/>
        <v>-67.999770641234818</v>
      </c>
      <c r="F17" s="5">
        <f t="shared" si="3"/>
        <v>-6.3636363636363633</v>
      </c>
      <c r="G17" s="5">
        <f t="shared" si="2"/>
        <v>67.999770641234818</v>
      </c>
      <c r="H17" s="6">
        <f>E17</f>
        <v>-67.999770641234818</v>
      </c>
    </row>
    <row r="18" spans="2:8" x14ac:dyDescent="0.6">
      <c r="B18" s="21">
        <v>8</v>
      </c>
      <c r="C18" s="5">
        <f t="shared" si="1"/>
        <v>7.4242424242424239</v>
      </c>
      <c r="D18" s="5">
        <f t="shared" si="0"/>
        <v>67.999575082738616</v>
      </c>
      <c r="E18" s="5">
        <f t="shared" si="4"/>
        <v>-67.999575082738616</v>
      </c>
      <c r="F18" s="5">
        <f t="shared" si="3"/>
        <v>-7.4242424242424239</v>
      </c>
      <c r="G18" s="5">
        <f t="shared" si="2"/>
        <v>67.999575082738616</v>
      </c>
      <c r="H18" s="6">
        <f t="shared" si="2"/>
        <v>-67.999575082738616</v>
      </c>
    </row>
    <row r="19" spans="2:8" x14ac:dyDescent="0.6">
      <c r="B19" s="21">
        <v>9</v>
      </c>
      <c r="C19" s="5">
        <f t="shared" si="1"/>
        <v>8.4848484848484844</v>
      </c>
      <c r="D19" s="5">
        <f t="shared" si="0"/>
        <v>67.999275105114705</v>
      </c>
      <c r="E19" s="5">
        <f t="shared" si="4"/>
        <v>-67.999275105114705</v>
      </c>
      <c r="F19" s="5">
        <f t="shared" si="3"/>
        <v>-8.4848484848484844</v>
      </c>
      <c r="G19" s="5">
        <f t="shared" si="2"/>
        <v>67.999275105114705</v>
      </c>
      <c r="H19" s="6">
        <f t="shared" si="2"/>
        <v>-67.999275105114705</v>
      </c>
    </row>
    <row r="20" spans="2:8" x14ac:dyDescent="0.6">
      <c r="B20" s="21">
        <v>10</v>
      </c>
      <c r="C20" s="5">
        <f t="shared" si="1"/>
        <v>9.545454545454545</v>
      </c>
      <c r="D20" s="5">
        <f t="shared" si="0"/>
        <v>67.998838847384846</v>
      </c>
      <c r="E20" s="5">
        <f t="shared" si="4"/>
        <v>-67.998838847384846</v>
      </c>
      <c r="F20" s="5">
        <f t="shared" si="3"/>
        <v>-9.545454545454545</v>
      </c>
      <c r="G20" s="5">
        <f t="shared" si="2"/>
        <v>67.998838847384846</v>
      </c>
      <c r="H20" s="6">
        <f t="shared" si="2"/>
        <v>-67.998838847384846</v>
      </c>
    </row>
    <row r="21" spans="2:8" x14ac:dyDescent="0.6">
      <c r="B21" s="21">
        <v>11</v>
      </c>
      <c r="C21" s="5">
        <f t="shared" si="1"/>
        <v>10.606060606060606</v>
      </c>
      <c r="D21" s="5">
        <f t="shared" si="0"/>
        <v>67.998230196303766</v>
      </c>
      <c r="E21" s="5">
        <f t="shared" si="4"/>
        <v>-67.998230196303766</v>
      </c>
      <c r="F21" s="5">
        <f t="shared" si="3"/>
        <v>-10.606060606060606</v>
      </c>
      <c r="G21" s="5">
        <f t="shared" si="2"/>
        <v>67.998230196303766</v>
      </c>
      <c r="H21" s="6">
        <f t="shared" si="2"/>
        <v>-67.998230196303766</v>
      </c>
    </row>
    <row r="22" spans="2:8" x14ac:dyDescent="0.6">
      <c r="B22" s="21">
        <v>12</v>
      </c>
      <c r="C22" s="5">
        <f t="shared" si="1"/>
        <v>11.666666666666666</v>
      </c>
      <c r="D22" s="5">
        <f t="shared" si="0"/>
        <v>67.997408783457246</v>
      </c>
      <c r="E22" s="5">
        <f t="shared" si="4"/>
        <v>-67.997408783457246</v>
      </c>
      <c r="F22" s="5">
        <f t="shared" si="3"/>
        <v>-11.666666666666666</v>
      </c>
      <c r="G22" s="5">
        <f t="shared" si="2"/>
        <v>67.997408783457246</v>
      </c>
      <c r="H22" s="6">
        <f t="shared" si="2"/>
        <v>-67.997408783457246</v>
      </c>
    </row>
    <row r="23" spans="2:8" x14ac:dyDescent="0.6">
      <c r="B23" s="21">
        <v>13</v>
      </c>
      <c r="C23" s="5">
        <f t="shared" si="1"/>
        <v>12.727272727272727</v>
      </c>
      <c r="D23" s="5">
        <f t="shared" si="0"/>
        <v>67.996329981223326</v>
      </c>
      <c r="E23" s="5">
        <f t="shared" si="4"/>
        <v>-67.996329981223326</v>
      </c>
      <c r="F23" s="5">
        <f t="shared" si="3"/>
        <v>-12.727272727272727</v>
      </c>
      <c r="G23" s="5">
        <f t="shared" si="2"/>
        <v>67.996329981223326</v>
      </c>
      <c r="H23" s="6">
        <f t="shared" si="2"/>
        <v>-67.996329981223326</v>
      </c>
    </row>
    <row r="24" spans="2:8" x14ac:dyDescent="0.6">
      <c r="B24" s="21">
        <v>14</v>
      </c>
      <c r="C24" s="5">
        <f t="shared" si="1"/>
        <v>13.787878787878787</v>
      </c>
      <c r="D24" s="5">
        <f t="shared" si="0"/>
        <v>67.994944897330981</v>
      </c>
      <c r="E24" s="5">
        <f t="shared" si="4"/>
        <v>-67.994944897330981</v>
      </c>
      <c r="F24" s="5">
        <f t="shared" si="3"/>
        <v>-13.787878787878787</v>
      </c>
      <c r="G24" s="5">
        <f t="shared" si="2"/>
        <v>67.994944897330981</v>
      </c>
      <c r="H24" s="6">
        <f t="shared" si="2"/>
        <v>-67.994944897330981</v>
      </c>
    </row>
    <row r="25" spans="2:8" x14ac:dyDescent="0.6">
      <c r="B25" s="21">
        <v>15</v>
      </c>
      <c r="C25" s="5">
        <f t="shared" si="1"/>
        <v>14.848484848484848</v>
      </c>
      <c r="D25" s="5">
        <f t="shared" si="0"/>
        <v>67.993200367721016</v>
      </c>
      <c r="E25" s="5">
        <f t="shared" si="4"/>
        <v>-67.993200367721016</v>
      </c>
      <c r="F25" s="5">
        <f t="shared" si="3"/>
        <v>-14.848484848484848</v>
      </c>
      <c r="G25" s="5">
        <f t="shared" si="2"/>
        <v>67.993200367721016</v>
      </c>
      <c r="H25" s="6">
        <f t="shared" si="2"/>
        <v>-67.993200367721016</v>
      </c>
    </row>
    <row r="26" spans="2:8" x14ac:dyDescent="0.6">
      <c r="B26" s="21">
        <v>16</v>
      </c>
      <c r="C26" s="5">
        <f t="shared" si="1"/>
        <v>15.909090909090908</v>
      </c>
      <c r="D26" s="5">
        <f t="shared" si="0"/>
        <v>67.991038947385732</v>
      </c>
      <c r="E26" s="5">
        <f t="shared" si="4"/>
        <v>-67.991038947385732</v>
      </c>
      <c r="F26" s="5">
        <f t="shared" si="3"/>
        <v>-15.909090909090908</v>
      </c>
      <c r="G26" s="5">
        <f t="shared" si="2"/>
        <v>67.991038947385732</v>
      </c>
      <c r="H26" s="6">
        <f t="shared" si="2"/>
        <v>-67.991038947385732</v>
      </c>
    </row>
    <row r="27" spans="2:8" x14ac:dyDescent="0.6">
      <c r="B27" s="21">
        <v>17</v>
      </c>
      <c r="C27" s="5">
        <f t="shared" si="1"/>
        <v>16.969696969696969</v>
      </c>
      <c r="D27" s="5">
        <f t="shared" si="0"/>
        <v>67.988398898833651</v>
      </c>
      <c r="E27" s="5">
        <f t="shared" si="4"/>
        <v>-67.988398898833651</v>
      </c>
      <c r="F27" s="5">
        <f t="shared" si="3"/>
        <v>-16.969696969696969</v>
      </c>
      <c r="G27" s="5">
        <f t="shared" si="2"/>
        <v>67.988398898833651</v>
      </c>
      <c r="H27" s="6">
        <f t="shared" si="2"/>
        <v>-67.988398898833651</v>
      </c>
    </row>
    <row r="28" spans="2:8" x14ac:dyDescent="0.6">
      <c r="B28" s="21">
        <v>18</v>
      </c>
      <c r="C28" s="5">
        <f t="shared" si="1"/>
        <v>18.030303030303031</v>
      </c>
      <c r="D28" s="5">
        <f t="shared" si="0"/>
        <v>67.985214177795527</v>
      </c>
      <c r="E28" s="5">
        <f t="shared" si="4"/>
        <v>-67.985214177795527</v>
      </c>
      <c r="F28" s="5">
        <f t="shared" si="3"/>
        <v>-18.030303030303031</v>
      </c>
      <c r="G28" s="5">
        <f t="shared" si="2"/>
        <v>67.985214177795527</v>
      </c>
      <c r="H28" s="6">
        <f t="shared" si="2"/>
        <v>-67.985214177795527</v>
      </c>
    </row>
    <row r="29" spans="2:8" x14ac:dyDescent="0.6">
      <c r="B29" s="21">
        <v>19</v>
      </c>
      <c r="C29" s="5">
        <f t="shared" si="1"/>
        <v>19.090909090909093</v>
      </c>
      <c r="D29" s="5">
        <f t="shared" si="0"/>
        <v>67.981414415756589</v>
      </c>
      <c r="E29" s="5">
        <f t="shared" si="4"/>
        <v>-67.981414415756589</v>
      </c>
      <c r="F29" s="5">
        <f t="shared" si="3"/>
        <v>-19.090909090909093</v>
      </c>
      <c r="G29" s="5">
        <f t="shared" si="2"/>
        <v>67.981414415756589</v>
      </c>
      <c r="H29" s="6">
        <f t="shared" si="2"/>
        <v>-67.981414415756589</v>
      </c>
    </row>
    <row r="30" spans="2:8" x14ac:dyDescent="0.6">
      <c r="B30" s="21">
        <v>20</v>
      </c>
      <c r="C30" s="5">
        <f t="shared" si="1"/>
        <v>20.151515151515156</v>
      </c>
      <c r="D30" s="5">
        <f t="shared" si="0"/>
        <v>67.976924898867836</v>
      </c>
      <c r="E30" s="5">
        <f t="shared" si="4"/>
        <v>-67.976924898867836</v>
      </c>
      <c r="F30" s="5">
        <f t="shared" si="3"/>
        <v>-20.151515151515156</v>
      </c>
      <c r="G30" s="5">
        <f t="shared" si="2"/>
        <v>67.976924898867836</v>
      </c>
      <c r="H30" s="6">
        <f t="shared" si="2"/>
        <v>-67.976924898867836</v>
      </c>
    </row>
    <row r="31" spans="2:8" x14ac:dyDescent="0.6">
      <c r="B31" s="21">
        <v>21</v>
      </c>
      <c r="C31" s="5">
        <f t="shared" si="1"/>
        <v>21.212121212121218</v>
      </c>
      <c r="D31" s="5">
        <f t="shared" si="0"/>
        <v>67.971666542755671</v>
      </c>
      <c r="E31" s="5">
        <f t="shared" si="4"/>
        <v>-67.971666542755671</v>
      </c>
      <c r="F31" s="5">
        <f t="shared" si="3"/>
        <v>-21.212121212121218</v>
      </c>
      <c r="G31" s="5">
        <f t="shared" si="2"/>
        <v>67.971666542755671</v>
      </c>
      <c r="H31" s="6">
        <f t="shared" si="2"/>
        <v>-67.971666542755671</v>
      </c>
    </row>
    <row r="32" spans="2:8" x14ac:dyDescent="0.6">
      <c r="B32" s="21">
        <v>22</v>
      </c>
      <c r="C32" s="5">
        <f t="shared" si="1"/>
        <v>22.27272727272728</v>
      </c>
      <c r="D32" s="5">
        <f t="shared" si="0"/>
        <v>67.965555862714169</v>
      </c>
      <c r="E32" s="5">
        <f t="shared" si="4"/>
        <v>-67.965555862714169</v>
      </c>
      <c r="F32" s="5">
        <f t="shared" si="3"/>
        <v>-22.27272727272728</v>
      </c>
      <c r="G32" s="5">
        <f t="shared" si="2"/>
        <v>67.965555862714169</v>
      </c>
      <c r="H32" s="6">
        <f t="shared" si="2"/>
        <v>-67.965555862714169</v>
      </c>
    </row>
    <row r="33" spans="2:8" x14ac:dyDescent="0.6">
      <c r="B33" s="21">
        <v>23</v>
      </c>
      <c r="C33" s="5">
        <f t="shared" si="1"/>
        <v>23.333333333333343</v>
      </c>
      <c r="D33" s="5">
        <f t="shared" si="0"/>
        <v>67.958504938726989</v>
      </c>
      <c r="E33" s="5">
        <f t="shared" si="4"/>
        <v>-67.958504938726989</v>
      </c>
      <c r="F33" s="5">
        <f t="shared" si="3"/>
        <v>-23.333333333333343</v>
      </c>
      <c r="G33" s="5">
        <f t="shared" si="2"/>
        <v>67.958504938726989</v>
      </c>
      <c r="H33" s="6">
        <f t="shared" si="2"/>
        <v>-67.958504938726989</v>
      </c>
    </row>
    <row r="34" spans="2:8" x14ac:dyDescent="0.6">
      <c r="B34" s="21">
        <v>24</v>
      </c>
      <c r="C34" s="5">
        <f t="shared" si="1"/>
        <v>24.393939393939405</v>
      </c>
      <c r="D34" s="5">
        <f t="shared" si="0"/>
        <v>67.950421374727512</v>
      </c>
      <c r="E34" s="5">
        <f t="shared" si="4"/>
        <v>-67.950421374727512</v>
      </c>
      <c r="F34" s="5">
        <f t="shared" si="3"/>
        <v>-24.393939393939405</v>
      </c>
      <c r="G34" s="5">
        <f t="shared" si="2"/>
        <v>67.950421374727512</v>
      </c>
      <c r="H34" s="6">
        <f t="shared" si="2"/>
        <v>-67.950421374727512</v>
      </c>
    </row>
    <row r="35" spans="2:8" x14ac:dyDescent="0.6">
      <c r="B35" s="21">
        <v>25</v>
      </c>
      <c r="C35" s="5">
        <f t="shared" si="1"/>
        <v>25.454545454545467</v>
      </c>
      <c r="D35" s="5">
        <f t="shared" si="0"/>
        <v>67.941208251462925</v>
      </c>
      <c r="E35" s="5">
        <f t="shared" si="4"/>
        <v>-67.941208251462925</v>
      </c>
      <c r="F35" s="5">
        <f t="shared" si="3"/>
        <v>-25.454545454545467</v>
      </c>
      <c r="G35" s="5">
        <f t="shared" si="2"/>
        <v>67.941208251462925</v>
      </c>
      <c r="H35" s="6">
        <f t="shared" si="2"/>
        <v>-67.941208251462925</v>
      </c>
    </row>
    <row r="36" spans="2:8" x14ac:dyDescent="0.6">
      <c r="B36" s="21">
        <v>26</v>
      </c>
      <c r="C36" s="5">
        <f t="shared" si="1"/>
        <v>26.51515151515153</v>
      </c>
      <c r="D36" s="5">
        <f t="shared" si="0"/>
        <v>67.930764072284205</v>
      </c>
      <c r="E36" s="5">
        <f t="shared" si="4"/>
        <v>-67.930764072284205</v>
      </c>
      <c r="F36" s="5">
        <f t="shared" si="3"/>
        <v>-26.51515151515153</v>
      </c>
      <c r="G36" s="5">
        <f t="shared" si="2"/>
        <v>67.930764072284205</v>
      </c>
      <c r="H36" s="6">
        <f t="shared" si="2"/>
        <v>-67.930764072284205</v>
      </c>
    </row>
    <row r="37" spans="2:8" x14ac:dyDescent="0.6">
      <c r="B37" s="21">
        <v>27</v>
      </c>
      <c r="C37" s="5">
        <f t="shared" si="1"/>
        <v>27.575757575757592</v>
      </c>
      <c r="D37" s="5">
        <f t="shared" si="0"/>
        <v>67.918982701134496</v>
      </c>
      <c r="E37" s="5">
        <f t="shared" si="4"/>
        <v>-67.918982701134496</v>
      </c>
      <c r="F37" s="5">
        <f t="shared" si="3"/>
        <v>-27.575757575757592</v>
      </c>
      <c r="G37" s="5">
        <f t="shared" si="2"/>
        <v>67.918982701134496</v>
      </c>
      <c r="H37" s="6">
        <f t="shared" si="2"/>
        <v>-67.918982701134496</v>
      </c>
    </row>
    <row r="38" spans="2:8" x14ac:dyDescent="0.6">
      <c r="B38" s="21">
        <v>28</v>
      </c>
      <c r="C38" s="5">
        <f t="shared" si="1"/>
        <v>28.636363636363654</v>
      </c>
      <c r="D38" s="5">
        <f t="shared" si="0"/>
        <v>67.905753291956003</v>
      </c>
      <c r="E38" s="5">
        <f t="shared" si="4"/>
        <v>-67.905753291956003</v>
      </c>
      <c r="F38" s="5">
        <f t="shared" si="3"/>
        <v>-28.636363636363654</v>
      </c>
      <c r="G38" s="5">
        <f t="shared" si="2"/>
        <v>67.905753291956003</v>
      </c>
      <c r="H38" s="6">
        <f t="shared" si="2"/>
        <v>-67.905753291956003</v>
      </c>
    </row>
    <row r="39" spans="2:8" x14ac:dyDescent="0.6">
      <c r="B39" s="21">
        <v>29</v>
      </c>
      <c r="C39" s="5">
        <f t="shared" si="1"/>
        <v>29.696969696969717</v>
      </c>
      <c r="D39" s="5">
        <f t="shared" si="0"/>
        <v>67.890960208678052</v>
      </c>
      <c r="E39" s="5">
        <f t="shared" si="4"/>
        <v>-67.890960208678052</v>
      </c>
      <c r="F39" s="5">
        <f t="shared" si="3"/>
        <v>-29.696969696969717</v>
      </c>
      <c r="G39" s="5">
        <f t="shared" si="2"/>
        <v>67.890960208678052</v>
      </c>
      <c r="H39" s="6">
        <f t="shared" si="2"/>
        <v>-67.890960208678052</v>
      </c>
    </row>
    <row r="40" spans="2:8" x14ac:dyDescent="0.6">
      <c r="B40" s="21">
        <v>30</v>
      </c>
      <c r="C40" s="5">
        <f t="shared" si="1"/>
        <v>30.757575757575779</v>
      </c>
      <c r="D40" s="5">
        <f t="shared" si="0"/>
        <v>67.874482934885208</v>
      </c>
      <c r="E40" s="5">
        <f t="shared" si="4"/>
        <v>-67.874482934885208</v>
      </c>
      <c r="F40" s="5">
        <f t="shared" si="3"/>
        <v>-30.757575757575779</v>
      </c>
      <c r="G40" s="5">
        <f t="shared" si="2"/>
        <v>67.874482934885208</v>
      </c>
      <c r="H40" s="6">
        <f t="shared" si="2"/>
        <v>-67.874482934885208</v>
      </c>
    </row>
    <row r="41" spans="2:8" x14ac:dyDescent="0.6">
      <c r="B41" s="21">
        <v>31</v>
      </c>
      <c r="C41" s="5">
        <f t="shared" si="1"/>
        <v>31.818181818181841</v>
      </c>
      <c r="D41" s="5">
        <f t="shared" si="0"/>
        <v>67.856195972194982</v>
      </c>
      <c r="E41" s="5">
        <f t="shared" si="4"/>
        <v>-67.856195972194982</v>
      </c>
      <c r="F41" s="5">
        <f t="shared" si="3"/>
        <v>-31.818181818181841</v>
      </c>
      <c r="G41" s="5">
        <f t="shared" si="2"/>
        <v>67.856195972194982</v>
      </c>
      <c r="H41" s="6">
        <f t="shared" si="2"/>
        <v>-67.856195972194982</v>
      </c>
    </row>
    <row r="42" spans="2:8" x14ac:dyDescent="0.6">
      <c r="B42" s="21">
        <v>32</v>
      </c>
      <c r="C42" s="5">
        <f t="shared" si="1"/>
        <v>32.878787878787904</v>
      </c>
      <c r="D42" s="5">
        <f t="shared" si="0"/>
        <v>67.835968726296969</v>
      </c>
      <c r="E42" s="5">
        <f t="shared" si="4"/>
        <v>-67.835968726296969</v>
      </c>
      <c r="F42" s="5">
        <f t="shared" si="3"/>
        <v>-32.878787878787904</v>
      </c>
      <c r="G42" s="5">
        <f t="shared" si="2"/>
        <v>67.835968726296969</v>
      </c>
      <c r="H42" s="6">
        <f t="shared" si="2"/>
        <v>-67.835968726296969</v>
      </c>
    </row>
    <row r="43" spans="2:8" x14ac:dyDescent="0.6">
      <c r="B43" s="21">
        <v>33</v>
      </c>
      <c r="C43" s="5">
        <f t="shared" si="1"/>
        <v>33.939393939393966</v>
      </c>
      <c r="D43" s="5">
        <f t="shared" ref="D43:D74" si="5">((1-($C43/a_superelipse)^n_superelipse)^(1/n_superelipse))*b_superelipse</f>
        <v>67.813665379519691</v>
      </c>
      <c r="E43" s="5">
        <f t="shared" si="4"/>
        <v>-67.813665379519691</v>
      </c>
      <c r="F43" s="5">
        <f t="shared" si="3"/>
        <v>-33.939393939393966</v>
      </c>
      <c r="G43" s="5">
        <f t="shared" si="2"/>
        <v>67.813665379519691</v>
      </c>
      <c r="H43" s="6">
        <f t="shared" si="2"/>
        <v>-67.813665379519691</v>
      </c>
    </row>
    <row r="44" spans="2:8" x14ac:dyDescent="0.6">
      <c r="B44" s="21">
        <v>34</v>
      </c>
      <c r="C44" s="5">
        <f t="shared" ref="C44:C75" si="6">IF((a_superelipse/np_superelipse)+C43&gt;=a_superelipse,a_superelipse,(a_superelipse/np_superelipse)+C43)</f>
        <v>35.000000000000028</v>
      </c>
      <c r="D44" s="5">
        <f t="shared" si="5"/>
        <v>67.789144748695321</v>
      </c>
      <c r="E44" s="5">
        <f t="shared" si="4"/>
        <v>-67.789144748695321</v>
      </c>
      <c r="F44" s="5">
        <f t="shared" si="3"/>
        <v>-35.000000000000028</v>
      </c>
      <c r="G44" s="5">
        <f t="shared" si="2"/>
        <v>67.789144748695321</v>
      </c>
      <c r="H44" s="6">
        <f t="shared" si="2"/>
        <v>-67.789144748695321</v>
      </c>
    </row>
    <row r="45" spans="2:8" x14ac:dyDescent="0.6">
      <c r="B45" s="21">
        <v>35</v>
      </c>
      <c r="C45" s="5">
        <f t="shared" si="6"/>
        <v>36.060606060606091</v>
      </c>
      <c r="D45" s="5">
        <f t="shared" si="5"/>
        <v>67.762260126985623</v>
      </c>
      <c r="E45" s="5">
        <f t="shared" si="4"/>
        <v>-67.762260126985623</v>
      </c>
      <c r="F45" s="5">
        <f t="shared" si="3"/>
        <v>-36.060606060606091</v>
      </c>
      <c r="G45" s="5">
        <f t="shared" si="2"/>
        <v>67.762260126985623</v>
      </c>
      <c r="H45" s="6">
        <f t="shared" si="2"/>
        <v>-67.762260126985623</v>
      </c>
    </row>
    <row r="46" spans="2:8" x14ac:dyDescent="0.6">
      <c r="B46" s="21">
        <v>36</v>
      </c>
      <c r="C46" s="5">
        <f t="shared" si="6"/>
        <v>37.121212121212153</v>
      </c>
      <c r="D46" s="5">
        <f t="shared" si="5"/>
        <v>67.732859108212011</v>
      </c>
      <c r="E46" s="5">
        <f t="shared" si="4"/>
        <v>-67.732859108212011</v>
      </c>
      <c r="F46" s="5">
        <f t="shared" si="3"/>
        <v>-37.121212121212153</v>
      </c>
      <c r="G46" s="5">
        <f t="shared" si="2"/>
        <v>67.732859108212011</v>
      </c>
      <c r="H46" s="6">
        <f t="shared" si="2"/>
        <v>-67.732859108212011</v>
      </c>
    </row>
    <row r="47" spans="2:8" x14ac:dyDescent="0.6">
      <c r="B47" s="21">
        <v>37</v>
      </c>
      <c r="C47" s="5">
        <f t="shared" si="6"/>
        <v>38.181818181818215</v>
      </c>
      <c r="D47" s="5">
        <f t="shared" si="5"/>
        <v>67.700783392098188</v>
      </c>
      <c r="E47" s="5">
        <f t="shared" si="4"/>
        <v>-67.700783392098188</v>
      </c>
      <c r="F47" s="5">
        <f t="shared" si="3"/>
        <v>-38.181818181818215</v>
      </c>
      <c r="G47" s="5">
        <f t="shared" si="2"/>
        <v>67.700783392098188</v>
      </c>
      <c r="H47" s="6">
        <f t="shared" si="2"/>
        <v>-67.700783392098188</v>
      </c>
    </row>
    <row r="48" spans="2:8" x14ac:dyDescent="0.6">
      <c r="B48" s="21">
        <v>38</v>
      </c>
      <c r="C48" s="5">
        <f t="shared" si="6"/>
        <v>39.242424242424278</v>
      </c>
      <c r="D48" s="5">
        <f t="shared" si="5"/>
        <v>67.665868568681347</v>
      </c>
      <c r="E48" s="5">
        <f t="shared" si="4"/>
        <v>-67.665868568681347</v>
      </c>
      <c r="F48" s="5">
        <f t="shared" si="3"/>
        <v>-39.242424242424278</v>
      </c>
      <c r="G48" s="5">
        <f t="shared" si="2"/>
        <v>67.665868568681347</v>
      </c>
      <c r="H48" s="6">
        <f t="shared" si="2"/>
        <v>-67.665868568681347</v>
      </c>
    </row>
    <row r="49" spans="2:8" x14ac:dyDescent="0.6">
      <c r="B49" s="21">
        <v>39</v>
      </c>
      <c r="C49" s="5">
        <f t="shared" si="6"/>
        <v>40.30303030303034</v>
      </c>
      <c r="D49" s="5">
        <f t="shared" si="5"/>
        <v>67.627943879976385</v>
      </c>
      <c r="E49" s="5">
        <f t="shared" si="4"/>
        <v>-67.627943879976385</v>
      </c>
      <c r="F49" s="5">
        <f t="shared" si="3"/>
        <v>-40.30303030303034</v>
      </c>
      <c r="G49" s="5">
        <f t="shared" si="2"/>
        <v>67.627943879976385</v>
      </c>
      <c r="H49" s="6">
        <f t="shared" si="2"/>
        <v>-67.627943879976385</v>
      </c>
    </row>
    <row r="50" spans="2:8" x14ac:dyDescent="0.6">
      <c r="B50" s="21">
        <v>40</v>
      </c>
      <c r="C50" s="5">
        <f t="shared" si="6"/>
        <v>41.363636363636402</v>
      </c>
      <c r="D50" s="5">
        <f t="shared" si="5"/>
        <v>67.586831956783982</v>
      </c>
      <c r="E50" s="5">
        <f t="shared" si="4"/>
        <v>-67.586831956783982</v>
      </c>
      <c r="F50" s="5">
        <f t="shared" si="3"/>
        <v>-41.363636363636402</v>
      </c>
      <c r="G50" s="5">
        <f t="shared" si="2"/>
        <v>67.586831956783982</v>
      </c>
      <c r="H50" s="6">
        <f t="shared" si="2"/>
        <v>-67.586831956783982</v>
      </c>
    </row>
    <row r="51" spans="2:8" x14ac:dyDescent="0.6">
      <c r="B51" s="21">
        <v>41</v>
      </c>
      <c r="C51" s="5">
        <f t="shared" si="6"/>
        <v>42.424242424242465</v>
      </c>
      <c r="D51" s="5">
        <f t="shared" si="5"/>
        <v>67.542348528312985</v>
      </c>
      <c r="E51" s="5">
        <f t="shared" si="4"/>
        <v>-67.542348528312985</v>
      </c>
      <c r="F51" s="5">
        <f t="shared" si="3"/>
        <v>-42.424242424242465</v>
      </c>
      <c r="G51" s="5">
        <f t="shared" si="2"/>
        <v>67.542348528312985</v>
      </c>
      <c r="H51" s="6">
        <f t="shared" si="2"/>
        <v>-67.542348528312985</v>
      </c>
    </row>
    <row r="52" spans="2:8" x14ac:dyDescent="0.6">
      <c r="B52" s="21">
        <v>42</v>
      </c>
      <c r="C52" s="5">
        <f t="shared" si="6"/>
        <v>43.484848484848527</v>
      </c>
      <c r="D52" s="5">
        <f t="shared" si="5"/>
        <v>67.494302102038219</v>
      </c>
      <c r="E52" s="5">
        <f t="shared" si="4"/>
        <v>-67.494302102038219</v>
      </c>
      <c r="F52" s="5">
        <f t="shared" si="3"/>
        <v>-43.484848484848527</v>
      </c>
      <c r="G52" s="5">
        <f t="shared" si="2"/>
        <v>67.494302102038219</v>
      </c>
      <c r="H52" s="6">
        <f t="shared" si="2"/>
        <v>-67.494302102038219</v>
      </c>
    </row>
    <row r="53" spans="2:8" x14ac:dyDescent="0.6">
      <c r="B53" s="21">
        <v>43</v>
      </c>
      <c r="C53" s="5">
        <f t="shared" si="6"/>
        <v>44.545454545454589</v>
      </c>
      <c r="D53" s="5">
        <f t="shared" si="5"/>
        <v>67.44249361093074</v>
      </c>
      <c r="E53" s="5">
        <f t="shared" si="4"/>
        <v>-67.44249361093074</v>
      </c>
      <c r="F53" s="5">
        <f t="shared" si="3"/>
        <v>-44.545454545454589</v>
      </c>
      <c r="G53" s="5">
        <f t="shared" si="2"/>
        <v>67.44249361093074</v>
      </c>
      <c r="H53" s="6">
        <f t="shared" si="2"/>
        <v>-67.44249361093074</v>
      </c>
    </row>
    <row r="54" spans="2:8" x14ac:dyDescent="0.6">
      <c r="B54" s="21">
        <v>44</v>
      </c>
      <c r="C54" s="5">
        <f t="shared" si="6"/>
        <v>45.606060606060652</v>
      </c>
      <c r="D54" s="5">
        <f t="shared" si="5"/>
        <v>67.386716024874346</v>
      </c>
      <c r="E54" s="5">
        <f t="shared" si="4"/>
        <v>-67.386716024874346</v>
      </c>
      <c r="F54" s="5">
        <f t="shared" si="3"/>
        <v>-45.606060606060652</v>
      </c>
      <c r="G54" s="5">
        <f t="shared" si="2"/>
        <v>67.386716024874346</v>
      </c>
      <c r="H54" s="6">
        <f t="shared" si="2"/>
        <v>-67.386716024874346</v>
      </c>
    </row>
    <row r="55" spans="2:8" x14ac:dyDescent="0.6">
      <c r="B55" s="21">
        <v>45</v>
      </c>
      <c r="C55" s="5">
        <f t="shared" si="6"/>
        <v>46.666666666666714</v>
      </c>
      <c r="D55" s="5">
        <f t="shared" si="5"/>
        <v>67.326753922712115</v>
      </c>
      <c r="E55" s="5">
        <f t="shared" si="4"/>
        <v>-67.326753922712115</v>
      </c>
      <c r="F55" s="5">
        <f t="shared" si="3"/>
        <v>-46.666666666666714</v>
      </c>
      <c r="G55" s="5">
        <f t="shared" si="2"/>
        <v>67.326753922712115</v>
      </c>
      <c r="H55" s="6">
        <f t="shared" si="2"/>
        <v>-67.326753922712115</v>
      </c>
    </row>
    <row r="56" spans="2:8" x14ac:dyDescent="0.6">
      <c r="B56" s="21">
        <v>46</v>
      </c>
      <c r="C56" s="5">
        <f t="shared" si="6"/>
        <v>47.727272727272776</v>
      </c>
      <c r="D56" s="5">
        <f t="shared" si="5"/>
        <v>67.262383020944654</v>
      </c>
      <c r="E56" s="5">
        <f t="shared" si="4"/>
        <v>-67.262383020944654</v>
      </c>
      <c r="F56" s="5">
        <f t="shared" si="3"/>
        <v>-47.727272727272776</v>
      </c>
      <c r="G56" s="5">
        <f t="shared" si="2"/>
        <v>67.262383020944654</v>
      </c>
      <c r="H56" s="6">
        <f t="shared" si="2"/>
        <v>-67.262383020944654</v>
      </c>
    </row>
    <row r="57" spans="2:8" x14ac:dyDescent="0.6">
      <c r="B57" s="21">
        <v>47</v>
      </c>
      <c r="C57" s="5">
        <f t="shared" si="6"/>
        <v>48.787878787878839</v>
      </c>
      <c r="D57" s="5">
        <f t="shared" si="5"/>
        <v>67.193369654616845</v>
      </c>
      <c r="E57" s="5">
        <f t="shared" si="4"/>
        <v>-67.193369654616845</v>
      </c>
      <c r="F57" s="5">
        <f t="shared" si="3"/>
        <v>-48.787878787878839</v>
      </c>
      <c r="G57" s="5">
        <f t="shared" si="2"/>
        <v>67.193369654616845</v>
      </c>
      <c r="H57" s="6">
        <f t="shared" si="2"/>
        <v>-67.193369654616845</v>
      </c>
    </row>
    <row r="58" spans="2:8" x14ac:dyDescent="0.6">
      <c r="B58" s="21">
        <v>48</v>
      </c>
      <c r="C58" s="5">
        <f t="shared" si="6"/>
        <v>49.848484848484901</v>
      </c>
      <c r="D58" s="5">
        <f t="shared" si="5"/>
        <v>67.119470205373176</v>
      </c>
      <c r="E58" s="5">
        <f t="shared" si="4"/>
        <v>-67.119470205373176</v>
      </c>
      <c r="F58" s="5">
        <f t="shared" si="3"/>
        <v>-49.848484848484901</v>
      </c>
      <c r="G58" s="5">
        <f t="shared" si="2"/>
        <v>67.119470205373176</v>
      </c>
      <c r="H58" s="6">
        <f t="shared" si="2"/>
        <v>-67.119470205373176</v>
      </c>
    </row>
    <row r="59" spans="2:8" x14ac:dyDescent="0.6">
      <c r="B59" s="21">
        <v>49</v>
      </c>
      <c r="C59" s="5">
        <f t="shared" si="6"/>
        <v>50.909090909090963</v>
      </c>
      <c r="D59" s="5">
        <f t="shared" si="5"/>
        <v>67.040430471020628</v>
      </c>
      <c r="E59" s="5">
        <f t="shared" si="4"/>
        <v>-67.040430471020628</v>
      </c>
      <c r="F59" s="5">
        <f t="shared" si="3"/>
        <v>-50.909090909090963</v>
      </c>
      <c r="G59" s="5">
        <f t="shared" si="2"/>
        <v>67.040430471020628</v>
      </c>
      <c r="H59" s="6">
        <f t="shared" si="2"/>
        <v>-67.040430471020628</v>
      </c>
    </row>
    <row r="60" spans="2:8" x14ac:dyDescent="0.6">
      <c r="B60" s="21">
        <v>50</v>
      </c>
      <c r="C60" s="5">
        <f t="shared" si="6"/>
        <v>51.969696969697026</v>
      </c>
      <c r="D60" s="5">
        <f t="shared" si="5"/>
        <v>66.955984970198074</v>
      </c>
      <c r="E60" s="5">
        <f t="shared" si="4"/>
        <v>-66.955984970198074</v>
      </c>
      <c r="F60" s="5">
        <f t="shared" si="3"/>
        <v>-51.969696969697026</v>
      </c>
      <c r="G60" s="5">
        <f t="shared" si="2"/>
        <v>66.955984970198074</v>
      </c>
      <c r="H60" s="6">
        <f t="shared" si="2"/>
        <v>-66.955984970198074</v>
      </c>
    </row>
    <row r="61" spans="2:8" x14ac:dyDescent="0.6">
      <c r="B61" s="21">
        <v>51</v>
      </c>
      <c r="C61" s="5">
        <f t="shared" si="6"/>
        <v>53.030303030303088</v>
      </c>
      <c r="D61" s="5">
        <f t="shared" si="5"/>
        <v>66.865856174895228</v>
      </c>
      <c r="E61" s="5">
        <f t="shared" si="4"/>
        <v>-66.865856174895228</v>
      </c>
      <c r="F61" s="5">
        <f t="shared" si="3"/>
        <v>-53.030303030303088</v>
      </c>
      <c r="G61" s="5">
        <f t="shared" si="2"/>
        <v>66.865856174895228</v>
      </c>
      <c r="H61" s="6">
        <f t="shared" si="2"/>
        <v>-66.865856174895228</v>
      </c>
    </row>
    <row r="62" spans="2:8" x14ac:dyDescent="0.6">
      <c r="B62" s="21">
        <v>52</v>
      </c>
      <c r="C62" s="5">
        <f t="shared" si="6"/>
        <v>54.09090909090915</v>
      </c>
      <c r="D62" s="5">
        <f t="shared" si="5"/>
        <v>66.769753662570395</v>
      </c>
      <c r="E62" s="5">
        <f t="shared" si="4"/>
        <v>-66.769753662570395</v>
      </c>
      <c r="F62" s="5">
        <f t="shared" si="3"/>
        <v>-54.09090909090915</v>
      </c>
      <c r="G62" s="5">
        <f t="shared" si="2"/>
        <v>66.769753662570395</v>
      </c>
      <c r="H62" s="6">
        <f t="shared" si="2"/>
        <v>-66.769753662570395</v>
      </c>
    </row>
    <row r="63" spans="2:8" x14ac:dyDescent="0.6">
      <c r="B63" s="21">
        <v>53</v>
      </c>
      <c r="C63" s="5">
        <f t="shared" si="6"/>
        <v>55.151515151515213</v>
      </c>
      <c r="D63" s="5">
        <f t="shared" si="5"/>
        <v>66.667373178461347</v>
      </c>
      <c r="E63" s="5">
        <f t="shared" si="4"/>
        <v>-66.667373178461347</v>
      </c>
      <c r="F63" s="5">
        <f t="shared" si="3"/>
        <v>-55.151515151515213</v>
      </c>
      <c r="G63" s="5">
        <f t="shared" si="2"/>
        <v>66.667373178461347</v>
      </c>
      <c r="H63" s="6">
        <f t="shared" si="2"/>
        <v>-66.667373178461347</v>
      </c>
    </row>
    <row r="64" spans="2:8" x14ac:dyDescent="0.6">
      <c r="B64" s="21">
        <v>54</v>
      </c>
      <c r="C64" s="5">
        <f t="shared" si="6"/>
        <v>56.212121212121275</v>
      </c>
      <c r="D64" s="5">
        <f t="shared" si="5"/>
        <v>66.558395597336016</v>
      </c>
      <c r="E64" s="5">
        <f t="shared" si="4"/>
        <v>-66.558395597336016</v>
      </c>
      <c r="F64" s="5">
        <f t="shared" si="3"/>
        <v>-56.212121212121275</v>
      </c>
      <c r="G64" s="5">
        <f t="shared" si="2"/>
        <v>66.558395597336016</v>
      </c>
      <c r="H64" s="6">
        <f t="shared" si="2"/>
        <v>-66.558395597336016</v>
      </c>
    </row>
    <row r="65" spans="2:8" x14ac:dyDescent="0.6">
      <c r="B65" s="21">
        <v>55</v>
      </c>
      <c r="C65" s="5">
        <f t="shared" si="6"/>
        <v>57.272727272727337</v>
      </c>
      <c r="D65" s="5">
        <f t="shared" si="5"/>
        <v>66.4424857723522</v>
      </c>
      <c r="E65" s="5">
        <f t="shared" si="4"/>
        <v>-66.4424857723522</v>
      </c>
      <c r="F65" s="5">
        <f t="shared" si="3"/>
        <v>-57.272727272727337</v>
      </c>
      <c r="G65" s="5">
        <f t="shared" si="2"/>
        <v>66.4424857723522</v>
      </c>
      <c r="H65" s="6">
        <f t="shared" si="2"/>
        <v>-66.4424857723522</v>
      </c>
    </row>
    <row r="66" spans="2:8" x14ac:dyDescent="0.6">
      <c r="B66" s="21">
        <v>56</v>
      </c>
      <c r="C66" s="5">
        <f t="shared" si="6"/>
        <v>58.3333333333334</v>
      </c>
      <c r="D66" s="5">
        <f t="shared" si="5"/>
        <v>66.319291256846</v>
      </c>
      <c r="E66" s="5">
        <f t="shared" si="4"/>
        <v>-66.319291256846</v>
      </c>
      <c r="F66" s="5">
        <f t="shared" si="3"/>
        <v>-58.3333333333334</v>
      </c>
      <c r="G66" s="5">
        <f t="shared" si="2"/>
        <v>66.319291256846</v>
      </c>
      <c r="H66" s="6">
        <f t="shared" si="2"/>
        <v>-66.319291256846</v>
      </c>
    </row>
    <row r="67" spans="2:8" x14ac:dyDescent="0.6">
      <c r="B67" s="21">
        <v>57</v>
      </c>
      <c r="C67" s="5">
        <f t="shared" si="6"/>
        <v>59.393939393939462</v>
      </c>
      <c r="D67" s="5">
        <f t="shared" si="5"/>
        <v>66.188440882688127</v>
      </c>
      <c r="E67" s="5">
        <f t="shared" si="4"/>
        <v>-66.188440882688127</v>
      </c>
      <c r="F67" s="5">
        <f t="shared" si="3"/>
        <v>-59.393939393939462</v>
      </c>
      <c r="G67" s="5">
        <f t="shared" si="2"/>
        <v>66.188440882688127</v>
      </c>
      <c r="H67" s="6">
        <f t="shared" si="2"/>
        <v>-66.188440882688127</v>
      </c>
    </row>
    <row r="68" spans="2:8" x14ac:dyDescent="0.6">
      <c r="B68" s="21">
        <v>58</v>
      </c>
      <c r="C68" s="5">
        <f t="shared" si="6"/>
        <v>60.454545454545524</v>
      </c>
      <c r="D68" s="5">
        <f t="shared" si="5"/>
        <v>66.049543176273801</v>
      </c>
      <c r="E68" s="5">
        <f t="shared" si="4"/>
        <v>-66.049543176273801</v>
      </c>
      <c r="F68" s="5">
        <f t="shared" si="3"/>
        <v>-60.454545454545524</v>
      </c>
      <c r="G68" s="5">
        <f t="shared" si="2"/>
        <v>66.049543176273801</v>
      </c>
      <c r="H68" s="6">
        <f t="shared" si="2"/>
        <v>-66.049543176273801</v>
      </c>
    </row>
    <row r="69" spans="2:8" x14ac:dyDescent="0.6">
      <c r="B69" s="21">
        <v>59</v>
      </c>
      <c r="C69" s="5">
        <f t="shared" si="6"/>
        <v>61.515151515151587</v>
      </c>
      <c r="D69" s="5">
        <f t="shared" si="5"/>
        <v>65.902184590157546</v>
      </c>
      <c r="E69" s="5">
        <f t="shared" si="4"/>
        <v>-65.902184590157546</v>
      </c>
      <c r="F69" s="5">
        <f t="shared" si="3"/>
        <v>-61.515151515151587</v>
      </c>
      <c r="G69" s="5">
        <f t="shared" si="2"/>
        <v>65.902184590157546</v>
      </c>
      <c r="H69" s="6">
        <f t="shared" si="2"/>
        <v>-65.902184590157546</v>
      </c>
    </row>
    <row r="70" spans="2:8" x14ac:dyDescent="0.6">
      <c r="B70" s="21">
        <v>60</v>
      </c>
      <c r="C70" s="5">
        <f t="shared" si="6"/>
        <v>62.575757575757649</v>
      </c>
      <c r="D70" s="5">
        <f t="shared" si="5"/>
        <v>65.745927524709984</v>
      </c>
      <c r="E70" s="5">
        <f t="shared" si="4"/>
        <v>-65.745927524709984</v>
      </c>
      <c r="F70" s="5">
        <f t="shared" si="3"/>
        <v>-62.575757575757649</v>
      </c>
      <c r="G70" s="5">
        <f t="shared" si="2"/>
        <v>65.745927524709984</v>
      </c>
      <c r="H70" s="6">
        <f t="shared" si="2"/>
        <v>-65.745927524709984</v>
      </c>
    </row>
    <row r="71" spans="2:8" x14ac:dyDescent="0.6">
      <c r="B71" s="21">
        <v>61</v>
      </c>
      <c r="C71" s="5">
        <f t="shared" si="6"/>
        <v>63.636363636363711</v>
      </c>
      <c r="D71" s="5">
        <f t="shared" si="5"/>
        <v>65.580308109830113</v>
      </c>
      <c r="E71" s="5">
        <f t="shared" si="4"/>
        <v>-65.580308109830113</v>
      </c>
      <c r="F71" s="5">
        <f t="shared" si="3"/>
        <v>-63.636363636363711</v>
      </c>
      <c r="G71" s="5">
        <f t="shared" si="2"/>
        <v>65.580308109830113</v>
      </c>
      <c r="H71" s="6">
        <f t="shared" si="2"/>
        <v>-65.580308109830113</v>
      </c>
    </row>
    <row r="72" spans="2:8" x14ac:dyDescent="0.6">
      <c r="B72" s="21">
        <v>62</v>
      </c>
      <c r="C72" s="5">
        <f t="shared" si="6"/>
        <v>64.696969696969774</v>
      </c>
      <c r="D72" s="5">
        <f t="shared" si="5"/>
        <v>65.404833711533058</v>
      </c>
      <c r="E72" s="5">
        <f t="shared" si="4"/>
        <v>-65.404833711533058</v>
      </c>
      <c r="F72" s="5">
        <f t="shared" si="3"/>
        <v>-64.696969696969774</v>
      </c>
      <c r="G72" s="5">
        <f t="shared" si="2"/>
        <v>65.404833711533058</v>
      </c>
      <c r="H72" s="6">
        <f t="shared" si="2"/>
        <v>-65.404833711533058</v>
      </c>
    </row>
    <row r="73" spans="2:8" x14ac:dyDescent="0.6">
      <c r="B73" s="21">
        <v>63</v>
      </c>
      <c r="C73" s="5">
        <f t="shared" si="6"/>
        <v>65.757575757575836</v>
      </c>
      <c r="D73" s="5">
        <f t="shared" si="5"/>
        <v>65.218980121949471</v>
      </c>
      <c r="E73" s="5">
        <f t="shared" si="4"/>
        <v>-65.218980121949471</v>
      </c>
      <c r="F73" s="5">
        <f t="shared" si="3"/>
        <v>-65.757575757575836</v>
      </c>
      <c r="G73" s="5">
        <f t="shared" si="2"/>
        <v>65.218980121949471</v>
      </c>
      <c r="H73" s="6">
        <f t="shared" si="2"/>
        <v>-65.218980121949471</v>
      </c>
    </row>
    <row r="74" spans="2:8" x14ac:dyDescent="0.6">
      <c r="B74" s="21">
        <v>64</v>
      </c>
      <c r="C74" s="5">
        <f t="shared" si="6"/>
        <v>66.818181818181898</v>
      </c>
      <c r="D74" s="5">
        <f t="shared" si="5"/>
        <v>65.022188383662979</v>
      </c>
      <c r="E74" s="5">
        <f t="shared" si="4"/>
        <v>-65.022188383662979</v>
      </c>
      <c r="F74" s="5">
        <f t="shared" si="3"/>
        <v>-66.818181818181898</v>
      </c>
      <c r="G74" s="5">
        <f t="shared" si="2"/>
        <v>65.022188383662979</v>
      </c>
      <c r="H74" s="6">
        <f t="shared" si="2"/>
        <v>-65.022188383662979</v>
      </c>
    </row>
    <row r="75" spans="2:8" x14ac:dyDescent="0.6">
      <c r="B75" s="21">
        <v>65</v>
      </c>
      <c r="C75" s="5">
        <f t="shared" si="6"/>
        <v>67.878787878787961</v>
      </c>
      <c r="D75" s="5">
        <f t="shared" ref="D75:D110" si="7">((1-($C75/a_superelipse)^n_superelipse)^(1/n_superelipse))*b_superelipse</f>
        <v>64.813861190050872</v>
      </c>
      <c r="E75" s="5">
        <f t="shared" si="4"/>
        <v>-64.813861190050872</v>
      </c>
      <c r="F75" s="5">
        <f t="shared" si="3"/>
        <v>-67.878787878787961</v>
      </c>
      <c r="G75" s="5">
        <f t="shared" si="2"/>
        <v>64.813861190050872</v>
      </c>
      <c r="H75" s="6">
        <f t="shared" si="2"/>
        <v>-64.813861190050872</v>
      </c>
    </row>
    <row r="76" spans="2:8" x14ac:dyDescent="0.6">
      <c r="B76" s="21">
        <v>66</v>
      </c>
      <c r="C76" s="5">
        <f t="shared" ref="C76:C110" si="8">IF((a_superelipse/np_superelipse)+C75&gt;=a_superelipse,a_superelipse,(a_superelipse/np_superelipse)+C75)</f>
        <v>68.939393939394023</v>
      </c>
      <c r="D76" s="5">
        <f t="shared" si="7"/>
        <v>64.593358791965613</v>
      </c>
      <c r="E76" s="5">
        <f t="shared" ref="E76:E110" si="9">-D76</f>
        <v>-64.593358791965613</v>
      </c>
      <c r="F76" s="5">
        <f t="shared" si="3"/>
        <v>-68.939393939394023</v>
      </c>
      <c r="G76" s="5">
        <f t="shared" ref="G76:H110" si="10">D76</f>
        <v>64.593358791965613</v>
      </c>
      <c r="H76" s="6">
        <f t="shared" si="10"/>
        <v>-64.593358791965613</v>
      </c>
    </row>
    <row r="77" spans="2:8" x14ac:dyDescent="0.6">
      <c r="B77" s="21">
        <v>67</v>
      </c>
      <c r="C77" s="5">
        <f t="shared" si="8"/>
        <v>70.000000000000085</v>
      </c>
      <c r="D77" s="5">
        <f t="shared" si="7"/>
        <v>64.359994327163335</v>
      </c>
      <c r="E77" s="5">
        <f t="shared" si="9"/>
        <v>-64.359994327163335</v>
      </c>
      <c r="F77" s="5">
        <f t="shared" ref="F77:F110" si="11">(F76-(C77-C76))</f>
        <v>-70.000000000000085</v>
      </c>
      <c r="G77" s="5">
        <f t="shared" si="10"/>
        <v>64.359994327163335</v>
      </c>
      <c r="H77" s="6">
        <f t="shared" si="10"/>
        <v>-64.359994327163335</v>
      </c>
    </row>
    <row r="78" spans="2:8" x14ac:dyDescent="0.6">
      <c r="B78" s="21">
        <v>68</v>
      </c>
      <c r="C78" s="5">
        <f t="shared" si="8"/>
        <v>71.060606060606148</v>
      </c>
      <c r="D78" s="5">
        <f t="shared" si="7"/>
        <v>64.113028471653465</v>
      </c>
      <c r="E78" s="5">
        <f t="shared" si="9"/>
        <v>-64.113028471653465</v>
      </c>
      <c r="F78" s="5">
        <f t="shared" si="11"/>
        <v>-71.060606060606148</v>
      </c>
      <c r="G78" s="5">
        <f t="shared" si="10"/>
        <v>64.113028471653465</v>
      </c>
      <c r="H78" s="6">
        <f t="shared" si="10"/>
        <v>-64.113028471653465</v>
      </c>
    </row>
    <row r="79" spans="2:8" x14ac:dyDescent="0.6">
      <c r="B79" s="21">
        <v>69</v>
      </c>
      <c r="C79" s="5">
        <f t="shared" si="8"/>
        <v>72.12121212121221</v>
      </c>
      <c r="D79" s="5">
        <f t="shared" si="7"/>
        <v>63.851663290700273</v>
      </c>
      <c r="E79" s="5">
        <f t="shared" si="9"/>
        <v>-63.851663290700273</v>
      </c>
      <c r="F79" s="5">
        <f t="shared" si="11"/>
        <v>-72.12121212121221</v>
      </c>
      <c r="G79" s="5">
        <f t="shared" si="10"/>
        <v>63.851663290700273</v>
      </c>
      <c r="H79" s="6">
        <f t="shared" si="10"/>
        <v>-63.851663290700273</v>
      </c>
    </row>
    <row r="80" spans="2:8" x14ac:dyDescent="0.6">
      <c r="B80" s="21">
        <v>70</v>
      </c>
      <c r="C80" s="5">
        <f t="shared" si="8"/>
        <v>73.181818181818272</v>
      </c>
      <c r="D80" s="5">
        <f t="shared" si="7"/>
        <v>63.575035140350359</v>
      </c>
      <c r="E80" s="5">
        <f t="shared" si="9"/>
        <v>-63.575035140350359</v>
      </c>
      <c r="F80" s="5">
        <f t="shared" si="11"/>
        <v>-73.181818181818272</v>
      </c>
      <c r="G80" s="5">
        <f t="shared" si="10"/>
        <v>63.575035140350359</v>
      </c>
      <c r="H80" s="6">
        <f t="shared" si="10"/>
        <v>-63.575035140350359</v>
      </c>
    </row>
    <row r="81" spans="2:8" x14ac:dyDescent="0.6">
      <c r="B81" s="21">
        <v>71</v>
      </c>
      <c r="C81" s="5">
        <f t="shared" si="8"/>
        <v>74.242424242424335</v>
      </c>
      <c r="D81" s="5">
        <f t="shared" si="7"/>
        <v>63.282206436495343</v>
      </c>
      <c r="E81" s="5">
        <f t="shared" si="9"/>
        <v>-63.282206436495343</v>
      </c>
      <c r="F81" s="5">
        <f t="shared" si="11"/>
        <v>-74.242424242424335</v>
      </c>
      <c r="G81" s="5">
        <f t="shared" si="10"/>
        <v>63.282206436495343</v>
      </c>
      <c r="H81" s="6">
        <f t="shared" si="10"/>
        <v>-63.282206436495343</v>
      </c>
    </row>
    <row r="82" spans="2:8" x14ac:dyDescent="0.6">
      <c r="B82" s="21">
        <v>72</v>
      </c>
      <c r="C82" s="5">
        <f t="shared" si="8"/>
        <v>75.303030303030397</v>
      </c>
      <c r="D82" s="5">
        <f t="shared" si="7"/>
        <v>62.972156065465462</v>
      </c>
      <c r="E82" s="5">
        <f t="shared" si="9"/>
        <v>-62.972156065465462</v>
      </c>
      <c r="F82" s="5">
        <f t="shared" si="11"/>
        <v>-75.303030303030397</v>
      </c>
      <c r="G82" s="5">
        <f t="shared" si="10"/>
        <v>62.972156065465462</v>
      </c>
      <c r="H82" s="6">
        <f t="shared" si="10"/>
        <v>-62.972156065465462</v>
      </c>
    </row>
    <row r="83" spans="2:8" x14ac:dyDescent="0.6">
      <c r="B83" s="21">
        <v>73</v>
      </c>
      <c r="C83" s="5">
        <f t="shared" si="8"/>
        <v>76.363636363636459</v>
      </c>
      <c r="D83" s="5">
        <f t="shared" si="7"/>
        <v>62.643768155095721</v>
      </c>
      <c r="E83" s="5">
        <f t="shared" si="9"/>
        <v>-62.643768155095721</v>
      </c>
      <c r="F83" s="5">
        <f t="shared" si="11"/>
        <v>-76.363636363636459</v>
      </c>
      <c r="G83" s="5">
        <f t="shared" si="10"/>
        <v>62.643768155095721</v>
      </c>
      <c r="H83" s="6">
        <f t="shared" si="10"/>
        <v>-62.643768155095721</v>
      </c>
    </row>
    <row r="84" spans="2:8" x14ac:dyDescent="0.6">
      <c r="B84" s="21">
        <v>74</v>
      </c>
      <c r="C84" s="5">
        <f t="shared" si="8"/>
        <v>77.424242424242522</v>
      </c>
      <c r="D84" s="5">
        <f t="shared" si="7"/>
        <v>62.295818854158291</v>
      </c>
      <c r="E84" s="5">
        <f t="shared" si="9"/>
        <v>-62.295818854158291</v>
      </c>
      <c r="F84" s="5">
        <f t="shared" si="11"/>
        <v>-77.424242424242522</v>
      </c>
      <c r="G84" s="5">
        <f t="shared" si="10"/>
        <v>62.295818854158291</v>
      </c>
      <c r="H84" s="6">
        <f t="shared" si="10"/>
        <v>-62.295818854158291</v>
      </c>
    </row>
    <row r="85" spans="2:8" x14ac:dyDescent="0.6">
      <c r="B85" s="21">
        <v>75</v>
      </c>
      <c r="C85" s="5">
        <f t="shared" si="8"/>
        <v>78.484848484848584</v>
      </c>
      <c r="D85" s="5">
        <f t="shared" si="7"/>
        <v>61.926960675558128</v>
      </c>
      <c r="E85" s="5">
        <f t="shared" si="9"/>
        <v>-61.926960675558128</v>
      </c>
      <c r="F85" s="5">
        <f t="shared" si="11"/>
        <v>-78.484848484848584</v>
      </c>
      <c r="G85" s="5">
        <f t="shared" si="10"/>
        <v>61.926960675558128</v>
      </c>
      <c r="H85" s="6">
        <f t="shared" si="10"/>
        <v>-61.926960675558128</v>
      </c>
    </row>
    <row r="86" spans="2:8" x14ac:dyDescent="0.6">
      <c r="B86" s="21">
        <v>76</v>
      </c>
      <c r="C86" s="5">
        <f t="shared" si="8"/>
        <v>79.545454545454646</v>
      </c>
      <c r="D86" s="5">
        <f t="shared" si="7"/>
        <v>61.535703837129049</v>
      </c>
      <c r="E86" s="5">
        <f t="shared" si="9"/>
        <v>-61.535703837129049</v>
      </c>
      <c r="F86" s="5">
        <f t="shared" si="11"/>
        <v>-79.545454545454646</v>
      </c>
      <c r="G86" s="5">
        <f t="shared" si="10"/>
        <v>61.535703837129049</v>
      </c>
      <c r="H86" s="6">
        <f t="shared" si="10"/>
        <v>-61.535703837129049</v>
      </c>
    </row>
    <row r="87" spans="2:8" x14ac:dyDescent="0.6">
      <c r="B87" s="21">
        <v>77</v>
      </c>
      <c r="C87" s="5">
        <f t="shared" si="8"/>
        <v>80.606060606060709</v>
      </c>
      <c r="D87" s="5">
        <f t="shared" si="7"/>
        <v>61.120393872488648</v>
      </c>
      <c r="E87" s="5">
        <f t="shared" si="9"/>
        <v>-61.120393872488648</v>
      </c>
      <c r="F87" s="5">
        <f t="shared" si="11"/>
        <v>-80.606060606060709</v>
      </c>
      <c r="G87" s="5">
        <f t="shared" si="10"/>
        <v>61.120393872488648</v>
      </c>
      <c r="H87" s="6">
        <f t="shared" si="10"/>
        <v>-61.120393872488648</v>
      </c>
    </row>
    <row r="88" spans="2:8" x14ac:dyDescent="0.6">
      <c r="B88" s="21">
        <v>78</v>
      </c>
      <c r="C88" s="5">
        <f t="shared" si="8"/>
        <v>81.666666666666771</v>
      </c>
      <c r="D88" s="5">
        <f t="shared" si="7"/>
        <v>60.679184567819867</v>
      </c>
      <c r="E88" s="5">
        <f t="shared" si="9"/>
        <v>-60.679184567819867</v>
      </c>
      <c r="F88" s="5">
        <f t="shared" si="11"/>
        <v>-81.666666666666771</v>
      </c>
      <c r="G88" s="5">
        <f t="shared" si="10"/>
        <v>60.679184567819867</v>
      </c>
      <c r="H88" s="6">
        <f t="shared" si="10"/>
        <v>-60.679184567819867</v>
      </c>
    </row>
    <row r="89" spans="2:8" x14ac:dyDescent="0.6">
      <c r="B89" s="21">
        <v>79</v>
      </c>
      <c r="C89" s="5">
        <f t="shared" si="8"/>
        <v>82.727272727272833</v>
      </c>
      <c r="D89" s="5">
        <f t="shared" si="7"/>
        <v>60.21000498631404</v>
      </c>
      <c r="E89" s="5">
        <f t="shared" si="9"/>
        <v>-60.21000498631404</v>
      </c>
      <c r="F89" s="5">
        <f t="shared" si="11"/>
        <v>-82.727272727272833</v>
      </c>
      <c r="G89" s="5">
        <f t="shared" si="10"/>
        <v>60.21000498631404</v>
      </c>
      <c r="H89" s="6">
        <f t="shared" si="10"/>
        <v>-60.21000498631404</v>
      </c>
    </row>
    <row r="90" spans="2:8" x14ac:dyDescent="0.6">
      <c r="B90" s="21">
        <v>80</v>
      </c>
      <c r="C90" s="5">
        <f t="shared" si="8"/>
        <v>83.787878787878896</v>
      </c>
      <c r="D90" s="5">
        <f t="shared" si="7"/>
        <v>59.710518937437598</v>
      </c>
      <c r="E90" s="5">
        <f t="shared" si="9"/>
        <v>-59.710518937437598</v>
      </c>
      <c r="F90" s="5">
        <f t="shared" si="11"/>
        <v>-83.787878787878896</v>
      </c>
      <c r="G90" s="5">
        <f t="shared" si="10"/>
        <v>59.710518937437598</v>
      </c>
      <c r="H90" s="6">
        <f t="shared" si="10"/>
        <v>-59.710518937437598</v>
      </c>
    </row>
    <row r="91" spans="2:8" x14ac:dyDescent="0.6">
      <c r="B91" s="21">
        <v>81</v>
      </c>
      <c r="C91" s="5">
        <f t="shared" si="8"/>
        <v>84.848484848484958</v>
      </c>
      <c r="D91" s="5">
        <f t="shared" si="7"/>
        <v>59.178074683926326</v>
      </c>
      <c r="E91" s="5">
        <f t="shared" si="9"/>
        <v>-59.178074683926326</v>
      </c>
      <c r="F91" s="5">
        <f t="shared" si="11"/>
        <v>-84.848484848484958</v>
      </c>
      <c r="G91" s="5">
        <f t="shared" si="10"/>
        <v>59.178074683926326</v>
      </c>
      <c r="H91" s="6">
        <f t="shared" si="10"/>
        <v>-59.178074683926326</v>
      </c>
    </row>
    <row r="92" spans="2:8" x14ac:dyDescent="0.6">
      <c r="B92" s="21">
        <v>82</v>
      </c>
      <c r="C92" s="5">
        <f t="shared" si="8"/>
        <v>85.90909090909102</v>
      </c>
      <c r="D92" s="5">
        <f t="shared" si="7"/>
        <v>58.609641880407274</v>
      </c>
      <c r="E92" s="5">
        <f t="shared" si="9"/>
        <v>-58.609641880407274</v>
      </c>
      <c r="F92" s="5">
        <f t="shared" si="11"/>
        <v>-85.90909090909102</v>
      </c>
      <c r="G92" s="5">
        <f t="shared" si="10"/>
        <v>58.609641880407274</v>
      </c>
      <c r="H92" s="6">
        <f t="shared" si="10"/>
        <v>-58.609641880407274</v>
      </c>
    </row>
    <row r="93" spans="2:8" x14ac:dyDescent="0.6">
      <c r="B93" s="21">
        <v>83</v>
      </c>
      <c r="C93" s="5">
        <f t="shared" si="8"/>
        <v>86.969696969697083</v>
      </c>
      <c r="D93" s="5">
        <f t="shared" si="7"/>
        <v>58.001731587171264</v>
      </c>
      <c r="E93" s="5">
        <f t="shared" si="9"/>
        <v>-58.001731587171264</v>
      </c>
      <c r="F93" s="5">
        <f t="shared" si="11"/>
        <v>-86.969696969697083</v>
      </c>
      <c r="G93" s="5">
        <f t="shared" si="10"/>
        <v>58.001731587171264</v>
      </c>
      <c r="H93" s="6">
        <f t="shared" si="10"/>
        <v>-58.001731587171264</v>
      </c>
    </row>
    <row r="94" spans="2:8" x14ac:dyDescent="0.6">
      <c r="B94" s="21">
        <v>84</v>
      </c>
      <c r="C94" s="5">
        <f t="shared" si="8"/>
        <v>88.030303030303145</v>
      </c>
      <c r="D94" s="5">
        <f t="shared" si="7"/>
        <v>57.3502935157141</v>
      </c>
      <c r="E94" s="5">
        <f t="shared" si="9"/>
        <v>-57.3502935157141</v>
      </c>
      <c r="F94" s="5">
        <f t="shared" si="11"/>
        <v>-88.030303030303145</v>
      </c>
      <c r="G94" s="5">
        <f t="shared" si="10"/>
        <v>57.3502935157141</v>
      </c>
      <c r="H94" s="6">
        <f t="shared" si="10"/>
        <v>-57.3502935157141</v>
      </c>
    </row>
    <row r="95" spans="2:8" x14ac:dyDescent="0.6">
      <c r="B95" s="21">
        <v>85</v>
      </c>
      <c r="C95" s="5">
        <f t="shared" si="8"/>
        <v>89.090909090909207</v>
      </c>
      <c r="D95" s="5">
        <f t="shared" si="7"/>
        <v>56.65058213830519</v>
      </c>
      <c r="E95" s="5">
        <f t="shared" si="9"/>
        <v>-56.65058213830519</v>
      </c>
      <c r="F95" s="5">
        <f t="shared" si="11"/>
        <v>-89.090909090909207</v>
      </c>
      <c r="G95" s="5">
        <f t="shared" si="10"/>
        <v>56.65058213830519</v>
      </c>
      <c r="H95" s="6">
        <f t="shared" si="10"/>
        <v>-56.65058213830519</v>
      </c>
    </row>
    <row r="96" spans="2:8" x14ac:dyDescent="0.6">
      <c r="B96" s="21">
        <v>86</v>
      </c>
      <c r="C96" s="5">
        <f t="shared" si="8"/>
        <v>90.15151515151527</v>
      </c>
      <c r="D96" s="5">
        <f t="shared" si="7"/>
        <v>55.896979429943116</v>
      </c>
      <c r="E96" s="5">
        <f t="shared" si="9"/>
        <v>-55.896979429943116</v>
      </c>
      <c r="F96" s="5">
        <f t="shared" si="11"/>
        <v>-90.15151515151527</v>
      </c>
      <c r="G96" s="5">
        <f t="shared" si="10"/>
        <v>55.896979429943116</v>
      </c>
      <c r="H96" s="6">
        <f t="shared" si="10"/>
        <v>-55.896979429943116</v>
      </c>
    </row>
    <row r="97" spans="2:8" x14ac:dyDescent="0.6">
      <c r="B97" s="21">
        <v>87</v>
      </c>
      <c r="C97" s="5">
        <f t="shared" si="8"/>
        <v>91.212121212121332</v>
      </c>
      <c r="D97" s="5">
        <f t="shared" si="7"/>
        <v>55.082755945084145</v>
      </c>
      <c r="E97" s="5">
        <f t="shared" si="9"/>
        <v>-55.082755945084145</v>
      </c>
      <c r="F97" s="5">
        <f t="shared" si="11"/>
        <v>-91.212121212121332</v>
      </c>
      <c r="G97" s="5">
        <f t="shared" si="10"/>
        <v>55.082755945084145</v>
      </c>
      <c r="H97" s="6">
        <f t="shared" si="10"/>
        <v>-55.082755945084145</v>
      </c>
    </row>
    <row r="98" spans="2:8" x14ac:dyDescent="0.6">
      <c r="B98" s="21">
        <v>88</v>
      </c>
      <c r="C98" s="5">
        <f t="shared" si="8"/>
        <v>92.272727272727394</v>
      </c>
      <c r="D98" s="5">
        <f t="shared" si="7"/>
        <v>54.199742132189563</v>
      </c>
      <c r="E98" s="5">
        <f t="shared" si="9"/>
        <v>-54.199742132189563</v>
      </c>
      <c r="F98" s="5">
        <f t="shared" si="11"/>
        <v>-92.272727272727394</v>
      </c>
      <c r="G98" s="5">
        <f t="shared" si="10"/>
        <v>54.199742132189563</v>
      </c>
      <c r="H98" s="6">
        <f t="shared" si="10"/>
        <v>-54.199742132189563</v>
      </c>
    </row>
    <row r="99" spans="2:8" x14ac:dyDescent="0.6">
      <c r="B99" s="21">
        <v>89</v>
      </c>
      <c r="C99" s="5">
        <f t="shared" si="8"/>
        <v>93.333333333333456</v>
      </c>
      <c r="D99" s="5">
        <f t="shared" si="7"/>
        <v>53.237865434620829</v>
      </c>
      <c r="E99" s="5">
        <f t="shared" si="9"/>
        <v>-53.237865434620829</v>
      </c>
      <c r="F99" s="5">
        <f t="shared" si="11"/>
        <v>-93.333333333333456</v>
      </c>
      <c r="G99" s="5">
        <f t="shared" si="10"/>
        <v>53.237865434620829</v>
      </c>
      <c r="H99" s="6">
        <f t="shared" si="10"/>
        <v>-53.237865434620829</v>
      </c>
    </row>
    <row r="100" spans="2:8" x14ac:dyDescent="0.6">
      <c r="B100" s="21">
        <v>90</v>
      </c>
      <c r="C100" s="5">
        <f t="shared" si="8"/>
        <v>94.393939393939519</v>
      </c>
      <c r="D100" s="5">
        <f t="shared" si="7"/>
        <v>52.184480390139321</v>
      </c>
      <c r="E100" s="5">
        <f t="shared" si="9"/>
        <v>-52.184480390139321</v>
      </c>
      <c r="F100" s="5">
        <f t="shared" si="11"/>
        <v>-94.393939393939519</v>
      </c>
      <c r="G100" s="5">
        <f t="shared" si="10"/>
        <v>52.184480390139321</v>
      </c>
      <c r="H100" s="6">
        <f t="shared" si="10"/>
        <v>-52.184480390139321</v>
      </c>
    </row>
    <row r="101" spans="2:8" x14ac:dyDescent="0.6">
      <c r="B101" s="21">
        <v>91</v>
      </c>
      <c r="C101" s="5">
        <f t="shared" si="8"/>
        <v>95.454545454545581</v>
      </c>
      <c r="D101" s="5">
        <f t="shared" si="7"/>
        <v>51.023367659421019</v>
      </c>
      <c r="E101" s="5">
        <f t="shared" si="9"/>
        <v>-51.023367659421019</v>
      </c>
      <c r="F101" s="5">
        <f t="shared" si="11"/>
        <v>-95.454545454545581</v>
      </c>
      <c r="G101" s="5">
        <f t="shared" si="10"/>
        <v>51.023367659421019</v>
      </c>
      <c r="H101" s="6">
        <f t="shared" si="10"/>
        <v>-51.023367659421019</v>
      </c>
    </row>
    <row r="102" spans="2:8" x14ac:dyDescent="0.6">
      <c r="B102" s="21">
        <v>92</v>
      </c>
      <c r="C102" s="5">
        <f t="shared" si="8"/>
        <v>96.515151515151643</v>
      </c>
      <c r="D102" s="5">
        <f t="shared" si="7"/>
        <v>49.733180215794427</v>
      </c>
      <c r="E102" s="5">
        <f t="shared" si="9"/>
        <v>-49.733180215794427</v>
      </c>
      <c r="F102" s="5">
        <f t="shared" si="11"/>
        <v>-96.515151515151643</v>
      </c>
      <c r="G102" s="5">
        <f t="shared" si="10"/>
        <v>49.733180215794427</v>
      </c>
      <c r="H102" s="6">
        <f t="shared" si="10"/>
        <v>-49.733180215794427</v>
      </c>
    </row>
    <row r="103" spans="2:8" x14ac:dyDescent="0.6">
      <c r="B103" s="21">
        <v>93</v>
      </c>
      <c r="C103" s="5">
        <f t="shared" si="8"/>
        <v>97.575757575757706</v>
      </c>
      <c r="D103" s="5">
        <f t="shared" si="7"/>
        <v>48.284916983934664</v>
      </c>
      <c r="E103" s="5">
        <f t="shared" si="9"/>
        <v>-48.284916983934664</v>
      </c>
      <c r="F103" s="5">
        <f t="shared" si="11"/>
        <v>-97.575757575757706</v>
      </c>
      <c r="G103" s="5">
        <f t="shared" si="10"/>
        <v>48.284916983934664</v>
      </c>
      <c r="H103" s="6">
        <f t="shared" si="10"/>
        <v>-48.284916983934664</v>
      </c>
    </row>
    <row r="104" spans="2:8" x14ac:dyDescent="0.6">
      <c r="B104" s="21">
        <v>94</v>
      </c>
      <c r="C104" s="5">
        <f t="shared" si="8"/>
        <v>98.636363636363768</v>
      </c>
      <c r="D104" s="5">
        <f t="shared" si="7"/>
        <v>46.637571783346246</v>
      </c>
      <c r="E104" s="5">
        <f t="shared" si="9"/>
        <v>-46.637571783346246</v>
      </c>
      <c r="F104" s="5">
        <f t="shared" si="11"/>
        <v>-98.636363636363768</v>
      </c>
      <c r="G104" s="5">
        <f t="shared" si="10"/>
        <v>46.637571783346246</v>
      </c>
      <c r="H104" s="6">
        <f t="shared" si="10"/>
        <v>-46.637571783346246</v>
      </c>
    </row>
    <row r="105" spans="2:8" x14ac:dyDescent="0.6">
      <c r="B105" s="21">
        <v>95</v>
      </c>
      <c r="C105" s="5">
        <f t="shared" si="8"/>
        <v>99.69696969696983</v>
      </c>
      <c r="D105" s="5">
        <f t="shared" si="7"/>
        <v>44.730066902785609</v>
      </c>
      <c r="E105" s="5">
        <f t="shared" si="9"/>
        <v>-44.730066902785609</v>
      </c>
      <c r="F105" s="5">
        <f t="shared" si="11"/>
        <v>-99.69696969696983</v>
      </c>
      <c r="G105" s="5">
        <f t="shared" si="10"/>
        <v>44.730066902785609</v>
      </c>
      <c r="H105" s="6">
        <f t="shared" si="10"/>
        <v>-44.730066902785609</v>
      </c>
    </row>
    <row r="106" spans="2:8" x14ac:dyDescent="0.6">
      <c r="B106" s="21">
        <v>96</v>
      </c>
      <c r="C106" s="5">
        <f t="shared" si="8"/>
        <v>100.75757575757589</v>
      </c>
      <c r="D106" s="5">
        <f t="shared" si="7"/>
        <v>42.464758836944561</v>
      </c>
      <c r="E106" s="5">
        <f t="shared" si="9"/>
        <v>-42.464758836944561</v>
      </c>
      <c r="F106" s="5">
        <f t="shared" si="11"/>
        <v>-100.75757575757589</v>
      </c>
      <c r="G106" s="5">
        <f t="shared" si="10"/>
        <v>42.464758836944561</v>
      </c>
      <c r="H106" s="6">
        <f t="shared" si="10"/>
        <v>-42.464758836944561</v>
      </c>
    </row>
    <row r="107" spans="2:8" x14ac:dyDescent="0.6">
      <c r="B107" s="21">
        <v>97</v>
      </c>
      <c r="C107" s="5">
        <f t="shared" si="8"/>
        <v>101.81818181818196</v>
      </c>
      <c r="D107" s="5">
        <f t="shared" si="7"/>
        <v>39.66871991185544</v>
      </c>
      <c r="E107" s="5">
        <f t="shared" si="9"/>
        <v>-39.66871991185544</v>
      </c>
      <c r="F107" s="5">
        <f t="shared" si="11"/>
        <v>-101.81818181818196</v>
      </c>
      <c r="G107" s="5">
        <f t="shared" si="10"/>
        <v>39.66871991185544</v>
      </c>
      <c r="H107" s="6">
        <f t="shared" si="10"/>
        <v>-39.66871991185544</v>
      </c>
    </row>
    <row r="108" spans="2:8" x14ac:dyDescent="0.6">
      <c r="B108" s="21">
        <v>98</v>
      </c>
      <c r="C108" s="5">
        <f t="shared" si="8"/>
        <v>102.87878787878802</v>
      </c>
      <c r="D108" s="5">
        <f t="shared" si="7"/>
        <v>35.98131870582295</v>
      </c>
      <c r="E108" s="5">
        <f t="shared" si="9"/>
        <v>-35.98131870582295</v>
      </c>
      <c r="F108" s="5">
        <f t="shared" si="11"/>
        <v>-102.87878787878802</v>
      </c>
      <c r="G108" s="5">
        <f t="shared" si="10"/>
        <v>35.98131870582295</v>
      </c>
      <c r="H108" s="6">
        <f t="shared" si="10"/>
        <v>-35.98131870582295</v>
      </c>
    </row>
    <row r="109" spans="2:8" x14ac:dyDescent="0.6">
      <c r="B109" s="21">
        <v>99</v>
      </c>
      <c r="C109" s="5">
        <f t="shared" si="8"/>
        <v>103.93939393939408</v>
      </c>
      <c r="D109" s="5">
        <f t="shared" si="7"/>
        <v>30.371670976613725</v>
      </c>
      <c r="E109" s="5">
        <f t="shared" si="9"/>
        <v>-30.371670976613725</v>
      </c>
      <c r="F109" s="5">
        <f t="shared" si="11"/>
        <v>-103.93939393939408</v>
      </c>
      <c r="G109" s="5">
        <f t="shared" si="10"/>
        <v>30.371670976613725</v>
      </c>
      <c r="H109" s="6">
        <f t="shared" si="10"/>
        <v>-30.371670976613725</v>
      </c>
    </row>
    <row r="110" spans="2:8" x14ac:dyDescent="0.6">
      <c r="B110" s="22">
        <v>100</v>
      </c>
      <c r="C110" s="5">
        <f t="shared" si="8"/>
        <v>105</v>
      </c>
      <c r="D110" s="5">
        <f t="shared" si="7"/>
        <v>0</v>
      </c>
      <c r="E110" s="5">
        <f t="shared" si="9"/>
        <v>0</v>
      </c>
      <c r="F110" s="7">
        <f t="shared" si="11"/>
        <v>-105</v>
      </c>
      <c r="G110" s="7">
        <f t="shared" si="10"/>
        <v>0</v>
      </c>
      <c r="H110" s="8">
        <f t="shared" si="10"/>
        <v>0</v>
      </c>
    </row>
  </sheetData>
  <sheetProtection algorithmName="SHA-512" hashValue="9TsYO1etUNfKwUbBveUlz/CcKrztrParRhCymV/X59Zl+3H/P6HHekbHcn4k3mj69dPX1VzAexNzn+ZNAoMAEA==" saltValue="aWUNAHvxXeVIf44aFyk8Rw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sheetProtection algorithmName="SHA-512" hashValue="ygMSh3Et+96CU0FcO3GOXvMxKp+NxPNZ0wrYNhjC5w22+qOrvbZFOXHf+G4tljqZmRBVF0pdO2ejfWvabEJ2Aw==" saltValue="1HAP2M1Jot6JfbXBFRoMY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I113"/>
  <sheetViews>
    <sheetView showGridLines="0" zoomScale="145" zoomScaleNormal="145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4" width="10.86328125" style="1" customWidth="1"/>
    <col min="5" max="6" width="17.53125" style="1" customWidth="1"/>
    <col min="7" max="7" width="2.59765625" style="1" customWidth="1"/>
    <col min="8" max="16384" width="10.6640625" style="1"/>
  </cols>
  <sheetData>
    <row r="1" spans="2:9" x14ac:dyDescent="0.6">
      <c r="F1" s="53" t="s">
        <v>39</v>
      </c>
    </row>
    <row r="3" spans="2:9" x14ac:dyDescent="0.6">
      <c r="B3" s="56" t="s">
        <v>36</v>
      </c>
      <c r="C3" s="57"/>
      <c r="D3" s="57"/>
      <c r="E3" s="41"/>
      <c r="F3" s="10"/>
    </row>
    <row r="4" spans="2:9" x14ac:dyDescent="0.6">
      <c r="B4" s="58"/>
      <c r="C4" s="59"/>
      <c r="D4" s="59"/>
      <c r="E4" s="49"/>
      <c r="F4" s="11"/>
      <c r="I4"/>
    </row>
    <row r="5" spans="2:9" x14ac:dyDescent="0.6">
      <c r="B5" s="2" t="s">
        <v>13</v>
      </c>
      <c r="C5" s="14"/>
      <c r="D5" s="45" t="s">
        <v>14</v>
      </c>
      <c r="E5" s="49"/>
      <c r="F5" s="11"/>
    </row>
    <row r="6" spans="2:9" x14ac:dyDescent="0.6">
      <c r="B6" s="15" t="s">
        <v>22</v>
      </c>
      <c r="C6" s="16"/>
      <c r="D6" s="46">
        <v>-30</v>
      </c>
      <c r="E6" s="49"/>
      <c r="F6" s="11"/>
    </row>
    <row r="7" spans="2:9" x14ac:dyDescent="0.6">
      <c r="B7" s="15" t="s">
        <v>23</v>
      </c>
      <c r="C7" s="17"/>
      <c r="D7" s="51">
        <f>ABS(xstart_hiperbola)</f>
        <v>30</v>
      </c>
      <c r="E7" s="49"/>
      <c r="F7" s="11"/>
    </row>
    <row r="8" spans="2:9" x14ac:dyDescent="0.6">
      <c r="B8" s="15" t="s">
        <v>20</v>
      </c>
      <c r="C8" s="17"/>
      <c r="D8" s="46">
        <v>12</v>
      </c>
      <c r="E8" s="49"/>
      <c r="F8" s="11"/>
    </row>
    <row r="9" spans="2:9" x14ac:dyDescent="0.6">
      <c r="B9" s="15" t="s">
        <v>21</v>
      </c>
      <c r="C9" s="17"/>
      <c r="D9" s="46">
        <v>9</v>
      </c>
      <c r="E9" s="49"/>
      <c r="F9" s="11"/>
    </row>
    <row r="10" spans="2:9" x14ac:dyDescent="0.6">
      <c r="B10" s="15" t="s">
        <v>12</v>
      </c>
      <c r="C10" s="17"/>
      <c r="D10" s="46">
        <v>100</v>
      </c>
      <c r="E10" s="49"/>
      <c r="F10" s="11"/>
    </row>
    <row r="11" spans="2:9" x14ac:dyDescent="0.6">
      <c r="B11" s="15"/>
      <c r="C11" s="17"/>
      <c r="D11" s="51"/>
      <c r="E11" s="49"/>
      <c r="F11" s="11"/>
    </row>
    <row r="12" spans="2:9" x14ac:dyDescent="0.6">
      <c r="B12" s="18"/>
      <c r="C12" s="19"/>
      <c r="D12" s="52"/>
      <c r="E12" s="50"/>
      <c r="F12" s="13"/>
    </row>
    <row r="13" spans="2:9" x14ac:dyDescent="0.6">
      <c r="B13" s="20" t="s">
        <v>15</v>
      </c>
      <c r="C13" s="4" t="s">
        <v>6</v>
      </c>
      <c r="D13" s="4" t="s">
        <v>24</v>
      </c>
      <c r="E13" s="47" t="s">
        <v>7</v>
      </c>
      <c r="F13" s="48" t="s">
        <v>25</v>
      </c>
    </row>
    <row r="14" spans="2:9" x14ac:dyDescent="0.6">
      <c r="B14" s="21">
        <v>1</v>
      </c>
      <c r="C14" s="5">
        <f>xstart_hiperbola</f>
        <v>-30</v>
      </c>
      <c r="D14" s="5">
        <f t="shared" ref="D14:D45" si="0">IFERROR(((($C14^2/a_hiperbola^2)-1)*b_hiperbola^2)^0.5,"")</f>
        <v>20.621590627301281</v>
      </c>
      <c r="E14" s="5">
        <f>-C14</f>
        <v>30</v>
      </c>
      <c r="F14" s="6">
        <f>IFERROR(-D14,"")</f>
        <v>-20.621590627301281</v>
      </c>
    </row>
    <row r="15" spans="2:9" x14ac:dyDescent="0.6">
      <c r="B15" s="21">
        <v>2</v>
      </c>
      <c r="C15" s="5">
        <f t="shared" ref="C15:C46" si="1">IF(C14-(xstart_hiperbola-xend_hiperbola)/np_hiperbola&gt;xend_hiperbola,xend_hiperbola,C14-(xstart_hiperbola-xend_hiperbola)/np_hiperbola)</f>
        <v>-29.4</v>
      </c>
      <c r="D15" s="5">
        <f t="shared" si="0"/>
        <v>20.129642321710538</v>
      </c>
      <c r="E15" s="5">
        <f t="shared" ref="E15:E46" si="2">-C15</f>
        <v>29.4</v>
      </c>
      <c r="F15" s="6">
        <f t="shared" ref="F15:F78" si="3">IFERROR(-D15,"")</f>
        <v>-20.129642321710538</v>
      </c>
    </row>
    <row r="16" spans="2:9" x14ac:dyDescent="0.6">
      <c r="B16" s="21">
        <v>3</v>
      </c>
      <c r="C16" s="5">
        <f t="shared" si="1"/>
        <v>-28.799999999999997</v>
      </c>
      <c r="D16" s="5">
        <f t="shared" si="0"/>
        <v>19.635681806344284</v>
      </c>
      <c r="E16" s="5">
        <f t="shared" si="2"/>
        <v>28.799999999999997</v>
      </c>
      <c r="F16" s="6">
        <f t="shared" si="3"/>
        <v>-19.635681806344284</v>
      </c>
    </row>
    <row r="17" spans="2:6" x14ac:dyDescent="0.6">
      <c r="B17" s="21">
        <v>4</v>
      </c>
      <c r="C17" s="5">
        <f t="shared" si="1"/>
        <v>-28.199999999999996</v>
      </c>
      <c r="D17" s="5">
        <f t="shared" si="0"/>
        <v>19.139553286323061</v>
      </c>
      <c r="E17" s="5">
        <f t="shared" si="2"/>
        <v>28.199999999999996</v>
      </c>
      <c r="F17" s="6">
        <f t="shared" si="3"/>
        <v>-19.139553286323061</v>
      </c>
    </row>
    <row r="18" spans="2:6" x14ac:dyDescent="0.6">
      <c r="B18" s="21">
        <v>5</v>
      </c>
      <c r="C18" s="5">
        <f t="shared" si="1"/>
        <v>-27.599999999999994</v>
      </c>
      <c r="D18" s="5">
        <f t="shared" si="0"/>
        <v>18.641083659487176</v>
      </c>
      <c r="E18" s="5">
        <f t="shared" si="2"/>
        <v>27.599999999999994</v>
      </c>
      <c r="F18" s="6">
        <f t="shared" si="3"/>
        <v>-18.641083659487176</v>
      </c>
    </row>
    <row r="19" spans="2:6" x14ac:dyDescent="0.6">
      <c r="B19" s="21">
        <v>6</v>
      </c>
      <c r="C19" s="5">
        <f t="shared" si="1"/>
        <v>-26.999999999999993</v>
      </c>
      <c r="D19" s="5">
        <f t="shared" si="0"/>
        <v>18.140079933671732</v>
      </c>
      <c r="E19" s="5">
        <f t="shared" si="2"/>
        <v>26.999999999999993</v>
      </c>
      <c r="F19" s="6">
        <f t="shared" si="3"/>
        <v>-18.140079933671732</v>
      </c>
    </row>
    <row r="20" spans="2:6" x14ac:dyDescent="0.6">
      <c r="B20" s="21">
        <v>7</v>
      </c>
      <c r="C20" s="5">
        <f t="shared" si="1"/>
        <v>-26.399999999999991</v>
      </c>
      <c r="D20" s="5">
        <f t="shared" si="0"/>
        <v>17.636326148038876</v>
      </c>
      <c r="E20" s="5">
        <f t="shared" si="2"/>
        <v>26.399999999999991</v>
      </c>
      <c r="F20" s="6">
        <f t="shared" si="3"/>
        <v>-17.636326148038876</v>
      </c>
    </row>
    <row r="21" spans="2:6" x14ac:dyDescent="0.6">
      <c r="B21" s="21">
        <v>8</v>
      </c>
      <c r="C21" s="5">
        <f t="shared" si="1"/>
        <v>-25.79999999999999</v>
      </c>
      <c r="D21" s="5">
        <f t="shared" si="0"/>
        <v>17.129579679606845</v>
      </c>
      <c r="E21" s="5">
        <f t="shared" si="2"/>
        <v>25.79999999999999</v>
      </c>
      <c r="F21" s="6">
        <f t="shared" si="3"/>
        <v>-17.129579679606845</v>
      </c>
    </row>
    <row r="22" spans="2:6" x14ac:dyDescent="0.6">
      <c r="B22" s="21">
        <v>9</v>
      </c>
      <c r="C22" s="5">
        <f t="shared" si="1"/>
        <v>-25.199999999999989</v>
      </c>
      <c r="D22" s="5">
        <f t="shared" si="0"/>
        <v>16.619566781357438</v>
      </c>
      <c r="E22" s="5">
        <f t="shared" si="2"/>
        <v>25.199999999999989</v>
      </c>
      <c r="F22" s="6">
        <f t="shared" si="3"/>
        <v>-16.619566781357438</v>
      </c>
    </row>
    <row r="23" spans="2:6" x14ac:dyDescent="0.6">
      <c r="B23" s="21">
        <v>10</v>
      </c>
      <c r="C23" s="5">
        <f t="shared" si="1"/>
        <v>-24.599999999999987</v>
      </c>
      <c r="D23" s="5">
        <f t="shared" si="0"/>
        <v>16.105977151355944</v>
      </c>
      <c r="E23" s="5">
        <f t="shared" si="2"/>
        <v>24.599999999999987</v>
      </c>
      <c r="F23" s="6">
        <f t="shared" si="3"/>
        <v>-16.105977151355944</v>
      </c>
    </row>
    <row r="24" spans="2:6" x14ac:dyDescent="0.6">
      <c r="B24" s="21">
        <v>11</v>
      </c>
      <c r="C24" s="5">
        <f t="shared" si="1"/>
        <v>-23.999999999999986</v>
      </c>
      <c r="D24" s="5">
        <f t="shared" si="0"/>
        <v>15.588457268119884</v>
      </c>
      <c r="E24" s="5">
        <f t="shared" si="2"/>
        <v>23.999999999999986</v>
      </c>
      <c r="F24" s="6">
        <f t="shared" si="3"/>
        <v>-15.588457268119884</v>
      </c>
    </row>
    <row r="25" spans="2:6" x14ac:dyDescent="0.6">
      <c r="B25" s="21">
        <v>12</v>
      </c>
      <c r="C25" s="5">
        <f t="shared" si="1"/>
        <v>-23.399999999999984</v>
      </c>
      <c r="D25" s="5">
        <f t="shared" si="0"/>
        <v>15.066602138504873</v>
      </c>
      <c r="E25" s="5">
        <f t="shared" si="2"/>
        <v>23.399999999999984</v>
      </c>
      <c r="F25" s="6">
        <f t="shared" si="3"/>
        <v>-15.066602138504873</v>
      </c>
    </row>
    <row r="26" spans="2:6" x14ac:dyDescent="0.6">
      <c r="B26" s="21">
        <v>13</v>
      </c>
      <c r="C26" s="5">
        <f t="shared" si="1"/>
        <v>-22.799999999999983</v>
      </c>
      <c r="D26" s="5">
        <f t="shared" si="0"/>
        <v>14.539944979263145</v>
      </c>
      <c r="E26" s="5">
        <f t="shared" si="2"/>
        <v>22.799999999999983</v>
      </c>
      <c r="F26" s="6">
        <f t="shared" si="3"/>
        <v>-14.539944979263145</v>
      </c>
    </row>
    <row r="27" spans="2:6" x14ac:dyDescent="0.6">
      <c r="B27" s="21">
        <v>14</v>
      </c>
      <c r="C27" s="5">
        <f t="shared" si="1"/>
        <v>-22.199999999999982</v>
      </c>
      <c r="D27" s="5">
        <f t="shared" si="0"/>
        <v>14.007944174646026</v>
      </c>
      <c r="E27" s="5">
        <f t="shared" si="2"/>
        <v>22.199999999999982</v>
      </c>
      <c r="F27" s="6">
        <f t="shared" si="3"/>
        <v>-14.007944174646026</v>
      </c>
    </row>
    <row r="28" spans="2:6" x14ac:dyDescent="0.6">
      <c r="B28" s="21">
        <v>15</v>
      </c>
      <c r="C28" s="5">
        <f t="shared" si="1"/>
        <v>-21.59999999999998</v>
      </c>
      <c r="D28" s="5">
        <f t="shared" si="0"/>
        <v>13.469966592386172</v>
      </c>
      <c r="E28" s="5">
        <f t="shared" si="2"/>
        <v>21.59999999999998</v>
      </c>
      <c r="F28" s="6">
        <f t="shared" si="3"/>
        <v>-13.469966592386172</v>
      </c>
    </row>
    <row r="29" spans="2:6" x14ac:dyDescent="0.6">
      <c r="B29" s="21">
        <v>16</v>
      </c>
      <c r="C29" s="5">
        <f t="shared" si="1"/>
        <v>-20.999999999999979</v>
      </c>
      <c r="D29" s="5">
        <f t="shared" si="0"/>
        <v>12.925265954710545</v>
      </c>
      <c r="E29" s="5">
        <f t="shared" si="2"/>
        <v>20.999999999999979</v>
      </c>
      <c r="F29" s="6">
        <f t="shared" si="3"/>
        <v>-12.925265954710545</v>
      </c>
    </row>
    <row r="30" spans="2:6" x14ac:dyDescent="0.6">
      <c r="B30" s="21">
        <v>17</v>
      </c>
      <c r="C30" s="5">
        <f t="shared" si="1"/>
        <v>-20.399999999999977</v>
      </c>
      <c r="D30" s="5">
        <f t="shared" si="0"/>
        <v>12.372954376380747</v>
      </c>
      <c r="E30" s="5">
        <f t="shared" si="2"/>
        <v>20.399999999999977</v>
      </c>
      <c r="F30" s="6">
        <f t="shared" si="3"/>
        <v>-12.372954376380747</v>
      </c>
    </row>
    <row r="31" spans="2:6" x14ac:dyDescent="0.6">
      <c r="B31" s="21">
        <v>18</v>
      </c>
      <c r="C31" s="5">
        <f t="shared" si="1"/>
        <v>-19.799999999999976</v>
      </c>
      <c r="D31" s="5">
        <f t="shared" si="0"/>
        <v>11.811964273565996</v>
      </c>
      <c r="E31" s="5">
        <f t="shared" si="2"/>
        <v>19.799999999999976</v>
      </c>
      <c r="F31" s="6">
        <f t="shared" si="3"/>
        <v>-11.811964273565996</v>
      </c>
    </row>
    <row r="32" spans="2:6" x14ac:dyDescent="0.6">
      <c r="B32" s="21">
        <v>19</v>
      </c>
      <c r="C32" s="5">
        <f t="shared" si="1"/>
        <v>-19.199999999999974</v>
      </c>
      <c r="D32" s="5">
        <f t="shared" si="0"/>
        <v>11.240996397117092</v>
      </c>
      <c r="E32" s="5">
        <f t="shared" si="2"/>
        <v>19.199999999999974</v>
      </c>
      <c r="F32" s="6">
        <f t="shared" si="3"/>
        <v>-11.240996397117092</v>
      </c>
    </row>
    <row r="33" spans="2:6" x14ac:dyDescent="0.6">
      <c r="B33" s="21">
        <v>20</v>
      </c>
      <c r="C33" s="5">
        <f t="shared" si="1"/>
        <v>-18.599999999999973</v>
      </c>
      <c r="D33" s="5">
        <f t="shared" si="0"/>
        <v>10.658447354094285</v>
      </c>
      <c r="E33" s="5">
        <f t="shared" si="2"/>
        <v>18.599999999999973</v>
      </c>
      <c r="F33" s="6">
        <f t="shared" si="3"/>
        <v>-10.658447354094285</v>
      </c>
    </row>
    <row r="34" spans="2:6" x14ac:dyDescent="0.6">
      <c r="B34" s="21">
        <v>21</v>
      </c>
      <c r="C34" s="5">
        <f t="shared" si="1"/>
        <v>-17.999999999999972</v>
      </c>
      <c r="D34" s="5">
        <f t="shared" si="0"/>
        <v>10.062305898749026</v>
      </c>
      <c r="E34" s="5">
        <f t="shared" si="2"/>
        <v>17.999999999999972</v>
      </c>
      <c r="F34" s="6">
        <f t="shared" si="3"/>
        <v>-10.062305898749026</v>
      </c>
    </row>
    <row r="35" spans="2:6" x14ac:dyDescent="0.6">
      <c r="B35" s="21">
        <v>22</v>
      </c>
      <c r="C35" s="5">
        <f t="shared" si="1"/>
        <v>-17.39999999999997</v>
      </c>
      <c r="D35" s="5">
        <f t="shared" si="0"/>
        <v>9.4499999999999691</v>
      </c>
      <c r="E35" s="5">
        <f t="shared" si="2"/>
        <v>17.39999999999997</v>
      </c>
      <c r="F35" s="6">
        <f t="shared" si="3"/>
        <v>-9.4499999999999691</v>
      </c>
    </row>
    <row r="36" spans="2:6" x14ac:dyDescent="0.6">
      <c r="B36" s="21">
        <v>23</v>
      </c>
      <c r="C36" s="5">
        <f t="shared" si="1"/>
        <v>-16.799999999999969</v>
      </c>
      <c r="D36" s="5">
        <f t="shared" si="0"/>
        <v>8.8181630740194077</v>
      </c>
      <c r="E36" s="5">
        <f t="shared" si="2"/>
        <v>16.799999999999969</v>
      </c>
      <c r="F36" s="6">
        <f t="shared" si="3"/>
        <v>-8.8181630740194077</v>
      </c>
    </row>
    <row r="37" spans="2:6" x14ac:dyDescent="0.6">
      <c r="B37" s="21">
        <v>24</v>
      </c>
      <c r="C37" s="5">
        <f t="shared" si="1"/>
        <v>-16.199999999999967</v>
      </c>
      <c r="D37" s="5">
        <f t="shared" si="0"/>
        <v>8.162260716247637</v>
      </c>
      <c r="E37" s="5">
        <f t="shared" si="2"/>
        <v>16.199999999999967</v>
      </c>
      <c r="F37" s="6">
        <f t="shared" si="3"/>
        <v>-8.162260716247637</v>
      </c>
    </row>
    <row r="38" spans="2:6" x14ac:dyDescent="0.6">
      <c r="B38" s="21">
        <v>25</v>
      </c>
      <c r="C38" s="5">
        <f t="shared" si="1"/>
        <v>-15.599999999999968</v>
      </c>
      <c r="D38" s="5">
        <f t="shared" si="0"/>
        <v>7.4759614766262299</v>
      </c>
      <c r="E38" s="5">
        <f t="shared" si="2"/>
        <v>15.599999999999968</v>
      </c>
      <c r="F38" s="6">
        <f t="shared" si="3"/>
        <v>-7.4759614766262299</v>
      </c>
    </row>
    <row r="39" spans="2:6" x14ac:dyDescent="0.6">
      <c r="B39" s="21">
        <v>26</v>
      </c>
      <c r="C39" s="5">
        <f t="shared" si="1"/>
        <v>-14.999999999999968</v>
      </c>
      <c r="D39" s="5">
        <f t="shared" si="0"/>
        <v>6.74999999999996</v>
      </c>
      <c r="E39" s="5">
        <f t="shared" si="2"/>
        <v>14.999999999999968</v>
      </c>
      <c r="F39" s="6">
        <f t="shared" si="3"/>
        <v>-6.74999999999996</v>
      </c>
    </row>
    <row r="40" spans="2:6" x14ac:dyDescent="0.6">
      <c r="B40" s="21">
        <v>27</v>
      </c>
      <c r="C40" s="5">
        <f t="shared" si="1"/>
        <v>-14.399999999999968</v>
      </c>
      <c r="D40" s="5">
        <f t="shared" si="0"/>
        <v>5.9699246226396756</v>
      </c>
      <c r="E40" s="5">
        <f t="shared" si="2"/>
        <v>14.399999999999968</v>
      </c>
      <c r="F40" s="6">
        <f t="shared" si="3"/>
        <v>-5.9699246226396756</v>
      </c>
    </row>
    <row r="41" spans="2:6" x14ac:dyDescent="0.6">
      <c r="B41" s="21">
        <v>28</v>
      </c>
      <c r="C41" s="5">
        <f t="shared" si="1"/>
        <v>-13.799999999999969</v>
      </c>
      <c r="D41" s="5">
        <f t="shared" si="0"/>
        <v>5.111017511220199</v>
      </c>
      <c r="E41" s="5">
        <f t="shared" si="2"/>
        <v>13.799999999999969</v>
      </c>
      <c r="F41" s="6">
        <f t="shared" si="3"/>
        <v>-5.111017511220199</v>
      </c>
    </row>
    <row r="42" spans="2:6" x14ac:dyDescent="0.6">
      <c r="B42" s="21">
        <v>29</v>
      </c>
      <c r="C42" s="5">
        <f t="shared" si="1"/>
        <v>-13.199999999999969</v>
      </c>
      <c r="D42" s="5">
        <f t="shared" si="0"/>
        <v>4.124318125460201</v>
      </c>
      <c r="E42" s="5">
        <f t="shared" si="2"/>
        <v>13.199999999999969</v>
      </c>
      <c r="F42" s="6">
        <f t="shared" si="3"/>
        <v>-4.124318125460201</v>
      </c>
    </row>
    <row r="43" spans="2:6" x14ac:dyDescent="0.6">
      <c r="B43" s="21">
        <v>30</v>
      </c>
      <c r="C43" s="5">
        <f t="shared" si="1"/>
        <v>-12.599999999999969</v>
      </c>
      <c r="D43" s="5">
        <f t="shared" si="0"/>
        <v>2.8814059068447078</v>
      </c>
      <c r="E43" s="5">
        <f t="shared" si="2"/>
        <v>12.599999999999969</v>
      </c>
      <c r="F43" s="6">
        <f t="shared" si="3"/>
        <v>-2.8814059068447078</v>
      </c>
    </row>
    <row r="44" spans="2:6" x14ac:dyDescent="0.6">
      <c r="B44" s="21">
        <v>31</v>
      </c>
      <c r="C44" s="5">
        <f t="shared" si="1"/>
        <v>-11.99999999999997</v>
      </c>
      <c r="D44" s="5" t="str">
        <f t="shared" si="0"/>
        <v/>
      </c>
      <c r="E44" s="5">
        <f t="shared" si="2"/>
        <v>11.99999999999997</v>
      </c>
      <c r="F44" s="6" t="str">
        <f t="shared" si="3"/>
        <v/>
      </c>
    </row>
    <row r="45" spans="2:6" x14ac:dyDescent="0.6">
      <c r="B45" s="21">
        <v>32</v>
      </c>
      <c r="C45" s="5">
        <f t="shared" si="1"/>
        <v>-11.39999999999997</v>
      </c>
      <c r="D45" s="5" t="str">
        <f t="shared" si="0"/>
        <v/>
      </c>
      <c r="E45" s="5">
        <f t="shared" si="2"/>
        <v>11.39999999999997</v>
      </c>
      <c r="F45" s="6" t="str">
        <f t="shared" si="3"/>
        <v/>
      </c>
    </row>
    <row r="46" spans="2:6" x14ac:dyDescent="0.6">
      <c r="B46" s="21">
        <v>33</v>
      </c>
      <c r="C46" s="5">
        <f t="shared" si="1"/>
        <v>-10.799999999999971</v>
      </c>
      <c r="D46" s="5" t="str">
        <f t="shared" ref="D46:D77" si="4">IFERROR(((($C46^2/a_hiperbola^2)-1)*b_hiperbola^2)^0.5,"")</f>
        <v/>
      </c>
      <c r="E46" s="5">
        <f t="shared" si="2"/>
        <v>10.799999999999971</v>
      </c>
      <c r="F46" s="6" t="str">
        <f t="shared" si="3"/>
        <v/>
      </c>
    </row>
    <row r="47" spans="2:6" x14ac:dyDescent="0.6">
      <c r="B47" s="21">
        <v>34</v>
      </c>
      <c r="C47" s="5">
        <f t="shared" ref="C47:C78" si="5">IF(C46-(xstart_hiperbola-xend_hiperbola)/np_hiperbola&gt;xend_hiperbola,xend_hiperbola,C46-(xstart_hiperbola-xend_hiperbola)/np_hiperbola)</f>
        <v>-10.199999999999971</v>
      </c>
      <c r="D47" s="5" t="str">
        <f t="shared" si="4"/>
        <v/>
      </c>
      <c r="E47" s="5">
        <f t="shared" ref="E47:E78" si="6">-C47</f>
        <v>10.199999999999971</v>
      </c>
      <c r="F47" s="6" t="str">
        <f t="shared" si="3"/>
        <v/>
      </c>
    </row>
    <row r="48" spans="2:6" x14ac:dyDescent="0.6">
      <c r="B48" s="21">
        <v>35</v>
      </c>
      <c r="C48" s="5">
        <f t="shared" si="5"/>
        <v>-9.5999999999999712</v>
      </c>
      <c r="D48" s="5" t="str">
        <f t="shared" si="4"/>
        <v/>
      </c>
      <c r="E48" s="5">
        <f t="shared" si="6"/>
        <v>9.5999999999999712</v>
      </c>
      <c r="F48" s="6" t="str">
        <f t="shared" si="3"/>
        <v/>
      </c>
    </row>
    <row r="49" spans="2:6" x14ac:dyDescent="0.6">
      <c r="B49" s="21">
        <v>36</v>
      </c>
      <c r="C49" s="5">
        <f t="shared" si="5"/>
        <v>-8.9999999999999716</v>
      </c>
      <c r="D49" s="5" t="str">
        <f t="shared" si="4"/>
        <v/>
      </c>
      <c r="E49" s="5">
        <f t="shared" si="6"/>
        <v>8.9999999999999716</v>
      </c>
      <c r="F49" s="6" t="str">
        <f t="shared" si="3"/>
        <v/>
      </c>
    </row>
    <row r="50" spans="2:6" x14ac:dyDescent="0.6">
      <c r="B50" s="21">
        <v>37</v>
      </c>
      <c r="C50" s="5">
        <f t="shared" si="5"/>
        <v>-8.3999999999999719</v>
      </c>
      <c r="D50" s="5" t="str">
        <f t="shared" si="4"/>
        <v/>
      </c>
      <c r="E50" s="5">
        <f t="shared" si="6"/>
        <v>8.3999999999999719</v>
      </c>
      <c r="F50" s="6" t="str">
        <f t="shared" si="3"/>
        <v/>
      </c>
    </row>
    <row r="51" spans="2:6" x14ac:dyDescent="0.6">
      <c r="B51" s="21">
        <v>38</v>
      </c>
      <c r="C51" s="5">
        <f t="shared" si="5"/>
        <v>-7.7999999999999723</v>
      </c>
      <c r="D51" s="5" t="str">
        <f t="shared" si="4"/>
        <v/>
      </c>
      <c r="E51" s="5">
        <f t="shared" si="6"/>
        <v>7.7999999999999723</v>
      </c>
      <c r="F51" s="6" t="str">
        <f t="shared" si="3"/>
        <v/>
      </c>
    </row>
    <row r="52" spans="2:6" x14ac:dyDescent="0.6">
      <c r="B52" s="21">
        <v>39</v>
      </c>
      <c r="C52" s="5">
        <f t="shared" si="5"/>
        <v>-7.1999999999999726</v>
      </c>
      <c r="D52" s="5" t="str">
        <f t="shared" si="4"/>
        <v/>
      </c>
      <c r="E52" s="5">
        <f t="shared" si="6"/>
        <v>7.1999999999999726</v>
      </c>
      <c r="F52" s="6" t="str">
        <f t="shared" si="3"/>
        <v/>
      </c>
    </row>
    <row r="53" spans="2:6" x14ac:dyDescent="0.6">
      <c r="B53" s="21">
        <v>40</v>
      </c>
      <c r="C53" s="5">
        <f t="shared" si="5"/>
        <v>-6.599999999999973</v>
      </c>
      <c r="D53" s="5" t="str">
        <f t="shared" si="4"/>
        <v/>
      </c>
      <c r="E53" s="5">
        <f t="shared" si="6"/>
        <v>6.599999999999973</v>
      </c>
      <c r="F53" s="6" t="str">
        <f t="shared" si="3"/>
        <v/>
      </c>
    </row>
    <row r="54" spans="2:6" x14ac:dyDescent="0.6">
      <c r="B54" s="21">
        <v>41</v>
      </c>
      <c r="C54" s="5">
        <f t="shared" si="5"/>
        <v>-5.9999999999999734</v>
      </c>
      <c r="D54" s="5" t="str">
        <f t="shared" si="4"/>
        <v/>
      </c>
      <c r="E54" s="5">
        <f t="shared" si="6"/>
        <v>5.9999999999999734</v>
      </c>
      <c r="F54" s="6" t="str">
        <f t="shared" si="3"/>
        <v/>
      </c>
    </row>
    <row r="55" spans="2:6" x14ac:dyDescent="0.6">
      <c r="B55" s="21">
        <v>42</v>
      </c>
      <c r="C55" s="5">
        <f t="shared" si="5"/>
        <v>-5.3999999999999737</v>
      </c>
      <c r="D55" s="5" t="str">
        <f t="shared" si="4"/>
        <v/>
      </c>
      <c r="E55" s="5">
        <f t="shared" si="6"/>
        <v>5.3999999999999737</v>
      </c>
      <c r="F55" s="6" t="str">
        <f t="shared" si="3"/>
        <v/>
      </c>
    </row>
    <row r="56" spans="2:6" x14ac:dyDescent="0.6">
      <c r="B56" s="21">
        <v>43</v>
      </c>
      <c r="C56" s="5">
        <f t="shared" si="5"/>
        <v>-4.7999999999999741</v>
      </c>
      <c r="D56" s="5" t="str">
        <f t="shared" si="4"/>
        <v/>
      </c>
      <c r="E56" s="5">
        <f t="shared" si="6"/>
        <v>4.7999999999999741</v>
      </c>
      <c r="F56" s="6" t="str">
        <f t="shared" si="3"/>
        <v/>
      </c>
    </row>
    <row r="57" spans="2:6" x14ac:dyDescent="0.6">
      <c r="B57" s="21">
        <v>44</v>
      </c>
      <c r="C57" s="5">
        <f t="shared" si="5"/>
        <v>-4.1999999999999744</v>
      </c>
      <c r="D57" s="5" t="str">
        <f t="shared" si="4"/>
        <v/>
      </c>
      <c r="E57" s="5">
        <f t="shared" si="6"/>
        <v>4.1999999999999744</v>
      </c>
      <c r="F57" s="6" t="str">
        <f t="shared" si="3"/>
        <v/>
      </c>
    </row>
    <row r="58" spans="2:6" x14ac:dyDescent="0.6">
      <c r="B58" s="21">
        <v>45</v>
      </c>
      <c r="C58" s="5">
        <f t="shared" si="5"/>
        <v>-3.5999999999999743</v>
      </c>
      <c r="D58" s="5" t="str">
        <f t="shared" si="4"/>
        <v/>
      </c>
      <c r="E58" s="5">
        <f t="shared" si="6"/>
        <v>3.5999999999999743</v>
      </c>
      <c r="F58" s="6" t="str">
        <f t="shared" si="3"/>
        <v/>
      </c>
    </row>
    <row r="59" spans="2:6" x14ac:dyDescent="0.6">
      <c r="B59" s="21">
        <v>46</v>
      </c>
      <c r="C59" s="5">
        <f t="shared" si="5"/>
        <v>-2.9999999999999742</v>
      </c>
      <c r="D59" s="5" t="str">
        <f t="shared" si="4"/>
        <v/>
      </c>
      <c r="E59" s="5">
        <f t="shared" si="6"/>
        <v>2.9999999999999742</v>
      </c>
      <c r="F59" s="6" t="str">
        <f t="shared" si="3"/>
        <v/>
      </c>
    </row>
    <row r="60" spans="2:6" x14ac:dyDescent="0.6">
      <c r="B60" s="21">
        <v>47</v>
      </c>
      <c r="C60" s="5">
        <f t="shared" si="5"/>
        <v>-2.3999999999999742</v>
      </c>
      <c r="D60" s="5" t="str">
        <f t="shared" si="4"/>
        <v/>
      </c>
      <c r="E60" s="5">
        <f t="shared" si="6"/>
        <v>2.3999999999999742</v>
      </c>
      <c r="F60" s="6" t="str">
        <f t="shared" si="3"/>
        <v/>
      </c>
    </row>
    <row r="61" spans="2:6" x14ac:dyDescent="0.6">
      <c r="B61" s="21">
        <v>48</v>
      </c>
      <c r="C61" s="5">
        <f t="shared" si="5"/>
        <v>-1.7999999999999741</v>
      </c>
      <c r="D61" s="5" t="str">
        <f t="shared" si="4"/>
        <v/>
      </c>
      <c r="E61" s="5">
        <f t="shared" si="6"/>
        <v>1.7999999999999741</v>
      </c>
      <c r="F61" s="6" t="str">
        <f t="shared" si="3"/>
        <v/>
      </c>
    </row>
    <row r="62" spans="2:6" x14ac:dyDescent="0.6">
      <c r="B62" s="21">
        <v>49</v>
      </c>
      <c r="C62" s="5">
        <f t="shared" si="5"/>
        <v>-1.199999999999974</v>
      </c>
      <c r="D62" s="5" t="str">
        <f t="shared" si="4"/>
        <v/>
      </c>
      <c r="E62" s="5">
        <f t="shared" si="6"/>
        <v>1.199999999999974</v>
      </c>
      <c r="F62" s="6" t="str">
        <f t="shared" si="3"/>
        <v/>
      </c>
    </row>
    <row r="63" spans="2:6" x14ac:dyDescent="0.6">
      <c r="B63" s="21">
        <v>50</v>
      </c>
      <c r="C63" s="5">
        <f t="shared" si="5"/>
        <v>-0.599999999999974</v>
      </c>
      <c r="D63" s="5" t="str">
        <f t="shared" si="4"/>
        <v/>
      </c>
      <c r="E63" s="5">
        <f t="shared" si="6"/>
        <v>0.599999999999974</v>
      </c>
      <c r="F63" s="6" t="str">
        <f t="shared" si="3"/>
        <v/>
      </c>
    </row>
    <row r="64" spans="2:6" x14ac:dyDescent="0.6">
      <c r="B64" s="21">
        <v>51</v>
      </c>
      <c r="C64" s="5">
        <f t="shared" si="5"/>
        <v>2.5979218776228663E-14</v>
      </c>
      <c r="D64" s="5" t="str">
        <f t="shared" si="4"/>
        <v/>
      </c>
      <c r="E64" s="5">
        <f t="shared" si="6"/>
        <v>-2.5979218776228663E-14</v>
      </c>
      <c r="F64" s="6" t="str">
        <f t="shared" si="3"/>
        <v/>
      </c>
    </row>
    <row r="65" spans="2:6" x14ac:dyDescent="0.6">
      <c r="B65" s="21">
        <v>52</v>
      </c>
      <c r="C65" s="5">
        <f t="shared" si="5"/>
        <v>0.60000000000002596</v>
      </c>
      <c r="D65" s="5" t="str">
        <f t="shared" si="4"/>
        <v/>
      </c>
      <c r="E65" s="5">
        <f t="shared" si="6"/>
        <v>-0.60000000000002596</v>
      </c>
      <c r="F65" s="6" t="str">
        <f t="shared" si="3"/>
        <v/>
      </c>
    </row>
    <row r="66" spans="2:6" x14ac:dyDescent="0.6">
      <c r="B66" s="21">
        <v>53</v>
      </c>
      <c r="C66" s="5">
        <f t="shared" si="5"/>
        <v>1.2000000000000259</v>
      </c>
      <c r="D66" s="5" t="str">
        <f t="shared" si="4"/>
        <v/>
      </c>
      <c r="E66" s="5">
        <f t="shared" si="6"/>
        <v>-1.2000000000000259</v>
      </c>
      <c r="F66" s="6" t="str">
        <f t="shared" si="3"/>
        <v/>
      </c>
    </row>
    <row r="67" spans="2:6" x14ac:dyDescent="0.6">
      <c r="B67" s="21">
        <v>54</v>
      </c>
      <c r="C67" s="5">
        <f t="shared" si="5"/>
        <v>1.800000000000026</v>
      </c>
      <c r="D67" s="5" t="str">
        <f t="shared" si="4"/>
        <v/>
      </c>
      <c r="E67" s="5">
        <f t="shared" si="6"/>
        <v>-1.800000000000026</v>
      </c>
      <c r="F67" s="6" t="str">
        <f t="shared" si="3"/>
        <v/>
      </c>
    </row>
    <row r="68" spans="2:6" x14ac:dyDescent="0.6">
      <c r="B68" s="21">
        <v>55</v>
      </c>
      <c r="C68" s="5">
        <f t="shared" si="5"/>
        <v>2.4000000000000261</v>
      </c>
      <c r="D68" s="5" t="str">
        <f t="shared" si="4"/>
        <v/>
      </c>
      <c r="E68" s="5">
        <f t="shared" si="6"/>
        <v>-2.4000000000000261</v>
      </c>
      <c r="F68" s="6" t="str">
        <f t="shared" si="3"/>
        <v/>
      </c>
    </row>
    <row r="69" spans="2:6" x14ac:dyDescent="0.6">
      <c r="B69" s="21">
        <v>56</v>
      </c>
      <c r="C69" s="5">
        <f t="shared" si="5"/>
        <v>3.0000000000000262</v>
      </c>
      <c r="D69" s="5" t="str">
        <f t="shared" si="4"/>
        <v/>
      </c>
      <c r="E69" s="5">
        <f t="shared" si="6"/>
        <v>-3.0000000000000262</v>
      </c>
      <c r="F69" s="6" t="str">
        <f t="shared" si="3"/>
        <v/>
      </c>
    </row>
    <row r="70" spans="2:6" x14ac:dyDescent="0.6">
      <c r="B70" s="21">
        <v>57</v>
      </c>
      <c r="C70" s="5">
        <f t="shared" si="5"/>
        <v>3.6000000000000263</v>
      </c>
      <c r="D70" s="5" t="str">
        <f t="shared" si="4"/>
        <v/>
      </c>
      <c r="E70" s="5">
        <f t="shared" si="6"/>
        <v>-3.6000000000000263</v>
      </c>
      <c r="F70" s="6" t="str">
        <f t="shared" si="3"/>
        <v/>
      </c>
    </row>
    <row r="71" spans="2:6" x14ac:dyDescent="0.6">
      <c r="B71" s="21">
        <v>58</v>
      </c>
      <c r="C71" s="5">
        <f t="shared" si="5"/>
        <v>4.2000000000000259</v>
      </c>
      <c r="D71" s="5" t="str">
        <f t="shared" si="4"/>
        <v/>
      </c>
      <c r="E71" s="5">
        <f t="shared" si="6"/>
        <v>-4.2000000000000259</v>
      </c>
      <c r="F71" s="6" t="str">
        <f t="shared" si="3"/>
        <v/>
      </c>
    </row>
    <row r="72" spans="2:6" x14ac:dyDescent="0.6">
      <c r="B72" s="21">
        <v>59</v>
      </c>
      <c r="C72" s="5">
        <f t="shared" si="5"/>
        <v>4.8000000000000256</v>
      </c>
      <c r="D72" s="5" t="str">
        <f t="shared" si="4"/>
        <v/>
      </c>
      <c r="E72" s="5">
        <f t="shared" si="6"/>
        <v>-4.8000000000000256</v>
      </c>
      <c r="F72" s="6" t="str">
        <f t="shared" si="3"/>
        <v/>
      </c>
    </row>
    <row r="73" spans="2:6" x14ac:dyDescent="0.6">
      <c r="B73" s="21">
        <v>60</v>
      </c>
      <c r="C73" s="5">
        <f t="shared" si="5"/>
        <v>5.4000000000000252</v>
      </c>
      <c r="D73" s="5" t="str">
        <f t="shared" si="4"/>
        <v/>
      </c>
      <c r="E73" s="5">
        <f t="shared" si="6"/>
        <v>-5.4000000000000252</v>
      </c>
      <c r="F73" s="6" t="str">
        <f t="shared" si="3"/>
        <v/>
      </c>
    </row>
    <row r="74" spans="2:6" x14ac:dyDescent="0.6">
      <c r="B74" s="21">
        <v>61</v>
      </c>
      <c r="C74" s="5">
        <f t="shared" si="5"/>
        <v>6.0000000000000249</v>
      </c>
      <c r="D74" s="5" t="str">
        <f t="shared" si="4"/>
        <v/>
      </c>
      <c r="E74" s="5">
        <f t="shared" si="6"/>
        <v>-6.0000000000000249</v>
      </c>
      <c r="F74" s="6" t="str">
        <f t="shared" si="3"/>
        <v/>
      </c>
    </row>
    <row r="75" spans="2:6" x14ac:dyDescent="0.6">
      <c r="B75" s="21">
        <v>62</v>
      </c>
      <c r="C75" s="5">
        <f t="shared" si="5"/>
        <v>6.6000000000000245</v>
      </c>
      <c r="D75" s="5" t="str">
        <f t="shared" si="4"/>
        <v/>
      </c>
      <c r="E75" s="5">
        <f t="shared" si="6"/>
        <v>-6.6000000000000245</v>
      </c>
      <c r="F75" s="6" t="str">
        <f t="shared" si="3"/>
        <v/>
      </c>
    </row>
    <row r="76" spans="2:6" x14ac:dyDescent="0.6">
      <c r="B76" s="21">
        <v>63</v>
      </c>
      <c r="C76" s="5">
        <f t="shared" si="5"/>
        <v>7.2000000000000242</v>
      </c>
      <c r="D76" s="5" t="str">
        <f t="shared" si="4"/>
        <v/>
      </c>
      <c r="E76" s="5">
        <f t="shared" si="6"/>
        <v>-7.2000000000000242</v>
      </c>
      <c r="F76" s="6" t="str">
        <f t="shared" si="3"/>
        <v/>
      </c>
    </row>
    <row r="77" spans="2:6" x14ac:dyDescent="0.6">
      <c r="B77" s="21">
        <v>64</v>
      </c>
      <c r="C77" s="5">
        <f t="shared" si="5"/>
        <v>7.8000000000000238</v>
      </c>
      <c r="D77" s="5" t="str">
        <f t="shared" si="4"/>
        <v/>
      </c>
      <c r="E77" s="5">
        <f t="shared" si="6"/>
        <v>-7.8000000000000238</v>
      </c>
      <c r="F77" s="6" t="str">
        <f t="shared" si="3"/>
        <v/>
      </c>
    </row>
    <row r="78" spans="2:6" x14ac:dyDescent="0.6">
      <c r="B78" s="21">
        <v>65</v>
      </c>
      <c r="C78" s="5">
        <f t="shared" si="5"/>
        <v>8.4000000000000234</v>
      </c>
      <c r="D78" s="5" t="str">
        <f t="shared" ref="D78:D113" si="7">IFERROR(((($C78^2/a_hiperbola^2)-1)*b_hiperbola^2)^0.5,"")</f>
        <v/>
      </c>
      <c r="E78" s="5">
        <f t="shared" si="6"/>
        <v>-8.4000000000000234</v>
      </c>
      <c r="F78" s="6" t="str">
        <f t="shared" si="3"/>
        <v/>
      </c>
    </row>
    <row r="79" spans="2:6" x14ac:dyDescent="0.6">
      <c r="B79" s="21">
        <v>66</v>
      </c>
      <c r="C79" s="5">
        <f t="shared" ref="C79:C113" si="8">IF(C78-(xstart_hiperbola-xend_hiperbola)/np_hiperbola&gt;xend_hiperbola,xend_hiperbola,C78-(xstart_hiperbola-xend_hiperbola)/np_hiperbola)</f>
        <v>9.0000000000000231</v>
      </c>
      <c r="D79" s="5" t="str">
        <f t="shared" si="7"/>
        <v/>
      </c>
      <c r="E79" s="5">
        <f t="shared" ref="E79:E113" si="9">-C79</f>
        <v>-9.0000000000000231</v>
      </c>
      <c r="F79" s="6" t="str">
        <f t="shared" ref="F79:F113" si="10">IFERROR(-D79,"")</f>
        <v/>
      </c>
    </row>
    <row r="80" spans="2:6" x14ac:dyDescent="0.6">
      <c r="B80" s="21">
        <v>67</v>
      </c>
      <c r="C80" s="5">
        <f t="shared" si="8"/>
        <v>9.6000000000000227</v>
      </c>
      <c r="D80" s="5" t="str">
        <f t="shared" si="7"/>
        <v/>
      </c>
      <c r="E80" s="5">
        <f t="shared" si="9"/>
        <v>-9.6000000000000227</v>
      </c>
      <c r="F80" s="6" t="str">
        <f t="shared" si="10"/>
        <v/>
      </c>
    </row>
    <row r="81" spans="2:6" x14ac:dyDescent="0.6">
      <c r="B81" s="21">
        <v>68</v>
      </c>
      <c r="C81" s="5">
        <f t="shared" si="8"/>
        <v>10.200000000000022</v>
      </c>
      <c r="D81" s="5" t="str">
        <f t="shared" si="7"/>
        <v/>
      </c>
      <c r="E81" s="5">
        <f t="shared" si="9"/>
        <v>-10.200000000000022</v>
      </c>
      <c r="F81" s="6" t="str">
        <f t="shared" si="10"/>
        <v/>
      </c>
    </row>
    <row r="82" spans="2:6" x14ac:dyDescent="0.6">
      <c r="B82" s="21">
        <v>69</v>
      </c>
      <c r="C82" s="5">
        <f t="shared" si="8"/>
        <v>10.800000000000022</v>
      </c>
      <c r="D82" s="5" t="str">
        <f t="shared" si="7"/>
        <v/>
      </c>
      <c r="E82" s="5">
        <f t="shared" si="9"/>
        <v>-10.800000000000022</v>
      </c>
      <c r="F82" s="6" t="str">
        <f t="shared" si="10"/>
        <v/>
      </c>
    </row>
    <row r="83" spans="2:6" x14ac:dyDescent="0.6">
      <c r="B83" s="21">
        <v>70</v>
      </c>
      <c r="C83" s="5">
        <f t="shared" si="8"/>
        <v>11.400000000000022</v>
      </c>
      <c r="D83" s="5" t="str">
        <f t="shared" si="7"/>
        <v/>
      </c>
      <c r="E83" s="5">
        <f t="shared" si="9"/>
        <v>-11.400000000000022</v>
      </c>
      <c r="F83" s="6" t="str">
        <f t="shared" si="10"/>
        <v/>
      </c>
    </row>
    <row r="84" spans="2:6" x14ac:dyDescent="0.6">
      <c r="B84" s="21">
        <v>71</v>
      </c>
      <c r="C84" s="5">
        <f t="shared" si="8"/>
        <v>12.000000000000021</v>
      </c>
      <c r="D84" s="5">
        <f t="shared" si="7"/>
        <v>5.3644180297851563E-7</v>
      </c>
      <c r="E84" s="5">
        <f t="shared" si="9"/>
        <v>-12.000000000000021</v>
      </c>
      <c r="F84" s="6">
        <f t="shared" si="10"/>
        <v>-5.3644180297851563E-7</v>
      </c>
    </row>
    <row r="85" spans="2:6" x14ac:dyDescent="0.6">
      <c r="B85" s="21">
        <v>72</v>
      </c>
      <c r="C85" s="5">
        <f t="shared" si="8"/>
        <v>12.600000000000021</v>
      </c>
      <c r="D85" s="5">
        <f t="shared" si="7"/>
        <v>2.8814059068448321</v>
      </c>
      <c r="E85" s="5">
        <f t="shared" si="9"/>
        <v>-12.600000000000021</v>
      </c>
      <c r="F85" s="6">
        <f t="shared" si="10"/>
        <v>-2.8814059068448321</v>
      </c>
    </row>
    <row r="86" spans="2:6" x14ac:dyDescent="0.6">
      <c r="B86" s="21">
        <v>73</v>
      </c>
      <c r="C86" s="5">
        <f t="shared" si="8"/>
        <v>13.200000000000021</v>
      </c>
      <c r="D86" s="5">
        <f t="shared" si="7"/>
        <v>4.1243181254602925</v>
      </c>
      <c r="E86" s="5">
        <f t="shared" si="9"/>
        <v>-13.200000000000021</v>
      </c>
      <c r="F86" s="6">
        <f t="shared" si="10"/>
        <v>-4.1243181254602925</v>
      </c>
    </row>
    <row r="87" spans="2:6" x14ac:dyDescent="0.6">
      <c r="B87" s="21">
        <v>74</v>
      </c>
      <c r="C87" s="5">
        <f t="shared" si="8"/>
        <v>13.80000000000002</v>
      </c>
      <c r="D87" s="5">
        <f t="shared" si="7"/>
        <v>5.111017511220278</v>
      </c>
      <c r="E87" s="5">
        <f t="shared" si="9"/>
        <v>-13.80000000000002</v>
      </c>
      <c r="F87" s="6">
        <f t="shared" si="10"/>
        <v>-5.111017511220278</v>
      </c>
    </row>
    <row r="88" spans="2:6" x14ac:dyDescent="0.6">
      <c r="B88" s="21">
        <v>75</v>
      </c>
      <c r="C88" s="5">
        <f t="shared" si="8"/>
        <v>14.40000000000002</v>
      </c>
      <c r="D88" s="5">
        <f t="shared" si="7"/>
        <v>5.9699246226397467</v>
      </c>
      <c r="E88" s="5">
        <f t="shared" si="9"/>
        <v>-14.40000000000002</v>
      </c>
      <c r="F88" s="6">
        <f t="shared" si="10"/>
        <v>-5.9699246226397467</v>
      </c>
    </row>
    <row r="89" spans="2:6" x14ac:dyDescent="0.6">
      <c r="B89" s="21">
        <v>76</v>
      </c>
      <c r="C89" s="5">
        <f t="shared" si="8"/>
        <v>15.00000000000002</v>
      </c>
      <c r="D89" s="5">
        <f t="shared" si="7"/>
        <v>6.7500000000000249</v>
      </c>
      <c r="E89" s="5">
        <f t="shared" si="9"/>
        <v>-15.00000000000002</v>
      </c>
      <c r="F89" s="6">
        <f t="shared" si="10"/>
        <v>-6.7500000000000249</v>
      </c>
    </row>
    <row r="90" spans="2:6" x14ac:dyDescent="0.6">
      <c r="B90" s="21">
        <v>77</v>
      </c>
      <c r="C90" s="5">
        <f t="shared" si="8"/>
        <v>15.600000000000019</v>
      </c>
      <c r="D90" s="5">
        <f t="shared" si="7"/>
        <v>7.4759614766262894</v>
      </c>
      <c r="E90" s="5">
        <f t="shared" si="9"/>
        <v>-15.600000000000019</v>
      </c>
      <c r="F90" s="6">
        <f t="shared" si="10"/>
        <v>-7.4759614766262894</v>
      </c>
    </row>
    <row r="91" spans="2:6" x14ac:dyDescent="0.6">
      <c r="B91" s="21">
        <v>78</v>
      </c>
      <c r="C91" s="5">
        <f t="shared" si="8"/>
        <v>16.200000000000021</v>
      </c>
      <c r="D91" s="5">
        <f t="shared" si="7"/>
        <v>8.1622607162476974</v>
      </c>
      <c r="E91" s="5">
        <f t="shared" si="9"/>
        <v>-16.200000000000021</v>
      </c>
      <c r="F91" s="6">
        <f t="shared" si="10"/>
        <v>-8.1622607162476974</v>
      </c>
    </row>
    <row r="92" spans="2:6" x14ac:dyDescent="0.6">
      <c r="B92" s="21">
        <v>79</v>
      </c>
      <c r="C92" s="5">
        <f t="shared" si="8"/>
        <v>16.800000000000022</v>
      </c>
      <c r="D92" s="5">
        <f t="shared" si="7"/>
        <v>8.8181630740194663</v>
      </c>
      <c r="E92" s="5">
        <f t="shared" si="9"/>
        <v>-16.800000000000022</v>
      </c>
      <c r="F92" s="6">
        <f t="shared" si="10"/>
        <v>-8.8181630740194663</v>
      </c>
    </row>
    <row r="93" spans="2:6" x14ac:dyDescent="0.6">
      <c r="B93" s="21">
        <v>80</v>
      </c>
      <c r="C93" s="5">
        <f t="shared" si="8"/>
        <v>17.400000000000023</v>
      </c>
      <c r="D93" s="5">
        <f t="shared" si="7"/>
        <v>9.4500000000000242</v>
      </c>
      <c r="E93" s="5">
        <f t="shared" si="9"/>
        <v>-17.400000000000023</v>
      </c>
      <c r="F93" s="6">
        <f t="shared" si="10"/>
        <v>-9.4500000000000242</v>
      </c>
    </row>
    <row r="94" spans="2:6" x14ac:dyDescent="0.6">
      <c r="B94" s="21">
        <v>81</v>
      </c>
      <c r="C94" s="5">
        <f t="shared" si="8"/>
        <v>18.000000000000025</v>
      </c>
      <c r="D94" s="5">
        <f t="shared" si="7"/>
        <v>10.062305898749079</v>
      </c>
      <c r="E94" s="5">
        <f t="shared" si="9"/>
        <v>-18.000000000000025</v>
      </c>
      <c r="F94" s="6">
        <f t="shared" si="10"/>
        <v>-10.062305898749079</v>
      </c>
    </row>
    <row r="95" spans="2:6" x14ac:dyDescent="0.6">
      <c r="B95" s="21">
        <v>82</v>
      </c>
      <c r="C95" s="5">
        <f t="shared" si="8"/>
        <v>18.600000000000026</v>
      </c>
      <c r="D95" s="5">
        <f t="shared" si="7"/>
        <v>10.658447354094337</v>
      </c>
      <c r="E95" s="5">
        <f t="shared" si="9"/>
        <v>-18.600000000000026</v>
      </c>
      <c r="F95" s="6">
        <f t="shared" si="10"/>
        <v>-10.658447354094337</v>
      </c>
    </row>
    <row r="96" spans="2:6" x14ac:dyDescent="0.6">
      <c r="B96" s="21">
        <v>83</v>
      </c>
      <c r="C96" s="5">
        <f t="shared" si="8"/>
        <v>19.200000000000028</v>
      </c>
      <c r="D96" s="5">
        <f t="shared" si="7"/>
        <v>11.240996397117144</v>
      </c>
      <c r="E96" s="5">
        <f t="shared" si="9"/>
        <v>-19.200000000000028</v>
      </c>
      <c r="F96" s="6">
        <f t="shared" si="10"/>
        <v>-11.240996397117144</v>
      </c>
    </row>
    <row r="97" spans="2:6" x14ac:dyDescent="0.6">
      <c r="B97" s="21">
        <v>84</v>
      </c>
      <c r="C97" s="5">
        <f t="shared" si="8"/>
        <v>19.800000000000029</v>
      </c>
      <c r="D97" s="5">
        <f t="shared" si="7"/>
        <v>11.811964273566046</v>
      </c>
      <c r="E97" s="5">
        <f t="shared" si="9"/>
        <v>-19.800000000000029</v>
      </c>
      <c r="F97" s="6">
        <f t="shared" si="10"/>
        <v>-11.811964273566046</v>
      </c>
    </row>
    <row r="98" spans="2:6" x14ac:dyDescent="0.6">
      <c r="B98" s="21">
        <v>85</v>
      </c>
      <c r="C98" s="5">
        <f t="shared" si="8"/>
        <v>20.400000000000031</v>
      </c>
      <c r="D98" s="5">
        <f t="shared" si="7"/>
        <v>12.372954376380795</v>
      </c>
      <c r="E98" s="5">
        <f t="shared" si="9"/>
        <v>-20.400000000000031</v>
      </c>
      <c r="F98" s="6">
        <f t="shared" si="10"/>
        <v>-12.372954376380795</v>
      </c>
    </row>
    <row r="99" spans="2:6" x14ac:dyDescent="0.6">
      <c r="B99" s="21">
        <v>86</v>
      </c>
      <c r="C99" s="5">
        <f t="shared" si="8"/>
        <v>21.000000000000032</v>
      </c>
      <c r="D99" s="5">
        <f t="shared" si="7"/>
        <v>12.925265954710595</v>
      </c>
      <c r="E99" s="5">
        <f t="shared" si="9"/>
        <v>-21.000000000000032</v>
      </c>
      <c r="F99" s="6">
        <f t="shared" si="10"/>
        <v>-12.925265954710595</v>
      </c>
    </row>
    <row r="100" spans="2:6" x14ac:dyDescent="0.6">
      <c r="B100" s="21">
        <v>87</v>
      </c>
      <c r="C100" s="5">
        <f t="shared" si="8"/>
        <v>21.600000000000033</v>
      </c>
      <c r="D100" s="5">
        <f t="shared" si="7"/>
        <v>13.46996659238622</v>
      </c>
      <c r="E100" s="5">
        <f t="shared" si="9"/>
        <v>-21.600000000000033</v>
      </c>
      <c r="F100" s="6">
        <f t="shared" si="10"/>
        <v>-13.46996659238622</v>
      </c>
    </row>
    <row r="101" spans="2:6" x14ac:dyDescent="0.6">
      <c r="B101" s="21">
        <v>88</v>
      </c>
      <c r="C101" s="5">
        <f t="shared" si="8"/>
        <v>22.200000000000035</v>
      </c>
      <c r="D101" s="5">
        <f t="shared" si="7"/>
        <v>14.007944174646074</v>
      </c>
      <c r="E101" s="5">
        <f t="shared" si="9"/>
        <v>-22.200000000000035</v>
      </c>
      <c r="F101" s="6">
        <f t="shared" si="10"/>
        <v>-14.007944174646074</v>
      </c>
    </row>
    <row r="102" spans="2:6" x14ac:dyDescent="0.6">
      <c r="B102" s="21">
        <v>89</v>
      </c>
      <c r="C102" s="5">
        <f t="shared" si="8"/>
        <v>22.800000000000036</v>
      </c>
      <c r="D102" s="5">
        <f t="shared" si="7"/>
        <v>14.539944979263193</v>
      </c>
      <c r="E102" s="5">
        <f t="shared" si="9"/>
        <v>-22.800000000000036</v>
      </c>
      <c r="F102" s="6">
        <f t="shared" si="10"/>
        <v>-14.539944979263193</v>
      </c>
    </row>
    <row r="103" spans="2:6" x14ac:dyDescent="0.6">
      <c r="B103" s="21">
        <v>90</v>
      </c>
      <c r="C103" s="5">
        <f t="shared" si="8"/>
        <v>23.400000000000038</v>
      </c>
      <c r="D103" s="5">
        <f t="shared" si="7"/>
        <v>15.066602138504919</v>
      </c>
      <c r="E103" s="5">
        <f t="shared" si="9"/>
        <v>-23.400000000000038</v>
      </c>
      <c r="F103" s="6">
        <f t="shared" si="10"/>
        <v>-15.066602138504919</v>
      </c>
    </row>
    <row r="104" spans="2:6" x14ac:dyDescent="0.6">
      <c r="B104" s="21">
        <v>91</v>
      </c>
      <c r="C104" s="5">
        <f t="shared" si="8"/>
        <v>24.000000000000039</v>
      </c>
      <c r="D104" s="5">
        <f t="shared" si="7"/>
        <v>15.588457268119928</v>
      </c>
      <c r="E104" s="5">
        <f t="shared" si="9"/>
        <v>-24.000000000000039</v>
      </c>
      <c r="F104" s="6">
        <f t="shared" si="10"/>
        <v>-15.588457268119928</v>
      </c>
    </row>
    <row r="105" spans="2:6" x14ac:dyDescent="0.6">
      <c r="B105" s="21">
        <v>92</v>
      </c>
      <c r="C105" s="5">
        <f t="shared" si="8"/>
        <v>24.600000000000041</v>
      </c>
      <c r="D105" s="5">
        <f t="shared" si="7"/>
        <v>16.105977151355987</v>
      </c>
      <c r="E105" s="5">
        <f t="shared" si="9"/>
        <v>-24.600000000000041</v>
      </c>
      <c r="F105" s="6">
        <f t="shared" si="10"/>
        <v>-16.105977151355987</v>
      </c>
    </row>
    <row r="106" spans="2:6" x14ac:dyDescent="0.6">
      <c r="B106" s="21">
        <v>93</v>
      </c>
      <c r="C106" s="5">
        <f t="shared" si="8"/>
        <v>25.200000000000042</v>
      </c>
      <c r="D106" s="5">
        <f t="shared" si="7"/>
        <v>16.619566781357484</v>
      </c>
      <c r="E106" s="5">
        <f t="shared" si="9"/>
        <v>-25.200000000000042</v>
      </c>
      <c r="F106" s="6">
        <f t="shared" si="10"/>
        <v>-16.619566781357484</v>
      </c>
    </row>
    <row r="107" spans="2:6" x14ac:dyDescent="0.6">
      <c r="B107" s="21">
        <v>94</v>
      </c>
      <c r="C107" s="5">
        <f t="shared" si="8"/>
        <v>25.800000000000043</v>
      </c>
      <c r="D107" s="5">
        <f t="shared" si="7"/>
        <v>17.129579679606888</v>
      </c>
      <c r="E107" s="5">
        <f t="shared" si="9"/>
        <v>-25.800000000000043</v>
      </c>
      <c r="F107" s="6">
        <f t="shared" si="10"/>
        <v>-17.129579679606888</v>
      </c>
    </row>
    <row r="108" spans="2:6" x14ac:dyDescent="0.6">
      <c r="B108" s="21">
        <v>95</v>
      </c>
      <c r="C108" s="5">
        <f t="shared" si="8"/>
        <v>26.400000000000045</v>
      </c>
      <c r="D108" s="5">
        <f t="shared" si="7"/>
        <v>17.636326148038918</v>
      </c>
      <c r="E108" s="5">
        <f t="shared" si="9"/>
        <v>-26.400000000000045</v>
      </c>
      <c r="F108" s="6">
        <f t="shared" si="10"/>
        <v>-17.636326148038918</v>
      </c>
    </row>
    <row r="109" spans="2:6" x14ac:dyDescent="0.6">
      <c r="B109" s="21">
        <v>96</v>
      </c>
      <c r="C109" s="5">
        <f t="shared" si="8"/>
        <v>27.000000000000046</v>
      </c>
      <c r="D109" s="5">
        <f t="shared" si="7"/>
        <v>18.140079933671775</v>
      </c>
      <c r="E109" s="5">
        <f t="shared" si="9"/>
        <v>-27.000000000000046</v>
      </c>
      <c r="F109" s="6">
        <f t="shared" si="10"/>
        <v>-18.140079933671775</v>
      </c>
    </row>
    <row r="110" spans="2:6" x14ac:dyDescent="0.6">
      <c r="B110" s="21">
        <v>97</v>
      </c>
      <c r="C110" s="5">
        <f t="shared" si="8"/>
        <v>27.600000000000048</v>
      </c>
      <c r="D110" s="5">
        <f t="shared" si="7"/>
        <v>18.641083659487219</v>
      </c>
      <c r="E110" s="5">
        <f t="shared" si="9"/>
        <v>-27.600000000000048</v>
      </c>
      <c r="F110" s="6">
        <f t="shared" si="10"/>
        <v>-18.641083659487219</v>
      </c>
    </row>
    <row r="111" spans="2:6" x14ac:dyDescent="0.6">
      <c r="B111" s="21">
        <v>98</v>
      </c>
      <c r="C111" s="5">
        <f t="shared" si="8"/>
        <v>28.200000000000049</v>
      </c>
      <c r="D111" s="5">
        <f t="shared" si="7"/>
        <v>19.139553286323103</v>
      </c>
      <c r="E111" s="5">
        <f t="shared" si="9"/>
        <v>-28.200000000000049</v>
      </c>
      <c r="F111" s="6">
        <f t="shared" si="10"/>
        <v>-19.139553286323103</v>
      </c>
    </row>
    <row r="112" spans="2:6" x14ac:dyDescent="0.6">
      <c r="B112" s="21">
        <v>99</v>
      </c>
      <c r="C112" s="5">
        <f t="shared" si="8"/>
        <v>28.80000000000005</v>
      </c>
      <c r="D112" s="5">
        <f t="shared" si="7"/>
        <v>19.635681806344326</v>
      </c>
      <c r="E112" s="5">
        <f t="shared" si="9"/>
        <v>-28.80000000000005</v>
      </c>
      <c r="F112" s="6">
        <f t="shared" si="10"/>
        <v>-19.635681806344326</v>
      </c>
    </row>
    <row r="113" spans="2:6" x14ac:dyDescent="0.6">
      <c r="B113" s="22">
        <v>100</v>
      </c>
      <c r="C113" s="7">
        <f t="shared" si="8"/>
        <v>29.400000000000052</v>
      </c>
      <c r="D113" s="7">
        <f t="shared" si="7"/>
        <v>20.12964232171058</v>
      </c>
      <c r="E113" s="7">
        <f t="shared" si="9"/>
        <v>-29.400000000000052</v>
      </c>
      <c r="F113" s="8">
        <f t="shared" si="10"/>
        <v>-20.12964232171058</v>
      </c>
    </row>
  </sheetData>
  <sheetProtection algorithmName="SHA-512" hashValue="SBUix9dauaUsEN+N6E1Ocbptyg/4Y6i0cVLjX7v7sqsUkGRcHsTLCehPM9tWGCTYg3KelxjlaeU07AGOJiikSg==" saltValue="GGXXHzLt1NcOKIk0k5dXUQ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B0F4-25EA-4764-A070-1E19951DA814}">
  <dimension ref="B1:F7"/>
  <sheetViews>
    <sheetView showGridLines="0" zoomScale="160" zoomScaleNormal="160" workbookViewId="0">
      <selection activeCell="C5" sqref="C5"/>
    </sheetView>
  </sheetViews>
  <sheetFormatPr defaultRowHeight="16.5" x14ac:dyDescent="0.6"/>
  <cols>
    <col min="1" max="1" width="2.59765625" style="1" customWidth="1"/>
    <col min="2" max="2" width="21.19921875" style="1" customWidth="1"/>
    <col min="3" max="3" width="9.3984375" style="1" customWidth="1"/>
    <col min="4" max="4" width="2.59765625" style="1" customWidth="1"/>
    <col min="5" max="16384" width="9.06640625" style="1"/>
  </cols>
  <sheetData>
    <row r="1" spans="2:6" x14ac:dyDescent="0.6">
      <c r="C1" s="53" t="s">
        <v>46</v>
      </c>
    </row>
    <row r="3" spans="2:6" x14ac:dyDescent="0.6">
      <c r="B3" s="1" t="s">
        <v>45</v>
      </c>
      <c r="C3" s="40" t="s">
        <v>49</v>
      </c>
    </row>
    <row r="4" spans="2:6" x14ac:dyDescent="0.6">
      <c r="B4" s="2" t="s">
        <v>13</v>
      </c>
      <c r="C4" s="3" t="s">
        <v>14</v>
      </c>
    </row>
    <row r="5" spans="2:6" x14ac:dyDescent="0.6">
      <c r="B5" s="54" t="s">
        <v>47</v>
      </c>
      <c r="C5" s="63">
        <v>50</v>
      </c>
      <c r="F5"/>
    </row>
    <row r="6" spans="2:6" x14ac:dyDescent="0.6">
      <c r="B6" s="54" t="s">
        <v>48</v>
      </c>
      <c r="C6" s="63">
        <v>20</v>
      </c>
    </row>
    <row r="7" spans="2:6" ht="49.5" x14ac:dyDescent="0.6">
      <c r="B7" s="62" t="s">
        <v>50</v>
      </c>
      <c r="C7" s="64">
        <f>C5^2/(4*C6)</f>
        <v>31.25</v>
      </c>
    </row>
  </sheetData>
  <sheetProtection algorithmName="SHA-512" hashValue="e7qoEhUuM7fmuCb2UkqabO/8r/I0T8uwz5cEn1qPCAbPL8W37qFAnFCD0d4l3dx9fzwRPvtTawlZR4Qisl/57Q==" saltValue="H+jGBRsaaS4uImIniCy/eg==" spinCount="100000" sheet="1" objects="1" scenarios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071B1-BB0F-44A0-A1EF-065B17838543}">
  <dimension ref="B1:C10"/>
  <sheetViews>
    <sheetView showGridLines="0" tabSelected="1" zoomScale="175" zoomScaleNormal="175" workbookViewId="0">
      <selection activeCell="C5" sqref="C5"/>
    </sheetView>
  </sheetViews>
  <sheetFormatPr defaultRowHeight="16.5" x14ac:dyDescent="0.6"/>
  <cols>
    <col min="1" max="1" width="2.59765625" style="1" customWidth="1"/>
    <col min="2" max="2" width="21.19921875" style="1" customWidth="1"/>
    <col min="3" max="3" width="16.59765625" style="1" customWidth="1"/>
    <col min="4" max="16384" width="9.06640625" style="1"/>
  </cols>
  <sheetData>
    <row r="1" spans="2:3" x14ac:dyDescent="0.6">
      <c r="C1" s="53" t="s">
        <v>39</v>
      </c>
    </row>
    <row r="3" spans="2:3" x14ac:dyDescent="0.6">
      <c r="B3" s="1" t="s">
        <v>44</v>
      </c>
    </row>
    <row r="4" spans="2:3" x14ac:dyDescent="0.6">
      <c r="B4" s="2" t="s">
        <v>13</v>
      </c>
      <c r="C4" s="3" t="s">
        <v>14</v>
      </c>
    </row>
    <row r="5" spans="2:3" x14ac:dyDescent="0.6">
      <c r="B5" s="54" t="s">
        <v>51</v>
      </c>
      <c r="C5" s="65">
        <v>100</v>
      </c>
    </row>
    <row r="6" spans="2:3" x14ac:dyDescent="0.6">
      <c r="B6" s="54" t="s">
        <v>52</v>
      </c>
      <c r="C6" s="65">
        <v>100</v>
      </c>
    </row>
    <row r="7" spans="2:3" x14ac:dyDescent="0.6">
      <c r="B7" s="54" t="s">
        <v>53</v>
      </c>
      <c r="C7" s="66">
        <f>C5*2+C6*2</f>
        <v>400</v>
      </c>
    </row>
    <row r="8" spans="2:3" x14ac:dyDescent="0.6">
      <c r="B8" s="54" t="s">
        <v>54</v>
      </c>
      <c r="C8" s="66">
        <f>C5/PI()</f>
        <v>31.830988618379067</v>
      </c>
    </row>
    <row r="9" spans="2:3" x14ac:dyDescent="0.6">
      <c r="B9" s="54" t="s">
        <v>55</v>
      </c>
      <c r="C9" s="66">
        <f>C6</f>
        <v>100</v>
      </c>
    </row>
    <row r="10" spans="2:3" x14ac:dyDescent="0.6">
      <c r="B10" s="55" t="s">
        <v>56</v>
      </c>
      <c r="C10" s="67">
        <f>C8*2</f>
        <v>63.661977236758133</v>
      </c>
    </row>
  </sheetData>
  <sheetProtection algorithmName="SHA-512" hashValue="1Gvo7uJ8h5szAZ8IRwuvtZHWmeYDnOmo8JIbe3AIq1uU8Ce8dARi3WuejmyhqrM+/WnFioGTlp9Qc5sud4BM7Q==" saltValue="mcWEeWZ/pG7G6HhTcbEa0Q==" spinCount="100000" sheet="1" objects="1" scenarios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4" sqref="I4"/>
    </sheetView>
  </sheetViews>
  <sheetFormatPr defaultColWidth="9.1328125" defaultRowHeight="16.5" x14ac:dyDescent="0.6"/>
  <cols>
    <col min="1" max="1" width="2.53125" style="1" customWidth="1"/>
    <col min="2" max="2" width="10.46484375" style="23" customWidth="1"/>
    <col min="3" max="3" width="14.33203125" style="23" customWidth="1"/>
    <col min="4" max="9" width="9.1328125" style="23"/>
    <col min="10" max="10" width="2.53125" style="23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3" t="s">
        <v>39</v>
      </c>
    </row>
    <row r="3" spans="2:11" s="32" customFormat="1" x14ac:dyDescent="0.6">
      <c r="B3" s="42" t="s">
        <v>26</v>
      </c>
      <c r="C3" s="33"/>
      <c r="D3" s="33"/>
      <c r="E3" s="33"/>
      <c r="F3" s="33"/>
      <c r="G3" s="33"/>
      <c r="H3" s="34" t="s">
        <v>35</v>
      </c>
      <c r="I3" s="37">
        <v>11</v>
      </c>
      <c r="J3" s="38"/>
    </row>
    <row r="4" spans="2:11" s="32" customFormat="1" x14ac:dyDescent="0.6">
      <c r="B4" s="39"/>
      <c r="I4" s="36"/>
      <c r="J4" s="38"/>
    </row>
    <row r="5" spans="2:11" s="32" customFormat="1" x14ac:dyDescent="0.6">
      <c r="B5" s="35"/>
      <c r="H5" s="40"/>
      <c r="I5" s="36"/>
    </row>
    <row r="6" spans="2:11" s="32" customFormat="1" x14ac:dyDescent="0.6">
      <c r="B6" s="35"/>
      <c r="H6" s="40"/>
      <c r="I6" s="36"/>
    </row>
    <row r="7" spans="2:11" s="32" customFormat="1" x14ac:dyDescent="0.6">
      <c r="B7" s="35"/>
      <c r="H7" s="40"/>
      <c r="I7" s="36"/>
    </row>
    <row r="8" spans="2:11" s="32" customFormat="1" x14ac:dyDescent="0.6">
      <c r="B8" s="35"/>
      <c r="H8" s="40"/>
      <c r="I8" s="36"/>
    </row>
    <row r="9" spans="2:11" s="32" customFormat="1" x14ac:dyDescent="0.6">
      <c r="B9" s="35"/>
      <c r="H9" s="40"/>
      <c r="I9" s="36"/>
    </row>
    <row r="10" spans="2:11" s="32" customFormat="1" x14ac:dyDescent="0.6">
      <c r="B10" s="35"/>
      <c r="H10" s="40"/>
      <c r="I10" s="36"/>
    </row>
    <row r="11" spans="2:11" s="32" customFormat="1" x14ac:dyDescent="0.6">
      <c r="B11" s="35"/>
      <c r="H11" s="40"/>
      <c r="I11" s="36"/>
    </row>
    <row r="12" spans="2:11" s="32" customFormat="1" x14ac:dyDescent="0.6">
      <c r="B12" s="35"/>
      <c r="H12" s="40"/>
      <c r="I12" s="36"/>
    </row>
    <row r="13" spans="2:11" s="32" customFormat="1" x14ac:dyDescent="0.6">
      <c r="B13" s="35"/>
      <c r="H13" s="40"/>
      <c r="I13" s="36"/>
    </row>
    <row r="14" spans="2:11" s="32" customFormat="1" x14ac:dyDescent="0.6">
      <c r="B14" s="35"/>
      <c r="H14" s="40"/>
      <c r="I14" s="36"/>
    </row>
    <row r="15" spans="2:11" s="32" customFormat="1" x14ac:dyDescent="0.6">
      <c r="B15" s="35"/>
      <c r="H15" s="40"/>
      <c r="I15" s="36"/>
    </row>
    <row r="16" spans="2:11" s="32" customFormat="1" x14ac:dyDescent="0.6">
      <c r="B16" s="35"/>
      <c r="H16" s="40"/>
      <c r="I16" s="36"/>
      <c r="K16" s="32" t="s">
        <v>27</v>
      </c>
    </row>
    <row r="17" spans="2:16" x14ac:dyDescent="0.6">
      <c r="B17" s="27" t="s">
        <v>38</v>
      </c>
      <c r="C17" s="28" t="s">
        <v>37</v>
      </c>
      <c r="D17" s="28" t="s">
        <v>28</v>
      </c>
      <c r="E17" s="28" t="s">
        <v>29</v>
      </c>
      <c r="F17" s="28" t="s">
        <v>30</v>
      </c>
      <c r="G17" s="28" t="s">
        <v>31</v>
      </c>
      <c r="H17" s="28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25">
        <v>0</v>
      </c>
      <c r="C18" s="24">
        <f>B18*PI()/180</f>
        <v>0</v>
      </c>
      <c r="D18" s="24">
        <f t="shared" ref="D18:D49" si="0">IF(SIN(C18)&gt;$I$3,$I$3,(IF(SIN(C18)&lt;-$I$3,-$I$3,SIN(C18))))</f>
        <v>0</v>
      </c>
      <c r="E18" s="24">
        <f t="shared" ref="E18:E49" si="1">IF(COS(C18)&gt;$I$3,$I$3,(IF(COS(C18)&lt;-$I$3,-$I$3,COS(C18))))</f>
        <v>1</v>
      </c>
      <c r="F18" s="24">
        <f t="shared" ref="F18:F49" si="2">IF(TAN(C18)&gt;$I$3,$I$3,(IF(TAN(C18)&lt;-$I$3,-$I$3,TAN(C18))))</f>
        <v>0</v>
      </c>
      <c r="G18" s="24"/>
      <c r="H18" s="24">
        <f t="shared" ref="H18:H49" si="3">IF(_xlfn.SEC(C18)&gt;$I$3,$I$3,(IF(_xlfn.SEC(C18)&lt;-$I$3,-$I$3,_xlfn.SEC(C18))))</f>
        <v>1</v>
      </c>
      <c r="I18" s="29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25">
        <v>1</v>
      </c>
      <c r="C19" s="24">
        <f t="shared" ref="C19:C82" si="4">B19*PI()/180</f>
        <v>1.7453292519943295E-2</v>
      </c>
      <c r="D19" s="24">
        <f t="shared" si="0"/>
        <v>1.7452406437283512E-2</v>
      </c>
      <c r="E19" s="24">
        <f t="shared" si="1"/>
        <v>0.99984769515639127</v>
      </c>
      <c r="F19" s="24">
        <f t="shared" si="2"/>
        <v>1.7455064928217585E-2</v>
      </c>
      <c r="G19" s="24">
        <f t="shared" ref="G19:G50" si="5">IF(_xlfn.COT(C19)&gt;$I$3,$I$3,(IF(_xlfn.COT(C19)&lt;-$I$3,-$I$3,_xlfn.COT(C19))))</f>
        <v>11</v>
      </c>
      <c r="H19" s="24">
        <f t="shared" si="3"/>
        <v>1.0001523280439077</v>
      </c>
      <c r="I19" s="29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25">
        <v>2</v>
      </c>
      <c r="C20" s="24">
        <f t="shared" si="4"/>
        <v>3.4906585039886591E-2</v>
      </c>
      <c r="D20" s="24">
        <f t="shared" si="0"/>
        <v>3.4899496702500969E-2</v>
      </c>
      <c r="E20" s="24">
        <f t="shared" si="1"/>
        <v>0.99939082701909576</v>
      </c>
      <c r="F20" s="24">
        <f t="shared" si="2"/>
        <v>3.492076949174773E-2</v>
      </c>
      <c r="G20" s="24">
        <f t="shared" si="5"/>
        <v>11</v>
      </c>
      <c r="H20" s="24">
        <f t="shared" si="3"/>
        <v>1.0006095442988217</v>
      </c>
      <c r="I20" s="29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25">
        <v>3</v>
      </c>
      <c r="C21" s="24">
        <f t="shared" si="4"/>
        <v>5.2359877559829883E-2</v>
      </c>
      <c r="D21" s="24">
        <f t="shared" si="0"/>
        <v>5.2335956242943828E-2</v>
      </c>
      <c r="E21" s="24">
        <f t="shared" si="1"/>
        <v>0.99862953475457383</v>
      </c>
      <c r="F21" s="24">
        <f t="shared" si="2"/>
        <v>5.2407779283041196E-2</v>
      </c>
      <c r="G21" s="24">
        <f t="shared" si="5"/>
        <v>11</v>
      </c>
      <c r="H21" s="24">
        <f t="shared" si="3"/>
        <v>1.0013723459979209</v>
      </c>
      <c r="I21" s="29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25">
        <v>4</v>
      </c>
      <c r="C22" s="24">
        <f t="shared" si="4"/>
        <v>6.9813170079773182E-2</v>
      </c>
      <c r="D22" s="24">
        <f t="shared" si="0"/>
        <v>6.9756473744125302E-2</v>
      </c>
      <c r="E22" s="24">
        <f t="shared" si="1"/>
        <v>0.9975640502598242</v>
      </c>
      <c r="F22" s="24">
        <f t="shared" si="2"/>
        <v>6.9926811943510414E-2</v>
      </c>
      <c r="G22" s="24">
        <f t="shared" si="5"/>
        <v>11</v>
      </c>
      <c r="H22" s="24">
        <f t="shared" si="3"/>
        <v>1.0024418980811722</v>
      </c>
      <c r="I22" s="29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25">
        <v>5</v>
      </c>
      <c r="C23" s="24">
        <f t="shared" si="4"/>
        <v>8.7266462599716474E-2</v>
      </c>
      <c r="D23" s="24">
        <f t="shared" si="0"/>
        <v>8.7155742747658166E-2</v>
      </c>
      <c r="E23" s="24">
        <f t="shared" si="1"/>
        <v>0.99619469809174555</v>
      </c>
      <c r="F23" s="24">
        <f t="shared" si="2"/>
        <v>8.7488663525924007E-2</v>
      </c>
      <c r="G23" s="24">
        <f t="shared" si="5"/>
        <v>11</v>
      </c>
      <c r="H23" s="24">
        <f t="shared" si="3"/>
        <v>1.0038198375433474</v>
      </c>
      <c r="I23" s="29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25">
        <v>6</v>
      </c>
      <c r="C24" s="24">
        <f t="shared" si="4"/>
        <v>0.10471975511965977</v>
      </c>
      <c r="D24" s="24">
        <f t="shared" si="0"/>
        <v>0.10452846326765346</v>
      </c>
      <c r="E24" s="24">
        <f t="shared" si="1"/>
        <v>0.99452189536827329</v>
      </c>
      <c r="F24" s="24">
        <f t="shared" si="2"/>
        <v>0.10510423526567646</v>
      </c>
      <c r="G24" s="24">
        <f t="shared" si="5"/>
        <v>9.5143644542225854</v>
      </c>
      <c r="H24" s="24">
        <f t="shared" si="3"/>
        <v>1.0055082795635164</v>
      </c>
      <c r="I24" s="29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25">
        <v>7</v>
      </c>
      <c r="C25" s="24">
        <f t="shared" si="4"/>
        <v>0.12217304763960307</v>
      </c>
      <c r="D25" s="24">
        <f t="shared" si="0"/>
        <v>0.12186934340514748</v>
      </c>
      <c r="E25" s="24">
        <f t="shared" si="1"/>
        <v>0.99254615164132198</v>
      </c>
      <c r="F25" s="24">
        <f t="shared" si="2"/>
        <v>0.1227845609029046</v>
      </c>
      <c r="G25" s="24">
        <f t="shared" si="5"/>
        <v>8.1443464279745932</v>
      </c>
      <c r="H25" s="24">
        <f t="shared" si="3"/>
        <v>1.0075098254588484</v>
      </c>
      <c r="I25" s="29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25">
        <v>8</v>
      </c>
      <c r="C26" s="24">
        <f t="shared" si="4"/>
        <v>0.13962634015954636</v>
      </c>
      <c r="D26" s="24">
        <f t="shared" si="0"/>
        <v>0.13917310096006544</v>
      </c>
      <c r="E26" s="24">
        <f t="shared" si="1"/>
        <v>0.99026806874157036</v>
      </c>
      <c r="F26" s="24">
        <f t="shared" si="2"/>
        <v>0.14054083470239145</v>
      </c>
      <c r="G26" s="24">
        <f t="shared" si="5"/>
        <v>7.1153697223842087</v>
      </c>
      <c r="H26" s="24">
        <f t="shared" si="3"/>
        <v>1.0098275725186181</v>
      </c>
      <c r="I26" s="29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25">
        <v>9</v>
      </c>
      <c r="C27" s="24">
        <f t="shared" si="4"/>
        <v>0.15707963267948966</v>
      </c>
      <c r="D27" s="24">
        <f t="shared" si="0"/>
        <v>0.15643446504023087</v>
      </c>
      <c r="E27" s="24">
        <f t="shared" si="1"/>
        <v>0.98768834059513777</v>
      </c>
      <c r="F27" s="24">
        <f t="shared" si="2"/>
        <v>0.15838444032453627</v>
      </c>
      <c r="G27" s="24">
        <f t="shared" si="5"/>
        <v>6.3137515146750438</v>
      </c>
      <c r="H27" s="24">
        <f t="shared" si="3"/>
        <v>1.0124651257880029</v>
      </c>
      <c r="I27" s="29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25">
        <v>10</v>
      </c>
      <c r="C28" s="24">
        <f t="shared" si="4"/>
        <v>0.17453292519943295</v>
      </c>
      <c r="D28" s="24">
        <f t="shared" si="0"/>
        <v>0.17364817766693033</v>
      </c>
      <c r="E28" s="24">
        <f t="shared" si="1"/>
        <v>0.98480775301220802</v>
      </c>
      <c r="F28" s="24">
        <f t="shared" si="2"/>
        <v>0.17632698070846498</v>
      </c>
      <c r="G28" s="24">
        <f t="shared" si="5"/>
        <v>5.6712818196177093</v>
      </c>
      <c r="H28" s="24">
        <f t="shared" si="3"/>
        <v>1.0154266118857451</v>
      </c>
      <c r="I28" s="29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25">
        <v>11</v>
      </c>
      <c r="C29" s="24">
        <f t="shared" si="4"/>
        <v>0.19198621771937624</v>
      </c>
      <c r="D29" s="24">
        <f t="shared" si="0"/>
        <v>0.1908089953765448</v>
      </c>
      <c r="E29" s="24">
        <f t="shared" si="1"/>
        <v>0.98162718344766398</v>
      </c>
      <c r="F29" s="24">
        <f t="shared" si="2"/>
        <v>0.19438030913771848</v>
      </c>
      <c r="G29" s="24">
        <f t="shared" si="5"/>
        <v>5.1445540159703107</v>
      </c>
      <c r="H29" s="24">
        <f t="shared" si="3"/>
        <v>1.0187166949552142</v>
      </c>
      <c r="I29" s="29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25">
        <v>12</v>
      </c>
      <c r="C30" s="24">
        <f t="shared" si="4"/>
        <v>0.20943951023931953</v>
      </c>
      <c r="D30" s="24">
        <f t="shared" si="0"/>
        <v>0.20791169081775931</v>
      </c>
      <c r="E30" s="24">
        <f t="shared" si="1"/>
        <v>0.97814760073380569</v>
      </c>
      <c r="F30" s="24">
        <f t="shared" si="2"/>
        <v>0.2125565616700221</v>
      </c>
      <c r="G30" s="24">
        <f t="shared" si="5"/>
        <v>4.7046301094784546</v>
      </c>
      <c r="H30" s="24">
        <f t="shared" si="3"/>
        <v>1.0223405948650293</v>
      </c>
      <c r="I30" s="29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25">
        <v>13</v>
      </c>
      <c r="C31" s="24">
        <f t="shared" si="4"/>
        <v>0.22689280275926285</v>
      </c>
      <c r="D31" s="24">
        <f t="shared" si="0"/>
        <v>0.224951054343865</v>
      </c>
      <c r="E31" s="24">
        <f t="shared" si="1"/>
        <v>0.97437006478523525</v>
      </c>
      <c r="F31" s="24">
        <f t="shared" si="2"/>
        <v>0.23086819112556312</v>
      </c>
      <c r="G31" s="24">
        <f t="shared" si="5"/>
        <v>4.3314758742841555</v>
      </c>
      <c r="H31" s="24">
        <f t="shared" si="3"/>
        <v>1.0263041077933917</v>
      </c>
      <c r="I31" s="29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25">
        <v>14</v>
      </c>
      <c r="C32" s="24">
        <f t="shared" si="4"/>
        <v>0.24434609527920614</v>
      </c>
      <c r="D32" s="24">
        <f t="shared" si="0"/>
        <v>0.24192189559966773</v>
      </c>
      <c r="E32" s="24">
        <f t="shared" si="1"/>
        <v>0.97029572627599647</v>
      </c>
      <c r="F32" s="24">
        <f t="shared" si="2"/>
        <v>0.24932800284318068</v>
      </c>
      <c r="G32" s="24">
        <f t="shared" si="5"/>
        <v>4.0107809335358446</v>
      </c>
      <c r="H32" s="24">
        <f t="shared" si="3"/>
        <v>1.0306136293498982</v>
      </c>
      <c r="I32" s="29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25">
        <v>15</v>
      </c>
      <c r="C33" s="24">
        <f t="shared" si="4"/>
        <v>0.26179938779914941</v>
      </c>
      <c r="D33" s="24">
        <f t="shared" si="0"/>
        <v>0.25881904510252074</v>
      </c>
      <c r="E33" s="24">
        <f t="shared" si="1"/>
        <v>0.96592582628906831</v>
      </c>
      <c r="F33" s="24">
        <f t="shared" si="2"/>
        <v>0.2679491924311227</v>
      </c>
      <c r="G33" s="24">
        <f t="shared" si="5"/>
        <v>3.7320508075688776</v>
      </c>
      <c r="H33" s="24">
        <f t="shared" si="3"/>
        <v>1.035276180410083</v>
      </c>
      <c r="I33" s="29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25">
        <v>16</v>
      </c>
      <c r="C34" s="24">
        <f t="shared" si="4"/>
        <v>0.27925268031909273</v>
      </c>
      <c r="D34" s="24">
        <f t="shared" si="0"/>
        <v>0.27563735581699916</v>
      </c>
      <c r="E34" s="24">
        <f t="shared" si="1"/>
        <v>0.96126169593831889</v>
      </c>
      <c r="F34" s="24">
        <f t="shared" si="2"/>
        <v>0.28674538575880792</v>
      </c>
      <c r="G34" s="24">
        <f t="shared" si="5"/>
        <v>3.4874144438409087</v>
      </c>
      <c r="H34" s="24">
        <f t="shared" si="3"/>
        <v>1.040299435861602</v>
      </c>
      <c r="I34" s="29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25">
        <v>17</v>
      </c>
      <c r="C35" s="24">
        <f t="shared" si="4"/>
        <v>0.29670597283903605</v>
      </c>
      <c r="D35" s="24">
        <f t="shared" si="0"/>
        <v>0.29237170472273677</v>
      </c>
      <c r="E35" s="24">
        <f t="shared" si="1"/>
        <v>0.95630475596303544</v>
      </c>
      <c r="F35" s="24">
        <f t="shared" si="2"/>
        <v>0.30573068145866039</v>
      </c>
      <c r="G35" s="24">
        <f t="shared" si="5"/>
        <v>3.2708526184841404</v>
      </c>
      <c r="H35" s="24">
        <f t="shared" si="3"/>
        <v>1.045691756487148</v>
      </c>
      <c r="I35" s="29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25">
        <v>18</v>
      </c>
      <c r="C36" s="24">
        <f t="shared" si="4"/>
        <v>0.31415926535897931</v>
      </c>
      <c r="D36" s="24">
        <f t="shared" si="0"/>
        <v>0.3090169943749474</v>
      </c>
      <c r="E36" s="24">
        <f t="shared" si="1"/>
        <v>0.95105651629515353</v>
      </c>
      <c r="F36" s="24">
        <f t="shared" si="2"/>
        <v>0.32491969623290629</v>
      </c>
      <c r="G36" s="24">
        <f t="shared" si="5"/>
        <v>3.077683537175254</v>
      </c>
      <c r="H36" s="24">
        <f t="shared" si="3"/>
        <v>1.0514622242382672</v>
      </c>
      <c r="I36" s="29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25">
        <v>19</v>
      </c>
      <c r="C37" s="24">
        <f t="shared" si="4"/>
        <v>0.33161255787892258</v>
      </c>
      <c r="D37" s="24">
        <f t="shared" si="0"/>
        <v>0.32556815445715664</v>
      </c>
      <c r="E37" s="24">
        <f t="shared" si="1"/>
        <v>0.94551857559931685</v>
      </c>
      <c r="F37" s="24">
        <f t="shared" si="2"/>
        <v>0.34432761328966521</v>
      </c>
      <c r="G37" s="24">
        <f t="shared" si="5"/>
        <v>2.9042108776758231</v>
      </c>
      <c r="H37" s="24">
        <f t="shared" si="3"/>
        <v>1.0576206811866706</v>
      </c>
      <c r="I37" s="29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25">
        <v>20</v>
      </c>
      <c r="C38" s="24">
        <f t="shared" si="4"/>
        <v>0.3490658503988659</v>
      </c>
      <c r="D38" s="24">
        <f t="shared" si="0"/>
        <v>0.34202014332566871</v>
      </c>
      <c r="E38" s="24">
        <f t="shared" si="1"/>
        <v>0.93969262078590843</v>
      </c>
      <c r="F38" s="24">
        <f t="shared" si="2"/>
        <v>0.36397023426620234</v>
      </c>
      <c r="G38" s="24">
        <f t="shared" si="5"/>
        <v>2.7474774194546225</v>
      </c>
      <c r="H38" s="24">
        <f t="shared" si="3"/>
        <v>1.0641777724759121</v>
      </c>
      <c r="I38" s="29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25">
        <v>21</v>
      </c>
      <c r="C39" s="24">
        <f t="shared" si="4"/>
        <v>0.36651914291880922</v>
      </c>
      <c r="D39" s="24">
        <f t="shared" si="0"/>
        <v>0.35836794954530027</v>
      </c>
      <c r="E39" s="24">
        <f t="shared" si="1"/>
        <v>0.93358042649720174</v>
      </c>
      <c r="F39" s="24">
        <f t="shared" si="2"/>
        <v>0.38386403503541577</v>
      </c>
      <c r="G39" s="24">
        <f t="shared" si="5"/>
        <v>2.6050890646938019</v>
      </c>
      <c r="H39" s="24">
        <f t="shared" si="3"/>
        <v>1.071144993637029</v>
      </c>
      <c r="I39" s="29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25">
        <v>22</v>
      </c>
      <c r="C40" s="24">
        <f t="shared" si="4"/>
        <v>0.38397243543875248</v>
      </c>
      <c r="D40" s="24">
        <f t="shared" si="0"/>
        <v>0.37460659341591201</v>
      </c>
      <c r="E40" s="24">
        <f t="shared" si="1"/>
        <v>0.92718385456678742</v>
      </c>
      <c r="F40" s="24">
        <f t="shared" si="2"/>
        <v>0.40402622583515679</v>
      </c>
      <c r="G40" s="24">
        <f t="shared" si="5"/>
        <v>2.475086853416296</v>
      </c>
      <c r="H40" s="24">
        <f t="shared" si="3"/>
        <v>1.0785347426775833</v>
      </c>
      <c r="I40" s="29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25">
        <v>23</v>
      </c>
      <c r="C41" s="24">
        <f t="shared" si="4"/>
        <v>0.40142572795869574</v>
      </c>
      <c r="D41" s="24">
        <f t="shared" si="0"/>
        <v>0.39073112848927372</v>
      </c>
      <c r="E41" s="24">
        <f t="shared" si="1"/>
        <v>0.92050485345244037</v>
      </c>
      <c r="F41" s="24">
        <f t="shared" si="2"/>
        <v>0.4244748162096047</v>
      </c>
      <c r="G41" s="24">
        <f t="shared" si="5"/>
        <v>2.3558523658237531</v>
      </c>
      <c r="H41" s="24">
        <f t="shared" si="3"/>
        <v>1.0863603774052961</v>
      </c>
      <c r="I41" s="29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25">
        <v>24</v>
      </c>
      <c r="C42" s="24">
        <f t="shared" si="4"/>
        <v>0.41887902047863906</v>
      </c>
      <c r="D42" s="24">
        <f t="shared" si="0"/>
        <v>0.40673664307580015</v>
      </c>
      <c r="E42" s="24">
        <f t="shared" si="1"/>
        <v>0.91354545764260087</v>
      </c>
      <c r="F42" s="24">
        <f t="shared" si="2"/>
        <v>0.4452286853085361</v>
      </c>
      <c r="G42" s="24">
        <f t="shared" si="5"/>
        <v>2.2460367739042164</v>
      </c>
      <c r="H42" s="24">
        <f t="shared" si="3"/>
        <v>1.0946362785060468</v>
      </c>
      <c r="I42" s="29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25">
        <v>25</v>
      </c>
      <c r="C43" s="24">
        <f t="shared" si="4"/>
        <v>0.43633231299858238</v>
      </c>
      <c r="D43" s="24">
        <f t="shared" si="0"/>
        <v>0.42261826174069944</v>
      </c>
      <c r="E43" s="24">
        <f t="shared" si="1"/>
        <v>0.90630778703664994</v>
      </c>
      <c r="F43" s="24">
        <f t="shared" si="2"/>
        <v>0.46630765815499858</v>
      </c>
      <c r="G43" s="24">
        <f t="shared" si="5"/>
        <v>2.1445069205095586</v>
      </c>
      <c r="H43" s="24">
        <f t="shared" si="3"/>
        <v>1.1033779189624917</v>
      </c>
      <c r="I43" s="29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25">
        <v>26</v>
      </c>
      <c r="C44" s="24">
        <f t="shared" si="4"/>
        <v>0.4537856055185257</v>
      </c>
      <c r="D44" s="24">
        <f t="shared" si="0"/>
        <v>0.4383711467890774</v>
      </c>
      <c r="E44" s="24">
        <f t="shared" si="1"/>
        <v>0.89879404629916704</v>
      </c>
      <c r="F44" s="24">
        <f t="shared" si="2"/>
        <v>0.48773258856586144</v>
      </c>
      <c r="G44" s="24">
        <f t="shared" si="5"/>
        <v>2.050303841579296</v>
      </c>
      <c r="H44" s="24">
        <f t="shared" si="3"/>
        <v>1.1126019404751888</v>
      </c>
      <c r="I44" s="29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25">
        <v>27</v>
      </c>
      <c r="C45" s="24">
        <f t="shared" si="4"/>
        <v>0.47123889803846897</v>
      </c>
      <c r="D45" s="24">
        <f t="shared" si="0"/>
        <v>0.45399049973954675</v>
      </c>
      <c r="E45" s="24">
        <f t="shared" si="1"/>
        <v>0.8910065241883679</v>
      </c>
      <c r="F45" s="24">
        <f t="shared" si="2"/>
        <v>0.50952544949442879</v>
      </c>
      <c r="G45" s="24">
        <f t="shared" si="5"/>
        <v>1.9626105055051506</v>
      </c>
      <c r="H45" s="24">
        <f t="shared" si="3"/>
        <v>1.1223262376343608</v>
      </c>
      <c r="I45" s="29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25">
        <v>28</v>
      </c>
      <c r="C46" s="24">
        <f t="shared" si="4"/>
        <v>0.48869219055841229</v>
      </c>
      <c r="D46" s="24">
        <f t="shared" si="0"/>
        <v>0.46947156278589081</v>
      </c>
      <c r="E46" s="24">
        <f t="shared" si="1"/>
        <v>0.88294759285892699</v>
      </c>
      <c r="F46" s="24">
        <f t="shared" si="2"/>
        <v>0.53170943166147877</v>
      </c>
      <c r="G46" s="24">
        <f t="shared" si="5"/>
        <v>1.880726465346332</v>
      </c>
      <c r="H46" s="24">
        <f t="shared" si="3"/>
        <v>1.132570050689039</v>
      </c>
      <c r="I46" s="29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25">
        <v>29</v>
      </c>
      <c r="C47" s="24">
        <f t="shared" si="4"/>
        <v>0.50614548307835561</v>
      </c>
      <c r="D47" s="24">
        <f t="shared" si="0"/>
        <v>0.48480962024633706</v>
      </c>
      <c r="E47" s="24">
        <f t="shared" si="1"/>
        <v>0.87461970713939574</v>
      </c>
      <c r="F47" s="24">
        <f t="shared" si="2"/>
        <v>0.55430905145276899</v>
      </c>
      <c r="G47" s="24">
        <f t="shared" si="5"/>
        <v>1.8040477552714238</v>
      </c>
      <c r="H47" s="24">
        <f t="shared" si="3"/>
        <v>1.1433540678733201</v>
      </c>
      <c r="I47" s="29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25">
        <v>30</v>
      </c>
      <c r="C48" s="24">
        <f t="shared" si="4"/>
        <v>0.52359877559829882</v>
      </c>
      <c r="D48" s="24">
        <f t="shared" si="0"/>
        <v>0.49999999999999994</v>
      </c>
      <c r="E48" s="24">
        <f t="shared" si="1"/>
        <v>0.86602540378443871</v>
      </c>
      <c r="F48" s="24">
        <f t="shared" si="2"/>
        <v>0.57735026918962573</v>
      </c>
      <c r="G48" s="24">
        <f t="shared" si="5"/>
        <v>1.7320508075688774</v>
      </c>
      <c r="H48" s="24">
        <f t="shared" si="3"/>
        <v>1.1547005383792515</v>
      </c>
      <c r="I48" s="29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25">
        <v>31</v>
      </c>
      <c r="C49" s="24">
        <f t="shared" si="4"/>
        <v>0.54105206811824214</v>
      </c>
      <c r="D49" s="24">
        <f t="shared" si="0"/>
        <v>0.51503807491005416</v>
      </c>
      <c r="E49" s="24">
        <f t="shared" si="1"/>
        <v>0.85716730070211233</v>
      </c>
      <c r="F49" s="24">
        <f t="shared" si="2"/>
        <v>0.60086061902756038</v>
      </c>
      <c r="G49" s="24">
        <f t="shared" si="5"/>
        <v>1.664279482350518</v>
      </c>
      <c r="H49" s="24">
        <f t="shared" si="3"/>
        <v>1.1666333972153304</v>
      </c>
      <c r="I49" s="29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25">
        <v>32</v>
      </c>
      <c r="C50" s="24">
        <f t="shared" si="4"/>
        <v>0.55850536063818546</v>
      </c>
      <c r="D50" s="24">
        <f t="shared" ref="D50:D67" si="12">IF(SIN(C50)&gt;$I$3,$I$3,(IF(SIN(C50)&lt;-$I$3,-$I$3,SIN(C50))))</f>
        <v>0.5299192642332049</v>
      </c>
      <c r="E50" s="24">
        <f t="shared" ref="E50:E67" si="13">IF(COS(C50)&gt;$I$3,$I$3,(IF(COS(C50)&lt;-$I$3,-$I$3,COS(C50))))</f>
        <v>0.84804809615642596</v>
      </c>
      <c r="F50" s="24">
        <f t="shared" ref="F50:F67" si="14">IF(TAN(C50)&gt;$I$3,$I$3,(IF(TAN(C50)&lt;-$I$3,-$I$3,TAN(C50))))</f>
        <v>0.62486935190932746</v>
      </c>
      <c r="G50" s="24">
        <f t="shared" si="5"/>
        <v>1.6003345290410504</v>
      </c>
      <c r="H50" s="24">
        <f t="shared" ref="H50:H67" si="15">IF(_xlfn.SEC(C50)&gt;$I$3,$I$3,(IF(_xlfn.SEC(C50)&lt;-$I$3,-$I$3,_xlfn.SEC(C50))))</f>
        <v>1.1791784033620965</v>
      </c>
      <c r="I50" s="29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25">
        <v>33</v>
      </c>
      <c r="C51" s="24">
        <f t="shared" si="4"/>
        <v>0.57595865315812877</v>
      </c>
      <c r="D51" s="24">
        <f t="shared" si="12"/>
        <v>0.54463903501502708</v>
      </c>
      <c r="E51" s="24">
        <f t="shared" si="13"/>
        <v>0.83867056794542405</v>
      </c>
      <c r="F51" s="24">
        <f t="shared" si="14"/>
        <v>0.64940759319751062</v>
      </c>
      <c r="G51" s="24">
        <f t="shared" ref="G51:G67" si="16">IF(_xlfn.COT(C51)&gt;$I$3,$I$3,(IF(_xlfn.COT(C51)&lt;-$I$3,-$I$3,_xlfn.COT(C51))))</f>
        <v>1.5398649638145827</v>
      </c>
      <c r="H51" s="24">
        <f t="shared" si="15"/>
        <v>1.1923632928359473</v>
      </c>
      <c r="I51" s="29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25">
        <v>34</v>
      </c>
      <c r="C52" s="24">
        <f t="shared" si="4"/>
        <v>0.59341194567807209</v>
      </c>
      <c r="D52" s="24">
        <f t="shared" si="12"/>
        <v>0.5591929034707469</v>
      </c>
      <c r="E52" s="24">
        <f t="shared" si="13"/>
        <v>0.82903757255504162</v>
      </c>
      <c r="F52" s="24">
        <f t="shared" si="14"/>
        <v>0.67450851684242674</v>
      </c>
      <c r="G52" s="24">
        <f t="shared" si="16"/>
        <v>1.4825609685127401</v>
      </c>
      <c r="H52" s="24">
        <f t="shared" si="15"/>
        <v>1.2062179485039055</v>
      </c>
      <c r="I52" s="29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25">
        <v>35</v>
      </c>
      <c r="C53" s="24">
        <f t="shared" si="4"/>
        <v>0.6108652381980153</v>
      </c>
      <c r="D53" s="24">
        <f t="shared" si="12"/>
        <v>0.57357643635104605</v>
      </c>
      <c r="E53" s="24">
        <f t="shared" si="13"/>
        <v>0.8191520442889918</v>
      </c>
      <c r="F53" s="24">
        <f t="shared" si="14"/>
        <v>0.70020753820970971</v>
      </c>
      <c r="G53" s="24">
        <f t="shared" si="16"/>
        <v>1.4281480067421146</v>
      </c>
      <c r="H53" s="24">
        <f t="shared" si="15"/>
        <v>1.2207745887614561</v>
      </c>
      <c r="I53" s="29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25">
        <v>36</v>
      </c>
      <c r="C54" s="24">
        <f t="shared" si="4"/>
        <v>0.62831853071795862</v>
      </c>
      <c r="D54" s="24">
        <f t="shared" si="12"/>
        <v>0.58778525229247314</v>
      </c>
      <c r="E54" s="24">
        <f t="shared" si="13"/>
        <v>0.80901699437494745</v>
      </c>
      <c r="F54" s="24">
        <f t="shared" si="14"/>
        <v>0.7265425280053609</v>
      </c>
      <c r="G54" s="24">
        <f t="shared" si="16"/>
        <v>1.3763819204711736</v>
      </c>
      <c r="H54" s="24">
        <f t="shared" si="15"/>
        <v>1.2360679774997896</v>
      </c>
      <c r="I54" s="29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25">
        <v>37</v>
      </c>
      <c r="C55" s="24">
        <f t="shared" si="4"/>
        <v>0.64577182323790194</v>
      </c>
      <c r="D55" s="24">
        <f t="shared" si="12"/>
        <v>0.60181502315204827</v>
      </c>
      <c r="E55" s="24">
        <f t="shared" si="13"/>
        <v>0.79863551004729283</v>
      </c>
      <c r="F55" s="24">
        <f t="shared" si="14"/>
        <v>0.75355405010279419</v>
      </c>
      <c r="G55" s="24">
        <f t="shared" si="16"/>
        <v>1.32704482162041</v>
      </c>
      <c r="H55" s="24">
        <f t="shared" si="15"/>
        <v>1.2521356581562257</v>
      </c>
      <c r="I55" s="29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25">
        <v>38</v>
      </c>
      <c r="C56" s="24">
        <f t="shared" si="4"/>
        <v>0.66322511575784515</v>
      </c>
      <c r="D56" s="24">
        <f t="shared" si="12"/>
        <v>0.61566147532565818</v>
      </c>
      <c r="E56" s="24">
        <f t="shared" si="13"/>
        <v>0.78801075360672201</v>
      </c>
      <c r="F56" s="24">
        <f t="shared" si="14"/>
        <v>0.78128562650671729</v>
      </c>
      <c r="G56" s="24">
        <f t="shared" si="16"/>
        <v>1.279941632193079</v>
      </c>
      <c r="H56" s="24">
        <f t="shared" si="15"/>
        <v>1.2690182150725788</v>
      </c>
      <c r="I56" s="29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25">
        <v>39</v>
      </c>
      <c r="C57" s="24">
        <f t="shared" si="4"/>
        <v>0.68067840827778847</v>
      </c>
      <c r="D57" s="24">
        <f t="shared" si="12"/>
        <v>0.62932039104983739</v>
      </c>
      <c r="E57" s="24">
        <f t="shared" si="13"/>
        <v>0.7771459614569709</v>
      </c>
      <c r="F57" s="24">
        <f t="shared" si="14"/>
        <v>0.80978403319500702</v>
      </c>
      <c r="G57" s="24">
        <f t="shared" si="16"/>
        <v>1.2348971565350515</v>
      </c>
      <c r="H57" s="24">
        <f t="shared" si="15"/>
        <v>1.2867595658931672</v>
      </c>
      <c r="I57" s="29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25">
        <v>40</v>
      </c>
      <c r="C58" s="24">
        <f t="shared" si="4"/>
        <v>0.69813170079773179</v>
      </c>
      <c r="D58" s="24">
        <f t="shared" si="12"/>
        <v>0.64278760968653925</v>
      </c>
      <c r="E58" s="24">
        <f t="shared" si="13"/>
        <v>0.76604444311897801</v>
      </c>
      <c r="F58" s="24">
        <f t="shared" si="14"/>
        <v>0.83909963117727993</v>
      </c>
      <c r="G58" s="24">
        <f t="shared" si="16"/>
        <v>1.19175359259421</v>
      </c>
      <c r="H58" s="24">
        <f t="shared" si="15"/>
        <v>1.3054072893322786</v>
      </c>
      <c r="I58" s="29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25">
        <v>41</v>
      </c>
      <c r="C59" s="24">
        <f t="shared" si="4"/>
        <v>0.715584993317675</v>
      </c>
      <c r="D59" s="24">
        <f t="shared" si="12"/>
        <v>0.65605902899050716</v>
      </c>
      <c r="E59" s="24">
        <f t="shared" si="13"/>
        <v>0.75470958022277213</v>
      </c>
      <c r="F59" s="24">
        <f t="shared" si="14"/>
        <v>0.86928673781622645</v>
      </c>
      <c r="G59" s="24">
        <f t="shared" si="16"/>
        <v>1.1503684072210099</v>
      </c>
      <c r="H59" s="24">
        <f t="shared" si="15"/>
        <v>1.3250129933488111</v>
      </c>
      <c r="I59" s="29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25">
        <v>42</v>
      </c>
      <c r="C60" s="24">
        <f t="shared" si="4"/>
        <v>0.73303828583761843</v>
      </c>
      <c r="D60" s="24">
        <f t="shared" si="12"/>
        <v>0.66913060635885824</v>
      </c>
      <c r="E60" s="24">
        <f t="shared" si="13"/>
        <v>0.74314482547739424</v>
      </c>
      <c r="F60" s="24">
        <f t="shared" si="14"/>
        <v>0.90040404429783993</v>
      </c>
      <c r="G60" s="24">
        <f t="shared" si="16"/>
        <v>1.110612514829193</v>
      </c>
      <c r="H60" s="24">
        <f t="shared" si="15"/>
        <v>1.3456327296063761</v>
      </c>
      <c r="I60" s="29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25">
        <v>43</v>
      </c>
      <c r="C61" s="24">
        <f t="shared" si="4"/>
        <v>0.75049157835756164</v>
      </c>
      <c r="D61" s="24">
        <f t="shared" si="12"/>
        <v>0.68199836006249848</v>
      </c>
      <c r="E61" s="24">
        <f t="shared" si="13"/>
        <v>0.73135370161917057</v>
      </c>
      <c r="F61" s="24">
        <f t="shared" si="14"/>
        <v>0.93251508613766154</v>
      </c>
      <c r="G61" s="24">
        <f t="shared" si="16"/>
        <v>1.0723687100246828</v>
      </c>
      <c r="H61" s="24">
        <f t="shared" si="15"/>
        <v>1.367327461098595</v>
      </c>
      <c r="I61" s="29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25">
        <v>44</v>
      </c>
      <c r="C62" s="24">
        <f t="shared" si="4"/>
        <v>0.76794487087750496</v>
      </c>
      <c r="D62" s="24">
        <f t="shared" si="12"/>
        <v>0.69465837045899725</v>
      </c>
      <c r="E62" s="24">
        <f t="shared" si="13"/>
        <v>0.71933980033865119</v>
      </c>
      <c r="F62" s="24">
        <f t="shared" si="14"/>
        <v>0.96568877480707394</v>
      </c>
      <c r="G62" s="24">
        <f t="shared" si="16"/>
        <v>1.0355303137905696</v>
      </c>
      <c r="H62" s="24">
        <f t="shared" si="15"/>
        <v>1.3901635910166787</v>
      </c>
      <c r="I62" s="29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25">
        <v>45</v>
      </c>
      <c r="C63" s="24">
        <f t="shared" si="4"/>
        <v>0.78539816339744828</v>
      </c>
      <c r="D63" s="24">
        <f t="shared" si="12"/>
        <v>0.70710678118654746</v>
      </c>
      <c r="E63" s="24">
        <f t="shared" si="13"/>
        <v>0.70710678118654757</v>
      </c>
      <c r="F63" s="24">
        <f t="shared" si="14"/>
        <v>0.99999999999999989</v>
      </c>
      <c r="G63" s="24">
        <f t="shared" si="16"/>
        <v>1</v>
      </c>
      <c r="H63" s="24">
        <f t="shared" si="15"/>
        <v>1.4142135623730949</v>
      </c>
      <c r="I63" s="29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25">
        <v>46</v>
      </c>
      <c r="C64" s="24">
        <f t="shared" si="4"/>
        <v>0.80285145591739149</v>
      </c>
      <c r="D64" s="24">
        <f t="shared" si="12"/>
        <v>0.71933980033865108</v>
      </c>
      <c r="E64" s="24">
        <f t="shared" si="13"/>
        <v>0.69465837045899737</v>
      </c>
      <c r="F64" s="24">
        <f t="shared" si="14"/>
        <v>1.0355303137905694</v>
      </c>
      <c r="G64" s="24">
        <f t="shared" si="16"/>
        <v>0.96568877480707416</v>
      </c>
      <c r="H64" s="24">
        <f t="shared" si="15"/>
        <v>1.4395565396257262</v>
      </c>
      <c r="I64" s="29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25">
        <v>47</v>
      </c>
      <c r="C65" s="24">
        <f t="shared" si="4"/>
        <v>0.82030474843733492</v>
      </c>
      <c r="D65" s="24">
        <f t="shared" si="12"/>
        <v>0.73135370161917046</v>
      </c>
      <c r="E65" s="24">
        <f t="shared" si="13"/>
        <v>0.68199836006249848</v>
      </c>
      <c r="F65" s="24">
        <f t="shared" si="14"/>
        <v>1.0723687100246826</v>
      </c>
      <c r="G65" s="24">
        <f t="shared" si="16"/>
        <v>0.93251508613766165</v>
      </c>
      <c r="H65" s="24">
        <f t="shared" si="15"/>
        <v>1.4662791856396249</v>
      </c>
      <c r="I65" s="29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25">
        <v>48</v>
      </c>
      <c r="C66" s="24">
        <f t="shared" si="4"/>
        <v>0.83775804095727813</v>
      </c>
      <c r="D66" s="24">
        <f t="shared" si="12"/>
        <v>0.74314482547739413</v>
      </c>
      <c r="E66" s="24">
        <f t="shared" si="13"/>
        <v>0.66913060635885824</v>
      </c>
      <c r="F66" s="24">
        <f t="shared" si="14"/>
        <v>1.1106125148291928</v>
      </c>
      <c r="G66" s="24">
        <f t="shared" si="16"/>
        <v>0.90040404429784004</v>
      </c>
      <c r="H66" s="24">
        <f t="shared" si="15"/>
        <v>1.4944765498646086</v>
      </c>
      <c r="I66" s="29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25">
        <v>49</v>
      </c>
      <c r="C67" s="24">
        <f t="shared" si="4"/>
        <v>0.85521133347722145</v>
      </c>
      <c r="D67" s="24">
        <f t="shared" si="12"/>
        <v>0.75470958022277201</v>
      </c>
      <c r="E67" s="24">
        <f t="shared" si="13"/>
        <v>0.65605902899050728</v>
      </c>
      <c r="F67" s="24">
        <f t="shared" si="14"/>
        <v>1.1503684072210094</v>
      </c>
      <c r="G67" s="24">
        <f t="shared" si="16"/>
        <v>0.86928673781622678</v>
      </c>
      <c r="H67" s="24">
        <f t="shared" si="15"/>
        <v>1.5242530867058142</v>
      </c>
      <c r="I67" s="29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25">
        <v>50</v>
      </c>
      <c r="C68" s="24">
        <f t="shared" si="4"/>
        <v>0.87266462599716477</v>
      </c>
      <c r="D68" s="24">
        <f t="shared" ref="D68:D131" si="19">IF(SIN(C68)&gt;$I$3,$I$3,(IF(SIN(C68)&lt;-$I$3,-$I$3,SIN(C68))))</f>
        <v>0.76604444311897801</v>
      </c>
      <c r="E68" s="24">
        <f t="shared" ref="E68:E131" si="20">IF(COS(C68)&gt;$I$3,$I$3,(IF(COS(C68)&lt;-$I$3,-$I$3,COS(C68))))</f>
        <v>0.64278760968653936</v>
      </c>
      <c r="F68" s="24">
        <f t="shared" ref="F68:F131" si="21">IF(TAN(C68)&gt;$I$3,$I$3,(IF(TAN(C68)&lt;-$I$3,-$I$3,TAN(C68))))</f>
        <v>1.19175359259421</v>
      </c>
      <c r="G68" s="24">
        <f t="shared" ref="G68:G131" si="22">IF(_xlfn.COT(C68)&gt;$I$3,$I$3,(IF(_xlfn.COT(C68)&lt;-$I$3,-$I$3,_xlfn.COT(C68))))</f>
        <v>0.83909963117728004</v>
      </c>
      <c r="H68" s="24">
        <f t="shared" ref="H68:H131" si="23">IF(_xlfn.SEC(C68)&gt;$I$3,$I$3,(IF(_xlfn.SEC(C68)&lt;-$I$3,-$I$3,_xlfn.SEC(C68))))</f>
        <v>1.5557238268604123</v>
      </c>
      <c r="I68" s="29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25">
        <v>51</v>
      </c>
      <c r="C69" s="24">
        <f t="shared" si="4"/>
        <v>0.89011791851710798</v>
      </c>
      <c r="D69" s="24">
        <f t="shared" si="19"/>
        <v>0.77714596145697079</v>
      </c>
      <c r="E69" s="24">
        <f t="shared" si="20"/>
        <v>0.6293203910498375</v>
      </c>
      <c r="F69" s="24">
        <f t="shared" si="21"/>
        <v>1.2348971565350511</v>
      </c>
      <c r="G69" s="24">
        <f t="shared" si="22"/>
        <v>0.80978403319500736</v>
      </c>
      <c r="H69" s="24">
        <f t="shared" si="23"/>
        <v>1.5890157290657494</v>
      </c>
      <c r="I69" s="29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25">
        <v>52</v>
      </c>
      <c r="C70" s="24">
        <f t="shared" si="4"/>
        <v>0.90757121103705141</v>
      </c>
      <c r="D70" s="24">
        <f t="shared" si="19"/>
        <v>0.78801075360672201</v>
      </c>
      <c r="E70" s="24">
        <f t="shared" si="20"/>
        <v>0.61566147532565829</v>
      </c>
      <c r="F70" s="24">
        <f t="shared" si="21"/>
        <v>1.2799416321930788</v>
      </c>
      <c r="G70" s="24">
        <f t="shared" si="22"/>
        <v>0.7812856265067174</v>
      </c>
      <c r="H70" s="24">
        <f t="shared" si="23"/>
        <v>1.6242692454827441</v>
      </c>
      <c r="I70" s="29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25">
        <v>53</v>
      </c>
      <c r="C71" s="24">
        <f t="shared" si="4"/>
        <v>0.92502450355699462</v>
      </c>
      <c r="D71" s="24">
        <f t="shared" si="19"/>
        <v>0.79863551004729283</v>
      </c>
      <c r="E71" s="24">
        <f t="shared" si="20"/>
        <v>0.60181502315204838</v>
      </c>
      <c r="F71" s="24">
        <f t="shared" si="21"/>
        <v>1.3270448216204098</v>
      </c>
      <c r="G71" s="24">
        <f t="shared" si="22"/>
        <v>0.7535540501027943</v>
      </c>
      <c r="H71" s="24">
        <f t="shared" si="23"/>
        <v>1.661640141122483</v>
      </c>
      <c r="I71" s="29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25">
        <v>54</v>
      </c>
      <c r="C72" s="24">
        <f t="shared" si="4"/>
        <v>0.94247779607693793</v>
      </c>
      <c r="D72" s="24">
        <f t="shared" si="19"/>
        <v>0.80901699437494745</v>
      </c>
      <c r="E72" s="24">
        <f t="shared" si="20"/>
        <v>0.58778525229247314</v>
      </c>
      <c r="F72" s="24">
        <f t="shared" si="21"/>
        <v>1.3763819204711734</v>
      </c>
      <c r="G72" s="24">
        <f t="shared" si="22"/>
        <v>0.72654252800536101</v>
      </c>
      <c r="H72" s="24">
        <f t="shared" si="23"/>
        <v>1.7013016167040798</v>
      </c>
      <c r="I72" s="29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25">
        <v>55</v>
      </c>
      <c r="C73" s="24">
        <f t="shared" si="4"/>
        <v>0.95993108859688125</v>
      </c>
      <c r="D73" s="24">
        <f t="shared" si="19"/>
        <v>0.8191520442889918</v>
      </c>
      <c r="E73" s="24">
        <f t="shared" si="20"/>
        <v>0.57357643635104616</v>
      </c>
      <c r="F73" s="24">
        <f t="shared" si="21"/>
        <v>1.4281480067421144</v>
      </c>
      <c r="G73" s="24">
        <f t="shared" si="22"/>
        <v>0.70020753820970982</v>
      </c>
      <c r="H73" s="24">
        <f t="shared" si="23"/>
        <v>1.7434467956210977</v>
      </c>
      <c r="I73" s="29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25">
        <v>56</v>
      </c>
      <c r="C74" s="24">
        <f t="shared" si="4"/>
        <v>0.97738438111682457</v>
      </c>
      <c r="D74" s="24">
        <f t="shared" si="19"/>
        <v>0.82903757255504174</v>
      </c>
      <c r="E74" s="24">
        <f t="shared" si="20"/>
        <v>0.55919290347074679</v>
      </c>
      <c r="F74" s="24">
        <f t="shared" si="21"/>
        <v>1.4825609685127403</v>
      </c>
      <c r="G74" s="24">
        <f t="shared" si="22"/>
        <v>0.67450851684242663</v>
      </c>
      <c r="H74" s="24">
        <f t="shared" si="23"/>
        <v>1.7882916499714008</v>
      </c>
      <c r="I74" s="29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25">
        <v>57</v>
      </c>
      <c r="C75" s="24">
        <f t="shared" si="4"/>
        <v>0.99483767363676778</v>
      </c>
      <c r="D75" s="24">
        <f t="shared" si="19"/>
        <v>0.83867056794542394</v>
      </c>
      <c r="E75" s="24">
        <f t="shared" si="20"/>
        <v>0.5446390350150272</v>
      </c>
      <c r="F75" s="24">
        <f t="shared" si="21"/>
        <v>1.5398649638145827</v>
      </c>
      <c r="G75" s="24">
        <f t="shared" si="22"/>
        <v>0.64940759319751062</v>
      </c>
      <c r="H75" s="24">
        <f t="shared" si="23"/>
        <v>1.8360784587766628</v>
      </c>
      <c r="I75" s="29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25">
        <v>58</v>
      </c>
      <c r="C76" s="24">
        <f t="shared" si="4"/>
        <v>1.0122909661567112</v>
      </c>
      <c r="D76" s="24">
        <f t="shared" si="19"/>
        <v>0.84804809615642596</v>
      </c>
      <c r="E76" s="24">
        <f t="shared" si="20"/>
        <v>0.5299192642332049</v>
      </c>
      <c r="F76" s="24">
        <f t="shared" si="21"/>
        <v>1.6003345290410507</v>
      </c>
      <c r="G76" s="24">
        <f t="shared" si="22"/>
        <v>0.62486935190932735</v>
      </c>
      <c r="H76" s="24">
        <f t="shared" si="23"/>
        <v>1.8870799147998585</v>
      </c>
      <c r="I76" s="29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25">
        <v>59</v>
      </c>
      <c r="C77" s="24">
        <f t="shared" si="4"/>
        <v>1.0297442586766543</v>
      </c>
      <c r="D77" s="24">
        <f t="shared" si="19"/>
        <v>0.85716730070211222</v>
      </c>
      <c r="E77" s="24">
        <f t="shared" si="20"/>
        <v>0.51503807491005438</v>
      </c>
      <c r="F77" s="24">
        <f t="shared" si="21"/>
        <v>1.6642794823505174</v>
      </c>
      <c r="G77" s="24">
        <f t="shared" si="22"/>
        <v>0.60086061902756061</v>
      </c>
      <c r="H77" s="24">
        <f t="shared" si="23"/>
        <v>1.9416040264103558</v>
      </c>
      <c r="I77" s="29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25">
        <v>60</v>
      </c>
      <c r="C78" s="24">
        <f t="shared" si="4"/>
        <v>1.0471975511965976</v>
      </c>
      <c r="D78" s="24">
        <f t="shared" si="19"/>
        <v>0.8660254037844386</v>
      </c>
      <c r="E78" s="24">
        <f t="shared" si="20"/>
        <v>0.50000000000000011</v>
      </c>
      <c r="F78" s="24">
        <f t="shared" si="21"/>
        <v>1.7320508075688767</v>
      </c>
      <c r="G78" s="24">
        <f t="shared" si="22"/>
        <v>0.57735026918962595</v>
      </c>
      <c r="H78" s="24">
        <f t="shared" si="23"/>
        <v>1.9999999999999996</v>
      </c>
      <c r="I78" s="29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25">
        <v>61</v>
      </c>
      <c r="C79" s="24">
        <f t="shared" si="4"/>
        <v>1.064650843716541</v>
      </c>
      <c r="D79" s="24">
        <f t="shared" si="19"/>
        <v>0.87461970713939574</v>
      </c>
      <c r="E79" s="24">
        <f t="shared" si="20"/>
        <v>0.48480962024633711</v>
      </c>
      <c r="F79" s="24">
        <f t="shared" si="21"/>
        <v>1.8040477552714236</v>
      </c>
      <c r="G79" s="24">
        <f t="shared" si="22"/>
        <v>0.55430905145276899</v>
      </c>
      <c r="H79" s="24">
        <f t="shared" si="23"/>
        <v>2.0626653396273138</v>
      </c>
      <c r="I79" s="29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25">
        <v>62</v>
      </c>
      <c r="C80" s="24">
        <f t="shared" si="4"/>
        <v>1.0821041362364843</v>
      </c>
      <c r="D80" s="24">
        <f t="shared" si="19"/>
        <v>0.88294759285892688</v>
      </c>
      <c r="E80" s="24">
        <f t="shared" si="20"/>
        <v>0.46947156278589086</v>
      </c>
      <c r="F80" s="24">
        <f t="shared" si="21"/>
        <v>1.8807264653463318</v>
      </c>
      <c r="G80" s="24">
        <f t="shared" si="22"/>
        <v>0.53170943166147877</v>
      </c>
      <c r="H80" s="24">
        <f t="shared" si="23"/>
        <v>2.1300544681895124</v>
      </c>
      <c r="I80" s="29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25">
        <v>63</v>
      </c>
      <c r="C81" s="24">
        <f t="shared" si="4"/>
        <v>1.0995574287564276</v>
      </c>
      <c r="D81" s="24">
        <f t="shared" si="19"/>
        <v>0.89100652418836779</v>
      </c>
      <c r="E81" s="24">
        <f t="shared" si="20"/>
        <v>0.4539904997395468</v>
      </c>
      <c r="F81" s="24">
        <f t="shared" si="21"/>
        <v>1.9626105055051504</v>
      </c>
      <c r="G81" s="24">
        <f t="shared" si="22"/>
        <v>0.50952544949442891</v>
      </c>
      <c r="H81" s="24">
        <f t="shared" si="23"/>
        <v>2.2026892645852665</v>
      </c>
      <c r="I81" s="29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25">
        <v>64</v>
      </c>
      <c r="C82" s="24">
        <f t="shared" si="4"/>
        <v>1.1170107212763709</v>
      </c>
      <c r="D82" s="24">
        <f t="shared" si="19"/>
        <v>0.89879404629916704</v>
      </c>
      <c r="E82" s="24">
        <f t="shared" si="20"/>
        <v>0.43837114678907746</v>
      </c>
      <c r="F82" s="24">
        <f t="shared" si="21"/>
        <v>2.050303841579296</v>
      </c>
      <c r="G82" s="24">
        <f t="shared" si="22"/>
        <v>0.48773258856586149</v>
      </c>
      <c r="H82" s="24">
        <f t="shared" si="23"/>
        <v>2.281172032704859</v>
      </c>
      <c r="I82" s="29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25">
        <v>65</v>
      </c>
      <c r="C83" s="24">
        <f t="shared" ref="C83:C146" si="27">B83*PI()/180</f>
        <v>1.1344640137963142</v>
      </c>
      <c r="D83" s="24">
        <f t="shared" si="19"/>
        <v>0.90630778703664994</v>
      </c>
      <c r="E83" s="24">
        <f t="shared" si="20"/>
        <v>0.42261826174069944</v>
      </c>
      <c r="F83" s="24">
        <f t="shared" si="21"/>
        <v>2.1445069205095586</v>
      </c>
      <c r="G83" s="24">
        <f t="shared" si="22"/>
        <v>0.46630765815499858</v>
      </c>
      <c r="H83" s="24">
        <f t="shared" si="23"/>
        <v>2.3662015831524985</v>
      </c>
      <c r="I83" s="29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25">
        <v>66</v>
      </c>
      <c r="C84" s="24">
        <f t="shared" si="27"/>
        <v>1.1519173063162575</v>
      </c>
      <c r="D84" s="24">
        <f t="shared" si="19"/>
        <v>0.91354545764260087</v>
      </c>
      <c r="E84" s="24">
        <f t="shared" si="20"/>
        <v>0.40673664307580021</v>
      </c>
      <c r="F84" s="24">
        <f t="shared" si="21"/>
        <v>2.2460367739042164</v>
      </c>
      <c r="G84" s="24">
        <f t="shared" si="22"/>
        <v>0.4452286853085361</v>
      </c>
      <c r="H84" s="24">
        <f t="shared" si="23"/>
        <v>2.4585933355742382</v>
      </c>
      <c r="I84" s="29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25">
        <v>67</v>
      </c>
      <c r="C85" s="24">
        <f t="shared" si="27"/>
        <v>1.1693705988362006</v>
      </c>
      <c r="D85" s="24">
        <f t="shared" si="19"/>
        <v>0.92050485345244026</v>
      </c>
      <c r="E85" s="24">
        <f t="shared" si="20"/>
        <v>0.39073112848927394</v>
      </c>
      <c r="F85" s="24">
        <f t="shared" si="21"/>
        <v>2.3558523658237518</v>
      </c>
      <c r="G85" s="24">
        <f t="shared" si="22"/>
        <v>0.42447481620960492</v>
      </c>
      <c r="H85" s="24">
        <f t="shared" si="23"/>
        <v>2.5593046652474509</v>
      </c>
      <c r="I85" s="29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25">
        <v>68</v>
      </c>
      <c r="C86" s="24">
        <f t="shared" si="27"/>
        <v>1.1868238913561442</v>
      </c>
      <c r="D86" s="24">
        <f t="shared" si="19"/>
        <v>0.92718385456678742</v>
      </c>
      <c r="E86" s="24">
        <f t="shared" si="20"/>
        <v>0.37460659341591196</v>
      </c>
      <c r="F86" s="24">
        <f t="shared" si="21"/>
        <v>2.4750868534162964</v>
      </c>
      <c r="G86" s="24">
        <f t="shared" si="22"/>
        <v>0.40402622583515674</v>
      </c>
      <c r="H86" s="24">
        <f t="shared" si="23"/>
        <v>2.6694671625540147</v>
      </c>
      <c r="I86" s="29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25">
        <v>69</v>
      </c>
      <c r="C87" s="24">
        <f t="shared" si="27"/>
        <v>1.2042771838760873</v>
      </c>
      <c r="D87" s="24">
        <f t="shared" si="19"/>
        <v>0.93358042649720174</v>
      </c>
      <c r="E87" s="24">
        <f t="shared" si="20"/>
        <v>0.35836794954530038</v>
      </c>
      <c r="F87" s="24">
        <f t="shared" si="21"/>
        <v>2.6050890646938005</v>
      </c>
      <c r="G87" s="24">
        <f t="shared" si="22"/>
        <v>0.38386403503541594</v>
      </c>
      <c r="H87" s="24">
        <f t="shared" si="23"/>
        <v>2.7904281096253349</v>
      </c>
      <c r="I87" s="29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25">
        <v>70</v>
      </c>
      <c r="C88" s="24">
        <f t="shared" si="27"/>
        <v>1.2217304763960306</v>
      </c>
      <c r="D88" s="24">
        <f t="shared" si="19"/>
        <v>0.93969262078590832</v>
      </c>
      <c r="E88" s="24">
        <f t="shared" si="20"/>
        <v>0.34202014332566882</v>
      </c>
      <c r="F88" s="24">
        <f t="shared" si="21"/>
        <v>2.7474774194546216</v>
      </c>
      <c r="G88" s="24">
        <f t="shared" si="22"/>
        <v>0.36397023426620245</v>
      </c>
      <c r="H88" s="24">
        <f t="shared" si="23"/>
        <v>2.9238044001630863</v>
      </c>
      <c r="I88" s="29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25">
        <v>71</v>
      </c>
      <c r="C89" s="24">
        <f t="shared" si="27"/>
        <v>1.2391837689159739</v>
      </c>
      <c r="D89" s="24">
        <f t="shared" si="19"/>
        <v>0.94551857559931674</v>
      </c>
      <c r="E89" s="24">
        <f t="shared" si="20"/>
        <v>0.32556815445715676</v>
      </c>
      <c r="F89" s="24">
        <f t="shared" si="21"/>
        <v>2.9042108776758222</v>
      </c>
      <c r="G89" s="24">
        <f t="shared" si="22"/>
        <v>0.34432761328966532</v>
      </c>
      <c r="H89" s="24">
        <f t="shared" si="23"/>
        <v>3.0715534867572414</v>
      </c>
      <c r="I89" s="29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25">
        <v>72</v>
      </c>
      <c r="C90" s="24">
        <f t="shared" si="27"/>
        <v>1.2566370614359172</v>
      </c>
      <c r="D90" s="24">
        <f t="shared" si="19"/>
        <v>0.95105651629515353</v>
      </c>
      <c r="E90" s="24">
        <f t="shared" si="20"/>
        <v>0.30901699437494745</v>
      </c>
      <c r="F90" s="24">
        <f t="shared" si="21"/>
        <v>3.0776835371752527</v>
      </c>
      <c r="G90" s="24">
        <f t="shared" si="22"/>
        <v>0.3249196962329064</v>
      </c>
      <c r="H90" s="24">
        <f t="shared" si="23"/>
        <v>3.2360679774997894</v>
      </c>
      <c r="I90" s="29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25">
        <v>73</v>
      </c>
      <c r="C91" s="24">
        <f t="shared" si="27"/>
        <v>1.2740903539558606</v>
      </c>
      <c r="D91" s="24">
        <f t="shared" si="19"/>
        <v>0.95630475596303544</v>
      </c>
      <c r="E91" s="24">
        <f t="shared" si="20"/>
        <v>0.29237170472273677</v>
      </c>
      <c r="F91" s="24">
        <f t="shared" si="21"/>
        <v>3.2708526184841404</v>
      </c>
      <c r="G91" s="24">
        <f t="shared" si="22"/>
        <v>0.30573068145866039</v>
      </c>
      <c r="H91" s="24">
        <f t="shared" si="23"/>
        <v>3.4203036198332684</v>
      </c>
      <c r="I91" s="29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25">
        <v>74</v>
      </c>
      <c r="C92" s="24">
        <f t="shared" si="27"/>
        <v>1.2915436464758039</v>
      </c>
      <c r="D92" s="24">
        <f t="shared" si="19"/>
        <v>0.96126169593831889</v>
      </c>
      <c r="E92" s="24">
        <f t="shared" si="20"/>
        <v>0.27563735581699916</v>
      </c>
      <c r="F92" s="24">
        <f t="shared" si="21"/>
        <v>3.4874144438409087</v>
      </c>
      <c r="G92" s="24">
        <f t="shared" si="22"/>
        <v>0.28674538575880792</v>
      </c>
      <c r="H92" s="24">
        <f t="shared" si="23"/>
        <v>3.6279552785433005</v>
      </c>
      <c r="I92" s="29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25">
        <v>75</v>
      </c>
      <c r="C93" s="24">
        <f t="shared" si="27"/>
        <v>1.3089969389957472</v>
      </c>
      <c r="D93" s="24">
        <f t="shared" si="19"/>
        <v>0.96592582628906831</v>
      </c>
      <c r="E93" s="24">
        <f t="shared" si="20"/>
        <v>0.25881904510252074</v>
      </c>
      <c r="F93" s="24">
        <f t="shared" si="21"/>
        <v>3.7320508075688776</v>
      </c>
      <c r="G93" s="24">
        <f t="shared" si="22"/>
        <v>0.2679491924311227</v>
      </c>
      <c r="H93" s="24">
        <f t="shared" si="23"/>
        <v>3.8637033051562737</v>
      </c>
      <c r="I93" s="29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25">
        <v>76</v>
      </c>
      <c r="C94" s="24">
        <f t="shared" si="27"/>
        <v>1.3264502315156903</v>
      </c>
      <c r="D94" s="24">
        <f t="shared" si="19"/>
        <v>0.97029572627599647</v>
      </c>
      <c r="E94" s="24">
        <f t="shared" si="20"/>
        <v>0.2419218955996679</v>
      </c>
      <c r="F94" s="24">
        <f t="shared" si="21"/>
        <v>4.010780933535842</v>
      </c>
      <c r="G94" s="24">
        <f t="shared" si="22"/>
        <v>0.24932800284318085</v>
      </c>
      <c r="H94" s="24">
        <f t="shared" si="23"/>
        <v>4.1335654944387468</v>
      </c>
      <c r="I94" s="29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25">
        <v>77</v>
      </c>
      <c r="C95" s="24">
        <f t="shared" si="27"/>
        <v>1.3439035240356338</v>
      </c>
      <c r="D95" s="24">
        <f t="shared" si="19"/>
        <v>0.97437006478523525</v>
      </c>
      <c r="E95" s="24">
        <f t="shared" si="20"/>
        <v>0.22495105434386492</v>
      </c>
      <c r="F95" s="24">
        <f t="shared" si="21"/>
        <v>4.3314758742841573</v>
      </c>
      <c r="G95" s="24">
        <f t="shared" si="22"/>
        <v>0.23086819112556303</v>
      </c>
      <c r="H95" s="24">
        <f t="shared" si="23"/>
        <v>4.4454114825858024</v>
      </c>
      <c r="I95" s="29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25">
        <v>78</v>
      </c>
      <c r="C96" s="24">
        <f t="shared" si="27"/>
        <v>1.3613568165555769</v>
      </c>
      <c r="D96" s="24">
        <f t="shared" si="19"/>
        <v>0.97814760073380558</v>
      </c>
      <c r="E96" s="24">
        <f t="shared" si="20"/>
        <v>0.20791169081775945</v>
      </c>
      <c r="F96" s="24">
        <f t="shared" si="21"/>
        <v>4.7046301094784511</v>
      </c>
      <c r="G96" s="24">
        <f t="shared" si="22"/>
        <v>0.21255656167002226</v>
      </c>
      <c r="H96" s="24">
        <f t="shared" si="23"/>
        <v>4.8097343447441281</v>
      </c>
      <c r="I96" s="29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25">
        <v>79</v>
      </c>
      <c r="C97" s="24">
        <f t="shared" si="27"/>
        <v>1.3788101090755203</v>
      </c>
      <c r="D97" s="24">
        <f t="shared" si="19"/>
        <v>0.98162718344766398</v>
      </c>
      <c r="E97" s="24">
        <f t="shared" si="20"/>
        <v>0.19080899537654492</v>
      </c>
      <c r="F97" s="24">
        <f t="shared" si="21"/>
        <v>5.1445540159703071</v>
      </c>
      <c r="G97" s="24">
        <f t="shared" si="22"/>
        <v>0.19438030913771859</v>
      </c>
      <c r="H97" s="24">
        <f t="shared" si="23"/>
        <v>5.2408430641678461</v>
      </c>
      <c r="I97" s="29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25">
        <v>80</v>
      </c>
      <c r="C98" s="24">
        <f t="shared" si="27"/>
        <v>1.3962634015954636</v>
      </c>
      <c r="D98" s="24">
        <f t="shared" si="19"/>
        <v>0.98480775301220802</v>
      </c>
      <c r="E98" s="24">
        <f t="shared" si="20"/>
        <v>0.17364817766693041</v>
      </c>
      <c r="F98" s="24">
        <f t="shared" si="21"/>
        <v>5.6712818196177066</v>
      </c>
      <c r="G98" s="24">
        <f t="shared" si="22"/>
        <v>0.17632698070846506</v>
      </c>
      <c r="H98" s="24">
        <f t="shared" si="23"/>
        <v>5.758770483143631</v>
      </c>
      <c r="I98" s="29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25">
        <v>81</v>
      </c>
      <c r="C99" s="24">
        <f t="shared" si="27"/>
        <v>1.4137166941154069</v>
      </c>
      <c r="D99" s="24">
        <f t="shared" si="19"/>
        <v>0.98768834059513777</v>
      </c>
      <c r="E99" s="24">
        <f t="shared" si="20"/>
        <v>0.15643446504023092</v>
      </c>
      <c r="F99" s="24">
        <f t="shared" si="21"/>
        <v>6.3137515146750411</v>
      </c>
      <c r="G99" s="24">
        <f t="shared" si="22"/>
        <v>0.15838444032453633</v>
      </c>
      <c r="H99" s="24">
        <f t="shared" si="23"/>
        <v>6.3924532214996592</v>
      </c>
      <c r="I99" s="29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25">
        <v>82</v>
      </c>
      <c r="C100" s="24">
        <f t="shared" si="27"/>
        <v>1.43116998663535</v>
      </c>
      <c r="D100" s="24">
        <f t="shared" si="19"/>
        <v>0.99026806874157025</v>
      </c>
      <c r="E100" s="24">
        <f t="shared" si="20"/>
        <v>0.13917310096006569</v>
      </c>
      <c r="F100" s="24">
        <f t="shared" si="21"/>
        <v>7.1153697223841954</v>
      </c>
      <c r="G100" s="24">
        <f t="shared" si="22"/>
        <v>0.1405408347023917</v>
      </c>
      <c r="H100" s="24">
        <f t="shared" si="23"/>
        <v>7.1852965343277067</v>
      </c>
      <c r="I100" s="29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25">
        <v>83</v>
      </c>
      <c r="C101" s="24">
        <f t="shared" si="27"/>
        <v>1.4486232791552935</v>
      </c>
      <c r="D101" s="24">
        <f t="shared" si="19"/>
        <v>0.99254615164132198</v>
      </c>
      <c r="E101" s="24">
        <f t="shared" si="20"/>
        <v>0.12186934340514749</v>
      </c>
      <c r="F101" s="24">
        <f t="shared" si="21"/>
        <v>8.1443464279745932</v>
      </c>
      <c r="G101" s="24">
        <f t="shared" si="22"/>
        <v>0.1227845609029046</v>
      </c>
      <c r="H101" s="24">
        <f t="shared" si="23"/>
        <v>8.2055090481250783</v>
      </c>
      <c r="I101" s="29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25">
        <v>84</v>
      </c>
      <c r="C102" s="24">
        <f t="shared" si="27"/>
        <v>1.4660765716752369</v>
      </c>
      <c r="D102" s="24">
        <f t="shared" si="19"/>
        <v>0.99452189536827329</v>
      </c>
      <c r="E102" s="24">
        <f t="shared" si="20"/>
        <v>0.10452846326765346</v>
      </c>
      <c r="F102" s="24">
        <f t="shared" si="21"/>
        <v>9.5143644542225871</v>
      </c>
      <c r="G102" s="24">
        <f t="shared" si="22"/>
        <v>0.10510423526567644</v>
      </c>
      <c r="H102" s="24">
        <f t="shared" si="23"/>
        <v>9.5667722335056276</v>
      </c>
      <c r="I102" s="29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25">
        <v>85</v>
      </c>
      <c r="C103" s="24">
        <f t="shared" si="27"/>
        <v>1.4835298641951802</v>
      </c>
      <c r="D103" s="24">
        <f t="shared" si="19"/>
        <v>0.99619469809174555</v>
      </c>
      <c r="E103" s="24">
        <f t="shared" si="20"/>
        <v>8.7155742747658138E-2</v>
      </c>
      <c r="F103" s="24">
        <f t="shared" si="21"/>
        <v>11</v>
      </c>
      <c r="G103" s="24">
        <f t="shared" si="22"/>
        <v>8.7488663525923965E-2</v>
      </c>
      <c r="H103" s="24">
        <f t="shared" si="23"/>
        <v>11</v>
      </c>
      <c r="I103" s="29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25">
        <v>86</v>
      </c>
      <c r="C104" s="24">
        <f t="shared" si="27"/>
        <v>1.5009831567151233</v>
      </c>
      <c r="D104" s="24">
        <f t="shared" si="19"/>
        <v>0.9975640502598242</v>
      </c>
      <c r="E104" s="24">
        <f t="shared" si="20"/>
        <v>6.9756473744125455E-2</v>
      </c>
      <c r="F104" s="24">
        <f t="shared" si="21"/>
        <v>11</v>
      </c>
      <c r="G104" s="24">
        <f t="shared" si="22"/>
        <v>6.9926811943510567E-2</v>
      </c>
      <c r="H104" s="24">
        <f t="shared" si="23"/>
        <v>11</v>
      </c>
      <c r="I104" s="29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25">
        <v>87</v>
      </c>
      <c r="C105" s="24">
        <f t="shared" si="27"/>
        <v>1.5184364492350666</v>
      </c>
      <c r="D105" s="24">
        <f t="shared" si="19"/>
        <v>0.99862953475457383</v>
      </c>
      <c r="E105" s="24">
        <f t="shared" si="20"/>
        <v>5.2335956242943966E-2</v>
      </c>
      <c r="F105" s="24">
        <f t="shared" si="21"/>
        <v>11</v>
      </c>
      <c r="G105" s="24">
        <f t="shared" si="22"/>
        <v>5.2407779283041342E-2</v>
      </c>
      <c r="H105" s="24">
        <f t="shared" si="23"/>
        <v>11</v>
      </c>
      <c r="I105" s="29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25">
        <v>88</v>
      </c>
      <c r="C106" s="24">
        <f t="shared" si="27"/>
        <v>1.5358897417550099</v>
      </c>
      <c r="D106" s="24">
        <f t="shared" si="19"/>
        <v>0.99939082701909576</v>
      </c>
      <c r="E106" s="24">
        <f t="shared" si="20"/>
        <v>3.489949670250108E-2</v>
      </c>
      <c r="F106" s="24">
        <f t="shared" si="21"/>
        <v>11</v>
      </c>
      <c r="G106" s="24">
        <f t="shared" si="22"/>
        <v>3.4920769491747841E-2</v>
      </c>
      <c r="H106" s="24">
        <f t="shared" si="23"/>
        <v>11</v>
      </c>
      <c r="I106" s="29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25">
        <v>89</v>
      </c>
      <c r="C107" s="24">
        <f t="shared" si="27"/>
        <v>1.5533430342749535</v>
      </c>
      <c r="D107" s="24">
        <f t="shared" si="19"/>
        <v>0.99984769515639127</v>
      </c>
      <c r="E107" s="24">
        <f t="shared" si="20"/>
        <v>1.7452406437283376E-2</v>
      </c>
      <c r="F107" s="24">
        <f t="shared" si="21"/>
        <v>11</v>
      </c>
      <c r="G107" s="24">
        <f t="shared" si="22"/>
        <v>1.7455064928217447E-2</v>
      </c>
      <c r="H107" s="24">
        <f t="shared" si="23"/>
        <v>11</v>
      </c>
      <c r="I107" s="29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25">
        <v>90</v>
      </c>
      <c r="C108" s="24">
        <f t="shared" si="27"/>
        <v>1.5707963267948966</v>
      </c>
      <c r="D108" s="24">
        <f t="shared" si="19"/>
        <v>1</v>
      </c>
      <c r="E108" s="24">
        <f t="shared" si="20"/>
        <v>6.1257422745431001E-17</v>
      </c>
      <c r="F108" s="24">
        <f t="shared" si="21"/>
        <v>11</v>
      </c>
      <c r="G108" s="24">
        <f t="shared" si="22"/>
        <v>6.1257422745431001E-17</v>
      </c>
      <c r="H108" s="24">
        <f t="shared" si="23"/>
        <v>11</v>
      </c>
      <c r="I108" s="29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25">
        <v>91</v>
      </c>
      <c r="C109" s="24">
        <f t="shared" si="27"/>
        <v>1.5882496193148399</v>
      </c>
      <c r="D109" s="24">
        <f t="shared" si="19"/>
        <v>0.99984769515639127</v>
      </c>
      <c r="E109" s="24">
        <f t="shared" si="20"/>
        <v>-1.7452406437283477E-2</v>
      </c>
      <c r="F109" s="24">
        <f t="shared" si="21"/>
        <v>-11</v>
      </c>
      <c r="G109" s="24">
        <f t="shared" si="22"/>
        <v>-1.7455064928217547E-2</v>
      </c>
      <c r="H109" s="24">
        <f t="shared" si="23"/>
        <v>-11</v>
      </c>
      <c r="I109" s="29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25">
        <v>92</v>
      </c>
      <c r="C110" s="24">
        <f t="shared" si="27"/>
        <v>1.605702911834783</v>
      </c>
      <c r="D110" s="24">
        <f t="shared" si="19"/>
        <v>0.99939082701909576</v>
      </c>
      <c r="E110" s="24">
        <f t="shared" si="20"/>
        <v>-3.4899496702500733E-2</v>
      </c>
      <c r="F110" s="24">
        <f t="shared" si="21"/>
        <v>-11</v>
      </c>
      <c r="G110" s="24">
        <f t="shared" si="22"/>
        <v>-3.4920769491747494E-2</v>
      </c>
      <c r="H110" s="24">
        <f t="shared" si="23"/>
        <v>-11</v>
      </c>
      <c r="I110" s="29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25">
        <v>93</v>
      </c>
      <c r="C111" s="24">
        <f t="shared" si="27"/>
        <v>1.6231562043547263</v>
      </c>
      <c r="D111" s="24">
        <f t="shared" si="19"/>
        <v>0.99862953475457383</v>
      </c>
      <c r="E111" s="24">
        <f t="shared" si="20"/>
        <v>-5.233595624294362E-2</v>
      </c>
      <c r="F111" s="24">
        <f t="shared" si="21"/>
        <v>-11</v>
      </c>
      <c r="G111" s="24">
        <f t="shared" si="22"/>
        <v>-5.2407779283040988E-2</v>
      </c>
      <c r="H111" s="24">
        <f t="shared" si="23"/>
        <v>-11</v>
      </c>
      <c r="I111" s="29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25">
        <v>94</v>
      </c>
      <c r="C112" s="24">
        <f t="shared" si="27"/>
        <v>1.6406094968746698</v>
      </c>
      <c r="D112" s="24">
        <f t="shared" si="19"/>
        <v>0.9975640502598242</v>
      </c>
      <c r="E112" s="24">
        <f t="shared" si="20"/>
        <v>-6.975647374412533E-2</v>
      </c>
      <c r="F112" s="24">
        <f t="shared" si="21"/>
        <v>-11</v>
      </c>
      <c r="G112" s="24">
        <f t="shared" si="22"/>
        <v>-6.9926811943510456E-2</v>
      </c>
      <c r="H112" s="24">
        <f t="shared" si="23"/>
        <v>-11</v>
      </c>
      <c r="I112" s="29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25">
        <v>95</v>
      </c>
      <c r="C113" s="24">
        <f t="shared" si="27"/>
        <v>1.6580627893946132</v>
      </c>
      <c r="D113" s="24">
        <f t="shared" si="19"/>
        <v>0.99619469809174555</v>
      </c>
      <c r="E113" s="24">
        <f t="shared" si="20"/>
        <v>-8.7155742747658235E-2</v>
      </c>
      <c r="F113" s="24">
        <f t="shared" si="21"/>
        <v>-11</v>
      </c>
      <c r="G113" s="24">
        <f t="shared" si="22"/>
        <v>-8.7488663525924062E-2</v>
      </c>
      <c r="H113" s="24">
        <f t="shared" si="23"/>
        <v>-11</v>
      </c>
      <c r="I113" s="29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25">
        <v>96</v>
      </c>
      <c r="C114" s="24">
        <f t="shared" si="27"/>
        <v>1.6755160819145563</v>
      </c>
      <c r="D114" s="24">
        <f t="shared" si="19"/>
        <v>0.9945218953682734</v>
      </c>
      <c r="E114" s="24">
        <f t="shared" si="20"/>
        <v>-0.10452846326765333</v>
      </c>
      <c r="F114" s="24">
        <f t="shared" si="21"/>
        <v>-9.5143644542225978</v>
      </c>
      <c r="G114" s="24">
        <f t="shared" si="22"/>
        <v>-0.10510423526567632</v>
      </c>
      <c r="H114" s="24">
        <f t="shared" si="23"/>
        <v>-9.5667722335056382</v>
      </c>
      <c r="I114" s="29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25">
        <v>97</v>
      </c>
      <c r="C115" s="24">
        <f t="shared" si="27"/>
        <v>1.6929693744344996</v>
      </c>
      <c r="D115" s="24">
        <f t="shared" si="19"/>
        <v>0.99254615164132209</v>
      </c>
      <c r="E115" s="24">
        <f t="shared" si="20"/>
        <v>-0.12186934340514737</v>
      </c>
      <c r="F115" s="24">
        <f t="shared" si="21"/>
        <v>-8.1443464279746021</v>
      </c>
      <c r="G115" s="24">
        <f t="shared" si="22"/>
        <v>-0.12278456090290447</v>
      </c>
      <c r="H115" s="24">
        <f t="shared" si="23"/>
        <v>-8.2055090481250854</v>
      </c>
      <c r="I115" s="29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25">
        <v>98</v>
      </c>
      <c r="C116" s="24">
        <f t="shared" si="27"/>
        <v>1.7104226669544429</v>
      </c>
      <c r="D116" s="24">
        <f t="shared" si="19"/>
        <v>0.99026806874157036</v>
      </c>
      <c r="E116" s="24">
        <f t="shared" si="20"/>
        <v>-0.13917310096006535</v>
      </c>
      <c r="F116" s="24">
        <f t="shared" si="21"/>
        <v>-7.1153697223842132</v>
      </c>
      <c r="G116" s="24">
        <f t="shared" si="22"/>
        <v>-0.14054083470239137</v>
      </c>
      <c r="H116" s="24">
        <f t="shared" si="23"/>
        <v>-7.1852965343277235</v>
      </c>
      <c r="I116" s="29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25">
        <v>99</v>
      </c>
      <c r="C117" s="24">
        <f t="shared" si="27"/>
        <v>1.7278759594743864</v>
      </c>
      <c r="D117" s="24">
        <f t="shared" si="19"/>
        <v>0.98768834059513766</v>
      </c>
      <c r="E117" s="24">
        <f t="shared" si="20"/>
        <v>-0.15643446504023104</v>
      </c>
      <c r="F117" s="24">
        <f t="shared" si="21"/>
        <v>-6.3137515146750367</v>
      </c>
      <c r="G117" s="24">
        <f t="shared" si="22"/>
        <v>-0.15838444032453644</v>
      </c>
      <c r="H117" s="24">
        <f t="shared" si="23"/>
        <v>-6.3924532214996548</v>
      </c>
      <c r="I117" s="29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25">
        <v>100</v>
      </c>
      <c r="C118" s="24">
        <f t="shared" si="27"/>
        <v>1.7453292519943295</v>
      </c>
      <c r="D118" s="24">
        <f t="shared" si="19"/>
        <v>0.98480775301220802</v>
      </c>
      <c r="E118" s="24">
        <f t="shared" si="20"/>
        <v>-0.1736481776669303</v>
      </c>
      <c r="F118" s="24">
        <f t="shared" si="21"/>
        <v>-5.6712818196177111</v>
      </c>
      <c r="G118" s="24">
        <f t="shared" si="22"/>
        <v>-0.17632698070846492</v>
      </c>
      <c r="H118" s="24">
        <f t="shared" si="23"/>
        <v>-5.7587704831436346</v>
      </c>
      <c r="I118" s="29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25">
        <v>101</v>
      </c>
      <c r="C119" s="24">
        <f t="shared" si="27"/>
        <v>1.7627825445142729</v>
      </c>
      <c r="D119" s="24">
        <f t="shared" si="19"/>
        <v>0.98162718344766398</v>
      </c>
      <c r="E119" s="24">
        <f t="shared" si="20"/>
        <v>-0.1908089953765448</v>
      </c>
      <c r="F119" s="24">
        <f t="shared" si="21"/>
        <v>-5.1445540159703107</v>
      </c>
      <c r="G119" s="24">
        <f t="shared" si="22"/>
        <v>-0.19438030913771848</v>
      </c>
      <c r="H119" s="24">
        <f t="shared" si="23"/>
        <v>-5.2408430641678487</v>
      </c>
      <c r="I119" s="29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25">
        <v>102</v>
      </c>
      <c r="C120" s="24">
        <f t="shared" si="27"/>
        <v>1.780235837034216</v>
      </c>
      <c r="D120" s="24">
        <f t="shared" si="19"/>
        <v>0.97814760073380569</v>
      </c>
      <c r="E120" s="24">
        <f t="shared" si="20"/>
        <v>-0.20791169081775912</v>
      </c>
      <c r="F120" s="24">
        <f t="shared" si="21"/>
        <v>-4.7046301094784591</v>
      </c>
      <c r="G120" s="24">
        <f t="shared" si="22"/>
        <v>-0.2125565616700219</v>
      </c>
      <c r="H120" s="24">
        <f t="shared" si="23"/>
        <v>-4.8097343447441361</v>
      </c>
      <c r="I120" s="29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25">
        <v>103</v>
      </c>
      <c r="C121" s="24">
        <f t="shared" si="27"/>
        <v>1.7976891295541593</v>
      </c>
      <c r="D121" s="24">
        <f t="shared" si="19"/>
        <v>0.97437006478523525</v>
      </c>
      <c r="E121" s="24">
        <f t="shared" si="20"/>
        <v>-0.22495105434386481</v>
      </c>
      <c r="F121" s="24">
        <f t="shared" si="21"/>
        <v>-4.331475874284159</v>
      </c>
      <c r="G121" s="24">
        <f t="shared" si="22"/>
        <v>-0.23086819112556292</v>
      </c>
      <c r="H121" s="24">
        <f t="shared" si="23"/>
        <v>-4.4454114825858051</v>
      </c>
      <c r="I121" s="29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25">
        <v>104</v>
      </c>
      <c r="C122" s="24">
        <f t="shared" si="27"/>
        <v>1.8151424220741028</v>
      </c>
      <c r="D122" s="24">
        <f t="shared" si="19"/>
        <v>0.97029572627599647</v>
      </c>
      <c r="E122" s="24">
        <f t="shared" si="20"/>
        <v>-0.24192189559966779</v>
      </c>
      <c r="F122" s="24">
        <f t="shared" si="21"/>
        <v>-4.0107809335358438</v>
      </c>
      <c r="G122" s="24">
        <f t="shared" si="22"/>
        <v>-0.24932800284318074</v>
      </c>
      <c r="H122" s="24">
        <f t="shared" si="23"/>
        <v>-4.1335654944387485</v>
      </c>
      <c r="I122" s="29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25">
        <v>105</v>
      </c>
      <c r="C123" s="24">
        <f t="shared" si="27"/>
        <v>1.8325957145940461</v>
      </c>
      <c r="D123" s="24">
        <f t="shared" si="19"/>
        <v>0.96592582628906831</v>
      </c>
      <c r="E123" s="24">
        <f t="shared" si="20"/>
        <v>-0.25881904510252085</v>
      </c>
      <c r="F123" s="24">
        <f t="shared" si="21"/>
        <v>-3.7320508075688763</v>
      </c>
      <c r="G123" s="24">
        <f t="shared" si="22"/>
        <v>-0.26794919243112275</v>
      </c>
      <c r="H123" s="24">
        <f t="shared" si="23"/>
        <v>-3.8637033051562719</v>
      </c>
      <c r="I123" s="29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25">
        <v>106</v>
      </c>
      <c r="C124" s="24">
        <f t="shared" si="27"/>
        <v>1.8500490071139892</v>
      </c>
      <c r="D124" s="24">
        <f t="shared" si="19"/>
        <v>0.96126169593831889</v>
      </c>
      <c r="E124" s="24">
        <f t="shared" si="20"/>
        <v>-0.27563735581699905</v>
      </c>
      <c r="F124" s="24">
        <f t="shared" si="21"/>
        <v>-3.48741444384091</v>
      </c>
      <c r="G124" s="24">
        <f t="shared" si="22"/>
        <v>-0.28674538575880781</v>
      </c>
      <c r="H124" s="24">
        <f t="shared" si="23"/>
        <v>-3.6279552785433018</v>
      </c>
      <c r="I124" s="29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25">
        <v>107</v>
      </c>
      <c r="C125" s="24">
        <f t="shared" si="27"/>
        <v>1.8675022996339325</v>
      </c>
      <c r="D125" s="24">
        <f t="shared" si="19"/>
        <v>0.95630475596303555</v>
      </c>
      <c r="E125" s="24">
        <f t="shared" si="20"/>
        <v>-0.29237170472273666</v>
      </c>
      <c r="F125" s="24">
        <f t="shared" si="21"/>
        <v>-3.2708526184841422</v>
      </c>
      <c r="G125" s="24">
        <f t="shared" si="22"/>
        <v>-0.30573068145866023</v>
      </c>
      <c r="H125" s="24">
        <f t="shared" si="23"/>
        <v>-3.4203036198332697</v>
      </c>
      <c r="I125" s="29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25">
        <v>108</v>
      </c>
      <c r="C126" s="24">
        <f t="shared" si="27"/>
        <v>1.8849555921538759</v>
      </c>
      <c r="D126" s="24">
        <f t="shared" si="19"/>
        <v>0.95105651629515364</v>
      </c>
      <c r="E126" s="24">
        <f t="shared" si="20"/>
        <v>-0.30901699437494734</v>
      </c>
      <c r="F126" s="24">
        <f t="shared" si="21"/>
        <v>-3.077683537175254</v>
      </c>
      <c r="G126" s="24">
        <f t="shared" si="22"/>
        <v>-0.32491969623290629</v>
      </c>
      <c r="H126" s="24">
        <f t="shared" si="23"/>
        <v>-3.2360679774997907</v>
      </c>
      <c r="I126" s="29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25">
        <v>109</v>
      </c>
      <c r="C127" s="24">
        <f t="shared" si="27"/>
        <v>1.902408884673819</v>
      </c>
      <c r="D127" s="24">
        <f t="shared" si="19"/>
        <v>0.94551857559931685</v>
      </c>
      <c r="E127" s="24">
        <f t="shared" si="20"/>
        <v>-0.32556815445715642</v>
      </c>
      <c r="F127" s="24">
        <f t="shared" si="21"/>
        <v>-2.9042108776758253</v>
      </c>
      <c r="G127" s="24">
        <f t="shared" si="22"/>
        <v>-0.34432761328966494</v>
      </c>
      <c r="H127" s="24">
        <f t="shared" si="23"/>
        <v>-3.0715534867572445</v>
      </c>
      <c r="I127" s="29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25">
        <v>110</v>
      </c>
      <c r="C128" s="24">
        <f t="shared" si="27"/>
        <v>1.9198621771937625</v>
      </c>
      <c r="D128" s="24">
        <f t="shared" si="19"/>
        <v>0.93969262078590843</v>
      </c>
      <c r="E128" s="24">
        <f t="shared" si="20"/>
        <v>-0.34202014332566871</v>
      </c>
      <c r="F128" s="24">
        <f t="shared" si="21"/>
        <v>-2.7474774194546225</v>
      </c>
      <c r="G128" s="24">
        <f t="shared" si="22"/>
        <v>-0.36397023426620234</v>
      </c>
      <c r="H128" s="24">
        <f t="shared" si="23"/>
        <v>-2.9238044001630876</v>
      </c>
      <c r="I128" s="29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25">
        <v>111</v>
      </c>
      <c r="C129" s="24">
        <f t="shared" si="27"/>
        <v>1.9373154697137058</v>
      </c>
      <c r="D129" s="24">
        <f t="shared" si="19"/>
        <v>0.93358042649720174</v>
      </c>
      <c r="E129" s="24">
        <f t="shared" si="20"/>
        <v>-0.35836794954530027</v>
      </c>
      <c r="F129" s="24">
        <f t="shared" si="21"/>
        <v>-2.6050890646938014</v>
      </c>
      <c r="G129" s="24">
        <f t="shared" si="22"/>
        <v>-0.38386403503541583</v>
      </c>
      <c r="H129" s="24">
        <f t="shared" si="23"/>
        <v>-2.7904281096253358</v>
      </c>
      <c r="I129" s="29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25">
        <v>112</v>
      </c>
      <c r="C130" s="24">
        <f t="shared" si="27"/>
        <v>1.9547687622336491</v>
      </c>
      <c r="D130" s="24">
        <f t="shared" si="19"/>
        <v>0.92718385456678742</v>
      </c>
      <c r="E130" s="24">
        <f t="shared" si="20"/>
        <v>-0.37460659341591207</v>
      </c>
      <c r="F130" s="24">
        <f t="shared" si="21"/>
        <v>-2.4750868534162955</v>
      </c>
      <c r="G130" s="24">
        <f t="shared" si="22"/>
        <v>-0.40402622583515685</v>
      </c>
      <c r="H130" s="24">
        <f t="shared" si="23"/>
        <v>-2.6694671625540138</v>
      </c>
      <c r="I130" s="29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25">
        <v>113</v>
      </c>
      <c r="C131" s="24">
        <f t="shared" si="27"/>
        <v>1.9722220547535922</v>
      </c>
      <c r="D131" s="24">
        <f t="shared" si="19"/>
        <v>0.92050485345244037</v>
      </c>
      <c r="E131" s="24">
        <f t="shared" si="20"/>
        <v>-0.3907311284892736</v>
      </c>
      <c r="F131" s="24">
        <f t="shared" si="21"/>
        <v>-2.355852365823754</v>
      </c>
      <c r="G131" s="24">
        <f t="shared" si="22"/>
        <v>-0.42447481620960453</v>
      </c>
      <c r="H131" s="24">
        <f t="shared" si="23"/>
        <v>-2.5593046652474531</v>
      </c>
      <c r="I131" s="29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25">
        <v>114</v>
      </c>
      <c r="C132" s="24">
        <f t="shared" si="27"/>
        <v>1.9896753472735356</v>
      </c>
      <c r="D132" s="24">
        <f t="shared" ref="D132:D195" si="31">IF(SIN(C132)&gt;$I$3,$I$3,(IF(SIN(C132)&lt;-$I$3,-$I$3,SIN(C132))))</f>
        <v>0.91354545764260098</v>
      </c>
      <c r="E132" s="24">
        <f t="shared" ref="E132:E195" si="32">IF(COS(C132)&gt;$I$3,$I$3,(IF(COS(C132)&lt;-$I$3,-$I$3,COS(C132))))</f>
        <v>-0.40673664307580004</v>
      </c>
      <c r="F132" s="24">
        <f t="shared" ref="F132:F195" si="33">IF(TAN(C132)&gt;$I$3,$I$3,(IF(TAN(C132)&lt;-$I$3,-$I$3,TAN(C132))))</f>
        <v>-2.2460367739042169</v>
      </c>
      <c r="G132" s="24">
        <f t="shared" ref="G132:G195" si="34">IF(_xlfn.COT(C132)&gt;$I$3,$I$3,(IF(_xlfn.COT(C132)&lt;-$I$3,-$I$3,_xlfn.COT(C132))))</f>
        <v>-0.44522868530853599</v>
      </c>
      <c r="H132" s="24">
        <f t="shared" ref="H132:H195" si="35">IF(_xlfn.SEC(C132)&gt;$I$3,$I$3,(IF(_xlfn.SEC(C132)&lt;-$I$3,-$I$3,_xlfn.SEC(C132))))</f>
        <v>-2.4585933355742391</v>
      </c>
      <c r="I132" s="29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25">
        <v>115</v>
      </c>
      <c r="C133" s="24">
        <f t="shared" si="27"/>
        <v>2.0071286397934789</v>
      </c>
      <c r="D133" s="24">
        <f t="shared" si="31"/>
        <v>0.90630778703665005</v>
      </c>
      <c r="E133" s="24">
        <f t="shared" si="32"/>
        <v>-0.42261826174069933</v>
      </c>
      <c r="F133" s="24">
        <f t="shared" si="33"/>
        <v>-2.1445069205095595</v>
      </c>
      <c r="G133" s="24">
        <f t="shared" si="34"/>
        <v>-0.46630765815499842</v>
      </c>
      <c r="H133" s="24">
        <f t="shared" si="35"/>
        <v>-2.366201583152499</v>
      </c>
      <c r="I133" s="29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25">
        <v>116</v>
      </c>
      <c r="C134" s="24">
        <f t="shared" si="27"/>
        <v>2.0245819323134224</v>
      </c>
      <c r="D134" s="24">
        <f t="shared" si="31"/>
        <v>0.89879404629916693</v>
      </c>
      <c r="E134" s="24">
        <f t="shared" si="32"/>
        <v>-0.43837114678907751</v>
      </c>
      <c r="F134" s="24">
        <f t="shared" si="33"/>
        <v>-2.0503038415792956</v>
      </c>
      <c r="G134" s="24">
        <f t="shared" si="34"/>
        <v>-0.4877325885658616</v>
      </c>
      <c r="H134" s="24">
        <f t="shared" si="35"/>
        <v>-2.281172032704859</v>
      </c>
      <c r="I134" s="29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25">
        <v>117</v>
      </c>
      <c r="C135" s="24">
        <f t="shared" si="27"/>
        <v>2.0420352248333655</v>
      </c>
      <c r="D135" s="24">
        <f t="shared" si="31"/>
        <v>0.8910065241883679</v>
      </c>
      <c r="E135" s="24">
        <f t="shared" si="32"/>
        <v>-0.45399049973954669</v>
      </c>
      <c r="F135" s="24">
        <f t="shared" si="33"/>
        <v>-1.962610505505151</v>
      </c>
      <c r="G135" s="24">
        <f t="shared" si="34"/>
        <v>-0.50952544949442868</v>
      </c>
      <c r="H135" s="24">
        <f t="shared" si="35"/>
        <v>-2.2026892645852669</v>
      </c>
      <c r="I135" s="29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25">
        <v>118</v>
      </c>
      <c r="C136" s="24">
        <f t="shared" si="27"/>
        <v>2.0594885173533086</v>
      </c>
      <c r="D136" s="24">
        <f t="shared" si="31"/>
        <v>0.8829475928589271</v>
      </c>
      <c r="E136" s="24">
        <f t="shared" si="32"/>
        <v>-0.46947156278589053</v>
      </c>
      <c r="F136" s="24">
        <f t="shared" si="33"/>
        <v>-1.8807264653463334</v>
      </c>
      <c r="G136" s="24">
        <f t="shared" si="34"/>
        <v>-0.53170943166147833</v>
      </c>
      <c r="H136" s="24">
        <f t="shared" si="35"/>
        <v>-2.1300544681895137</v>
      </c>
      <c r="I136" s="29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25">
        <v>119</v>
      </c>
      <c r="C137" s="24">
        <f t="shared" si="27"/>
        <v>2.0769418098732522</v>
      </c>
      <c r="D137" s="24">
        <f t="shared" si="31"/>
        <v>0.87461970713939585</v>
      </c>
      <c r="E137" s="24">
        <f t="shared" si="32"/>
        <v>-0.484809620246337</v>
      </c>
      <c r="F137" s="24">
        <f t="shared" si="33"/>
        <v>-1.804047755271424</v>
      </c>
      <c r="G137" s="24">
        <f t="shared" si="34"/>
        <v>-0.55430905145276888</v>
      </c>
      <c r="H137" s="24">
        <f t="shared" si="35"/>
        <v>-2.0626653396273142</v>
      </c>
      <c r="I137" s="29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25">
        <v>120</v>
      </c>
      <c r="C138" s="24">
        <f t="shared" si="27"/>
        <v>2.0943951023931953</v>
      </c>
      <c r="D138" s="24">
        <f t="shared" si="31"/>
        <v>0.86602540378443871</v>
      </c>
      <c r="E138" s="24">
        <f t="shared" si="32"/>
        <v>-0.49999999999999978</v>
      </c>
      <c r="F138" s="24">
        <f t="shared" si="33"/>
        <v>-1.7320508075688783</v>
      </c>
      <c r="G138" s="24">
        <f t="shared" si="34"/>
        <v>-0.5773502691896254</v>
      </c>
      <c r="H138" s="24">
        <f t="shared" si="35"/>
        <v>-2.0000000000000009</v>
      </c>
      <c r="I138" s="29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25">
        <v>121</v>
      </c>
      <c r="C139" s="24">
        <f t="shared" si="27"/>
        <v>2.1118483949131388</v>
      </c>
      <c r="D139" s="24">
        <f t="shared" si="31"/>
        <v>0.85716730070211233</v>
      </c>
      <c r="E139" s="24">
        <f t="shared" si="32"/>
        <v>-0.51503807491005427</v>
      </c>
      <c r="F139" s="24">
        <f t="shared" si="33"/>
        <v>-1.6642794823505178</v>
      </c>
      <c r="G139" s="24">
        <f t="shared" si="34"/>
        <v>-0.60086061902756049</v>
      </c>
      <c r="H139" s="24">
        <f t="shared" si="35"/>
        <v>-1.9416040264103562</v>
      </c>
      <c r="I139" s="29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25">
        <v>122</v>
      </c>
      <c r="C140" s="24">
        <f t="shared" si="27"/>
        <v>2.1293016874330819</v>
      </c>
      <c r="D140" s="24">
        <f t="shared" si="31"/>
        <v>0.84804809615642607</v>
      </c>
      <c r="E140" s="24">
        <f t="shared" si="32"/>
        <v>-0.52991926423320479</v>
      </c>
      <c r="F140" s="24">
        <f t="shared" si="33"/>
        <v>-1.6003345290410511</v>
      </c>
      <c r="G140" s="24">
        <f t="shared" si="34"/>
        <v>-0.62486935190932724</v>
      </c>
      <c r="H140" s="24">
        <f t="shared" si="35"/>
        <v>-1.8870799147998589</v>
      </c>
      <c r="I140" s="29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25">
        <v>123</v>
      </c>
      <c r="C141" s="24">
        <f t="shared" si="27"/>
        <v>2.1467549799530254</v>
      </c>
      <c r="D141" s="24">
        <f t="shared" si="31"/>
        <v>0.83867056794542394</v>
      </c>
      <c r="E141" s="24">
        <f t="shared" si="32"/>
        <v>-0.54463903501502708</v>
      </c>
      <c r="F141" s="24">
        <f t="shared" si="33"/>
        <v>-1.5398649638145827</v>
      </c>
      <c r="G141" s="24">
        <f t="shared" si="34"/>
        <v>-0.64940759319751062</v>
      </c>
      <c r="H141" s="24">
        <f t="shared" si="35"/>
        <v>-1.8360784587766632</v>
      </c>
      <c r="I141" s="29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25">
        <v>124</v>
      </c>
      <c r="C142" s="24">
        <f t="shared" si="27"/>
        <v>2.1642082724729685</v>
      </c>
      <c r="D142" s="24">
        <f t="shared" si="31"/>
        <v>0.82903757255504174</v>
      </c>
      <c r="E142" s="24">
        <f t="shared" si="32"/>
        <v>-0.55919290347074668</v>
      </c>
      <c r="F142" s="24">
        <f t="shared" si="33"/>
        <v>-1.4825609685127408</v>
      </c>
      <c r="G142" s="24">
        <f t="shared" si="34"/>
        <v>-0.67450851684242641</v>
      </c>
      <c r="H142" s="24">
        <f t="shared" si="35"/>
        <v>-1.788291649971401</v>
      </c>
      <c r="I142" s="29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25">
        <v>125</v>
      </c>
      <c r="C143" s="24">
        <f t="shared" si="27"/>
        <v>2.1816615649929116</v>
      </c>
      <c r="D143" s="24">
        <f t="shared" si="31"/>
        <v>0.81915204428899202</v>
      </c>
      <c r="E143" s="24">
        <f t="shared" si="32"/>
        <v>-0.57357643635104583</v>
      </c>
      <c r="F143" s="24">
        <f t="shared" si="33"/>
        <v>-1.4281480067421155</v>
      </c>
      <c r="G143" s="24">
        <f t="shared" si="34"/>
        <v>-0.70020753820970927</v>
      </c>
      <c r="H143" s="24">
        <f t="shared" si="35"/>
        <v>-1.7434467956210988</v>
      </c>
      <c r="I143" s="29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25">
        <v>126</v>
      </c>
      <c r="C144" s="24">
        <f t="shared" si="27"/>
        <v>2.1991148575128552</v>
      </c>
      <c r="D144" s="24">
        <f t="shared" si="31"/>
        <v>0.80901699437494745</v>
      </c>
      <c r="E144" s="24">
        <f t="shared" si="32"/>
        <v>-0.58778525229247303</v>
      </c>
      <c r="F144" s="24">
        <f t="shared" si="33"/>
        <v>-1.3763819204711738</v>
      </c>
      <c r="G144" s="24">
        <f t="shared" si="34"/>
        <v>-0.72654252800536079</v>
      </c>
      <c r="H144" s="24">
        <f t="shared" si="35"/>
        <v>-1.7013016167040802</v>
      </c>
      <c r="I144" s="29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25">
        <v>127</v>
      </c>
      <c r="C145" s="24">
        <f t="shared" si="27"/>
        <v>2.2165681500327987</v>
      </c>
      <c r="D145" s="24">
        <f t="shared" si="31"/>
        <v>0.79863551004729272</v>
      </c>
      <c r="E145" s="24">
        <f t="shared" si="32"/>
        <v>-0.60181502315204838</v>
      </c>
      <c r="F145" s="24">
        <f t="shared" si="33"/>
        <v>-1.3270448216204096</v>
      </c>
      <c r="G145" s="24">
        <f t="shared" si="34"/>
        <v>-0.75355405010279441</v>
      </c>
      <c r="H145" s="24">
        <f t="shared" si="35"/>
        <v>-1.661640141122483</v>
      </c>
      <c r="I145" s="29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25">
        <v>128</v>
      </c>
      <c r="C146" s="24">
        <f t="shared" si="27"/>
        <v>2.2340214425527418</v>
      </c>
      <c r="D146" s="24">
        <f t="shared" si="31"/>
        <v>0.78801075360672201</v>
      </c>
      <c r="E146" s="24">
        <f t="shared" si="32"/>
        <v>-0.61566147532565829</v>
      </c>
      <c r="F146" s="24">
        <f t="shared" si="33"/>
        <v>-1.2799416321930788</v>
      </c>
      <c r="G146" s="24">
        <f t="shared" si="34"/>
        <v>-0.7812856265067174</v>
      </c>
      <c r="H146" s="24">
        <f t="shared" si="35"/>
        <v>-1.6242692454827441</v>
      </c>
      <c r="I146" s="29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25">
        <v>129</v>
      </c>
      <c r="C147" s="24">
        <f t="shared" ref="C147:C210" si="39">B147*PI()/180</f>
        <v>2.2514747350726849</v>
      </c>
      <c r="D147" s="24">
        <f t="shared" si="31"/>
        <v>0.77714596145697101</v>
      </c>
      <c r="E147" s="24">
        <f t="shared" si="32"/>
        <v>-0.62932039104983728</v>
      </c>
      <c r="F147" s="24">
        <f t="shared" si="33"/>
        <v>-1.2348971565350519</v>
      </c>
      <c r="G147" s="24">
        <f t="shared" si="34"/>
        <v>-0.8097840331950068</v>
      </c>
      <c r="H147" s="24">
        <f t="shared" si="35"/>
        <v>-1.5890157290657498</v>
      </c>
      <c r="I147" s="29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25">
        <v>130</v>
      </c>
      <c r="C148" s="24">
        <f t="shared" si="39"/>
        <v>2.2689280275926285</v>
      </c>
      <c r="D148" s="24">
        <f t="shared" si="31"/>
        <v>0.76604444311897801</v>
      </c>
      <c r="E148" s="24">
        <f t="shared" si="32"/>
        <v>-0.64278760968653936</v>
      </c>
      <c r="F148" s="24">
        <f t="shared" si="33"/>
        <v>-1.19175359259421</v>
      </c>
      <c r="G148" s="24">
        <f t="shared" si="34"/>
        <v>-0.83909963117728004</v>
      </c>
      <c r="H148" s="24">
        <f t="shared" si="35"/>
        <v>-1.5557238268604123</v>
      </c>
      <c r="I148" s="29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25">
        <v>131</v>
      </c>
      <c r="C149" s="24">
        <f t="shared" si="39"/>
        <v>2.286381320112572</v>
      </c>
      <c r="D149" s="24">
        <f t="shared" si="31"/>
        <v>0.75470958022277179</v>
      </c>
      <c r="E149" s="24">
        <f t="shared" si="32"/>
        <v>-0.6560590289905075</v>
      </c>
      <c r="F149" s="24">
        <f t="shared" si="33"/>
        <v>-1.150368407221009</v>
      </c>
      <c r="G149" s="24">
        <f t="shared" si="34"/>
        <v>-0.86928673781622712</v>
      </c>
      <c r="H149" s="24">
        <f t="shared" si="35"/>
        <v>-1.5242530867058137</v>
      </c>
      <c r="I149" s="29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25">
        <v>132</v>
      </c>
      <c r="C150" s="24">
        <f t="shared" si="39"/>
        <v>2.3038346126325151</v>
      </c>
      <c r="D150" s="24">
        <f t="shared" si="31"/>
        <v>0.74314482547739424</v>
      </c>
      <c r="E150" s="24">
        <f t="shared" si="32"/>
        <v>-0.66913060635885824</v>
      </c>
      <c r="F150" s="24">
        <f t="shared" si="33"/>
        <v>-1.1106125148291928</v>
      </c>
      <c r="G150" s="24">
        <f t="shared" si="34"/>
        <v>-0.90040404429784004</v>
      </c>
      <c r="H150" s="24">
        <f t="shared" si="35"/>
        <v>-1.4944765498646086</v>
      </c>
      <c r="I150" s="29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25">
        <v>133</v>
      </c>
      <c r="C151" s="24">
        <f t="shared" si="39"/>
        <v>2.3212879051524582</v>
      </c>
      <c r="D151" s="24">
        <f t="shared" si="31"/>
        <v>0.73135370161917057</v>
      </c>
      <c r="E151" s="24">
        <f t="shared" si="32"/>
        <v>-0.68199836006249837</v>
      </c>
      <c r="F151" s="24">
        <f t="shared" si="33"/>
        <v>-1.0723687100246828</v>
      </c>
      <c r="G151" s="24">
        <f t="shared" si="34"/>
        <v>-0.93251508613766143</v>
      </c>
      <c r="H151" s="24">
        <f t="shared" si="35"/>
        <v>-1.4662791856396251</v>
      </c>
      <c r="I151" s="29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25">
        <v>134</v>
      </c>
      <c r="C152" s="24">
        <f t="shared" si="39"/>
        <v>2.3387411976724013</v>
      </c>
      <c r="D152" s="24">
        <f t="shared" si="31"/>
        <v>0.71933980033865141</v>
      </c>
      <c r="E152" s="24">
        <f t="shared" si="32"/>
        <v>-0.69465837045899703</v>
      </c>
      <c r="F152" s="24">
        <f t="shared" si="33"/>
        <v>-1.0355303137905703</v>
      </c>
      <c r="G152" s="24">
        <f t="shared" si="34"/>
        <v>-0.96568877480707338</v>
      </c>
      <c r="H152" s="24">
        <f t="shared" si="35"/>
        <v>-1.4395565396257268</v>
      </c>
      <c r="I152" s="29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25">
        <v>135</v>
      </c>
      <c r="C153" s="24">
        <f t="shared" si="39"/>
        <v>2.3561944901923448</v>
      </c>
      <c r="D153" s="24">
        <f t="shared" si="31"/>
        <v>0.70710678118654757</v>
      </c>
      <c r="E153" s="24">
        <f t="shared" si="32"/>
        <v>-0.70710678118654746</v>
      </c>
      <c r="F153" s="24">
        <f t="shared" si="33"/>
        <v>-1.0000000000000002</v>
      </c>
      <c r="G153" s="24">
        <f t="shared" si="34"/>
        <v>-0.99999999999999978</v>
      </c>
      <c r="H153" s="24">
        <f t="shared" si="35"/>
        <v>-1.4142135623730951</v>
      </c>
      <c r="I153" s="29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25">
        <v>136</v>
      </c>
      <c r="C154" s="24">
        <f t="shared" si="39"/>
        <v>2.3736477827122884</v>
      </c>
      <c r="D154" s="24">
        <f t="shared" si="31"/>
        <v>0.69465837045899714</v>
      </c>
      <c r="E154" s="24">
        <f t="shared" si="32"/>
        <v>-0.71933980033865119</v>
      </c>
      <c r="F154" s="24">
        <f t="shared" si="33"/>
        <v>-0.96568877480707371</v>
      </c>
      <c r="G154" s="24">
        <f t="shared" si="34"/>
        <v>-1.0355303137905698</v>
      </c>
      <c r="H154" s="24">
        <f t="shared" si="35"/>
        <v>-1.3901635910166787</v>
      </c>
      <c r="I154" s="29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25">
        <v>137</v>
      </c>
      <c r="C155" s="24">
        <f t="shared" si="39"/>
        <v>2.3911010752322315</v>
      </c>
      <c r="D155" s="24">
        <f t="shared" si="31"/>
        <v>0.68199836006249859</v>
      </c>
      <c r="E155" s="24">
        <f t="shared" si="32"/>
        <v>-0.73135370161917046</v>
      </c>
      <c r="F155" s="24">
        <f t="shared" si="33"/>
        <v>-0.93251508613766176</v>
      </c>
      <c r="G155" s="24">
        <f t="shared" si="34"/>
        <v>-1.0723687100246824</v>
      </c>
      <c r="H155" s="24">
        <f t="shared" si="35"/>
        <v>-1.3673274610985953</v>
      </c>
      <c r="I155" s="29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25">
        <v>138</v>
      </c>
      <c r="C156" s="24">
        <f t="shared" si="39"/>
        <v>2.4085543677521746</v>
      </c>
      <c r="D156" s="24">
        <f t="shared" si="31"/>
        <v>0.66913060635885835</v>
      </c>
      <c r="E156" s="24">
        <f t="shared" si="32"/>
        <v>-0.74314482547739402</v>
      </c>
      <c r="F156" s="24">
        <f t="shared" si="33"/>
        <v>-0.90040404429784038</v>
      </c>
      <c r="G156" s="24">
        <f t="shared" si="34"/>
        <v>-1.1106125148291923</v>
      </c>
      <c r="H156" s="24">
        <f t="shared" si="35"/>
        <v>-1.3456327296063766</v>
      </c>
      <c r="I156" s="29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25">
        <v>139</v>
      </c>
      <c r="C157" s="24">
        <f t="shared" si="39"/>
        <v>2.4260076602721181</v>
      </c>
      <c r="D157" s="24">
        <f t="shared" si="31"/>
        <v>0.65605902899050728</v>
      </c>
      <c r="E157" s="24">
        <f t="shared" si="32"/>
        <v>-0.75470958022277201</v>
      </c>
      <c r="F157" s="24">
        <f t="shared" si="33"/>
        <v>-0.86928673781622667</v>
      </c>
      <c r="G157" s="24">
        <f t="shared" si="34"/>
        <v>-1.1503684072210096</v>
      </c>
      <c r="H157" s="24">
        <f t="shared" si="35"/>
        <v>-1.3250129933488113</v>
      </c>
      <c r="I157" s="29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25">
        <v>140</v>
      </c>
      <c r="C158" s="24">
        <f t="shared" si="39"/>
        <v>2.4434609527920612</v>
      </c>
      <c r="D158" s="24">
        <f t="shared" si="31"/>
        <v>0.64278760968653947</v>
      </c>
      <c r="E158" s="24">
        <f t="shared" si="32"/>
        <v>-0.7660444431189779</v>
      </c>
      <c r="F158" s="24">
        <f t="shared" si="33"/>
        <v>-0.83909963117728037</v>
      </c>
      <c r="G158" s="24">
        <f t="shared" si="34"/>
        <v>-1.1917535925942095</v>
      </c>
      <c r="H158" s="24">
        <f t="shared" si="35"/>
        <v>-1.3054072893322788</v>
      </c>
      <c r="I158" s="29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25">
        <v>141</v>
      </c>
      <c r="C159" s="24">
        <f t="shared" si="39"/>
        <v>2.4609142453120043</v>
      </c>
      <c r="D159" s="24">
        <f t="shared" si="31"/>
        <v>0.62932039104983772</v>
      </c>
      <c r="E159" s="24">
        <f t="shared" si="32"/>
        <v>-0.77714596145697068</v>
      </c>
      <c r="F159" s="24">
        <f t="shared" si="33"/>
        <v>-0.8097840331950078</v>
      </c>
      <c r="G159" s="24">
        <f t="shared" si="34"/>
        <v>-1.2348971565350504</v>
      </c>
      <c r="H159" s="24">
        <f t="shared" si="35"/>
        <v>-1.2867595658931676</v>
      </c>
      <c r="I159" s="29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25">
        <v>142</v>
      </c>
      <c r="C160" s="24">
        <f t="shared" si="39"/>
        <v>2.4783675378319479</v>
      </c>
      <c r="D160" s="24">
        <f t="shared" si="31"/>
        <v>0.6156614753256584</v>
      </c>
      <c r="E160" s="24">
        <f t="shared" si="32"/>
        <v>-0.7880107536067219</v>
      </c>
      <c r="F160" s="24">
        <f t="shared" si="33"/>
        <v>-0.78128562650671762</v>
      </c>
      <c r="G160" s="24">
        <f t="shared" si="34"/>
        <v>-1.2799416321930783</v>
      </c>
      <c r="H160" s="24">
        <f t="shared" si="35"/>
        <v>-1.2690182150725788</v>
      </c>
      <c r="I160" s="29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25">
        <v>143</v>
      </c>
      <c r="C161" s="24">
        <f t="shared" si="39"/>
        <v>2.4958208303518914</v>
      </c>
      <c r="D161" s="24">
        <f t="shared" si="31"/>
        <v>0.60181502315204816</v>
      </c>
      <c r="E161" s="24">
        <f t="shared" si="32"/>
        <v>-0.79863551004729294</v>
      </c>
      <c r="F161" s="24">
        <f t="shared" si="33"/>
        <v>-0.75355405010279397</v>
      </c>
      <c r="G161" s="24">
        <f t="shared" si="34"/>
        <v>-1.3270448216204103</v>
      </c>
      <c r="H161" s="24">
        <f t="shared" si="35"/>
        <v>-1.2521356581562255</v>
      </c>
      <c r="I161" s="29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25">
        <v>144</v>
      </c>
      <c r="C162" s="24">
        <f t="shared" si="39"/>
        <v>2.5132741228718345</v>
      </c>
      <c r="D162" s="24">
        <f t="shared" si="31"/>
        <v>0.58778525229247325</v>
      </c>
      <c r="E162" s="24">
        <f t="shared" si="32"/>
        <v>-0.80901699437494734</v>
      </c>
      <c r="F162" s="24">
        <f t="shared" si="33"/>
        <v>-0.72654252800536101</v>
      </c>
      <c r="G162" s="24">
        <f t="shared" si="34"/>
        <v>-1.3763819204711734</v>
      </c>
      <c r="H162" s="24">
        <f t="shared" si="35"/>
        <v>-1.2360679774997898</v>
      </c>
      <c r="I162" s="29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25">
        <v>145</v>
      </c>
      <c r="C163" s="24">
        <f t="shared" si="39"/>
        <v>2.5307274153917776</v>
      </c>
      <c r="D163" s="24">
        <f t="shared" si="31"/>
        <v>0.57357643635104638</v>
      </c>
      <c r="E163" s="24">
        <f t="shared" si="32"/>
        <v>-0.81915204428899158</v>
      </c>
      <c r="F163" s="24">
        <f t="shared" si="33"/>
        <v>-0.70020753820971027</v>
      </c>
      <c r="G163" s="24">
        <f t="shared" si="34"/>
        <v>-1.4281480067421135</v>
      </c>
      <c r="H163" s="24">
        <f t="shared" si="35"/>
        <v>-1.2207745887614563</v>
      </c>
      <c r="I163" s="29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25">
        <v>146</v>
      </c>
      <c r="C164" s="24">
        <f t="shared" si="39"/>
        <v>2.5481807079117211</v>
      </c>
      <c r="D164" s="24">
        <f t="shared" si="31"/>
        <v>0.5591929034707469</v>
      </c>
      <c r="E164" s="24">
        <f t="shared" si="32"/>
        <v>-0.82903757255504162</v>
      </c>
      <c r="F164" s="24">
        <f t="shared" si="33"/>
        <v>-0.67450851684242674</v>
      </c>
      <c r="G164" s="24">
        <f t="shared" si="34"/>
        <v>-1.4825609685127401</v>
      </c>
      <c r="H164" s="24">
        <f t="shared" si="35"/>
        <v>-1.2062179485039055</v>
      </c>
      <c r="I164" s="29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25">
        <v>147</v>
      </c>
      <c r="C165" s="24">
        <f t="shared" si="39"/>
        <v>2.5656340004316647</v>
      </c>
      <c r="D165" s="24">
        <f t="shared" si="31"/>
        <v>0.54463903501502697</v>
      </c>
      <c r="E165" s="24">
        <f t="shared" si="32"/>
        <v>-0.83867056794542416</v>
      </c>
      <c r="F165" s="24">
        <f t="shared" si="33"/>
        <v>-0.64940759319751029</v>
      </c>
      <c r="G165" s="24">
        <f t="shared" si="34"/>
        <v>-1.5398649638145836</v>
      </c>
      <c r="H165" s="24">
        <f t="shared" si="35"/>
        <v>-1.1923632928359473</v>
      </c>
      <c r="I165" s="29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25">
        <v>148</v>
      </c>
      <c r="C166" s="24">
        <f t="shared" si="39"/>
        <v>2.5830872929516078</v>
      </c>
      <c r="D166" s="24">
        <f t="shared" si="31"/>
        <v>0.5299192642332049</v>
      </c>
      <c r="E166" s="24">
        <f t="shared" si="32"/>
        <v>-0.84804809615642596</v>
      </c>
      <c r="F166" s="24">
        <f t="shared" si="33"/>
        <v>-0.62486935190932746</v>
      </c>
      <c r="G166" s="24">
        <f t="shared" si="34"/>
        <v>-1.6003345290410504</v>
      </c>
      <c r="H166" s="24">
        <f t="shared" si="35"/>
        <v>-1.1791784033620965</v>
      </c>
      <c r="I166" s="29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25">
        <v>149</v>
      </c>
      <c r="C167" s="24">
        <f t="shared" si="39"/>
        <v>2.6005405854715509</v>
      </c>
      <c r="D167" s="24">
        <f t="shared" si="31"/>
        <v>0.51503807491005438</v>
      </c>
      <c r="E167" s="24">
        <f t="shared" si="32"/>
        <v>-0.85716730070211222</v>
      </c>
      <c r="F167" s="24">
        <f t="shared" si="33"/>
        <v>-0.60086061902756072</v>
      </c>
      <c r="G167" s="24">
        <f t="shared" si="34"/>
        <v>-1.6642794823505171</v>
      </c>
      <c r="H167" s="24">
        <f t="shared" si="35"/>
        <v>-1.1666333972153307</v>
      </c>
      <c r="I167" s="29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25">
        <v>150</v>
      </c>
      <c r="C168" s="24">
        <f t="shared" si="39"/>
        <v>2.6179938779914944</v>
      </c>
      <c r="D168" s="24">
        <f t="shared" si="31"/>
        <v>0.49999999999999994</v>
      </c>
      <c r="E168" s="24">
        <f t="shared" si="32"/>
        <v>-0.86602540378443871</v>
      </c>
      <c r="F168" s="24">
        <f t="shared" si="33"/>
        <v>-0.57735026918962573</v>
      </c>
      <c r="G168" s="24">
        <f t="shared" si="34"/>
        <v>-1.7320508075688774</v>
      </c>
      <c r="H168" s="24">
        <f t="shared" si="35"/>
        <v>-1.1547005383792515</v>
      </c>
      <c r="I168" s="29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25">
        <v>151</v>
      </c>
      <c r="C169" s="24">
        <f t="shared" si="39"/>
        <v>2.6354471705114375</v>
      </c>
      <c r="D169" s="24">
        <f t="shared" si="31"/>
        <v>0.48480962024633717</v>
      </c>
      <c r="E169" s="24">
        <f t="shared" si="32"/>
        <v>-0.87461970713939574</v>
      </c>
      <c r="F169" s="24">
        <f t="shared" si="33"/>
        <v>-0.5543090514527691</v>
      </c>
      <c r="G169" s="24">
        <f t="shared" si="34"/>
        <v>-1.8040477552714234</v>
      </c>
      <c r="H169" s="24">
        <f t="shared" si="35"/>
        <v>-1.1433540678733201</v>
      </c>
      <c r="I169" s="29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25">
        <v>152</v>
      </c>
      <c r="C170" s="24">
        <f t="shared" si="39"/>
        <v>2.6529004630313806</v>
      </c>
      <c r="D170" s="24">
        <f t="shared" si="31"/>
        <v>0.46947156278589108</v>
      </c>
      <c r="E170" s="24">
        <f t="shared" si="32"/>
        <v>-0.88294759285892677</v>
      </c>
      <c r="F170" s="24">
        <f t="shared" si="33"/>
        <v>-0.53170943166147921</v>
      </c>
      <c r="G170" s="24">
        <f t="shared" si="34"/>
        <v>-1.8807264653463303</v>
      </c>
      <c r="H170" s="24">
        <f t="shared" si="35"/>
        <v>-1.1325700506890395</v>
      </c>
      <c r="I170" s="29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25">
        <v>153</v>
      </c>
      <c r="C171" s="24">
        <f t="shared" si="39"/>
        <v>2.6703537555513241</v>
      </c>
      <c r="D171" s="24">
        <f t="shared" si="31"/>
        <v>0.45399049973954686</v>
      </c>
      <c r="E171" s="24">
        <f t="shared" si="32"/>
        <v>-0.89100652418836779</v>
      </c>
      <c r="F171" s="24">
        <f t="shared" si="33"/>
        <v>-0.50952544949442891</v>
      </c>
      <c r="G171" s="24">
        <f t="shared" si="34"/>
        <v>-1.9626105055051501</v>
      </c>
      <c r="H171" s="24">
        <f t="shared" si="35"/>
        <v>-1.1223262376343608</v>
      </c>
      <c r="I171" s="29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25">
        <v>154</v>
      </c>
      <c r="C172" s="24">
        <f t="shared" si="39"/>
        <v>2.6878070480712677</v>
      </c>
      <c r="D172" s="24">
        <f t="shared" si="31"/>
        <v>0.43837114678907729</v>
      </c>
      <c r="E172" s="24">
        <f t="shared" si="32"/>
        <v>-0.89879404629916704</v>
      </c>
      <c r="F172" s="24">
        <f t="shared" si="33"/>
        <v>-0.48773258856586127</v>
      </c>
      <c r="G172" s="24">
        <f t="shared" si="34"/>
        <v>-2.0503038415792969</v>
      </c>
      <c r="H172" s="24">
        <f t="shared" si="35"/>
        <v>-1.1126019404751888</v>
      </c>
      <c r="I172" s="29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25">
        <v>155</v>
      </c>
      <c r="C173" s="24">
        <f t="shared" si="39"/>
        <v>2.7052603405912108</v>
      </c>
      <c r="D173" s="24">
        <f t="shared" si="31"/>
        <v>0.4226182617406995</v>
      </c>
      <c r="E173" s="24">
        <f t="shared" si="32"/>
        <v>-0.90630778703664994</v>
      </c>
      <c r="F173" s="24">
        <f t="shared" si="33"/>
        <v>-0.46630765815499864</v>
      </c>
      <c r="G173" s="24">
        <f t="shared" si="34"/>
        <v>-2.1445069205095586</v>
      </c>
      <c r="H173" s="24">
        <f t="shared" si="35"/>
        <v>-1.1033779189624917</v>
      </c>
      <c r="I173" s="29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25">
        <v>156</v>
      </c>
      <c r="C174" s="24">
        <f t="shared" si="39"/>
        <v>2.7227136331111539</v>
      </c>
      <c r="D174" s="24">
        <f t="shared" si="31"/>
        <v>0.40673664307580043</v>
      </c>
      <c r="E174" s="24">
        <f t="shared" si="32"/>
        <v>-0.91354545764260076</v>
      </c>
      <c r="F174" s="24">
        <f t="shared" si="33"/>
        <v>-0.44522868530853649</v>
      </c>
      <c r="G174" s="24">
        <f t="shared" si="34"/>
        <v>-2.2460367739042146</v>
      </c>
      <c r="H174" s="24">
        <f t="shared" si="35"/>
        <v>-1.0946362785060468</v>
      </c>
      <c r="I174" s="29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25">
        <v>157</v>
      </c>
      <c r="C175" s="24">
        <f t="shared" si="39"/>
        <v>2.740166925631097</v>
      </c>
      <c r="D175" s="24">
        <f t="shared" si="31"/>
        <v>0.39073112848927416</v>
      </c>
      <c r="E175" s="24">
        <f t="shared" si="32"/>
        <v>-0.92050485345244015</v>
      </c>
      <c r="F175" s="24">
        <f t="shared" si="33"/>
        <v>-0.42447481620960525</v>
      </c>
      <c r="G175" s="24">
        <f t="shared" si="34"/>
        <v>-2.35585236582375</v>
      </c>
      <c r="H175" s="24">
        <f t="shared" si="35"/>
        <v>-1.0863603774052966</v>
      </c>
      <c r="I175" s="29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25">
        <v>158</v>
      </c>
      <c r="C176" s="24">
        <f t="shared" si="39"/>
        <v>2.7576202181510405</v>
      </c>
      <c r="D176" s="24">
        <f t="shared" si="31"/>
        <v>0.37460659341591224</v>
      </c>
      <c r="E176" s="24">
        <f t="shared" si="32"/>
        <v>-0.92718385456678731</v>
      </c>
      <c r="F176" s="24">
        <f t="shared" si="33"/>
        <v>-0.40402622583515707</v>
      </c>
      <c r="G176" s="24">
        <f t="shared" si="34"/>
        <v>-2.4750868534162942</v>
      </c>
      <c r="H176" s="24">
        <f t="shared" si="35"/>
        <v>-1.0785347426775835</v>
      </c>
      <c r="I176" s="29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25">
        <v>159</v>
      </c>
      <c r="C177" s="24">
        <f t="shared" si="39"/>
        <v>2.7750735106709841</v>
      </c>
      <c r="D177" s="24">
        <f t="shared" si="31"/>
        <v>0.35836794954530021</v>
      </c>
      <c r="E177" s="24">
        <f t="shared" si="32"/>
        <v>-0.93358042649720174</v>
      </c>
      <c r="F177" s="24">
        <f t="shared" si="33"/>
        <v>-0.38386403503541577</v>
      </c>
      <c r="G177" s="24">
        <f t="shared" si="34"/>
        <v>-2.6050890646938019</v>
      </c>
      <c r="H177" s="24">
        <f t="shared" si="35"/>
        <v>-1.071144993637029</v>
      </c>
      <c r="I177" s="29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25">
        <v>160</v>
      </c>
      <c r="C178" s="24">
        <f t="shared" si="39"/>
        <v>2.7925268031909272</v>
      </c>
      <c r="D178" s="24">
        <f t="shared" si="31"/>
        <v>0.34202014332566888</v>
      </c>
      <c r="E178" s="24">
        <f t="shared" si="32"/>
        <v>-0.93969262078590832</v>
      </c>
      <c r="F178" s="24">
        <f t="shared" si="33"/>
        <v>-0.36397023426620256</v>
      </c>
      <c r="G178" s="24">
        <f t="shared" si="34"/>
        <v>-2.7474774194546208</v>
      </c>
      <c r="H178" s="24">
        <f t="shared" si="35"/>
        <v>-1.0641777724759123</v>
      </c>
      <c r="I178" s="29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25">
        <v>161</v>
      </c>
      <c r="C179" s="24">
        <f t="shared" si="39"/>
        <v>2.8099800957108703</v>
      </c>
      <c r="D179" s="24">
        <f t="shared" si="31"/>
        <v>0.32556815445715703</v>
      </c>
      <c r="E179" s="24">
        <f t="shared" si="32"/>
        <v>-0.94551857559931674</v>
      </c>
      <c r="F179" s="24">
        <f t="shared" si="33"/>
        <v>-0.34432761328966566</v>
      </c>
      <c r="G179" s="24">
        <f t="shared" si="34"/>
        <v>-2.9042108776758191</v>
      </c>
      <c r="H179" s="24">
        <f t="shared" si="35"/>
        <v>-1.0576206811866706</v>
      </c>
      <c r="I179" s="29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25">
        <v>162</v>
      </c>
      <c r="C180" s="24">
        <f t="shared" si="39"/>
        <v>2.8274333882308138</v>
      </c>
      <c r="D180" s="24">
        <f t="shared" si="31"/>
        <v>0.30901699437494751</v>
      </c>
      <c r="E180" s="24">
        <f t="shared" si="32"/>
        <v>-0.95105651629515353</v>
      </c>
      <c r="F180" s="24">
        <f t="shared" si="33"/>
        <v>-0.32491969623290645</v>
      </c>
      <c r="G180" s="24">
        <f t="shared" si="34"/>
        <v>-3.0776835371752522</v>
      </c>
      <c r="H180" s="24">
        <f t="shared" si="35"/>
        <v>-1.0514622242382672</v>
      </c>
      <c r="I180" s="29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25">
        <v>163</v>
      </c>
      <c r="C181" s="24">
        <f t="shared" si="39"/>
        <v>2.8448866807507569</v>
      </c>
      <c r="D181" s="24">
        <f t="shared" si="31"/>
        <v>0.29237170472273705</v>
      </c>
      <c r="E181" s="24">
        <f t="shared" si="32"/>
        <v>-0.95630475596303544</v>
      </c>
      <c r="F181" s="24">
        <f t="shared" si="33"/>
        <v>-0.30573068145866067</v>
      </c>
      <c r="G181" s="24">
        <f t="shared" si="34"/>
        <v>-3.2708526184841373</v>
      </c>
      <c r="H181" s="24">
        <f t="shared" si="35"/>
        <v>-1.045691756487148</v>
      </c>
      <c r="I181" s="29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25">
        <v>164</v>
      </c>
      <c r="C182" s="24">
        <f t="shared" si="39"/>
        <v>2.8623399732707</v>
      </c>
      <c r="D182" s="24">
        <f t="shared" si="31"/>
        <v>0.27563735581699966</v>
      </c>
      <c r="E182" s="24">
        <f t="shared" si="32"/>
        <v>-0.96126169593831867</v>
      </c>
      <c r="F182" s="24">
        <f t="shared" si="33"/>
        <v>-0.28674538575880848</v>
      </c>
      <c r="G182" s="24">
        <f t="shared" si="34"/>
        <v>-3.487414443840902</v>
      </c>
      <c r="H182" s="24">
        <f t="shared" si="35"/>
        <v>-1.0402994358616022</v>
      </c>
      <c r="I182" s="29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25">
        <v>165</v>
      </c>
      <c r="C183" s="24">
        <f t="shared" si="39"/>
        <v>2.8797932657906435</v>
      </c>
      <c r="D183" s="24">
        <f t="shared" si="31"/>
        <v>0.25881904510252102</v>
      </c>
      <c r="E183" s="24">
        <f t="shared" si="32"/>
        <v>-0.9659258262890682</v>
      </c>
      <c r="F183" s="24">
        <f t="shared" si="33"/>
        <v>-0.26794919243112297</v>
      </c>
      <c r="G183" s="24">
        <f t="shared" si="34"/>
        <v>-3.7320508075688736</v>
      </c>
      <c r="H183" s="24">
        <f t="shared" si="35"/>
        <v>-1.0352761804100832</v>
      </c>
      <c r="I183" s="29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25">
        <v>166</v>
      </c>
      <c r="C184" s="24">
        <f t="shared" si="39"/>
        <v>2.8972465583105871</v>
      </c>
      <c r="D184" s="24">
        <f t="shared" si="31"/>
        <v>0.24192189559966773</v>
      </c>
      <c r="E184" s="24">
        <f t="shared" si="32"/>
        <v>-0.97029572627599647</v>
      </c>
      <c r="F184" s="24">
        <f t="shared" si="33"/>
        <v>-0.24932800284318071</v>
      </c>
      <c r="G184" s="24">
        <f t="shared" si="34"/>
        <v>-4.0107809335358446</v>
      </c>
      <c r="H184" s="24">
        <f t="shared" si="35"/>
        <v>-1.0306136293498982</v>
      </c>
      <c r="I184" s="29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25">
        <v>167</v>
      </c>
      <c r="C185" s="24">
        <f t="shared" si="39"/>
        <v>2.9146998508305306</v>
      </c>
      <c r="D185" s="24">
        <f t="shared" si="31"/>
        <v>0.22495105434386478</v>
      </c>
      <c r="E185" s="24">
        <f t="shared" si="32"/>
        <v>-0.97437006478523525</v>
      </c>
      <c r="F185" s="24">
        <f t="shared" si="33"/>
        <v>-0.23086819112556287</v>
      </c>
      <c r="G185" s="24">
        <f t="shared" si="34"/>
        <v>-4.3314758742841599</v>
      </c>
      <c r="H185" s="24">
        <f t="shared" si="35"/>
        <v>-1.0263041077933917</v>
      </c>
      <c r="I185" s="29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25">
        <v>168</v>
      </c>
      <c r="C186" s="24">
        <f t="shared" si="39"/>
        <v>2.9321531433504737</v>
      </c>
      <c r="D186" s="24">
        <f t="shared" si="31"/>
        <v>0.20791169081775931</v>
      </c>
      <c r="E186" s="24">
        <f t="shared" si="32"/>
        <v>-0.97814760073380569</v>
      </c>
      <c r="F186" s="24">
        <f t="shared" si="33"/>
        <v>-0.2125565616700221</v>
      </c>
      <c r="G186" s="24">
        <f t="shared" si="34"/>
        <v>-4.7046301094784546</v>
      </c>
      <c r="H186" s="24">
        <f t="shared" si="35"/>
        <v>-1.0223405948650293</v>
      </c>
      <c r="I186" s="29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25">
        <v>169</v>
      </c>
      <c r="C187" s="24">
        <f t="shared" si="39"/>
        <v>2.9496064358704168</v>
      </c>
      <c r="D187" s="24">
        <f t="shared" si="31"/>
        <v>0.19080899537654497</v>
      </c>
      <c r="E187" s="24">
        <f t="shared" si="32"/>
        <v>-0.98162718344766398</v>
      </c>
      <c r="F187" s="24">
        <f t="shared" si="33"/>
        <v>-0.19438030913771864</v>
      </c>
      <c r="G187" s="24">
        <f t="shared" si="34"/>
        <v>-5.1445540159703063</v>
      </c>
      <c r="H187" s="24">
        <f t="shared" si="35"/>
        <v>-1.0187166949552142</v>
      </c>
      <c r="I187" s="29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25">
        <v>170</v>
      </c>
      <c r="C188" s="24">
        <f t="shared" si="39"/>
        <v>2.9670597283903604</v>
      </c>
      <c r="D188" s="24">
        <f t="shared" si="31"/>
        <v>0.17364817766693028</v>
      </c>
      <c r="E188" s="24">
        <f t="shared" si="32"/>
        <v>-0.98480775301220802</v>
      </c>
      <c r="F188" s="24">
        <f t="shared" si="33"/>
        <v>-0.17632698070846489</v>
      </c>
      <c r="G188" s="24">
        <f t="shared" si="34"/>
        <v>-5.6712818196177119</v>
      </c>
      <c r="H188" s="24">
        <f t="shared" si="35"/>
        <v>-1.0154266118857451</v>
      </c>
      <c r="I188" s="29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25">
        <v>171</v>
      </c>
      <c r="C189" s="24">
        <f t="shared" si="39"/>
        <v>2.9845130209103035</v>
      </c>
      <c r="D189" s="24">
        <f t="shared" si="31"/>
        <v>0.15643446504023098</v>
      </c>
      <c r="E189" s="24">
        <f t="shared" si="32"/>
        <v>-0.98768834059513766</v>
      </c>
      <c r="F189" s="24">
        <f t="shared" si="33"/>
        <v>-0.15838444032453641</v>
      </c>
      <c r="G189" s="24">
        <f t="shared" si="34"/>
        <v>-6.3137515146750385</v>
      </c>
      <c r="H189" s="24">
        <f t="shared" si="35"/>
        <v>-1.0124651257880031</v>
      </c>
      <c r="I189" s="29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25">
        <v>172</v>
      </c>
      <c r="C190" s="24">
        <f t="shared" si="39"/>
        <v>3.0019663134302466</v>
      </c>
      <c r="D190" s="24">
        <f t="shared" si="31"/>
        <v>0.13917310096006574</v>
      </c>
      <c r="E190" s="24">
        <f t="shared" si="32"/>
        <v>-0.99026806874157025</v>
      </c>
      <c r="F190" s="24">
        <f t="shared" si="33"/>
        <v>-0.14054083470239176</v>
      </c>
      <c r="G190" s="24">
        <f t="shared" si="34"/>
        <v>-7.1153697223841927</v>
      </c>
      <c r="H190" s="24">
        <f t="shared" si="35"/>
        <v>-1.0098275725186181</v>
      </c>
      <c r="I190" s="29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25">
        <v>173</v>
      </c>
      <c r="C191" s="24">
        <f t="shared" si="39"/>
        <v>3.0194196059501901</v>
      </c>
      <c r="D191" s="24">
        <f t="shared" si="31"/>
        <v>0.12186934340514755</v>
      </c>
      <c r="E191" s="24">
        <f t="shared" si="32"/>
        <v>-0.99254615164132198</v>
      </c>
      <c r="F191" s="24">
        <f t="shared" si="33"/>
        <v>-0.12278456090290465</v>
      </c>
      <c r="G191" s="24">
        <f t="shared" si="34"/>
        <v>-8.1443464279745896</v>
      </c>
      <c r="H191" s="24">
        <f t="shared" si="35"/>
        <v>-1.0075098254588484</v>
      </c>
      <c r="I191" s="29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25">
        <v>174</v>
      </c>
      <c r="C192" s="24">
        <f t="shared" si="39"/>
        <v>3.0368728984701332</v>
      </c>
      <c r="D192" s="24">
        <f t="shared" si="31"/>
        <v>0.10452846326765373</v>
      </c>
      <c r="E192" s="24">
        <f t="shared" si="32"/>
        <v>-0.99452189536827329</v>
      </c>
      <c r="F192" s="24">
        <f t="shared" si="33"/>
        <v>-0.10510423526567673</v>
      </c>
      <c r="G192" s="24">
        <f t="shared" si="34"/>
        <v>-9.5143644542225605</v>
      </c>
      <c r="H192" s="24">
        <f t="shared" si="35"/>
        <v>-1.0055082795635164</v>
      </c>
      <c r="I192" s="29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25">
        <v>175</v>
      </c>
      <c r="C193" s="24">
        <f t="shared" si="39"/>
        <v>3.0543261909900763</v>
      </c>
      <c r="D193" s="24">
        <f t="shared" si="31"/>
        <v>8.7155742747658638E-2</v>
      </c>
      <c r="E193" s="24">
        <f t="shared" si="32"/>
        <v>-0.99619469809174555</v>
      </c>
      <c r="F193" s="24">
        <f t="shared" si="33"/>
        <v>-8.7488663525924479E-2</v>
      </c>
      <c r="G193" s="24">
        <f t="shared" si="34"/>
        <v>-11</v>
      </c>
      <c r="H193" s="24">
        <f t="shared" si="35"/>
        <v>-1.0038198375433474</v>
      </c>
      <c r="I193" s="29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25">
        <v>176</v>
      </c>
      <c r="C194" s="24">
        <f t="shared" si="39"/>
        <v>3.0717794835100198</v>
      </c>
      <c r="D194" s="24">
        <f t="shared" si="31"/>
        <v>6.9756473744125524E-2</v>
      </c>
      <c r="E194" s="24">
        <f t="shared" si="32"/>
        <v>-0.9975640502598242</v>
      </c>
      <c r="F194" s="24">
        <f t="shared" si="33"/>
        <v>-6.9926811943510636E-2</v>
      </c>
      <c r="G194" s="24">
        <f t="shared" si="34"/>
        <v>-11</v>
      </c>
      <c r="H194" s="24">
        <f t="shared" si="35"/>
        <v>-1.0024418980811722</v>
      </c>
      <c r="I194" s="29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25">
        <v>177</v>
      </c>
      <c r="C195" s="24">
        <f t="shared" si="39"/>
        <v>3.0892327760299634</v>
      </c>
      <c r="D195" s="24">
        <f t="shared" si="31"/>
        <v>5.2335956242943807E-2</v>
      </c>
      <c r="E195" s="24">
        <f t="shared" si="32"/>
        <v>-0.99862953475457383</v>
      </c>
      <c r="F195" s="24">
        <f t="shared" si="33"/>
        <v>-5.2407779283041175E-2</v>
      </c>
      <c r="G195" s="24">
        <f t="shared" si="34"/>
        <v>-11</v>
      </c>
      <c r="H195" s="24">
        <f t="shared" si="35"/>
        <v>-1.0013723459979209</v>
      </c>
      <c r="I195" s="29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25">
        <v>178</v>
      </c>
      <c r="C196" s="24">
        <f t="shared" si="39"/>
        <v>3.1066860685499069</v>
      </c>
      <c r="D196" s="24">
        <f t="shared" ref="D196:D259" si="43">IF(SIN(C196)&gt;$I$3,$I$3,(IF(SIN(C196)&lt;-$I$3,-$I$3,SIN(C196))))</f>
        <v>3.4899496702500699E-2</v>
      </c>
      <c r="E196" s="24">
        <f t="shared" ref="E196:E259" si="44">IF(COS(C196)&gt;$I$3,$I$3,(IF(COS(C196)&lt;-$I$3,-$I$3,COS(C196))))</f>
        <v>-0.99939082701909576</v>
      </c>
      <c r="F196" s="24">
        <f t="shared" ref="F196:F259" si="45">IF(TAN(C196)&gt;$I$3,$I$3,(IF(TAN(C196)&lt;-$I$3,-$I$3,TAN(C196))))</f>
        <v>-3.492076949174746E-2</v>
      </c>
      <c r="G196" s="24">
        <f t="shared" ref="G196:G259" si="46">IF(_xlfn.COT(C196)&gt;$I$3,$I$3,(IF(_xlfn.COT(C196)&lt;-$I$3,-$I$3,_xlfn.COT(C196))))</f>
        <v>-11</v>
      </c>
      <c r="H196" s="24">
        <f t="shared" ref="H196:H259" si="47">IF(_xlfn.SEC(C196)&gt;$I$3,$I$3,(IF(_xlfn.SEC(C196)&lt;-$I$3,-$I$3,_xlfn.SEC(C196))))</f>
        <v>-1.0006095442988217</v>
      </c>
      <c r="I196" s="29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25">
        <v>179</v>
      </c>
      <c r="C197" s="24">
        <f t="shared" si="39"/>
        <v>3.12413936106985</v>
      </c>
      <c r="D197" s="24">
        <f t="shared" si="43"/>
        <v>1.7452406437283439E-2</v>
      </c>
      <c r="E197" s="24">
        <f t="shared" si="44"/>
        <v>-0.99984769515639127</v>
      </c>
      <c r="F197" s="24">
        <f t="shared" si="45"/>
        <v>-1.7455064928217509E-2</v>
      </c>
      <c r="G197" s="24">
        <f t="shared" si="46"/>
        <v>-11</v>
      </c>
      <c r="H197" s="24">
        <f t="shared" si="47"/>
        <v>-1.0001523280439077</v>
      </c>
      <c r="I197" s="29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25">
        <v>180</v>
      </c>
      <c r="C198" s="24">
        <f t="shared" si="39"/>
        <v>3.1415926535897931</v>
      </c>
      <c r="D198" s="24">
        <f t="shared" si="43"/>
        <v>1.22514845490862E-16</v>
      </c>
      <c r="E198" s="24">
        <f t="shared" si="44"/>
        <v>-1</v>
      </c>
      <c r="F198" s="24">
        <f t="shared" si="45"/>
        <v>-1.22514845490862E-16</v>
      </c>
      <c r="G198" s="24">
        <f t="shared" si="46"/>
        <v>-11</v>
      </c>
      <c r="H198" s="24">
        <f t="shared" si="47"/>
        <v>-1</v>
      </c>
      <c r="I198" s="29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25">
        <v>181</v>
      </c>
      <c r="C199" s="24">
        <f t="shared" si="39"/>
        <v>3.1590459461097362</v>
      </c>
      <c r="D199" s="24">
        <f t="shared" si="43"/>
        <v>-1.7452406437283192E-2</v>
      </c>
      <c r="E199" s="24">
        <f t="shared" si="44"/>
        <v>-0.99984769515639127</v>
      </c>
      <c r="F199" s="24">
        <f t="shared" si="45"/>
        <v>1.7455064928217266E-2</v>
      </c>
      <c r="G199" s="24">
        <f t="shared" si="46"/>
        <v>11</v>
      </c>
      <c r="H199" s="24">
        <f t="shared" si="47"/>
        <v>-1.0001523280439077</v>
      </c>
      <c r="I199" s="29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25">
        <v>182</v>
      </c>
      <c r="C200" s="24">
        <f t="shared" si="39"/>
        <v>3.1764992386296798</v>
      </c>
      <c r="D200" s="24">
        <f t="shared" si="43"/>
        <v>-3.48994967025009E-2</v>
      </c>
      <c r="E200" s="24">
        <f t="shared" si="44"/>
        <v>-0.99939082701909576</v>
      </c>
      <c r="F200" s="24">
        <f t="shared" si="45"/>
        <v>3.4920769491747654E-2</v>
      </c>
      <c r="G200" s="24">
        <f t="shared" si="46"/>
        <v>11</v>
      </c>
      <c r="H200" s="24">
        <f t="shared" si="47"/>
        <v>-1.0006095442988217</v>
      </c>
      <c r="I200" s="29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25">
        <v>183</v>
      </c>
      <c r="C201" s="24">
        <f t="shared" si="39"/>
        <v>3.1939525311496229</v>
      </c>
      <c r="D201" s="24">
        <f t="shared" si="43"/>
        <v>-5.2335956242943557E-2</v>
      </c>
      <c r="E201" s="24">
        <f t="shared" si="44"/>
        <v>-0.99862953475457383</v>
      </c>
      <c r="F201" s="24">
        <f t="shared" si="45"/>
        <v>5.2407779283040933E-2</v>
      </c>
      <c r="G201" s="24">
        <f t="shared" si="46"/>
        <v>11</v>
      </c>
      <c r="H201" s="24">
        <f t="shared" si="47"/>
        <v>-1.0013723459979209</v>
      </c>
      <c r="I201" s="29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25">
        <v>184</v>
      </c>
      <c r="C202" s="24">
        <f t="shared" si="39"/>
        <v>3.211405823669566</v>
      </c>
      <c r="D202" s="24">
        <f t="shared" si="43"/>
        <v>-6.9756473744124831E-2</v>
      </c>
      <c r="E202" s="24">
        <f t="shared" si="44"/>
        <v>-0.99756405025982431</v>
      </c>
      <c r="F202" s="24">
        <f t="shared" si="45"/>
        <v>6.9926811943509942E-2</v>
      </c>
      <c r="G202" s="24">
        <f t="shared" si="46"/>
        <v>11</v>
      </c>
      <c r="H202" s="24">
        <f t="shared" si="47"/>
        <v>-1.002441898081172</v>
      </c>
      <c r="I202" s="29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25">
        <v>185</v>
      </c>
      <c r="C203" s="24">
        <f t="shared" si="39"/>
        <v>3.2288591161895095</v>
      </c>
      <c r="D203" s="24">
        <f t="shared" si="43"/>
        <v>-8.7155742747657944E-2</v>
      </c>
      <c r="E203" s="24">
        <f t="shared" si="44"/>
        <v>-0.99619469809174555</v>
      </c>
      <c r="F203" s="24">
        <f t="shared" si="45"/>
        <v>8.7488663525923785E-2</v>
      </c>
      <c r="G203" s="24">
        <f t="shared" si="46"/>
        <v>11</v>
      </c>
      <c r="H203" s="24">
        <f t="shared" si="47"/>
        <v>-1.0038198375433474</v>
      </c>
      <c r="I203" s="29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25">
        <v>186</v>
      </c>
      <c r="C204" s="24">
        <f t="shared" si="39"/>
        <v>3.2463124087094526</v>
      </c>
      <c r="D204" s="24">
        <f t="shared" si="43"/>
        <v>-0.10452846326765305</v>
      </c>
      <c r="E204" s="24">
        <f t="shared" si="44"/>
        <v>-0.9945218953682734</v>
      </c>
      <c r="F204" s="24">
        <f t="shared" si="45"/>
        <v>0.10510423526567604</v>
      </c>
      <c r="G204" s="24">
        <f t="shared" si="46"/>
        <v>9.5143644542226227</v>
      </c>
      <c r="H204" s="24">
        <f t="shared" si="47"/>
        <v>-1.0055082795635164</v>
      </c>
      <c r="I204" s="29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25">
        <v>187</v>
      </c>
      <c r="C205" s="24">
        <f t="shared" si="39"/>
        <v>3.2637657012293966</v>
      </c>
      <c r="D205" s="24">
        <f t="shared" si="43"/>
        <v>-0.12186934340514774</v>
      </c>
      <c r="E205" s="24">
        <f t="shared" si="44"/>
        <v>-0.99254615164132198</v>
      </c>
      <c r="F205" s="24">
        <f t="shared" si="45"/>
        <v>0.12278456090290486</v>
      </c>
      <c r="G205" s="24">
        <f t="shared" si="46"/>
        <v>8.1443464279745754</v>
      </c>
      <c r="H205" s="24">
        <f t="shared" si="47"/>
        <v>-1.0075098254588484</v>
      </c>
      <c r="I205" s="29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25">
        <v>188</v>
      </c>
      <c r="C206" s="24">
        <f t="shared" si="39"/>
        <v>3.2812189937493397</v>
      </c>
      <c r="D206" s="24">
        <f t="shared" si="43"/>
        <v>-0.13917310096006552</v>
      </c>
      <c r="E206" s="24">
        <f t="shared" si="44"/>
        <v>-0.99026806874157025</v>
      </c>
      <c r="F206" s="24">
        <f t="shared" si="45"/>
        <v>0.14054083470239151</v>
      </c>
      <c r="G206" s="24">
        <f t="shared" si="46"/>
        <v>7.1153697223842052</v>
      </c>
      <c r="H206" s="24">
        <f t="shared" si="47"/>
        <v>-1.0098275725186181</v>
      </c>
      <c r="I206" s="29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25">
        <v>189</v>
      </c>
      <c r="C207" s="24">
        <f t="shared" si="39"/>
        <v>3.2986722862692828</v>
      </c>
      <c r="D207" s="24">
        <f t="shared" si="43"/>
        <v>-0.15643446504023073</v>
      </c>
      <c r="E207" s="24">
        <f t="shared" si="44"/>
        <v>-0.98768834059513777</v>
      </c>
      <c r="F207" s="24">
        <f t="shared" si="45"/>
        <v>0.15838444032453616</v>
      </c>
      <c r="G207" s="24">
        <f t="shared" si="46"/>
        <v>6.3137515146750482</v>
      </c>
      <c r="H207" s="24">
        <f t="shared" si="47"/>
        <v>-1.0124651257880029</v>
      </c>
      <c r="I207" s="29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25">
        <v>190</v>
      </c>
      <c r="C208" s="24">
        <f t="shared" si="39"/>
        <v>3.3161255787892263</v>
      </c>
      <c r="D208" s="24">
        <f t="shared" si="43"/>
        <v>-0.17364817766693047</v>
      </c>
      <c r="E208" s="24">
        <f t="shared" si="44"/>
        <v>-0.98480775301220802</v>
      </c>
      <c r="F208" s="24">
        <f t="shared" si="45"/>
        <v>0.17632698070846509</v>
      </c>
      <c r="G208" s="24">
        <f t="shared" si="46"/>
        <v>5.6712818196177057</v>
      </c>
      <c r="H208" s="24">
        <f t="shared" si="47"/>
        <v>-1.0154266118857451</v>
      </c>
      <c r="I208" s="29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25">
        <v>191</v>
      </c>
      <c r="C209" s="24">
        <f t="shared" si="39"/>
        <v>3.3335788713091694</v>
      </c>
      <c r="D209" s="24">
        <f t="shared" si="43"/>
        <v>-0.19080899537654472</v>
      </c>
      <c r="E209" s="24">
        <f t="shared" si="44"/>
        <v>-0.98162718344766398</v>
      </c>
      <c r="F209" s="24">
        <f t="shared" si="45"/>
        <v>0.19438030913771839</v>
      </c>
      <c r="G209" s="24">
        <f t="shared" si="46"/>
        <v>5.1445540159703125</v>
      </c>
      <c r="H209" s="24">
        <f t="shared" si="47"/>
        <v>-1.0187166949552142</v>
      </c>
      <c r="I209" s="29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25">
        <v>192</v>
      </c>
      <c r="C210" s="24">
        <f t="shared" si="39"/>
        <v>3.3510321638291125</v>
      </c>
      <c r="D210" s="24">
        <f t="shared" si="43"/>
        <v>-0.20791169081775907</v>
      </c>
      <c r="E210" s="24">
        <f t="shared" si="44"/>
        <v>-0.97814760073380569</v>
      </c>
      <c r="F210" s="24">
        <f t="shared" si="45"/>
        <v>0.21255656167002182</v>
      </c>
      <c r="G210" s="24">
        <f t="shared" si="46"/>
        <v>4.7046301094784608</v>
      </c>
      <c r="H210" s="24">
        <f t="shared" si="47"/>
        <v>-1.0223405948650293</v>
      </c>
      <c r="I210" s="29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25">
        <v>193</v>
      </c>
      <c r="C211" s="24">
        <f t="shared" ref="C211:C274" si="51">B211*PI()/180</f>
        <v>3.3684854563490561</v>
      </c>
      <c r="D211" s="24">
        <f t="shared" si="43"/>
        <v>-0.22495105434386498</v>
      </c>
      <c r="E211" s="24">
        <f t="shared" si="44"/>
        <v>-0.97437006478523525</v>
      </c>
      <c r="F211" s="24">
        <f t="shared" si="45"/>
        <v>0.23086819112556309</v>
      </c>
      <c r="G211" s="24">
        <f t="shared" si="46"/>
        <v>4.3314758742841564</v>
      </c>
      <c r="H211" s="24">
        <f t="shared" si="47"/>
        <v>-1.0263041077933917</v>
      </c>
      <c r="I211" s="29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25">
        <v>194</v>
      </c>
      <c r="C212" s="24">
        <f t="shared" si="51"/>
        <v>3.3859387488689991</v>
      </c>
      <c r="D212" s="24">
        <f t="shared" si="43"/>
        <v>-0.24192189559966751</v>
      </c>
      <c r="E212" s="24">
        <f t="shared" si="44"/>
        <v>-0.97029572627599647</v>
      </c>
      <c r="F212" s="24">
        <f t="shared" si="45"/>
        <v>0.24932800284318044</v>
      </c>
      <c r="G212" s="24">
        <f t="shared" si="46"/>
        <v>4.0107809335358491</v>
      </c>
      <c r="H212" s="24">
        <f t="shared" si="47"/>
        <v>-1.0306136293498982</v>
      </c>
      <c r="I212" s="29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25">
        <v>195</v>
      </c>
      <c r="C213" s="24">
        <f t="shared" si="51"/>
        <v>3.4033920413889422</v>
      </c>
      <c r="D213" s="24">
        <f t="shared" si="43"/>
        <v>-0.25881904510252035</v>
      </c>
      <c r="E213" s="24">
        <f t="shared" si="44"/>
        <v>-0.96592582628906842</v>
      </c>
      <c r="F213" s="24">
        <f t="shared" si="45"/>
        <v>0.26794919243112225</v>
      </c>
      <c r="G213" s="24">
        <f t="shared" si="46"/>
        <v>3.7320508075688834</v>
      </c>
      <c r="H213" s="24">
        <f t="shared" si="47"/>
        <v>-1.035276180410083</v>
      </c>
      <c r="I213" s="29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25">
        <v>196</v>
      </c>
      <c r="C214" s="24">
        <f t="shared" si="51"/>
        <v>3.4208453339088858</v>
      </c>
      <c r="D214" s="24">
        <f t="shared" si="43"/>
        <v>-0.275637355816999</v>
      </c>
      <c r="E214" s="24">
        <f t="shared" si="44"/>
        <v>-0.96126169593831889</v>
      </c>
      <c r="F214" s="24">
        <f t="shared" si="45"/>
        <v>0.28674538575880776</v>
      </c>
      <c r="G214" s="24">
        <f t="shared" si="46"/>
        <v>3.4874144438409109</v>
      </c>
      <c r="H214" s="24">
        <f t="shared" si="47"/>
        <v>-1.040299435861602</v>
      </c>
      <c r="I214" s="29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25">
        <v>197</v>
      </c>
      <c r="C215" s="24">
        <f t="shared" si="51"/>
        <v>3.4382986264288289</v>
      </c>
      <c r="D215" s="24">
        <f t="shared" si="43"/>
        <v>-0.29237170472273638</v>
      </c>
      <c r="E215" s="24">
        <f t="shared" si="44"/>
        <v>-0.95630475596303555</v>
      </c>
      <c r="F215" s="24">
        <f t="shared" si="45"/>
        <v>0.30573068145865995</v>
      </c>
      <c r="G215" s="24">
        <f t="shared" si="46"/>
        <v>3.2708526184841453</v>
      </c>
      <c r="H215" s="24">
        <f t="shared" si="47"/>
        <v>-1.045691756487148</v>
      </c>
      <c r="I215" s="29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25">
        <v>198</v>
      </c>
      <c r="C216" s="24">
        <f t="shared" si="51"/>
        <v>3.4557519189487729</v>
      </c>
      <c r="D216" s="24">
        <f t="shared" si="43"/>
        <v>-0.30901699437494773</v>
      </c>
      <c r="E216" s="24">
        <f t="shared" si="44"/>
        <v>-0.95105651629515353</v>
      </c>
      <c r="F216" s="24">
        <f t="shared" si="45"/>
        <v>0.32491969623290667</v>
      </c>
      <c r="G216" s="24">
        <f t="shared" si="46"/>
        <v>3.07768353717525</v>
      </c>
      <c r="H216" s="24">
        <f t="shared" si="47"/>
        <v>-1.0514622242382672</v>
      </c>
      <c r="I216" s="29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25">
        <v>199</v>
      </c>
      <c r="C217" s="24">
        <f t="shared" si="51"/>
        <v>3.473205211468716</v>
      </c>
      <c r="D217" s="24">
        <f t="shared" si="43"/>
        <v>-0.32556815445715676</v>
      </c>
      <c r="E217" s="24">
        <f t="shared" si="44"/>
        <v>-0.94551857559931674</v>
      </c>
      <c r="F217" s="24">
        <f t="shared" si="45"/>
        <v>0.34432761328966538</v>
      </c>
      <c r="G217" s="24">
        <f t="shared" si="46"/>
        <v>2.9042108776758218</v>
      </c>
      <c r="H217" s="24">
        <f t="shared" si="47"/>
        <v>-1.0576206811866706</v>
      </c>
      <c r="I217" s="29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25">
        <v>200</v>
      </c>
      <c r="C218" s="24">
        <f t="shared" si="51"/>
        <v>3.4906585039886591</v>
      </c>
      <c r="D218" s="24">
        <f t="shared" si="43"/>
        <v>-0.34202014332566866</v>
      </c>
      <c r="E218" s="24">
        <f t="shared" si="44"/>
        <v>-0.93969262078590843</v>
      </c>
      <c r="F218" s="24">
        <f t="shared" si="45"/>
        <v>0.36397023426620229</v>
      </c>
      <c r="G218" s="24">
        <f t="shared" si="46"/>
        <v>2.747477419454623</v>
      </c>
      <c r="H218" s="24">
        <f t="shared" si="47"/>
        <v>-1.0641777724759121</v>
      </c>
      <c r="I218" s="29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25">
        <v>201</v>
      </c>
      <c r="C219" s="24">
        <f t="shared" si="51"/>
        <v>3.5081117965086026</v>
      </c>
      <c r="D219" s="24">
        <f t="shared" si="43"/>
        <v>-0.35836794954530043</v>
      </c>
      <c r="E219" s="24">
        <f t="shared" si="44"/>
        <v>-0.93358042649720174</v>
      </c>
      <c r="F219" s="24">
        <f t="shared" si="45"/>
        <v>0.383864035035416</v>
      </c>
      <c r="G219" s="24">
        <f t="shared" si="46"/>
        <v>2.6050890646938001</v>
      </c>
      <c r="H219" s="24">
        <f t="shared" si="47"/>
        <v>-1.071144993637029</v>
      </c>
      <c r="I219" s="29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25">
        <v>202</v>
      </c>
      <c r="C220" s="24">
        <f t="shared" si="51"/>
        <v>3.5255650890285457</v>
      </c>
      <c r="D220" s="24">
        <f t="shared" si="43"/>
        <v>-0.37460659341591201</v>
      </c>
      <c r="E220" s="24">
        <f t="shared" si="44"/>
        <v>-0.92718385456678742</v>
      </c>
      <c r="F220" s="24">
        <f t="shared" si="45"/>
        <v>0.40402622583515679</v>
      </c>
      <c r="G220" s="24">
        <f t="shared" si="46"/>
        <v>2.475086853416296</v>
      </c>
      <c r="H220" s="24">
        <f t="shared" si="47"/>
        <v>-1.0785347426775833</v>
      </c>
      <c r="I220" s="29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25">
        <v>203</v>
      </c>
      <c r="C221" s="24">
        <f t="shared" si="51"/>
        <v>3.5430183815484888</v>
      </c>
      <c r="D221" s="24">
        <f t="shared" si="43"/>
        <v>-0.39073112848927355</v>
      </c>
      <c r="E221" s="24">
        <f t="shared" si="44"/>
        <v>-0.92050485345244037</v>
      </c>
      <c r="F221" s="24">
        <f t="shared" si="45"/>
        <v>0.42447481620960448</v>
      </c>
      <c r="G221" s="24">
        <f t="shared" si="46"/>
        <v>2.3558523658237545</v>
      </c>
      <c r="H221" s="24">
        <f t="shared" si="47"/>
        <v>-1.0863603774052961</v>
      </c>
      <c r="I221" s="29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25">
        <v>204</v>
      </c>
      <c r="C222" s="24">
        <f t="shared" si="51"/>
        <v>3.5604716740684319</v>
      </c>
      <c r="D222" s="24">
        <f t="shared" si="43"/>
        <v>-0.40673664307579982</v>
      </c>
      <c r="E222" s="24">
        <f t="shared" si="44"/>
        <v>-0.91354545764260109</v>
      </c>
      <c r="F222" s="24">
        <f t="shared" si="45"/>
        <v>0.44522868530853565</v>
      </c>
      <c r="G222" s="24">
        <f t="shared" si="46"/>
        <v>2.2460367739042186</v>
      </c>
      <c r="H222" s="24">
        <f t="shared" si="47"/>
        <v>-1.0946362785060466</v>
      </c>
      <c r="I222" s="29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25">
        <v>205</v>
      </c>
      <c r="C223" s="24">
        <f t="shared" si="51"/>
        <v>3.5779249665883754</v>
      </c>
      <c r="D223" s="24">
        <f t="shared" si="43"/>
        <v>-0.42261826174069927</v>
      </c>
      <c r="E223" s="24">
        <f t="shared" si="44"/>
        <v>-0.90630778703665005</v>
      </c>
      <c r="F223" s="24">
        <f t="shared" si="45"/>
        <v>0.46630765815499836</v>
      </c>
      <c r="G223" s="24">
        <f t="shared" si="46"/>
        <v>2.1445069205095595</v>
      </c>
      <c r="H223" s="24">
        <f t="shared" si="47"/>
        <v>-1.1033779189624917</v>
      </c>
      <c r="I223" s="29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25">
        <v>206</v>
      </c>
      <c r="C224" s="24">
        <f t="shared" si="51"/>
        <v>3.5953782591083185</v>
      </c>
      <c r="D224" s="24">
        <f t="shared" si="43"/>
        <v>-0.43837114678907707</v>
      </c>
      <c r="E224" s="24">
        <f t="shared" si="44"/>
        <v>-0.89879404629916715</v>
      </c>
      <c r="F224" s="24">
        <f t="shared" si="45"/>
        <v>0.48773258856586094</v>
      </c>
      <c r="G224" s="24">
        <f t="shared" si="46"/>
        <v>2.0503038415792982</v>
      </c>
      <c r="H224" s="24">
        <f t="shared" si="47"/>
        <v>-1.1126019404751888</v>
      </c>
      <c r="I224" s="29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25">
        <v>207</v>
      </c>
      <c r="C225" s="24">
        <f t="shared" si="51"/>
        <v>3.6128315516282616</v>
      </c>
      <c r="D225" s="24">
        <f t="shared" si="43"/>
        <v>-0.45399049973954625</v>
      </c>
      <c r="E225" s="24">
        <f t="shared" si="44"/>
        <v>-0.89100652418836812</v>
      </c>
      <c r="F225" s="24">
        <f t="shared" si="45"/>
        <v>0.50952544949442813</v>
      </c>
      <c r="G225" s="24">
        <f t="shared" si="46"/>
        <v>1.9626105055051533</v>
      </c>
      <c r="H225" s="24">
        <f t="shared" si="47"/>
        <v>-1.1223262376343606</v>
      </c>
      <c r="I225" s="29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25">
        <v>208</v>
      </c>
      <c r="C226" s="24">
        <f t="shared" si="51"/>
        <v>3.6302848441482056</v>
      </c>
      <c r="D226" s="24">
        <f t="shared" si="43"/>
        <v>-0.46947156278589086</v>
      </c>
      <c r="E226" s="24">
        <f t="shared" si="44"/>
        <v>-0.88294759285892688</v>
      </c>
      <c r="F226" s="24">
        <f t="shared" si="45"/>
        <v>0.53170943166147888</v>
      </c>
      <c r="G226" s="24">
        <f t="shared" si="46"/>
        <v>1.8807264653463316</v>
      </c>
      <c r="H226" s="24">
        <f t="shared" si="47"/>
        <v>-1.1325700506890393</v>
      </c>
      <c r="I226" s="29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25">
        <v>209</v>
      </c>
      <c r="C227" s="24">
        <f t="shared" si="51"/>
        <v>3.6477381366681487</v>
      </c>
      <c r="D227" s="24">
        <f t="shared" si="43"/>
        <v>-0.48480962024633695</v>
      </c>
      <c r="E227" s="24">
        <f t="shared" si="44"/>
        <v>-0.87461970713939585</v>
      </c>
      <c r="F227" s="24">
        <f t="shared" si="45"/>
        <v>0.55430905145276876</v>
      </c>
      <c r="G227" s="24">
        <f t="shared" si="46"/>
        <v>1.8040477552714245</v>
      </c>
      <c r="H227" s="24">
        <f t="shared" si="47"/>
        <v>-1.1433540678733198</v>
      </c>
      <c r="I227" s="29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25">
        <v>210</v>
      </c>
      <c r="C228" s="24">
        <f t="shared" si="51"/>
        <v>3.6651914291880923</v>
      </c>
      <c r="D228" s="24">
        <f t="shared" si="43"/>
        <v>-0.50000000000000011</v>
      </c>
      <c r="E228" s="24">
        <f t="shared" si="44"/>
        <v>-0.8660254037844386</v>
      </c>
      <c r="F228" s="24">
        <f t="shared" si="45"/>
        <v>0.57735026918962595</v>
      </c>
      <c r="G228" s="24">
        <f t="shared" si="46"/>
        <v>1.7320508075688767</v>
      </c>
      <c r="H228" s="24">
        <f t="shared" si="47"/>
        <v>-1.1547005383792517</v>
      </c>
      <c r="I228" s="29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25">
        <v>211</v>
      </c>
      <c r="C229" s="24">
        <f t="shared" si="51"/>
        <v>3.6826447217080354</v>
      </c>
      <c r="D229" s="24">
        <f t="shared" si="43"/>
        <v>-0.51503807491005416</v>
      </c>
      <c r="E229" s="24">
        <f t="shared" si="44"/>
        <v>-0.85716730070211233</v>
      </c>
      <c r="F229" s="24">
        <f t="shared" si="45"/>
        <v>0.60086061902756038</v>
      </c>
      <c r="G229" s="24">
        <f t="shared" si="46"/>
        <v>1.664279482350518</v>
      </c>
      <c r="H229" s="24">
        <f t="shared" si="47"/>
        <v>-1.1666333972153304</v>
      </c>
      <c r="I229" s="29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25">
        <v>212</v>
      </c>
      <c r="C230" s="24">
        <f t="shared" si="51"/>
        <v>3.7000980142279785</v>
      </c>
      <c r="D230" s="24">
        <f t="shared" si="43"/>
        <v>-0.52991926423320479</v>
      </c>
      <c r="E230" s="24">
        <f t="shared" si="44"/>
        <v>-0.84804809615642607</v>
      </c>
      <c r="F230" s="24">
        <f t="shared" si="45"/>
        <v>0.62486935190932713</v>
      </c>
      <c r="G230" s="24">
        <f t="shared" si="46"/>
        <v>1.6003345290410513</v>
      </c>
      <c r="H230" s="24">
        <f t="shared" si="47"/>
        <v>-1.1791784033620962</v>
      </c>
      <c r="I230" s="29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25">
        <v>213</v>
      </c>
      <c r="C231" s="24">
        <f t="shared" si="51"/>
        <v>3.717551306747922</v>
      </c>
      <c r="D231" s="24">
        <f t="shared" si="43"/>
        <v>-0.54463903501502708</v>
      </c>
      <c r="E231" s="24">
        <f t="shared" si="44"/>
        <v>-0.83867056794542405</v>
      </c>
      <c r="F231" s="24">
        <f t="shared" si="45"/>
        <v>0.64940759319751062</v>
      </c>
      <c r="G231" s="24">
        <f t="shared" si="46"/>
        <v>1.5398649638145827</v>
      </c>
      <c r="H231" s="24">
        <f t="shared" si="47"/>
        <v>-1.1923632928359473</v>
      </c>
      <c r="I231" s="29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25">
        <v>214</v>
      </c>
      <c r="C232" s="24">
        <f t="shared" si="51"/>
        <v>3.7350045992678651</v>
      </c>
      <c r="D232" s="24">
        <f t="shared" si="43"/>
        <v>-0.55919290347074668</v>
      </c>
      <c r="E232" s="24">
        <f t="shared" si="44"/>
        <v>-0.82903757255504185</v>
      </c>
      <c r="F232" s="24">
        <f t="shared" si="45"/>
        <v>0.6745085168424263</v>
      </c>
      <c r="G232" s="24">
        <f t="shared" si="46"/>
        <v>1.482560968512741</v>
      </c>
      <c r="H232" s="24">
        <f t="shared" si="47"/>
        <v>-1.2062179485039051</v>
      </c>
      <c r="I232" s="29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25">
        <v>215</v>
      </c>
      <c r="C233" s="24">
        <f t="shared" si="51"/>
        <v>3.7524578917878082</v>
      </c>
      <c r="D233" s="24">
        <f t="shared" si="43"/>
        <v>-0.57357643635104583</v>
      </c>
      <c r="E233" s="24">
        <f t="shared" si="44"/>
        <v>-0.81915204428899202</v>
      </c>
      <c r="F233" s="24">
        <f t="shared" si="45"/>
        <v>0.70020753820970916</v>
      </c>
      <c r="G233" s="24">
        <f t="shared" si="46"/>
        <v>1.4281480067421157</v>
      </c>
      <c r="H233" s="24">
        <f t="shared" si="47"/>
        <v>-1.2207745887614556</v>
      </c>
      <c r="I233" s="29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25">
        <v>216</v>
      </c>
      <c r="C234" s="24">
        <f t="shared" si="51"/>
        <v>3.7699111843077517</v>
      </c>
      <c r="D234" s="24">
        <f t="shared" si="43"/>
        <v>-0.58778525229247303</v>
      </c>
      <c r="E234" s="24">
        <f t="shared" si="44"/>
        <v>-0.80901699437494756</v>
      </c>
      <c r="F234" s="24">
        <f t="shared" si="45"/>
        <v>0.72654252800536068</v>
      </c>
      <c r="G234" s="24">
        <f t="shared" si="46"/>
        <v>1.376381920471174</v>
      </c>
      <c r="H234" s="24">
        <f t="shared" si="47"/>
        <v>-1.2360679774997896</v>
      </c>
      <c r="I234" s="29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25">
        <v>217</v>
      </c>
      <c r="C235" s="24">
        <f t="shared" si="51"/>
        <v>3.7873644768276948</v>
      </c>
      <c r="D235" s="24">
        <f t="shared" si="43"/>
        <v>-0.60181502315204805</v>
      </c>
      <c r="E235" s="24">
        <f t="shared" si="44"/>
        <v>-0.79863551004729305</v>
      </c>
      <c r="F235" s="24">
        <f t="shared" si="45"/>
        <v>0.75355405010279364</v>
      </c>
      <c r="G235" s="24">
        <f t="shared" si="46"/>
        <v>1.3270448216204109</v>
      </c>
      <c r="H235" s="24">
        <f t="shared" si="47"/>
        <v>-1.2521356581562253</v>
      </c>
      <c r="I235" s="29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25">
        <v>218</v>
      </c>
      <c r="C236" s="24">
        <f t="shared" si="51"/>
        <v>3.8048177693476379</v>
      </c>
      <c r="D236" s="24">
        <f t="shared" si="43"/>
        <v>-0.61566147532565785</v>
      </c>
      <c r="E236" s="24">
        <f t="shared" si="44"/>
        <v>-0.78801075360672224</v>
      </c>
      <c r="F236" s="24">
        <f t="shared" si="45"/>
        <v>0.78128562650671651</v>
      </c>
      <c r="G236" s="24">
        <f t="shared" si="46"/>
        <v>1.2799416321930803</v>
      </c>
      <c r="H236" s="24">
        <f t="shared" si="47"/>
        <v>-1.2690182150725784</v>
      </c>
      <c r="I236" s="29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25">
        <v>219</v>
      </c>
      <c r="C237" s="24">
        <f t="shared" si="51"/>
        <v>3.8222710618675819</v>
      </c>
      <c r="D237" s="24">
        <f t="shared" si="43"/>
        <v>-0.62932039104983761</v>
      </c>
      <c r="E237" s="24">
        <f t="shared" si="44"/>
        <v>-0.77714596145697079</v>
      </c>
      <c r="F237" s="24">
        <f t="shared" si="45"/>
        <v>0.80978403319500736</v>
      </c>
      <c r="G237" s="24">
        <f t="shared" si="46"/>
        <v>1.2348971565350511</v>
      </c>
      <c r="H237" s="24">
        <f t="shared" si="47"/>
        <v>-1.2867595658931674</v>
      </c>
      <c r="I237" s="29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25">
        <v>220</v>
      </c>
      <c r="C238" s="24">
        <f t="shared" si="51"/>
        <v>3.839724354387525</v>
      </c>
      <c r="D238" s="24">
        <f t="shared" si="43"/>
        <v>-0.64278760968653925</v>
      </c>
      <c r="E238" s="24">
        <f t="shared" si="44"/>
        <v>-0.76604444311897801</v>
      </c>
      <c r="F238" s="24">
        <f t="shared" si="45"/>
        <v>0.83909963117727993</v>
      </c>
      <c r="G238" s="24">
        <f t="shared" si="46"/>
        <v>1.19175359259421</v>
      </c>
      <c r="H238" s="24">
        <f t="shared" si="47"/>
        <v>-1.3054072893322786</v>
      </c>
      <c r="I238" s="29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25">
        <v>221</v>
      </c>
      <c r="C239" s="24">
        <f t="shared" si="51"/>
        <v>3.8571776469074686</v>
      </c>
      <c r="D239" s="24">
        <f t="shared" si="43"/>
        <v>-0.65605902899050739</v>
      </c>
      <c r="E239" s="24">
        <f t="shared" si="44"/>
        <v>-0.7547095802227719</v>
      </c>
      <c r="F239" s="24">
        <f t="shared" si="45"/>
        <v>0.86928673781622701</v>
      </c>
      <c r="G239" s="24">
        <f t="shared" si="46"/>
        <v>1.1503684072210092</v>
      </c>
      <c r="H239" s="24">
        <f t="shared" si="47"/>
        <v>-1.3250129933488115</v>
      </c>
      <c r="I239" s="29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25">
        <v>222</v>
      </c>
      <c r="C240" s="24">
        <f t="shared" si="51"/>
        <v>3.8746309394274117</v>
      </c>
      <c r="D240" s="24">
        <f t="shared" si="43"/>
        <v>-0.66913060635885824</v>
      </c>
      <c r="E240" s="24">
        <f t="shared" si="44"/>
        <v>-0.74314482547739424</v>
      </c>
      <c r="F240" s="24">
        <f t="shared" si="45"/>
        <v>0.90040404429783993</v>
      </c>
      <c r="G240" s="24">
        <f t="shared" si="46"/>
        <v>1.110612514829193</v>
      </c>
      <c r="H240" s="24">
        <f t="shared" si="47"/>
        <v>-1.3456327296063761</v>
      </c>
      <c r="I240" s="29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25">
        <v>223</v>
      </c>
      <c r="C241" s="24">
        <f t="shared" si="51"/>
        <v>3.8920842319473548</v>
      </c>
      <c r="D241" s="24">
        <f t="shared" si="43"/>
        <v>-0.68199836006249837</v>
      </c>
      <c r="E241" s="24">
        <f t="shared" si="44"/>
        <v>-0.73135370161917057</v>
      </c>
      <c r="F241" s="24">
        <f t="shared" si="45"/>
        <v>0.93251508613766132</v>
      </c>
      <c r="G241" s="24">
        <f t="shared" si="46"/>
        <v>1.072368710024683</v>
      </c>
      <c r="H241" s="24">
        <f t="shared" si="47"/>
        <v>-1.367327461098595</v>
      </c>
      <c r="I241" s="29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25">
        <v>224</v>
      </c>
      <c r="C242" s="24">
        <f t="shared" si="51"/>
        <v>3.9095375244672983</v>
      </c>
      <c r="D242" s="24">
        <f t="shared" si="43"/>
        <v>-0.69465837045899737</v>
      </c>
      <c r="E242" s="24">
        <f t="shared" si="44"/>
        <v>-0.71933980033865108</v>
      </c>
      <c r="F242" s="24">
        <f t="shared" si="45"/>
        <v>0.96568877480707416</v>
      </c>
      <c r="G242" s="24">
        <f t="shared" si="46"/>
        <v>1.0355303137905694</v>
      </c>
      <c r="H242" s="24">
        <f t="shared" si="47"/>
        <v>-1.390163591016679</v>
      </c>
      <c r="I242" s="29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25">
        <v>225</v>
      </c>
      <c r="C243" s="24">
        <f t="shared" si="51"/>
        <v>3.9269908169872414</v>
      </c>
      <c r="D243" s="24">
        <f t="shared" si="43"/>
        <v>-0.70710678118654746</v>
      </c>
      <c r="E243" s="24">
        <f t="shared" si="44"/>
        <v>-0.70710678118654768</v>
      </c>
      <c r="F243" s="24">
        <f t="shared" si="45"/>
        <v>0.99999999999999967</v>
      </c>
      <c r="G243" s="24">
        <f t="shared" si="46"/>
        <v>1.0000000000000004</v>
      </c>
      <c r="H243" s="24">
        <f t="shared" si="47"/>
        <v>-1.4142135623730947</v>
      </c>
      <c r="I243" s="29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25">
        <v>226</v>
      </c>
      <c r="C244" s="24">
        <f t="shared" si="51"/>
        <v>3.9444441095071845</v>
      </c>
      <c r="D244" s="24">
        <f t="shared" si="43"/>
        <v>-0.71933980033865086</v>
      </c>
      <c r="E244" s="24">
        <f t="shared" si="44"/>
        <v>-0.69465837045899759</v>
      </c>
      <c r="F244" s="24">
        <f t="shared" si="45"/>
        <v>1.0355303137905687</v>
      </c>
      <c r="G244" s="24">
        <f t="shared" si="46"/>
        <v>0.96568877480707482</v>
      </c>
      <c r="H244" s="24">
        <f t="shared" si="47"/>
        <v>-1.4395565396257257</v>
      </c>
      <c r="I244" s="29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25">
        <v>227</v>
      </c>
      <c r="C245" s="24">
        <f t="shared" si="51"/>
        <v>3.9618974020271276</v>
      </c>
      <c r="D245" s="24">
        <f t="shared" si="43"/>
        <v>-0.73135370161917013</v>
      </c>
      <c r="E245" s="24">
        <f t="shared" si="44"/>
        <v>-0.68199836006249892</v>
      </c>
      <c r="F245" s="24">
        <f t="shared" si="45"/>
        <v>1.0723687100246813</v>
      </c>
      <c r="G245" s="24">
        <f t="shared" si="46"/>
        <v>0.93251508613766276</v>
      </c>
      <c r="H245" s="24">
        <f t="shared" si="47"/>
        <v>-1.466279185639624</v>
      </c>
      <c r="I245" s="29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25">
        <v>228</v>
      </c>
      <c r="C246" s="24">
        <f t="shared" si="51"/>
        <v>3.9793506945470711</v>
      </c>
      <c r="D246" s="24">
        <f t="shared" si="43"/>
        <v>-0.74314482547739402</v>
      </c>
      <c r="E246" s="24">
        <f t="shared" si="44"/>
        <v>-0.66913060635885846</v>
      </c>
      <c r="F246" s="24">
        <f t="shared" si="45"/>
        <v>1.1106125148291921</v>
      </c>
      <c r="G246" s="24">
        <f t="shared" si="46"/>
        <v>0.9004040442978406</v>
      </c>
      <c r="H246" s="24">
        <f t="shared" si="47"/>
        <v>-1.4944765498646082</v>
      </c>
      <c r="I246" s="29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25">
        <v>229</v>
      </c>
      <c r="C247" s="24">
        <f t="shared" si="51"/>
        <v>3.9968039870670142</v>
      </c>
      <c r="D247" s="24">
        <f t="shared" si="43"/>
        <v>-0.75470958022277168</v>
      </c>
      <c r="E247" s="24">
        <f t="shared" si="44"/>
        <v>-0.65605902899050761</v>
      </c>
      <c r="F247" s="24">
        <f t="shared" si="45"/>
        <v>1.1503684072210083</v>
      </c>
      <c r="G247" s="24">
        <f t="shared" si="46"/>
        <v>0.86928673781622756</v>
      </c>
      <c r="H247" s="24">
        <f t="shared" si="47"/>
        <v>-1.5242530867058135</v>
      </c>
      <c r="I247" s="29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25">
        <v>230</v>
      </c>
      <c r="C248" s="24">
        <f t="shared" si="51"/>
        <v>4.0142572795869578</v>
      </c>
      <c r="D248" s="24">
        <f t="shared" si="43"/>
        <v>-0.7660444431189779</v>
      </c>
      <c r="E248" s="24">
        <f t="shared" si="44"/>
        <v>-0.64278760968653947</v>
      </c>
      <c r="F248" s="24">
        <f t="shared" si="45"/>
        <v>1.1917535925942093</v>
      </c>
      <c r="G248" s="24">
        <f t="shared" si="46"/>
        <v>0.83909963117728048</v>
      </c>
      <c r="H248" s="24">
        <f t="shared" si="47"/>
        <v>-1.5557238268604119</v>
      </c>
      <c r="I248" s="29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25">
        <v>231</v>
      </c>
      <c r="C249" s="24">
        <f t="shared" si="51"/>
        <v>4.0317105721069018</v>
      </c>
      <c r="D249" s="24">
        <f t="shared" si="43"/>
        <v>-0.77714596145697112</v>
      </c>
      <c r="E249" s="24">
        <f t="shared" si="44"/>
        <v>-0.62932039104983717</v>
      </c>
      <c r="F249" s="24">
        <f t="shared" si="45"/>
        <v>1.2348971565350524</v>
      </c>
      <c r="G249" s="24">
        <f t="shared" si="46"/>
        <v>0.80978403319500647</v>
      </c>
      <c r="H249" s="24">
        <f t="shared" si="47"/>
        <v>-1.5890157290657501</v>
      </c>
      <c r="I249" s="29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25">
        <v>232</v>
      </c>
      <c r="C250" s="24">
        <f t="shared" si="51"/>
        <v>4.0491638646268449</v>
      </c>
      <c r="D250" s="24">
        <f t="shared" si="43"/>
        <v>-0.78801075360672213</v>
      </c>
      <c r="E250" s="24">
        <f t="shared" si="44"/>
        <v>-0.61566147532565807</v>
      </c>
      <c r="F250" s="24">
        <f t="shared" si="45"/>
        <v>1.2799416321930794</v>
      </c>
      <c r="G250" s="24">
        <f t="shared" si="46"/>
        <v>0.78128562650671696</v>
      </c>
      <c r="H250" s="24">
        <f t="shared" si="47"/>
        <v>-1.6242692454827445</v>
      </c>
      <c r="I250" s="29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25">
        <v>233</v>
      </c>
      <c r="C251" s="24">
        <f t="shared" si="51"/>
        <v>4.066617157146788</v>
      </c>
      <c r="D251" s="24">
        <f t="shared" si="43"/>
        <v>-0.79863551004729283</v>
      </c>
      <c r="E251" s="24">
        <f t="shared" si="44"/>
        <v>-0.60181502315204827</v>
      </c>
      <c r="F251" s="24">
        <f t="shared" si="45"/>
        <v>1.32704482162041</v>
      </c>
      <c r="G251" s="24">
        <f t="shared" si="46"/>
        <v>0.75355405010279419</v>
      </c>
      <c r="H251" s="24">
        <f t="shared" si="47"/>
        <v>-1.6616401411224833</v>
      </c>
      <c r="I251" s="29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25">
        <v>234</v>
      </c>
      <c r="C252" s="24">
        <f t="shared" si="51"/>
        <v>4.0840704496667311</v>
      </c>
      <c r="D252" s="24">
        <f t="shared" si="43"/>
        <v>-0.80901699437494734</v>
      </c>
      <c r="E252" s="24">
        <f t="shared" si="44"/>
        <v>-0.58778525229247325</v>
      </c>
      <c r="F252" s="24">
        <f t="shared" si="45"/>
        <v>1.3763819204711731</v>
      </c>
      <c r="G252" s="24">
        <f t="shared" si="46"/>
        <v>0.72654252800536112</v>
      </c>
      <c r="H252" s="24">
        <f t="shared" si="47"/>
        <v>-1.7013016167040795</v>
      </c>
      <c r="I252" s="29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25">
        <v>235</v>
      </c>
      <c r="C253" s="24">
        <f t="shared" si="51"/>
        <v>4.1015237421866741</v>
      </c>
      <c r="D253" s="24">
        <f t="shared" si="43"/>
        <v>-0.81915204428899158</v>
      </c>
      <c r="E253" s="24">
        <f t="shared" si="44"/>
        <v>-0.57357643635104638</v>
      </c>
      <c r="F253" s="24">
        <f t="shared" si="45"/>
        <v>1.4281480067421135</v>
      </c>
      <c r="G253" s="24">
        <f t="shared" si="46"/>
        <v>0.70020753820971027</v>
      </c>
      <c r="H253" s="24">
        <f t="shared" si="47"/>
        <v>-1.7434467956210971</v>
      </c>
      <c r="I253" s="29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25">
        <v>236</v>
      </c>
      <c r="C254" s="24">
        <f t="shared" si="51"/>
        <v>4.1189770347066172</v>
      </c>
      <c r="D254" s="24">
        <f t="shared" si="43"/>
        <v>-0.8290375725550414</v>
      </c>
      <c r="E254" s="24">
        <f t="shared" si="44"/>
        <v>-0.55919290347074724</v>
      </c>
      <c r="F254" s="24">
        <f t="shared" si="45"/>
        <v>1.4825609685127386</v>
      </c>
      <c r="G254" s="24">
        <f t="shared" si="46"/>
        <v>0.67450851684242741</v>
      </c>
      <c r="H254" s="24">
        <f t="shared" si="47"/>
        <v>-1.7882916499713992</v>
      </c>
      <c r="I254" s="29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25">
        <v>237</v>
      </c>
      <c r="C255" s="24">
        <f t="shared" si="51"/>
        <v>4.1364303272265612</v>
      </c>
      <c r="D255" s="24">
        <f t="shared" si="43"/>
        <v>-0.83867056794542405</v>
      </c>
      <c r="E255" s="24">
        <f t="shared" si="44"/>
        <v>-0.54463903501502697</v>
      </c>
      <c r="F255" s="24">
        <f t="shared" si="45"/>
        <v>1.5398649638145834</v>
      </c>
      <c r="G255" s="24">
        <f t="shared" si="46"/>
        <v>0.6494075931975104</v>
      </c>
      <c r="H255" s="24">
        <f t="shared" si="47"/>
        <v>-1.8360784587766634</v>
      </c>
      <c r="I255" s="29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25">
        <v>238</v>
      </c>
      <c r="C256" s="24">
        <f t="shared" si="51"/>
        <v>4.1538836197465043</v>
      </c>
      <c r="D256" s="24">
        <f t="shared" si="43"/>
        <v>-0.84804809615642596</v>
      </c>
      <c r="E256" s="24">
        <f t="shared" si="44"/>
        <v>-0.52991926423320501</v>
      </c>
      <c r="F256" s="24">
        <f t="shared" si="45"/>
        <v>1.6003345290410502</v>
      </c>
      <c r="G256" s="24">
        <f t="shared" si="46"/>
        <v>0.62486935190932758</v>
      </c>
      <c r="H256" s="24">
        <f t="shared" si="47"/>
        <v>-1.887079914799858</v>
      </c>
      <c r="I256" s="29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25">
        <v>239</v>
      </c>
      <c r="C257" s="24">
        <f t="shared" si="51"/>
        <v>4.1713369122664474</v>
      </c>
      <c r="D257" s="24">
        <f t="shared" si="43"/>
        <v>-0.85716730070211211</v>
      </c>
      <c r="E257" s="24">
        <f t="shared" si="44"/>
        <v>-0.51503807491005449</v>
      </c>
      <c r="F257" s="24">
        <f t="shared" si="45"/>
        <v>1.6642794823505169</v>
      </c>
      <c r="G257" s="24">
        <f t="shared" si="46"/>
        <v>0.60086061902756072</v>
      </c>
      <c r="H257" s="24">
        <f t="shared" si="47"/>
        <v>-1.9416040264103553</v>
      </c>
      <c r="I257" s="29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25">
        <v>240</v>
      </c>
      <c r="C258" s="24">
        <f t="shared" si="51"/>
        <v>4.1887902047863905</v>
      </c>
      <c r="D258" s="24">
        <f t="shared" si="43"/>
        <v>-0.86602540378443837</v>
      </c>
      <c r="E258" s="24">
        <f t="shared" si="44"/>
        <v>-0.50000000000000044</v>
      </c>
      <c r="F258" s="24">
        <f t="shared" si="45"/>
        <v>1.7320508075688754</v>
      </c>
      <c r="G258" s="24">
        <f t="shared" si="46"/>
        <v>0.5773502691896264</v>
      </c>
      <c r="H258" s="24">
        <f t="shared" si="47"/>
        <v>-1.9999999999999982</v>
      </c>
      <c r="I258" s="29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25">
        <v>241</v>
      </c>
      <c r="C259" s="24">
        <f t="shared" si="51"/>
        <v>4.2062434973063345</v>
      </c>
      <c r="D259" s="24">
        <f t="shared" si="43"/>
        <v>-0.87461970713939596</v>
      </c>
      <c r="E259" s="24">
        <f t="shared" si="44"/>
        <v>-0.48480962024633684</v>
      </c>
      <c r="F259" s="24">
        <f t="shared" si="45"/>
        <v>1.8040477552714249</v>
      </c>
      <c r="G259" s="24">
        <f t="shared" si="46"/>
        <v>0.55430905145276865</v>
      </c>
      <c r="H259" s="24">
        <f t="shared" si="47"/>
        <v>-2.0626653396273151</v>
      </c>
      <c r="I259" s="29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25">
        <v>242</v>
      </c>
      <c r="C260" s="24">
        <f t="shared" si="51"/>
        <v>4.2236967898262776</v>
      </c>
      <c r="D260" s="24">
        <f t="shared" ref="D260:D323" si="55">IF(SIN(C260)&gt;$I$3,$I$3,(IF(SIN(C260)&lt;-$I$3,-$I$3,SIN(C260))))</f>
        <v>-0.88294759285892699</v>
      </c>
      <c r="E260" s="24">
        <f t="shared" ref="E260:E323" si="56">IF(COS(C260)&gt;$I$3,$I$3,(IF(COS(C260)&lt;-$I$3,-$I$3,COS(C260))))</f>
        <v>-0.46947156278589075</v>
      </c>
      <c r="F260" s="24">
        <f t="shared" ref="F260:F323" si="57">IF(TAN(C260)&gt;$I$3,$I$3,(IF(TAN(C260)&lt;-$I$3,-$I$3,TAN(C260))))</f>
        <v>1.8807264653463323</v>
      </c>
      <c r="G260" s="24">
        <f t="shared" ref="G260:G323" si="58">IF(_xlfn.COT(C260)&gt;$I$3,$I$3,(IF(_xlfn.COT(C260)&lt;-$I$3,-$I$3,_xlfn.COT(C260))))</f>
        <v>0.53170943166147866</v>
      </c>
      <c r="H260" s="24">
        <f t="shared" ref="H260:H323" si="59">IF(_xlfn.SEC(C260)&gt;$I$3,$I$3,(IF(_xlfn.SEC(C260)&lt;-$I$3,-$I$3,_xlfn.SEC(C260))))</f>
        <v>-2.1300544681895128</v>
      </c>
      <c r="I260" s="29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25">
        <v>243</v>
      </c>
      <c r="C261" s="24">
        <f t="shared" si="51"/>
        <v>4.2411500823462207</v>
      </c>
      <c r="D261" s="24">
        <f t="shared" si="55"/>
        <v>-0.89100652418836779</v>
      </c>
      <c r="E261" s="24">
        <f t="shared" si="56"/>
        <v>-0.45399049973954692</v>
      </c>
      <c r="F261" s="24">
        <f t="shared" si="57"/>
        <v>1.9626105055051497</v>
      </c>
      <c r="G261" s="24">
        <f t="shared" si="58"/>
        <v>0.50952544949442902</v>
      </c>
      <c r="H261" s="24">
        <f t="shared" si="59"/>
        <v>-2.202689264585266</v>
      </c>
      <c r="I261" s="29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25">
        <v>244</v>
      </c>
      <c r="C262" s="24">
        <f t="shared" si="51"/>
        <v>4.2586033748661638</v>
      </c>
      <c r="D262" s="24">
        <f t="shared" si="55"/>
        <v>-0.89879404629916682</v>
      </c>
      <c r="E262" s="24">
        <f t="shared" si="56"/>
        <v>-0.43837114678907774</v>
      </c>
      <c r="F262" s="24">
        <f t="shared" si="57"/>
        <v>2.0503038415792942</v>
      </c>
      <c r="G262" s="24">
        <f t="shared" si="58"/>
        <v>0.48773258856586188</v>
      </c>
      <c r="H262" s="24">
        <f t="shared" si="59"/>
        <v>-2.2811720327048577</v>
      </c>
      <c r="I262" s="29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25">
        <v>245</v>
      </c>
      <c r="C263" s="24">
        <f t="shared" si="51"/>
        <v>4.2760566673861069</v>
      </c>
      <c r="D263" s="24">
        <f t="shared" si="55"/>
        <v>-0.90630778703664971</v>
      </c>
      <c r="E263" s="24">
        <f t="shared" si="56"/>
        <v>-0.42261826174069994</v>
      </c>
      <c r="F263" s="24">
        <f t="shared" si="57"/>
        <v>2.1445069205095555</v>
      </c>
      <c r="G263" s="24">
        <f t="shared" si="58"/>
        <v>0.46630765815499925</v>
      </c>
      <c r="H263" s="24">
        <f t="shared" si="59"/>
        <v>-2.3662015831524958</v>
      </c>
      <c r="I263" s="29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25">
        <v>246</v>
      </c>
      <c r="C264" s="24">
        <f t="shared" si="51"/>
        <v>4.2935099599060509</v>
      </c>
      <c r="D264" s="24">
        <f t="shared" si="55"/>
        <v>-0.91354545764260098</v>
      </c>
      <c r="E264" s="24">
        <f t="shared" si="56"/>
        <v>-0.4067366430758001</v>
      </c>
      <c r="F264" s="24">
        <f t="shared" si="57"/>
        <v>2.2460367739042169</v>
      </c>
      <c r="G264" s="24">
        <f t="shared" si="58"/>
        <v>0.44522868530853599</v>
      </c>
      <c r="H264" s="24">
        <f t="shared" si="59"/>
        <v>-2.4585933355742386</v>
      </c>
      <c r="I264" s="29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25">
        <v>247</v>
      </c>
      <c r="C265" s="24">
        <f t="shared" si="51"/>
        <v>4.310963252425994</v>
      </c>
      <c r="D265" s="24">
        <f t="shared" si="55"/>
        <v>-0.92050485345244026</v>
      </c>
      <c r="E265" s="24">
        <f t="shared" si="56"/>
        <v>-0.39073112848927383</v>
      </c>
      <c r="F265" s="24">
        <f t="shared" si="57"/>
        <v>2.3558523658237522</v>
      </c>
      <c r="G265" s="24">
        <f t="shared" si="58"/>
        <v>0.42447481620960487</v>
      </c>
      <c r="H265" s="24">
        <f t="shared" si="59"/>
        <v>-2.5593046652474518</v>
      </c>
      <c r="I265" s="29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25">
        <v>248</v>
      </c>
      <c r="C266" s="24">
        <f t="shared" si="51"/>
        <v>4.3284165449459371</v>
      </c>
      <c r="D266" s="24">
        <f t="shared" si="55"/>
        <v>-0.92718385456678731</v>
      </c>
      <c r="E266" s="24">
        <f t="shared" si="56"/>
        <v>-0.37460659341591229</v>
      </c>
      <c r="F266" s="24">
        <f t="shared" si="57"/>
        <v>2.4750868534162938</v>
      </c>
      <c r="G266" s="24">
        <f t="shared" si="58"/>
        <v>0.40402622583515713</v>
      </c>
      <c r="H266" s="24">
        <f t="shared" si="59"/>
        <v>-2.6694671625540125</v>
      </c>
      <c r="I266" s="29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25">
        <v>249</v>
      </c>
      <c r="C267" s="24">
        <f t="shared" si="51"/>
        <v>4.3458698374658802</v>
      </c>
      <c r="D267" s="24">
        <f t="shared" si="55"/>
        <v>-0.93358042649720163</v>
      </c>
      <c r="E267" s="24">
        <f t="shared" si="56"/>
        <v>-0.35836794954530071</v>
      </c>
      <c r="F267" s="24">
        <f t="shared" si="57"/>
        <v>2.6050890646937979</v>
      </c>
      <c r="G267" s="24">
        <f t="shared" si="58"/>
        <v>0.38386403503541633</v>
      </c>
      <c r="H267" s="24">
        <f t="shared" si="59"/>
        <v>-2.7904281096253323</v>
      </c>
      <c r="I267" s="29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25">
        <v>250</v>
      </c>
      <c r="C268" s="24">
        <f t="shared" si="51"/>
        <v>4.3633231299858233</v>
      </c>
      <c r="D268" s="24">
        <f t="shared" si="55"/>
        <v>-0.93969262078590821</v>
      </c>
      <c r="E268" s="24">
        <f t="shared" si="56"/>
        <v>-0.34202014332566938</v>
      </c>
      <c r="F268" s="24">
        <f t="shared" si="57"/>
        <v>2.7474774194546168</v>
      </c>
      <c r="G268" s="24">
        <f t="shared" si="58"/>
        <v>0.36397023426620312</v>
      </c>
      <c r="H268" s="24">
        <f t="shared" si="59"/>
        <v>-2.9238044001630819</v>
      </c>
      <c r="I268" s="29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25">
        <v>251</v>
      </c>
      <c r="C269" s="24">
        <f t="shared" si="51"/>
        <v>4.3807764225057673</v>
      </c>
      <c r="D269" s="24">
        <f t="shared" si="55"/>
        <v>-0.94551857559931685</v>
      </c>
      <c r="E269" s="24">
        <f t="shared" si="56"/>
        <v>-0.32556815445715664</v>
      </c>
      <c r="F269" s="24">
        <f t="shared" si="57"/>
        <v>2.9042108776758231</v>
      </c>
      <c r="G269" s="24">
        <f t="shared" si="58"/>
        <v>0.34432761328966521</v>
      </c>
      <c r="H269" s="24">
        <f t="shared" si="59"/>
        <v>-3.0715534867572427</v>
      </c>
      <c r="I269" s="29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25">
        <v>252</v>
      </c>
      <c r="C270" s="24">
        <f t="shared" si="51"/>
        <v>4.3982297150257104</v>
      </c>
      <c r="D270" s="24">
        <f t="shared" si="55"/>
        <v>-0.95105651629515353</v>
      </c>
      <c r="E270" s="24">
        <f t="shared" si="56"/>
        <v>-0.30901699437494756</v>
      </c>
      <c r="F270" s="24">
        <f t="shared" si="57"/>
        <v>3.0776835371752518</v>
      </c>
      <c r="G270" s="24">
        <f t="shared" si="58"/>
        <v>0.32491969623290651</v>
      </c>
      <c r="H270" s="24">
        <f t="shared" si="59"/>
        <v>-3.236067977499788</v>
      </c>
      <c r="I270" s="29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25">
        <v>253</v>
      </c>
      <c r="C271" s="24">
        <f t="shared" si="51"/>
        <v>4.4156830075456535</v>
      </c>
      <c r="D271" s="24">
        <f t="shared" si="55"/>
        <v>-0.95630475596303532</v>
      </c>
      <c r="E271" s="24">
        <f t="shared" si="56"/>
        <v>-0.2923717047227371</v>
      </c>
      <c r="F271" s="24">
        <f t="shared" si="57"/>
        <v>3.2708526184841364</v>
      </c>
      <c r="G271" s="24">
        <f t="shared" si="58"/>
        <v>0.30573068145866078</v>
      </c>
      <c r="H271" s="24">
        <f t="shared" si="59"/>
        <v>-3.4203036198332644</v>
      </c>
      <c r="I271" s="29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25">
        <v>254</v>
      </c>
      <c r="C272" s="24">
        <f t="shared" si="51"/>
        <v>4.4331363000655974</v>
      </c>
      <c r="D272" s="24">
        <f t="shared" si="55"/>
        <v>-0.96126169593831901</v>
      </c>
      <c r="E272" s="24">
        <f t="shared" si="56"/>
        <v>-0.27563735581699889</v>
      </c>
      <c r="F272" s="24">
        <f t="shared" si="57"/>
        <v>3.4874144438409127</v>
      </c>
      <c r="G272" s="24">
        <f t="shared" si="58"/>
        <v>0.28674538575880759</v>
      </c>
      <c r="H272" s="24">
        <f t="shared" si="59"/>
        <v>-3.627955278543304</v>
      </c>
      <c r="I272" s="29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25">
        <v>255</v>
      </c>
      <c r="C273" s="24">
        <f t="shared" si="51"/>
        <v>4.4505895925855405</v>
      </c>
      <c r="D273" s="24">
        <f t="shared" si="55"/>
        <v>-0.96592582628906831</v>
      </c>
      <c r="E273" s="24">
        <f t="shared" si="56"/>
        <v>-0.25881904510252063</v>
      </c>
      <c r="F273" s="24">
        <f t="shared" si="57"/>
        <v>3.732050807568879</v>
      </c>
      <c r="G273" s="24">
        <f t="shared" si="58"/>
        <v>0.26794919243112258</v>
      </c>
      <c r="H273" s="24">
        <f t="shared" si="59"/>
        <v>-3.863703305156275</v>
      </c>
      <c r="I273" s="29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25">
        <v>256</v>
      </c>
      <c r="C274" s="24">
        <f t="shared" si="51"/>
        <v>4.4680428851054836</v>
      </c>
      <c r="D274" s="24">
        <f t="shared" si="55"/>
        <v>-0.97029572627599647</v>
      </c>
      <c r="E274" s="24">
        <f t="shared" si="56"/>
        <v>-0.24192189559966779</v>
      </c>
      <c r="F274" s="24">
        <f t="shared" si="57"/>
        <v>4.0107809335358438</v>
      </c>
      <c r="G274" s="24">
        <f t="shared" si="58"/>
        <v>0.24932800284318074</v>
      </c>
      <c r="H274" s="24">
        <f t="shared" si="59"/>
        <v>-4.1335654944387485</v>
      </c>
      <c r="I274" s="29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25">
        <v>257</v>
      </c>
      <c r="C275" s="24">
        <f t="shared" ref="C275:C338" si="63">B275*PI()/180</f>
        <v>4.4854961776254267</v>
      </c>
      <c r="D275" s="24">
        <f t="shared" si="55"/>
        <v>-0.97437006478523513</v>
      </c>
      <c r="E275" s="24">
        <f t="shared" si="56"/>
        <v>-0.22495105434386525</v>
      </c>
      <c r="F275" s="24">
        <f t="shared" si="57"/>
        <v>4.3314758742841502</v>
      </c>
      <c r="G275" s="24">
        <f t="shared" si="58"/>
        <v>0.23086819112556339</v>
      </c>
      <c r="H275" s="24">
        <f t="shared" si="59"/>
        <v>-4.4454114825857962</v>
      </c>
      <c r="I275" s="29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25">
        <v>258</v>
      </c>
      <c r="C276" s="24">
        <f t="shared" si="63"/>
        <v>4.5029494701453698</v>
      </c>
      <c r="D276" s="24">
        <f t="shared" si="55"/>
        <v>-0.97814760073380558</v>
      </c>
      <c r="E276" s="24">
        <f t="shared" si="56"/>
        <v>-0.20791169081775979</v>
      </c>
      <c r="F276" s="24">
        <f t="shared" si="57"/>
        <v>4.7046301094784431</v>
      </c>
      <c r="G276" s="24">
        <f t="shared" si="58"/>
        <v>0.21255656167002263</v>
      </c>
      <c r="H276" s="24">
        <f t="shared" si="59"/>
        <v>-4.8097343447441201</v>
      </c>
      <c r="I276" s="29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25">
        <v>259</v>
      </c>
      <c r="C277" s="24">
        <f t="shared" si="63"/>
        <v>4.5204027626653129</v>
      </c>
      <c r="D277" s="24">
        <f t="shared" si="55"/>
        <v>-0.98162718344766386</v>
      </c>
      <c r="E277" s="24">
        <f t="shared" si="56"/>
        <v>-0.19080899537654547</v>
      </c>
      <c r="F277" s="24">
        <f t="shared" si="57"/>
        <v>5.144554015970292</v>
      </c>
      <c r="G277" s="24">
        <f t="shared" si="58"/>
        <v>0.19438030913771917</v>
      </c>
      <c r="H277" s="24">
        <f t="shared" si="59"/>
        <v>-5.240843064167831</v>
      </c>
      <c r="I277" s="29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25">
        <v>260</v>
      </c>
      <c r="C278" s="24">
        <f t="shared" si="63"/>
        <v>4.5378560551852569</v>
      </c>
      <c r="D278" s="24">
        <f t="shared" si="55"/>
        <v>-0.98480775301220802</v>
      </c>
      <c r="E278" s="24">
        <f t="shared" si="56"/>
        <v>-0.17364817766693033</v>
      </c>
      <c r="F278" s="24">
        <f t="shared" si="57"/>
        <v>5.6712818196177102</v>
      </c>
      <c r="G278" s="24">
        <f t="shared" si="58"/>
        <v>0.17632698070846495</v>
      </c>
      <c r="H278" s="24">
        <f t="shared" si="59"/>
        <v>-5.7587704831436337</v>
      </c>
      <c r="I278" s="29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25">
        <v>261</v>
      </c>
      <c r="C279" s="24">
        <f t="shared" si="63"/>
        <v>4.5553093477052</v>
      </c>
      <c r="D279" s="24">
        <f t="shared" si="55"/>
        <v>-0.98768834059513766</v>
      </c>
      <c r="E279" s="24">
        <f t="shared" si="56"/>
        <v>-0.15643446504023104</v>
      </c>
      <c r="F279" s="24">
        <f t="shared" si="57"/>
        <v>6.3137515146750358</v>
      </c>
      <c r="G279" s="24">
        <f t="shared" si="58"/>
        <v>0.15838444032453647</v>
      </c>
      <c r="H279" s="24">
        <f t="shared" si="59"/>
        <v>-6.3924532214996548</v>
      </c>
      <c r="I279" s="29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25">
        <v>262</v>
      </c>
      <c r="C280" s="24">
        <f t="shared" si="63"/>
        <v>4.572762640225144</v>
      </c>
      <c r="D280" s="24">
        <f t="shared" si="55"/>
        <v>-0.99026806874157036</v>
      </c>
      <c r="E280" s="24">
        <f t="shared" si="56"/>
        <v>-0.13917310096006494</v>
      </c>
      <c r="F280" s="24">
        <f t="shared" si="57"/>
        <v>7.1153697223842354</v>
      </c>
      <c r="G280" s="24">
        <f t="shared" si="58"/>
        <v>0.14054083470239093</v>
      </c>
      <c r="H280" s="24">
        <f t="shared" si="59"/>
        <v>-7.1852965343277448</v>
      </c>
      <c r="I280" s="29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25">
        <v>263</v>
      </c>
      <c r="C281" s="24">
        <f t="shared" si="63"/>
        <v>4.5902159327450871</v>
      </c>
      <c r="D281" s="24">
        <f t="shared" si="55"/>
        <v>-0.99254615164132209</v>
      </c>
      <c r="E281" s="24">
        <f t="shared" si="56"/>
        <v>-0.12186934340514717</v>
      </c>
      <c r="F281" s="24">
        <f t="shared" si="57"/>
        <v>8.1443464279746145</v>
      </c>
      <c r="G281" s="24">
        <f t="shared" si="58"/>
        <v>0.12278456090290428</v>
      </c>
      <c r="H281" s="24">
        <f t="shared" si="59"/>
        <v>-8.2055090481250996</v>
      </c>
      <c r="I281" s="29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25">
        <v>264</v>
      </c>
      <c r="C282" s="24">
        <f t="shared" si="63"/>
        <v>4.6076692252650302</v>
      </c>
      <c r="D282" s="24">
        <f t="shared" si="55"/>
        <v>-0.9945218953682734</v>
      </c>
      <c r="E282" s="24">
        <f t="shared" si="56"/>
        <v>-0.10452846326765336</v>
      </c>
      <c r="F282" s="24">
        <f t="shared" si="57"/>
        <v>9.514364454222596</v>
      </c>
      <c r="G282" s="24">
        <f t="shared" si="58"/>
        <v>0.10510423526567635</v>
      </c>
      <c r="H282" s="24">
        <f t="shared" si="59"/>
        <v>-9.5667722335056364</v>
      </c>
      <c r="I282" s="29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25">
        <v>265</v>
      </c>
      <c r="C283" s="24">
        <f t="shared" si="63"/>
        <v>4.6251225177849733</v>
      </c>
      <c r="D283" s="24">
        <f t="shared" si="55"/>
        <v>-0.99619469809174555</v>
      </c>
      <c r="E283" s="24">
        <f t="shared" si="56"/>
        <v>-8.7155742747658249E-2</v>
      </c>
      <c r="F283" s="24">
        <f t="shared" si="57"/>
        <v>11</v>
      </c>
      <c r="G283" s="24">
        <f t="shared" si="58"/>
        <v>8.748866352592409E-2</v>
      </c>
      <c r="H283" s="24">
        <f t="shared" si="59"/>
        <v>-11</v>
      </c>
      <c r="I283" s="29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25">
        <v>266</v>
      </c>
      <c r="C284" s="24">
        <f t="shared" si="63"/>
        <v>4.6425758103049164</v>
      </c>
      <c r="D284" s="24">
        <f t="shared" si="55"/>
        <v>-0.9975640502598242</v>
      </c>
      <c r="E284" s="24">
        <f t="shared" si="56"/>
        <v>-6.975647374412558E-2</v>
      </c>
      <c r="F284" s="24">
        <f t="shared" si="57"/>
        <v>11</v>
      </c>
      <c r="G284" s="24">
        <f t="shared" si="58"/>
        <v>6.9926811943510692E-2</v>
      </c>
      <c r="H284" s="24">
        <f t="shared" si="59"/>
        <v>-11</v>
      </c>
      <c r="I284" s="29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25">
        <v>267</v>
      </c>
      <c r="C285" s="24">
        <f t="shared" si="63"/>
        <v>4.6600291028248595</v>
      </c>
      <c r="D285" s="24">
        <f t="shared" si="55"/>
        <v>-0.99862953475457383</v>
      </c>
      <c r="E285" s="24">
        <f t="shared" si="56"/>
        <v>-5.2335956242944306E-2</v>
      </c>
      <c r="F285" s="24">
        <f t="shared" si="57"/>
        <v>11</v>
      </c>
      <c r="G285" s="24">
        <f t="shared" si="58"/>
        <v>5.2407779283041682E-2</v>
      </c>
      <c r="H285" s="24">
        <f t="shared" si="59"/>
        <v>-11</v>
      </c>
      <c r="I285" s="29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25">
        <v>268</v>
      </c>
      <c r="C286" s="24">
        <f t="shared" si="63"/>
        <v>4.6774823953448026</v>
      </c>
      <c r="D286" s="24">
        <f t="shared" si="55"/>
        <v>-0.99939082701909565</v>
      </c>
      <c r="E286" s="24">
        <f t="shared" si="56"/>
        <v>-3.4899496702501649E-2</v>
      </c>
      <c r="F286" s="24">
        <f t="shared" si="57"/>
        <v>11</v>
      </c>
      <c r="G286" s="24">
        <f t="shared" si="58"/>
        <v>3.4920769491748403E-2</v>
      </c>
      <c r="H286" s="24">
        <f t="shared" si="59"/>
        <v>-11</v>
      </c>
      <c r="I286" s="29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25">
        <v>269</v>
      </c>
      <c r="C287" s="24">
        <f t="shared" si="63"/>
        <v>4.6949356878647466</v>
      </c>
      <c r="D287" s="24">
        <f t="shared" si="55"/>
        <v>-0.99984769515639127</v>
      </c>
      <c r="E287" s="24">
        <f t="shared" si="56"/>
        <v>-1.7452406437283498E-2</v>
      </c>
      <c r="F287" s="24">
        <f t="shared" si="57"/>
        <v>11</v>
      </c>
      <c r="G287" s="24">
        <f t="shared" si="58"/>
        <v>1.7455064928217572E-2</v>
      </c>
      <c r="H287" s="24">
        <f t="shared" si="59"/>
        <v>-11</v>
      </c>
      <c r="I287" s="29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25">
        <v>270</v>
      </c>
      <c r="C288" s="24">
        <f t="shared" si="63"/>
        <v>4.7123889803846897</v>
      </c>
      <c r="D288" s="24">
        <f t="shared" si="55"/>
        <v>-1</v>
      </c>
      <c r="E288" s="24">
        <f t="shared" si="56"/>
        <v>-1.83772268236293E-16</v>
      </c>
      <c r="F288" s="24">
        <f t="shared" si="57"/>
        <v>11</v>
      </c>
      <c r="G288" s="24">
        <f t="shared" si="58"/>
        <v>1.83772268236293E-16</v>
      </c>
      <c r="H288" s="24">
        <f t="shared" si="59"/>
        <v>-11</v>
      </c>
      <c r="I288" s="29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25">
        <v>271</v>
      </c>
      <c r="C289" s="24">
        <f t="shared" si="63"/>
        <v>4.7298422729046328</v>
      </c>
      <c r="D289" s="24">
        <f t="shared" si="55"/>
        <v>-0.99984769515639127</v>
      </c>
      <c r="E289" s="24">
        <f t="shared" si="56"/>
        <v>1.745240643728313E-2</v>
      </c>
      <c r="F289" s="24">
        <f t="shared" si="57"/>
        <v>-11</v>
      </c>
      <c r="G289" s="24">
        <f t="shared" si="58"/>
        <v>-1.7455064928217204E-2</v>
      </c>
      <c r="H289" s="24">
        <f t="shared" si="59"/>
        <v>11</v>
      </c>
      <c r="I289" s="29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25">
        <v>272</v>
      </c>
      <c r="C290" s="24">
        <f t="shared" si="63"/>
        <v>4.7472955654245768</v>
      </c>
      <c r="D290" s="24">
        <f t="shared" si="55"/>
        <v>-0.99939082701909576</v>
      </c>
      <c r="E290" s="24">
        <f t="shared" si="56"/>
        <v>3.4899496702501281E-2</v>
      </c>
      <c r="F290" s="24">
        <f t="shared" si="57"/>
        <v>-11</v>
      </c>
      <c r="G290" s="24">
        <f t="shared" si="58"/>
        <v>-3.4920769491748035E-2</v>
      </c>
      <c r="H290" s="24">
        <f t="shared" si="59"/>
        <v>11</v>
      </c>
      <c r="I290" s="29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25">
        <v>273</v>
      </c>
      <c r="C291" s="24">
        <f t="shared" si="63"/>
        <v>4.7647488579445199</v>
      </c>
      <c r="D291" s="24">
        <f t="shared" si="55"/>
        <v>-0.99862953475457383</v>
      </c>
      <c r="E291" s="24">
        <f t="shared" si="56"/>
        <v>5.2335956242943946E-2</v>
      </c>
      <c r="F291" s="24">
        <f t="shared" si="57"/>
        <v>-11</v>
      </c>
      <c r="G291" s="24">
        <f t="shared" si="58"/>
        <v>-5.2407779283041314E-2</v>
      </c>
      <c r="H291" s="24">
        <f t="shared" si="59"/>
        <v>11</v>
      </c>
      <c r="I291" s="29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25">
        <v>274</v>
      </c>
      <c r="C292" s="24">
        <f t="shared" si="63"/>
        <v>4.782202150464463</v>
      </c>
      <c r="D292" s="24">
        <f t="shared" si="55"/>
        <v>-0.99756405025982431</v>
      </c>
      <c r="E292" s="24">
        <f t="shared" si="56"/>
        <v>6.9756473744125219E-2</v>
      </c>
      <c r="F292" s="24">
        <f t="shared" si="57"/>
        <v>-11</v>
      </c>
      <c r="G292" s="24">
        <f t="shared" si="58"/>
        <v>-6.9926811943510331E-2</v>
      </c>
      <c r="H292" s="24">
        <f t="shared" si="59"/>
        <v>11</v>
      </c>
      <c r="I292" s="29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25">
        <v>275</v>
      </c>
      <c r="C293" s="24">
        <f t="shared" si="63"/>
        <v>4.7996554429844061</v>
      </c>
      <c r="D293" s="24">
        <f t="shared" si="55"/>
        <v>-0.99619469809174555</v>
      </c>
      <c r="E293" s="24">
        <f t="shared" si="56"/>
        <v>8.7155742747657888E-2</v>
      </c>
      <c r="F293" s="24">
        <f t="shared" si="57"/>
        <v>-11</v>
      </c>
      <c r="G293" s="24">
        <f t="shared" si="58"/>
        <v>-8.7488663525923716E-2</v>
      </c>
      <c r="H293" s="24">
        <f t="shared" si="59"/>
        <v>11</v>
      </c>
      <c r="I293" s="29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25">
        <v>276</v>
      </c>
      <c r="C294" s="24">
        <f t="shared" si="63"/>
        <v>4.8171087355043491</v>
      </c>
      <c r="D294" s="24">
        <f t="shared" si="55"/>
        <v>-0.9945218953682734</v>
      </c>
      <c r="E294" s="24">
        <f t="shared" si="56"/>
        <v>0.10452846326765299</v>
      </c>
      <c r="F294" s="24">
        <f t="shared" si="57"/>
        <v>-9.5143644542226298</v>
      </c>
      <c r="G294" s="24">
        <f t="shared" si="58"/>
        <v>-0.10510423526567597</v>
      </c>
      <c r="H294" s="24">
        <f t="shared" si="59"/>
        <v>9.5667722335056702</v>
      </c>
      <c r="I294" s="29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25">
        <v>277</v>
      </c>
      <c r="C295" s="24">
        <f t="shared" si="63"/>
        <v>4.8345620280242931</v>
      </c>
      <c r="D295" s="24">
        <f t="shared" si="55"/>
        <v>-0.99254615164132198</v>
      </c>
      <c r="E295" s="24">
        <f t="shared" si="56"/>
        <v>0.12186934340514768</v>
      </c>
      <c r="F295" s="24">
        <f t="shared" si="57"/>
        <v>-8.1443464279745807</v>
      </c>
      <c r="G295" s="24">
        <f t="shared" si="58"/>
        <v>-0.12278456090290479</v>
      </c>
      <c r="H295" s="24">
        <f t="shared" si="59"/>
        <v>8.2055090481250641</v>
      </c>
      <c r="I295" s="29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25">
        <v>278</v>
      </c>
      <c r="C296" s="24">
        <f t="shared" si="63"/>
        <v>4.8520153205442362</v>
      </c>
      <c r="D296" s="24">
        <f t="shared" si="55"/>
        <v>-0.99026806874157036</v>
      </c>
      <c r="E296" s="24">
        <f t="shared" si="56"/>
        <v>0.13917310096006547</v>
      </c>
      <c r="F296" s="24">
        <f t="shared" si="57"/>
        <v>-7.1153697223842087</v>
      </c>
      <c r="G296" s="24">
        <f t="shared" si="58"/>
        <v>-0.14054083470239145</v>
      </c>
      <c r="H296" s="24">
        <f t="shared" si="59"/>
        <v>7.1852965343277182</v>
      </c>
      <c r="I296" s="29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25">
        <v>279</v>
      </c>
      <c r="C297" s="24">
        <f t="shared" si="63"/>
        <v>4.8694686130641793</v>
      </c>
      <c r="D297" s="24">
        <f t="shared" si="55"/>
        <v>-0.98768834059513777</v>
      </c>
      <c r="E297" s="24">
        <f t="shared" si="56"/>
        <v>0.15643446504023067</v>
      </c>
      <c r="F297" s="24">
        <f t="shared" si="57"/>
        <v>-6.3137515146750509</v>
      </c>
      <c r="G297" s="24">
        <f t="shared" si="58"/>
        <v>-0.15838444032453611</v>
      </c>
      <c r="H297" s="24">
        <f t="shared" si="59"/>
        <v>6.3924532214996699</v>
      </c>
      <c r="I297" s="29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25">
        <v>280</v>
      </c>
      <c r="C298" s="24">
        <f t="shared" si="63"/>
        <v>4.8869219055841224</v>
      </c>
      <c r="D298" s="24">
        <f t="shared" si="55"/>
        <v>-0.98480775301220813</v>
      </c>
      <c r="E298" s="24">
        <f t="shared" si="56"/>
        <v>0.17364817766692997</v>
      </c>
      <c r="F298" s="24">
        <f t="shared" si="57"/>
        <v>-5.6712818196177226</v>
      </c>
      <c r="G298" s="24">
        <f t="shared" si="58"/>
        <v>-0.17632698070846456</v>
      </c>
      <c r="H298" s="24">
        <f t="shared" si="59"/>
        <v>5.7587704831436461</v>
      </c>
      <c r="I298" s="29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25">
        <v>281</v>
      </c>
      <c r="C299" s="24">
        <f t="shared" si="63"/>
        <v>4.9043751981040655</v>
      </c>
      <c r="D299" s="24">
        <f t="shared" si="55"/>
        <v>-0.98162718344766409</v>
      </c>
      <c r="E299" s="24">
        <f t="shared" si="56"/>
        <v>0.19080899537654425</v>
      </c>
      <c r="F299" s="24">
        <f t="shared" si="57"/>
        <v>-5.1445540159703258</v>
      </c>
      <c r="G299" s="24">
        <f t="shared" si="58"/>
        <v>-0.19438030913771789</v>
      </c>
      <c r="H299" s="24">
        <f t="shared" si="59"/>
        <v>5.2408430641678638</v>
      </c>
      <c r="I299" s="29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25">
        <v>282</v>
      </c>
      <c r="C300" s="24">
        <f t="shared" si="63"/>
        <v>4.9218284906240086</v>
      </c>
      <c r="D300" s="24">
        <f t="shared" si="55"/>
        <v>-0.9781476007338058</v>
      </c>
      <c r="E300" s="24">
        <f t="shared" si="56"/>
        <v>0.20791169081775857</v>
      </c>
      <c r="F300" s="24">
        <f t="shared" si="57"/>
        <v>-4.7046301094784724</v>
      </c>
      <c r="G300" s="24">
        <f t="shared" si="58"/>
        <v>-0.21255656167002129</v>
      </c>
      <c r="H300" s="24">
        <f t="shared" si="59"/>
        <v>4.8097343447441485</v>
      </c>
      <c r="I300" s="29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25">
        <v>283</v>
      </c>
      <c r="C301" s="24">
        <f t="shared" si="63"/>
        <v>4.9392817831439526</v>
      </c>
      <c r="D301" s="24">
        <f t="shared" si="55"/>
        <v>-0.97437006478523525</v>
      </c>
      <c r="E301" s="24">
        <f t="shared" si="56"/>
        <v>0.22495105434386492</v>
      </c>
      <c r="F301" s="24">
        <f t="shared" si="57"/>
        <v>-4.3314758742841573</v>
      </c>
      <c r="G301" s="24">
        <f t="shared" si="58"/>
        <v>-0.23086819112556303</v>
      </c>
      <c r="H301" s="24">
        <f t="shared" si="59"/>
        <v>4.4454114825858024</v>
      </c>
      <c r="I301" s="29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25">
        <v>284</v>
      </c>
      <c r="C302" s="24">
        <f t="shared" si="63"/>
        <v>4.9567350756638957</v>
      </c>
      <c r="D302" s="24">
        <f t="shared" si="55"/>
        <v>-0.97029572627599658</v>
      </c>
      <c r="E302" s="24">
        <f t="shared" si="56"/>
        <v>0.24192189559966745</v>
      </c>
      <c r="F302" s="24">
        <f t="shared" si="57"/>
        <v>-4.01078093353585</v>
      </c>
      <c r="G302" s="24">
        <f t="shared" si="58"/>
        <v>-0.24932800284318035</v>
      </c>
      <c r="H302" s="24">
        <f t="shared" si="59"/>
        <v>4.1335654944387539</v>
      </c>
      <c r="I302" s="29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25">
        <v>285</v>
      </c>
      <c r="C303" s="24">
        <f t="shared" si="63"/>
        <v>4.9741883681838397</v>
      </c>
      <c r="D303" s="24">
        <f t="shared" si="55"/>
        <v>-0.9659258262890682</v>
      </c>
      <c r="E303" s="24">
        <f t="shared" si="56"/>
        <v>0.25881904510252113</v>
      </c>
      <c r="F303" s="24">
        <f t="shared" si="57"/>
        <v>-3.7320508075688714</v>
      </c>
      <c r="G303" s="24">
        <f t="shared" si="58"/>
        <v>-0.26794919243112314</v>
      </c>
      <c r="H303" s="24">
        <f t="shared" si="59"/>
        <v>3.8637033051562675</v>
      </c>
      <c r="I303" s="29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25">
        <v>286</v>
      </c>
      <c r="C304" s="24">
        <f t="shared" si="63"/>
        <v>4.9916416607037828</v>
      </c>
      <c r="D304" s="24">
        <f t="shared" si="55"/>
        <v>-0.96126169593831878</v>
      </c>
      <c r="E304" s="24">
        <f t="shared" si="56"/>
        <v>0.27563735581699939</v>
      </c>
      <c r="F304" s="24">
        <f t="shared" si="57"/>
        <v>-3.487414443840906</v>
      </c>
      <c r="G304" s="24">
        <f t="shared" si="58"/>
        <v>-0.28674538575880815</v>
      </c>
      <c r="H304" s="24">
        <f t="shared" si="59"/>
        <v>3.6279552785432974</v>
      </c>
      <c r="I304" s="29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25">
        <v>287</v>
      </c>
      <c r="C305" s="24">
        <f t="shared" si="63"/>
        <v>5.0090949532237259</v>
      </c>
      <c r="D305" s="24">
        <f t="shared" si="55"/>
        <v>-0.95630475596303544</v>
      </c>
      <c r="E305" s="24">
        <f t="shared" si="56"/>
        <v>0.29237170472273671</v>
      </c>
      <c r="F305" s="24">
        <f t="shared" si="57"/>
        <v>-3.2708526184841409</v>
      </c>
      <c r="G305" s="24">
        <f t="shared" si="58"/>
        <v>-0.30573068145866034</v>
      </c>
      <c r="H305" s="24">
        <f t="shared" si="59"/>
        <v>3.4203036198332688</v>
      </c>
      <c r="I305" s="29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25">
        <v>288</v>
      </c>
      <c r="C306" s="24">
        <f t="shared" si="63"/>
        <v>5.026548245743669</v>
      </c>
      <c r="D306" s="24">
        <f t="shared" si="55"/>
        <v>-0.95105651629515364</v>
      </c>
      <c r="E306" s="24">
        <f t="shared" si="56"/>
        <v>0.30901699437494723</v>
      </c>
      <c r="F306" s="24">
        <f t="shared" si="57"/>
        <v>-3.0776835371752553</v>
      </c>
      <c r="G306" s="24">
        <f t="shared" si="58"/>
        <v>-0.32491969623290612</v>
      </c>
      <c r="H306" s="24">
        <f t="shared" si="59"/>
        <v>3.2360679774997916</v>
      </c>
      <c r="I306" s="29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25">
        <v>289</v>
      </c>
      <c r="C307" s="24">
        <f t="shared" si="63"/>
        <v>5.0440015382636121</v>
      </c>
      <c r="D307" s="24">
        <f t="shared" si="55"/>
        <v>-0.94551857559931696</v>
      </c>
      <c r="E307" s="24">
        <f t="shared" si="56"/>
        <v>0.32556815445715631</v>
      </c>
      <c r="F307" s="24">
        <f t="shared" si="57"/>
        <v>-2.9042108776758266</v>
      </c>
      <c r="G307" s="24">
        <f t="shared" si="58"/>
        <v>-0.34432761328966477</v>
      </c>
      <c r="H307" s="24">
        <f t="shared" si="59"/>
        <v>3.0715534867572458</v>
      </c>
      <c r="I307" s="29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25">
        <v>290</v>
      </c>
      <c r="C308" s="24">
        <f t="shared" si="63"/>
        <v>5.0614548307835552</v>
      </c>
      <c r="D308" s="24">
        <f t="shared" si="55"/>
        <v>-0.93969262078590854</v>
      </c>
      <c r="E308" s="24">
        <f t="shared" si="56"/>
        <v>0.34202014332566816</v>
      </c>
      <c r="F308" s="24">
        <f t="shared" si="57"/>
        <v>-2.7474774194546274</v>
      </c>
      <c r="G308" s="24">
        <f t="shared" si="58"/>
        <v>-0.36397023426620168</v>
      </c>
      <c r="H308" s="24">
        <f t="shared" si="59"/>
        <v>2.9238044001630921</v>
      </c>
      <c r="I308" s="29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25">
        <v>291</v>
      </c>
      <c r="C309" s="24">
        <f t="shared" si="63"/>
        <v>5.0789081233034983</v>
      </c>
      <c r="D309" s="24">
        <f t="shared" si="55"/>
        <v>-0.93358042649720208</v>
      </c>
      <c r="E309" s="24">
        <f t="shared" si="56"/>
        <v>0.35836794954529955</v>
      </c>
      <c r="F309" s="24">
        <f t="shared" si="57"/>
        <v>-2.6050890646938076</v>
      </c>
      <c r="G309" s="24">
        <f t="shared" si="58"/>
        <v>-0.38386403503541489</v>
      </c>
      <c r="H309" s="24">
        <f t="shared" si="59"/>
        <v>2.7904281096253416</v>
      </c>
      <c r="I309" s="29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25">
        <v>292</v>
      </c>
      <c r="C310" s="24">
        <f t="shared" si="63"/>
        <v>5.0963614158234423</v>
      </c>
      <c r="D310" s="24">
        <f t="shared" si="55"/>
        <v>-0.92718385456678742</v>
      </c>
      <c r="E310" s="24">
        <f t="shared" si="56"/>
        <v>0.37460659341591196</v>
      </c>
      <c r="F310" s="24">
        <f t="shared" si="57"/>
        <v>-2.4750868534162964</v>
      </c>
      <c r="G310" s="24">
        <f t="shared" si="58"/>
        <v>-0.40402622583515674</v>
      </c>
      <c r="H310" s="24">
        <f t="shared" si="59"/>
        <v>2.6694671625540147</v>
      </c>
      <c r="I310" s="29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25">
        <v>293</v>
      </c>
      <c r="C311" s="24">
        <f t="shared" si="63"/>
        <v>5.1138147083433854</v>
      </c>
      <c r="D311" s="24">
        <f t="shared" si="55"/>
        <v>-0.92050485345244049</v>
      </c>
      <c r="E311" s="24">
        <f t="shared" si="56"/>
        <v>0.39073112848927349</v>
      </c>
      <c r="F311" s="24">
        <f t="shared" si="57"/>
        <v>-2.3558523658237549</v>
      </c>
      <c r="G311" s="24">
        <f t="shared" si="58"/>
        <v>-0.42447481620960437</v>
      </c>
      <c r="H311" s="24">
        <f t="shared" si="59"/>
        <v>2.559304665247454</v>
      </c>
      <c r="I311" s="29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25">
        <v>294</v>
      </c>
      <c r="C312" s="24">
        <f t="shared" si="63"/>
        <v>5.1312680008633293</v>
      </c>
      <c r="D312" s="24">
        <f t="shared" si="55"/>
        <v>-0.91354545764260076</v>
      </c>
      <c r="E312" s="24">
        <f t="shared" si="56"/>
        <v>0.40673664307580054</v>
      </c>
      <c r="F312" s="24">
        <f t="shared" si="57"/>
        <v>-2.2460367739042137</v>
      </c>
      <c r="G312" s="24">
        <f t="shared" si="58"/>
        <v>-0.4452286853085366</v>
      </c>
      <c r="H312" s="24">
        <f t="shared" si="59"/>
        <v>2.458593335574236</v>
      </c>
      <c r="I312" s="29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25">
        <v>295</v>
      </c>
      <c r="C313" s="24">
        <f t="shared" si="63"/>
        <v>5.1487212933832724</v>
      </c>
      <c r="D313" s="24">
        <f t="shared" si="55"/>
        <v>-0.90630778703664994</v>
      </c>
      <c r="E313" s="24">
        <f t="shared" si="56"/>
        <v>0.42261826174069961</v>
      </c>
      <c r="F313" s="24">
        <f t="shared" si="57"/>
        <v>-2.1445069205095577</v>
      </c>
      <c r="G313" s="24">
        <f t="shared" si="58"/>
        <v>-0.46630765815499881</v>
      </c>
      <c r="H313" s="24">
        <f t="shared" si="59"/>
        <v>2.3662015831524976</v>
      </c>
      <c r="I313" s="29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25">
        <v>296</v>
      </c>
      <c r="C314" s="24">
        <f t="shared" si="63"/>
        <v>5.1661745859032155</v>
      </c>
      <c r="D314" s="24">
        <f t="shared" si="55"/>
        <v>-0.89879404629916704</v>
      </c>
      <c r="E314" s="24">
        <f t="shared" si="56"/>
        <v>0.4383711467890774</v>
      </c>
      <c r="F314" s="24">
        <f t="shared" si="57"/>
        <v>-2.0503038415792965</v>
      </c>
      <c r="G314" s="24">
        <f t="shared" si="58"/>
        <v>-0.48773258856586138</v>
      </c>
      <c r="H314" s="24">
        <f t="shared" si="59"/>
        <v>2.2811720327048595</v>
      </c>
      <c r="I314" s="29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25">
        <v>297</v>
      </c>
      <c r="C315" s="24">
        <f t="shared" si="63"/>
        <v>5.1836278784231586</v>
      </c>
      <c r="D315" s="24">
        <f t="shared" si="55"/>
        <v>-0.8910065241883679</v>
      </c>
      <c r="E315" s="24">
        <f t="shared" si="56"/>
        <v>0.45399049973954664</v>
      </c>
      <c r="F315" s="24">
        <f t="shared" si="57"/>
        <v>-1.9626105055051515</v>
      </c>
      <c r="G315" s="24">
        <f t="shared" si="58"/>
        <v>-0.50952544949442857</v>
      </c>
      <c r="H315" s="24">
        <f t="shared" si="59"/>
        <v>2.2026892645852674</v>
      </c>
      <c r="I315" s="29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25">
        <v>298</v>
      </c>
      <c r="C316" s="24">
        <f t="shared" si="63"/>
        <v>5.2010811709431017</v>
      </c>
      <c r="D316" s="24">
        <f t="shared" si="55"/>
        <v>-0.8829475928589271</v>
      </c>
      <c r="E316" s="24">
        <f t="shared" si="56"/>
        <v>0.46947156278589042</v>
      </c>
      <c r="F316" s="24">
        <f t="shared" si="57"/>
        <v>-1.8807264653463338</v>
      </c>
      <c r="G316" s="24">
        <f t="shared" si="58"/>
        <v>-0.53170943166147822</v>
      </c>
      <c r="H316" s="24">
        <f t="shared" si="59"/>
        <v>2.1300544681895142</v>
      </c>
      <c r="I316" s="29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25">
        <v>299</v>
      </c>
      <c r="C317" s="24">
        <f t="shared" si="63"/>
        <v>5.2185344634630448</v>
      </c>
      <c r="D317" s="24">
        <f t="shared" si="55"/>
        <v>-0.87461970713939607</v>
      </c>
      <c r="E317" s="24">
        <f t="shared" si="56"/>
        <v>0.4848096202463365</v>
      </c>
      <c r="F317" s="24">
        <f t="shared" si="57"/>
        <v>-1.8040477552714265</v>
      </c>
      <c r="G317" s="24">
        <f t="shared" si="58"/>
        <v>-0.5543090514527681</v>
      </c>
      <c r="H317" s="24">
        <f t="shared" si="59"/>
        <v>2.0626653396273165</v>
      </c>
      <c r="I317" s="29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25">
        <v>300</v>
      </c>
      <c r="C318" s="24">
        <f t="shared" si="63"/>
        <v>5.2359877559829888</v>
      </c>
      <c r="D318" s="24">
        <f t="shared" si="55"/>
        <v>-0.8660254037844386</v>
      </c>
      <c r="E318" s="24">
        <f t="shared" si="56"/>
        <v>0.50000000000000011</v>
      </c>
      <c r="F318" s="24">
        <f t="shared" si="57"/>
        <v>-1.732050807568877</v>
      </c>
      <c r="G318" s="24">
        <f t="shared" si="58"/>
        <v>-0.57735026918962584</v>
      </c>
      <c r="H318" s="24">
        <f t="shared" si="59"/>
        <v>1.9999999999999996</v>
      </c>
      <c r="I318" s="29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25">
        <v>301</v>
      </c>
      <c r="C319" s="24">
        <f t="shared" si="63"/>
        <v>5.2534410485029319</v>
      </c>
      <c r="D319" s="24">
        <f t="shared" si="55"/>
        <v>-0.85716730070211233</v>
      </c>
      <c r="E319" s="24">
        <f t="shared" si="56"/>
        <v>0.51503807491005416</v>
      </c>
      <c r="F319" s="24">
        <f t="shared" si="57"/>
        <v>-1.6642794823505183</v>
      </c>
      <c r="G319" s="24">
        <f t="shared" si="58"/>
        <v>-0.60086061902756027</v>
      </c>
      <c r="H319" s="24">
        <f t="shared" si="59"/>
        <v>1.9416040264103567</v>
      </c>
      <c r="I319" s="29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25">
        <v>302</v>
      </c>
      <c r="C320" s="24">
        <f t="shared" si="63"/>
        <v>5.270894341022875</v>
      </c>
      <c r="D320" s="24">
        <f t="shared" si="55"/>
        <v>-0.84804809615642618</v>
      </c>
      <c r="E320" s="24">
        <f t="shared" si="56"/>
        <v>0.52991926423320468</v>
      </c>
      <c r="F320" s="24">
        <f t="shared" si="57"/>
        <v>-1.6003345290410513</v>
      </c>
      <c r="G320" s="24">
        <f t="shared" si="58"/>
        <v>-0.62486935190932713</v>
      </c>
      <c r="H320" s="24">
        <f t="shared" si="59"/>
        <v>1.8870799147998594</v>
      </c>
      <c r="I320" s="29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25">
        <v>303</v>
      </c>
      <c r="C321" s="24">
        <f t="shared" si="63"/>
        <v>5.2883476335428181</v>
      </c>
      <c r="D321" s="24">
        <f t="shared" si="55"/>
        <v>-0.83867056794542427</v>
      </c>
      <c r="E321" s="24">
        <f t="shared" si="56"/>
        <v>0.54463903501502664</v>
      </c>
      <c r="F321" s="24">
        <f t="shared" si="57"/>
        <v>-1.5398649638145847</v>
      </c>
      <c r="G321" s="24">
        <f t="shared" si="58"/>
        <v>-0.64940759319750985</v>
      </c>
      <c r="H321" s="24">
        <f t="shared" si="59"/>
        <v>1.8360784587766645</v>
      </c>
      <c r="I321" s="29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25">
        <v>304</v>
      </c>
      <c r="C322" s="24">
        <f t="shared" si="63"/>
        <v>5.3058009260627612</v>
      </c>
      <c r="D322" s="24">
        <f t="shared" si="55"/>
        <v>-0.82903757255504207</v>
      </c>
      <c r="E322" s="24">
        <f t="shared" si="56"/>
        <v>0.55919290347074624</v>
      </c>
      <c r="F322" s="24">
        <f t="shared" si="57"/>
        <v>-1.4825609685127425</v>
      </c>
      <c r="G322" s="24">
        <f t="shared" si="58"/>
        <v>-0.67450851684242563</v>
      </c>
      <c r="H322" s="24">
        <f t="shared" si="59"/>
        <v>1.7882916499714026</v>
      </c>
      <c r="I322" s="29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25">
        <v>305</v>
      </c>
      <c r="C323" s="24">
        <f t="shared" si="63"/>
        <v>5.3232542185827052</v>
      </c>
      <c r="D323" s="24">
        <f t="shared" si="55"/>
        <v>-0.8191520442889918</v>
      </c>
      <c r="E323" s="24">
        <f t="shared" si="56"/>
        <v>0.57357643635104605</v>
      </c>
      <c r="F323" s="24">
        <f t="shared" si="57"/>
        <v>-1.4281480067421146</v>
      </c>
      <c r="G323" s="24">
        <f t="shared" si="58"/>
        <v>-0.70020753820970971</v>
      </c>
      <c r="H323" s="24">
        <f t="shared" si="59"/>
        <v>1.7434467956210982</v>
      </c>
      <c r="I323" s="29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25">
        <v>306</v>
      </c>
      <c r="C324" s="24">
        <f t="shared" si="63"/>
        <v>5.3407075111026483</v>
      </c>
      <c r="D324" s="24">
        <f t="shared" ref="D324:D378" si="67">IF(SIN(C324)&gt;$I$3,$I$3,(IF(SIN(C324)&lt;-$I$3,-$I$3,SIN(C324))))</f>
        <v>-0.80901699437494756</v>
      </c>
      <c r="E324" s="24">
        <f t="shared" ref="E324:E378" si="68">IF(COS(C324)&gt;$I$3,$I$3,(IF(COS(C324)&lt;-$I$3,-$I$3,COS(C324))))</f>
        <v>0.58778525229247292</v>
      </c>
      <c r="F324" s="24">
        <f t="shared" ref="F324:F378" si="69">IF(TAN(C324)&gt;$I$3,$I$3,(IF(TAN(C324)&lt;-$I$3,-$I$3,TAN(C324))))</f>
        <v>-1.3763819204711742</v>
      </c>
      <c r="G324" s="24">
        <f t="shared" ref="G324:G378" si="70">IF(_xlfn.COT(C324)&gt;$I$3,$I$3,(IF(_xlfn.COT(C324)&lt;-$I$3,-$I$3,_xlfn.COT(C324))))</f>
        <v>-0.72654252800536057</v>
      </c>
      <c r="H324" s="24">
        <f t="shared" ref="H324:H378" si="71">IF(_xlfn.SEC(C324)&gt;$I$3,$I$3,(IF(_xlfn.SEC(C324)&lt;-$I$3,-$I$3,_xlfn.SEC(C324))))</f>
        <v>1.7013016167040804</v>
      </c>
      <c r="I324" s="29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25">
        <v>307</v>
      </c>
      <c r="C325" s="24">
        <f t="shared" si="63"/>
        <v>5.3581608036225914</v>
      </c>
      <c r="D325" s="24">
        <f t="shared" si="67"/>
        <v>-0.79863551004729305</v>
      </c>
      <c r="E325" s="24">
        <f t="shared" si="68"/>
        <v>0.60181502315204793</v>
      </c>
      <c r="F325" s="24">
        <f t="shared" si="69"/>
        <v>-1.3270448216204112</v>
      </c>
      <c r="G325" s="24">
        <f t="shared" si="70"/>
        <v>-0.75355405010279353</v>
      </c>
      <c r="H325" s="24">
        <f t="shared" si="71"/>
        <v>1.6616401411224841</v>
      </c>
      <c r="I325" s="29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25">
        <v>308</v>
      </c>
      <c r="C326" s="24">
        <f t="shared" si="63"/>
        <v>5.3756140961425354</v>
      </c>
      <c r="D326" s="24">
        <f t="shared" si="67"/>
        <v>-0.78801075360672179</v>
      </c>
      <c r="E326" s="24">
        <f t="shared" si="68"/>
        <v>0.61566147532565851</v>
      </c>
      <c r="F326" s="24">
        <f t="shared" si="69"/>
        <v>-1.2799416321930781</v>
      </c>
      <c r="G326" s="24">
        <f t="shared" si="70"/>
        <v>-0.78128562650671785</v>
      </c>
      <c r="H326" s="24">
        <f t="shared" si="71"/>
        <v>1.6242692454827434</v>
      </c>
      <c r="I326" s="29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25">
        <v>309</v>
      </c>
      <c r="C327" s="24">
        <f t="shared" si="63"/>
        <v>5.3930673886624785</v>
      </c>
      <c r="D327" s="24">
        <f t="shared" si="67"/>
        <v>-0.77714596145697079</v>
      </c>
      <c r="E327" s="24">
        <f t="shared" si="68"/>
        <v>0.6293203910498375</v>
      </c>
      <c r="F327" s="24">
        <f t="shared" si="69"/>
        <v>-1.2348971565350513</v>
      </c>
      <c r="G327" s="24">
        <f t="shared" si="70"/>
        <v>-0.80978403319500725</v>
      </c>
      <c r="H327" s="24">
        <f t="shared" si="71"/>
        <v>1.5890157290657494</v>
      </c>
      <c r="I327" s="29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25">
        <v>310</v>
      </c>
      <c r="C328" s="24">
        <f t="shared" si="63"/>
        <v>5.4105206811824216</v>
      </c>
      <c r="D328" s="24">
        <f t="shared" si="67"/>
        <v>-0.76604444311897812</v>
      </c>
      <c r="E328" s="24">
        <f t="shared" si="68"/>
        <v>0.64278760968653925</v>
      </c>
      <c r="F328" s="24">
        <f t="shared" si="69"/>
        <v>-1.1917535925942102</v>
      </c>
      <c r="G328" s="24">
        <f t="shared" si="70"/>
        <v>-0.83909963117727981</v>
      </c>
      <c r="H328" s="24">
        <f t="shared" si="71"/>
        <v>1.5557238268604126</v>
      </c>
      <c r="I328" s="29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25">
        <v>311</v>
      </c>
      <c r="C329" s="24">
        <f t="shared" si="63"/>
        <v>5.4279739737023647</v>
      </c>
      <c r="D329" s="24">
        <f t="shared" si="67"/>
        <v>-0.75470958022277224</v>
      </c>
      <c r="E329" s="24">
        <f t="shared" si="68"/>
        <v>0.65605902899050705</v>
      </c>
      <c r="F329" s="24">
        <f t="shared" si="69"/>
        <v>-1.1503684072210103</v>
      </c>
      <c r="G329" s="24">
        <f t="shared" si="70"/>
        <v>-0.86928673781622612</v>
      </c>
      <c r="H329" s="24">
        <f t="shared" si="71"/>
        <v>1.5242530867058148</v>
      </c>
      <c r="I329" s="29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25">
        <v>312</v>
      </c>
      <c r="C330" s="24">
        <f t="shared" si="63"/>
        <v>5.4454272662223078</v>
      </c>
      <c r="D330" s="24">
        <f t="shared" si="67"/>
        <v>-0.74314482547739458</v>
      </c>
      <c r="E330" s="24">
        <f t="shared" si="68"/>
        <v>0.66913060635885779</v>
      </c>
      <c r="F330" s="24">
        <f t="shared" si="69"/>
        <v>-1.1106125148291941</v>
      </c>
      <c r="G330" s="24">
        <f t="shared" si="70"/>
        <v>-0.90040404429783893</v>
      </c>
      <c r="H330" s="24">
        <f t="shared" si="71"/>
        <v>1.4944765498646095</v>
      </c>
      <c r="I330" s="29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25">
        <v>313</v>
      </c>
      <c r="C331" s="24">
        <f t="shared" si="63"/>
        <v>5.4628805587422509</v>
      </c>
      <c r="D331" s="24">
        <f t="shared" si="67"/>
        <v>-0.73135370161917101</v>
      </c>
      <c r="E331" s="24">
        <f t="shared" si="68"/>
        <v>0.68199836006249803</v>
      </c>
      <c r="F331" s="24">
        <f t="shared" si="69"/>
        <v>-1.0723687100246841</v>
      </c>
      <c r="G331" s="24">
        <f t="shared" si="70"/>
        <v>-0.93251508613766032</v>
      </c>
      <c r="H331" s="24">
        <f t="shared" si="71"/>
        <v>1.466279185639626</v>
      </c>
      <c r="I331" s="29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25">
        <v>314</v>
      </c>
      <c r="C332" s="24">
        <f t="shared" si="63"/>
        <v>5.480333851262194</v>
      </c>
      <c r="D332" s="24">
        <f t="shared" si="67"/>
        <v>-0.71933980033865175</v>
      </c>
      <c r="E332" s="24">
        <f t="shared" si="68"/>
        <v>0.69465837045899659</v>
      </c>
      <c r="F332" s="24">
        <f t="shared" si="69"/>
        <v>-1.0355303137905714</v>
      </c>
      <c r="G332" s="24">
        <f t="shared" si="70"/>
        <v>-0.96568877480707227</v>
      </c>
      <c r="H332" s="24">
        <f t="shared" si="71"/>
        <v>1.4395565396257277</v>
      </c>
      <c r="I332" s="29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25">
        <v>315</v>
      </c>
      <c r="C333" s="24">
        <f t="shared" si="63"/>
        <v>5.497787143782138</v>
      </c>
      <c r="D333" s="24">
        <f t="shared" si="67"/>
        <v>-0.70710678118654768</v>
      </c>
      <c r="E333" s="24">
        <f t="shared" si="68"/>
        <v>0.70710678118654735</v>
      </c>
      <c r="F333" s="24">
        <f t="shared" si="69"/>
        <v>-1.0000000000000004</v>
      </c>
      <c r="G333" s="24">
        <f t="shared" si="70"/>
        <v>-0.99999999999999956</v>
      </c>
      <c r="H333" s="24">
        <f t="shared" si="71"/>
        <v>1.4142135623730954</v>
      </c>
      <c r="I333" s="29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25">
        <v>316</v>
      </c>
      <c r="C334" s="24">
        <f t="shared" si="63"/>
        <v>5.5152404363020811</v>
      </c>
      <c r="D334" s="24">
        <f t="shared" si="67"/>
        <v>-0.69465837045899759</v>
      </c>
      <c r="E334" s="24">
        <f t="shared" si="68"/>
        <v>0.71933980033865086</v>
      </c>
      <c r="F334" s="24">
        <f t="shared" si="69"/>
        <v>-0.96568877480707482</v>
      </c>
      <c r="G334" s="24">
        <f t="shared" si="70"/>
        <v>-1.0355303137905687</v>
      </c>
      <c r="H334" s="24">
        <f t="shared" si="71"/>
        <v>1.3901635910166794</v>
      </c>
      <c r="I334" s="29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25">
        <v>317</v>
      </c>
      <c r="C335" s="24">
        <f t="shared" si="63"/>
        <v>5.532693728822025</v>
      </c>
      <c r="D335" s="24">
        <f t="shared" si="67"/>
        <v>-0.68199836006249825</v>
      </c>
      <c r="E335" s="24">
        <f t="shared" si="68"/>
        <v>0.73135370161917068</v>
      </c>
      <c r="F335" s="24">
        <f t="shared" si="69"/>
        <v>-0.93251508613766121</v>
      </c>
      <c r="G335" s="24">
        <f t="shared" si="70"/>
        <v>-1.072368710024683</v>
      </c>
      <c r="H335" s="24">
        <f t="shared" si="71"/>
        <v>1.3673274610985948</v>
      </c>
      <c r="I335" s="29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25">
        <v>318</v>
      </c>
      <c r="C336" s="24">
        <f t="shared" si="63"/>
        <v>5.5501470213419681</v>
      </c>
      <c r="D336" s="24">
        <f t="shared" si="67"/>
        <v>-0.66913060635885813</v>
      </c>
      <c r="E336" s="24">
        <f t="shared" si="68"/>
        <v>0.74314482547739424</v>
      </c>
      <c r="F336" s="24">
        <f t="shared" si="69"/>
        <v>-0.90040404429783982</v>
      </c>
      <c r="G336" s="24">
        <f t="shared" si="70"/>
        <v>-1.110612514829193</v>
      </c>
      <c r="H336" s="24">
        <f t="shared" si="71"/>
        <v>1.3456327296063761</v>
      </c>
      <c r="I336" s="29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25">
        <v>319</v>
      </c>
      <c r="C337" s="24">
        <f t="shared" si="63"/>
        <v>5.5676003138619112</v>
      </c>
      <c r="D337" s="24">
        <f t="shared" si="67"/>
        <v>-0.65605902899050739</v>
      </c>
      <c r="E337" s="24">
        <f t="shared" si="68"/>
        <v>0.7547095802227719</v>
      </c>
      <c r="F337" s="24">
        <f t="shared" si="69"/>
        <v>-0.8692867378162269</v>
      </c>
      <c r="G337" s="24">
        <f t="shared" si="70"/>
        <v>-1.1503684072210092</v>
      </c>
      <c r="H337" s="24">
        <f t="shared" si="71"/>
        <v>1.3250129933488115</v>
      </c>
      <c r="I337" s="29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25">
        <v>320</v>
      </c>
      <c r="C338" s="24">
        <f t="shared" si="63"/>
        <v>5.5850536063818543</v>
      </c>
      <c r="D338" s="24">
        <f t="shared" si="67"/>
        <v>-0.64278760968653958</v>
      </c>
      <c r="E338" s="24">
        <f t="shared" si="68"/>
        <v>0.76604444311897779</v>
      </c>
      <c r="F338" s="24">
        <f t="shared" si="69"/>
        <v>-0.83909963117728059</v>
      </c>
      <c r="G338" s="24">
        <f t="shared" si="70"/>
        <v>-1.1917535925942091</v>
      </c>
      <c r="H338" s="24">
        <f t="shared" si="71"/>
        <v>1.305407289332279</v>
      </c>
      <c r="I338" s="29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25">
        <v>321</v>
      </c>
      <c r="C339" s="24">
        <f t="shared" ref="C339:C378" si="74">B339*PI()/180</f>
        <v>5.6025068989017974</v>
      </c>
      <c r="D339" s="24">
        <f t="shared" si="67"/>
        <v>-0.62932039104983784</v>
      </c>
      <c r="E339" s="24">
        <f t="shared" si="68"/>
        <v>0.77714596145697057</v>
      </c>
      <c r="F339" s="24">
        <f t="shared" si="69"/>
        <v>-0.80978403319500802</v>
      </c>
      <c r="G339" s="24">
        <f t="shared" si="70"/>
        <v>-1.2348971565350502</v>
      </c>
      <c r="H339" s="24">
        <f t="shared" si="71"/>
        <v>1.2867595658931679</v>
      </c>
      <c r="I339" s="29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25">
        <v>322</v>
      </c>
      <c r="C340" s="24">
        <f t="shared" si="74"/>
        <v>5.6199601914217405</v>
      </c>
      <c r="D340" s="24">
        <f t="shared" si="67"/>
        <v>-0.61566147532565885</v>
      </c>
      <c r="E340" s="24">
        <f t="shared" si="68"/>
        <v>0.78801075360672157</v>
      </c>
      <c r="F340" s="24">
        <f t="shared" si="69"/>
        <v>-0.78128562650671851</v>
      </c>
      <c r="G340" s="24">
        <f t="shared" si="70"/>
        <v>-1.279941632193077</v>
      </c>
      <c r="H340" s="24">
        <f t="shared" si="71"/>
        <v>1.2690182150725795</v>
      </c>
      <c r="I340" s="29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25">
        <v>323</v>
      </c>
      <c r="C341" s="24">
        <f t="shared" si="74"/>
        <v>5.6374134839416845</v>
      </c>
      <c r="D341" s="24">
        <f t="shared" si="67"/>
        <v>-0.60181502315204827</v>
      </c>
      <c r="E341" s="24">
        <f t="shared" si="68"/>
        <v>0.79863551004729283</v>
      </c>
      <c r="F341" s="24">
        <f t="shared" si="69"/>
        <v>-0.75355405010279419</v>
      </c>
      <c r="G341" s="24">
        <f t="shared" si="70"/>
        <v>-1.32704482162041</v>
      </c>
      <c r="H341" s="24">
        <f t="shared" si="71"/>
        <v>1.2521356581562257</v>
      </c>
      <c r="I341" s="29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25">
        <v>324</v>
      </c>
      <c r="C342" s="24">
        <f t="shared" si="74"/>
        <v>5.6548667764616276</v>
      </c>
      <c r="D342" s="24">
        <f t="shared" si="67"/>
        <v>-0.58778525229247336</v>
      </c>
      <c r="E342" s="24">
        <f t="shared" si="68"/>
        <v>0.80901699437494734</v>
      </c>
      <c r="F342" s="24">
        <f t="shared" si="69"/>
        <v>-0.72654252800536123</v>
      </c>
      <c r="G342" s="24">
        <f t="shared" si="70"/>
        <v>-1.3763819204711729</v>
      </c>
      <c r="H342" s="24">
        <f t="shared" si="71"/>
        <v>1.2360679774997898</v>
      </c>
      <c r="I342" s="29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25">
        <v>325</v>
      </c>
      <c r="C343" s="24">
        <f t="shared" si="74"/>
        <v>5.6723200689815707</v>
      </c>
      <c r="D343" s="24">
        <f t="shared" si="67"/>
        <v>-0.57357643635104649</v>
      </c>
      <c r="E343" s="24">
        <f t="shared" si="68"/>
        <v>0.81915204428899158</v>
      </c>
      <c r="F343" s="24">
        <f t="shared" si="69"/>
        <v>-0.70020753820971038</v>
      </c>
      <c r="G343" s="24">
        <f t="shared" si="70"/>
        <v>-1.4281480067421133</v>
      </c>
      <c r="H343" s="24">
        <f t="shared" si="71"/>
        <v>1.2207745887614563</v>
      </c>
      <c r="I343" s="29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25">
        <v>326</v>
      </c>
      <c r="C344" s="24">
        <f t="shared" si="74"/>
        <v>5.6897733615015138</v>
      </c>
      <c r="D344" s="24">
        <f t="shared" si="67"/>
        <v>-0.55919290347074735</v>
      </c>
      <c r="E344" s="24">
        <f t="shared" si="68"/>
        <v>0.8290375725550414</v>
      </c>
      <c r="F344" s="24">
        <f t="shared" si="69"/>
        <v>-0.67450851684242752</v>
      </c>
      <c r="G344" s="24">
        <f t="shared" si="70"/>
        <v>-1.4825609685127383</v>
      </c>
      <c r="H344" s="24">
        <f t="shared" si="71"/>
        <v>1.2062179485039057</v>
      </c>
      <c r="I344" s="29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25">
        <v>327</v>
      </c>
      <c r="C345" s="24">
        <f t="shared" si="74"/>
        <v>5.7072266540214578</v>
      </c>
      <c r="D345" s="24">
        <f t="shared" si="67"/>
        <v>-0.54463903501502697</v>
      </c>
      <c r="E345" s="24">
        <f t="shared" si="68"/>
        <v>0.83867056794542405</v>
      </c>
      <c r="F345" s="24">
        <f t="shared" si="69"/>
        <v>-0.64940759319751051</v>
      </c>
      <c r="G345" s="24">
        <f t="shared" si="70"/>
        <v>-1.5398649638145832</v>
      </c>
      <c r="H345" s="24">
        <f t="shared" si="71"/>
        <v>1.1923632928359473</v>
      </c>
      <c r="I345" s="29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25">
        <v>328</v>
      </c>
      <c r="C346" s="24">
        <f t="shared" si="74"/>
        <v>5.7246799465414</v>
      </c>
      <c r="D346" s="24">
        <f t="shared" si="67"/>
        <v>-0.52991926423320579</v>
      </c>
      <c r="E346" s="24">
        <f t="shared" si="68"/>
        <v>0.8480480961564254</v>
      </c>
      <c r="F346" s="24">
        <f t="shared" si="69"/>
        <v>-0.62486935190932891</v>
      </c>
      <c r="G346" s="24">
        <f t="shared" si="70"/>
        <v>-1.6003345290410467</v>
      </c>
      <c r="H346" s="24">
        <f t="shared" si="71"/>
        <v>1.1791784033620971</v>
      </c>
      <c r="I346" s="29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25">
        <v>329</v>
      </c>
      <c r="C347" s="24">
        <f t="shared" si="74"/>
        <v>5.742133239061344</v>
      </c>
      <c r="D347" s="24">
        <f t="shared" si="67"/>
        <v>-0.51503807491005449</v>
      </c>
      <c r="E347" s="24">
        <f t="shared" si="68"/>
        <v>0.85716730070211211</v>
      </c>
      <c r="F347" s="24">
        <f t="shared" si="69"/>
        <v>-0.60086061902756083</v>
      </c>
      <c r="G347" s="24">
        <f t="shared" si="70"/>
        <v>-1.6642794823505167</v>
      </c>
      <c r="H347" s="24">
        <f t="shared" si="71"/>
        <v>1.1666333972153307</v>
      </c>
      <c r="I347" s="29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25">
        <v>330</v>
      </c>
      <c r="C348" s="24">
        <f t="shared" si="74"/>
        <v>5.7595865315812871</v>
      </c>
      <c r="D348" s="24">
        <f t="shared" si="67"/>
        <v>-0.50000000000000044</v>
      </c>
      <c r="E348" s="24">
        <f t="shared" si="68"/>
        <v>0.86602540378443837</v>
      </c>
      <c r="F348" s="24">
        <f t="shared" si="69"/>
        <v>-0.57735026918962651</v>
      </c>
      <c r="G348" s="24">
        <f t="shared" si="70"/>
        <v>-1.732050807568875</v>
      </c>
      <c r="H348" s="24">
        <f t="shared" si="71"/>
        <v>1.1547005383792519</v>
      </c>
      <c r="I348" s="29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25">
        <v>331</v>
      </c>
      <c r="C349" s="24">
        <f t="shared" si="74"/>
        <v>5.7770398241012311</v>
      </c>
      <c r="D349" s="24">
        <f t="shared" si="67"/>
        <v>-0.48480962024633689</v>
      </c>
      <c r="E349" s="24">
        <f t="shared" si="68"/>
        <v>0.87461970713939585</v>
      </c>
      <c r="F349" s="24">
        <f t="shared" si="69"/>
        <v>-0.55430905145276865</v>
      </c>
      <c r="G349" s="24">
        <f t="shared" si="70"/>
        <v>-1.8040477552714247</v>
      </c>
      <c r="H349" s="24">
        <f t="shared" si="71"/>
        <v>1.1433540678733198</v>
      </c>
      <c r="I349" s="29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25">
        <v>332</v>
      </c>
      <c r="C350" s="24">
        <f t="shared" si="74"/>
        <v>5.7944931166211742</v>
      </c>
      <c r="D350" s="24">
        <f t="shared" si="67"/>
        <v>-0.46947156278589081</v>
      </c>
      <c r="E350" s="24">
        <f t="shared" si="68"/>
        <v>0.88294759285892688</v>
      </c>
      <c r="F350" s="24">
        <f t="shared" si="69"/>
        <v>-0.53170943166147877</v>
      </c>
      <c r="G350" s="24">
        <f t="shared" si="70"/>
        <v>-1.880726465346332</v>
      </c>
      <c r="H350" s="24">
        <f t="shared" si="71"/>
        <v>1.1325700506890393</v>
      </c>
      <c r="I350" s="29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25">
        <v>333</v>
      </c>
      <c r="C351" s="24">
        <f t="shared" si="74"/>
        <v>5.8119464091411173</v>
      </c>
      <c r="D351" s="24">
        <f t="shared" si="67"/>
        <v>-0.45399049973954697</v>
      </c>
      <c r="E351" s="24">
        <f t="shared" si="68"/>
        <v>0.89100652418836779</v>
      </c>
      <c r="F351" s="24">
        <f t="shared" si="69"/>
        <v>-0.50952544949442913</v>
      </c>
      <c r="G351" s="24">
        <f t="shared" si="70"/>
        <v>-1.9626105055051493</v>
      </c>
      <c r="H351" s="24">
        <f t="shared" si="71"/>
        <v>1.1223262376343608</v>
      </c>
      <c r="I351" s="29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25">
        <v>334</v>
      </c>
      <c r="C352" s="24">
        <f t="shared" si="74"/>
        <v>5.8293997016610613</v>
      </c>
      <c r="D352" s="24">
        <f t="shared" si="67"/>
        <v>-0.43837114678907702</v>
      </c>
      <c r="E352" s="24">
        <f t="shared" si="68"/>
        <v>0.89879404629916715</v>
      </c>
      <c r="F352" s="24">
        <f t="shared" si="69"/>
        <v>-0.48773258856586083</v>
      </c>
      <c r="G352" s="24">
        <f t="shared" si="70"/>
        <v>-2.0503038415792987</v>
      </c>
      <c r="H352" s="24">
        <f t="shared" si="71"/>
        <v>1.1126019404751888</v>
      </c>
      <c r="I352" s="29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25">
        <v>335</v>
      </c>
      <c r="C353" s="24">
        <f t="shared" si="74"/>
        <v>5.8468529941810035</v>
      </c>
      <c r="D353" s="24">
        <f t="shared" si="67"/>
        <v>-0.4226182617407</v>
      </c>
      <c r="E353" s="24">
        <f t="shared" si="68"/>
        <v>0.90630778703664971</v>
      </c>
      <c r="F353" s="24">
        <f t="shared" si="69"/>
        <v>-0.46630765815499936</v>
      </c>
      <c r="G353" s="24">
        <f t="shared" si="70"/>
        <v>-2.144506920509555</v>
      </c>
      <c r="H353" s="24">
        <f t="shared" si="71"/>
        <v>1.1033779189624922</v>
      </c>
      <c r="I353" s="29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25">
        <v>336</v>
      </c>
      <c r="C354" s="24">
        <f t="shared" si="74"/>
        <v>5.8643062867009474</v>
      </c>
      <c r="D354" s="24">
        <f t="shared" si="67"/>
        <v>-0.40673664307580015</v>
      </c>
      <c r="E354" s="24">
        <f t="shared" si="68"/>
        <v>0.91354545764260098</v>
      </c>
      <c r="F354" s="24">
        <f t="shared" si="69"/>
        <v>-0.4452286853085361</v>
      </c>
      <c r="G354" s="24">
        <f t="shared" si="70"/>
        <v>-2.2460367739042164</v>
      </c>
      <c r="H354" s="24">
        <f t="shared" si="71"/>
        <v>1.0946362785060466</v>
      </c>
      <c r="I354" s="29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25">
        <v>337</v>
      </c>
      <c r="C355" s="24">
        <f t="shared" si="74"/>
        <v>5.8817595792208897</v>
      </c>
      <c r="D355" s="24">
        <f t="shared" si="67"/>
        <v>-0.39073112848927471</v>
      </c>
      <c r="E355" s="24">
        <f t="shared" si="68"/>
        <v>0.92050485345243993</v>
      </c>
      <c r="F355" s="24">
        <f t="shared" si="69"/>
        <v>-0.42447481620960592</v>
      </c>
      <c r="G355" s="24">
        <f t="shared" si="70"/>
        <v>-2.3558523658237465</v>
      </c>
      <c r="H355" s="24">
        <f t="shared" si="71"/>
        <v>1.0863603774052968</v>
      </c>
      <c r="I355" s="29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25">
        <v>338</v>
      </c>
      <c r="C356" s="24">
        <f t="shared" si="74"/>
        <v>5.8992128717408336</v>
      </c>
      <c r="D356" s="24">
        <f t="shared" si="67"/>
        <v>-0.37460659341591235</v>
      </c>
      <c r="E356" s="24">
        <f t="shared" si="68"/>
        <v>0.92718385456678731</v>
      </c>
      <c r="F356" s="24">
        <f t="shared" si="69"/>
        <v>-0.40402622583515718</v>
      </c>
      <c r="G356" s="24">
        <f t="shared" si="70"/>
        <v>-2.4750868534162938</v>
      </c>
      <c r="H356" s="24">
        <f t="shared" si="71"/>
        <v>1.0785347426775835</v>
      </c>
      <c r="I356" s="29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25">
        <v>339</v>
      </c>
      <c r="C357" s="24">
        <f t="shared" si="74"/>
        <v>5.9166661642607767</v>
      </c>
      <c r="D357" s="24">
        <f t="shared" si="67"/>
        <v>-0.35836794954530077</v>
      </c>
      <c r="E357" s="24">
        <f t="shared" si="68"/>
        <v>0.93358042649720152</v>
      </c>
      <c r="F357" s="24">
        <f t="shared" si="69"/>
        <v>-0.38386403503541638</v>
      </c>
      <c r="G357" s="24">
        <f t="shared" si="70"/>
        <v>-2.6050890646937974</v>
      </c>
      <c r="H357" s="24">
        <f t="shared" si="71"/>
        <v>1.0711449936370292</v>
      </c>
      <c r="I357" s="29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25">
        <v>340</v>
      </c>
      <c r="C358" s="24">
        <f t="shared" si="74"/>
        <v>5.9341194567807207</v>
      </c>
      <c r="D358" s="24">
        <f t="shared" si="67"/>
        <v>-0.3420201433256686</v>
      </c>
      <c r="E358" s="24">
        <f t="shared" si="68"/>
        <v>0.93969262078590843</v>
      </c>
      <c r="F358" s="24">
        <f t="shared" si="69"/>
        <v>-0.36397023426620218</v>
      </c>
      <c r="G358" s="24">
        <f t="shared" si="70"/>
        <v>-2.7474774194546239</v>
      </c>
      <c r="H358" s="24">
        <f t="shared" si="71"/>
        <v>1.0641777724759121</v>
      </c>
      <c r="I358" s="29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25">
        <v>341</v>
      </c>
      <c r="C359" s="24">
        <f t="shared" si="74"/>
        <v>5.9515727493006629</v>
      </c>
      <c r="D359" s="24">
        <f t="shared" si="67"/>
        <v>-0.32556815445715753</v>
      </c>
      <c r="E359" s="24">
        <f t="shared" si="68"/>
        <v>0.94551857559931651</v>
      </c>
      <c r="F359" s="24">
        <f t="shared" si="69"/>
        <v>-0.34432761328966627</v>
      </c>
      <c r="G359" s="24">
        <f t="shared" si="70"/>
        <v>-2.9042108776758142</v>
      </c>
      <c r="H359" s="24">
        <f t="shared" si="71"/>
        <v>1.0576206811866711</v>
      </c>
      <c r="I359" s="29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25">
        <v>342</v>
      </c>
      <c r="C360" s="24">
        <f t="shared" si="74"/>
        <v>5.9690260418206069</v>
      </c>
      <c r="D360" s="24">
        <f t="shared" si="67"/>
        <v>-0.30901699437494762</v>
      </c>
      <c r="E360" s="24">
        <f t="shared" si="68"/>
        <v>0.95105651629515353</v>
      </c>
      <c r="F360" s="24">
        <f t="shared" si="69"/>
        <v>-0.32491969623290656</v>
      </c>
      <c r="G360" s="24">
        <f t="shared" si="70"/>
        <v>-3.0776835371752513</v>
      </c>
      <c r="H360" s="24">
        <f t="shared" si="71"/>
        <v>1.0514622242382672</v>
      </c>
      <c r="I360" s="29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25">
        <v>343</v>
      </c>
      <c r="C361" s="24">
        <f t="shared" si="74"/>
        <v>5.9864793343405509</v>
      </c>
      <c r="D361" s="24">
        <f t="shared" si="67"/>
        <v>-0.29237170472273627</v>
      </c>
      <c r="E361" s="24">
        <f t="shared" si="68"/>
        <v>0.95630475596303566</v>
      </c>
      <c r="F361" s="24">
        <f t="shared" si="69"/>
        <v>-0.30573068145865984</v>
      </c>
      <c r="G361" s="24">
        <f t="shared" si="70"/>
        <v>-3.2708526184841462</v>
      </c>
      <c r="H361" s="24">
        <f t="shared" si="71"/>
        <v>1.0456917564871477</v>
      </c>
      <c r="I361" s="29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25">
        <v>344</v>
      </c>
      <c r="C362" s="24">
        <f t="shared" si="74"/>
        <v>6.0039326268604931</v>
      </c>
      <c r="D362" s="24">
        <f t="shared" si="67"/>
        <v>-0.27563735581699977</v>
      </c>
      <c r="E362" s="24">
        <f t="shared" si="68"/>
        <v>0.96126169593831867</v>
      </c>
      <c r="F362" s="24">
        <f t="shared" si="69"/>
        <v>-0.28674538575880865</v>
      </c>
      <c r="G362" s="24">
        <f t="shared" si="70"/>
        <v>-3.4874144438409003</v>
      </c>
      <c r="H362" s="24">
        <f t="shared" si="71"/>
        <v>1.0402994358616022</v>
      </c>
      <c r="I362" s="29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25">
        <v>345</v>
      </c>
      <c r="C363" s="24">
        <f t="shared" si="74"/>
        <v>6.0213859193804371</v>
      </c>
      <c r="D363" s="24">
        <f t="shared" si="67"/>
        <v>-0.25881904510252068</v>
      </c>
      <c r="E363" s="24">
        <f t="shared" si="68"/>
        <v>0.96592582628906831</v>
      </c>
      <c r="F363" s="24">
        <f t="shared" si="69"/>
        <v>-0.26794919243112264</v>
      </c>
      <c r="G363" s="24">
        <f t="shared" si="70"/>
        <v>-3.7320508075688781</v>
      </c>
      <c r="H363" s="24">
        <f t="shared" si="71"/>
        <v>1.035276180410083</v>
      </c>
      <c r="I363" s="29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25">
        <v>346</v>
      </c>
      <c r="C364" s="24">
        <f t="shared" si="74"/>
        <v>6.0388392119003802</v>
      </c>
      <c r="D364" s="24">
        <f t="shared" si="67"/>
        <v>-0.24192189559966787</v>
      </c>
      <c r="E364" s="24">
        <f t="shared" si="68"/>
        <v>0.97029572627599647</v>
      </c>
      <c r="F364" s="24">
        <f t="shared" si="69"/>
        <v>-0.24932800284318082</v>
      </c>
      <c r="G364" s="24">
        <f t="shared" si="70"/>
        <v>-4.0107809335358429</v>
      </c>
      <c r="H364" s="24">
        <f t="shared" si="71"/>
        <v>1.0306136293498982</v>
      </c>
      <c r="I364" s="29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25">
        <v>347</v>
      </c>
      <c r="C365" s="24">
        <f t="shared" si="74"/>
        <v>6.0562925044203233</v>
      </c>
      <c r="D365" s="24">
        <f t="shared" si="67"/>
        <v>-0.22495105434386534</v>
      </c>
      <c r="E365" s="24">
        <f t="shared" si="68"/>
        <v>0.97437006478523513</v>
      </c>
      <c r="F365" s="24">
        <f t="shared" si="69"/>
        <v>-0.23086819112556348</v>
      </c>
      <c r="G365" s="24">
        <f t="shared" si="70"/>
        <v>-4.3314758742841484</v>
      </c>
      <c r="H365" s="24">
        <f t="shared" si="71"/>
        <v>1.0263041077933917</v>
      </c>
      <c r="I365" s="29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25">
        <v>348</v>
      </c>
      <c r="C366" s="24">
        <f t="shared" si="74"/>
        <v>6.0737457969402664</v>
      </c>
      <c r="D366" s="24">
        <f t="shared" si="67"/>
        <v>-0.20791169081775987</v>
      </c>
      <c r="E366" s="24">
        <f t="shared" si="68"/>
        <v>0.97814760073380558</v>
      </c>
      <c r="F366" s="24">
        <f t="shared" si="69"/>
        <v>-0.21255656167002268</v>
      </c>
      <c r="G366" s="24">
        <f t="shared" si="70"/>
        <v>-4.7046301094784422</v>
      </c>
      <c r="H366" s="24">
        <f t="shared" si="71"/>
        <v>1.0223405948650293</v>
      </c>
      <c r="I366" s="29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25">
        <v>349</v>
      </c>
      <c r="C367" s="24">
        <f t="shared" si="74"/>
        <v>6.0911990894602104</v>
      </c>
      <c r="D367" s="24">
        <f t="shared" si="67"/>
        <v>-0.19080899537654467</v>
      </c>
      <c r="E367" s="24">
        <f t="shared" si="68"/>
        <v>0.98162718344766398</v>
      </c>
      <c r="F367" s="24">
        <f t="shared" si="69"/>
        <v>-0.19438030913771831</v>
      </c>
      <c r="G367" s="24">
        <f t="shared" si="70"/>
        <v>-5.1445540159703151</v>
      </c>
      <c r="H367" s="24">
        <f t="shared" si="71"/>
        <v>1.0187166949552142</v>
      </c>
      <c r="I367" s="29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25">
        <v>350</v>
      </c>
      <c r="C368" s="24">
        <f t="shared" si="74"/>
        <v>6.1086523819801526</v>
      </c>
      <c r="D368" s="24">
        <f t="shared" si="67"/>
        <v>-0.17364817766693127</v>
      </c>
      <c r="E368" s="24">
        <f t="shared" si="68"/>
        <v>0.98480775301220791</v>
      </c>
      <c r="F368" s="24">
        <f t="shared" si="69"/>
        <v>-0.17632698070846592</v>
      </c>
      <c r="G368" s="24">
        <f t="shared" si="70"/>
        <v>-5.6712818196176791</v>
      </c>
      <c r="H368" s="24">
        <f t="shared" si="71"/>
        <v>1.0154266118857451</v>
      </c>
      <c r="I368" s="29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25">
        <v>351</v>
      </c>
      <c r="C369" s="24">
        <f t="shared" si="74"/>
        <v>6.1261056745000966</v>
      </c>
      <c r="D369" s="24">
        <f t="shared" si="67"/>
        <v>-0.15643446504023112</v>
      </c>
      <c r="E369" s="24">
        <f t="shared" si="68"/>
        <v>0.98768834059513766</v>
      </c>
      <c r="F369" s="24">
        <f t="shared" si="69"/>
        <v>-0.15838444032453655</v>
      </c>
      <c r="G369" s="24">
        <f t="shared" si="70"/>
        <v>-6.3137515146750331</v>
      </c>
      <c r="H369" s="24">
        <f t="shared" si="71"/>
        <v>1.0124651257880031</v>
      </c>
      <c r="I369" s="29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25">
        <v>352</v>
      </c>
      <c r="C370" s="24">
        <f t="shared" si="74"/>
        <v>6.1435589670200397</v>
      </c>
      <c r="D370" s="24">
        <f t="shared" si="67"/>
        <v>-0.13917310096006588</v>
      </c>
      <c r="E370" s="24">
        <f t="shared" si="68"/>
        <v>0.99026806874157025</v>
      </c>
      <c r="F370" s="24">
        <f t="shared" si="69"/>
        <v>-0.1405408347023919</v>
      </c>
      <c r="G370" s="24">
        <f t="shared" si="70"/>
        <v>-7.1153697223841856</v>
      </c>
      <c r="H370" s="24">
        <f t="shared" si="71"/>
        <v>1.0098275725186181</v>
      </c>
      <c r="I370" s="29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25">
        <v>353</v>
      </c>
      <c r="C371" s="24">
        <f t="shared" si="74"/>
        <v>6.1610122595399828</v>
      </c>
      <c r="D371" s="24">
        <f t="shared" si="67"/>
        <v>-0.12186934340514811</v>
      </c>
      <c r="E371" s="24">
        <f t="shared" si="68"/>
        <v>0.99254615164132198</v>
      </c>
      <c r="F371" s="24">
        <f t="shared" si="69"/>
        <v>-0.12278456090290524</v>
      </c>
      <c r="G371" s="24">
        <f t="shared" si="70"/>
        <v>-8.1443464279745506</v>
      </c>
      <c r="H371" s="24">
        <f t="shared" si="71"/>
        <v>1.0075098254588484</v>
      </c>
      <c r="I371" s="29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25">
        <v>354</v>
      </c>
      <c r="C372" s="24">
        <f t="shared" si="74"/>
        <v>6.1784655520599268</v>
      </c>
      <c r="D372" s="24">
        <f t="shared" si="67"/>
        <v>-0.10452846326765342</v>
      </c>
      <c r="E372" s="24">
        <f t="shared" si="68"/>
        <v>0.99452189536827329</v>
      </c>
      <c r="F372" s="24">
        <f t="shared" si="69"/>
        <v>-0.1051042352656764</v>
      </c>
      <c r="G372" s="24">
        <f t="shared" si="70"/>
        <v>-9.5143644542225907</v>
      </c>
      <c r="H372" s="24">
        <f t="shared" si="71"/>
        <v>1.0055082795635164</v>
      </c>
      <c r="I372" s="29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25">
        <v>355</v>
      </c>
      <c r="C373" s="24">
        <f t="shared" si="74"/>
        <v>6.1959188445798699</v>
      </c>
      <c r="D373" s="24">
        <f t="shared" si="67"/>
        <v>-8.7155742747658319E-2</v>
      </c>
      <c r="E373" s="24">
        <f t="shared" si="68"/>
        <v>0.99619469809174555</v>
      </c>
      <c r="F373" s="24">
        <f t="shared" si="69"/>
        <v>-8.7488663525924146E-2</v>
      </c>
      <c r="G373" s="24">
        <f t="shared" si="70"/>
        <v>-11</v>
      </c>
      <c r="H373" s="24">
        <f t="shared" si="71"/>
        <v>1.0038198375433474</v>
      </c>
      <c r="I373" s="29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25">
        <v>356</v>
      </c>
      <c r="C374" s="24">
        <f t="shared" si="74"/>
        <v>6.2133721370998138</v>
      </c>
      <c r="D374" s="24">
        <f t="shared" si="67"/>
        <v>-6.9756473744124761E-2</v>
      </c>
      <c r="E374" s="24">
        <f t="shared" si="68"/>
        <v>0.99756405025982431</v>
      </c>
      <c r="F374" s="24">
        <f t="shared" si="69"/>
        <v>-6.9926811943509859E-2</v>
      </c>
      <c r="G374" s="24">
        <f t="shared" si="70"/>
        <v>-11</v>
      </c>
      <c r="H374" s="24">
        <f t="shared" si="71"/>
        <v>1.002441898081172</v>
      </c>
      <c r="I374" s="29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25">
        <v>357</v>
      </c>
      <c r="C375" s="24">
        <f t="shared" si="74"/>
        <v>6.2308254296197561</v>
      </c>
      <c r="D375" s="24">
        <f t="shared" si="67"/>
        <v>-5.2335956242944369E-2</v>
      </c>
      <c r="E375" s="24">
        <f t="shared" si="68"/>
        <v>0.99862953475457383</v>
      </c>
      <c r="F375" s="24">
        <f t="shared" si="69"/>
        <v>-5.2407779283041744E-2</v>
      </c>
      <c r="G375" s="24">
        <f t="shared" si="70"/>
        <v>-11</v>
      </c>
      <c r="H375" s="24">
        <f t="shared" si="71"/>
        <v>1.0013723459979209</v>
      </c>
      <c r="I375" s="29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25">
        <v>358</v>
      </c>
      <c r="C376" s="24">
        <f t="shared" si="74"/>
        <v>6.2482787221397</v>
      </c>
      <c r="D376" s="24">
        <f t="shared" si="67"/>
        <v>-3.4899496702500823E-2</v>
      </c>
      <c r="E376" s="24">
        <f t="shared" si="68"/>
        <v>0.99939082701909576</v>
      </c>
      <c r="F376" s="24">
        <f t="shared" si="69"/>
        <v>-3.4920769491747577E-2</v>
      </c>
      <c r="G376" s="24">
        <f t="shared" si="70"/>
        <v>-11</v>
      </c>
      <c r="H376" s="24">
        <f t="shared" si="71"/>
        <v>1.0006095442988217</v>
      </c>
      <c r="I376" s="29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25">
        <v>359</v>
      </c>
      <c r="C377" s="24">
        <f t="shared" si="74"/>
        <v>6.2657320146596422</v>
      </c>
      <c r="D377" s="24">
        <f t="shared" si="67"/>
        <v>-1.7452406437284448E-2</v>
      </c>
      <c r="E377" s="24">
        <f t="shared" ref="E377" si="79">IF(COS(C377)&gt;$I$3,$I$3,(IF(COS(C377)&lt;-$I$3,-$I$3,COS(C377))))</f>
        <v>0.99984769515639127</v>
      </c>
      <c r="F377" s="24">
        <f t="shared" ref="F377" si="80">IF(TAN(C377)&gt;$I$3,$I$3,(IF(TAN(C377)&lt;-$I$3,-$I$3,TAN(C377))))</f>
        <v>-1.7455064928218522E-2</v>
      </c>
      <c r="G377" s="24">
        <f t="shared" ref="G377" si="81">IF(_xlfn.COT(C377)&gt;$I$3,$I$3,(IF(_xlfn.COT(C377)&lt;-$I$3,-$I$3,_xlfn.COT(C377))))</f>
        <v>-11</v>
      </c>
      <c r="H377" s="24">
        <f t="shared" ref="H377" si="82">IF(_xlfn.SEC(C377)&gt;$I$3,$I$3,(IF(_xlfn.SEC(C377)&lt;-$I$3,-$I$3,_xlfn.SEC(C377))))</f>
        <v>1.0001523280439077</v>
      </c>
      <c r="I377" s="29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26">
        <v>360</v>
      </c>
      <c r="C378" s="30">
        <f t="shared" si="74"/>
        <v>6.2831853071795862</v>
      </c>
      <c r="D378" s="30">
        <f t="shared" si="67"/>
        <v>-2.45029690981724E-16</v>
      </c>
      <c r="E378" s="30">
        <f t="shared" si="68"/>
        <v>1</v>
      </c>
      <c r="F378" s="30">
        <f t="shared" si="69"/>
        <v>-2.45029690981724E-16</v>
      </c>
      <c r="G378" s="30">
        <f t="shared" si="70"/>
        <v>-11</v>
      </c>
      <c r="H378" s="30">
        <f t="shared" si="71"/>
        <v>1</v>
      </c>
      <c r="I378" s="31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bUDpoSNVUqzFLL23IAjWcJUqk2uQ3a9un4Cl6dCaIn7Gh2mhcyEaoh/IDcmpReF41FywFOyY64rZ78JkzMWpQ==" saltValue="2hriaGTtk7A37S19fpJjXA==" spinCount="100000" sheet="1" objects="1" scenarios="1"/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21" sqref="E21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4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5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Parabola</vt:lpstr>
      <vt:lpstr>PistaAtlDiscoRect</vt:lpstr>
      <vt:lpstr>Trigonometrica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2026-08-19T13:33:59Z</dcterms:modified>
</cp:coreProperties>
</file>