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4B42D248-65AB-4931-B6D1-8FEFF2A99018}" xr6:coauthVersionLast="47" xr6:coauthVersionMax="47" xr10:uidLastSave="{00000000-0000-0000-0000-000000000000}"/>
  <bookViews>
    <workbookView xWindow="4068" yWindow="-13068" windowWidth="23256" windowHeight="12456" tabRatio="684" firstSheet="2" activeTab="5" xr2:uid="{9A4D6CE6-1E62-441D-8A43-C5F05171BE31}"/>
  </bookViews>
  <sheets>
    <sheet name="ElipseTabla" sheetId="1" r:id="rId1"/>
    <sheet name="ElipseGráfico" sheetId="3" r:id="rId2"/>
    <sheet name="ElipseAutoCAD" sheetId="4" r:id="rId3"/>
    <sheet name="HiperbolaTabla" sheetId="6" r:id="rId4"/>
    <sheet name="HiperbolaAutoCAD" sheetId="7" r:id="rId5"/>
    <sheet name="Trigonometrica" sheetId="8" r:id="rId6"/>
    <sheet name="Metadata" sheetId="5" r:id="rId7"/>
  </sheets>
  <definedNames>
    <definedName name="a_elipse">ElipseTabla!$D$7</definedName>
    <definedName name="a_hiperbola">HiperbolaTabla!$D$7</definedName>
    <definedName name="b_elipse">ElipseTabla!$D$8</definedName>
    <definedName name="b_hiperbola">HiperbolaTabla!$D$8</definedName>
    <definedName name="h_elipse">ElipseTabla!$D$5</definedName>
    <definedName name="k_elipse">ElipseTabla!$D$6</definedName>
    <definedName name="np_elipse">ElipseTabla!$D$9</definedName>
    <definedName name="np_hiperbola">HiperbolaTabla!$D$9</definedName>
    <definedName name="xend_hiperbola">HiperbolaTabla!$D$6</definedName>
    <definedName name="xstart_hiperbola">HiperbolaTabla!$D$5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8" l="1"/>
  <c r="G22" i="8"/>
  <c r="G24" i="8"/>
  <c r="G27" i="8"/>
  <c r="G30" i="8"/>
  <c r="G32" i="8"/>
  <c r="G35" i="8"/>
  <c r="G38" i="8"/>
  <c r="G40" i="8"/>
  <c r="G43" i="8"/>
  <c r="G46" i="8"/>
  <c r="G48" i="8"/>
  <c r="G54" i="8"/>
  <c r="G56" i="8"/>
  <c r="I18" i="8"/>
  <c r="I21" i="8"/>
  <c r="I23" i="8"/>
  <c r="I26" i="8"/>
  <c r="I29" i="8"/>
  <c r="I31" i="8"/>
  <c r="I34" i="8"/>
  <c r="I37" i="8"/>
  <c r="I39" i="8"/>
  <c r="I42" i="8"/>
  <c r="I45" i="8"/>
  <c r="I47" i="8"/>
  <c r="I50" i="8"/>
  <c r="I53" i="8"/>
  <c r="I55" i="8"/>
  <c r="I58" i="8"/>
  <c r="H20" i="8"/>
  <c r="H22" i="8"/>
  <c r="H25" i="8"/>
  <c r="H28" i="8"/>
  <c r="H30" i="8"/>
  <c r="H33" i="8"/>
  <c r="H36" i="8"/>
  <c r="H38" i="8"/>
  <c r="H41" i="8"/>
  <c r="H44" i="8"/>
  <c r="H46" i="8"/>
  <c r="H49" i="8"/>
  <c r="H52" i="8"/>
  <c r="H54" i="8"/>
  <c r="H57" i="8"/>
  <c r="H60" i="8"/>
  <c r="H17" i="8"/>
  <c r="O18" i="8" s="1"/>
  <c r="E17" i="8"/>
  <c r="L18" i="8" s="1"/>
  <c r="D17" i="8"/>
  <c r="K18" i="8" s="1"/>
  <c r="F28" i="8"/>
  <c r="F17" i="8"/>
  <c r="M18" i="8" s="1"/>
  <c r="C18" i="8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D60" i="8" s="1"/>
  <c r="D6" i="6"/>
  <c r="C13" i="6"/>
  <c r="E13" i="6" s="1"/>
  <c r="E13" i="1"/>
  <c r="C13" i="1"/>
  <c r="D10" i="1"/>
  <c r="D11" i="1" s="1"/>
  <c r="G59" i="8" l="1"/>
  <c r="G51" i="8"/>
  <c r="F26" i="8"/>
  <c r="H56" i="8"/>
  <c r="H48" i="8"/>
  <c r="H40" i="8"/>
  <c r="H32" i="8"/>
  <c r="H24" i="8"/>
  <c r="I57" i="8"/>
  <c r="I49" i="8"/>
  <c r="I41" i="8"/>
  <c r="I33" i="8"/>
  <c r="I25" i="8"/>
  <c r="G58" i="8"/>
  <c r="G50" i="8"/>
  <c r="G42" i="8"/>
  <c r="G34" i="8"/>
  <c r="G26" i="8"/>
  <c r="G18" i="8"/>
  <c r="F20" i="8"/>
  <c r="H55" i="8"/>
  <c r="H47" i="8"/>
  <c r="H39" i="8"/>
  <c r="H31" i="8"/>
  <c r="H23" i="8"/>
  <c r="I56" i="8"/>
  <c r="I48" i="8"/>
  <c r="I40" i="8"/>
  <c r="I32" i="8"/>
  <c r="I24" i="8"/>
  <c r="G57" i="8"/>
  <c r="G49" i="8"/>
  <c r="G41" i="8"/>
  <c r="G33" i="8"/>
  <c r="G25" i="8"/>
  <c r="D20" i="8"/>
  <c r="H53" i="8"/>
  <c r="H45" i="8"/>
  <c r="H37" i="8"/>
  <c r="O38" i="8" s="1"/>
  <c r="H29" i="8"/>
  <c r="H21" i="8"/>
  <c r="I54" i="8"/>
  <c r="I46" i="8"/>
  <c r="I38" i="8"/>
  <c r="I30" i="8"/>
  <c r="I22" i="8"/>
  <c r="G55" i="8"/>
  <c r="G47" i="8"/>
  <c r="G39" i="8"/>
  <c r="G31" i="8"/>
  <c r="G23" i="8"/>
  <c r="H59" i="8"/>
  <c r="H51" i="8"/>
  <c r="H43" i="8"/>
  <c r="H35" i="8"/>
  <c r="H27" i="8"/>
  <c r="H19" i="8"/>
  <c r="I60" i="8"/>
  <c r="I52" i="8"/>
  <c r="I44" i="8"/>
  <c r="I36" i="8"/>
  <c r="I28" i="8"/>
  <c r="I20" i="8"/>
  <c r="G53" i="8"/>
  <c r="G45" i="8"/>
  <c r="G37" i="8"/>
  <c r="G29" i="8"/>
  <c r="G21" i="8"/>
  <c r="F36" i="8"/>
  <c r="H58" i="8"/>
  <c r="H50" i="8"/>
  <c r="H42" i="8"/>
  <c r="H34" i="8"/>
  <c r="H26" i="8"/>
  <c r="H18" i="8"/>
  <c r="I59" i="8"/>
  <c r="I51" i="8"/>
  <c r="I43" i="8"/>
  <c r="I35" i="8"/>
  <c r="P36" i="8" s="1"/>
  <c r="I27" i="8"/>
  <c r="I19" i="8"/>
  <c r="G60" i="8"/>
  <c r="G52" i="8"/>
  <c r="G44" i="8"/>
  <c r="G36" i="8"/>
  <c r="G28" i="8"/>
  <c r="G20" i="8"/>
  <c r="N21" i="8" s="1"/>
  <c r="F18" i="8"/>
  <c r="F60" i="8"/>
  <c r="M61" i="8" s="1"/>
  <c r="F47" i="8"/>
  <c r="F39" i="8"/>
  <c r="M40" i="8" s="1"/>
  <c r="F31" i="8"/>
  <c r="M32" i="8" s="1"/>
  <c r="D49" i="8"/>
  <c r="D25" i="8"/>
  <c r="F54" i="8"/>
  <c r="M55" i="8" s="1"/>
  <c r="F46" i="8"/>
  <c r="M47" i="8" s="1"/>
  <c r="F38" i="8"/>
  <c r="F30" i="8"/>
  <c r="D56" i="8"/>
  <c r="D48" i="8"/>
  <c r="D40" i="8"/>
  <c r="D32" i="8"/>
  <c r="D24" i="8"/>
  <c r="E58" i="8"/>
  <c r="L59" i="8" s="1"/>
  <c r="E50" i="8"/>
  <c r="L51" i="8" s="1"/>
  <c r="E42" i="8"/>
  <c r="E34" i="8"/>
  <c r="L35" i="8" s="1"/>
  <c r="E26" i="8"/>
  <c r="L27" i="8" s="1"/>
  <c r="E18" i="8"/>
  <c r="F53" i="8"/>
  <c r="M54" i="8" s="1"/>
  <c r="F45" i="8"/>
  <c r="M46" i="8" s="1"/>
  <c r="F37" i="8"/>
  <c r="M38" i="8" s="1"/>
  <c r="F29" i="8"/>
  <c r="F21" i="8"/>
  <c r="D55" i="8"/>
  <c r="D47" i="8"/>
  <c r="D39" i="8"/>
  <c r="D31" i="8"/>
  <c r="D23" i="8"/>
  <c r="E57" i="8"/>
  <c r="L58" i="8" s="1"/>
  <c r="E49" i="8"/>
  <c r="E41" i="8"/>
  <c r="E33" i="8"/>
  <c r="L34" i="8" s="1"/>
  <c r="E25" i="8"/>
  <c r="L26" i="8" s="1"/>
  <c r="D54" i="8"/>
  <c r="D46" i="8"/>
  <c r="D38" i="8"/>
  <c r="D30" i="8"/>
  <c r="D22" i="8"/>
  <c r="E56" i="8"/>
  <c r="E48" i="8"/>
  <c r="L49" i="8" s="1"/>
  <c r="E40" i="8"/>
  <c r="L41" i="8" s="1"/>
  <c r="E32" i="8"/>
  <c r="E24" i="8"/>
  <c r="F59" i="8"/>
  <c r="M60" i="8" s="1"/>
  <c r="F51" i="8"/>
  <c r="M52" i="8" s="1"/>
  <c r="F43" i="8"/>
  <c r="M44" i="8" s="1"/>
  <c r="F35" i="8"/>
  <c r="F27" i="8"/>
  <c r="M28" i="8" s="1"/>
  <c r="F19" i="8"/>
  <c r="M20" i="8" s="1"/>
  <c r="D53" i="8"/>
  <c r="D45" i="8"/>
  <c r="D37" i="8"/>
  <c r="D29" i="8"/>
  <c r="D21" i="8"/>
  <c r="K22" i="8" s="1"/>
  <c r="E55" i="8"/>
  <c r="E47" i="8"/>
  <c r="L48" i="8" s="1"/>
  <c r="E39" i="8"/>
  <c r="L40" i="8" s="1"/>
  <c r="E31" i="8"/>
  <c r="E23" i="8"/>
  <c r="L24" i="8" s="1"/>
  <c r="E22" i="8"/>
  <c r="L23" i="8" s="1"/>
  <c r="F57" i="8"/>
  <c r="M58" i="8" s="1"/>
  <c r="F49" i="8"/>
  <c r="M50" i="8" s="1"/>
  <c r="F41" i="8"/>
  <c r="F33" i="8"/>
  <c r="M34" i="8" s="1"/>
  <c r="F25" i="8"/>
  <c r="D35" i="8"/>
  <c r="E21" i="8"/>
  <c r="F44" i="8"/>
  <c r="M45" i="8" s="1"/>
  <c r="D52" i="8"/>
  <c r="D44" i="8"/>
  <c r="D36" i="8"/>
  <c r="D28" i="8"/>
  <c r="E54" i="8"/>
  <c r="L55" i="8" s="1"/>
  <c r="E46" i="8"/>
  <c r="E38" i="8"/>
  <c r="E30" i="8"/>
  <c r="L31" i="8" s="1"/>
  <c r="D59" i="8"/>
  <c r="D51" i="8"/>
  <c r="D43" i="8"/>
  <c r="D27" i="8"/>
  <c r="D19" i="8"/>
  <c r="K20" i="8" s="1"/>
  <c r="E53" i="8"/>
  <c r="E45" i="8"/>
  <c r="E37" i="8"/>
  <c r="L38" i="8" s="1"/>
  <c r="E29" i="8"/>
  <c r="L30" i="8" s="1"/>
  <c r="F56" i="8"/>
  <c r="F48" i="8"/>
  <c r="F40" i="8"/>
  <c r="M41" i="8" s="1"/>
  <c r="F32" i="8"/>
  <c r="M33" i="8" s="1"/>
  <c r="F24" i="8"/>
  <c r="D58" i="8"/>
  <c r="D50" i="8"/>
  <c r="D42" i="8"/>
  <c r="D34" i="8"/>
  <c r="D26" i="8"/>
  <c r="D18" i="8"/>
  <c r="K19" i="8" s="1"/>
  <c r="E60" i="8"/>
  <c r="L61" i="8" s="1"/>
  <c r="E52" i="8"/>
  <c r="E44" i="8"/>
  <c r="E36" i="8"/>
  <c r="L37" i="8" s="1"/>
  <c r="E28" i="8"/>
  <c r="L29" i="8" s="1"/>
  <c r="E20" i="8"/>
  <c r="F52" i="8"/>
  <c r="F55" i="8"/>
  <c r="M56" i="8" s="1"/>
  <c r="F23" i="8"/>
  <c r="M24" i="8" s="1"/>
  <c r="D57" i="8"/>
  <c r="D41" i="8"/>
  <c r="D33" i="8"/>
  <c r="E59" i="8"/>
  <c r="L60" i="8" s="1"/>
  <c r="E51" i="8"/>
  <c r="E43" i="8"/>
  <c r="E35" i="8"/>
  <c r="L36" i="8" s="1"/>
  <c r="E27" i="8"/>
  <c r="L28" i="8" s="1"/>
  <c r="E19" i="8"/>
  <c r="F58" i="8"/>
  <c r="F50" i="8"/>
  <c r="M51" i="8" s="1"/>
  <c r="F42" i="8"/>
  <c r="M43" i="8" s="1"/>
  <c r="F34" i="8"/>
  <c r="M35" i="8" s="1"/>
  <c r="F22" i="8"/>
  <c r="P47" i="8"/>
  <c r="N53" i="8"/>
  <c r="O47" i="8"/>
  <c r="O39" i="8"/>
  <c r="O31" i="8"/>
  <c r="P56" i="8"/>
  <c r="P48" i="8"/>
  <c r="P32" i="8"/>
  <c r="P24" i="8"/>
  <c r="N51" i="8"/>
  <c r="O61" i="8"/>
  <c r="O45" i="8"/>
  <c r="O37" i="8"/>
  <c r="O21" i="8"/>
  <c r="P54" i="8"/>
  <c r="P46" i="8"/>
  <c r="P22" i="8"/>
  <c r="O60" i="8"/>
  <c r="O52" i="8"/>
  <c r="O44" i="8"/>
  <c r="O28" i="8"/>
  <c r="O20" i="8"/>
  <c r="P45" i="8"/>
  <c r="P37" i="8"/>
  <c r="P29" i="8"/>
  <c r="N57" i="8"/>
  <c r="O59" i="8"/>
  <c r="O51" i="8"/>
  <c r="O43" i="8"/>
  <c r="O35" i="8"/>
  <c r="O19" i="8"/>
  <c r="P44" i="8"/>
  <c r="P28" i="8"/>
  <c r="P20" i="8"/>
  <c r="O54" i="8"/>
  <c r="L47" i="8"/>
  <c r="N24" i="8"/>
  <c r="O50" i="8"/>
  <c r="O34" i="8"/>
  <c r="O26" i="8"/>
  <c r="P51" i="8"/>
  <c r="P43" i="8"/>
  <c r="P35" i="8"/>
  <c r="P27" i="8"/>
  <c r="O30" i="8"/>
  <c r="P31" i="8"/>
  <c r="L57" i="8"/>
  <c r="N55" i="8"/>
  <c r="O49" i="8"/>
  <c r="O41" i="8"/>
  <c r="O33" i="8"/>
  <c r="O25" i="8"/>
  <c r="P58" i="8"/>
  <c r="P50" i="8"/>
  <c r="P42" i="8"/>
  <c r="P34" i="8"/>
  <c r="N60" i="8"/>
  <c r="N36" i="8"/>
  <c r="O46" i="8"/>
  <c r="O22" i="8"/>
  <c r="P55" i="8"/>
  <c r="P23" i="8"/>
  <c r="M25" i="8"/>
  <c r="N38" i="8"/>
  <c r="O56" i="8"/>
  <c r="O48" i="8"/>
  <c r="O40" i="8"/>
  <c r="O32" i="8"/>
  <c r="O24" i="8"/>
  <c r="P49" i="8"/>
  <c r="P41" i="8"/>
  <c r="P33" i="8"/>
  <c r="P25" i="8"/>
  <c r="A2" i="7"/>
  <c r="N54" i="8"/>
  <c r="P57" i="8"/>
  <c r="P38" i="8"/>
  <c r="M57" i="8"/>
  <c r="N50" i="8"/>
  <c r="N34" i="8"/>
  <c r="P61" i="8"/>
  <c r="L39" i="8"/>
  <c r="M39" i="8"/>
  <c r="N32" i="8"/>
  <c r="O58" i="8"/>
  <c r="N39" i="8"/>
  <c r="O57" i="8"/>
  <c r="K61" i="8"/>
  <c r="M21" i="8"/>
  <c r="N27" i="8"/>
  <c r="M42" i="8"/>
  <c r="N22" i="8"/>
  <c r="N43" i="8"/>
  <c r="N46" i="8"/>
  <c r="M29" i="8"/>
  <c r="N19" i="8"/>
  <c r="N18" i="8" s="1"/>
  <c r="M53" i="8"/>
  <c r="M26" i="8"/>
  <c r="N35" i="8"/>
  <c r="O29" i="8"/>
  <c r="M37" i="8"/>
  <c r="N30" i="8"/>
  <c r="M30" i="8"/>
  <c r="M22" i="8"/>
  <c r="N47" i="8"/>
  <c r="N31" i="8"/>
  <c r="N23" i="8"/>
  <c r="P26" i="8"/>
  <c r="M36" i="8"/>
  <c r="N61" i="8"/>
  <c r="N45" i="8"/>
  <c r="N37" i="8"/>
  <c r="N29" i="8"/>
  <c r="O55" i="8"/>
  <c r="O23" i="8"/>
  <c r="P40" i="8"/>
  <c r="M59" i="8"/>
  <c r="M27" i="8"/>
  <c r="M19" i="8"/>
  <c r="N52" i="8"/>
  <c r="N44" i="8"/>
  <c r="N28" i="8"/>
  <c r="N20" i="8"/>
  <c r="P39" i="8"/>
  <c r="N59" i="8"/>
  <c r="O53" i="8"/>
  <c r="P30" i="8"/>
  <c r="N58" i="8"/>
  <c r="N42" i="8"/>
  <c r="N26" i="8"/>
  <c r="O36" i="8"/>
  <c r="P53" i="8"/>
  <c r="P21" i="8"/>
  <c r="M48" i="8"/>
  <c r="N49" i="8"/>
  <c r="N41" i="8"/>
  <c r="N33" i="8"/>
  <c r="N25" i="8"/>
  <c r="O27" i="8"/>
  <c r="P60" i="8"/>
  <c r="P52" i="8"/>
  <c r="M49" i="8"/>
  <c r="M31" i="8"/>
  <c r="M23" i="8"/>
  <c r="N56" i="8"/>
  <c r="N48" i="8"/>
  <c r="N40" i="8"/>
  <c r="O42" i="8"/>
  <c r="P59" i="8"/>
  <c r="P19" i="8"/>
  <c r="P18" i="8" s="1"/>
  <c r="L33" i="8"/>
  <c r="L25" i="8"/>
  <c r="L54" i="8"/>
  <c r="L46" i="8"/>
  <c r="L22" i="8"/>
  <c r="L53" i="8"/>
  <c r="L45" i="8"/>
  <c r="L21" i="8"/>
  <c r="L56" i="8"/>
  <c r="L52" i="8"/>
  <c r="L44" i="8"/>
  <c r="L20" i="8"/>
  <c r="L32" i="8"/>
  <c r="L43" i="8"/>
  <c r="L19" i="8"/>
  <c r="L50" i="8"/>
  <c r="L42" i="8"/>
  <c r="C61" i="8"/>
  <c r="K21" i="8"/>
  <c r="C14" i="1"/>
  <c r="C15" i="1" s="1"/>
  <c r="D13" i="6"/>
  <c r="F13" i="6" s="1"/>
  <c r="A104" i="7" s="1"/>
  <c r="B104" i="7" s="1"/>
  <c r="C14" i="6"/>
  <c r="A104" i="4"/>
  <c r="B104" i="4" s="1"/>
  <c r="F13" i="1"/>
  <c r="D13" i="1"/>
  <c r="A2" i="4" s="1"/>
  <c r="B2" i="4" s="1"/>
  <c r="H13" i="1"/>
  <c r="G61" i="8" l="1"/>
  <c r="H61" i="8"/>
  <c r="O62" i="8" s="1"/>
  <c r="I61" i="8"/>
  <c r="P62" i="8" s="1"/>
  <c r="E61" i="8"/>
  <c r="L62" i="8" s="1"/>
  <c r="D61" i="8"/>
  <c r="K62" i="8" s="1"/>
  <c r="F61" i="8"/>
  <c r="M62" i="8" s="1"/>
  <c r="D14" i="6"/>
  <c r="F14" i="6" s="1"/>
  <c r="A3" i="7"/>
  <c r="B3" i="7" s="1"/>
  <c r="D14" i="1"/>
  <c r="G14" i="1" s="1"/>
  <c r="N62" i="8"/>
  <c r="C62" i="8"/>
  <c r="K23" i="8"/>
  <c r="B2" i="7"/>
  <c r="E14" i="6"/>
  <c r="A105" i="7" s="1"/>
  <c r="C15" i="6"/>
  <c r="F14" i="1"/>
  <c r="A308" i="4"/>
  <c r="B308" i="4" s="1"/>
  <c r="G13" i="1"/>
  <c r="A206" i="4" s="1"/>
  <c r="B206" i="4" s="1"/>
  <c r="C16" i="1"/>
  <c r="D15" i="1"/>
  <c r="A4" i="4" s="1"/>
  <c r="B4" i="4" s="1"/>
  <c r="H62" i="8" l="1"/>
  <c r="G62" i="8"/>
  <c r="N63" i="8" s="1"/>
  <c r="I62" i="8"/>
  <c r="P63" i="8" s="1"/>
  <c r="E62" i="8"/>
  <c r="L63" i="8" s="1"/>
  <c r="D62" i="8"/>
  <c r="K63" i="8" s="1"/>
  <c r="F62" i="8"/>
  <c r="M63" i="8" s="1"/>
  <c r="O63" i="8"/>
  <c r="E14" i="1"/>
  <c r="B105" i="7" s="1"/>
  <c r="D15" i="6"/>
  <c r="F15" i="6" s="1"/>
  <c r="A4" i="7"/>
  <c r="A3" i="4"/>
  <c r="B3" i="4" s="1"/>
  <c r="C63" i="8"/>
  <c r="K24" i="8"/>
  <c r="B4" i="7"/>
  <c r="C16" i="6"/>
  <c r="E15" i="6"/>
  <c r="A106" i="7" s="1"/>
  <c r="A207" i="4"/>
  <c r="B207" i="4" s="1"/>
  <c r="H14" i="1"/>
  <c r="A309" i="4" s="1"/>
  <c r="B309" i="4" s="1"/>
  <c r="F15" i="1"/>
  <c r="E15" i="1"/>
  <c r="C17" i="1"/>
  <c r="D16" i="1"/>
  <c r="A5" i="4" s="1"/>
  <c r="B5" i="4" s="1"/>
  <c r="G15" i="1"/>
  <c r="G63" i="8" l="1"/>
  <c r="H63" i="8"/>
  <c r="I63" i="8"/>
  <c r="P64" i="8" s="1"/>
  <c r="F63" i="8"/>
  <c r="M64" i="8" s="1"/>
  <c r="E63" i="8"/>
  <c r="D63" i="8"/>
  <c r="K64" i="8" s="1"/>
  <c r="O64" i="8"/>
  <c r="B106" i="7"/>
  <c r="A105" i="4"/>
  <c r="B105" i="4" s="1"/>
  <c r="D16" i="6"/>
  <c r="F16" i="6" s="1"/>
  <c r="A5" i="7"/>
  <c r="B5" i="7" s="1"/>
  <c r="L64" i="8"/>
  <c r="N64" i="8"/>
  <c r="C64" i="8"/>
  <c r="K25" i="8"/>
  <c r="F16" i="1"/>
  <c r="C17" i="6"/>
  <c r="E16" i="6"/>
  <c r="A107" i="7" s="1"/>
  <c r="H15" i="1"/>
  <c r="A310" i="4" s="1"/>
  <c r="B310" i="4" s="1"/>
  <c r="A106" i="4"/>
  <c r="B106" i="4" s="1"/>
  <c r="A208" i="4"/>
  <c r="B208" i="4" s="1"/>
  <c r="F17" i="1"/>
  <c r="E16" i="1"/>
  <c r="C18" i="1"/>
  <c r="D17" i="1"/>
  <c r="A6" i="4" s="1"/>
  <c r="B6" i="4" s="1"/>
  <c r="G16" i="1"/>
  <c r="G64" i="8" l="1"/>
  <c r="I64" i="8"/>
  <c r="H64" i="8"/>
  <c r="O65" i="8" s="1"/>
  <c r="F64" i="8"/>
  <c r="E64" i="8"/>
  <c r="L65" i="8" s="1"/>
  <c r="D64" i="8"/>
  <c r="K65" i="8" s="1"/>
  <c r="P65" i="8"/>
  <c r="N65" i="8"/>
  <c r="D17" i="6"/>
  <c r="F17" i="6" s="1"/>
  <c r="A6" i="7"/>
  <c r="B6" i="7" s="1"/>
  <c r="B107" i="7"/>
  <c r="M65" i="8"/>
  <c r="C65" i="8"/>
  <c r="K26" i="8"/>
  <c r="A209" i="4"/>
  <c r="B209" i="4" s="1"/>
  <c r="C18" i="6"/>
  <c r="E17" i="6"/>
  <c r="A108" i="7" s="1"/>
  <c r="H16" i="1"/>
  <c r="A311" i="4" s="1"/>
  <c r="B311" i="4" s="1"/>
  <c r="A107" i="4"/>
  <c r="B107" i="4" s="1"/>
  <c r="F18" i="1"/>
  <c r="E17" i="1"/>
  <c r="C19" i="1"/>
  <c r="D18" i="1"/>
  <c r="A7" i="4" s="1"/>
  <c r="B7" i="4" s="1"/>
  <c r="G17" i="1"/>
  <c r="A210" i="4" s="1"/>
  <c r="B210" i="4" s="1"/>
  <c r="G65" i="8" l="1"/>
  <c r="N66" i="8" s="1"/>
  <c r="I65" i="8"/>
  <c r="H65" i="8"/>
  <c r="F65" i="8"/>
  <c r="M66" i="8" s="1"/>
  <c r="E65" i="8"/>
  <c r="L66" i="8" s="1"/>
  <c r="D65" i="8"/>
  <c r="K66" i="8" s="1"/>
  <c r="P66" i="8"/>
  <c r="O66" i="8"/>
  <c r="D18" i="6"/>
  <c r="F18" i="6" s="1"/>
  <c r="B108" i="7"/>
  <c r="C66" i="8"/>
  <c r="K27" i="8"/>
  <c r="C19" i="6"/>
  <c r="E18" i="6"/>
  <c r="A109" i="7" s="1"/>
  <c r="H17" i="1"/>
  <c r="A108" i="4"/>
  <c r="B108" i="4" s="1"/>
  <c r="F19" i="1"/>
  <c r="E18" i="1"/>
  <c r="C20" i="1"/>
  <c r="D19" i="1"/>
  <c r="A8" i="4" s="1"/>
  <c r="B8" i="4" s="1"/>
  <c r="G18" i="1"/>
  <c r="A211" i="4" s="1"/>
  <c r="B211" i="4" s="1"/>
  <c r="H66" i="8" l="1"/>
  <c r="O67" i="8" s="1"/>
  <c r="G66" i="8"/>
  <c r="I66" i="8"/>
  <c r="F66" i="8"/>
  <c r="M67" i="8" s="1"/>
  <c r="D66" i="8"/>
  <c r="K67" i="8" s="1"/>
  <c r="E66" i="8"/>
  <c r="L67" i="8" s="1"/>
  <c r="P67" i="8"/>
  <c r="N67" i="8"/>
  <c r="D19" i="6"/>
  <c r="F19" i="6" s="1"/>
  <c r="A7" i="7"/>
  <c r="B7" i="7" s="1"/>
  <c r="K28" i="8"/>
  <c r="A312" i="4"/>
  <c r="B312" i="4" s="1"/>
  <c r="A109" i="4"/>
  <c r="B109" i="4" s="1"/>
  <c r="B109" i="7"/>
  <c r="C20" i="6"/>
  <c r="E19" i="6"/>
  <c r="A110" i="7" s="1"/>
  <c r="F20" i="1"/>
  <c r="E19" i="1"/>
  <c r="H18" i="1"/>
  <c r="C21" i="1"/>
  <c r="D20" i="1"/>
  <c r="A9" i="4" s="1"/>
  <c r="B9" i="4" s="1"/>
  <c r="G19" i="1"/>
  <c r="A212" i="4" s="1"/>
  <c r="B212" i="4" s="1"/>
  <c r="D20" i="6" l="1"/>
  <c r="F20" i="6" s="1"/>
  <c r="A9" i="7"/>
  <c r="B9" i="7" s="1"/>
  <c r="A8" i="7"/>
  <c r="B8" i="7" s="1"/>
  <c r="K29" i="8"/>
  <c r="A313" i="4"/>
  <c r="B313" i="4" s="1"/>
  <c r="A110" i="4"/>
  <c r="B110" i="4" s="1"/>
  <c r="B110" i="7"/>
  <c r="C21" i="6"/>
  <c r="E20" i="6"/>
  <c r="A111" i="7" s="1"/>
  <c r="E20" i="1"/>
  <c r="F21" i="1"/>
  <c r="H19" i="1"/>
  <c r="C22" i="1"/>
  <c r="D21" i="1"/>
  <c r="A10" i="4" s="1"/>
  <c r="B10" i="4" s="1"/>
  <c r="G20" i="1"/>
  <c r="A213" i="4" s="1"/>
  <c r="B213" i="4" s="1"/>
  <c r="D21" i="6" l="1"/>
  <c r="F21" i="6" s="1"/>
  <c r="A10" i="7"/>
  <c r="B10" i="7" s="1"/>
  <c r="B111" i="7"/>
  <c r="K30" i="8"/>
  <c r="A314" i="4"/>
  <c r="B314" i="4" s="1"/>
  <c r="C22" i="6"/>
  <c r="E21" i="6"/>
  <c r="H20" i="1"/>
  <c r="A111" i="4"/>
  <c r="B111" i="4" s="1"/>
  <c r="E21" i="1"/>
  <c r="F22" i="1"/>
  <c r="C23" i="1"/>
  <c r="D22" i="1"/>
  <c r="A11" i="4" s="1"/>
  <c r="B11" i="4" s="1"/>
  <c r="G21" i="1"/>
  <c r="A214" i="4" s="1"/>
  <c r="B214" i="4" s="1"/>
  <c r="A112" i="7" l="1"/>
  <c r="B112" i="7" s="1"/>
  <c r="D22" i="6"/>
  <c r="F22" i="6" s="1"/>
  <c r="K31" i="8"/>
  <c r="A315" i="4"/>
  <c r="B315" i="4" s="1"/>
  <c r="C23" i="6"/>
  <c r="E22" i="6"/>
  <c r="A113" i="7" s="1"/>
  <c r="H21" i="1"/>
  <c r="A112" i="4"/>
  <c r="B112" i="4" s="1"/>
  <c r="E22" i="1"/>
  <c r="F23" i="1"/>
  <c r="G22" i="1"/>
  <c r="A215" i="4" s="1"/>
  <c r="B215" i="4" s="1"/>
  <c r="C24" i="1"/>
  <c r="D23" i="1"/>
  <c r="A12" i="4" s="1"/>
  <c r="B12" i="4" s="1"/>
  <c r="D23" i="6" l="1"/>
  <c r="F23" i="6" s="1"/>
  <c r="A12" i="7"/>
  <c r="B12" i="7" s="1"/>
  <c r="A11" i="7"/>
  <c r="B11" i="7" s="1"/>
  <c r="K32" i="8"/>
  <c r="A316" i="4"/>
  <c r="B316" i="4" s="1"/>
  <c r="A113" i="4"/>
  <c r="B113" i="4" s="1"/>
  <c r="B113" i="7"/>
  <c r="C24" i="6"/>
  <c r="E23" i="6"/>
  <c r="A114" i="7" s="1"/>
  <c r="H22" i="1"/>
  <c r="E23" i="1"/>
  <c r="F24" i="1"/>
  <c r="C25" i="1"/>
  <c r="D24" i="1"/>
  <c r="G23" i="1"/>
  <c r="A216" i="4" s="1"/>
  <c r="B216" i="4" s="1"/>
  <c r="D24" i="6" l="1"/>
  <c r="F24" i="6" s="1"/>
  <c r="K33" i="8"/>
  <c r="A317" i="4"/>
  <c r="B317" i="4" s="1"/>
  <c r="A114" i="4"/>
  <c r="B114" i="4" s="1"/>
  <c r="B114" i="7"/>
  <c r="C25" i="6"/>
  <c r="E24" i="6"/>
  <c r="E24" i="1"/>
  <c r="A13" i="4"/>
  <c r="B13" i="4" s="1"/>
  <c r="H23" i="1"/>
  <c r="F25" i="1"/>
  <c r="C26" i="1"/>
  <c r="D25" i="1"/>
  <c r="A14" i="4" s="1"/>
  <c r="B14" i="4" s="1"/>
  <c r="G24" i="1"/>
  <c r="A217" i="4" s="1"/>
  <c r="B217" i="4" s="1"/>
  <c r="A13" i="7" l="1"/>
  <c r="B13" i="7" s="1"/>
  <c r="D25" i="6"/>
  <c r="F25" i="6" s="1"/>
  <c r="A14" i="7"/>
  <c r="B14" i="7" s="1"/>
  <c r="A115" i="7"/>
  <c r="K34" i="8"/>
  <c r="A318" i="4"/>
  <c r="B318" i="4" s="1"/>
  <c r="A115" i="4"/>
  <c r="B115" i="4" s="1"/>
  <c r="B115" i="7"/>
  <c r="C26" i="6"/>
  <c r="E25" i="6"/>
  <c r="E25" i="1"/>
  <c r="F26" i="1"/>
  <c r="H24" i="1"/>
  <c r="C27" i="1"/>
  <c r="D26" i="1"/>
  <c r="G25" i="1"/>
  <c r="A218" i="4" s="1"/>
  <c r="B218" i="4" s="1"/>
  <c r="A116" i="7" l="1"/>
  <c r="B116" i="7" s="1"/>
  <c r="D26" i="6"/>
  <c r="F26" i="6" s="1"/>
  <c r="A15" i="7"/>
  <c r="B15" i="7" s="1"/>
  <c r="K35" i="8"/>
  <c r="A319" i="4"/>
  <c r="B319" i="4" s="1"/>
  <c r="A116" i="4"/>
  <c r="B116" i="4" s="1"/>
  <c r="C27" i="6"/>
  <c r="E26" i="6"/>
  <c r="A117" i="7" s="1"/>
  <c r="E26" i="1"/>
  <c r="A15" i="4"/>
  <c r="B15" i="4" s="1"/>
  <c r="F27" i="1"/>
  <c r="H25" i="1"/>
  <c r="G26" i="1"/>
  <c r="A219" i="4" s="1"/>
  <c r="B219" i="4" s="1"/>
  <c r="C28" i="1"/>
  <c r="D27" i="1"/>
  <c r="E27" i="1" l="1"/>
  <c r="A118" i="4" s="1"/>
  <c r="B118" i="4" s="1"/>
  <c r="D27" i="6"/>
  <c r="F27" i="6" s="1"/>
  <c r="K36" i="8"/>
  <c r="A320" i="4"/>
  <c r="B320" i="4" s="1"/>
  <c r="A117" i="4"/>
  <c r="B117" i="4" s="1"/>
  <c r="B117" i="7"/>
  <c r="C28" i="6"/>
  <c r="E27" i="6"/>
  <c r="A16" i="4"/>
  <c r="B16" i="4" s="1"/>
  <c r="F28" i="1"/>
  <c r="H27" i="1"/>
  <c r="A322" i="4" s="1"/>
  <c r="B322" i="4" s="1"/>
  <c r="H26" i="1"/>
  <c r="C29" i="1"/>
  <c r="D28" i="1"/>
  <c r="E28" i="1" s="1"/>
  <c r="A119" i="4" s="1"/>
  <c r="B119" i="4" s="1"/>
  <c r="G27" i="1"/>
  <c r="A220" i="4" s="1"/>
  <c r="B220" i="4" s="1"/>
  <c r="A118" i="7" l="1"/>
  <c r="B118" i="7" s="1"/>
  <c r="A16" i="7"/>
  <c r="B16" i="7" s="1"/>
  <c r="D28" i="6"/>
  <c r="F28" i="6" s="1"/>
  <c r="A17" i="7"/>
  <c r="K37" i="8"/>
  <c r="B17" i="7"/>
  <c r="B119" i="7"/>
  <c r="A321" i="4"/>
  <c r="B321" i="4" s="1"/>
  <c r="C29" i="6"/>
  <c r="E28" i="6"/>
  <c r="A119" i="7" s="1"/>
  <c r="A17" i="4"/>
  <c r="B17" i="4" s="1"/>
  <c r="F29" i="1"/>
  <c r="C30" i="1"/>
  <c r="D29" i="1"/>
  <c r="E29" i="1" s="1"/>
  <c r="A120" i="4" s="1"/>
  <c r="B120" i="4" s="1"/>
  <c r="G28" i="1"/>
  <c r="A221" i="4" s="1"/>
  <c r="B221" i="4" s="1"/>
  <c r="D29" i="6" l="1"/>
  <c r="F29" i="6" s="1"/>
  <c r="A18" i="7"/>
  <c r="B18" i="7" s="1"/>
  <c r="K38" i="8"/>
  <c r="C30" i="6"/>
  <c r="E29" i="6"/>
  <c r="A120" i="7" s="1"/>
  <c r="B120" i="7" s="1"/>
  <c r="A18" i="4"/>
  <c r="B18" i="4" s="1"/>
  <c r="F30" i="1"/>
  <c r="H28" i="1"/>
  <c r="C31" i="1"/>
  <c r="D30" i="1"/>
  <c r="E30" i="1" s="1"/>
  <c r="A121" i="4" s="1"/>
  <c r="B121" i="4" s="1"/>
  <c r="G29" i="1"/>
  <c r="A222" i="4" s="1"/>
  <c r="B222" i="4" s="1"/>
  <c r="D30" i="6" l="1"/>
  <c r="F30" i="6" s="1"/>
  <c r="A19" i="7"/>
  <c r="B19" i="7" s="1"/>
  <c r="K39" i="8"/>
  <c r="A323" i="4"/>
  <c r="B323" i="4" s="1"/>
  <c r="C31" i="6"/>
  <c r="E30" i="6"/>
  <c r="A121" i="7" s="1"/>
  <c r="B121" i="7" s="1"/>
  <c r="A19" i="4"/>
  <c r="B19" i="4" s="1"/>
  <c r="F31" i="1"/>
  <c r="H29" i="1"/>
  <c r="G30" i="1"/>
  <c r="A223" i="4" s="1"/>
  <c r="B223" i="4" s="1"/>
  <c r="C32" i="1"/>
  <c r="D31" i="1"/>
  <c r="E31" i="1" s="1"/>
  <c r="A122" i="4" s="1"/>
  <c r="B122" i="4" s="1"/>
  <c r="D31" i="6" l="1"/>
  <c r="F31" i="6" s="1"/>
  <c r="A20" i="7"/>
  <c r="B20" i="7" s="1"/>
  <c r="K40" i="8"/>
  <c r="A324" i="4"/>
  <c r="B324" i="4" s="1"/>
  <c r="C32" i="6"/>
  <c r="E31" i="6"/>
  <c r="A20" i="4"/>
  <c r="B20" i="4" s="1"/>
  <c r="F32" i="1"/>
  <c r="H31" i="1"/>
  <c r="A326" i="4" s="1"/>
  <c r="B326" i="4" s="1"/>
  <c r="H30" i="1"/>
  <c r="C33" i="1"/>
  <c r="D32" i="1"/>
  <c r="E32" i="1" s="1"/>
  <c r="A123" i="4" s="1"/>
  <c r="B123" i="4" s="1"/>
  <c r="G31" i="1"/>
  <c r="A224" i="4" s="1"/>
  <c r="B224" i="4" s="1"/>
  <c r="A122" i="7" l="1"/>
  <c r="B122" i="7" s="1"/>
  <c r="D32" i="6"/>
  <c r="F32" i="6" s="1"/>
  <c r="K41" i="8"/>
  <c r="A325" i="4"/>
  <c r="B325" i="4" s="1"/>
  <c r="A21" i="4"/>
  <c r="B21" i="4" s="1"/>
  <c r="C33" i="6"/>
  <c r="E32" i="6"/>
  <c r="F33" i="1"/>
  <c r="H32" i="1"/>
  <c r="A327" i="4" s="1"/>
  <c r="B327" i="4" s="1"/>
  <c r="G32" i="1"/>
  <c r="A225" i="4" s="1"/>
  <c r="B225" i="4" s="1"/>
  <c r="C34" i="1"/>
  <c r="D33" i="1"/>
  <c r="E33" i="1" s="1"/>
  <c r="A124" i="4" s="1"/>
  <c r="B124" i="4" s="1"/>
  <c r="D33" i="6" l="1"/>
  <c r="F33" i="6" s="1"/>
  <c r="A22" i="7"/>
  <c r="B22" i="7" s="1"/>
  <c r="A123" i="7"/>
  <c r="B123" i="7" s="1"/>
  <c r="A21" i="7"/>
  <c r="B21" i="7" s="1"/>
  <c r="K42" i="8"/>
  <c r="C34" i="6"/>
  <c r="E33" i="6"/>
  <c r="A124" i="7" s="1"/>
  <c r="B124" i="7" s="1"/>
  <c r="A22" i="4"/>
  <c r="B22" i="4" s="1"/>
  <c r="F34" i="1"/>
  <c r="C35" i="1"/>
  <c r="D34" i="1"/>
  <c r="E34" i="1" s="1"/>
  <c r="A125" i="4" s="1"/>
  <c r="B125" i="4" s="1"/>
  <c r="G33" i="1"/>
  <c r="A226" i="4" s="1"/>
  <c r="B226" i="4" s="1"/>
  <c r="D34" i="6" l="1"/>
  <c r="F34" i="6" s="1"/>
  <c r="A23" i="7"/>
  <c r="B23" i="7" s="1"/>
  <c r="K43" i="8"/>
  <c r="C35" i="6"/>
  <c r="E34" i="6"/>
  <c r="A125" i="7" s="1"/>
  <c r="B125" i="7" s="1"/>
  <c r="F35" i="1"/>
  <c r="A23" i="4"/>
  <c r="B23" i="4" s="1"/>
  <c r="H33" i="1"/>
  <c r="G34" i="1"/>
  <c r="A227" i="4" s="1"/>
  <c r="B227" i="4" s="1"/>
  <c r="C36" i="1"/>
  <c r="D35" i="1"/>
  <c r="G35" i="1" s="1"/>
  <c r="H34" i="1"/>
  <c r="A329" i="4" s="1"/>
  <c r="B329" i="4" s="1"/>
  <c r="D35" i="6" l="1"/>
  <c r="F35" i="6" s="1"/>
  <c r="A24" i="7"/>
  <c r="B24" i="7" s="1"/>
  <c r="K44" i="8"/>
  <c r="A328" i="4"/>
  <c r="B328" i="4" s="1"/>
  <c r="C36" i="6"/>
  <c r="E35" i="6"/>
  <c r="A126" i="7" s="1"/>
  <c r="F36" i="1"/>
  <c r="A24" i="4"/>
  <c r="B24" i="4" s="1"/>
  <c r="A228" i="4"/>
  <c r="B228" i="4" s="1"/>
  <c r="E35" i="1"/>
  <c r="C37" i="1"/>
  <c r="D36" i="1"/>
  <c r="A25" i="4" s="1"/>
  <c r="B25" i="4" s="1"/>
  <c r="D36" i="6" l="1"/>
  <c r="F36" i="6" s="1"/>
  <c r="A25" i="7"/>
  <c r="B126" i="7"/>
  <c r="K45" i="8"/>
  <c r="B25" i="7"/>
  <c r="C37" i="6"/>
  <c r="E36" i="6"/>
  <c r="F37" i="1"/>
  <c r="H35" i="1"/>
  <c r="A126" i="4"/>
  <c r="B126" i="4" s="1"/>
  <c r="E36" i="1"/>
  <c r="C38" i="1"/>
  <c r="D37" i="1"/>
  <c r="A26" i="4" s="1"/>
  <c r="B26" i="4" s="1"/>
  <c r="G36" i="1"/>
  <c r="A229" i="4" s="1"/>
  <c r="B229" i="4" s="1"/>
  <c r="D37" i="6" l="1"/>
  <c r="F37" i="6" s="1"/>
  <c r="A26" i="7"/>
  <c r="B26" i="7" s="1"/>
  <c r="A127" i="7"/>
  <c r="K46" i="8"/>
  <c r="A127" i="4"/>
  <c r="B127" i="4" s="1"/>
  <c r="B127" i="7"/>
  <c r="A330" i="4"/>
  <c r="B330" i="4" s="1"/>
  <c r="C38" i="6"/>
  <c r="E37" i="6"/>
  <c r="A128" i="7" s="1"/>
  <c r="F38" i="1"/>
  <c r="E37" i="1"/>
  <c r="H36" i="1"/>
  <c r="G37" i="1"/>
  <c r="A230" i="4" s="1"/>
  <c r="B230" i="4" s="1"/>
  <c r="C39" i="1"/>
  <c r="D38" i="1"/>
  <c r="A27" i="4" s="1"/>
  <c r="B27" i="4" s="1"/>
  <c r="B128" i="7" l="1"/>
  <c r="D38" i="6"/>
  <c r="F38" i="6" s="1"/>
  <c r="K47" i="8"/>
  <c r="A331" i="4"/>
  <c r="B331" i="4" s="1"/>
  <c r="C39" i="6"/>
  <c r="E38" i="6"/>
  <c r="H37" i="1"/>
  <c r="A128" i="4"/>
  <c r="B128" i="4" s="1"/>
  <c r="F39" i="1"/>
  <c r="E38" i="1"/>
  <c r="C40" i="1"/>
  <c r="D39" i="1"/>
  <c r="A28" i="4" s="1"/>
  <c r="B28" i="4" s="1"/>
  <c r="G38" i="1"/>
  <c r="A231" i="4" s="1"/>
  <c r="B231" i="4" s="1"/>
  <c r="B129" i="7" l="1"/>
  <c r="A27" i="7"/>
  <c r="B27" i="7" s="1"/>
  <c r="A129" i="7"/>
  <c r="D39" i="6"/>
  <c r="F39" i="6" s="1"/>
  <c r="A28" i="7"/>
  <c r="B28" i="7" s="1"/>
  <c r="K48" i="8"/>
  <c r="A332" i="4"/>
  <c r="B332" i="4" s="1"/>
  <c r="C40" i="6"/>
  <c r="E39" i="6"/>
  <c r="A130" i="7" s="1"/>
  <c r="F40" i="1"/>
  <c r="H38" i="1"/>
  <c r="A129" i="4"/>
  <c r="B129" i="4" s="1"/>
  <c r="E39" i="1"/>
  <c r="C41" i="1"/>
  <c r="D40" i="1"/>
  <c r="A29" i="4" s="1"/>
  <c r="B29" i="4" s="1"/>
  <c r="G39" i="1"/>
  <c r="A232" i="4" s="1"/>
  <c r="B232" i="4" s="1"/>
  <c r="B130" i="7" l="1"/>
  <c r="D40" i="6"/>
  <c r="F40" i="6" s="1"/>
  <c r="A29" i="7"/>
  <c r="K49" i="8"/>
  <c r="A333" i="4"/>
  <c r="B333" i="4" s="1"/>
  <c r="B29" i="7"/>
  <c r="C41" i="6"/>
  <c r="E40" i="6"/>
  <c r="A131" i="7" s="1"/>
  <c r="F41" i="1"/>
  <c r="H39" i="1"/>
  <c r="A130" i="4"/>
  <c r="B130" i="4" s="1"/>
  <c r="E40" i="1"/>
  <c r="C42" i="1"/>
  <c r="D41" i="1"/>
  <c r="A30" i="4" s="1"/>
  <c r="B30" i="4" s="1"/>
  <c r="G40" i="1"/>
  <c r="A233" i="4" s="1"/>
  <c r="B233" i="4" s="1"/>
  <c r="D41" i="6" l="1"/>
  <c r="F41" i="6" s="1"/>
  <c r="A30" i="7"/>
  <c r="B30" i="7" s="1"/>
  <c r="K50" i="8"/>
  <c r="A131" i="4"/>
  <c r="B131" i="4" s="1"/>
  <c r="B131" i="7"/>
  <c r="A334" i="4"/>
  <c r="B334" i="4" s="1"/>
  <c r="C42" i="6"/>
  <c r="E41" i="6"/>
  <c r="F42" i="1"/>
  <c r="E41" i="1"/>
  <c r="H40" i="1"/>
  <c r="C43" i="1"/>
  <c r="D42" i="1"/>
  <c r="A31" i="4" s="1"/>
  <c r="B31" i="4" s="1"/>
  <c r="G41" i="1"/>
  <c r="A234" i="4" s="1"/>
  <c r="B234" i="4" s="1"/>
  <c r="A132" i="7" l="1"/>
  <c r="B132" i="7" s="1"/>
  <c r="D42" i="6"/>
  <c r="F42" i="6" s="1"/>
  <c r="K51" i="8"/>
  <c r="A335" i="4"/>
  <c r="B335" i="4" s="1"/>
  <c r="C43" i="6"/>
  <c r="E42" i="6"/>
  <c r="A133" i="7" s="1"/>
  <c r="F43" i="1"/>
  <c r="H41" i="1"/>
  <c r="A132" i="4"/>
  <c r="B132" i="4" s="1"/>
  <c r="E42" i="1"/>
  <c r="C44" i="1"/>
  <c r="D43" i="1"/>
  <c r="A32" i="4" s="1"/>
  <c r="B32" i="4" s="1"/>
  <c r="G42" i="1"/>
  <c r="A235" i="4" s="1"/>
  <c r="B235" i="4" s="1"/>
  <c r="B133" i="7" l="1"/>
  <c r="D43" i="6"/>
  <c r="F43" i="6" s="1"/>
  <c r="A32" i="7"/>
  <c r="B32" i="7" s="1"/>
  <c r="A31" i="7"/>
  <c r="B31" i="7" s="1"/>
  <c r="K52" i="8"/>
  <c r="A336" i="4"/>
  <c r="B336" i="4" s="1"/>
  <c r="C44" i="6"/>
  <c r="E43" i="6"/>
  <c r="F44" i="1"/>
  <c r="H42" i="1"/>
  <c r="A133" i="4"/>
  <c r="B133" i="4" s="1"/>
  <c r="E43" i="1"/>
  <c r="C45" i="1"/>
  <c r="D44" i="1"/>
  <c r="A33" i="4" s="1"/>
  <c r="B33" i="4" s="1"/>
  <c r="G43" i="1"/>
  <c r="A236" i="4" s="1"/>
  <c r="B236" i="4" s="1"/>
  <c r="A134" i="7" l="1"/>
  <c r="D44" i="6"/>
  <c r="F44" i="6" s="1"/>
  <c r="A33" i="7"/>
  <c r="B33" i="7" s="1"/>
  <c r="B134" i="7"/>
  <c r="K53" i="8"/>
  <c r="A337" i="4"/>
  <c r="B337" i="4" s="1"/>
  <c r="C45" i="6"/>
  <c r="E44" i="6"/>
  <c r="A135" i="7" s="1"/>
  <c r="F45" i="1"/>
  <c r="H43" i="1"/>
  <c r="A134" i="4"/>
  <c r="B134" i="4" s="1"/>
  <c r="E44" i="1"/>
  <c r="C46" i="1"/>
  <c r="D45" i="1"/>
  <c r="A34" i="4" s="1"/>
  <c r="B34" i="4" s="1"/>
  <c r="G44" i="1"/>
  <c r="A237" i="4" s="1"/>
  <c r="B237" i="4" s="1"/>
  <c r="B135" i="7" l="1"/>
  <c r="D45" i="6"/>
  <c r="F45" i="6" s="1"/>
  <c r="K54" i="8"/>
  <c r="A338" i="4"/>
  <c r="B338" i="4" s="1"/>
  <c r="C46" i="6"/>
  <c r="E45" i="6"/>
  <c r="F46" i="1"/>
  <c r="H44" i="1"/>
  <c r="A135" i="4"/>
  <c r="B135" i="4" s="1"/>
  <c r="E45" i="1"/>
  <c r="C47" i="1"/>
  <c r="D46" i="1"/>
  <c r="A35" i="4" s="1"/>
  <c r="B35" i="4" s="1"/>
  <c r="G45" i="1"/>
  <c r="A238" i="4" s="1"/>
  <c r="B238" i="4" s="1"/>
  <c r="B136" i="7" l="1"/>
  <c r="A34" i="7"/>
  <c r="B34" i="7" s="1"/>
  <c r="A136" i="7"/>
  <c r="D46" i="6"/>
  <c r="F46" i="6" s="1"/>
  <c r="K55" i="8"/>
  <c r="A339" i="4"/>
  <c r="B339" i="4" s="1"/>
  <c r="C47" i="6"/>
  <c r="E46" i="6"/>
  <c r="A137" i="7" s="1"/>
  <c r="F47" i="1"/>
  <c r="H45" i="1"/>
  <c r="A136" i="4"/>
  <c r="B136" i="4" s="1"/>
  <c r="E46" i="1"/>
  <c r="C48" i="1"/>
  <c r="D47" i="1"/>
  <c r="A36" i="4" s="1"/>
  <c r="B36" i="4" s="1"/>
  <c r="G46" i="1"/>
  <c r="A239" i="4" s="1"/>
  <c r="B239" i="4" s="1"/>
  <c r="B137" i="7" l="1"/>
  <c r="D47" i="6"/>
  <c r="F47" i="6" s="1"/>
  <c r="A36" i="7"/>
  <c r="B36" i="7" s="1"/>
  <c r="A35" i="7"/>
  <c r="B35" i="7" s="1"/>
  <c r="K56" i="8"/>
  <c r="A340" i="4"/>
  <c r="B340" i="4" s="1"/>
  <c r="C48" i="6"/>
  <c r="E47" i="6"/>
  <c r="A138" i="7" s="1"/>
  <c r="H46" i="1"/>
  <c r="A137" i="4"/>
  <c r="B137" i="4" s="1"/>
  <c r="F48" i="1"/>
  <c r="E47" i="1"/>
  <c r="C49" i="1"/>
  <c r="D48" i="1"/>
  <c r="A37" i="4" s="1"/>
  <c r="B37" i="4" s="1"/>
  <c r="G47" i="1"/>
  <c r="A240" i="4" s="1"/>
  <c r="B240" i="4" s="1"/>
  <c r="D48" i="6" l="1"/>
  <c r="F48" i="6" s="1"/>
  <c r="A37" i="7"/>
  <c r="B37" i="7" s="1"/>
  <c r="B138" i="7"/>
  <c r="K57" i="8"/>
  <c r="A341" i="4"/>
  <c r="B341" i="4" s="1"/>
  <c r="C49" i="6"/>
  <c r="E48" i="6"/>
  <c r="H47" i="1"/>
  <c r="A138" i="4"/>
  <c r="B138" i="4" s="1"/>
  <c r="F49" i="1"/>
  <c r="E48" i="1"/>
  <c r="C50" i="1"/>
  <c r="D49" i="1"/>
  <c r="A38" i="4" s="1"/>
  <c r="B38" i="4" s="1"/>
  <c r="G48" i="1"/>
  <c r="A241" i="4" s="1"/>
  <c r="B241" i="4" s="1"/>
  <c r="D49" i="6" l="1"/>
  <c r="F49" i="6" s="1"/>
  <c r="A38" i="7"/>
  <c r="B38" i="7" s="1"/>
  <c r="B139" i="7"/>
  <c r="A139" i="7"/>
  <c r="K58" i="8"/>
  <c r="A342" i="4"/>
  <c r="B342" i="4" s="1"/>
  <c r="C50" i="6"/>
  <c r="E49" i="6"/>
  <c r="A140" i="7" s="1"/>
  <c r="H48" i="1"/>
  <c r="A139" i="4"/>
  <c r="B139" i="4" s="1"/>
  <c r="F50" i="1"/>
  <c r="E49" i="1"/>
  <c r="C51" i="1"/>
  <c r="D50" i="1"/>
  <c r="A39" i="4" s="1"/>
  <c r="B39" i="4" s="1"/>
  <c r="G49" i="1"/>
  <c r="A242" i="4" s="1"/>
  <c r="B242" i="4" s="1"/>
  <c r="B140" i="7" l="1"/>
  <c r="D50" i="6"/>
  <c r="F50" i="6" s="1"/>
  <c r="K59" i="8"/>
  <c r="A343" i="4"/>
  <c r="B343" i="4" s="1"/>
  <c r="C51" i="6"/>
  <c r="E50" i="6"/>
  <c r="H49" i="1"/>
  <c r="A140" i="4"/>
  <c r="B140" i="4" s="1"/>
  <c r="F51" i="1"/>
  <c r="E50" i="1"/>
  <c r="C52" i="1"/>
  <c r="D51" i="1"/>
  <c r="A40" i="4" s="1"/>
  <c r="B40" i="4" s="1"/>
  <c r="G50" i="1"/>
  <c r="A243" i="4" s="1"/>
  <c r="B243" i="4" s="1"/>
  <c r="B141" i="7" l="1"/>
  <c r="A39" i="7"/>
  <c r="B39" i="7" s="1"/>
  <c r="A141" i="7"/>
  <c r="D51" i="6"/>
  <c r="F51" i="6" s="1"/>
  <c r="A40" i="7"/>
  <c r="B40" i="7" s="1"/>
  <c r="K60" i="8"/>
  <c r="A344" i="4"/>
  <c r="B344" i="4" s="1"/>
  <c r="C52" i="6"/>
  <c r="E51" i="6"/>
  <c r="A142" i="7" s="1"/>
  <c r="H50" i="1"/>
  <c r="A141" i="4"/>
  <c r="B141" i="4" s="1"/>
  <c r="F52" i="1"/>
  <c r="E51" i="1"/>
  <c r="B142" i="7" s="1"/>
  <c r="C53" i="1"/>
  <c r="D52" i="1"/>
  <c r="A41" i="4" s="1"/>
  <c r="B41" i="4" s="1"/>
  <c r="G51" i="1"/>
  <c r="A244" i="4" s="1"/>
  <c r="B244" i="4" s="1"/>
  <c r="D52" i="6" l="1"/>
  <c r="F52" i="6" s="1"/>
  <c r="A41" i="7"/>
  <c r="B41" i="7" s="1"/>
  <c r="A345" i="4"/>
  <c r="B345" i="4" s="1"/>
  <c r="C53" i="6"/>
  <c r="E52" i="6"/>
  <c r="A143" i="7" s="1"/>
  <c r="H51" i="1"/>
  <c r="A142" i="4"/>
  <c r="B142" i="4" s="1"/>
  <c r="F53" i="1"/>
  <c r="E52" i="1"/>
  <c r="C54" i="1"/>
  <c r="D53" i="1"/>
  <c r="G52" i="1"/>
  <c r="A245" i="4" s="1"/>
  <c r="B245" i="4" s="1"/>
  <c r="B143" i="7" l="1"/>
  <c r="D53" i="6"/>
  <c r="F53" i="6" s="1"/>
  <c r="A346" i="4"/>
  <c r="B346" i="4" s="1"/>
  <c r="C54" i="6"/>
  <c r="E53" i="6"/>
  <c r="E53" i="1"/>
  <c r="H52" i="1"/>
  <c r="A143" i="4"/>
  <c r="B143" i="4" s="1"/>
  <c r="A42" i="4"/>
  <c r="B42" i="4" s="1"/>
  <c r="F54" i="1"/>
  <c r="C55" i="1"/>
  <c r="D54" i="1"/>
  <c r="E54" i="1" s="1"/>
  <c r="A145" i="4" s="1"/>
  <c r="B145" i="4" s="1"/>
  <c r="G53" i="1"/>
  <c r="A246" i="4" s="1"/>
  <c r="B246" i="4" s="1"/>
  <c r="D54" i="6" l="1"/>
  <c r="F54" i="6" s="1"/>
  <c r="A43" i="7"/>
  <c r="B43" i="7" s="1"/>
  <c r="A144" i="7"/>
  <c r="A42" i="7"/>
  <c r="B42" i="7" s="1"/>
  <c r="A347" i="4"/>
  <c r="B347" i="4" s="1"/>
  <c r="A144" i="4"/>
  <c r="B144" i="4" s="1"/>
  <c r="B144" i="7"/>
  <c r="C55" i="6"/>
  <c r="E54" i="6"/>
  <c r="H53" i="1"/>
  <c r="A43" i="4"/>
  <c r="B43" i="4" s="1"/>
  <c r="F55" i="1"/>
  <c r="C56" i="1"/>
  <c r="D55" i="1"/>
  <c r="E55" i="1" s="1"/>
  <c r="A146" i="4" s="1"/>
  <c r="B146" i="4" s="1"/>
  <c r="G54" i="1"/>
  <c r="A247" i="4" s="1"/>
  <c r="B247" i="4" s="1"/>
  <c r="H54" i="1"/>
  <c r="A349" i="4" s="1"/>
  <c r="B349" i="4" s="1"/>
  <c r="A145" i="7" l="1"/>
  <c r="B145" i="7" s="1"/>
  <c r="A348" i="4"/>
  <c r="B348" i="4" s="1"/>
  <c r="C56" i="6"/>
  <c r="D55" i="6"/>
  <c r="F55" i="6" s="1"/>
  <c r="E55" i="6"/>
  <c r="A146" i="7" s="1"/>
  <c r="B146" i="7" s="1"/>
  <c r="F56" i="1"/>
  <c r="A44" i="4"/>
  <c r="B44" i="4" s="1"/>
  <c r="C57" i="1"/>
  <c r="D56" i="1"/>
  <c r="E56" i="1" s="1"/>
  <c r="A147" i="4" s="1"/>
  <c r="B147" i="4" s="1"/>
  <c r="H55" i="1"/>
  <c r="A350" i="4" s="1"/>
  <c r="B350" i="4" s="1"/>
  <c r="G55" i="1"/>
  <c r="A248" i="4" s="1"/>
  <c r="B248" i="4" s="1"/>
  <c r="A44" i="7" l="1"/>
  <c r="B44" i="7" s="1"/>
  <c r="C57" i="6"/>
  <c r="D56" i="6"/>
  <c r="F56" i="6" s="1"/>
  <c r="E56" i="6"/>
  <c r="A45" i="4"/>
  <c r="B45" i="4" s="1"/>
  <c r="F57" i="1"/>
  <c r="C58" i="1"/>
  <c r="D57" i="1"/>
  <c r="E57" i="1" s="1"/>
  <c r="A148" i="4" s="1"/>
  <c r="B148" i="4" s="1"/>
  <c r="G56" i="1"/>
  <c r="A249" i="4" s="1"/>
  <c r="B249" i="4" s="1"/>
  <c r="H56" i="1"/>
  <c r="A351" i="4" s="1"/>
  <c r="B351" i="4" s="1"/>
  <c r="A147" i="7" l="1"/>
  <c r="B147" i="7" s="1"/>
  <c r="A45" i="7"/>
  <c r="B45" i="7" s="1"/>
  <c r="D57" i="6"/>
  <c r="F57" i="6" s="1"/>
  <c r="C58" i="6"/>
  <c r="E57" i="6"/>
  <c r="F58" i="1"/>
  <c r="A46" i="4"/>
  <c r="B46" i="4" s="1"/>
  <c r="C59" i="1"/>
  <c r="D58" i="1"/>
  <c r="E58" i="1" s="1"/>
  <c r="A149" i="4" s="1"/>
  <c r="B149" i="4" s="1"/>
  <c r="H57" i="1"/>
  <c r="A352" i="4" s="1"/>
  <c r="B352" i="4" s="1"/>
  <c r="G57" i="1"/>
  <c r="A250" i="4" s="1"/>
  <c r="B250" i="4" s="1"/>
  <c r="A46" i="7" l="1"/>
  <c r="B46" i="7" s="1"/>
  <c r="A47" i="7"/>
  <c r="A148" i="7"/>
  <c r="B148" i="7" s="1"/>
  <c r="B47" i="7"/>
  <c r="C59" i="6"/>
  <c r="D58" i="6"/>
  <c r="F58" i="6" s="1"/>
  <c r="E58" i="6"/>
  <c r="A149" i="7" s="1"/>
  <c r="B149" i="7" s="1"/>
  <c r="F59" i="1"/>
  <c r="A47" i="4"/>
  <c r="B47" i="4" s="1"/>
  <c r="C60" i="1"/>
  <c r="D59" i="1"/>
  <c r="E59" i="1" s="1"/>
  <c r="A150" i="4" s="1"/>
  <c r="B150" i="4" s="1"/>
  <c r="H58" i="1"/>
  <c r="A353" i="4" s="1"/>
  <c r="B353" i="4" s="1"/>
  <c r="G58" i="1"/>
  <c r="A251" i="4" s="1"/>
  <c r="B251" i="4" s="1"/>
  <c r="D59" i="6" l="1"/>
  <c r="F59" i="6" s="1"/>
  <c r="C60" i="6"/>
  <c r="E59" i="6"/>
  <c r="A48" i="4"/>
  <c r="B48" i="4" s="1"/>
  <c r="F60" i="1"/>
  <c r="C61" i="1"/>
  <c r="D60" i="1"/>
  <c r="E60" i="1" s="1"/>
  <c r="A151" i="4" s="1"/>
  <c r="B151" i="4" s="1"/>
  <c r="G59" i="1"/>
  <c r="A252" i="4" s="1"/>
  <c r="B252" i="4" s="1"/>
  <c r="H59" i="1"/>
  <c r="A354" i="4" s="1"/>
  <c r="B354" i="4" s="1"/>
  <c r="A49" i="7" l="1"/>
  <c r="B49" i="7" s="1"/>
  <c r="A48" i="7"/>
  <c r="B48" i="7" s="1"/>
  <c r="A150" i="7"/>
  <c r="B150" i="7" s="1"/>
  <c r="C61" i="6"/>
  <c r="D60" i="6"/>
  <c r="F60" i="6" s="1"/>
  <c r="E60" i="6"/>
  <c r="A151" i="7" s="1"/>
  <c r="B151" i="7" s="1"/>
  <c r="F61" i="1"/>
  <c r="A49" i="4"/>
  <c r="B49" i="4" s="1"/>
  <c r="C62" i="1"/>
  <c r="D61" i="1"/>
  <c r="E61" i="1" s="1"/>
  <c r="A152" i="4" s="1"/>
  <c r="B152" i="4" s="1"/>
  <c r="G60" i="1"/>
  <c r="A253" i="4" s="1"/>
  <c r="B253" i="4" s="1"/>
  <c r="H60" i="1"/>
  <c r="A355" i="4" s="1"/>
  <c r="B355" i="4" s="1"/>
  <c r="D61" i="6" l="1"/>
  <c r="F61" i="6" s="1"/>
  <c r="C62" i="6"/>
  <c r="E61" i="6"/>
  <c r="F62" i="1"/>
  <c r="A50" i="4"/>
  <c r="B50" i="4" s="1"/>
  <c r="C63" i="1"/>
  <c r="D62" i="1"/>
  <c r="E62" i="1" s="1"/>
  <c r="A153" i="4" s="1"/>
  <c r="B153" i="4" s="1"/>
  <c r="G61" i="1"/>
  <c r="A254" i="4" s="1"/>
  <c r="B254" i="4" s="1"/>
  <c r="H61" i="1"/>
  <c r="A356" i="4" s="1"/>
  <c r="B356" i="4" s="1"/>
  <c r="A152" i="7" l="1"/>
  <c r="B152" i="7" s="1"/>
  <c r="A50" i="7"/>
  <c r="B50" i="7" s="1"/>
  <c r="D62" i="6"/>
  <c r="F62" i="6" s="1"/>
  <c r="C63" i="6"/>
  <c r="E62" i="6"/>
  <c r="A51" i="4"/>
  <c r="B51" i="4" s="1"/>
  <c r="F63" i="1"/>
  <c r="C64" i="1"/>
  <c r="D63" i="1"/>
  <c r="E63" i="1" s="1"/>
  <c r="A154" i="4" s="1"/>
  <c r="B154" i="4" s="1"/>
  <c r="H62" i="1"/>
  <c r="A357" i="4" s="1"/>
  <c r="B357" i="4" s="1"/>
  <c r="G62" i="1"/>
  <c r="A255" i="4" s="1"/>
  <c r="B255" i="4" s="1"/>
  <c r="A153" i="7" l="1"/>
  <c r="B153" i="7" s="1"/>
  <c r="A51" i="7"/>
  <c r="B51" i="7" s="1"/>
  <c r="D63" i="6"/>
  <c r="F63" i="6" s="1"/>
  <c r="C64" i="6"/>
  <c r="E63" i="6"/>
  <c r="A52" i="4"/>
  <c r="B52" i="4" s="1"/>
  <c r="F64" i="1"/>
  <c r="C65" i="1"/>
  <c r="D64" i="1"/>
  <c r="E64" i="1" s="1"/>
  <c r="A155" i="4" s="1"/>
  <c r="B155" i="4" s="1"/>
  <c r="G63" i="1"/>
  <c r="A256" i="4" s="1"/>
  <c r="B256" i="4" s="1"/>
  <c r="H63" i="1"/>
  <c r="A358" i="4" s="1"/>
  <c r="B358" i="4" s="1"/>
  <c r="A52" i="7" l="1"/>
  <c r="B52" i="7" s="1"/>
  <c r="A154" i="7"/>
  <c r="B154" i="7" s="1"/>
  <c r="A53" i="7"/>
  <c r="B53" i="7" s="1"/>
  <c r="C65" i="6"/>
  <c r="D64" i="6"/>
  <c r="F64" i="6" s="1"/>
  <c r="E64" i="6"/>
  <c r="A155" i="7" s="1"/>
  <c r="B155" i="7" s="1"/>
  <c r="F65" i="1"/>
  <c r="A53" i="4"/>
  <c r="B53" i="4" s="1"/>
  <c r="C66" i="1"/>
  <c r="D65" i="1"/>
  <c r="E65" i="1" s="1"/>
  <c r="A156" i="4" s="1"/>
  <c r="B156" i="4" s="1"/>
  <c r="H64" i="1"/>
  <c r="A359" i="4" s="1"/>
  <c r="B359" i="4" s="1"/>
  <c r="G64" i="1"/>
  <c r="A257" i="4" s="1"/>
  <c r="B257" i="4" s="1"/>
  <c r="C66" i="6" l="1"/>
  <c r="D65" i="6"/>
  <c r="F65" i="6" s="1"/>
  <c r="E65" i="6"/>
  <c r="F66" i="1"/>
  <c r="A54" i="4"/>
  <c r="B54" i="4" s="1"/>
  <c r="C67" i="1"/>
  <c r="D66" i="1"/>
  <c r="E66" i="1" s="1"/>
  <c r="A157" i="4" s="1"/>
  <c r="B157" i="4" s="1"/>
  <c r="H65" i="1"/>
  <c r="A360" i="4" s="1"/>
  <c r="B360" i="4" s="1"/>
  <c r="G65" i="1"/>
  <c r="A258" i="4" s="1"/>
  <c r="B258" i="4" s="1"/>
  <c r="A54" i="7" l="1"/>
  <c r="B54" i="7" s="1"/>
  <c r="A55" i="7"/>
  <c r="B55" i="7" s="1"/>
  <c r="A156" i="7"/>
  <c r="B156" i="7" s="1"/>
  <c r="C67" i="6"/>
  <c r="D66" i="6"/>
  <c r="F66" i="6" s="1"/>
  <c r="E66" i="6"/>
  <c r="A55" i="4"/>
  <c r="B55" i="4" s="1"/>
  <c r="F67" i="1"/>
  <c r="C68" i="1"/>
  <c r="D67" i="1"/>
  <c r="E67" i="1" s="1"/>
  <c r="A158" i="4" s="1"/>
  <c r="B158" i="4" s="1"/>
  <c r="H66" i="1"/>
  <c r="A361" i="4" s="1"/>
  <c r="B361" i="4" s="1"/>
  <c r="G66" i="1"/>
  <c r="A259" i="4" s="1"/>
  <c r="B259" i="4" s="1"/>
  <c r="A157" i="7" l="1"/>
  <c r="B157" i="7" s="1"/>
  <c r="C68" i="6"/>
  <c r="D67" i="6"/>
  <c r="F67" i="6" s="1"/>
  <c r="E67" i="6"/>
  <c r="A56" i="4"/>
  <c r="B56" i="4" s="1"/>
  <c r="F68" i="1"/>
  <c r="C69" i="1"/>
  <c r="D68" i="1"/>
  <c r="E68" i="1" s="1"/>
  <c r="A159" i="4" s="1"/>
  <c r="B159" i="4" s="1"/>
  <c r="H67" i="1"/>
  <c r="A362" i="4" s="1"/>
  <c r="B362" i="4" s="1"/>
  <c r="G67" i="1"/>
  <c r="A260" i="4" s="1"/>
  <c r="B260" i="4" s="1"/>
  <c r="A56" i="7" l="1"/>
  <c r="B56" i="7" s="1"/>
  <c r="A158" i="7"/>
  <c r="B158" i="7" s="1"/>
  <c r="A57" i="7"/>
  <c r="B57" i="7" s="1"/>
  <c r="D68" i="6"/>
  <c r="F68" i="6" s="1"/>
  <c r="C69" i="6"/>
  <c r="E68" i="6"/>
  <c r="A159" i="7" s="1"/>
  <c r="B159" i="7" s="1"/>
  <c r="A57" i="4"/>
  <c r="B57" i="4" s="1"/>
  <c r="F69" i="1"/>
  <c r="C70" i="1"/>
  <c r="D69" i="1"/>
  <c r="E69" i="1" s="1"/>
  <c r="A160" i="4" s="1"/>
  <c r="B160" i="4" s="1"/>
  <c r="H68" i="1"/>
  <c r="A363" i="4" s="1"/>
  <c r="B363" i="4" s="1"/>
  <c r="G68" i="1"/>
  <c r="A261" i="4" s="1"/>
  <c r="B261" i="4" s="1"/>
  <c r="C70" i="6" l="1"/>
  <c r="D69" i="6"/>
  <c r="F69" i="6" s="1"/>
  <c r="E69" i="6"/>
  <c r="A58" i="4"/>
  <c r="B58" i="4" s="1"/>
  <c r="F70" i="1"/>
  <c r="C71" i="1"/>
  <c r="D70" i="1"/>
  <c r="E70" i="1" s="1"/>
  <c r="A161" i="4" s="1"/>
  <c r="B161" i="4" s="1"/>
  <c r="G69" i="1"/>
  <c r="A262" i="4" s="1"/>
  <c r="B262" i="4" s="1"/>
  <c r="H69" i="1"/>
  <c r="A364" i="4" s="1"/>
  <c r="B364" i="4" s="1"/>
  <c r="A160" i="7" l="1"/>
  <c r="B160" i="7" s="1"/>
  <c r="A58" i="7"/>
  <c r="B58" i="7" s="1"/>
  <c r="C71" i="6"/>
  <c r="D70" i="6"/>
  <c r="F70" i="6" s="1"/>
  <c r="E70" i="6"/>
  <c r="A161" i="7" s="1"/>
  <c r="B161" i="7" s="1"/>
  <c r="F71" i="1"/>
  <c r="A59" i="4"/>
  <c r="B59" i="4" s="1"/>
  <c r="C72" i="1"/>
  <c r="D71" i="1"/>
  <c r="E71" i="1" s="1"/>
  <c r="A162" i="4" s="1"/>
  <c r="B162" i="4" s="1"/>
  <c r="G70" i="1"/>
  <c r="A263" i="4" s="1"/>
  <c r="B263" i="4" s="1"/>
  <c r="H70" i="1"/>
  <c r="A365" i="4" s="1"/>
  <c r="B365" i="4" s="1"/>
  <c r="C72" i="6" l="1"/>
  <c r="A59" i="7"/>
  <c r="B59" i="7" s="1"/>
  <c r="D71" i="6"/>
  <c r="F71" i="6" s="1"/>
  <c r="D72" i="6"/>
  <c r="F72" i="6" s="1"/>
  <c r="E71" i="6"/>
  <c r="F72" i="1"/>
  <c r="A60" i="4"/>
  <c r="B60" i="4" s="1"/>
  <c r="C73" i="1"/>
  <c r="D72" i="1"/>
  <c r="E72" i="1" s="1"/>
  <c r="A163" i="4" s="1"/>
  <c r="B163" i="4" s="1"/>
  <c r="G71" i="1"/>
  <c r="A264" i="4" s="1"/>
  <c r="B264" i="4" s="1"/>
  <c r="H71" i="1"/>
  <c r="A366" i="4" s="1"/>
  <c r="B366" i="4" s="1"/>
  <c r="A162" i="7" l="1"/>
  <c r="B162" i="7" s="1"/>
  <c r="A60" i="7"/>
  <c r="B60" i="7" s="1"/>
  <c r="C73" i="6"/>
  <c r="A61" i="7"/>
  <c r="B61" i="7"/>
  <c r="D73" i="6"/>
  <c r="F73" i="6" s="1"/>
  <c r="E72" i="6"/>
  <c r="A163" i="7" s="1"/>
  <c r="B163" i="7" s="1"/>
  <c r="A61" i="4"/>
  <c r="B61" i="4" s="1"/>
  <c r="F73" i="1"/>
  <c r="C74" i="1"/>
  <c r="D73" i="1"/>
  <c r="E73" i="1" s="1"/>
  <c r="A164" i="4" s="1"/>
  <c r="B164" i="4" s="1"/>
  <c r="G72" i="1"/>
  <c r="A265" i="4" s="1"/>
  <c r="B265" i="4" s="1"/>
  <c r="H72" i="1"/>
  <c r="A367" i="4" s="1"/>
  <c r="B367" i="4" s="1"/>
  <c r="C74" i="6" l="1"/>
  <c r="A62" i="7"/>
  <c r="B62" i="7"/>
  <c r="E73" i="6"/>
  <c r="A164" i="7" s="1"/>
  <c r="B164" i="7" s="1"/>
  <c r="F74" i="1"/>
  <c r="A62" i="4"/>
  <c r="B62" i="4" s="1"/>
  <c r="C75" i="1"/>
  <c r="D74" i="1"/>
  <c r="E74" i="1" s="1"/>
  <c r="A165" i="4" s="1"/>
  <c r="B165" i="4" s="1"/>
  <c r="H73" i="1"/>
  <c r="A368" i="4" s="1"/>
  <c r="B368" i="4" s="1"/>
  <c r="G73" i="1"/>
  <c r="A266" i="4" s="1"/>
  <c r="B266" i="4" s="1"/>
  <c r="C75" i="6" l="1"/>
  <c r="D74" i="6"/>
  <c r="F74" i="6" s="1"/>
  <c r="E74" i="6"/>
  <c r="A63" i="4"/>
  <c r="B63" i="4" s="1"/>
  <c r="F75" i="1"/>
  <c r="C76" i="1"/>
  <c r="D75" i="1"/>
  <c r="E75" i="1" s="1"/>
  <c r="A166" i="4" s="1"/>
  <c r="B166" i="4" s="1"/>
  <c r="H74" i="1"/>
  <c r="A369" i="4" s="1"/>
  <c r="B369" i="4" s="1"/>
  <c r="G74" i="1"/>
  <c r="A267" i="4" s="1"/>
  <c r="B267" i="4" s="1"/>
  <c r="A63" i="7" l="1"/>
  <c r="B63" i="7" s="1"/>
  <c r="A165" i="7"/>
  <c r="B165" i="7" s="1"/>
  <c r="C76" i="6"/>
  <c r="D75" i="6"/>
  <c r="F75" i="6" s="1"/>
  <c r="D76" i="6"/>
  <c r="F76" i="6" s="1"/>
  <c r="E75" i="6"/>
  <c r="A166" i="7" s="1"/>
  <c r="B166" i="7" s="1"/>
  <c r="F76" i="1"/>
  <c r="A64" i="4"/>
  <c r="B64" i="4" s="1"/>
  <c r="C77" i="1"/>
  <c r="D76" i="1"/>
  <c r="E76" i="1" s="1"/>
  <c r="A167" i="4" s="1"/>
  <c r="B167" i="4" s="1"/>
  <c r="G75" i="1"/>
  <c r="A268" i="4" s="1"/>
  <c r="B268" i="4" s="1"/>
  <c r="H75" i="1"/>
  <c r="A370" i="4" s="1"/>
  <c r="B370" i="4" s="1"/>
  <c r="C77" i="6" l="1"/>
  <c r="A65" i="7"/>
  <c r="B65" i="7" s="1"/>
  <c r="A64" i="7"/>
  <c r="B64" i="7" s="1"/>
  <c r="B167" i="7"/>
  <c r="E76" i="6"/>
  <c r="A167" i="7" s="1"/>
  <c r="A65" i="4"/>
  <c r="B65" i="4" s="1"/>
  <c r="F77" i="1"/>
  <c r="C78" i="1"/>
  <c r="D77" i="1"/>
  <c r="E77" i="1" s="1"/>
  <c r="A168" i="4" s="1"/>
  <c r="B168" i="4" s="1"/>
  <c r="G76" i="1"/>
  <c r="A269" i="4" s="1"/>
  <c r="B269" i="4" s="1"/>
  <c r="H76" i="1"/>
  <c r="A371" i="4" s="1"/>
  <c r="B371" i="4" s="1"/>
  <c r="D77" i="6" l="1"/>
  <c r="F77" i="6" s="1"/>
  <c r="C78" i="6"/>
  <c r="E77" i="6"/>
  <c r="F78" i="1"/>
  <c r="A66" i="4"/>
  <c r="B66" i="4" s="1"/>
  <c r="C79" i="1"/>
  <c r="D78" i="1"/>
  <c r="E78" i="1" s="1"/>
  <c r="A169" i="4" s="1"/>
  <c r="B169" i="4" s="1"/>
  <c r="H77" i="1"/>
  <c r="A372" i="4" s="1"/>
  <c r="B372" i="4" s="1"/>
  <c r="G77" i="1"/>
  <c r="A270" i="4" s="1"/>
  <c r="B270" i="4" s="1"/>
  <c r="A66" i="7" l="1"/>
  <c r="B66" i="7" s="1"/>
  <c r="A168" i="7"/>
  <c r="B168" i="7" s="1"/>
  <c r="D78" i="6"/>
  <c r="F78" i="6" s="1"/>
  <c r="A67" i="7"/>
  <c r="B67" i="7" s="1"/>
  <c r="C79" i="6"/>
  <c r="E78" i="6"/>
  <c r="A169" i="7" s="1"/>
  <c r="B169" i="7" s="1"/>
  <c r="F79" i="1"/>
  <c r="A67" i="4"/>
  <c r="B67" i="4" s="1"/>
  <c r="C80" i="1"/>
  <c r="D79" i="1"/>
  <c r="E79" i="1" s="1"/>
  <c r="A170" i="4" s="1"/>
  <c r="B170" i="4" s="1"/>
  <c r="H78" i="1"/>
  <c r="A373" i="4" s="1"/>
  <c r="B373" i="4" s="1"/>
  <c r="G78" i="1"/>
  <c r="A271" i="4" s="1"/>
  <c r="B271" i="4" s="1"/>
  <c r="D79" i="6" l="1"/>
  <c r="F79" i="6" s="1"/>
  <c r="C80" i="6"/>
  <c r="E79" i="6"/>
  <c r="A170" i="7" s="1"/>
  <c r="B170" i="7" s="1"/>
  <c r="F80" i="1"/>
  <c r="A68" i="4"/>
  <c r="B68" i="4" s="1"/>
  <c r="C81" i="1"/>
  <c r="D80" i="1"/>
  <c r="E80" i="1" s="1"/>
  <c r="A171" i="4" s="1"/>
  <c r="B171" i="4" s="1"/>
  <c r="G79" i="1"/>
  <c r="A272" i="4" s="1"/>
  <c r="B272" i="4" s="1"/>
  <c r="H79" i="1"/>
  <c r="A374" i="4" s="1"/>
  <c r="B374" i="4" s="1"/>
  <c r="D80" i="6" l="1"/>
  <c r="F80" i="6" s="1"/>
  <c r="A68" i="7"/>
  <c r="B68" i="7" s="1"/>
  <c r="C81" i="6"/>
  <c r="E80" i="6"/>
  <c r="A171" i="7" s="1"/>
  <c r="B171" i="7" s="1"/>
  <c r="F81" i="1"/>
  <c r="A69" i="4"/>
  <c r="B69" i="4" s="1"/>
  <c r="C82" i="1"/>
  <c r="D81" i="1"/>
  <c r="E81" i="1" s="1"/>
  <c r="A172" i="4" s="1"/>
  <c r="B172" i="4" s="1"/>
  <c r="G80" i="1"/>
  <c r="A273" i="4" s="1"/>
  <c r="B273" i="4" s="1"/>
  <c r="H80" i="1"/>
  <c r="A375" i="4" s="1"/>
  <c r="B375" i="4" s="1"/>
  <c r="D81" i="6" l="1"/>
  <c r="F81" i="6" s="1"/>
  <c r="A70" i="7"/>
  <c r="A69" i="7"/>
  <c r="B69" i="7" s="1"/>
  <c r="B70" i="7"/>
  <c r="B172" i="7"/>
  <c r="C82" i="6"/>
  <c r="E81" i="6"/>
  <c r="A172" i="7" s="1"/>
  <c r="F82" i="1"/>
  <c r="A70" i="4"/>
  <c r="B70" i="4" s="1"/>
  <c r="C83" i="1"/>
  <c r="D82" i="1"/>
  <c r="E82" i="1" s="1"/>
  <c r="A173" i="4" s="1"/>
  <c r="B173" i="4" s="1"/>
  <c r="H81" i="1"/>
  <c r="A376" i="4" s="1"/>
  <c r="B376" i="4" s="1"/>
  <c r="G81" i="1"/>
  <c r="A274" i="4" s="1"/>
  <c r="B274" i="4" s="1"/>
  <c r="D82" i="6" l="1"/>
  <c r="F82" i="6" s="1"/>
  <c r="C83" i="6"/>
  <c r="E82" i="6"/>
  <c r="A71" i="4"/>
  <c r="B71" i="4" s="1"/>
  <c r="F83" i="1"/>
  <c r="C84" i="1"/>
  <c r="D83" i="1"/>
  <c r="E83" i="1" s="1"/>
  <c r="A174" i="4" s="1"/>
  <c r="B174" i="4" s="1"/>
  <c r="G82" i="1"/>
  <c r="A275" i="4" s="1"/>
  <c r="B275" i="4" s="1"/>
  <c r="H82" i="1"/>
  <c r="A377" i="4" s="1"/>
  <c r="B377" i="4" s="1"/>
  <c r="A173" i="7" l="1"/>
  <c r="B173" i="7" s="1"/>
  <c r="D83" i="6"/>
  <c r="F83" i="6" s="1"/>
  <c r="A72" i="7"/>
  <c r="A71" i="7"/>
  <c r="B71" i="7" s="1"/>
  <c r="B72" i="7"/>
  <c r="C84" i="6"/>
  <c r="E83" i="6"/>
  <c r="A174" i="7" s="1"/>
  <c r="B174" i="7" s="1"/>
  <c r="F84" i="1"/>
  <c r="A72" i="4"/>
  <c r="B72" i="4" s="1"/>
  <c r="C85" i="1"/>
  <c r="D84" i="1"/>
  <c r="E84" i="1" s="1"/>
  <c r="A175" i="4" s="1"/>
  <c r="B175" i="4" s="1"/>
  <c r="H83" i="1"/>
  <c r="A378" i="4" s="1"/>
  <c r="B378" i="4" s="1"/>
  <c r="G83" i="1"/>
  <c r="A276" i="4" s="1"/>
  <c r="B276" i="4" s="1"/>
  <c r="D84" i="6" l="1"/>
  <c r="F84" i="6" s="1"/>
  <c r="C85" i="6"/>
  <c r="E84" i="6"/>
  <c r="A175" i="7" s="1"/>
  <c r="B175" i="7" s="1"/>
  <c r="A73" i="4"/>
  <c r="B73" i="4" s="1"/>
  <c r="F85" i="1"/>
  <c r="C86" i="1"/>
  <c r="D85" i="1"/>
  <c r="E85" i="1" s="1"/>
  <c r="A176" i="4" s="1"/>
  <c r="B176" i="4" s="1"/>
  <c r="G84" i="1"/>
  <c r="A277" i="4" s="1"/>
  <c r="B277" i="4" s="1"/>
  <c r="H84" i="1"/>
  <c r="A379" i="4" s="1"/>
  <c r="B379" i="4" s="1"/>
  <c r="D85" i="6" l="1"/>
  <c r="F85" i="6" s="1"/>
  <c r="A74" i="7"/>
  <c r="B74" i="7" s="1"/>
  <c r="A73" i="7"/>
  <c r="B73" i="7" s="1"/>
  <c r="C86" i="6"/>
  <c r="E85" i="6"/>
  <c r="A176" i="7" s="1"/>
  <c r="B176" i="7" s="1"/>
  <c r="A74" i="4"/>
  <c r="B74" i="4" s="1"/>
  <c r="F86" i="1"/>
  <c r="C87" i="1"/>
  <c r="D86" i="1"/>
  <c r="E86" i="1" s="1"/>
  <c r="A177" i="4" s="1"/>
  <c r="B177" i="4" s="1"/>
  <c r="G85" i="1"/>
  <c r="A278" i="4" s="1"/>
  <c r="B278" i="4" s="1"/>
  <c r="H85" i="1"/>
  <c r="A380" i="4" s="1"/>
  <c r="B380" i="4" s="1"/>
  <c r="D86" i="6" l="1"/>
  <c r="F86" i="6" s="1"/>
  <c r="A75" i="7"/>
  <c r="B75" i="7" s="1"/>
  <c r="C87" i="6"/>
  <c r="E86" i="6"/>
  <c r="A177" i="7" s="1"/>
  <c r="B177" i="7" s="1"/>
  <c r="A75" i="4"/>
  <c r="B75" i="4" s="1"/>
  <c r="F87" i="1"/>
  <c r="C88" i="1"/>
  <c r="D87" i="1"/>
  <c r="E87" i="1" s="1"/>
  <c r="A178" i="4" s="1"/>
  <c r="B178" i="4" s="1"/>
  <c r="H86" i="1"/>
  <c r="A381" i="4" s="1"/>
  <c r="B381" i="4" s="1"/>
  <c r="G86" i="1"/>
  <c r="A279" i="4" s="1"/>
  <c r="B279" i="4" s="1"/>
  <c r="D87" i="6" l="1"/>
  <c r="F87" i="6" s="1"/>
  <c r="C88" i="6"/>
  <c r="E87" i="6"/>
  <c r="A178" i="7" s="1"/>
  <c r="B178" i="7" s="1"/>
  <c r="F88" i="1"/>
  <c r="A76" i="4"/>
  <c r="B76" i="4" s="1"/>
  <c r="C89" i="1"/>
  <c r="D88" i="1"/>
  <c r="E88" i="1" s="1"/>
  <c r="G87" i="1"/>
  <c r="A280" i="4" s="1"/>
  <c r="B280" i="4" s="1"/>
  <c r="H87" i="1"/>
  <c r="A382" i="4" s="1"/>
  <c r="B382" i="4" s="1"/>
  <c r="D88" i="6" l="1"/>
  <c r="F88" i="6" s="1"/>
  <c r="A76" i="7"/>
  <c r="B76" i="7" s="1"/>
  <c r="A179" i="4"/>
  <c r="B179" i="4" s="1"/>
  <c r="C89" i="6"/>
  <c r="E88" i="6"/>
  <c r="A179" i="7" s="1"/>
  <c r="B179" i="7" s="1"/>
  <c r="A77" i="4"/>
  <c r="B77" i="4" s="1"/>
  <c r="F89" i="1"/>
  <c r="C90" i="1"/>
  <c r="D89" i="1"/>
  <c r="E89" i="1" s="1"/>
  <c r="A180" i="4" s="1"/>
  <c r="B180" i="4" s="1"/>
  <c r="G88" i="1"/>
  <c r="A281" i="4" s="1"/>
  <c r="B281" i="4" s="1"/>
  <c r="H88" i="1"/>
  <c r="D89" i="6" l="1"/>
  <c r="F89" i="6" s="1"/>
  <c r="A77" i="7"/>
  <c r="B77" i="7" s="1"/>
  <c r="A383" i="4"/>
  <c r="B383" i="4" s="1"/>
  <c r="C90" i="6"/>
  <c r="E89" i="6"/>
  <c r="A180" i="7" s="1"/>
  <c r="B180" i="7" s="1"/>
  <c r="F90" i="1"/>
  <c r="A78" i="4"/>
  <c r="B78" i="4" s="1"/>
  <c r="C91" i="1"/>
  <c r="D90" i="1"/>
  <c r="E90" i="1" s="1"/>
  <c r="A181" i="4" s="1"/>
  <c r="B181" i="4" s="1"/>
  <c r="H89" i="1"/>
  <c r="A384" i="4" s="1"/>
  <c r="B384" i="4" s="1"/>
  <c r="G89" i="1"/>
  <c r="A282" i="4" s="1"/>
  <c r="B282" i="4" s="1"/>
  <c r="D90" i="6" l="1"/>
  <c r="F90" i="6" s="1"/>
  <c r="A79" i="7"/>
  <c r="B79" i="7" s="1"/>
  <c r="A78" i="7"/>
  <c r="B78" i="7" s="1"/>
  <c r="C91" i="6"/>
  <c r="E90" i="6"/>
  <c r="A181" i="7" s="1"/>
  <c r="B181" i="7" s="1"/>
  <c r="A79" i="4"/>
  <c r="B79" i="4" s="1"/>
  <c r="F91" i="1"/>
  <c r="C92" i="1"/>
  <c r="D91" i="1"/>
  <c r="E91" i="1" s="1"/>
  <c r="A182" i="4" s="1"/>
  <c r="B182" i="4" s="1"/>
  <c r="H90" i="1"/>
  <c r="A385" i="4" s="1"/>
  <c r="B385" i="4" s="1"/>
  <c r="G90" i="1"/>
  <c r="A283" i="4" s="1"/>
  <c r="B283" i="4" s="1"/>
  <c r="D91" i="6" l="1"/>
  <c r="F91" i="6" s="1"/>
  <c r="A80" i="7"/>
  <c r="B80" i="7" s="1"/>
  <c r="C92" i="6"/>
  <c r="E91" i="6"/>
  <c r="A182" i="7" s="1"/>
  <c r="B182" i="7" s="1"/>
  <c r="F92" i="1"/>
  <c r="A80" i="4"/>
  <c r="B80" i="4" s="1"/>
  <c r="C93" i="1"/>
  <c r="D92" i="1"/>
  <c r="E92" i="1" s="1"/>
  <c r="A183" i="4" s="1"/>
  <c r="B183" i="4" s="1"/>
  <c r="H91" i="1"/>
  <c r="A386" i="4" s="1"/>
  <c r="B386" i="4" s="1"/>
  <c r="G91" i="1"/>
  <c r="A284" i="4" s="1"/>
  <c r="B284" i="4" s="1"/>
  <c r="D92" i="6" l="1"/>
  <c r="F92" i="6" s="1"/>
  <c r="A81" i="7"/>
  <c r="B81" i="7" s="1"/>
  <c r="C93" i="6"/>
  <c r="E92" i="6"/>
  <c r="A183" i="7" s="1"/>
  <c r="B183" i="7" s="1"/>
  <c r="F93" i="1"/>
  <c r="A81" i="4"/>
  <c r="B81" i="4" s="1"/>
  <c r="C94" i="1"/>
  <c r="D93" i="1"/>
  <c r="E93" i="1" s="1"/>
  <c r="A184" i="4" s="1"/>
  <c r="B184" i="4" s="1"/>
  <c r="H92" i="1"/>
  <c r="A387" i="4" s="1"/>
  <c r="B387" i="4" s="1"/>
  <c r="G92" i="1"/>
  <c r="A285" i="4" s="1"/>
  <c r="B285" i="4" s="1"/>
  <c r="D93" i="6" l="1"/>
  <c r="F93" i="6" s="1"/>
  <c r="C94" i="6"/>
  <c r="E93" i="6"/>
  <c r="A184" i="7" s="1"/>
  <c r="B184" i="7" s="1"/>
  <c r="F94" i="1"/>
  <c r="A82" i="4"/>
  <c r="B82" i="4" s="1"/>
  <c r="C95" i="1"/>
  <c r="D94" i="1"/>
  <c r="E94" i="1" s="1"/>
  <c r="A185" i="4" s="1"/>
  <c r="B185" i="4" s="1"/>
  <c r="G93" i="1"/>
  <c r="A286" i="4" s="1"/>
  <c r="B286" i="4" s="1"/>
  <c r="H93" i="1"/>
  <c r="A388" i="4" s="1"/>
  <c r="B388" i="4" s="1"/>
  <c r="D94" i="6" l="1"/>
  <c r="F94" i="6" s="1"/>
  <c r="A83" i="7"/>
  <c r="B83" i="7" s="1"/>
  <c r="A82" i="7"/>
  <c r="B82" i="7" s="1"/>
  <c r="C95" i="6"/>
  <c r="E94" i="6"/>
  <c r="A185" i="7" s="1"/>
  <c r="B185" i="7" s="1"/>
  <c r="F95" i="1"/>
  <c r="A83" i="4"/>
  <c r="B83" i="4" s="1"/>
  <c r="C96" i="1"/>
  <c r="D95" i="1"/>
  <c r="E95" i="1" s="1"/>
  <c r="A186" i="4" s="1"/>
  <c r="B186" i="4" s="1"/>
  <c r="H94" i="1"/>
  <c r="A389" i="4" s="1"/>
  <c r="B389" i="4" s="1"/>
  <c r="G94" i="1"/>
  <c r="A287" i="4" s="1"/>
  <c r="B287" i="4" s="1"/>
  <c r="D95" i="6" l="1"/>
  <c r="F95" i="6" s="1"/>
  <c r="A84" i="7"/>
  <c r="B84" i="7" s="1"/>
  <c r="C96" i="6"/>
  <c r="E95" i="6"/>
  <c r="A186" i="7" s="1"/>
  <c r="B186" i="7" s="1"/>
  <c r="A84" i="4"/>
  <c r="B84" i="4" s="1"/>
  <c r="F96" i="1"/>
  <c r="C97" i="1"/>
  <c r="D96" i="1"/>
  <c r="E96" i="1" s="1"/>
  <c r="A187" i="4" s="1"/>
  <c r="B187" i="4" s="1"/>
  <c r="H95" i="1"/>
  <c r="A390" i="4" s="1"/>
  <c r="B390" i="4" s="1"/>
  <c r="G95" i="1"/>
  <c r="A288" i="4" s="1"/>
  <c r="B288" i="4" s="1"/>
  <c r="D96" i="6" l="1"/>
  <c r="F96" i="6" s="1"/>
  <c r="A85" i="7"/>
  <c r="B85" i="7" s="1"/>
  <c r="C97" i="6"/>
  <c r="E96" i="6"/>
  <c r="A187" i="7" s="1"/>
  <c r="B187" i="7" s="1"/>
  <c r="A85" i="4"/>
  <c r="B85" i="4" s="1"/>
  <c r="F97" i="1"/>
  <c r="C98" i="1"/>
  <c r="D97" i="1"/>
  <c r="E97" i="1" s="1"/>
  <c r="A188" i="4" s="1"/>
  <c r="B188" i="4" s="1"/>
  <c r="G96" i="1"/>
  <c r="A289" i="4" s="1"/>
  <c r="B289" i="4" s="1"/>
  <c r="H96" i="1"/>
  <c r="A391" i="4" s="1"/>
  <c r="B391" i="4" s="1"/>
  <c r="D97" i="6" l="1"/>
  <c r="F97" i="6" s="1"/>
  <c r="C98" i="6"/>
  <c r="E97" i="6"/>
  <c r="A188" i="7" s="1"/>
  <c r="B188" i="7" s="1"/>
  <c r="A86" i="4"/>
  <c r="B86" i="4" s="1"/>
  <c r="F98" i="1"/>
  <c r="C99" i="1"/>
  <c r="D98" i="1"/>
  <c r="E98" i="1" s="1"/>
  <c r="A189" i="4" s="1"/>
  <c r="B189" i="4" s="1"/>
  <c r="H97" i="1"/>
  <c r="A392" i="4" s="1"/>
  <c r="B392" i="4" s="1"/>
  <c r="G97" i="1"/>
  <c r="A290" i="4" s="1"/>
  <c r="B290" i="4" s="1"/>
  <c r="D98" i="6" l="1"/>
  <c r="F98" i="6" s="1"/>
  <c r="A87" i="7"/>
  <c r="B87" i="7" s="1"/>
  <c r="A86" i="7"/>
  <c r="B86" i="7" s="1"/>
  <c r="C99" i="6"/>
  <c r="E98" i="6"/>
  <c r="A189" i="7" s="1"/>
  <c r="B189" i="7" s="1"/>
  <c r="F99" i="1"/>
  <c r="A87" i="4"/>
  <c r="B87" i="4" s="1"/>
  <c r="C100" i="1"/>
  <c r="D99" i="1"/>
  <c r="E99" i="1" s="1"/>
  <c r="A190" i="4" s="1"/>
  <c r="B190" i="4" s="1"/>
  <c r="G98" i="1"/>
  <c r="A291" i="4" s="1"/>
  <c r="B291" i="4" s="1"/>
  <c r="H98" i="1"/>
  <c r="A393" i="4" s="1"/>
  <c r="B393" i="4" s="1"/>
  <c r="D99" i="6" l="1"/>
  <c r="F99" i="6" s="1"/>
  <c r="A88" i="7"/>
  <c r="B88" i="7" s="1"/>
  <c r="C100" i="6"/>
  <c r="E99" i="6"/>
  <c r="A190" i="7" s="1"/>
  <c r="B190" i="7" s="1"/>
  <c r="F100" i="1"/>
  <c r="A88" i="4"/>
  <c r="B88" i="4" s="1"/>
  <c r="C101" i="1"/>
  <c r="D100" i="1"/>
  <c r="E100" i="1" s="1"/>
  <c r="A191" i="4" s="1"/>
  <c r="B191" i="4" s="1"/>
  <c r="H99" i="1"/>
  <c r="A394" i="4" s="1"/>
  <c r="B394" i="4" s="1"/>
  <c r="G99" i="1"/>
  <c r="A292" i="4" s="1"/>
  <c r="B292" i="4" s="1"/>
  <c r="D100" i="6" l="1"/>
  <c r="F100" i="6" s="1"/>
  <c r="A89" i="7"/>
  <c r="B89" i="7" s="1"/>
  <c r="C101" i="6"/>
  <c r="E100" i="6"/>
  <c r="A191" i="7" s="1"/>
  <c r="B191" i="7" s="1"/>
  <c r="F101" i="1"/>
  <c r="A89" i="4"/>
  <c r="B89" i="4" s="1"/>
  <c r="C102" i="1"/>
  <c r="D101" i="1"/>
  <c r="E101" i="1" s="1"/>
  <c r="A192" i="4" s="1"/>
  <c r="B192" i="4" s="1"/>
  <c r="H100" i="1"/>
  <c r="A395" i="4" s="1"/>
  <c r="B395" i="4" s="1"/>
  <c r="G100" i="1"/>
  <c r="A293" i="4" s="1"/>
  <c r="B293" i="4" s="1"/>
  <c r="D101" i="6" l="1"/>
  <c r="F101" i="6" s="1"/>
  <c r="A90" i="7"/>
  <c r="B90" i="7" s="1"/>
  <c r="C102" i="6"/>
  <c r="E101" i="6"/>
  <c r="A192" i="7" s="1"/>
  <c r="B192" i="7" s="1"/>
  <c r="F102" i="1"/>
  <c r="A90" i="4"/>
  <c r="B90" i="4" s="1"/>
  <c r="C103" i="1"/>
  <c r="D102" i="1"/>
  <c r="E102" i="1" s="1"/>
  <c r="A193" i="4" s="1"/>
  <c r="B193" i="4" s="1"/>
  <c r="G101" i="1"/>
  <c r="A294" i="4" s="1"/>
  <c r="B294" i="4" s="1"/>
  <c r="H101" i="1"/>
  <c r="A396" i="4" s="1"/>
  <c r="B396" i="4" s="1"/>
  <c r="D102" i="6" l="1"/>
  <c r="F102" i="6" s="1"/>
  <c r="C103" i="6"/>
  <c r="E102" i="6"/>
  <c r="A193" i="7" s="1"/>
  <c r="B193" i="7" s="1"/>
  <c r="A91" i="4"/>
  <c r="B91" i="4" s="1"/>
  <c r="F103" i="1"/>
  <c r="C104" i="1"/>
  <c r="D103" i="1"/>
  <c r="E103" i="1" s="1"/>
  <c r="A194" i="4" s="1"/>
  <c r="B194" i="4" s="1"/>
  <c r="H102" i="1"/>
  <c r="A397" i="4" s="1"/>
  <c r="B397" i="4" s="1"/>
  <c r="G102" i="1"/>
  <c r="A295" i="4" s="1"/>
  <c r="B295" i="4" s="1"/>
  <c r="A91" i="7" l="1"/>
  <c r="B91" i="7" s="1"/>
  <c r="D103" i="6"/>
  <c r="F103" i="6" s="1"/>
  <c r="C104" i="6"/>
  <c r="E103" i="6"/>
  <c r="A194" i="7" s="1"/>
  <c r="B194" i="7" s="1"/>
  <c r="A92" i="4"/>
  <c r="B92" i="4" s="1"/>
  <c r="F104" i="1"/>
  <c r="C105" i="1"/>
  <c r="D104" i="1"/>
  <c r="E104" i="1" s="1"/>
  <c r="A195" i="4" s="1"/>
  <c r="B195" i="4" s="1"/>
  <c r="H103" i="1"/>
  <c r="A398" i="4" s="1"/>
  <c r="B398" i="4" s="1"/>
  <c r="G103" i="1"/>
  <c r="A296" i="4" s="1"/>
  <c r="B296" i="4" s="1"/>
  <c r="D104" i="6" l="1"/>
  <c r="F104" i="6" s="1"/>
  <c r="A93" i="7"/>
  <c r="B93" i="7" s="1"/>
  <c r="A92" i="7"/>
  <c r="B92" i="7" s="1"/>
  <c r="C105" i="6"/>
  <c r="E104" i="6"/>
  <c r="A195" i="7" s="1"/>
  <c r="B195" i="7" s="1"/>
  <c r="F105" i="1"/>
  <c r="A93" i="4"/>
  <c r="B93" i="4" s="1"/>
  <c r="C106" i="1"/>
  <c r="D105" i="1"/>
  <c r="E105" i="1" s="1"/>
  <c r="A196" i="4" s="1"/>
  <c r="B196" i="4" s="1"/>
  <c r="G104" i="1"/>
  <c r="A297" i="4" s="1"/>
  <c r="B297" i="4" s="1"/>
  <c r="H104" i="1"/>
  <c r="A399" i="4" s="1"/>
  <c r="B399" i="4" s="1"/>
  <c r="D105" i="6" l="1"/>
  <c r="F105" i="6" s="1"/>
  <c r="A94" i="7"/>
  <c r="B94" i="7" s="1"/>
  <c r="C106" i="6"/>
  <c r="E105" i="6"/>
  <c r="A196" i="7" s="1"/>
  <c r="B196" i="7" s="1"/>
  <c r="F106" i="1"/>
  <c r="A94" i="4"/>
  <c r="B94" i="4" s="1"/>
  <c r="C107" i="1"/>
  <c r="D106" i="1"/>
  <c r="E106" i="1" s="1"/>
  <c r="A197" i="4" s="1"/>
  <c r="B197" i="4" s="1"/>
  <c r="G105" i="1"/>
  <c r="A298" i="4" s="1"/>
  <c r="B298" i="4" s="1"/>
  <c r="H105" i="1"/>
  <c r="A400" i="4" s="1"/>
  <c r="B400" i="4" s="1"/>
  <c r="D106" i="6" l="1"/>
  <c r="F106" i="6" s="1"/>
  <c r="A95" i="7"/>
  <c r="B95" i="7" s="1"/>
  <c r="C107" i="6"/>
  <c r="E106" i="6"/>
  <c r="A197" i="7" s="1"/>
  <c r="B197" i="7" s="1"/>
  <c r="A95" i="4"/>
  <c r="B95" i="4" s="1"/>
  <c r="F107" i="1"/>
  <c r="C108" i="1"/>
  <c r="D107" i="1"/>
  <c r="E107" i="1" s="1"/>
  <c r="A198" i="4" s="1"/>
  <c r="B198" i="4" s="1"/>
  <c r="H106" i="1"/>
  <c r="A401" i="4" s="1"/>
  <c r="B401" i="4" s="1"/>
  <c r="G106" i="1"/>
  <c r="A299" i="4" s="1"/>
  <c r="B299" i="4" s="1"/>
  <c r="D107" i="6" l="1"/>
  <c r="F107" i="6" s="1"/>
  <c r="C108" i="6"/>
  <c r="E107" i="6"/>
  <c r="A198" i="7" s="1"/>
  <c r="B198" i="7" s="1"/>
  <c r="F108" i="1"/>
  <c r="A96" i="4"/>
  <c r="B96" i="4" s="1"/>
  <c r="C109" i="1"/>
  <c r="D108" i="1"/>
  <c r="E108" i="1" s="1"/>
  <c r="A199" i="4" s="1"/>
  <c r="B199" i="4" s="1"/>
  <c r="H107" i="1"/>
  <c r="A402" i="4" s="1"/>
  <c r="B402" i="4" s="1"/>
  <c r="G107" i="1"/>
  <c r="A300" i="4" s="1"/>
  <c r="B300" i="4" s="1"/>
  <c r="D108" i="6" l="1"/>
  <c r="F108" i="6" s="1"/>
  <c r="A96" i="7"/>
  <c r="B96" i="7" s="1"/>
  <c r="C109" i="6"/>
  <c r="E108" i="6"/>
  <c r="A199" i="7" s="1"/>
  <c r="B199" i="7" s="1"/>
  <c r="F109" i="1"/>
  <c r="A97" i="4"/>
  <c r="B97" i="4" s="1"/>
  <c r="C110" i="1"/>
  <c r="D109" i="1"/>
  <c r="E109" i="1" s="1"/>
  <c r="A200" i="4" s="1"/>
  <c r="B200" i="4" s="1"/>
  <c r="H108" i="1"/>
  <c r="A403" i="4" s="1"/>
  <c r="B403" i="4" s="1"/>
  <c r="G108" i="1"/>
  <c r="A301" i="4" s="1"/>
  <c r="B301" i="4" s="1"/>
  <c r="D109" i="6" l="1"/>
  <c r="F109" i="6" s="1"/>
  <c r="A97" i="7"/>
  <c r="B97" i="7" s="1"/>
  <c r="C110" i="6"/>
  <c r="E109" i="6"/>
  <c r="A200" i="7" s="1"/>
  <c r="B200" i="7" s="1"/>
  <c r="F110" i="1"/>
  <c r="A98" i="4"/>
  <c r="B98" i="4" s="1"/>
  <c r="C111" i="1"/>
  <c r="D110" i="1"/>
  <c r="E110" i="1" s="1"/>
  <c r="A201" i="4" s="1"/>
  <c r="B201" i="4" s="1"/>
  <c r="G109" i="1"/>
  <c r="A302" i="4" s="1"/>
  <c r="B302" i="4" s="1"/>
  <c r="H109" i="1"/>
  <c r="A404" i="4" s="1"/>
  <c r="B404" i="4" s="1"/>
  <c r="D110" i="6" l="1"/>
  <c r="F110" i="6" s="1"/>
  <c r="A98" i="7"/>
  <c r="B98" i="7" s="1"/>
  <c r="C111" i="6"/>
  <c r="E110" i="6"/>
  <c r="A201" i="7" s="1"/>
  <c r="B201" i="7" s="1"/>
  <c r="A99" i="4"/>
  <c r="B99" i="4" s="1"/>
  <c r="F111" i="1"/>
  <c r="C112" i="1"/>
  <c r="D111" i="1"/>
  <c r="E111" i="1" s="1"/>
  <c r="A202" i="4" s="1"/>
  <c r="B202" i="4" s="1"/>
  <c r="G110" i="1"/>
  <c r="A303" i="4" s="1"/>
  <c r="B303" i="4" s="1"/>
  <c r="H110" i="1"/>
  <c r="A405" i="4" s="1"/>
  <c r="B405" i="4" s="1"/>
  <c r="D111" i="6" l="1"/>
  <c r="F111" i="6" s="1"/>
  <c r="A99" i="7"/>
  <c r="B99" i="7" s="1"/>
  <c r="C112" i="6"/>
  <c r="E111" i="6"/>
  <c r="D112" i="1"/>
  <c r="A101" i="4" s="1"/>
  <c r="B101" i="4" s="1"/>
  <c r="A100" i="4"/>
  <c r="B100" i="4" s="1"/>
  <c r="F112" i="1"/>
  <c r="G111" i="1"/>
  <c r="A304" i="4" s="1"/>
  <c r="B304" i="4" s="1"/>
  <c r="H111" i="1"/>
  <c r="A406" i="4" s="1"/>
  <c r="B406" i="4" s="1"/>
  <c r="A100" i="7" l="1"/>
  <c r="B100" i="7" s="1"/>
  <c r="A202" i="7"/>
  <c r="B202" i="7" s="1"/>
  <c r="D112" i="6"/>
  <c r="F112" i="6" s="1"/>
  <c r="A101" i="7"/>
  <c r="B101" i="7" s="1"/>
  <c r="E112" i="6"/>
  <c r="A203" i="7" s="1"/>
  <c r="E112" i="1"/>
  <c r="G112" i="1"/>
  <c r="A305" i="4" s="1"/>
  <c r="B305" i="4" s="1"/>
  <c r="A203" i="4" l="1"/>
  <c r="B203" i="4" s="1"/>
  <c r="B203" i="7"/>
  <c r="H112" i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G17" authorId="0" shapeId="0" xr:uid="{36A8BB54-8129-4900-9AE1-9490FAAEFB50}">
      <text>
        <r>
          <rPr>
            <sz val="9"/>
            <color indexed="81"/>
            <rFont val="Segoe UI Light"/>
            <family val="2"/>
          </rPr>
          <t>Infinite</t>
        </r>
      </text>
    </comment>
    <comment ref="I17" authorId="0" shapeId="0" xr:uid="{456A8C01-A6C5-4E83-A033-418CBBE7A411}">
      <text>
        <r>
          <rPr>
            <sz val="9"/>
            <color indexed="81"/>
            <rFont val="Segoe UI Light"/>
            <family val="2"/>
          </rPr>
          <t>Infinite</t>
        </r>
      </text>
    </comment>
  </commentList>
</comments>
</file>

<file path=xl/sharedStrings.xml><?xml version="1.0" encoding="utf-8"?>
<sst xmlns="http://schemas.openxmlformats.org/spreadsheetml/2006/main" count="63" uniqueCount="41">
  <si>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</si>
  <si>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</si>
  <si>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</si>
  <si>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</si>
  <si>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</si>
  <si>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</si>
  <si>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</si>
  <si>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</si>
  <si>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</si>
  <si>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</si>
  <si>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</si>
  <si>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</si>
  <si>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</si>
  <si>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</si>
  <si>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</si>
  <si>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</si>
  <si>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Dibujo de la Elipse con centro en (h,k)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</si>
  <si>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</si>
  <si>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</si>
  <si>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</si>
  <si>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</si>
  <si>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</si>
  <si>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</si>
  <si>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</si>
  <si>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</si>
  <si>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</si>
  <si>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</si>
  <si>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x</t>
  </si>
  <si>
    <t>Punto</t>
  </si>
  <si>
    <t xml:space="preserve">Incremento x: 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</si>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</sst>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12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0" borderId="23" xfId="0" applyFont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0" xfId="0" applyFont="1" applyBorder="1" applyAlignment="1">
      <alignment horizontal="right"/>
    </xf>
    <xf numFmtId="0" fontId="1" fillId="0" borderId="12" xfId="0" applyFont="1" applyBorder="1" applyAlignment="1">
      <alignment horizontal="left"/>
    </xf>
    <xf numFmtId="0" fontId="1" fillId="0" borderId="23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1" fillId="0" borderId="13" xfId="0" applyFont="1" applyBorder="1" applyAlignment="1">
      <alignment horizontal="right"/>
    </xf>
    <xf numFmtId="0" fontId="1" fillId="0" borderId="14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Fill="1" applyBorder="1" applyAlignment="1" applyProtection="1">
      <alignment horizontal="center"/>
      <protection locked="0"/>
    </xf>
    <xf numFmtId="0" fontId="1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center"/>
    </xf>
    <xf numFmtId="0" fontId="1" fillId="0" borderId="0" xfId="0" applyFont="1" applyFill="1" applyAlignment="1">
      <alignment horizontal="center"/>
    </xf>
    <xf numFmtId="0" fontId="3" fillId="0" borderId="24" xfId="0" applyFont="1" applyBorder="1" applyAlignment="1">
      <alignment horizontal="left"/>
    </xf>
    <xf numFmtId="0" fontId="2" fillId="0" borderId="12" xfId="0" applyFont="1" applyBorder="1" applyAlignment="1" applyProtection="1">
      <alignment horizontal="center"/>
      <protection locked="0"/>
    </xf>
    <xf numFmtId="0" fontId="5" fillId="0" borderId="22" xfId="0" applyFont="1" applyBorder="1" applyAlignment="1">
      <alignment horizontal="left"/>
    </xf>
    <xf numFmtId="0" fontId="5" fillId="0" borderId="2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ElipseTabla!$D$12</c:f>
              <c:strCache>
                <c:ptCount val="1"/>
                <c:pt idx="0">
                  <c:v>YC1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ElipseTabla!$D$13:$D$112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ElipseTabla!$E$12</c:f>
              <c:strCache>
                <c:ptCount val="1"/>
                <c:pt idx="0">
                  <c:v>YC2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ElipseTabla!$E$13:$E$112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ElipseTabla!$G$12</c:f>
              <c:strCache>
                <c:ptCount val="1"/>
                <c:pt idx="0">
                  <c:v>YC3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ElipseTabla!$G$13:$G$112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ElipseTabla!$H$12</c:f>
              <c:strCache>
                <c:ptCount val="1"/>
                <c:pt idx="0">
                  <c:v>YC4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ElipseTabla!$H$13:$H$112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ElipseTabla!$B$2</c:f>
          <c:strCache>
            <c:ptCount val="1"/>
            <c:pt idx="0">
              <c:v>Dibujo de la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5.3059331219961141E-2"/>
          <c:y val="8.7593059927872294E-2"/>
          <c:w val="0.92196437263523878"/>
          <c:h val="0.7530935624197417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ElipseTabla!$D$12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ElipseTabla!$D$13:$D$112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ElipseTabla!$E$12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ElipseTabla!$E$13:$E$112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ElipseTabla!$G$12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ElipseTabla!$G$13:$G$112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ElipseTabla!$H$12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ElipseTabla!$H$13:$H$112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HiperbolaTabla!$D$12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HiperbolaTabla!$C$13:$C$112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HiperbolaTabla!$D$13:$D$112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HiperbolaTabla!$F$12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HiperbolaTabla!$C$13:$C$112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HiperbolaTabla!$F$13:$F$112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Trigonometrica!$D$16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Trigonometrica!$C$17:$C$66</c:f>
              <c:numCache>
                <c:formatCode>General</c:formatCode>
                <c:ptCount val="50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</c:numCache>
            </c:numRef>
          </c:xVal>
          <c:yVal>
            <c:numRef>
              <c:f>Trigonometrica!$D$17:$D$66</c:f>
              <c:numCache>
                <c:formatCode>General</c:formatCode>
                <c:ptCount val="50"/>
                <c:pt idx="0">
                  <c:v>0</c:v>
                </c:pt>
                <c:pt idx="1">
                  <c:v>0.19866933079506122</c:v>
                </c:pt>
                <c:pt idx="2">
                  <c:v>0.38941834230865052</c:v>
                </c:pt>
                <c:pt idx="3">
                  <c:v>0.56464247339503548</c:v>
                </c:pt>
                <c:pt idx="4">
                  <c:v>0.71735609089952279</c:v>
                </c:pt>
                <c:pt idx="5">
                  <c:v>0.8414709848078965</c:v>
                </c:pt>
                <c:pt idx="6">
                  <c:v>0.93203908596722629</c:v>
                </c:pt>
                <c:pt idx="7">
                  <c:v>0.98544972998846014</c:v>
                </c:pt>
                <c:pt idx="8">
                  <c:v>0.99957360304150522</c:v>
                </c:pt>
                <c:pt idx="9">
                  <c:v>0.97384763087819526</c:v>
                </c:pt>
                <c:pt idx="10">
                  <c:v>0.90929742682568182</c:v>
                </c:pt>
                <c:pt idx="11">
                  <c:v>0.80849640381959031</c:v>
                </c:pt>
                <c:pt idx="12">
                  <c:v>0.67546318055115095</c:v>
                </c:pt>
                <c:pt idx="13">
                  <c:v>0.51550137182146416</c:v>
                </c:pt>
                <c:pt idx="14">
                  <c:v>0.33498815015590466</c:v>
                </c:pt>
                <c:pt idx="15">
                  <c:v>0.14112000805986677</c:v>
                </c:pt>
                <c:pt idx="16">
                  <c:v>-5.837414342758053E-2</c:v>
                </c:pt>
                <c:pt idx="17">
                  <c:v>-0.25554110202683211</c:v>
                </c:pt>
                <c:pt idx="18">
                  <c:v>-0.44252044329485324</c:v>
                </c:pt>
                <c:pt idx="19">
                  <c:v>-0.61185789094272003</c:v>
                </c:pt>
                <c:pt idx="20">
                  <c:v>-0.75680249530792887</c:v>
                </c:pt>
                <c:pt idx="21">
                  <c:v>-0.87157577241358863</c:v>
                </c:pt>
                <c:pt idx="22">
                  <c:v>-0.95160207388951634</c:v>
                </c:pt>
                <c:pt idx="23">
                  <c:v>-0.99369100363346463</c:v>
                </c:pt>
                <c:pt idx="24">
                  <c:v>-0.99616460883584057</c:v>
                </c:pt>
                <c:pt idx="25">
                  <c:v>-0.95892427466313801</c:v>
                </c:pt>
                <c:pt idx="26">
                  <c:v>-0.88345465572015236</c:v>
                </c:pt>
                <c:pt idx="27">
                  <c:v>-0.77276448755598603</c:v>
                </c:pt>
                <c:pt idx="28">
                  <c:v>-0.63126663787231951</c:v>
                </c:pt>
                <c:pt idx="29">
                  <c:v>-0.46460217941375503</c:v>
                </c:pt>
                <c:pt idx="30">
                  <c:v>-0.27941549819892331</c:v>
                </c:pt>
                <c:pt idx="31">
                  <c:v>-8.3089402817493746E-2</c:v>
                </c:pt>
                <c:pt idx="32">
                  <c:v>0.11654920485049629</c:v>
                </c:pt>
                <c:pt idx="33">
                  <c:v>0.31154136351338119</c:v>
                </c:pt>
                <c:pt idx="34">
                  <c:v>0.49411335113861127</c:v>
                </c:pt>
                <c:pt idx="35">
                  <c:v>0.65698659871879173</c:v>
                </c:pt>
                <c:pt idx="36">
                  <c:v>0.79366786384915533</c:v>
                </c:pt>
                <c:pt idx="37">
                  <c:v>0.89870809581162847</c:v>
                </c:pt>
                <c:pt idx="38">
                  <c:v>0.96791967203148743</c:v>
                </c:pt>
                <c:pt idx="39">
                  <c:v>0.99854334537460521</c:v>
                </c:pt>
                <c:pt idx="40">
                  <c:v>0.98935824662338123</c:v>
                </c:pt>
                <c:pt idx="41">
                  <c:v>0.9407305566797719</c:v>
                </c:pt>
                <c:pt idx="42">
                  <c:v>0.85459890808827954</c:v>
                </c:pt>
                <c:pt idx="43">
                  <c:v>0.73439709787411223</c:v>
                </c:pt>
                <c:pt idx="44">
                  <c:v>0.58491719289176169</c:v>
                </c:pt>
                <c:pt idx="45">
                  <c:v>0.41211848524175659</c:v>
                </c:pt>
                <c:pt idx="46">
                  <c:v>0.22288991410024764</c:v>
                </c:pt>
                <c:pt idx="47">
                  <c:v>2.4775425453359541E-2</c:v>
                </c:pt>
                <c:pt idx="48">
                  <c:v>-0.17432678122297787</c:v>
                </c:pt>
                <c:pt idx="49">
                  <c:v>-0.36647912925192511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Trigonometrica!$E$16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Trigonometrica!$C$17:$C$66</c:f>
              <c:numCache>
                <c:formatCode>General</c:formatCode>
                <c:ptCount val="50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</c:numCache>
            </c:numRef>
          </c:xVal>
          <c:yVal>
            <c:numRef>
              <c:f>Trigonometrica!$E$17:$E$66</c:f>
              <c:numCache>
                <c:formatCode>General</c:formatCode>
                <c:ptCount val="50"/>
                <c:pt idx="0">
                  <c:v>1</c:v>
                </c:pt>
                <c:pt idx="1">
                  <c:v>0.98006657784124163</c:v>
                </c:pt>
                <c:pt idx="2">
                  <c:v>0.9210609940028851</c:v>
                </c:pt>
                <c:pt idx="3">
                  <c:v>0.82533561490967822</c:v>
                </c:pt>
                <c:pt idx="4">
                  <c:v>0.69670670934716539</c:v>
                </c:pt>
                <c:pt idx="5">
                  <c:v>0.54030230586813977</c:v>
                </c:pt>
                <c:pt idx="6">
                  <c:v>0.36235775447667362</c:v>
                </c:pt>
                <c:pt idx="7">
                  <c:v>0.16996714290024104</c:v>
                </c:pt>
                <c:pt idx="8">
                  <c:v>-2.9199522301288593E-2</c:v>
                </c:pt>
                <c:pt idx="9">
                  <c:v>-0.22720209469308689</c:v>
                </c:pt>
                <c:pt idx="10">
                  <c:v>-0.41614683654714218</c:v>
                </c:pt>
                <c:pt idx="11">
                  <c:v>-0.58850111725534549</c:v>
                </c:pt>
                <c:pt idx="12">
                  <c:v>-0.73739371554124544</c:v>
                </c:pt>
                <c:pt idx="13">
                  <c:v>-0.85688875336894732</c:v>
                </c:pt>
                <c:pt idx="14">
                  <c:v>-0.94222234066865829</c:v>
                </c:pt>
                <c:pt idx="15">
                  <c:v>-0.98999249660044553</c:v>
                </c:pt>
                <c:pt idx="16">
                  <c:v>-0.99829477579475301</c:v>
                </c:pt>
                <c:pt idx="17">
                  <c:v>-0.96679819257946076</c:v>
                </c:pt>
                <c:pt idx="18">
                  <c:v>-0.89675841633414655</c:v>
                </c:pt>
                <c:pt idx="19">
                  <c:v>-0.79096771191441595</c:v>
                </c:pt>
                <c:pt idx="20">
                  <c:v>-0.65364362086361127</c:v>
                </c:pt>
                <c:pt idx="21">
                  <c:v>-0.49026082134069865</c:v>
                </c:pt>
                <c:pt idx="22">
                  <c:v>-0.30733286997841852</c:v>
                </c:pt>
                <c:pt idx="23">
                  <c:v>-0.11215252693505311</c:v>
                </c:pt>
                <c:pt idx="24">
                  <c:v>8.7498983439448161E-2</c:v>
                </c:pt>
                <c:pt idx="25">
                  <c:v>0.28366218546322797</c:v>
                </c:pt>
                <c:pt idx="26">
                  <c:v>0.46851667130037866</c:v>
                </c:pt>
                <c:pt idx="27">
                  <c:v>0.63469287594263601</c:v>
                </c:pt>
                <c:pt idx="28">
                  <c:v>0.77556587851025127</c:v>
                </c:pt>
                <c:pt idx="29">
                  <c:v>0.88551951694132014</c:v>
                </c:pt>
                <c:pt idx="30">
                  <c:v>0.96017028665036674</c:v>
                </c:pt>
                <c:pt idx="31">
                  <c:v>0.99654209702321772</c:v>
                </c:pt>
                <c:pt idx="32">
                  <c:v>0.99318491875819226</c:v>
                </c:pt>
                <c:pt idx="33">
                  <c:v>0.95023259195852849</c:v>
                </c:pt>
                <c:pt idx="34">
                  <c:v>0.8693974903498235</c:v>
                </c:pt>
                <c:pt idx="35">
                  <c:v>0.75390225434330227</c:v>
                </c:pt>
                <c:pt idx="36">
                  <c:v>0.60835131453225166</c:v>
                </c:pt>
                <c:pt idx="37">
                  <c:v>0.43854732757438714</c:v>
                </c:pt>
                <c:pt idx="38">
                  <c:v>0.25125984258225142</c:v>
                </c:pt>
                <c:pt idx="39">
                  <c:v>5.3955420562645316E-2</c:v>
                </c:pt>
                <c:pt idx="40">
                  <c:v>-0.14550003380861704</c:v>
                </c:pt>
                <c:pt idx="41">
                  <c:v>-0.3391548609838379</c:v>
                </c:pt>
                <c:pt idx="42">
                  <c:v>-0.51928865411668712</c:v>
                </c:pt>
                <c:pt idx="43">
                  <c:v>-0.67872004732001379</c:v>
                </c:pt>
                <c:pt idx="44">
                  <c:v>-0.81109301406165601</c:v>
                </c:pt>
                <c:pt idx="45">
                  <c:v>-0.91113026188467694</c:v>
                </c:pt>
                <c:pt idx="46">
                  <c:v>-0.97484362140416358</c:v>
                </c:pt>
                <c:pt idx="47">
                  <c:v>-0.99969304203520648</c:v>
                </c:pt>
                <c:pt idx="48">
                  <c:v>-0.98468785579412732</c:v>
                </c:pt>
                <c:pt idx="49">
                  <c:v>-0.93042627210475459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Trigonometrica!$F$16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Trigonometrica!$C$17:$C$66</c:f>
              <c:numCache>
                <c:formatCode>General</c:formatCode>
                <c:ptCount val="50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</c:numCache>
            </c:numRef>
          </c:xVal>
          <c:yVal>
            <c:numRef>
              <c:f>Trigonometrica!$F$17:$F$66</c:f>
              <c:numCache>
                <c:formatCode>General</c:formatCode>
                <c:ptCount val="50"/>
                <c:pt idx="0">
                  <c:v>0</c:v>
                </c:pt>
                <c:pt idx="1">
                  <c:v>0.2027100355086725</c:v>
                </c:pt>
                <c:pt idx="2">
                  <c:v>0.42279321873816178</c:v>
                </c:pt>
                <c:pt idx="3">
                  <c:v>0.68413680834169244</c:v>
                </c:pt>
                <c:pt idx="4">
                  <c:v>1.0296385570503641</c:v>
                </c:pt>
                <c:pt idx="5">
                  <c:v>1.5574077246549023</c:v>
                </c:pt>
                <c:pt idx="6">
                  <c:v>2.5721516221263188</c:v>
                </c:pt>
                <c:pt idx="7">
                  <c:v>5.7978837154828868</c:v>
                </c:pt>
                <c:pt idx="8">
                  <c:v>-10</c:v>
                </c:pt>
                <c:pt idx="9">
                  <c:v>-4.2862616746280668</c:v>
                </c:pt>
                <c:pt idx="10">
                  <c:v>-2.1850398632615202</c:v>
                </c:pt>
                <c:pt idx="11">
                  <c:v>-1.3738230567687959</c:v>
                </c:pt>
                <c:pt idx="12">
                  <c:v>-0.9160142896734107</c:v>
                </c:pt>
                <c:pt idx="13">
                  <c:v>-0.60159661308975865</c:v>
                </c:pt>
                <c:pt idx="14">
                  <c:v>-0.35552983165117558</c:v>
                </c:pt>
                <c:pt idx="15">
                  <c:v>-0.14254654307427736</c:v>
                </c:pt>
                <c:pt idx="16">
                  <c:v>5.8473854459579089E-2</c:v>
                </c:pt>
                <c:pt idx="17">
                  <c:v>0.2643169008674261</c:v>
                </c:pt>
                <c:pt idx="18">
                  <c:v>0.49346672998490493</c:v>
                </c:pt>
                <c:pt idx="19">
                  <c:v>0.7735560905031279</c:v>
                </c:pt>
                <c:pt idx="20">
                  <c:v>1.1578212823495797</c:v>
                </c:pt>
                <c:pt idx="21">
                  <c:v>1.7777797745088455</c:v>
                </c:pt>
                <c:pt idx="22">
                  <c:v>3.096323780649755</c:v>
                </c:pt>
                <c:pt idx="23">
                  <c:v>8.8601748956481874</c:v>
                </c:pt>
                <c:pt idx="24">
                  <c:v>-10</c:v>
                </c:pt>
                <c:pt idx="25">
                  <c:v>-3.3805150062465636</c:v>
                </c:pt>
                <c:pt idx="26">
                  <c:v>-1.8856418775197559</c:v>
                </c:pt>
                <c:pt idx="27">
                  <c:v>-1.2175408246205508</c:v>
                </c:pt>
                <c:pt idx="28">
                  <c:v>-0.81394328368969826</c:v>
                </c:pt>
                <c:pt idx="29">
                  <c:v>-0.5246662219467968</c:v>
                </c:pt>
                <c:pt idx="30">
                  <c:v>-0.29100619138474626</c:v>
                </c:pt>
                <c:pt idx="31">
                  <c:v>-8.3377714865925934E-2</c:v>
                </c:pt>
                <c:pt idx="32">
                  <c:v>0.11734894746108419</c:v>
                </c:pt>
                <c:pt idx="33">
                  <c:v>0.32785800671313742</c:v>
                </c:pt>
                <c:pt idx="34">
                  <c:v>0.56833997869006103</c:v>
                </c:pt>
                <c:pt idx="35">
                  <c:v>0.871447982724325</c:v>
                </c:pt>
                <c:pt idx="36">
                  <c:v>1.3046209400556479</c:v>
                </c:pt>
                <c:pt idx="37">
                  <c:v>2.0492841691281041</c:v>
                </c:pt>
                <c:pt idx="38">
                  <c:v>3.8522656946847094</c:v>
                </c:pt>
                <c:pt idx="39">
                  <c:v>10</c:v>
                </c:pt>
                <c:pt idx="40">
                  <c:v>-6.7997114552202111</c:v>
                </c:pt>
                <c:pt idx="41">
                  <c:v>-2.7737492953833902</c:v>
                </c:pt>
                <c:pt idx="42">
                  <c:v>-1.6457107262278954</c:v>
                </c:pt>
                <c:pt idx="43">
                  <c:v>-1.0820324237864258</c:v>
                </c:pt>
                <c:pt idx="44">
                  <c:v>-0.72114687557560275</c:v>
                </c:pt>
                <c:pt idx="45">
                  <c:v>-0.45231565944180985</c:v>
                </c:pt>
                <c:pt idx="46">
                  <c:v>-0.22864171155902654</c:v>
                </c:pt>
                <c:pt idx="47">
                  <c:v>-2.4783032802670062E-2</c:v>
                </c:pt>
                <c:pt idx="48">
                  <c:v>0.17703760658486795</c:v>
                </c:pt>
                <c:pt idx="49">
                  <c:v>0.39388304075173841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Trigonometrica!$G$16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Trigonometrica!$C$17:$C$66</c:f>
              <c:numCache>
                <c:formatCode>General</c:formatCode>
                <c:ptCount val="50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</c:numCache>
            </c:numRef>
          </c:xVal>
          <c:yVal>
            <c:numRef>
              <c:f>Trigonometrica!$G$17:$G$66</c:f>
              <c:numCache>
                <c:formatCode>General</c:formatCode>
                <c:ptCount val="50"/>
                <c:pt idx="1">
                  <c:v>4.9331548755868928</c:v>
                </c:pt>
                <c:pt idx="2">
                  <c:v>2.3652224200391103</c:v>
                </c:pt>
                <c:pt idx="3">
                  <c:v>1.4616959470781019</c:v>
                </c:pt>
                <c:pt idx="4">
                  <c:v>0.97121460065047427</c:v>
                </c:pt>
                <c:pt idx="5">
                  <c:v>0.64209261593433065</c:v>
                </c:pt>
                <c:pt idx="6">
                  <c:v>0.38877956936820496</c:v>
                </c:pt>
                <c:pt idx="7">
                  <c:v>0.17247672583180004</c:v>
                </c:pt>
                <c:pt idx="8">
                  <c:v>-2.9211978199944665E-2</c:v>
                </c:pt>
                <c:pt idx="9">
                  <c:v>-0.23330353485401081</c:v>
                </c:pt>
                <c:pt idx="10">
                  <c:v>-0.45765755436028549</c:v>
                </c:pt>
                <c:pt idx="11">
                  <c:v>-0.72789577600479338</c:v>
                </c:pt>
                <c:pt idx="12">
                  <c:v>-1.0916860263790569</c:v>
                </c:pt>
                <c:pt idx="13">
                  <c:v>-1.6622434007134268</c:v>
                </c:pt>
                <c:pt idx="14">
                  <c:v>-2.8127034948255472</c:v>
                </c:pt>
                <c:pt idx="15">
                  <c:v>-7.0152525514345552</c:v>
                </c:pt>
                <c:pt idx="16">
                  <c:v>10</c:v>
                </c:pt>
                <c:pt idx="17">
                  <c:v>3.7833373375604604</c:v>
                </c:pt>
                <c:pt idx="18">
                  <c:v>2.0264790698870212</c:v>
                </c:pt>
                <c:pt idx="19">
                  <c:v>1.2927310795906097</c:v>
                </c:pt>
                <c:pt idx="20">
                  <c:v>0.86369115445061506</c:v>
                </c:pt>
                <c:pt idx="21">
                  <c:v>0.56249936822252022</c:v>
                </c:pt>
                <c:pt idx="22">
                  <c:v>0.32296364038199932</c:v>
                </c:pt>
                <c:pt idx="23">
                  <c:v>0.11286458921834212</c:v>
                </c:pt>
                <c:pt idx="24">
                  <c:v>-8.7835868352824864E-2</c:v>
                </c:pt>
                <c:pt idx="25">
                  <c:v>-0.29581291553274747</c:v>
                </c:pt>
                <c:pt idx="26">
                  <c:v>-0.53032339381183635</c:v>
                </c:pt>
                <c:pt idx="27">
                  <c:v>-0.82132769577697906</c:v>
                </c:pt>
                <c:pt idx="28">
                  <c:v>-1.2285868315871904</c:v>
                </c:pt>
                <c:pt idx="29">
                  <c:v>-1.905973661291662</c:v>
                </c:pt>
                <c:pt idx="30">
                  <c:v>-3.436353004180162</c:v>
                </c:pt>
                <c:pt idx="31">
                  <c:v>-10</c:v>
                </c:pt>
                <c:pt idx="32">
                  <c:v>8.5215932621093575</c:v>
                </c:pt>
                <c:pt idx="33">
                  <c:v>3.0501008958886273</c:v>
                </c:pt>
                <c:pt idx="34">
                  <c:v>1.7595102183465097</c:v>
                </c:pt>
                <c:pt idx="35">
                  <c:v>1.1475154224051274</c:v>
                </c:pt>
                <c:pt idx="36">
                  <c:v>0.76650616995105536</c:v>
                </c:pt>
                <c:pt idx="37">
                  <c:v>0.48797527208023261</c:v>
                </c:pt>
                <c:pt idx="38">
                  <c:v>0.25958749454373903</c:v>
                </c:pt>
                <c:pt idx="39">
                  <c:v>5.4034129627496395E-2</c:v>
                </c:pt>
                <c:pt idx="40">
                  <c:v>-0.1470650639494841</c:v>
                </c:pt>
                <c:pt idx="41">
                  <c:v>-0.36052284958283481</c:v>
                </c:pt>
                <c:pt idx="42">
                  <c:v>-0.60764020314316258</c:v>
                </c:pt>
                <c:pt idx="43">
                  <c:v>-0.92418672307492922</c:v>
                </c:pt>
                <c:pt idx="44">
                  <c:v>-1.3866800701338726</c:v>
                </c:pt>
                <c:pt idx="45">
                  <c:v>-2.2108454109991951</c:v>
                </c:pt>
                <c:pt idx="46">
                  <c:v>-4.3736551532148509</c:v>
                </c:pt>
                <c:pt idx="47">
                  <c:v>-10</c:v>
                </c:pt>
                <c:pt idx="48">
                  <c:v>5.6485173929451085</c:v>
                </c:pt>
                <c:pt idx="49">
                  <c:v>2.5388247183515897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Trigonometrica!$H$16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Trigonometrica!$C$17:$C$66</c:f>
              <c:numCache>
                <c:formatCode>General</c:formatCode>
                <c:ptCount val="50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</c:numCache>
            </c:numRef>
          </c:xVal>
          <c:yVal>
            <c:numRef>
              <c:f>Trigonometrica!$H$17:$H$66</c:f>
              <c:numCache>
                <c:formatCode>General</c:formatCode>
                <c:ptCount val="50"/>
                <c:pt idx="0">
                  <c:v>1</c:v>
                </c:pt>
                <c:pt idx="1">
                  <c:v>1.0203388449411928</c:v>
                </c:pt>
                <c:pt idx="2">
                  <c:v>1.0857044283832387</c:v>
                </c:pt>
                <c:pt idx="3">
                  <c:v>1.2116283145123168</c:v>
                </c:pt>
                <c:pt idx="4">
                  <c:v>1.4353241996722399</c:v>
                </c:pt>
                <c:pt idx="5">
                  <c:v>1.8508157176809255</c:v>
                </c:pt>
                <c:pt idx="6">
                  <c:v>2.7597036013324061</c:v>
                </c:pt>
                <c:pt idx="7">
                  <c:v>5.8834900848273417</c:v>
                </c:pt>
                <c:pt idx="8">
                  <c:v>-10</c:v>
                </c:pt>
                <c:pt idx="9">
                  <c:v>-4.4013678718536351</c:v>
                </c:pt>
                <c:pt idx="10">
                  <c:v>-2.4029979617223822</c:v>
                </c:pt>
                <c:pt idx="11">
                  <c:v>-1.699232118137354</c:v>
                </c:pt>
                <c:pt idx="12">
                  <c:v>-1.3561276410743508</c:v>
                </c:pt>
                <c:pt idx="13">
                  <c:v>-1.1670126326998644</c:v>
                </c:pt>
                <c:pt idx="14">
                  <c:v>-1.0613206212987256</c:v>
                </c:pt>
                <c:pt idx="15">
                  <c:v>-1.0101086659079936</c:v>
                </c:pt>
                <c:pt idx="16">
                  <c:v>-1.00170813696174</c:v>
                </c:pt>
                <c:pt idx="17">
                  <c:v>-1.0343420247114399</c:v>
                </c:pt>
                <c:pt idx="18">
                  <c:v>-1.1151275324383283</c:v>
                </c:pt>
                <c:pt idx="19">
                  <c:v>-1.2642741099755557</c:v>
                </c:pt>
                <c:pt idx="20">
                  <c:v>-1.5298856564663992</c:v>
                </c:pt>
                <c:pt idx="21">
                  <c:v>-2.0397306014895009</c:v>
                </c:pt>
                <c:pt idx="22">
                  <c:v>-3.2538010010781528</c:v>
                </c:pt>
                <c:pt idx="23">
                  <c:v>-8.9164286113597271</c:v>
                </c:pt>
                <c:pt idx="24">
                  <c:v>10</c:v>
                </c:pt>
                <c:pt idx="25">
                  <c:v>3.5253200858160674</c:v>
                </c:pt>
                <c:pt idx="26">
                  <c:v>2.1343957670160965</c:v>
                </c:pt>
                <c:pt idx="27">
                  <c:v>1.5755651873590286</c:v>
                </c:pt>
                <c:pt idx="28">
                  <c:v>1.2893811186238027</c:v>
                </c:pt>
                <c:pt idx="29">
                  <c:v>1.1292805871225828</c:v>
                </c:pt>
                <c:pt idx="30">
                  <c:v>1.041481926595107</c:v>
                </c:pt>
                <c:pt idx="31">
                  <c:v>1.0034699015597148</c:v>
                </c:pt>
                <c:pt idx="32">
                  <c:v>1.0068618452748244</c:v>
                </c:pt>
                <c:pt idx="33">
                  <c:v>1.0523739224087185</c:v>
                </c:pt>
                <c:pt idx="34">
                  <c:v>1.1502218618064164</c:v>
                </c:pt>
                <c:pt idx="35">
                  <c:v>1.3264319004737091</c:v>
                </c:pt>
                <c:pt idx="36">
                  <c:v>1.6437870291590948</c:v>
                </c:pt>
                <c:pt idx="37">
                  <c:v>2.2802556009884207</c:v>
                </c:pt>
                <c:pt idx="38">
                  <c:v>3.9799435903596252</c:v>
                </c:pt>
                <c:pt idx="39">
                  <c:v>10</c:v>
                </c:pt>
                <c:pt idx="40">
                  <c:v>-6.8728506366902051</c:v>
                </c:pt>
                <c:pt idx="41">
                  <c:v>-2.9485055797199795</c:v>
                </c:pt>
                <c:pt idx="42">
                  <c:v>-1.9257112437802162</c:v>
                </c:pt>
                <c:pt idx="43">
                  <c:v>-1.4733615191544562</c:v>
                </c:pt>
                <c:pt idx="44">
                  <c:v>-1.2329042201860021</c:v>
                </c:pt>
                <c:pt idx="45">
                  <c:v>-1.097537906304962</c:v>
                </c:pt>
                <c:pt idx="46">
                  <c:v>-1.0258055528532886</c:v>
                </c:pt>
                <c:pt idx="47">
                  <c:v>-1.0003070522169171</c:v>
                </c:pt>
                <c:pt idx="48">
                  <c:v>-1.0155502519054871</c:v>
                </c:pt>
                <c:pt idx="49">
                  <c:v>-1.0747761859065521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Trigonometrica!$I$16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Trigonometrica!$C$17:$C$66</c:f>
              <c:numCache>
                <c:formatCode>General</c:formatCode>
                <c:ptCount val="50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</c:numCache>
            </c:numRef>
          </c:xVal>
          <c:yVal>
            <c:numRef>
              <c:f>Trigonometrica!$I$17:$I$66</c:f>
              <c:numCache>
                <c:formatCode>General</c:formatCode>
                <c:ptCount val="50"/>
                <c:pt idx="1">
                  <c:v>5.0334895476723442</c:v>
                </c:pt>
                <c:pt idx="2">
                  <c:v>2.5679324555477829</c:v>
                </c:pt>
                <c:pt idx="3">
                  <c:v>1.7710321966877249</c:v>
                </c:pt>
                <c:pt idx="4">
                  <c:v>1.394007819388636</c:v>
                </c:pt>
                <c:pt idx="5">
                  <c:v>1.1883951057781212</c:v>
                </c:pt>
                <c:pt idx="6">
                  <c:v>1.0729163777098973</c:v>
                </c:pt>
                <c:pt idx="7">
                  <c:v>1.0147651062948795</c:v>
                </c:pt>
                <c:pt idx="8">
                  <c:v>1.0004265788504192</c:v>
                </c:pt>
                <c:pt idx="9">
                  <c:v>1.0268546826963281</c:v>
                </c:pt>
                <c:pt idx="10">
                  <c:v>1.0997501702946164</c:v>
                </c:pt>
                <c:pt idx="11">
                  <c:v>1.2368638812438579</c:v>
                </c:pt>
                <c:pt idx="12">
                  <c:v>1.4804655957472619</c:v>
                </c:pt>
                <c:pt idx="13">
                  <c:v>1.939859047254552</c:v>
                </c:pt>
                <c:pt idx="14">
                  <c:v>2.9851802206573472</c:v>
                </c:pt>
                <c:pt idx="15">
                  <c:v>7.0861673957372089</c:v>
                </c:pt>
                <c:pt idx="16">
                  <c:v>-10</c:v>
                </c:pt>
                <c:pt idx="17">
                  <c:v>-3.913264801898674</c:v>
                </c:pt>
                <c:pt idx="18">
                  <c:v>-2.2597826047410328</c:v>
                </c:pt>
                <c:pt idx="19">
                  <c:v>-1.6343664350871574</c:v>
                </c:pt>
                <c:pt idx="20">
                  <c:v>-1.3213487088109013</c:v>
                </c:pt>
                <c:pt idx="21">
                  <c:v>-1.1473471746819854</c:v>
                </c:pt>
                <c:pt idx="22">
                  <c:v>-1.0508594163867941</c:v>
                </c:pt>
                <c:pt idx="23">
                  <c:v>-1.0063490525157883</c:v>
                </c:pt>
                <c:pt idx="24">
                  <c:v>-1.0038501580262338</c:v>
                </c:pt>
                <c:pt idx="25">
                  <c:v>-1.0428352127714062</c:v>
                </c:pt>
                <c:pt idx="26">
                  <c:v>-1.1319200069015938</c:v>
                </c:pt>
                <c:pt idx="27">
                  <c:v>-1.2940553248800153</c:v>
                </c:pt>
                <c:pt idx="28">
                  <c:v>-1.584116663238365</c:v>
                </c:pt>
                <c:pt idx="29">
                  <c:v>-2.1523790552636264</c:v>
                </c:pt>
                <c:pt idx="30">
                  <c:v>-3.5788995472544385</c:v>
                </c:pt>
                <c:pt idx="31">
                  <c:v>-10</c:v>
                </c:pt>
                <c:pt idx="32">
                  <c:v>8.5800671165689373</c:v>
                </c:pt>
                <c:pt idx="33">
                  <c:v>3.2098466435486612</c:v>
                </c:pt>
                <c:pt idx="34">
                  <c:v>2.0238271192139368</c:v>
                </c:pt>
                <c:pt idx="35">
                  <c:v>1.5221010625637243</c:v>
                </c:pt>
                <c:pt idx="36">
                  <c:v>1.2599728999359614</c:v>
                </c:pt>
                <c:pt idx="37">
                  <c:v>1.112708347304799</c:v>
                </c:pt>
                <c:pt idx="38">
                  <c:v>1.0331435850468684</c:v>
                </c:pt>
                <c:pt idx="39">
                  <c:v>1.0014587795633931</c:v>
                </c:pt>
                <c:pt idx="40">
                  <c:v>1.0107562184000976</c:v>
                </c:pt>
                <c:pt idx="41">
                  <c:v>1.0630036336115354</c:v>
                </c:pt>
                <c:pt idx="42">
                  <c:v>1.1701395713656828</c:v>
                </c:pt>
                <c:pt idx="43">
                  <c:v>1.3616611542920565</c:v>
                </c:pt>
                <c:pt idx="44">
                  <c:v>1.7096437105158728</c:v>
                </c:pt>
                <c:pt idx="45">
                  <c:v>2.4264866435519892</c:v>
                </c:pt>
                <c:pt idx="46">
                  <c:v>4.4865197424331953</c:v>
                </c:pt>
                <c:pt idx="47">
                  <c:v>10</c:v>
                </c:pt>
                <c:pt idx="48">
                  <c:v>-5.7363532612979311</c:v>
                </c:pt>
                <c:pt idx="49">
                  <c:v>-2.7286683474751983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51" workbookViewId="0" zoomToFit="1"/>
  </sheetViews>
  <sheetProtection algorithmName="SHA-512" hashValue="80Wk8mIkGtvocOSfSoQ/cP6WwO6+zqqZx2/DsZ+g0w5r/AbOi+kMSBzuO6fGhNyL9GK2oH0vNCDIt7JZVKRlJw==" saltValue="0Op0hTNJPVPS6TQkKB/jLQ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3</xdr:row>
      <xdr:rowOff>67847</xdr:rowOff>
    </xdr:from>
    <xdr:to>
      <xdr:col>7</xdr:col>
      <xdr:colOff>731106</xdr:colOff>
      <xdr:row>10</xdr:row>
      <xdr:rowOff>166603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216839</xdr:colOff>
      <xdr:row>1</xdr:row>
      <xdr:rowOff>68655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〖(𝑥−ℎ)〗^2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)〗^2/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9558000" cy="100457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3</xdr:row>
      <xdr:rowOff>61894</xdr:rowOff>
    </xdr:from>
    <xdr:to>
      <xdr:col>5</xdr:col>
      <xdr:colOff>1127164</xdr:colOff>
      <xdr:row>10</xdr:row>
      <xdr:rowOff>157792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1198300</xdr:colOff>
      <xdr:row>1</xdr:row>
      <xdr:rowOff>53585</xdr:rowOff>
    </xdr:from>
    <xdr:ext cx="1179066" cy="33970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122138</xdr:colOff>
      <xdr:row>3</xdr:row>
      <xdr:rowOff>65640</xdr:rowOff>
    </xdr:from>
    <xdr:to>
      <xdr:col>8</xdr:col>
      <xdr:colOff>573570</xdr:colOff>
      <xdr:row>14</xdr:row>
      <xdr:rowOff>169793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2:H112"/>
  <sheetViews>
    <sheetView showGridLines="0" zoomScale="130" zoomScaleNormal="130" workbookViewId="0">
      <selection activeCell="B2" sqref="B2"/>
    </sheetView>
  </sheetViews>
  <sheetFormatPr defaultColWidth="10.6640625" defaultRowHeight="16.5" x14ac:dyDescent="0.6"/>
  <cols>
    <col min="1" max="1" width="2.59765625" style="1" customWidth="1"/>
    <col min="2" max="2" width="7.1328125" style="28" customWidth="1"/>
    <col min="3" max="8" width="11.53125" style="1" customWidth="1"/>
    <col min="9" max="16384" width="10.6640625" style="1"/>
  </cols>
  <sheetData>
    <row r="2" spans="2:8" ht="18.75" x14ac:dyDescent="0.7">
      <c r="B2" s="56" t="s">
        <v>16</v>
      </c>
      <c r="C2" s="10"/>
      <c r="D2" s="10"/>
      <c r="E2" s="10"/>
      <c r="F2" s="10"/>
      <c r="G2" s="10"/>
      <c r="H2" s="11"/>
    </row>
    <row r="3" spans="2:8" x14ac:dyDescent="0.6">
      <c r="B3" s="24"/>
      <c r="C3" s="13"/>
      <c r="D3" s="13"/>
      <c r="E3" s="13"/>
      <c r="F3" s="13"/>
      <c r="G3" s="13"/>
      <c r="H3" s="14"/>
    </row>
    <row r="4" spans="2:8" x14ac:dyDescent="0.6">
      <c r="B4" s="2" t="s">
        <v>13</v>
      </c>
      <c r="C4" s="15"/>
      <c r="D4" s="3" t="s">
        <v>14</v>
      </c>
      <c r="E4" s="10"/>
      <c r="F4" s="10"/>
      <c r="G4" s="10"/>
      <c r="H4" s="11"/>
    </row>
    <row r="5" spans="2:8" x14ac:dyDescent="0.6">
      <c r="B5" s="16" t="s">
        <v>2</v>
      </c>
      <c r="C5" s="17"/>
      <c r="D5" s="23">
        <v>100</v>
      </c>
      <c r="H5" s="12"/>
    </row>
    <row r="6" spans="2:8" x14ac:dyDescent="0.6">
      <c r="B6" s="16" t="s">
        <v>3</v>
      </c>
      <c r="C6" s="18"/>
      <c r="D6" s="23">
        <v>50</v>
      </c>
      <c r="H6" s="12"/>
    </row>
    <row r="7" spans="2:8" x14ac:dyDescent="0.6">
      <c r="B7" s="16" t="s">
        <v>1</v>
      </c>
      <c r="C7" s="18"/>
      <c r="D7" s="23">
        <v>60</v>
      </c>
      <c r="H7" s="12"/>
    </row>
    <row r="8" spans="2:8" x14ac:dyDescent="0.6">
      <c r="B8" s="16" t="s">
        <v>0</v>
      </c>
      <c r="C8" s="18"/>
      <c r="D8" s="23">
        <v>20</v>
      </c>
      <c r="H8" s="12"/>
    </row>
    <row r="9" spans="2:8" x14ac:dyDescent="0.6">
      <c r="B9" s="16" t="s">
        <v>12</v>
      </c>
      <c r="C9" s="18"/>
      <c r="D9" s="23">
        <v>48</v>
      </c>
      <c r="H9" s="12"/>
    </row>
    <row r="10" spans="2:8" x14ac:dyDescent="0.6">
      <c r="B10" s="16" t="s">
        <v>5</v>
      </c>
      <c r="C10" s="18"/>
      <c r="D10" s="19">
        <f>IF(a_elipse&gt;b_elipse,(a_elipse^2-b_elipse^2)^0.5,(b_elipse^2-a_elipse^2)^0.5)</f>
        <v>56.568542494923804</v>
      </c>
      <c r="H10" s="12"/>
    </row>
    <row r="11" spans="2:8" x14ac:dyDescent="0.6">
      <c r="B11" s="20" t="s">
        <v>4</v>
      </c>
      <c r="C11" s="21"/>
      <c r="D11" s="22">
        <f>D10/a_elipse</f>
        <v>0.94280904158206336</v>
      </c>
      <c r="E11" s="13"/>
      <c r="F11" s="13"/>
      <c r="G11" s="13"/>
      <c r="H11" s="14"/>
    </row>
    <row r="12" spans="2:8" x14ac:dyDescent="0.6">
      <c r="B12" s="25" t="s">
        <v>15</v>
      </c>
      <c r="C12" s="4" t="s">
        <v>6</v>
      </c>
      <c r="D12" s="4" t="s">
        <v>8</v>
      </c>
      <c r="E12" s="4" t="s">
        <v>9</v>
      </c>
      <c r="F12" s="4" t="s">
        <v>7</v>
      </c>
      <c r="G12" s="4" t="s">
        <v>10</v>
      </c>
      <c r="H12" s="5" t="s">
        <v>11</v>
      </c>
    </row>
    <row r="13" spans="2:8" x14ac:dyDescent="0.6">
      <c r="B13" s="26">
        <v>1</v>
      </c>
      <c r="C13" s="6">
        <f>h_elipse</f>
        <v>100</v>
      </c>
      <c r="D13" s="6">
        <f t="shared" ref="D13:D44" si="0">(((1-(($C13-h_elipse)^2/a_elipse^2))*(b_elipse^2))^0.5)+k_elipse</f>
        <v>70</v>
      </c>
      <c r="E13" s="6">
        <f>k_elipse-b_elipse</f>
        <v>30</v>
      </c>
      <c r="F13" s="6">
        <f>C13</f>
        <v>100</v>
      </c>
      <c r="G13" s="6">
        <f>D13</f>
        <v>70</v>
      </c>
      <c r="H13" s="7">
        <f>E13</f>
        <v>30</v>
      </c>
    </row>
    <row r="14" spans="2:8" x14ac:dyDescent="0.6">
      <c r="B14" s="26">
        <v>2</v>
      </c>
      <c r="C14" s="6">
        <f t="shared" ref="C14:C45" si="1">IF((a_elipse/np_elipse)+C13&gt;=h_elipse+a_elipse,h_elipse+a_elipse,(a_elipse/np_elipse)+C13)</f>
        <v>101.25</v>
      </c>
      <c r="D14" s="6">
        <f t="shared" si="0"/>
        <v>69.995659251169712</v>
      </c>
      <c r="E14" s="6">
        <f>E13+(D13-D14)</f>
        <v>30.004340748830288</v>
      </c>
      <c r="F14" s="6">
        <f>(F13-(C14-C13))</f>
        <v>98.75</v>
      </c>
      <c r="G14" s="6">
        <f t="shared" ref="G14:G77" si="2">D14</f>
        <v>69.995659251169712</v>
      </c>
      <c r="H14" s="7">
        <f t="shared" ref="H14:H77" si="3">E14</f>
        <v>30.004340748830288</v>
      </c>
    </row>
    <row r="15" spans="2:8" x14ac:dyDescent="0.6">
      <c r="B15" s="26">
        <v>3</v>
      </c>
      <c r="C15" s="6">
        <f t="shared" si="1"/>
        <v>102.5</v>
      </c>
      <c r="D15" s="6">
        <f t="shared" si="0"/>
        <v>69.982631347136333</v>
      </c>
      <c r="E15" s="6">
        <f t="shared" ref="E15:E78" si="4">E14+(D14-D15)</f>
        <v>30.017368652863667</v>
      </c>
      <c r="F15" s="6">
        <f t="shared" ref="F15:F78" si="5">(F14-(C15-C14))</f>
        <v>97.5</v>
      </c>
      <c r="G15" s="6">
        <f t="shared" si="2"/>
        <v>69.982631347136333</v>
      </c>
      <c r="H15" s="7">
        <f t="shared" si="3"/>
        <v>30.017368652863667</v>
      </c>
    </row>
    <row r="16" spans="2:8" x14ac:dyDescent="0.6">
      <c r="B16" s="26">
        <v>4</v>
      </c>
      <c r="C16" s="6">
        <f t="shared" si="1"/>
        <v>103.75</v>
      </c>
      <c r="D16" s="6">
        <f t="shared" si="0"/>
        <v>69.960899278339141</v>
      </c>
      <c r="E16" s="6">
        <f t="shared" si="4"/>
        <v>30.039100721660859</v>
      </c>
      <c r="F16" s="6">
        <f t="shared" si="5"/>
        <v>96.25</v>
      </c>
      <c r="G16" s="6">
        <f t="shared" si="2"/>
        <v>69.960899278339141</v>
      </c>
      <c r="H16" s="7">
        <f t="shared" si="3"/>
        <v>30.039100721660859</v>
      </c>
    </row>
    <row r="17" spans="2:8" x14ac:dyDescent="0.6">
      <c r="B17" s="26">
        <v>5</v>
      </c>
      <c r="C17" s="6">
        <f t="shared" si="1"/>
        <v>105</v>
      </c>
      <c r="D17" s="6">
        <f t="shared" si="0"/>
        <v>69.930434571835661</v>
      </c>
      <c r="E17" s="6">
        <f t="shared" si="4"/>
        <v>30.069565428164339</v>
      </c>
      <c r="F17" s="6">
        <f t="shared" si="5"/>
        <v>95</v>
      </c>
      <c r="G17" s="6">
        <f t="shared" si="2"/>
        <v>69.930434571835661</v>
      </c>
      <c r="H17" s="7">
        <f t="shared" si="3"/>
        <v>30.069565428164339</v>
      </c>
    </row>
    <row r="18" spans="2:8" x14ac:dyDescent="0.6">
      <c r="B18" s="26">
        <v>6</v>
      </c>
      <c r="C18" s="6">
        <f t="shared" si="1"/>
        <v>106.25</v>
      </c>
      <c r="D18" s="6">
        <f t="shared" si="0"/>
        <v>69.89119710380001</v>
      </c>
      <c r="E18" s="6">
        <f t="shared" si="4"/>
        <v>30.10880289619999</v>
      </c>
      <c r="F18" s="6">
        <f t="shared" si="5"/>
        <v>93.75</v>
      </c>
      <c r="G18" s="6">
        <f t="shared" si="2"/>
        <v>69.89119710380001</v>
      </c>
      <c r="H18" s="7">
        <f t="shared" si="3"/>
        <v>30.10880289619999</v>
      </c>
    </row>
    <row r="19" spans="2:8" x14ac:dyDescent="0.6">
      <c r="B19" s="26">
        <v>7</v>
      </c>
      <c r="C19" s="6">
        <f t="shared" si="1"/>
        <v>107.5</v>
      </c>
      <c r="D19" s="6">
        <f t="shared" si="0"/>
        <v>69.843134832984433</v>
      </c>
      <c r="E19" s="6">
        <f t="shared" si="4"/>
        <v>30.156865167015567</v>
      </c>
      <c r="F19" s="6">
        <f t="shared" si="5"/>
        <v>92.5</v>
      </c>
      <c r="G19" s="6">
        <f t="shared" si="2"/>
        <v>69.843134832984433</v>
      </c>
      <c r="H19" s="7">
        <f t="shared" si="3"/>
        <v>30.156865167015567</v>
      </c>
    </row>
    <row r="20" spans="2:8" x14ac:dyDescent="0.6">
      <c r="B20" s="26">
        <v>8</v>
      </c>
      <c r="C20" s="6">
        <f t="shared" si="1"/>
        <v>108.75</v>
      </c>
      <c r="D20" s="6">
        <f t="shared" si="0"/>
        <v>69.786183450972942</v>
      </c>
      <c r="E20" s="6">
        <f t="shared" si="4"/>
        <v>30.213816549027058</v>
      </c>
      <c r="F20" s="6">
        <f t="shared" si="5"/>
        <v>91.25</v>
      </c>
      <c r="G20" s="6">
        <f t="shared" si="2"/>
        <v>69.786183450972942</v>
      </c>
      <c r="H20" s="7">
        <f t="shared" si="3"/>
        <v>30.213816549027058</v>
      </c>
    </row>
    <row r="21" spans="2:8" x14ac:dyDescent="0.6">
      <c r="B21" s="26">
        <v>9</v>
      </c>
      <c r="C21" s="6">
        <f t="shared" si="1"/>
        <v>110</v>
      </c>
      <c r="D21" s="6">
        <f t="shared" si="0"/>
        <v>69.720265943665382</v>
      </c>
      <c r="E21" s="6">
        <f t="shared" si="4"/>
        <v>30.279734056334618</v>
      </c>
      <c r="F21" s="6">
        <f t="shared" si="5"/>
        <v>90</v>
      </c>
      <c r="G21" s="6">
        <f t="shared" si="2"/>
        <v>69.720265943665382</v>
      </c>
      <c r="H21" s="7">
        <f t="shared" si="3"/>
        <v>30.279734056334618</v>
      </c>
    </row>
    <row r="22" spans="2:8" x14ac:dyDescent="0.6">
      <c r="B22" s="26">
        <v>10</v>
      </c>
      <c r="C22" s="6">
        <f t="shared" si="1"/>
        <v>111.25</v>
      </c>
      <c r="D22" s="6">
        <f t="shared" si="0"/>
        <v>69.645292056877139</v>
      </c>
      <c r="E22" s="6">
        <f t="shared" si="4"/>
        <v>30.354707943122861</v>
      </c>
      <c r="F22" s="6">
        <f t="shared" si="5"/>
        <v>88.75</v>
      </c>
      <c r="G22" s="6">
        <f t="shared" si="2"/>
        <v>69.645292056877139</v>
      </c>
      <c r="H22" s="7">
        <f t="shared" si="3"/>
        <v>30.354707943122861</v>
      </c>
    </row>
    <row r="23" spans="2:8" x14ac:dyDescent="0.6">
      <c r="B23" s="26">
        <v>11</v>
      </c>
      <c r="C23" s="6">
        <f t="shared" si="1"/>
        <v>112.5</v>
      </c>
      <c r="D23" s="6">
        <f t="shared" si="0"/>
        <v>69.561157657175841</v>
      </c>
      <c r="E23" s="6">
        <f t="shared" si="4"/>
        <v>30.438842342824159</v>
      </c>
      <c r="F23" s="6">
        <f t="shared" si="5"/>
        <v>87.5</v>
      </c>
      <c r="G23" s="6">
        <f t="shared" si="2"/>
        <v>69.561157657175841</v>
      </c>
      <c r="H23" s="7">
        <f t="shared" si="3"/>
        <v>30.438842342824159</v>
      </c>
    </row>
    <row r="24" spans="2:8" x14ac:dyDescent="0.6">
      <c r="B24" s="26">
        <v>12</v>
      </c>
      <c r="C24" s="6">
        <f t="shared" si="1"/>
        <v>113.75</v>
      </c>
      <c r="D24" s="6">
        <f t="shared" si="0"/>
        <v>69.467743977039447</v>
      </c>
      <c r="E24" s="6">
        <f t="shared" si="4"/>
        <v>30.532256022960553</v>
      </c>
      <c r="F24" s="6">
        <f t="shared" si="5"/>
        <v>86.25</v>
      </c>
      <c r="G24" s="6">
        <f t="shared" si="2"/>
        <v>69.467743977039447</v>
      </c>
      <c r="H24" s="7">
        <f t="shared" si="3"/>
        <v>30.532256022960553</v>
      </c>
    </row>
    <row r="25" spans="2:8" x14ac:dyDescent="0.6">
      <c r="B25" s="26">
        <v>13</v>
      </c>
      <c r="C25" s="6">
        <f t="shared" si="1"/>
        <v>115</v>
      </c>
      <c r="D25" s="6">
        <f t="shared" si="0"/>
        <v>69.364916731037084</v>
      </c>
      <c r="E25" s="6">
        <f t="shared" si="4"/>
        <v>30.635083268962916</v>
      </c>
      <c r="F25" s="6">
        <f t="shared" si="5"/>
        <v>85</v>
      </c>
      <c r="G25" s="6">
        <f t="shared" si="2"/>
        <v>69.364916731037084</v>
      </c>
      <c r="H25" s="7">
        <f t="shared" si="3"/>
        <v>30.635083268962916</v>
      </c>
    </row>
    <row r="26" spans="2:8" x14ac:dyDescent="0.6">
      <c r="B26" s="26">
        <v>14</v>
      </c>
      <c r="C26" s="6">
        <f t="shared" si="1"/>
        <v>116.25</v>
      </c>
      <c r="D26" s="6">
        <f t="shared" si="0"/>
        <v>69.252525086913209</v>
      </c>
      <c r="E26" s="6">
        <f t="shared" si="4"/>
        <v>30.747474913086791</v>
      </c>
      <c r="F26" s="6">
        <f t="shared" si="5"/>
        <v>83.75</v>
      </c>
      <c r="G26" s="6">
        <f t="shared" si="2"/>
        <v>69.252525086913209</v>
      </c>
      <c r="H26" s="7">
        <f t="shared" si="3"/>
        <v>30.747474913086791</v>
      </c>
    </row>
    <row r="27" spans="2:8" x14ac:dyDescent="0.6">
      <c r="B27" s="26">
        <v>15</v>
      </c>
      <c r="C27" s="6">
        <f t="shared" si="1"/>
        <v>117.5</v>
      </c>
      <c r="D27" s="6">
        <f t="shared" si="0"/>
        <v>69.130400472081661</v>
      </c>
      <c r="E27" s="6">
        <f t="shared" si="4"/>
        <v>30.869599527918339</v>
      </c>
      <c r="F27" s="6">
        <f t="shared" si="5"/>
        <v>82.5</v>
      </c>
      <c r="G27" s="6">
        <f t="shared" si="2"/>
        <v>69.130400472081661</v>
      </c>
      <c r="H27" s="7">
        <f t="shared" si="3"/>
        <v>30.869599527918339</v>
      </c>
    </row>
    <row r="28" spans="2:8" x14ac:dyDescent="0.6">
      <c r="B28" s="26">
        <v>16</v>
      </c>
      <c r="C28" s="6">
        <f t="shared" si="1"/>
        <v>118.75</v>
      </c>
      <c r="D28" s="6">
        <f t="shared" si="0"/>
        <v>68.998355191963327</v>
      </c>
      <c r="E28" s="6">
        <f t="shared" si="4"/>
        <v>31.001644808036673</v>
      </c>
      <c r="F28" s="6">
        <f t="shared" si="5"/>
        <v>81.25</v>
      </c>
      <c r="G28" s="6">
        <f t="shared" si="2"/>
        <v>68.998355191963327</v>
      </c>
      <c r="H28" s="7">
        <f t="shared" si="3"/>
        <v>31.001644808036673</v>
      </c>
    </row>
    <row r="29" spans="2:8" x14ac:dyDescent="0.6">
      <c r="B29" s="26">
        <v>17</v>
      </c>
      <c r="C29" s="6">
        <f t="shared" si="1"/>
        <v>120</v>
      </c>
      <c r="D29" s="6">
        <f t="shared" si="0"/>
        <v>68.856180831641268</v>
      </c>
      <c r="E29" s="6">
        <f t="shared" si="4"/>
        <v>31.143819168358732</v>
      </c>
      <c r="F29" s="6">
        <f t="shared" si="5"/>
        <v>80</v>
      </c>
      <c r="G29" s="6">
        <f t="shared" si="2"/>
        <v>68.856180831641268</v>
      </c>
      <c r="H29" s="7">
        <f t="shared" si="3"/>
        <v>31.143819168358732</v>
      </c>
    </row>
    <row r="30" spans="2:8" x14ac:dyDescent="0.6">
      <c r="B30" s="26">
        <v>18</v>
      </c>
      <c r="C30" s="6">
        <f t="shared" si="1"/>
        <v>121.25</v>
      </c>
      <c r="D30" s="6">
        <f t="shared" si="0"/>
        <v>68.703646406219534</v>
      </c>
      <c r="E30" s="6">
        <f t="shared" si="4"/>
        <v>31.296353593780466</v>
      </c>
      <c r="F30" s="6">
        <f t="shared" si="5"/>
        <v>78.75</v>
      </c>
      <c r="G30" s="6">
        <f t="shared" si="2"/>
        <v>68.703646406219534</v>
      </c>
      <c r="H30" s="7">
        <f t="shared" si="3"/>
        <v>31.296353593780466</v>
      </c>
    </row>
    <row r="31" spans="2:8" x14ac:dyDescent="0.6">
      <c r="B31" s="26">
        <v>19</v>
      </c>
      <c r="C31" s="6">
        <f t="shared" si="1"/>
        <v>122.5</v>
      </c>
      <c r="D31" s="6">
        <f t="shared" si="0"/>
        <v>68.540496217739161</v>
      </c>
      <c r="E31" s="6">
        <f t="shared" si="4"/>
        <v>31.459503782260839</v>
      </c>
      <c r="F31" s="6">
        <f t="shared" si="5"/>
        <v>77.5</v>
      </c>
      <c r="G31" s="6">
        <f t="shared" si="2"/>
        <v>68.540496217739161</v>
      </c>
      <c r="H31" s="7">
        <f t="shared" si="3"/>
        <v>31.459503782260839</v>
      </c>
    </row>
    <row r="32" spans="2:8" x14ac:dyDescent="0.6">
      <c r="B32" s="26">
        <v>20</v>
      </c>
      <c r="C32" s="6">
        <f t="shared" si="1"/>
        <v>123.75</v>
      </c>
      <c r="D32" s="6">
        <f t="shared" si="0"/>
        <v>68.366447367111817</v>
      </c>
      <c r="E32" s="6">
        <f t="shared" si="4"/>
        <v>31.633552632888183</v>
      </c>
      <c r="F32" s="6">
        <f t="shared" si="5"/>
        <v>76.25</v>
      </c>
      <c r="G32" s="6">
        <f t="shared" si="2"/>
        <v>68.366447367111817</v>
      </c>
      <c r="H32" s="7">
        <f t="shared" si="3"/>
        <v>31.633552632888183</v>
      </c>
    </row>
    <row r="33" spans="2:8" x14ac:dyDescent="0.6">
      <c r="B33" s="26">
        <v>21</v>
      </c>
      <c r="C33" s="6">
        <f t="shared" si="1"/>
        <v>125</v>
      </c>
      <c r="D33" s="6">
        <f t="shared" si="0"/>
        <v>68.181186857726189</v>
      </c>
      <c r="E33" s="6">
        <f t="shared" si="4"/>
        <v>31.818813142273811</v>
      </c>
      <c r="F33" s="6">
        <f t="shared" si="5"/>
        <v>75</v>
      </c>
      <c r="G33" s="6">
        <f t="shared" si="2"/>
        <v>68.181186857726189</v>
      </c>
      <c r="H33" s="7">
        <f t="shared" si="3"/>
        <v>31.818813142273811</v>
      </c>
    </row>
    <row r="34" spans="2:8" x14ac:dyDescent="0.6">
      <c r="B34" s="26">
        <v>22</v>
      </c>
      <c r="C34" s="6">
        <f t="shared" si="1"/>
        <v>126.25</v>
      </c>
      <c r="D34" s="6">
        <f t="shared" si="0"/>
        <v>67.984368212422694</v>
      </c>
      <c r="E34" s="6">
        <f t="shared" si="4"/>
        <v>32.015631787577306</v>
      </c>
      <c r="F34" s="6">
        <f t="shared" si="5"/>
        <v>73.75</v>
      </c>
      <c r="G34" s="6">
        <f t="shared" si="2"/>
        <v>67.984368212422694</v>
      </c>
      <c r="H34" s="7">
        <f t="shared" si="3"/>
        <v>32.015631787577306</v>
      </c>
    </row>
    <row r="35" spans="2:8" x14ac:dyDescent="0.6">
      <c r="B35" s="26">
        <v>23</v>
      </c>
      <c r="C35" s="6">
        <f t="shared" si="1"/>
        <v>127.5</v>
      </c>
      <c r="D35" s="6">
        <f t="shared" si="0"/>
        <v>67.775607506417956</v>
      </c>
      <c r="E35" s="6">
        <f t="shared" si="4"/>
        <v>32.224392493582044</v>
      </c>
      <c r="F35" s="6">
        <f t="shared" si="5"/>
        <v>72.5</v>
      </c>
      <c r="G35" s="6">
        <f t="shared" si="2"/>
        <v>67.775607506417956</v>
      </c>
      <c r="H35" s="7">
        <f t="shared" si="3"/>
        <v>32.224392493582044</v>
      </c>
    </row>
    <row r="36" spans="2:8" x14ac:dyDescent="0.6">
      <c r="B36" s="26">
        <v>24</v>
      </c>
      <c r="C36" s="6">
        <f t="shared" si="1"/>
        <v>128.75</v>
      </c>
      <c r="D36" s="6">
        <f t="shared" si="0"/>
        <v>67.554478694117421</v>
      </c>
      <c r="E36" s="6">
        <f t="shared" si="4"/>
        <v>32.445521305882579</v>
      </c>
      <c r="F36" s="6">
        <f t="shared" si="5"/>
        <v>71.25</v>
      </c>
      <c r="G36" s="6">
        <f t="shared" si="2"/>
        <v>67.554478694117421</v>
      </c>
      <c r="H36" s="7">
        <f t="shared" si="3"/>
        <v>32.445521305882579</v>
      </c>
    </row>
    <row r="37" spans="2:8" x14ac:dyDescent="0.6">
      <c r="B37" s="26">
        <v>25</v>
      </c>
      <c r="C37" s="6">
        <f t="shared" si="1"/>
        <v>130</v>
      </c>
      <c r="D37" s="6">
        <f t="shared" si="0"/>
        <v>67.320508075688778</v>
      </c>
      <c r="E37" s="6">
        <f t="shared" si="4"/>
        <v>32.679491924311222</v>
      </c>
      <c r="F37" s="6">
        <f t="shared" si="5"/>
        <v>70</v>
      </c>
      <c r="G37" s="6">
        <f t="shared" si="2"/>
        <v>67.320508075688778</v>
      </c>
      <c r="H37" s="7">
        <f t="shared" si="3"/>
        <v>32.679491924311222</v>
      </c>
    </row>
    <row r="38" spans="2:8" x14ac:dyDescent="0.6">
      <c r="B38" s="26">
        <v>26</v>
      </c>
      <c r="C38" s="6">
        <f t="shared" si="1"/>
        <v>131.25</v>
      </c>
      <c r="D38" s="6">
        <f t="shared" si="0"/>
        <v>67.073167707123233</v>
      </c>
      <c r="E38" s="6">
        <f t="shared" si="4"/>
        <v>32.926832292876767</v>
      </c>
      <c r="F38" s="6">
        <f t="shared" si="5"/>
        <v>68.75</v>
      </c>
      <c r="G38" s="6">
        <f t="shared" si="2"/>
        <v>67.073167707123233</v>
      </c>
      <c r="H38" s="7">
        <f t="shared" si="3"/>
        <v>32.926832292876767</v>
      </c>
    </row>
    <row r="39" spans="2:8" x14ac:dyDescent="0.6">
      <c r="B39" s="26">
        <v>27</v>
      </c>
      <c r="C39" s="6">
        <f t="shared" si="1"/>
        <v>132.5</v>
      </c>
      <c r="D39" s="6">
        <f t="shared" si="0"/>
        <v>66.811867501526677</v>
      </c>
      <c r="E39" s="6">
        <f t="shared" si="4"/>
        <v>33.188132498473323</v>
      </c>
      <c r="F39" s="6">
        <f t="shared" si="5"/>
        <v>67.5</v>
      </c>
      <c r="G39" s="6">
        <f t="shared" si="2"/>
        <v>66.811867501526677</v>
      </c>
      <c r="H39" s="7">
        <f t="shared" si="3"/>
        <v>33.188132498473323</v>
      </c>
    </row>
    <row r="40" spans="2:8" x14ac:dyDescent="0.6">
      <c r="B40" s="26">
        <v>28</v>
      </c>
      <c r="C40" s="6">
        <f t="shared" si="1"/>
        <v>133.75</v>
      </c>
      <c r="D40" s="6">
        <f t="shared" si="0"/>
        <v>66.535945694153696</v>
      </c>
      <c r="E40" s="6">
        <f t="shared" si="4"/>
        <v>33.464054305846304</v>
      </c>
      <c r="F40" s="6">
        <f t="shared" si="5"/>
        <v>66.25</v>
      </c>
      <c r="G40" s="6">
        <f t="shared" si="2"/>
        <v>66.535945694153696</v>
      </c>
      <c r="H40" s="7">
        <f t="shared" si="3"/>
        <v>33.464054305846304</v>
      </c>
    </row>
    <row r="41" spans="2:8" x14ac:dyDescent="0.6">
      <c r="B41" s="26">
        <v>29</v>
      </c>
      <c r="C41" s="6">
        <f t="shared" si="1"/>
        <v>135</v>
      </c>
      <c r="D41" s="6">
        <f t="shared" si="0"/>
        <v>66.244657241348278</v>
      </c>
      <c r="E41" s="6">
        <f t="shared" si="4"/>
        <v>33.755342758651722</v>
      </c>
      <c r="F41" s="6">
        <f t="shared" si="5"/>
        <v>65</v>
      </c>
      <c r="G41" s="6">
        <f t="shared" si="2"/>
        <v>66.244657241348278</v>
      </c>
      <c r="H41" s="7">
        <f t="shared" si="3"/>
        <v>33.755342758651722</v>
      </c>
    </row>
    <row r="42" spans="2:8" x14ac:dyDescent="0.6">
      <c r="B42" s="26">
        <v>30</v>
      </c>
      <c r="C42" s="6">
        <f t="shared" si="1"/>
        <v>136.25</v>
      </c>
      <c r="D42" s="6">
        <f t="shared" si="0"/>
        <v>65.93715958242106</v>
      </c>
      <c r="E42" s="6">
        <f t="shared" si="4"/>
        <v>34.06284041757894</v>
      </c>
      <c r="F42" s="6">
        <f t="shared" si="5"/>
        <v>63.75</v>
      </c>
      <c r="G42" s="6">
        <f t="shared" si="2"/>
        <v>65.93715958242106</v>
      </c>
      <c r="H42" s="7">
        <f t="shared" si="3"/>
        <v>34.06284041757894</v>
      </c>
    </row>
    <row r="43" spans="2:8" x14ac:dyDescent="0.6">
      <c r="B43" s="26">
        <v>31</v>
      </c>
      <c r="C43" s="6">
        <f t="shared" si="1"/>
        <v>137.5</v>
      </c>
      <c r="D43" s="6">
        <f t="shared" si="0"/>
        <v>65.612494995996002</v>
      </c>
      <c r="E43" s="6">
        <f t="shared" si="4"/>
        <v>34.387505004003998</v>
      </c>
      <c r="F43" s="6">
        <f t="shared" si="5"/>
        <v>62.5</v>
      </c>
      <c r="G43" s="6">
        <f t="shared" si="2"/>
        <v>65.612494995996002</v>
      </c>
      <c r="H43" s="7">
        <f t="shared" si="3"/>
        <v>34.387505004003998</v>
      </c>
    </row>
    <row r="44" spans="2:8" x14ac:dyDescent="0.6">
      <c r="B44" s="26">
        <v>32</v>
      </c>
      <c r="C44" s="6">
        <f t="shared" si="1"/>
        <v>138.75</v>
      </c>
      <c r="D44" s="6">
        <f t="shared" si="0"/>
        <v>65.269568501507251</v>
      </c>
      <c r="E44" s="6">
        <f t="shared" si="4"/>
        <v>34.730431498492749</v>
      </c>
      <c r="F44" s="6">
        <f t="shared" si="5"/>
        <v>61.25</v>
      </c>
      <c r="G44" s="6">
        <f t="shared" si="2"/>
        <v>65.269568501507251</v>
      </c>
      <c r="H44" s="7">
        <f t="shared" si="3"/>
        <v>34.730431498492749</v>
      </c>
    </row>
    <row r="45" spans="2:8" x14ac:dyDescent="0.6">
      <c r="B45" s="26">
        <v>33</v>
      </c>
      <c r="C45" s="6">
        <f t="shared" si="1"/>
        <v>140</v>
      </c>
      <c r="D45" s="6">
        <f t="shared" ref="D45:D76" si="6">(((1-(($C45-h_elipse)^2/a_elipse^2))*(b_elipse^2))^0.5)+k_elipse</f>
        <v>64.907119849998594</v>
      </c>
      <c r="E45" s="6">
        <f t="shared" si="4"/>
        <v>35.092880150001406</v>
      </c>
      <c r="F45" s="6">
        <f t="shared" si="5"/>
        <v>60</v>
      </c>
      <c r="G45" s="6">
        <f t="shared" si="2"/>
        <v>64.907119849998594</v>
      </c>
      <c r="H45" s="7">
        <f t="shared" si="3"/>
        <v>35.092880150001406</v>
      </c>
    </row>
    <row r="46" spans="2:8" x14ac:dyDescent="0.6">
      <c r="B46" s="26">
        <v>34</v>
      </c>
      <c r="C46" s="6">
        <f t="shared" ref="C46:C77" si="7">IF((a_elipse/np_elipse)+C45&gt;=h_elipse+a_elipse,h_elipse+a_elipse,(a_elipse/np_elipse)+C45)</f>
        <v>141.25</v>
      </c>
      <c r="D46" s="6">
        <f t="shared" si="6"/>
        <v>64.52368754827782</v>
      </c>
      <c r="E46" s="6">
        <f t="shared" si="4"/>
        <v>35.47631245172218</v>
      </c>
      <c r="F46" s="6">
        <f t="shared" si="5"/>
        <v>58.75</v>
      </c>
      <c r="G46" s="6">
        <f t="shared" si="2"/>
        <v>64.52368754827782</v>
      </c>
      <c r="H46" s="7">
        <f t="shared" si="3"/>
        <v>35.47631245172218</v>
      </c>
    </row>
    <row r="47" spans="2:8" x14ac:dyDescent="0.6">
      <c r="B47" s="26">
        <v>35</v>
      </c>
      <c r="C47" s="6">
        <f t="shared" si="7"/>
        <v>142.5</v>
      </c>
      <c r="D47" s="6">
        <f t="shared" si="6"/>
        <v>64.117561955081186</v>
      </c>
      <c r="E47" s="6">
        <f t="shared" si="4"/>
        <v>35.882438044918814</v>
      </c>
      <c r="F47" s="6">
        <f t="shared" si="5"/>
        <v>57.5</v>
      </c>
      <c r="G47" s="6">
        <f t="shared" si="2"/>
        <v>64.117561955081186</v>
      </c>
      <c r="H47" s="7">
        <f t="shared" si="3"/>
        <v>35.882438044918814</v>
      </c>
    </row>
    <row r="48" spans="2:8" x14ac:dyDescent="0.6">
      <c r="B48" s="26">
        <v>36</v>
      </c>
      <c r="C48" s="6">
        <f t="shared" si="7"/>
        <v>143.75</v>
      </c>
      <c r="D48" s="6">
        <f t="shared" si="6"/>
        <v>63.686723088047366</v>
      </c>
      <c r="E48" s="6">
        <f t="shared" si="4"/>
        <v>36.313276911952634</v>
      </c>
      <c r="F48" s="6">
        <f t="shared" si="5"/>
        <v>56.25</v>
      </c>
      <c r="G48" s="6">
        <f t="shared" si="2"/>
        <v>63.686723088047366</v>
      </c>
      <c r="H48" s="7">
        <f t="shared" si="3"/>
        <v>36.313276911952634</v>
      </c>
    </row>
    <row r="49" spans="2:8" x14ac:dyDescent="0.6">
      <c r="B49" s="26">
        <v>37</v>
      </c>
      <c r="C49" s="6">
        <f t="shared" si="7"/>
        <v>145</v>
      </c>
      <c r="D49" s="6">
        <f t="shared" si="6"/>
        <v>63.228756555322953</v>
      </c>
      <c r="E49" s="6">
        <f t="shared" si="4"/>
        <v>36.771243444677047</v>
      </c>
      <c r="F49" s="6">
        <f t="shared" si="5"/>
        <v>55</v>
      </c>
      <c r="G49" s="6">
        <f t="shared" si="2"/>
        <v>63.228756555322953</v>
      </c>
      <c r="H49" s="7">
        <f t="shared" si="3"/>
        <v>36.771243444677047</v>
      </c>
    </row>
    <row r="50" spans="2:8" x14ac:dyDescent="0.6">
      <c r="B50" s="26">
        <v>38</v>
      </c>
      <c r="C50" s="6">
        <f t="shared" si="7"/>
        <v>146.25</v>
      </c>
      <c r="D50" s="6">
        <f t="shared" si="6"/>
        <v>62.74073737618388</v>
      </c>
      <c r="E50" s="6">
        <f t="shared" si="4"/>
        <v>37.25926262381612</v>
      </c>
      <c r="F50" s="6">
        <f t="shared" si="5"/>
        <v>53.75</v>
      </c>
      <c r="G50" s="6">
        <f t="shared" si="2"/>
        <v>62.74073737618388</v>
      </c>
      <c r="H50" s="7">
        <f t="shared" si="3"/>
        <v>37.25926262381612</v>
      </c>
    </row>
    <row r="51" spans="2:8" x14ac:dyDescent="0.6">
      <c r="B51" s="26">
        <v>39</v>
      </c>
      <c r="C51" s="6">
        <f t="shared" si="7"/>
        <v>147.5</v>
      </c>
      <c r="D51" s="6">
        <f t="shared" si="6"/>
        <v>62.219065248845979</v>
      </c>
      <c r="E51" s="6">
        <f t="shared" si="4"/>
        <v>37.780934751154021</v>
      </c>
      <c r="F51" s="6">
        <f t="shared" si="5"/>
        <v>52.5</v>
      </c>
      <c r="G51" s="6">
        <f t="shared" si="2"/>
        <v>62.219065248845979</v>
      </c>
      <c r="H51" s="7">
        <f t="shared" si="3"/>
        <v>37.780934751154021</v>
      </c>
    </row>
    <row r="52" spans="2:8" x14ac:dyDescent="0.6">
      <c r="B52" s="26">
        <v>40</v>
      </c>
      <c r="C52" s="6">
        <f t="shared" si="7"/>
        <v>148.75</v>
      </c>
      <c r="D52" s="6">
        <f t="shared" si="6"/>
        <v>61.65922381636102</v>
      </c>
      <c r="E52" s="6">
        <f t="shared" si="4"/>
        <v>38.34077618363898</v>
      </c>
      <c r="F52" s="6">
        <f t="shared" si="5"/>
        <v>51.25</v>
      </c>
      <c r="G52" s="6">
        <f t="shared" si="2"/>
        <v>61.65922381636102</v>
      </c>
      <c r="H52" s="7">
        <f t="shared" si="3"/>
        <v>38.34077618363898</v>
      </c>
    </row>
    <row r="53" spans="2:8" x14ac:dyDescent="0.6">
      <c r="B53" s="26">
        <v>41</v>
      </c>
      <c r="C53" s="6">
        <f t="shared" si="7"/>
        <v>150</v>
      </c>
      <c r="D53" s="6">
        <f t="shared" si="6"/>
        <v>61.055415967851332</v>
      </c>
      <c r="E53" s="6">
        <f t="shared" si="4"/>
        <v>38.944584032148668</v>
      </c>
      <c r="F53" s="6">
        <f t="shared" si="5"/>
        <v>50</v>
      </c>
      <c r="G53" s="6">
        <f t="shared" si="2"/>
        <v>61.055415967851332</v>
      </c>
      <c r="H53" s="7">
        <f t="shared" si="3"/>
        <v>38.944584032148668</v>
      </c>
    </row>
    <row r="54" spans="2:8" x14ac:dyDescent="0.6">
      <c r="B54" s="26">
        <v>42</v>
      </c>
      <c r="C54" s="6">
        <f t="shared" si="7"/>
        <v>151.25</v>
      </c>
      <c r="D54" s="6">
        <f t="shared" si="6"/>
        <v>60.399986645290568</v>
      </c>
      <c r="E54" s="6">
        <f t="shared" si="4"/>
        <v>39.600013354709432</v>
      </c>
      <c r="F54" s="6">
        <f t="shared" si="5"/>
        <v>48.75</v>
      </c>
      <c r="G54" s="6">
        <f t="shared" si="2"/>
        <v>60.399986645290568</v>
      </c>
      <c r="H54" s="7">
        <f t="shared" si="3"/>
        <v>39.600013354709432</v>
      </c>
    </row>
    <row r="55" spans="2:8" x14ac:dyDescent="0.6">
      <c r="B55" s="26">
        <v>43</v>
      </c>
      <c r="C55" s="6">
        <f t="shared" si="7"/>
        <v>152.5</v>
      </c>
      <c r="D55" s="6">
        <f t="shared" si="6"/>
        <v>59.682458365518542</v>
      </c>
      <c r="E55" s="6">
        <f t="shared" si="4"/>
        <v>40.317541634481458</v>
      </c>
      <c r="F55" s="6">
        <f t="shared" si="5"/>
        <v>47.5</v>
      </c>
      <c r="G55" s="6">
        <f t="shared" si="2"/>
        <v>59.682458365518542</v>
      </c>
      <c r="H55" s="7">
        <f t="shared" si="3"/>
        <v>40.317541634481458</v>
      </c>
    </row>
    <row r="56" spans="2:8" x14ac:dyDescent="0.6">
      <c r="B56" s="26">
        <v>44</v>
      </c>
      <c r="C56" s="6">
        <f t="shared" si="7"/>
        <v>153.75</v>
      </c>
      <c r="D56" s="6">
        <f t="shared" si="6"/>
        <v>58.887803753208971</v>
      </c>
      <c r="E56" s="6">
        <f t="shared" si="4"/>
        <v>41.112196246791029</v>
      </c>
      <c r="F56" s="6">
        <f t="shared" si="5"/>
        <v>46.25</v>
      </c>
      <c r="G56" s="6">
        <f t="shared" si="2"/>
        <v>58.887803753208971</v>
      </c>
      <c r="H56" s="7">
        <f t="shared" si="3"/>
        <v>41.112196246791029</v>
      </c>
    </row>
    <row r="57" spans="2:8" x14ac:dyDescent="0.6">
      <c r="B57" s="26">
        <v>45</v>
      </c>
      <c r="C57" s="6">
        <f t="shared" si="7"/>
        <v>155</v>
      </c>
      <c r="D57" s="6">
        <f t="shared" si="6"/>
        <v>57.993052538854535</v>
      </c>
      <c r="E57" s="6">
        <f t="shared" si="4"/>
        <v>42.006947461145465</v>
      </c>
      <c r="F57" s="6">
        <f t="shared" si="5"/>
        <v>45</v>
      </c>
      <c r="G57" s="6">
        <f t="shared" si="2"/>
        <v>57.993052538854535</v>
      </c>
      <c r="H57" s="7">
        <f t="shared" si="3"/>
        <v>42.006947461145465</v>
      </c>
    </row>
    <row r="58" spans="2:8" x14ac:dyDescent="0.6">
      <c r="B58" s="26">
        <v>46</v>
      </c>
      <c r="C58" s="6">
        <f t="shared" si="7"/>
        <v>156.25</v>
      </c>
      <c r="D58" s="6">
        <f t="shared" si="6"/>
        <v>56.959705453537524</v>
      </c>
      <c r="E58" s="6">
        <f t="shared" si="4"/>
        <v>43.040294546462476</v>
      </c>
      <c r="F58" s="6">
        <f t="shared" si="5"/>
        <v>43.75</v>
      </c>
      <c r="G58" s="6">
        <f t="shared" si="2"/>
        <v>56.959705453537524</v>
      </c>
      <c r="H58" s="7">
        <f t="shared" si="3"/>
        <v>43.040294546462476</v>
      </c>
    </row>
    <row r="59" spans="2:8" x14ac:dyDescent="0.6">
      <c r="B59" s="26">
        <v>47</v>
      </c>
      <c r="C59" s="6">
        <f t="shared" si="7"/>
        <v>157.5</v>
      </c>
      <c r="D59" s="6">
        <f t="shared" si="6"/>
        <v>55.713045500334204</v>
      </c>
      <c r="E59" s="6">
        <f t="shared" si="4"/>
        <v>44.286954499665796</v>
      </c>
      <c r="F59" s="6">
        <f t="shared" si="5"/>
        <v>42.5</v>
      </c>
      <c r="G59" s="6">
        <f t="shared" si="2"/>
        <v>55.713045500334204</v>
      </c>
      <c r="H59" s="7">
        <f t="shared" si="3"/>
        <v>44.286954499665796</v>
      </c>
    </row>
    <row r="60" spans="2:8" x14ac:dyDescent="0.6">
      <c r="B60" s="26">
        <v>48</v>
      </c>
      <c r="C60" s="6">
        <f t="shared" si="7"/>
        <v>158.75</v>
      </c>
      <c r="D60" s="6">
        <f t="shared" si="6"/>
        <v>54.061164310337062</v>
      </c>
      <c r="E60" s="6">
        <f t="shared" si="4"/>
        <v>45.938835689662938</v>
      </c>
      <c r="F60" s="6">
        <f t="shared" si="5"/>
        <v>41.25</v>
      </c>
      <c r="G60" s="6">
        <f t="shared" si="2"/>
        <v>54.061164310337062</v>
      </c>
      <c r="H60" s="7">
        <f t="shared" si="3"/>
        <v>45.938835689662938</v>
      </c>
    </row>
    <row r="61" spans="2:8" x14ac:dyDescent="0.6">
      <c r="B61" s="26">
        <v>49</v>
      </c>
      <c r="C61" s="6">
        <f t="shared" si="7"/>
        <v>160</v>
      </c>
      <c r="D61" s="6">
        <f t="shared" si="6"/>
        <v>50</v>
      </c>
      <c r="E61" s="6">
        <f t="shared" si="4"/>
        <v>50</v>
      </c>
      <c r="F61" s="6">
        <f t="shared" si="5"/>
        <v>40</v>
      </c>
      <c r="G61" s="6">
        <f t="shared" si="2"/>
        <v>50</v>
      </c>
      <c r="H61" s="7">
        <f t="shared" si="3"/>
        <v>50</v>
      </c>
    </row>
    <row r="62" spans="2:8" x14ac:dyDescent="0.6">
      <c r="B62" s="26">
        <v>50</v>
      </c>
      <c r="C62" s="6">
        <f t="shared" si="7"/>
        <v>160</v>
      </c>
      <c r="D62" s="6">
        <f t="shared" si="6"/>
        <v>50</v>
      </c>
      <c r="E62" s="6">
        <f t="shared" si="4"/>
        <v>50</v>
      </c>
      <c r="F62" s="6">
        <f t="shared" si="5"/>
        <v>40</v>
      </c>
      <c r="G62" s="6">
        <f t="shared" si="2"/>
        <v>50</v>
      </c>
      <c r="H62" s="7">
        <f t="shared" si="3"/>
        <v>50</v>
      </c>
    </row>
    <row r="63" spans="2:8" x14ac:dyDescent="0.6">
      <c r="B63" s="26">
        <v>51</v>
      </c>
      <c r="C63" s="6">
        <f t="shared" si="7"/>
        <v>160</v>
      </c>
      <c r="D63" s="6">
        <f t="shared" si="6"/>
        <v>50</v>
      </c>
      <c r="E63" s="6">
        <f t="shared" si="4"/>
        <v>50</v>
      </c>
      <c r="F63" s="6">
        <f t="shared" si="5"/>
        <v>40</v>
      </c>
      <c r="G63" s="6">
        <f t="shared" si="2"/>
        <v>50</v>
      </c>
      <c r="H63" s="7">
        <f t="shared" si="3"/>
        <v>50</v>
      </c>
    </row>
    <row r="64" spans="2:8" x14ac:dyDescent="0.6">
      <c r="B64" s="26">
        <v>52</v>
      </c>
      <c r="C64" s="6">
        <f t="shared" si="7"/>
        <v>160</v>
      </c>
      <c r="D64" s="6">
        <f t="shared" si="6"/>
        <v>50</v>
      </c>
      <c r="E64" s="6">
        <f t="shared" si="4"/>
        <v>50</v>
      </c>
      <c r="F64" s="6">
        <f t="shared" si="5"/>
        <v>40</v>
      </c>
      <c r="G64" s="6">
        <f t="shared" si="2"/>
        <v>50</v>
      </c>
      <c r="H64" s="7">
        <f t="shared" si="3"/>
        <v>50</v>
      </c>
    </row>
    <row r="65" spans="2:8" x14ac:dyDescent="0.6">
      <c r="B65" s="26">
        <v>53</v>
      </c>
      <c r="C65" s="6">
        <f t="shared" si="7"/>
        <v>160</v>
      </c>
      <c r="D65" s="6">
        <f t="shared" si="6"/>
        <v>50</v>
      </c>
      <c r="E65" s="6">
        <f t="shared" si="4"/>
        <v>50</v>
      </c>
      <c r="F65" s="6">
        <f t="shared" si="5"/>
        <v>40</v>
      </c>
      <c r="G65" s="6">
        <f t="shared" si="2"/>
        <v>50</v>
      </c>
      <c r="H65" s="7">
        <f t="shared" si="3"/>
        <v>50</v>
      </c>
    </row>
    <row r="66" spans="2:8" x14ac:dyDescent="0.6">
      <c r="B66" s="26">
        <v>54</v>
      </c>
      <c r="C66" s="6">
        <f t="shared" si="7"/>
        <v>160</v>
      </c>
      <c r="D66" s="6">
        <f t="shared" si="6"/>
        <v>50</v>
      </c>
      <c r="E66" s="6">
        <f t="shared" si="4"/>
        <v>50</v>
      </c>
      <c r="F66" s="6">
        <f t="shared" si="5"/>
        <v>40</v>
      </c>
      <c r="G66" s="6">
        <f t="shared" si="2"/>
        <v>50</v>
      </c>
      <c r="H66" s="7">
        <f t="shared" si="3"/>
        <v>50</v>
      </c>
    </row>
    <row r="67" spans="2:8" x14ac:dyDescent="0.6">
      <c r="B67" s="26">
        <v>55</v>
      </c>
      <c r="C67" s="6">
        <f t="shared" si="7"/>
        <v>160</v>
      </c>
      <c r="D67" s="6">
        <f t="shared" si="6"/>
        <v>50</v>
      </c>
      <c r="E67" s="6">
        <f t="shared" si="4"/>
        <v>50</v>
      </c>
      <c r="F67" s="6">
        <f t="shared" si="5"/>
        <v>40</v>
      </c>
      <c r="G67" s="6">
        <f t="shared" si="2"/>
        <v>50</v>
      </c>
      <c r="H67" s="7">
        <f t="shared" si="3"/>
        <v>50</v>
      </c>
    </row>
    <row r="68" spans="2:8" x14ac:dyDescent="0.6">
      <c r="B68" s="26">
        <v>56</v>
      </c>
      <c r="C68" s="6">
        <f t="shared" si="7"/>
        <v>160</v>
      </c>
      <c r="D68" s="6">
        <f t="shared" si="6"/>
        <v>50</v>
      </c>
      <c r="E68" s="6">
        <f t="shared" si="4"/>
        <v>50</v>
      </c>
      <c r="F68" s="6">
        <f t="shared" si="5"/>
        <v>40</v>
      </c>
      <c r="G68" s="6">
        <f t="shared" si="2"/>
        <v>50</v>
      </c>
      <c r="H68" s="7">
        <f t="shared" si="3"/>
        <v>50</v>
      </c>
    </row>
    <row r="69" spans="2:8" x14ac:dyDescent="0.6">
      <c r="B69" s="26">
        <v>57</v>
      </c>
      <c r="C69" s="6">
        <f t="shared" si="7"/>
        <v>160</v>
      </c>
      <c r="D69" s="6">
        <f t="shared" si="6"/>
        <v>50</v>
      </c>
      <c r="E69" s="6">
        <f t="shared" si="4"/>
        <v>50</v>
      </c>
      <c r="F69" s="6">
        <f t="shared" si="5"/>
        <v>40</v>
      </c>
      <c r="G69" s="6">
        <f t="shared" si="2"/>
        <v>50</v>
      </c>
      <c r="H69" s="7">
        <f t="shared" si="3"/>
        <v>50</v>
      </c>
    </row>
    <row r="70" spans="2:8" x14ac:dyDescent="0.6">
      <c r="B70" s="26">
        <v>58</v>
      </c>
      <c r="C70" s="6">
        <f t="shared" si="7"/>
        <v>160</v>
      </c>
      <c r="D70" s="6">
        <f t="shared" si="6"/>
        <v>50</v>
      </c>
      <c r="E70" s="6">
        <f t="shared" si="4"/>
        <v>50</v>
      </c>
      <c r="F70" s="6">
        <f t="shared" si="5"/>
        <v>40</v>
      </c>
      <c r="G70" s="6">
        <f t="shared" si="2"/>
        <v>50</v>
      </c>
      <c r="H70" s="7">
        <f t="shared" si="3"/>
        <v>50</v>
      </c>
    </row>
    <row r="71" spans="2:8" x14ac:dyDescent="0.6">
      <c r="B71" s="26">
        <v>59</v>
      </c>
      <c r="C71" s="6">
        <f t="shared" si="7"/>
        <v>160</v>
      </c>
      <c r="D71" s="6">
        <f t="shared" si="6"/>
        <v>50</v>
      </c>
      <c r="E71" s="6">
        <f t="shared" si="4"/>
        <v>50</v>
      </c>
      <c r="F71" s="6">
        <f t="shared" si="5"/>
        <v>40</v>
      </c>
      <c r="G71" s="6">
        <f t="shared" si="2"/>
        <v>50</v>
      </c>
      <c r="H71" s="7">
        <f t="shared" si="3"/>
        <v>50</v>
      </c>
    </row>
    <row r="72" spans="2:8" x14ac:dyDescent="0.6">
      <c r="B72" s="26">
        <v>60</v>
      </c>
      <c r="C72" s="6">
        <f t="shared" si="7"/>
        <v>160</v>
      </c>
      <c r="D72" s="6">
        <f t="shared" si="6"/>
        <v>50</v>
      </c>
      <c r="E72" s="6">
        <f t="shared" si="4"/>
        <v>50</v>
      </c>
      <c r="F72" s="6">
        <f t="shared" si="5"/>
        <v>40</v>
      </c>
      <c r="G72" s="6">
        <f t="shared" si="2"/>
        <v>50</v>
      </c>
      <c r="H72" s="7">
        <f t="shared" si="3"/>
        <v>50</v>
      </c>
    </row>
    <row r="73" spans="2:8" x14ac:dyDescent="0.6">
      <c r="B73" s="26">
        <v>61</v>
      </c>
      <c r="C73" s="6">
        <f t="shared" si="7"/>
        <v>160</v>
      </c>
      <c r="D73" s="6">
        <f t="shared" si="6"/>
        <v>50</v>
      </c>
      <c r="E73" s="6">
        <f t="shared" si="4"/>
        <v>50</v>
      </c>
      <c r="F73" s="6">
        <f t="shared" si="5"/>
        <v>40</v>
      </c>
      <c r="G73" s="6">
        <f t="shared" si="2"/>
        <v>50</v>
      </c>
      <c r="H73" s="7">
        <f t="shared" si="3"/>
        <v>50</v>
      </c>
    </row>
    <row r="74" spans="2:8" x14ac:dyDescent="0.6">
      <c r="B74" s="26">
        <v>62</v>
      </c>
      <c r="C74" s="6">
        <f t="shared" si="7"/>
        <v>160</v>
      </c>
      <c r="D74" s="6">
        <f t="shared" si="6"/>
        <v>50</v>
      </c>
      <c r="E74" s="6">
        <f t="shared" si="4"/>
        <v>50</v>
      </c>
      <c r="F74" s="6">
        <f t="shared" si="5"/>
        <v>40</v>
      </c>
      <c r="G74" s="6">
        <f t="shared" si="2"/>
        <v>50</v>
      </c>
      <c r="H74" s="7">
        <f t="shared" si="3"/>
        <v>50</v>
      </c>
    </row>
    <row r="75" spans="2:8" x14ac:dyDescent="0.6">
      <c r="B75" s="26">
        <v>63</v>
      </c>
      <c r="C75" s="6">
        <f t="shared" si="7"/>
        <v>160</v>
      </c>
      <c r="D75" s="6">
        <f t="shared" si="6"/>
        <v>50</v>
      </c>
      <c r="E75" s="6">
        <f t="shared" si="4"/>
        <v>50</v>
      </c>
      <c r="F75" s="6">
        <f t="shared" si="5"/>
        <v>40</v>
      </c>
      <c r="G75" s="6">
        <f t="shared" si="2"/>
        <v>50</v>
      </c>
      <c r="H75" s="7">
        <f t="shared" si="3"/>
        <v>50</v>
      </c>
    </row>
    <row r="76" spans="2:8" x14ac:dyDescent="0.6">
      <c r="B76" s="26">
        <v>64</v>
      </c>
      <c r="C76" s="6">
        <f t="shared" si="7"/>
        <v>160</v>
      </c>
      <c r="D76" s="6">
        <f t="shared" si="6"/>
        <v>50</v>
      </c>
      <c r="E76" s="6">
        <f t="shared" si="4"/>
        <v>50</v>
      </c>
      <c r="F76" s="6">
        <f t="shared" si="5"/>
        <v>40</v>
      </c>
      <c r="G76" s="6">
        <f t="shared" si="2"/>
        <v>50</v>
      </c>
      <c r="H76" s="7">
        <f t="shared" si="3"/>
        <v>50</v>
      </c>
    </row>
    <row r="77" spans="2:8" x14ac:dyDescent="0.6">
      <c r="B77" s="26">
        <v>65</v>
      </c>
      <c r="C77" s="6">
        <f t="shared" si="7"/>
        <v>160</v>
      </c>
      <c r="D77" s="6">
        <f t="shared" ref="D77:D112" si="8">(((1-(($C77-h_elipse)^2/a_elipse^2))*(b_elipse^2))^0.5)+k_elipse</f>
        <v>50</v>
      </c>
      <c r="E77" s="6">
        <f t="shared" si="4"/>
        <v>50</v>
      </c>
      <c r="F77" s="6">
        <f t="shared" si="5"/>
        <v>40</v>
      </c>
      <c r="G77" s="6">
        <f t="shared" si="2"/>
        <v>50</v>
      </c>
      <c r="H77" s="7">
        <f t="shared" si="3"/>
        <v>50</v>
      </c>
    </row>
    <row r="78" spans="2:8" x14ac:dyDescent="0.6">
      <c r="B78" s="26">
        <v>66</v>
      </c>
      <c r="C78" s="6">
        <f t="shared" ref="C78:C112" si="9">IF((a_elipse/np_elipse)+C77&gt;=h_elipse+a_elipse,h_elipse+a_elipse,(a_elipse/np_elipse)+C77)</f>
        <v>160</v>
      </c>
      <c r="D78" s="6">
        <f t="shared" si="8"/>
        <v>50</v>
      </c>
      <c r="E78" s="6">
        <f t="shared" si="4"/>
        <v>50</v>
      </c>
      <c r="F78" s="6">
        <f t="shared" si="5"/>
        <v>40</v>
      </c>
      <c r="G78" s="6">
        <f t="shared" ref="G78:G112" si="10">D78</f>
        <v>50</v>
      </c>
      <c r="H78" s="7">
        <f t="shared" ref="H78:H112" si="11">E78</f>
        <v>50</v>
      </c>
    </row>
    <row r="79" spans="2:8" x14ac:dyDescent="0.6">
      <c r="B79" s="26">
        <v>67</v>
      </c>
      <c r="C79" s="6">
        <f t="shared" si="9"/>
        <v>160</v>
      </c>
      <c r="D79" s="6">
        <f t="shared" si="8"/>
        <v>50</v>
      </c>
      <c r="E79" s="6">
        <f t="shared" ref="E79:E112" si="12">E78+(D78-D79)</f>
        <v>50</v>
      </c>
      <c r="F79" s="6">
        <f t="shared" ref="F79:F112" si="13">(F78-(C79-C78))</f>
        <v>40</v>
      </c>
      <c r="G79" s="6">
        <f t="shared" si="10"/>
        <v>50</v>
      </c>
      <c r="H79" s="7">
        <f t="shared" si="11"/>
        <v>50</v>
      </c>
    </row>
    <row r="80" spans="2:8" x14ac:dyDescent="0.6">
      <c r="B80" s="26">
        <v>68</v>
      </c>
      <c r="C80" s="6">
        <f t="shared" si="9"/>
        <v>160</v>
      </c>
      <c r="D80" s="6">
        <f t="shared" si="8"/>
        <v>50</v>
      </c>
      <c r="E80" s="6">
        <f t="shared" si="12"/>
        <v>50</v>
      </c>
      <c r="F80" s="6">
        <f t="shared" si="13"/>
        <v>40</v>
      </c>
      <c r="G80" s="6">
        <f t="shared" si="10"/>
        <v>50</v>
      </c>
      <c r="H80" s="7">
        <f t="shared" si="11"/>
        <v>50</v>
      </c>
    </row>
    <row r="81" spans="2:8" x14ac:dyDescent="0.6">
      <c r="B81" s="26">
        <v>69</v>
      </c>
      <c r="C81" s="6">
        <f t="shared" si="9"/>
        <v>160</v>
      </c>
      <c r="D81" s="6">
        <f t="shared" si="8"/>
        <v>50</v>
      </c>
      <c r="E81" s="6">
        <f t="shared" si="12"/>
        <v>50</v>
      </c>
      <c r="F81" s="6">
        <f t="shared" si="13"/>
        <v>40</v>
      </c>
      <c r="G81" s="6">
        <f t="shared" si="10"/>
        <v>50</v>
      </c>
      <c r="H81" s="7">
        <f t="shared" si="11"/>
        <v>50</v>
      </c>
    </row>
    <row r="82" spans="2:8" x14ac:dyDescent="0.6">
      <c r="B82" s="26">
        <v>70</v>
      </c>
      <c r="C82" s="6">
        <f t="shared" si="9"/>
        <v>160</v>
      </c>
      <c r="D82" s="6">
        <f t="shared" si="8"/>
        <v>50</v>
      </c>
      <c r="E82" s="6">
        <f t="shared" si="12"/>
        <v>50</v>
      </c>
      <c r="F82" s="6">
        <f t="shared" si="13"/>
        <v>40</v>
      </c>
      <c r="G82" s="6">
        <f t="shared" si="10"/>
        <v>50</v>
      </c>
      <c r="H82" s="7">
        <f t="shared" si="11"/>
        <v>50</v>
      </c>
    </row>
    <row r="83" spans="2:8" x14ac:dyDescent="0.6">
      <c r="B83" s="26">
        <v>71</v>
      </c>
      <c r="C83" s="6">
        <f t="shared" si="9"/>
        <v>160</v>
      </c>
      <c r="D83" s="6">
        <f t="shared" si="8"/>
        <v>50</v>
      </c>
      <c r="E83" s="6">
        <f t="shared" si="12"/>
        <v>50</v>
      </c>
      <c r="F83" s="6">
        <f t="shared" si="13"/>
        <v>40</v>
      </c>
      <c r="G83" s="6">
        <f t="shared" si="10"/>
        <v>50</v>
      </c>
      <c r="H83" s="7">
        <f t="shared" si="11"/>
        <v>50</v>
      </c>
    </row>
    <row r="84" spans="2:8" x14ac:dyDescent="0.6">
      <c r="B84" s="26">
        <v>72</v>
      </c>
      <c r="C84" s="6">
        <f t="shared" si="9"/>
        <v>160</v>
      </c>
      <c r="D84" s="6">
        <f t="shared" si="8"/>
        <v>50</v>
      </c>
      <c r="E84" s="6">
        <f t="shared" si="12"/>
        <v>50</v>
      </c>
      <c r="F84" s="6">
        <f t="shared" si="13"/>
        <v>40</v>
      </c>
      <c r="G84" s="6">
        <f t="shared" si="10"/>
        <v>50</v>
      </c>
      <c r="H84" s="7">
        <f t="shared" si="11"/>
        <v>50</v>
      </c>
    </row>
    <row r="85" spans="2:8" x14ac:dyDescent="0.6">
      <c r="B85" s="26">
        <v>73</v>
      </c>
      <c r="C85" s="6">
        <f t="shared" si="9"/>
        <v>160</v>
      </c>
      <c r="D85" s="6">
        <f t="shared" si="8"/>
        <v>50</v>
      </c>
      <c r="E85" s="6">
        <f t="shared" si="12"/>
        <v>50</v>
      </c>
      <c r="F85" s="6">
        <f t="shared" si="13"/>
        <v>40</v>
      </c>
      <c r="G85" s="6">
        <f t="shared" si="10"/>
        <v>50</v>
      </c>
      <c r="H85" s="7">
        <f t="shared" si="11"/>
        <v>50</v>
      </c>
    </row>
    <row r="86" spans="2:8" x14ac:dyDescent="0.6">
      <c r="B86" s="26">
        <v>74</v>
      </c>
      <c r="C86" s="6">
        <f t="shared" si="9"/>
        <v>160</v>
      </c>
      <c r="D86" s="6">
        <f t="shared" si="8"/>
        <v>50</v>
      </c>
      <c r="E86" s="6">
        <f t="shared" si="12"/>
        <v>50</v>
      </c>
      <c r="F86" s="6">
        <f t="shared" si="13"/>
        <v>40</v>
      </c>
      <c r="G86" s="6">
        <f t="shared" si="10"/>
        <v>50</v>
      </c>
      <c r="H86" s="7">
        <f t="shared" si="11"/>
        <v>50</v>
      </c>
    </row>
    <row r="87" spans="2:8" x14ac:dyDescent="0.6">
      <c r="B87" s="26">
        <v>75</v>
      </c>
      <c r="C87" s="6">
        <f t="shared" si="9"/>
        <v>160</v>
      </c>
      <c r="D87" s="6">
        <f t="shared" si="8"/>
        <v>50</v>
      </c>
      <c r="E87" s="6">
        <f t="shared" si="12"/>
        <v>50</v>
      </c>
      <c r="F87" s="6">
        <f t="shared" si="13"/>
        <v>40</v>
      </c>
      <c r="G87" s="6">
        <f t="shared" si="10"/>
        <v>50</v>
      </c>
      <c r="H87" s="7">
        <f t="shared" si="11"/>
        <v>50</v>
      </c>
    </row>
    <row r="88" spans="2:8" x14ac:dyDescent="0.6">
      <c r="B88" s="26">
        <v>76</v>
      </c>
      <c r="C88" s="6">
        <f t="shared" si="9"/>
        <v>160</v>
      </c>
      <c r="D88" s="6">
        <f t="shared" si="8"/>
        <v>50</v>
      </c>
      <c r="E88" s="6">
        <f t="shared" si="12"/>
        <v>50</v>
      </c>
      <c r="F88" s="6">
        <f t="shared" si="13"/>
        <v>40</v>
      </c>
      <c r="G88" s="6">
        <f t="shared" si="10"/>
        <v>50</v>
      </c>
      <c r="H88" s="7">
        <f t="shared" si="11"/>
        <v>50</v>
      </c>
    </row>
    <row r="89" spans="2:8" x14ac:dyDescent="0.6">
      <c r="B89" s="26">
        <v>77</v>
      </c>
      <c r="C89" s="6">
        <f t="shared" si="9"/>
        <v>160</v>
      </c>
      <c r="D89" s="6">
        <f t="shared" si="8"/>
        <v>50</v>
      </c>
      <c r="E89" s="6">
        <f t="shared" si="12"/>
        <v>50</v>
      </c>
      <c r="F89" s="6">
        <f t="shared" si="13"/>
        <v>40</v>
      </c>
      <c r="G89" s="6">
        <f t="shared" si="10"/>
        <v>50</v>
      </c>
      <c r="H89" s="7">
        <f t="shared" si="11"/>
        <v>50</v>
      </c>
    </row>
    <row r="90" spans="2:8" x14ac:dyDescent="0.6">
      <c r="B90" s="26">
        <v>78</v>
      </c>
      <c r="C90" s="6">
        <f t="shared" si="9"/>
        <v>160</v>
      </c>
      <c r="D90" s="6">
        <f t="shared" si="8"/>
        <v>50</v>
      </c>
      <c r="E90" s="6">
        <f t="shared" si="12"/>
        <v>50</v>
      </c>
      <c r="F90" s="6">
        <f t="shared" si="13"/>
        <v>40</v>
      </c>
      <c r="G90" s="6">
        <f t="shared" si="10"/>
        <v>50</v>
      </c>
      <c r="H90" s="7">
        <f t="shared" si="11"/>
        <v>50</v>
      </c>
    </row>
    <row r="91" spans="2:8" x14ac:dyDescent="0.6">
      <c r="B91" s="26">
        <v>79</v>
      </c>
      <c r="C91" s="6">
        <f t="shared" si="9"/>
        <v>160</v>
      </c>
      <c r="D91" s="6">
        <f t="shared" si="8"/>
        <v>50</v>
      </c>
      <c r="E91" s="6">
        <f t="shared" si="12"/>
        <v>50</v>
      </c>
      <c r="F91" s="6">
        <f t="shared" si="13"/>
        <v>40</v>
      </c>
      <c r="G91" s="6">
        <f t="shared" si="10"/>
        <v>50</v>
      </c>
      <c r="H91" s="7">
        <f t="shared" si="11"/>
        <v>50</v>
      </c>
    </row>
    <row r="92" spans="2:8" x14ac:dyDescent="0.6">
      <c r="B92" s="26">
        <v>80</v>
      </c>
      <c r="C92" s="6">
        <f t="shared" si="9"/>
        <v>160</v>
      </c>
      <c r="D92" s="6">
        <f t="shared" si="8"/>
        <v>50</v>
      </c>
      <c r="E92" s="6">
        <f t="shared" si="12"/>
        <v>50</v>
      </c>
      <c r="F92" s="6">
        <f t="shared" si="13"/>
        <v>40</v>
      </c>
      <c r="G92" s="6">
        <f t="shared" si="10"/>
        <v>50</v>
      </c>
      <c r="H92" s="7">
        <f t="shared" si="11"/>
        <v>50</v>
      </c>
    </row>
    <row r="93" spans="2:8" x14ac:dyDescent="0.6">
      <c r="B93" s="26">
        <v>81</v>
      </c>
      <c r="C93" s="6">
        <f t="shared" si="9"/>
        <v>160</v>
      </c>
      <c r="D93" s="6">
        <f t="shared" si="8"/>
        <v>50</v>
      </c>
      <c r="E93" s="6">
        <f t="shared" si="12"/>
        <v>50</v>
      </c>
      <c r="F93" s="6">
        <f t="shared" si="13"/>
        <v>40</v>
      </c>
      <c r="G93" s="6">
        <f t="shared" si="10"/>
        <v>50</v>
      </c>
      <c r="H93" s="7">
        <f t="shared" si="11"/>
        <v>50</v>
      </c>
    </row>
    <row r="94" spans="2:8" x14ac:dyDescent="0.6">
      <c r="B94" s="26">
        <v>82</v>
      </c>
      <c r="C94" s="6">
        <f t="shared" si="9"/>
        <v>160</v>
      </c>
      <c r="D94" s="6">
        <f t="shared" si="8"/>
        <v>50</v>
      </c>
      <c r="E94" s="6">
        <f t="shared" si="12"/>
        <v>50</v>
      </c>
      <c r="F94" s="6">
        <f t="shared" si="13"/>
        <v>40</v>
      </c>
      <c r="G94" s="6">
        <f t="shared" si="10"/>
        <v>50</v>
      </c>
      <c r="H94" s="7">
        <f t="shared" si="11"/>
        <v>50</v>
      </c>
    </row>
    <row r="95" spans="2:8" x14ac:dyDescent="0.6">
      <c r="B95" s="26">
        <v>83</v>
      </c>
      <c r="C95" s="6">
        <f t="shared" si="9"/>
        <v>160</v>
      </c>
      <c r="D95" s="6">
        <f t="shared" si="8"/>
        <v>50</v>
      </c>
      <c r="E95" s="6">
        <f t="shared" si="12"/>
        <v>50</v>
      </c>
      <c r="F95" s="6">
        <f t="shared" si="13"/>
        <v>40</v>
      </c>
      <c r="G95" s="6">
        <f t="shared" si="10"/>
        <v>50</v>
      </c>
      <c r="H95" s="7">
        <f t="shared" si="11"/>
        <v>50</v>
      </c>
    </row>
    <row r="96" spans="2:8" x14ac:dyDescent="0.6">
      <c r="B96" s="26">
        <v>84</v>
      </c>
      <c r="C96" s="6">
        <f t="shared" si="9"/>
        <v>160</v>
      </c>
      <c r="D96" s="6">
        <f t="shared" si="8"/>
        <v>50</v>
      </c>
      <c r="E96" s="6">
        <f t="shared" si="12"/>
        <v>50</v>
      </c>
      <c r="F96" s="6">
        <f t="shared" si="13"/>
        <v>40</v>
      </c>
      <c r="G96" s="6">
        <f t="shared" si="10"/>
        <v>50</v>
      </c>
      <c r="H96" s="7">
        <f t="shared" si="11"/>
        <v>50</v>
      </c>
    </row>
    <row r="97" spans="2:8" x14ac:dyDescent="0.6">
      <c r="B97" s="26">
        <v>85</v>
      </c>
      <c r="C97" s="6">
        <f t="shared" si="9"/>
        <v>160</v>
      </c>
      <c r="D97" s="6">
        <f t="shared" si="8"/>
        <v>50</v>
      </c>
      <c r="E97" s="6">
        <f t="shared" si="12"/>
        <v>50</v>
      </c>
      <c r="F97" s="6">
        <f t="shared" si="13"/>
        <v>40</v>
      </c>
      <c r="G97" s="6">
        <f t="shared" si="10"/>
        <v>50</v>
      </c>
      <c r="H97" s="7">
        <f t="shared" si="11"/>
        <v>50</v>
      </c>
    </row>
    <row r="98" spans="2:8" x14ac:dyDescent="0.6">
      <c r="B98" s="26">
        <v>86</v>
      </c>
      <c r="C98" s="6">
        <f t="shared" si="9"/>
        <v>160</v>
      </c>
      <c r="D98" s="6">
        <f t="shared" si="8"/>
        <v>50</v>
      </c>
      <c r="E98" s="6">
        <f t="shared" si="12"/>
        <v>50</v>
      </c>
      <c r="F98" s="6">
        <f t="shared" si="13"/>
        <v>40</v>
      </c>
      <c r="G98" s="6">
        <f t="shared" si="10"/>
        <v>50</v>
      </c>
      <c r="H98" s="7">
        <f t="shared" si="11"/>
        <v>50</v>
      </c>
    </row>
    <row r="99" spans="2:8" x14ac:dyDescent="0.6">
      <c r="B99" s="26">
        <v>87</v>
      </c>
      <c r="C99" s="6">
        <f t="shared" si="9"/>
        <v>160</v>
      </c>
      <c r="D99" s="6">
        <f t="shared" si="8"/>
        <v>50</v>
      </c>
      <c r="E99" s="6">
        <f t="shared" si="12"/>
        <v>50</v>
      </c>
      <c r="F99" s="6">
        <f t="shared" si="13"/>
        <v>40</v>
      </c>
      <c r="G99" s="6">
        <f t="shared" si="10"/>
        <v>50</v>
      </c>
      <c r="H99" s="7">
        <f t="shared" si="11"/>
        <v>50</v>
      </c>
    </row>
    <row r="100" spans="2:8" x14ac:dyDescent="0.6">
      <c r="B100" s="26">
        <v>88</v>
      </c>
      <c r="C100" s="6">
        <f t="shared" si="9"/>
        <v>160</v>
      </c>
      <c r="D100" s="6">
        <f t="shared" si="8"/>
        <v>50</v>
      </c>
      <c r="E100" s="6">
        <f t="shared" si="12"/>
        <v>50</v>
      </c>
      <c r="F100" s="6">
        <f t="shared" si="13"/>
        <v>40</v>
      </c>
      <c r="G100" s="6">
        <f t="shared" si="10"/>
        <v>50</v>
      </c>
      <c r="H100" s="7">
        <f t="shared" si="11"/>
        <v>50</v>
      </c>
    </row>
    <row r="101" spans="2:8" x14ac:dyDescent="0.6">
      <c r="B101" s="26">
        <v>89</v>
      </c>
      <c r="C101" s="6">
        <f t="shared" si="9"/>
        <v>160</v>
      </c>
      <c r="D101" s="6">
        <f t="shared" si="8"/>
        <v>50</v>
      </c>
      <c r="E101" s="6">
        <f t="shared" si="12"/>
        <v>50</v>
      </c>
      <c r="F101" s="6">
        <f t="shared" si="13"/>
        <v>40</v>
      </c>
      <c r="G101" s="6">
        <f t="shared" si="10"/>
        <v>50</v>
      </c>
      <c r="H101" s="7">
        <f t="shared" si="11"/>
        <v>50</v>
      </c>
    </row>
    <row r="102" spans="2:8" x14ac:dyDescent="0.6">
      <c r="B102" s="26">
        <v>90</v>
      </c>
      <c r="C102" s="6">
        <f t="shared" si="9"/>
        <v>160</v>
      </c>
      <c r="D102" s="6">
        <f t="shared" si="8"/>
        <v>50</v>
      </c>
      <c r="E102" s="6">
        <f t="shared" si="12"/>
        <v>50</v>
      </c>
      <c r="F102" s="6">
        <f t="shared" si="13"/>
        <v>40</v>
      </c>
      <c r="G102" s="6">
        <f t="shared" si="10"/>
        <v>50</v>
      </c>
      <c r="H102" s="7">
        <f t="shared" si="11"/>
        <v>50</v>
      </c>
    </row>
    <row r="103" spans="2:8" x14ac:dyDescent="0.6">
      <c r="B103" s="26">
        <v>91</v>
      </c>
      <c r="C103" s="6">
        <f t="shared" si="9"/>
        <v>160</v>
      </c>
      <c r="D103" s="6">
        <f t="shared" si="8"/>
        <v>50</v>
      </c>
      <c r="E103" s="6">
        <f t="shared" si="12"/>
        <v>50</v>
      </c>
      <c r="F103" s="6">
        <f t="shared" si="13"/>
        <v>40</v>
      </c>
      <c r="G103" s="6">
        <f t="shared" si="10"/>
        <v>50</v>
      </c>
      <c r="H103" s="7">
        <f t="shared" si="11"/>
        <v>50</v>
      </c>
    </row>
    <row r="104" spans="2:8" x14ac:dyDescent="0.6">
      <c r="B104" s="26">
        <v>92</v>
      </c>
      <c r="C104" s="6">
        <f t="shared" si="9"/>
        <v>160</v>
      </c>
      <c r="D104" s="6">
        <f t="shared" si="8"/>
        <v>50</v>
      </c>
      <c r="E104" s="6">
        <f t="shared" si="12"/>
        <v>50</v>
      </c>
      <c r="F104" s="6">
        <f t="shared" si="13"/>
        <v>40</v>
      </c>
      <c r="G104" s="6">
        <f t="shared" si="10"/>
        <v>50</v>
      </c>
      <c r="H104" s="7">
        <f t="shared" si="11"/>
        <v>50</v>
      </c>
    </row>
    <row r="105" spans="2:8" x14ac:dyDescent="0.6">
      <c r="B105" s="26">
        <v>93</v>
      </c>
      <c r="C105" s="6">
        <f t="shared" si="9"/>
        <v>160</v>
      </c>
      <c r="D105" s="6">
        <f t="shared" si="8"/>
        <v>50</v>
      </c>
      <c r="E105" s="6">
        <f t="shared" si="12"/>
        <v>50</v>
      </c>
      <c r="F105" s="6">
        <f t="shared" si="13"/>
        <v>40</v>
      </c>
      <c r="G105" s="6">
        <f t="shared" si="10"/>
        <v>50</v>
      </c>
      <c r="H105" s="7">
        <f t="shared" si="11"/>
        <v>50</v>
      </c>
    </row>
    <row r="106" spans="2:8" x14ac:dyDescent="0.6">
      <c r="B106" s="26">
        <v>94</v>
      </c>
      <c r="C106" s="6">
        <f t="shared" si="9"/>
        <v>160</v>
      </c>
      <c r="D106" s="6">
        <f t="shared" si="8"/>
        <v>50</v>
      </c>
      <c r="E106" s="6">
        <f t="shared" si="12"/>
        <v>50</v>
      </c>
      <c r="F106" s="6">
        <f t="shared" si="13"/>
        <v>40</v>
      </c>
      <c r="G106" s="6">
        <f t="shared" si="10"/>
        <v>50</v>
      </c>
      <c r="H106" s="7">
        <f t="shared" si="11"/>
        <v>50</v>
      </c>
    </row>
    <row r="107" spans="2:8" x14ac:dyDescent="0.6">
      <c r="B107" s="26">
        <v>95</v>
      </c>
      <c r="C107" s="6">
        <f t="shared" si="9"/>
        <v>160</v>
      </c>
      <c r="D107" s="6">
        <f t="shared" si="8"/>
        <v>50</v>
      </c>
      <c r="E107" s="6">
        <f t="shared" si="12"/>
        <v>50</v>
      </c>
      <c r="F107" s="6">
        <f t="shared" si="13"/>
        <v>40</v>
      </c>
      <c r="G107" s="6">
        <f t="shared" si="10"/>
        <v>50</v>
      </c>
      <c r="H107" s="7">
        <f t="shared" si="11"/>
        <v>50</v>
      </c>
    </row>
    <row r="108" spans="2:8" x14ac:dyDescent="0.6">
      <c r="B108" s="26">
        <v>96</v>
      </c>
      <c r="C108" s="6">
        <f t="shared" si="9"/>
        <v>160</v>
      </c>
      <c r="D108" s="6">
        <f t="shared" si="8"/>
        <v>50</v>
      </c>
      <c r="E108" s="6">
        <f t="shared" si="12"/>
        <v>50</v>
      </c>
      <c r="F108" s="6">
        <f t="shared" si="13"/>
        <v>40</v>
      </c>
      <c r="G108" s="6">
        <f t="shared" si="10"/>
        <v>50</v>
      </c>
      <c r="H108" s="7">
        <f t="shared" si="11"/>
        <v>50</v>
      </c>
    </row>
    <row r="109" spans="2:8" x14ac:dyDescent="0.6">
      <c r="B109" s="26">
        <v>97</v>
      </c>
      <c r="C109" s="6">
        <f t="shared" si="9"/>
        <v>160</v>
      </c>
      <c r="D109" s="6">
        <f t="shared" si="8"/>
        <v>50</v>
      </c>
      <c r="E109" s="6">
        <f t="shared" si="12"/>
        <v>50</v>
      </c>
      <c r="F109" s="6">
        <f t="shared" si="13"/>
        <v>40</v>
      </c>
      <c r="G109" s="6">
        <f t="shared" si="10"/>
        <v>50</v>
      </c>
      <c r="H109" s="7">
        <f t="shared" si="11"/>
        <v>50</v>
      </c>
    </row>
    <row r="110" spans="2:8" x14ac:dyDescent="0.6">
      <c r="B110" s="26">
        <v>98</v>
      </c>
      <c r="C110" s="6">
        <f t="shared" si="9"/>
        <v>160</v>
      </c>
      <c r="D110" s="6">
        <f t="shared" si="8"/>
        <v>50</v>
      </c>
      <c r="E110" s="6">
        <f t="shared" si="12"/>
        <v>50</v>
      </c>
      <c r="F110" s="6">
        <f t="shared" si="13"/>
        <v>40</v>
      </c>
      <c r="G110" s="6">
        <f t="shared" si="10"/>
        <v>50</v>
      </c>
      <c r="H110" s="7">
        <f t="shared" si="11"/>
        <v>50</v>
      </c>
    </row>
    <row r="111" spans="2:8" x14ac:dyDescent="0.6">
      <c r="B111" s="26">
        <v>99</v>
      </c>
      <c r="C111" s="6">
        <f t="shared" si="9"/>
        <v>160</v>
      </c>
      <c r="D111" s="6">
        <f t="shared" si="8"/>
        <v>50</v>
      </c>
      <c r="E111" s="6">
        <f t="shared" si="12"/>
        <v>50</v>
      </c>
      <c r="F111" s="6">
        <f t="shared" si="13"/>
        <v>40</v>
      </c>
      <c r="G111" s="6">
        <f t="shared" si="10"/>
        <v>50</v>
      </c>
      <c r="H111" s="7">
        <f t="shared" si="11"/>
        <v>50</v>
      </c>
    </row>
    <row r="112" spans="2:8" x14ac:dyDescent="0.6">
      <c r="B112" s="27">
        <v>100</v>
      </c>
      <c r="C112" s="8">
        <f t="shared" si="9"/>
        <v>160</v>
      </c>
      <c r="D112" s="8">
        <f t="shared" si="8"/>
        <v>50</v>
      </c>
      <c r="E112" s="8">
        <f t="shared" si="12"/>
        <v>50</v>
      </c>
      <c r="F112" s="8">
        <f t="shared" si="13"/>
        <v>40</v>
      </c>
      <c r="G112" s="8">
        <f t="shared" si="10"/>
        <v>50</v>
      </c>
      <c r="H112" s="9">
        <f t="shared" si="11"/>
        <v>50</v>
      </c>
    </row>
  </sheetData>
  <sheetProtection algorithmName="SHA-512" hashValue="hPmjE9g7PTSYCxesfn6v/vG74iCHz/wPDkomBtr3VBb0Tu+iXeJ9UTjhokNifRTORbtbQL55fGGIoRgZnD+rpQ==" saltValue="3+nLnaG7VgjARDoHSs9Zpg==" spinCount="100000" sheet="1" objects="1" scenarios="1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C16" sqref="C16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_xlfn.CONCAT(ElipseTabla!$C13,",",ElipseTabla!D13)</f>
        <v>100,70</v>
      </c>
      <c r="B2" s="1" t="str">
        <f>_xlfn.CONCAT("POINT ",A2)</f>
        <v>POINT 100,70</v>
      </c>
    </row>
    <row r="3" spans="1:2" x14ac:dyDescent="0.6">
      <c r="A3" s="1" t="str">
        <f>_xlfn.CONCAT(ElipseTabla!C14,",",ElipseTabla!$D14)</f>
        <v>101.25,69.9956592511697</v>
      </c>
      <c r="B3" s="1" t="str">
        <f t="shared" ref="B3:B66" si="0">_xlfn.CONCAT("POINT ",A3)</f>
        <v>POINT 101.25,69.9956592511697</v>
      </c>
    </row>
    <row r="4" spans="1:2" x14ac:dyDescent="0.6">
      <c r="A4" s="1" t="str">
        <f>_xlfn.CONCAT(ElipseTabla!C15,",",ElipseTabla!D15)</f>
        <v>102.5,69.9826313471363</v>
      </c>
      <c r="B4" s="1" t="str">
        <f t="shared" si="0"/>
        <v>POINT 102.5,69.9826313471363</v>
      </c>
    </row>
    <row r="5" spans="1:2" x14ac:dyDescent="0.6">
      <c r="A5" s="1" t="str">
        <f>_xlfn.CONCAT(ElipseTabla!C16,",",ElipseTabla!D16)</f>
        <v>103.75,69.9608992783391</v>
      </c>
      <c r="B5" s="1" t="str">
        <f t="shared" si="0"/>
        <v>POINT 103.75,69.9608992783391</v>
      </c>
    </row>
    <row r="6" spans="1:2" x14ac:dyDescent="0.6">
      <c r="A6" s="1" t="str">
        <f>_xlfn.CONCAT(ElipseTabla!C17,",",ElipseTabla!D17)</f>
        <v>105,69.9304345718357</v>
      </c>
      <c r="B6" s="1" t="str">
        <f t="shared" si="0"/>
        <v>POINT 105,69.9304345718357</v>
      </c>
    </row>
    <row r="7" spans="1:2" x14ac:dyDescent="0.6">
      <c r="A7" s="1" t="str">
        <f>_xlfn.CONCAT(ElipseTabla!C18,",",ElipseTabla!D18)</f>
        <v>106.25,69.8911971038</v>
      </c>
      <c r="B7" s="1" t="str">
        <f t="shared" si="0"/>
        <v>POINT 106.25,69.8911971038</v>
      </c>
    </row>
    <row r="8" spans="1:2" x14ac:dyDescent="0.6">
      <c r="A8" s="1" t="str">
        <f>_xlfn.CONCAT(ElipseTabla!C19,",",ElipseTabla!D19)</f>
        <v>107.5,69.8431348329844</v>
      </c>
      <c r="B8" s="1" t="str">
        <f t="shared" si="0"/>
        <v>POINT 107.5,69.8431348329844</v>
      </c>
    </row>
    <row r="9" spans="1:2" x14ac:dyDescent="0.6">
      <c r="A9" s="1" t="str">
        <f>_xlfn.CONCAT(ElipseTabla!C20,",",ElipseTabla!D20)</f>
        <v>108.75,69.7861834509729</v>
      </c>
      <c r="B9" s="1" t="str">
        <f t="shared" si="0"/>
        <v>POINT 108.75,69.7861834509729</v>
      </c>
    </row>
    <row r="10" spans="1:2" x14ac:dyDescent="0.6">
      <c r="A10" s="1" t="str">
        <f>_xlfn.CONCAT(ElipseTabla!C21,",",ElipseTabla!D21)</f>
        <v>110,69.7202659436654</v>
      </c>
      <c r="B10" s="1" t="str">
        <f t="shared" si="0"/>
        <v>POINT 110,69.7202659436654</v>
      </c>
    </row>
    <row r="11" spans="1:2" x14ac:dyDescent="0.6">
      <c r="A11" s="1" t="str">
        <f>_xlfn.CONCAT(ElipseTabla!C22,",",ElipseTabla!D22)</f>
        <v>111.25,69.6452920568771</v>
      </c>
      <c r="B11" s="1" t="str">
        <f t="shared" si="0"/>
        <v>POINT 111.25,69.6452920568771</v>
      </c>
    </row>
    <row r="12" spans="1:2" x14ac:dyDescent="0.6">
      <c r="A12" s="1" t="str">
        <f>_xlfn.CONCAT(ElipseTabla!C23,",",ElipseTabla!D23)</f>
        <v>112.5,69.5611576571758</v>
      </c>
      <c r="B12" s="1" t="str">
        <f t="shared" si="0"/>
        <v>POINT 112.5,69.5611576571758</v>
      </c>
    </row>
    <row r="13" spans="1:2" x14ac:dyDescent="0.6">
      <c r="A13" s="1" t="str">
        <f>_xlfn.CONCAT(ElipseTabla!C24,",",ElipseTabla!D24)</f>
        <v>113.75,69.4677439770394</v>
      </c>
      <c r="B13" s="1" t="str">
        <f t="shared" si="0"/>
        <v>POINT 113.75,69.4677439770394</v>
      </c>
    </row>
    <row r="14" spans="1:2" x14ac:dyDescent="0.6">
      <c r="A14" s="1" t="str">
        <f>_xlfn.CONCAT(ElipseTabla!C25,",",ElipseTabla!D25)</f>
        <v>115,69.3649167310371</v>
      </c>
      <c r="B14" s="1" t="str">
        <f t="shared" si="0"/>
        <v>POINT 115,69.3649167310371</v>
      </c>
    </row>
    <row r="15" spans="1:2" x14ac:dyDescent="0.6">
      <c r="A15" s="1" t="str">
        <f>_xlfn.CONCAT(ElipseTabla!C26,",",ElipseTabla!D26)</f>
        <v>116.25,69.2525250869132</v>
      </c>
      <c r="B15" s="1" t="str">
        <f t="shared" si="0"/>
        <v>POINT 116.25,69.2525250869132</v>
      </c>
    </row>
    <row r="16" spans="1:2" x14ac:dyDescent="0.6">
      <c r="A16" s="1" t="str">
        <f>_xlfn.CONCAT(ElipseTabla!C27,",",ElipseTabla!D27)</f>
        <v>117.5,69.1304004720817</v>
      </c>
      <c r="B16" s="1" t="str">
        <f t="shared" si="0"/>
        <v>POINT 117.5,69.1304004720817</v>
      </c>
    </row>
    <row r="17" spans="1:2" x14ac:dyDescent="0.6">
      <c r="A17" s="1" t="str">
        <f>_xlfn.CONCAT(ElipseTabla!C28,",",ElipseTabla!D28)</f>
        <v>118.75,68.9983551919633</v>
      </c>
      <c r="B17" s="1" t="str">
        <f t="shared" si="0"/>
        <v>POINT 118.75,68.9983551919633</v>
      </c>
    </row>
    <row r="18" spans="1:2" x14ac:dyDescent="0.6">
      <c r="A18" s="1" t="str">
        <f>_xlfn.CONCAT(ElipseTabla!C29,",",ElipseTabla!D29)</f>
        <v>120,68.8561808316413</v>
      </c>
      <c r="B18" s="1" t="str">
        <f t="shared" si="0"/>
        <v>POINT 120,68.8561808316413</v>
      </c>
    </row>
    <row r="19" spans="1:2" x14ac:dyDescent="0.6">
      <c r="A19" s="1" t="str">
        <f>_xlfn.CONCAT(ElipseTabla!C30,",",ElipseTabla!D30)</f>
        <v>121.25,68.7036464062195</v>
      </c>
      <c r="B19" s="1" t="str">
        <f t="shared" si="0"/>
        <v>POINT 121.25,68.7036464062195</v>
      </c>
    </row>
    <row r="20" spans="1:2" x14ac:dyDescent="0.6">
      <c r="A20" s="1" t="str">
        <f>_xlfn.CONCAT(ElipseTabla!C31,",",ElipseTabla!D31)</f>
        <v>122.5,68.5404962177392</v>
      </c>
      <c r="B20" s="1" t="str">
        <f t="shared" si="0"/>
        <v>POINT 122.5,68.5404962177392</v>
      </c>
    </row>
    <row r="21" spans="1:2" x14ac:dyDescent="0.6">
      <c r="A21" s="1" t="str">
        <f>_xlfn.CONCAT(ElipseTabla!C32,",",ElipseTabla!D32)</f>
        <v>123.75,68.3664473671118</v>
      </c>
      <c r="B21" s="1" t="str">
        <f t="shared" si="0"/>
        <v>POINT 123.75,68.3664473671118</v>
      </c>
    </row>
    <row r="22" spans="1:2" x14ac:dyDescent="0.6">
      <c r="A22" s="1" t="str">
        <f>_xlfn.CONCAT(ElipseTabla!C33,",",ElipseTabla!D33)</f>
        <v>125,68.1811868577262</v>
      </c>
      <c r="B22" s="1" t="str">
        <f t="shared" si="0"/>
        <v>POINT 125,68.1811868577262</v>
      </c>
    </row>
    <row r="23" spans="1:2" x14ac:dyDescent="0.6">
      <c r="A23" s="1" t="str">
        <f>_xlfn.CONCAT(ElipseTabla!C34,",",ElipseTabla!D34)</f>
        <v>126.25,67.9843682124227</v>
      </c>
      <c r="B23" s="1" t="str">
        <f t="shared" si="0"/>
        <v>POINT 126.25,67.9843682124227</v>
      </c>
    </row>
    <row r="24" spans="1:2" x14ac:dyDescent="0.6">
      <c r="A24" s="1" t="str">
        <f>_xlfn.CONCAT(ElipseTabla!C35,",",ElipseTabla!D35)</f>
        <v>127.5,67.775607506418</v>
      </c>
      <c r="B24" s="1" t="str">
        <f t="shared" si="0"/>
        <v>POINT 127.5,67.775607506418</v>
      </c>
    </row>
    <row r="25" spans="1:2" x14ac:dyDescent="0.6">
      <c r="A25" s="1" t="str">
        <f>_xlfn.CONCAT(ElipseTabla!C36,",",ElipseTabla!D36)</f>
        <v>128.75,67.5544786941174</v>
      </c>
      <c r="B25" s="1" t="str">
        <f t="shared" si="0"/>
        <v>POINT 128.75,67.5544786941174</v>
      </c>
    </row>
    <row r="26" spans="1:2" x14ac:dyDescent="0.6">
      <c r="A26" s="1" t="str">
        <f>_xlfn.CONCAT(ElipseTabla!C37,",",ElipseTabla!D37)</f>
        <v>130,67.3205080756888</v>
      </c>
      <c r="B26" s="1" t="str">
        <f t="shared" si="0"/>
        <v>POINT 130,67.3205080756888</v>
      </c>
    </row>
    <row r="27" spans="1:2" x14ac:dyDescent="0.6">
      <c r="A27" s="1" t="str">
        <f>_xlfn.CONCAT(ElipseTabla!C38,",",ElipseTabla!D38)</f>
        <v>131.25,67.0731677071232</v>
      </c>
      <c r="B27" s="1" t="str">
        <f t="shared" si="0"/>
        <v>POINT 131.25,67.0731677071232</v>
      </c>
    </row>
    <row r="28" spans="1:2" x14ac:dyDescent="0.6">
      <c r="A28" s="1" t="str">
        <f>_xlfn.CONCAT(ElipseTabla!C39,",",ElipseTabla!D39)</f>
        <v>132.5,66.8118675015267</v>
      </c>
      <c r="B28" s="1" t="str">
        <f t="shared" si="0"/>
        <v>POINT 132.5,66.8118675015267</v>
      </c>
    </row>
    <row r="29" spans="1:2" x14ac:dyDescent="0.6">
      <c r="A29" s="1" t="str">
        <f>_xlfn.CONCAT(ElipseTabla!C40,",",ElipseTabla!D40)</f>
        <v>133.75,66.5359456941537</v>
      </c>
      <c r="B29" s="1" t="str">
        <f t="shared" si="0"/>
        <v>POINT 133.75,66.5359456941537</v>
      </c>
    </row>
    <row r="30" spans="1:2" x14ac:dyDescent="0.6">
      <c r="A30" s="1" t="str">
        <f>_xlfn.CONCAT(ElipseTabla!C41,",",ElipseTabla!D41)</f>
        <v>135,66.2446572413483</v>
      </c>
      <c r="B30" s="1" t="str">
        <f t="shared" si="0"/>
        <v>POINT 135,66.2446572413483</v>
      </c>
    </row>
    <row r="31" spans="1:2" x14ac:dyDescent="0.6">
      <c r="A31" s="1" t="str">
        <f>_xlfn.CONCAT(ElipseTabla!C42,",",ElipseTabla!D42)</f>
        <v>136.25,65.9371595824211</v>
      </c>
      <c r="B31" s="1" t="str">
        <f t="shared" si="0"/>
        <v>POINT 136.25,65.9371595824211</v>
      </c>
    </row>
    <row r="32" spans="1:2" x14ac:dyDescent="0.6">
      <c r="A32" s="1" t="str">
        <f>_xlfn.CONCAT(ElipseTabla!C43,",",ElipseTabla!D43)</f>
        <v>137.5,65.612494995996</v>
      </c>
      <c r="B32" s="1" t="str">
        <f t="shared" si="0"/>
        <v>POINT 137.5,65.612494995996</v>
      </c>
    </row>
    <row r="33" spans="1:2" x14ac:dyDescent="0.6">
      <c r="A33" s="1" t="str">
        <f>_xlfn.CONCAT(ElipseTabla!C44,",",ElipseTabla!D44)</f>
        <v>138.75,65.2695685015073</v>
      </c>
      <c r="B33" s="1" t="str">
        <f t="shared" si="0"/>
        <v>POINT 138.75,65.2695685015073</v>
      </c>
    </row>
    <row r="34" spans="1:2" x14ac:dyDescent="0.6">
      <c r="A34" s="1" t="str">
        <f>_xlfn.CONCAT(ElipseTabla!C45,",",ElipseTabla!D45)</f>
        <v>140,64.9071198499986</v>
      </c>
      <c r="B34" s="1" t="str">
        <f t="shared" si="0"/>
        <v>POINT 140,64.9071198499986</v>
      </c>
    </row>
    <row r="35" spans="1:2" x14ac:dyDescent="0.6">
      <c r="A35" s="1" t="str">
        <f>_xlfn.CONCAT(ElipseTabla!C46,",",ElipseTabla!D46)</f>
        <v>141.25,64.5236875482778</v>
      </c>
      <c r="B35" s="1" t="str">
        <f t="shared" si="0"/>
        <v>POINT 141.25,64.5236875482778</v>
      </c>
    </row>
    <row r="36" spans="1:2" x14ac:dyDescent="0.6">
      <c r="A36" s="1" t="str">
        <f>_xlfn.CONCAT(ElipseTabla!C47,",",ElipseTabla!D47)</f>
        <v>142.5,64.1175619550812</v>
      </c>
      <c r="B36" s="1" t="str">
        <f t="shared" si="0"/>
        <v>POINT 142.5,64.1175619550812</v>
      </c>
    </row>
    <row r="37" spans="1:2" x14ac:dyDescent="0.6">
      <c r="A37" s="1" t="str">
        <f>_xlfn.CONCAT(ElipseTabla!C48,",",ElipseTabla!D48)</f>
        <v>143.75,63.6867230880474</v>
      </c>
      <c r="B37" s="1" t="str">
        <f t="shared" si="0"/>
        <v>POINT 143.75,63.6867230880474</v>
      </c>
    </row>
    <row r="38" spans="1:2" x14ac:dyDescent="0.6">
      <c r="A38" s="1" t="str">
        <f>_xlfn.CONCAT(ElipseTabla!C49,",",ElipseTabla!D49)</f>
        <v>145,63.228756555323</v>
      </c>
      <c r="B38" s="1" t="str">
        <f t="shared" si="0"/>
        <v>POINT 145,63.228756555323</v>
      </c>
    </row>
    <row r="39" spans="1:2" x14ac:dyDescent="0.6">
      <c r="A39" s="1" t="str">
        <f>_xlfn.CONCAT(ElipseTabla!C50,",",ElipseTabla!D50)</f>
        <v>146.25,62.7407373761839</v>
      </c>
      <c r="B39" s="1" t="str">
        <f t="shared" si="0"/>
        <v>POINT 146.25,62.7407373761839</v>
      </c>
    </row>
    <row r="40" spans="1:2" x14ac:dyDescent="0.6">
      <c r="A40" s="1" t="str">
        <f>_xlfn.CONCAT(ElipseTabla!C51,",",ElipseTabla!D51)</f>
        <v>147.5,62.219065248846</v>
      </c>
      <c r="B40" s="1" t="str">
        <f t="shared" si="0"/>
        <v>POINT 147.5,62.219065248846</v>
      </c>
    </row>
    <row r="41" spans="1:2" x14ac:dyDescent="0.6">
      <c r="A41" s="1" t="str">
        <f>_xlfn.CONCAT(ElipseTabla!C52,",",ElipseTabla!D52)</f>
        <v>148.75,61.659223816361</v>
      </c>
      <c r="B41" s="1" t="str">
        <f t="shared" si="0"/>
        <v>POINT 148.75,61.659223816361</v>
      </c>
    </row>
    <row r="42" spans="1:2" x14ac:dyDescent="0.6">
      <c r="A42" s="1" t="str">
        <f>_xlfn.CONCAT(ElipseTabla!C53,",",ElipseTabla!D53)</f>
        <v>150,61.0554159678513</v>
      </c>
      <c r="B42" s="1" t="str">
        <f t="shared" si="0"/>
        <v>POINT 150,61.0554159678513</v>
      </c>
    </row>
    <row r="43" spans="1:2" x14ac:dyDescent="0.6">
      <c r="A43" s="1" t="str">
        <f>_xlfn.CONCAT(ElipseTabla!C54,",",ElipseTabla!D54)</f>
        <v>151.25,60.3999866452906</v>
      </c>
      <c r="B43" s="1" t="str">
        <f t="shared" si="0"/>
        <v>POINT 151.25,60.3999866452906</v>
      </c>
    </row>
    <row r="44" spans="1:2" x14ac:dyDescent="0.6">
      <c r="A44" s="1" t="str">
        <f>_xlfn.CONCAT(ElipseTabla!C55,",",ElipseTabla!D55)</f>
        <v>152.5,59.6824583655185</v>
      </c>
      <c r="B44" s="1" t="str">
        <f t="shared" si="0"/>
        <v>POINT 152.5,59.6824583655185</v>
      </c>
    </row>
    <row r="45" spans="1:2" x14ac:dyDescent="0.6">
      <c r="A45" s="1" t="str">
        <f>_xlfn.CONCAT(ElipseTabla!C56,",",ElipseTabla!D56)</f>
        <v>153.75,58.887803753209</v>
      </c>
      <c r="B45" s="1" t="str">
        <f t="shared" si="0"/>
        <v>POINT 153.75,58.887803753209</v>
      </c>
    </row>
    <row r="46" spans="1:2" x14ac:dyDescent="0.6">
      <c r="A46" s="1" t="str">
        <f>_xlfn.CONCAT(ElipseTabla!C57,",",ElipseTabla!D57)</f>
        <v>155,57.9930525388545</v>
      </c>
      <c r="B46" s="1" t="str">
        <f t="shared" si="0"/>
        <v>POINT 155,57.9930525388545</v>
      </c>
    </row>
    <row r="47" spans="1:2" x14ac:dyDescent="0.6">
      <c r="A47" s="1" t="str">
        <f>_xlfn.CONCAT(ElipseTabla!C58,",",ElipseTabla!D58)</f>
        <v>156.25,56.9597054535375</v>
      </c>
      <c r="B47" s="1" t="str">
        <f t="shared" si="0"/>
        <v>POINT 156.25,56.9597054535375</v>
      </c>
    </row>
    <row r="48" spans="1:2" x14ac:dyDescent="0.6">
      <c r="A48" s="1" t="str">
        <f>_xlfn.CONCAT(ElipseTabla!C59,",",ElipseTabla!D59)</f>
        <v>157.5,55.7130455003342</v>
      </c>
      <c r="B48" s="1" t="str">
        <f t="shared" si="0"/>
        <v>POINT 157.5,55.7130455003342</v>
      </c>
    </row>
    <row r="49" spans="1:2" x14ac:dyDescent="0.6">
      <c r="A49" s="1" t="str">
        <f>_xlfn.CONCAT(ElipseTabla!C60,",",ElipseTabla!D60)</f>
        <v>158.75,54.0611643103371</v>
      </c>
      <c r="B49" s="1" t="str">
        <f t="shared" si="0"/>
        <v>POINT 158.75,54.0611643103371</v>
      </c>
    </row>
    <row r="50" spans="1:2" x14ac:dyDescent="0.6">
      <c r="A50" s="1" t="str">
        <f>_xlfn.CONCAT(ElipseTabla!C61,",",ElipseTabla!D61)</f>
        <v>160,50</v>
      </c>
      <c r="B50" s="1" t="str">
        <f t="shared" si="0"/>
        <v>POINT 160,50</v>
      </c>
    </row>
    <row r="51" spans="1:2" x14ac:dyDescent="0.6">
      <c r="A51" s="1" t="str">
        <f>_xlfn.CONCAT(ElipseTabla!C62,",",ElipseTabla!D62)</f>
        <v>160,50</v>
      </c>
      <c r="B51" s="1" t="str">
        <f t="shared" si="0"/>
        <v>POINT 160,50</v>
      </c>
    </row>
    <row r="52" spans="1:2" x14ac:dyDescent="0.6">
      <c r="A52" s="1" t="str">
        <f>_xlfn.CONCAT(ElipseTabla!C63,",",ElipseTabla!D63)</f>
        <v>160,50</v>
      </c>
      <c r="B52" s="1" t="str">
        <f t="shared" si="0"/>
        <v>POINT 160,50</v>
      </c>
    </row>
    <row r="53" spans="1:2" x14ac:dyDescent="0.6">
      <c r="A53" s="1" t="str">
        <f>_xlfn.CONCAT(ElipseTabla!C64,",",ElipseTabla!D64)</f>
        <v>160,50</v>
      </c>
      <c r="B53" s="1" t="str">
        <f t="shared" si="0"/>
        <v>POINT 160,50</v>
      </c>
    </row>
    <row r="54" spans="1:2" x14ac:dyDescent="0.6">
      <c r="A54" s="1" t="str">
        <f>_xlfn.CONCAT(ElipseTabla!C65,",",ElipseTabla!D65)</f>
        <v>160,50</v>
      </c>
      <c r="B54" s="1" t="str">
        <f t="shared" si="0"/>
        <v>POINT 160,50</v>
      </c>
    </row>
    <row r="55" spans="1:2" x14ac:dyDescent="0.6">
      <c r="A55" s="1" t="str">
        <f>_xlfn.CONCAT(ElipseTabla!C66,",",ElipseTabla!D66)</f>
        <v>160,50</v>
      </c>
      <c r="B55" s="1" t="str">
        <f t="shared" si="0"/>
        <v>POINT 160,50</v>
      </c>
    </row>
    <row r="56" spans="1:2" x14ac:dyDescent="0.6">
      <c r="A56" s="1" t="str">
        <f>_xlfn.CONCAT(ElipseTabla!C67,",",ElipseTabla!D67)</f>
        <v>160,50</v>
      </c>
      <c r="B56" s="1" t="str">
        <f t="shared" si="0"/>
        <v>POINT 160,50</v>
      </c>
    </row>
    <row r="57" spans="1:2" x14ac:dyDescent="0.6">
      <c r="A57" s="1" t="str">
        <f>_xlfn.CONCAT(ElipseTabla!C68,",",ElipseTabla!D68)</f>
        <v>160,50</v>
      </c>
      <c r="B57" s="1" t="str">
        <f t="shared" si="0"/>
        <v>POINT 160,50</v>
      </c>
    </row>
    <row r="58" spans="1:2" x14ac:dyDescent="0.6">
      <c r="A58" s="1" t="str">
        <f>_xlfn.CONCAT(ElipseTabla!C69,",",ElipseTabla!D69)</f>
        <v>160,50</v>
      </c>
      <c r="B58" s="1" t="str">
        <f t="shared" si="0"/>
        <v>POINT 160,50</v>
      </c>
    </row>
    <row r="59" spans="1:2" x14ac:dyDescent="0.6">
      <c r="A59" s="1" t="str">
        <f>_xlfn.CONCAT(ElipseTabla!C70,",",ElipseTabla!D70)</f>
        <v>160,50</v>
      </c>
      <c r="B59" s="1" t="str">
        <f t="shared" si="0"/>
        <v>POINT 160,50</v>
      </c>
    </row>
    <row r="60" spans="1:2" x14ac:dyDescent="0.6">
      <c r="A60" s="1" t="str">
        <f>_xlfn.CONCAT(ElipseTabla!C71,",",ElipseTabla!D71)</f>
        <v>160,50</v>
      </c>
      <c r="B60" s="1" t="str">
        <f t="shared" si="0"/>
        <v>POINT 160,50</v>
      </c>
    </row>
    <row r="61" spans="1:2" x14ac:dyDescent="0.6">
      <c r="A61" s="1" t="str">
        <f>_xlfn.CONCAT(ElipseTabla!C72,",",ElipseTabla!D72)</f>
        <v>160,50</v>
      </c>
      <c r="B61" s="1" t="str">
        <f t="shared" si="0"/>
        <v>POINT 160,50</v>
      </c>
    </row>
    <row r="62" spans="1:2" x14ac:dyDescent="0.6">
      <c r="A62" s="1" t="str">
        <f>_xlfn.CONCAT(ElipseTabla!C73,",",ElipseTabla!D73)</f>
        <v>160,50</v>
      </c>
      <c r="B62" s="1" t="str">
        <f t="shared" si="0"/>
        <v>POINT 160,50</v>
      </c>
    </row>
    <row r="63" spans="1:2" x14ac:dyDescent="0.6">
      <c r="A63" s="1" t="str">
        <f>_xlfn.CONCAT(ElipseTabla!C74,",",ElipseTabla!D74)</f>
        <v>160,50</v>
      </c>
      <c r="B63" s="1" t="str">
        <f t="shared" si="0"/>
        <v>POINT 160,50</v>
      </c>
    </row>
    <row r="64" spans="1:2" x14ac:dyDescent="0.6">
      <c r="A64" s="1" t="str">
        <f>_xlfn.CONCAT(ElipseTabla!C75,",",ElipseTabla!D75)</f>
        <v>160,50</v>
      </c>
      <c r="B64" s="1" t="str">
        <f t="shared" si="0"/>
        <v>POINT 160,50</v>
      </c>
    </row>
    <row r="65" spans="1:2" x14ac:dyDescent="0.6">
      <c r="A65" s="1" t="str">
        <f>_xlfn.CONCAT(ElipseTabla!C76,",",ElipseTabla!D76)</f>
        <v>160,50</v>
      </c>
      <c r="B65" s="1" t="str">
        <f t="shared" si="0"/>
        <v>POINT 160,50</v>
      </c>
    </row>
    <row r="66" spans="1:2" x14ac:dyDescent="0.6">
      <c r="A66" s="1" t="str">
        <f>_xlfn.CONCAT(ElipseTabla!C77,",",ElipseTabla!D77)</f>
        <v>160,50</v>
      </c>
      <c r="B66" s="1" t="str">
        <f t="shared" si="0"/>
        <v>POINT 160,50</v>
      </c>
    </row>
    <row r="67" spans="1:2" x14ac:dyDescent="0.6">
      <c r="A67" s="1" t="str">
        <f>_xlfn.CONCAT(ElipseTabla!C78,",",ElipseTabla!D78)</f>
        <v>160,50</v>
      </c>
      <c r="B67" s="1" t="str">
        <f t="shared" ref="B67:B101" si="1">_xlfn.CONCAT("POINT ",A67)</f>
        <v>POINT 160,50</v>
      </c>
    </row>
    <row r="68" spans="1:2" x14ac:dyDescent="0.6">
      <c r="A68" s="1" t="str">
        <f>_xlfn.CONCAT(ElipseTabla!C79,",",ElipseTabla!D79)</f>
        <v>160,50</v>
      </c>
      <c r="B68" s="1" t="str">
        <f t="shared" si="1"/>
        <v>POINT 160,50</v>
      </c>
    </row>
    <row r="69" spans="1:2" x14ac:dyDescent="0.6">
      <c r="A69" s="1" t="str">
        <f>_xlfn.CONCAT(ElipseTabla!C80,",",ElipseTabla!D80)</f>
        <v>160,50</v>
      </c>
      <c r="B69" s="1" t="str">
        <f t="shared" si="1"/>
        <v>POINT 160,50</v>
      </c>
    </row>
    <row r="70" spans="1:2" x14ac:dyDescent="0.6">
      <c r="A70" s="1" t="str">
        <f>_xlfn.CONCAT(ElipseTabla!C81,",",ElipseTabla!D81)</f>
        <v>160,50</v>
      </c>
      <c r="B70" s="1" t="str">
        <f t="shared" si="1"/>
        <v>POINT 160,50</v>
      </c>
    </row>
    <row r="71" spans="1:2" x14ac:dyDescent="0.6">
      <c r="A71" s="1" t="str">
        <f>_xlfn.CONCAT(ElipseTabla!C82,",",ElipseTabla!D82)</f>
        <v>160,50</v>
      </c>
      <c r="B71" s="1" t="str">
        <f t="shared" si="1"/>
        <v>POINT 160,50</v>
      </c>
    </row>
    <row r="72" spans="1:2" x14ac:dyDescent="0.6">
      <c r="A72" s="1" t="str">
        <f>_xlfn.CONCAT(ElipseTabla!C83,",",ElipseTabla!D83)</f>
        <v>160,50</v>
      </c>
      <c r="B72" s="1" t="str">
        <f t="shared" si="1"/>
        <v>POINT 160,50</v>
      </c>
    </row>
    <row r="73" spans="1:2" x14ac:dyDescent="0.6">
      <c r="A73" s="1" t="str">
        <f>_xlfn.CONCAT(ElipseTabla!C84,",",ElipseTabla!D84)</f>
        <v>160,50</v>
      </c>
      <c r="B73" s="1" t="str">
        <f t="shared" si="1"/>
        <v>POINT 160,50</v>
      </c>
    </row>
    <row r="74" spans="1:2" x14ac:dyDescent="0.6">
      <c r="A74" s="1" t="str">
        <f>_xlfn.CONCAT(ElipseTabla!C85,",",ElipseTabla!D85)</f>
        <v>160,50</v>
      </c>
      <c r="B74" s="1" t="str">
        <f t="shared" si="1"/>
        <v>POINT 160,50</v>
      </c>
    </row>
    <row r="75" spans="1:2" x14ac:dyDescent="0.6">
      <c r="A75" s="1" t="str">
        <f>_xlfn.CONCAT(ElipseTabla!C86,",",ElipseTabla!D86)</f>
        <v>160,50</v>
      </c>
      <c r="B75" s="1" t="str">
        <f t="shared" si="1"/>
        <v>POINT 160,50</v>
      </c>
    </row>
    <row r="76" spans="1:2" x14ac:dyDescent="0.6">
      <c r="A76" s="1" t="str">
        <f>_xlfn.CONCAT(ElipseTabla!C87,",",ElipseTabla!D87)</f>
        <v>160,50</v>
      </c>
      <c r="B76" s="1" t="str">
        <f t="shared" si="1"/>
        <v>POINT 160,50</v>
      </c>
    </row>
    <row r="77" spans="1:2" x14ac:dyDescent="0.6">
      <c r="A77" s="1" t="str">
        <f>_xlfn.CONCAT(ElipseTabla!C88,",",ElipseTabla!D88)</f>
        <v>160,50</v>
      </c>
      <c r="B77" s="1" t="str">
        <f t="shared" si="1"/>
        <v>POINT 160,50</v>
      </c>
    </row>
    <row r="78" spans="1:2" x14ac:dyDescent="0.6">
      <c r="A78" s="1" t="str">
        <f>_xlfn.CONCAT(ElipseTabla!C89,",",ElipseTabla!D89)</f>
        <v>160,50</v>
      </c>
      <c r="B78" s="1" t="str">
        <f t="shared" si="1"/>
        <v>POINT 160,50</v>
      </c>
    </row>
    <row r="79" spans="1:2" x14ac:dyDescent="0.6">
      <c r="A79" s="1" t="str">
        <f>_xlfn.CONCAT(ElipseTabla!C90,",",ElipseTabla!D90)</f>
        <v>160,50</v>
      </c>
      <c r="B79" s="1" t="str">
        <f t="shared" si="1"/>
        <v>POINT 160,50</v>
      </c>
    </row>
    <row r="80" spans="1:2" x14ac:dyDescent="0.6">
      <c r="A80" s="1" t="str">
        <f>_xlfn.CONCAT(ElipseTabla!C91,",",ElipseTabla!D91)</f>
        <v>160,50</v>
      </c>
      <c r="B80" s="1" t="str">
        <f t="shared" si="1"/>
        <v>POINT 160,50</v>
      </c>
    </row>
    <row r="81" spans="1:2" x14ac:dyDescent="0.6">
      <c r="A81" s="1" t="str">
        <f>_xlfn.CONCAT(ElipseTabla!C92,",",ElipseTabla!D92)</f>
        <v>160,50</v>
      </c>
      <c r="B81" s="1" t="str">
        <f t="shared" si="1"/>
        <v>POINT 160,50</v>
      </c>
    </row>
    <row r="82" spans="1:2" x14ac:dyDescent="0.6">
      <c r="A82" s="1" t="str">
        <f>_xlfn.CONCAT(ElipseTabla!C93,",",ElipseTabla!D93)</f>
        <v>160,50</v>
      </c>
      <c r="B82" s="1" t="str">
        <f t="shared" si="1"/>
        <v>POINT 160,50</v>
      </c>
    </row>
    <row r="83" spans="1:2" x14ac:dyDescent="0.6">
      <c r="A83" s="1" t="str">
        <f>_xlfn.CONCAT(ElipseTabla!C94,",",ElipseTabla!D94)</f>
        <v>160,50</v>
      </c>
      <c r="B83" s="1" t="str">
        <f t="shared" si="1"/>
        <v>POINT 160,50</v>
      </c>
    </row>
    <row r="84" spans="1:2" x14ac:dyDescent="0.6">
      <c r="A84" s="1" t="str">
        <f>_xlfn.CONCAT(ElipseTabla!C95,",",ElipseTabla!D95)</f>
        <v>160,50</v>
      </c>
      <c r="B84" s="1" t="str">
        <f t="shared" si="1"/>
        <v>POINT 160,50</v>
      </c>
    </row>
    <row r="85" spans="1:2" x14ac:dyDescent="0.6">
      <c r="A85" s="1" t="str">
        <f>_xlfn.CONCAT(ElipseTabla!C96,",",ElipseTabla!D96)</f>
        <v>160,50</v>
      </c>
      <c r="B85" s="1" t="str">
        <f t="shared" si="1"/>
        <v>POINT 160,50</v>
      </c>
    </row>
    <row r="86" spans="1:2" x14ac:dyDescent="0.6">
      <c r="A86" s="1" t="str">
        <f>_xlfn.CONCAT(ElipseTabla!C97,",",ElipseTabla!D97)</f>
        <v>160,50</v>
      </c>
      <c r="B86" s="1" t="str">
        <f t="shared" si="1"/>
        <v>POINT 160,50</v>
      </c>
    </row>
    <row r="87" spans="1:2" x14ac:dyDescent="0.6">
      <c r="A87" s="1" t="str">
        <f>_xlfn.CONCAT(ElipseTabla!C98,",",ElipseTabla!D98)</f>
        <v>160,50</v>
      </c>
      <c r="B87" s="1" t="str">
        <f t="shared" si="1"/>
        <v>POINT 160,50</v>
      </c>
    </row>
    <row r="88" spans="1:2" x14ac:dyDescent="0.6">
      <c r="A88" s="1" t="str">
        <f>_xlfn.CONCAT(ElipseTabla!C99,",",ElipseTabla!D99)</f>
        <v>160,50</v>
      </c>
      <c r="B88" s="1" t="str">
        <f t="shared" si="1"/>
        <v>POINT 160,50</v>
      </c>
    </row>
    <row r="89" spans="1:2" x14ac:dyDescent="0.6">
      <c r="A89" s="1" t="str">
        <f>_xlfn.CONCAT(ElipseTabla!C100,",",ElipseTabla!D100)</f>
        <v>160,50</v>
      </c>
      <c r="B89" s="1" t="str">
        <f t="shared" si="1"/>
        <v>POINT 160,50</v>
      </c>
    </row>
    <row r="90" spans="1:2" x14ac:dyDescent="0.6">
      <c r="A90" s="1" t="str">
        <f>_xlfn.CONCAT(ElipseTabla!C101,",",ElipseTabla!D101)</f>
        <v>160,50</v>
      </c>
      <c r="B90" s="1" t="str">
        <f t="shared" si="1"/>
        <v>POINT 160,50</v>
      </c>
    </row>
    <row r="91" spans="1:2" x14ac:dyDescent="0.6">
      <c r="A91" s="1" t="str">
        <f>_xlfn.CONCAT(ElipseTabla!C102,",",ElipseTabla!D102)</f>
        <v>160,50</v>
      </c>
      <c r="B91" s="1" t="str">
        <f t="shared" si="1"/>
        <v>POINT 160,50</v>
      </c>
    </row>
    <row r="92" spans="1:2" x14ac:dyDescent="0.6">
      <c r="A92" s="1" t="str">
        <f>_xlfn.CONCAT(ElipseTabla!C103,",",ElipseTabla!D103)</f>
        <v>160,50</v>
      </c>
      <c r="B92" s="1" t="str">
        <f t="shared" si="1"/>
        <v>POINT 160,50</v>
      </c>
    </row>
    <row r="93" spans="1:2" x14ac:dyDescent="0.6">
      <c r="A93" s="1" t="str">
        <f>_xlfn.CONCAT(ElipseTabla!C104,",",ElipseTabla!D104)</f>
        <v>160,50</v>
      </c>
      <c r="B93" s="1" t="str">
        <f t="shared" si="1"/>
        <v>POINT 160,50</v>
      </c>
    </row>
    <row r="94" spans="1:2" x14ac:dyDescent="0.6">
      <c r="A94" s="1" t="str">
        <f>_xlfn.CONCAT(ElipseTabla!C105,",",ElipseTabla!D105)</f>
        <v>160,50</v>
      </c>
      <c r="B94" s="1" t="str">
        <f t="shared" si="1"/>
        <v>POINT 160,50</v>
      </c>
    </row>
    <row r="95" spans="1:2" x14ac:dyDescent="0.6">
      <c r="A95" s="1" t="str">
        <f>_xlfn.CONCAT(ElipseTabla!C106,",",ElipseTabla!D106)</f>
        <v>160,50</v>
      </c>
      <c r="B95" s="1" t="str">
        <f t="shared" si="1"/>
        <v>POINT 160,50</v>
      </c>
    </row>
    <row r="96" spans="1:2" x14ac:dyDescent="0.6">
      <c r="A96" s="1" t="str">
        <f>_xlfn.CONCAT(ElipseTabla!C107,",",ElipseTabla!D107)</f>
        <v>160,50</v>
      </c>
      <c r="B96" s="1" t="str">
        <f t="shared" si="1"/>
        <v>POINT 160,50</v>
      </c>
    </row>
    <row r="97" spans="1:2" x14ac:dyDescent="0.6">
      <c r="A97" s="1" t="str">
        <f>_xlfn.CONCAT(ElipseTabla!C108,",",ElipseTabla!D108)</f>
        <v>160,50</v>
      </c>
      <c r="B97" s="1" t="str">
        <f t="shared" si="1"/>
        <v>POINT 160,50</v>
      </c>
    </row>
    <row r="98" spans="1:2" x14ac:dyDescent="0.6">
      <c r="A98" s="1" t="str">
        <f>_xlfn.CONCAT(ElipseTabla!C109,",",ElipseTabla!D109)</f>
        <v>160,50</v>
      </c>
      <c r="B98" s="1" t="str">
        <f t="shared" si="1"/>
        <v>POINT 160,50</v>
      </c>
    </row>
    <row r="99" spans="1:2" x14ac:dyDescent="0.6">
      <c r="A99" s="1" t="str">
        <f>_xlfn.CONCAT(ElipseTabla!C110,",",ElipseTabla!D110)</f>
        <v>160,50</v>
      </c>
      <c r="B99" s="1" t="str">
        <f t="shared" si="1"/>
        <v>POINT 160,50</v>
      </c>
    </row>
    <row r="100" spans="1:2" x14ac:dyDescent="0.6">
      <c r="A100" s="1" t="str">
        <f>_xlfn.CONCAT(ElipseTabla!C111,",",ElipseTabla!D111)</f>
        <v>160,50</v>
      </c>
      <c r="B100" s="1" t="str">
        <f t="shared" si="1"/>
        <v>POINT 160,50</v>
      </c>
    </row>
    <row r="101" spans="1:2" x14ac:dyDescent="0.6">
      <c r="A101" s="1" t="str">
        <f>_xlfn.CONCAT(ElipseTabla!C112,",",ElipseTabla!D112)</f>
        <v>160,50</v>
      </c>
      <c r="B101" s="1" t="str">
        <f t="shared" si="1"/>
        <v>POINT 160,50</v>
      </c>
    </row>
    <row r="103" spans="1:2" x14ac:dyDescent="0.6">
      <c r="A103" s="1" t="s">
        <v>17</v>
      </c>
    </row>
    <row r="104" spans="1:2" x14ac:dyDescent="0.6">
      <c r="A104" s="1" t="str">
        <f>_xlfn.CONCAT(ElipseTabla!$C13,",",ElipseTabla!E13)</f>
        <v>100,30</v>
      </c>
      <c r="B104" s="1" t="str">
        <f t="shared" ref="B104:B167" si="2">_xlfn.CONCAT("POINT ",A104)</f>
        <v>POINT 100,30</v>
      </c>
    </row>
    <row r="105" spans="1:2" x14ac:dyDescent="0.6">
      <c r="A105" s="1" t="str">
        <f>_xlfn.CONCAT(ElipseTabla!$C14,",",ElipseTabla!E14)</f>
        <v>101.25,30.0043407488303</v>
      </c>
      <c r="B105" s="1" t="str">
        <f t="shared" si="2"/>
        <v>POINT 101.25,30.0043407488303</v>
      </c>
    </row>
    <row r="106" spans="1:2" x14ac:dyDescent="0.6">
      <c r="A106" s="1" t="str">
        <f>_xlfn.CONCAT(ElipseTabla!$C15,",",ElipseTabla!E15)</f>
        <v>102.5,30.0173686528637</v>
      </c>
      <c r="B106" s="1" t="str">
        <f t="shared" si="2"/>
        <v>POINT 102.5,30.0173686528637</v>
      </c>
    </row>
    <row r="107" spans="1:2" x14ac:dyDescent="0.6">
      <c r="A107" s="1" t="str">
        <f>_xlfn.CONCAT(ElipseTabla!$C16,",",ElipseTabla!E16)</f>
        <v>103.75,30.0391007216609</v>
      </c>
      <c r="B107" s="1" t="str">
        <f t="shared" si="2"/>
        <v>POINT 103.75,30.0391007216609</v>
      </c>
    </row>
    <row r="108" spans="1:2" x14ac:dyDescent="0.6">
      <c r="A108" s="1" t="str">
        <f>_xlfn.CONCAT(ElipseTabla!$C17,",",ElipseTabla!E17)</f>
        <v>105,30.0695654281643</v>
      </c>
      <c r="B108" s="1" t="str">
        <f t="shared" si="2"/>
        <v>POINT 105,30.0695654281643</v>
      </c>
    </row>
    <row r="109" spans="1:2" x14ac:dyDescent="0.6">
      <c r="A109" s="1" t="str">
        <f>_xlfn.CONCAT(ElipseTabla!$C18,",",ElipseTabla!E18)</f>
        <v>106.25,30.1088028962</v>
      </c>
      <c r="B109" s="1" t="str">
        <f t="shared" si="2"/>
        <v>POINT 106.25,30.1088028962</v>
      </c>
    </row>
    <row r="110" spans="1:2" x14ac:dyDescent="0.6">
      <c r="A110" s="1" t="str">
        <f>_xlfn.CONCAT(ElipseTabla!$C19,",",ElipseTabla!E19)</f>
        <v>107.5,30.1568651670156</v>
      </c>
      <c r="B110" s="1" t="str">
        <f t="shared" si="2"/>
        <v>POINT 107.5,30.1568651670156</v>
      </c>
    </row>
    <row r="111" spans="1:2" x14ac:dyDescent="0.6">
      <c r="A111" s="1" t="str">
        <f>_xlfn.CONCAT(ElipseTabla!$C20,",",ElipseTabla!E20)</f>
        <v>108.75,30.2138165490271</v>
      </c>
      <c r="B111" s="1" t="str">
        <f t="shared" si="2"/>
        <v>POINT 108.75,30.2138165490271</v>
      </c>
    </row>
    <row r="112" spans="1:2" x14ac:dyDescent="0.6">
      <c r="A112" s="1" t="str">
        <f>_xlfn.CONCAT(ElipseTabla!$C21,",",ElipseTabla!E21)</f>
        <v>110,30.2797340563346</v>
      </c>
      <c r="B112" s="1" t="str">
        <f t="shared" si="2"/>
        <v>POINT 110,30.2797340563346</v>
      </c>
    </row>
    <row r="113" spans="1:2" x14ac:dyDescent="0.6">
      <c r="A113" s="1" t="str">
        <f>_xlfn.CONCAT(ElipseTabla!$C22,",",ElipseTabla!E22)</f>
        <v>111.25,30.3547079431229</v>
      </c>
      <c r="B113" s="1" t="str">
        <f t="shared" si="2"/>
        <v>POINT 111.25,30.3547079431229</v>
      </c>
    </row>
    <row r="114" spans="1:2" x14ac:dyDescent="0.6">
      <c r="A114" s="1" t="str">
        <f>_xlfn.CONCAT(ElipseTabla!$C23,",",ElipseTabla!E23)</f>
        <v>112.5,30.4388423428242</v>
      </c>
      <c r="B114" s="1" t="str">
        <f t="shared" si="2"/>
        <v>POINT 112.5,30.4388423428242</v>
      </c>
    </row>
    <row r="115" spans="1:2" x14ac:dyDescent="0.6">
      <c r="A115" s="1" t="str">
        <f>_xlfn.CONCAT(ElipseTabla!$C24,",",ElipseTabla!E24)</f>
        <v>113.75,30.5322560229606</v>
      </c>
      <c r="B115" s="1" t="str">
        <f t="shared" si="2"/>
        <v>POINT 113.75,30.5322560229606</v>
      </c>
    </row>
    <row r="116" spans="1:2" x14ac:dyDescent="0.6">
      <c r="A116" s="1" t="str">
        <f>_xlfn.CONCAT(ElipseTabla!$C25,",",ElipseTabla!E25)</f>
        <v>115,30.6350832689629</v>
      </c>
      <c r="B116" s="1" t="str">
        <f t="shared" si="2"/>
        <v>POINT 115,30.6350832689629</v>
      </c>
    </row>
    <row r="117" spans="1:2" x14ac:dyDescent="0.6">
      <c r="A117" s="1" t="str">
        <f>_xlfn.CONCAT(ElipseTabla!$C26,",",ElipseTabla!E26)</f>
        <v>116.25,30.7474749130868</v>
      </c>
      <c r="B117" s="1" t="str">
        <f t="shared" si="2"/>
        <v>POINT 116.25,30.7474749130868</v>
      </c>
    </row>
    <row r="118" spans="1:2" x14ac:dyDescent="0.6">
      <c r="A118" s="1" t="str">
        <f>_xlfn.CONCAT(ElipseTabla!$C27,",",ElipseTabla!E27)</f>
        <v>117.5,30.8695995279183</v>
      </c>
      <c r="B118" s="1" t="str">
        <f t="shared" si="2"/>
        <v>POINT 117.5,30.8695995279183</v>
      </c>
    </row>
    <row r="119" spans="1:2" x14ac:dyDescent="0.6">
      <c r="A119" s="1" t="str">
        <f>_xlfn.CONCAT(ElipseTabla!$C28,",",ElipseTabla!E28)</f>
        <v>118.75,31.0016448080367</v>
      </c>
      <c r="B119" s="1" t="str">
        <f t="shared" si="2"/>
        <v>POINT 118.75,31.0016448080367</v>
      </c>
    </row>
    <row r="120" spans="1:2" x14ac:dyDescent="0.6">
      <c r="A120" s="1" t="str">
        <f>_xlfn.CONCAT(ElipseTabla!$C29,",",ElipseTabla!E29)</f>
        <v>120,31.1438191683587</v>
      </c>
      <c r="B120" s="1" t="str">
        <f t="shared" si="2"/>
        <v>POINT 120,31.1438191683587</v>
      </c>
    </row>
    <row r="121" spans="1:2" x14ac:dyDescent="0.6">
      <c r="A121" s="1" t="str">
        <f>_xlfn.CONCAT(ElipseTabla!$C30,",",ElipseTabla!E30)</f>
        <v>121.25,31.2963535937805</v>
      </c>
      <c r="B121" s="1" t="str">
        <f t="shared" si="2"/>
        <v>POINT 121.25,31.2963535937805</v>
      </c>
    </row>
    <row r="122" spans="1:2" x14ac:dyDescent="0.6">
      <c r="A122" s="1" t="str">
        <f>_xlfn.CONCAT(ElipseTabla!$C31,",",ElipseTabla!E31)</f>
        <v>122.5,31.4595037822608</v>
      </c>
      <c r="B122" s="1" t="str">
        <f t="shared" si="2"/>
        <v>POINT 122.5,31.4595037822608</v>
      </c>
    </row>
    <row r="123" spans="1:2" x14ac:dyDescent="0.6">
      <c r="A123" s="1" t="str">
        <f>_xlfn.CONCAT(ElipseTabla!$C32,",",ElipseTabla!E32)</f>
        <v>123.75,31.6335526328882</v>
      </c>
      <c r="B123" s="1" t="str">
        <f t="shared" si="2"/>
        <v>POINT 123.75,31.6335526328882</v>
      </c>
    </row>
    <row r="124" spans="1:2" x14ac:dyDescent="0.6">
      <c r="A124" s="1" t="str">
        <f>_xlfn.CONCAT(ElipseTabla!$C33,",",ElipseTabla!E33)</f>
        <v>125,31.8188131422738</v>
      </c>
      <c r="B124" s="1" t="str">
        <f t="shared" si="2"/>
        <v>POINT 125,31.8188131422738</v>
      </c>
    </row>
    <row r="125" spans="1:2" x14ac:dyDescent="0.6">
      <c r="A125" s="1" t="str">
        <f>_xlfn.CONCAT(ElipseTabla!$C34,",",ElipseTabla!E34)</f>
        <v>126.25,32.0156317875773</v>
      </c>
      <c r="B125" s="1" t="str">
        <f t="shared" si="2"/>
        <v>POINT 126.25,32.0156317875773</v>
      </c>
    </row>
    <row r="126" spans="1:2" x14ac:dyDescent="0.6">
      <c r="A126" s="1" t="str">
        <f>_xlfn.CONCAT(ElipseTabla!$C35,",",ElipseTabla!E35)</f>
        <v>127.5,32.224392493582</v>
      </c>
      <c r="B126" s="1" t="str">
        <f t="shared" si="2"/>
        <v>POINT 127.5,32.224392493582</v>
      </c>
    </row>
    <row r="127" spans="1:2" x14ac:dyDescent="0.6">
      <c r="A127" s="1" t="str">
        <f>_xlfn.CONCAT(ElipseTabla!$C36,",",ElipseTabla!E36)</f>
        <v>128.75,32.4455213058826</v>
      </c>
      <c r="B127" s="1" t="str">
        <f t="shared" si="2"/>
        <v>POINT 128.75,32.4455213058826</v>
      </c>
    </row>
    <row r="128" spans="1:2" x14ac:dyDescent="0.6">
      <c r="A128" s="1" t="str">
        <f>_xlfn.CONCAT(ElipseTabla!$C37,",",ElipseTabla!E37)</f>
        <v>130,32.6794919243112</v>
      </c>
      <c r="B128" s="1" t="str">
        <f t="shared" si="2"/>
        <v>POINT 130,32.6794919243112</v>
      </c>
    </row>
    <row r="129" spans="1:2" x14ac:dyDescent="0.6">
      <c r="A129" s="1" t="str">
        <f>_xlfn.CONCAT(ElipseTabla!$C38,",",ElipseTabla!E38)</f>
        <v>131.25,32.9268322928768</v>
      </c>
      <c r="B129" s="1" t="str">
        <f t="shared" si="2"/>
        <v>POINT 131.25,32.9268322928768</v>
      </c>
    </row>
    <row r="130" spans="1:2" x14ac:dyDescent="0.6">
      <c r="A130" s="1" t="str">
        <f>_xlfn.CONCAT(ElipseTabla!$C39,",",ElipseTabla!E39)</f>
        <v>132.5,33.1881324984733</v>
      </c>
      <c r="B130" s="1" t="str">
        <f t="shared" si="2"/>
        <v>POINT 132.5,33.1881324984733</v>
      </c>
    </row>
    <row r="131" spans="1:2" x14ac:dyDescent="0.6">
      <c r="A131" s="1" t="str">
        <f>_xlfn.CONCAT(ElipseTabla!$C40,",",ElipseTabla!E40)</f>
        <v>133.75,33.4640543058463</v>
      </c>
      <c r="B131" s="1" t="str">
        <f t="shared" si="2"/>
        <v>POINT 133.75,33.4640543058463</v>
      </c>
    </row>
    <row r="132" spans="1:2" x14ac:dyDescent="0.6">
      <c r="A132" s="1" t="str">
        <f>_xlfn.CONCAT(ElipseTabla!$C41,",",ElipseTabla!E41)</f>
        <v>135,33.7553427586517</v>
      </c>
      <c r="B132" s="1" t="str">
        <f t="shared" si="2"/>
        <v>POINT 135,33.7553427586517</v>
      </c>
    </row>
    <row r="133" spans="1:2" x14ac:dyDescent="0.6">
      <c r="A133" s="1" t="str">
        <f>_xlfn.CONCAT(ElipseTabla!$C42,",",ElipseTabla!E42)</f>
        <v>136.25,34.0628404175789</v>
      </c>
      <c r="B133" s="1" t="str">
        <f t="shared" si="2"/>
        <v>POINT 136.25,34.0628404175789</v>
      </c>
    </row>
    <row r="134" spans="1:2" x14ac:dyDescent="0.6">
      <c r="A134" s="1" t="str">
        <f>_xlfn.CONCAT(ElipseTabla!$C43,",",ElipseTabla!E43)</f>
        <v>137.5,34.387505004004</v>
      </c>
      <c r="B134" s="1" t="str">
        <f t="shared" si="2"/>
        <v>POINT 137.5,34.387505004004</v>
      </c>
    </row>
    <row r="135" spans="1:2" x14ac:dyDescent="0.6">
      <c r="A135" s="1" t="str">
        <f>_xlfn.CONCAT(ElipseTabla!$C44,",",ElipseTabla!E44)</f>
        <v>138.75,34.7304314984927</v>
      </c>
      <c r="B135" s="1" t="str">
        <f t="shared" si="2"/>
        <v>POINT 138.75,34.7304314984927</v>
      </c>
    </row>
    <row r="136" spans="1:2" x14ac:dyDescent="0.6">
      <c r="A136" s="1" t="str">
        <f>_xlfn.CONCAT(ElipseTabla!$C45,",",ElipseTabla!E45)</f>
        <v>140,35.0928801500014</v>
      </c>
      <c r="B136" s="1" t="str">
        <f t="shared" si="2"/>
        <v>POINT 140,35.0928801500014</v>
      </c>
    </row>
    <row r="137" spans="1:2" x14ac:dyDescent="0.6">
      <c r="A137" s="1" t="str">
        <f>_xlfn.CONCAT(ElipseTabla!$C46,",",ElipseTabla!E46)</f>
        <v>141.25,35.4763124517222</v>
      </c>
      <c r="B137" s="1" t="str">
        <f t="shared" si="2"/>
        <v>POINT 141.25,35.4763124517222</v>
      </c>
    </row>
    <row r="138" spans="1:2" x14ac:dyDescent="0.6">
      <c r="A138" s="1" t="str">
        <f>_xlfn.CONCAT(ElipseTabla!$C47,",",ElipseTabla!E47)</f>
        <v>142.5,35.8824380449188</v>
      </c>
      <c r="B138" s="1" t="str">
        <f t="shared" si="2"/>
        <v>POINT 142.5,35.8824380449188</v>
      </c>
    </row>
    <row r="139" spans="1:2" x14ac:dyDescent="0.6">
      <c r="A139" s="1" t="str">
        <f>_xlfn.CONCAT(ElipseTabla!$C48,",",ElipseTabla!E48)</f>
        <v>143.75,36.3132769119526</v>
      </c>
      <c r="B139" s="1" t="str">
        <f t="shared" si="2"/>
        <v>POINT 143.75,36.3132769119526</v>
      </c>
    </row>
    <row r="140" spans="1:2" x14ac:dyDescent="0.6">
      <c r="A140" s="1" t="str">
        <f>_xlfn.CONCAT(ElipseTabla!$C49,",",ElipseTabla!E49)</f>
        <v>145,36.771243444677</v>
      </c>
      <c r="B140" s="1" t="str">
        <f t="shared" si="2"/>
        <v>POINT 145,36.771243444677</v>
      </c>
    </row>
    <row r="141" spans="1:2" x14ac:dyDescent="0.6">
      <c r="A141" s="1" t="str">
        <f>_xlfn.CONCAT(ElipseTabla!$C50,",",ElipseTabla!E50)</f>
        <v>146.25,37.2592626238161</v>
      </c>
      <c r="B141" s="1" t="str">
        <f t="shared" si="2"/>
        <v>POINT 146.25,37.2592626238161</v>
      </c>
    </row>
    <row r="142" spans="1:2" x14ac:dyDescent="0.6">
      <c r="A142" s="1" t="str">
        <f>_xlfn.CONCAT(ElipseTabla!$C51,",",ElipseTabla!E51)</f>
        <v>147.5,37.780934751154</v>
      </c>
      <c r="B142" s="1" t="str">
        <f t="shared" si="2"/>
        <v>POINT 147.5,37.780934751154</v>
      </c>
    </row>
    <row r="143" spans="1:2" x14ac:dyDescent="0.6">
      <c r="A143" s="1" t="str">
        <f>_xlfn.CONCAT(ElipseTabla!$C52,",",ElipseTabla!E52)</f>
        <v>148.75,38.340776183639</v>
      </c>
      <c r="B143" s="1" t="str">
        <f t="shared" si="2"/>
        <v>POINT 148.75,38.340776183639</v>
      </c>
    </row>
    <row r="144" spans="1:2" x14ac:dyDescent="0.6">
      <c r="A144" s="1" t="str">
        <f>_xlfn.CONCAT(ElipseTabla!$C53,",",ElipseTabla!E53)</f>
        <v>150,38.9445840321487</v>
      </c>
      <c r="B144" s="1" t="str">
        <f t="shared" si="2"/>
        <v>POINT 150,38.9445840321487</v>
      </c>
    </row>
    <row r="145" spans="1:2" x14ac:dyDescent="0.6">
      <c r="A145" s="1" t="str">
        <f>_xlfn.CONCAT(ElipseTabla!$C54,",",ElipseTabla!E54)</f>
        <v>151.25,39.6000133547094</v>
      </c>
      <c r="B145" s="1" t="str">
        <f t="shared" si="2"/>
        <v>POINT 151.25,39.6000133547094</v>
      </c>
    </row>
    <row r="146" spans="1:2" x14ac:dyDescent="0.6">
      <c r="A146" s="1" t="str">
        <f>_xlfn.CONCAT(ElipseTabla!$C55,",",ElipseTabla!E55)</f>
        <v>152.5,40.3175416344815</v>
      </c>
      <c r="B146" s="1" t="str">
        <f t="shared" si="2"/>
        <v>POINT 152.5,40.3175416344815</v>
      </c>
    </row>
    <row r="147" spans="1:2" x14ac:dyDescent="0.6">
      <c r="A147" s="1" t="str">
        <f>_xlfn.CONCAT(ElipseTabla!$C56,",",ElipseTabla!E56)</f>
        <v>153.75,41.112196246791</v>
      </c>
      <c r="B147" s="1" t="str">
        <f t="shared" si="2"/>
        <v>POINT 153.75,41.112196246791</v>
      </c>
    </row>
    <row r="148" spans="1:2" x14ac:dyDescent="0.6">
      <c r="A148" s="1" t="str">
        <f>_xlfn.CONCAT(ElipseTabla!$C57,",",ElipseTabla!E57)</f>
        <v>155,42.0069474611455</v>
      </c>
      <c r="B148" s="1" t="str">
        <f t="shared" si="2"/>
        <v>POINT 155,42.0069474611455</v>
      </c>
    </row>
    <row r="149" spans="1:2" x14ac:dyDescent="0.6">
      <c r="A149" s="1" t="str">
        <f>_xlfn.CONCAT(ElipseTabla!$C58,",",ElipseTabla!E58)</f>
        <v>156.25,43.0402945464625</v>
      </c>
      <c r="B149" s="1" t="str">
        <f t="shared" si="2"/>
        <v>POINT 156.25,43.0402945464625</v>
      </c>
    </row>
    <row r="150" spans="1:2" x14ac:dyDescent="0.6">
      <c r="A150" s="1" t="str">
        <f>_xlfn.CONCAT(ElipseTabla!$C59,",",ElipseTabla!E59)</f>
        <v>157.5,44.2869544996658</v>
      </c>
      <c r="B150" s="1" t="str">
        <f t="shared" si="2"/>
        <v>POINT 157.5,44.2869544996658</v>
      </c>
    </row>
    <row r="151" spans="1:2" x14ac:dyDescent="0.6">
      <c r="A151" s="1" t="str">
        <f>_xlfn.CONCAT(ElipseTabla!$C60,",",ElipseTabla!E60)</f>
        <v>158.75,45.9388356896629</v>
      </c>
      <c r="B151" s="1" t="str">
        <f t="shared" si="2"/>
        <v>POINT 158.75,45.9388356896629</v>
      </c>
    </row>
    <row r="152" spans="1:2" x14ac:dyDescent="0.6">
      <c r="A152" s="1" t="str">
        <f>_xlfn.CONCAT(ElipseTabla!$C61,",",ElipseTabla!E61)</f>
        <v>160,50</v>
      </c>
      <c r="B152" s="1" t="str">
        <f t="shared" si="2"/>
        <v>POINT 160,50</v>
      </c>
    </row>
    <row r="153" spans="1:2" x14ac:dyDescent="0.6">
      <c r="A153" s="1" t="str">
        <f>_xlfn.CONCAT(ElipseTabla!$C62,",",ElipseTabla!E62)</f>
        <v>160,50</v>
      </c>
      <c r="B153" s="1" t="str">
        <f t="shared" si="2"/>
        <v>POINT 160,50</v>
      </c>
    </row>
    <row r="154" spans="1:2" x14ac:dyDescent="0.6">
      <c r="A154" s="1" t="str">
        <f>_xlfn.CONCAT(ElipseTabla!$C63,",",ElipseTabla!E63)</f>
        <v>160,50</v>
      </c>
      <c r="B154" s="1" t="str">
        <f t="shared" si="2"/>
        <v>POINT 160,50</v>
      </c>
    </row>
    <row r="155" spans="1:2" x14ac:dyDescent="0.6">
      <c r="A155" s="1" t="str">
        <f>_xlfn.CONCAT(ElipseTabla!$C64,",",ElipseTabla!E64)</f>
        <v>160,50</v>
      </c>
      <c r="B155" s="1" t="str">
        <f t="shared" si="2"/>
        <v>POINT 160,50</v>
      </c>
    </row>
    <row r="156" spans="1:2" x14ac:dyDescent="0.6">
      <c r="A156" s="1" t="str">
        <f>_xlfn.CONCAT(ElipseTabla!$C65,",",ElipseTabla!E65)</f>
        <v>160,50</v>
      </c>
      <c r="B156" s="1" t="str">
        <f t="shared" si="2"/>
        <v>POINT 160,50</v>
      </c>
    </row>
    <row r="157" spans="1:2" x14ac:dyDescent="0.6">
      <c r="A157" s="1" t="str">
        <f>_xlfn.CONCAT(ElipseTabla!$C66,",",ElipseTabla!E66)</f>
        <v>160,50</v>
      </c>
      <c r="B157" s="1" t="str">
        <f t="shared" si="2"/>
        <v>POINT 160,50</v>
      </c>
    </row>
    <row r="158" spans="1:2" x14ac:dyDescent="0.6">
      <c r="A158" s="1" t="str">
        <f>_xlfn.CONCAT(ElipseTabla!$C67,",",ElipseTabla!E67)</f>
        <v>160,50</v>
      </c>
      <c r="B158" s="1" t="str">
        <f t="shared" si="2"/>
        <v>POINT 160,50</v>
      </c>
    </row>
    <row r="159" spans="1:2" x14ac:dyDescent="0.6">
      <c r="A159" s="1" t="str">
        <f>_xlfn.CONCAT(ElipseTabla!$C68,",",ElipseTabla!E68)</f>
        <v>160,50</v>
      </c>
      <c r="B159" s="1" t="str">
        <f t="shared" si="2"/>
        <v>POINT 160,50</v>
      </c>
    </row>
    <row r="160" spans="1:2" x14ac:dyDescent="0.6">
      <c r="A160" s="1" t="str">
        <f>_xlfn.CONCAT(ElipseTabla!$C69,",",ElipseTabla!E69)</f>
        <v>160,50</v>
      </c>
      <c r="B160" s="1" t="str">
        <f t="shared" si="2"/>
        <v>POINT 160,50</v>
      </c>
    </row>
    <row r="161" spans="1:2" x14ac:dyDescent="0.6">
      <c r="A161" s="1" t="str">
        <f>_xlfn.CONCAT(ElipseTabla!$C70,",",ElipseTabla!E70)</f>
        <v>160,50</v>
      </c>
      <c r="B161" s="1" t="str">
        <f t="shared" si="2"/>
        <v>POINT 160,50</v>
      </c>
    </row>
    <row r="162" spans="1:2" x14ac:dyDescent="0.6">
      <c r="A162" s="1" t="str">
        <f>_xlfn.CONCAT(ElipseTabla!$C71,",",ElipseTabla!E71)</f>
        <v>160,50</v>
      </c>
      <c r="B162" s="1" t="str">
        <f t="shared" si="2"/>
        <v>POINT 160,50</v>
      </c>
    </row>
    <row r="163" spans="1:2" x14ac:dyDescent="0.6">
      <c r="A163" s="1" t="str">
        <f>_xlfn.CONCAT(ElipseTabla!$C72,",",ElipseTabla!E72)</f>
        <v>160,50</v>
      </c>
      <c r="B163" s="1" t="str">
        <f t="shared" si="2"/>
        <v>POINT 160,50</v>
      </c>
    </row>
    <row r="164" spans="1:2" x14ac:dyDescent="0.6">
      <c r="A164" s="1" t="str">
        <f>_xlfn.CONCAT(ElipseTabla!$C73,",",ElipseTabla!E73)</f>
        <v>160,50</v>
      </c>
      <c r="B164" s="1" t="str">
        <f t="shared" si="2"/>
        <v>POINT 160,50</v>
      </c>
    </row>
    <row r="165" spans="1:2" x14ac:dyDescent="0.6">
      <c r="A165" s="1" t="str">
        <f>_xlfn.CONCAT(ElipseTabla!$C74,",",ElipseTabla!E74)</f>
        <v>160,50</v>
      </c>
      <c r="B165" s="1" t="str">
        <f t="shared" si="2"/>
        <v>POINT 160,50</v>
      </c>
    </row>
    <row r="166" spans="1:2" x14ac:dyDescent="0.6">
      <c r="A166" s="1" t="str">
        <f>_xlfn.CONCAT(ElipseTabla!$C75,",",ElipseTabla!E75)</f>
        <v>160,50</v>
      </c>
      <c r="B166" s="1" t="str">
        <f t="shared" si="2"/>
        <v>POINT 160,50</v>
      </c>
    </row>
    <row r="167" spans="1:2" x14ac:dyDescent="0.6">
      <c r="A167" s="1" t="str">
        <f>_xlfn.CONCAT(ElipseTabla!$C76,",",ElipseTabla!E76)</f>
        <v>160,50</v>
      </c>
      <c r="B167" s="1" t="str">
        <f t="shared" si="2"/>
        <v>POINT 160,50</v>
      </c>
    </row>
    <row r="168" spans="1:2" x14ac:dyDescent="0.6">
      <c r="A168" s="1" t="str">
        <f>_xlfn.CONCAT(ElipseTabla!$C77,",",ElipseTabla!E77)</f>
        <v>160,50</v>
      </c>
      <c r="B168" s="1" t="str">
        <f t="shared" ref="B168:B203" si="3">_xlfn.CONCAT("POINT ",A168)</f>
        <v>POINT 160,50</v>
      </c>
    </row>
    <row r="169" spans="1:2" x14ac:dyDescent="0.6">
      <c r="A169" s="1" t="str">
        <f>_xlfn.CONCAT(ElipseTabla!$C78,",",ElipseTabla!E78)</f>
        <v>160,50</v>
      </c>
      <c r="B169" s="1" t="str">
        <f t="shared" si="3"/>
        <v>POINT 160,50</v>
      </c>
    </row>
    <row r="170" spans="1:2" x14ac:dyDescent="0.6">
      <c r="A170" s="1" t="str">
        <f>_xlfn.CONCAT(ElipseTabla!$C79,",",ElipseTabla!E79)</f>
        <v>160,50</v>
      </c>
      <c r="B170" s="1" t="str">
        <f t="shared" si="3"/>
        <v>POINT 160,50</v>
      </c>
    </row>
    <row r="171" spans="1:2" x14ac:dyDescent="0.6">
      <c r="A171" s="1" t="str">
        <f>_xlfn.CONCAT(ElipseTabla!$C80,",",ElipseTabla!E80)</f>
        <v>160,50</v>
      </c>
      <c r="B171" s="1" t="str">
        <f t="shared" si="3"/>
        <v>POINT 160,50</v>
      </c>
    </row>
    <row r="172" spans="1:2" x14ac:dyDescent="0.6">
      <c r="A172" s="1" t="str">
        <f>_xlfn.CONCAT(ElipseTabla!$C81,",",ElipseTabla!E81)</f>
        <v>160,50</v>
      </c>
      <c r="B172" s="1" t="str">
        <f t="shared" si="3"/>
        <v>POINT 160,50</v>
      </c>
    </row>
    <row r="173" spans="1:2" x14ac:dyDescent="0.6">
      <c r="A173" s="1" t="str">
        <f>_xlfn.CONCAT(ElipseTabla!$C82,",",ElipseTabla!E82)</f>
        <v>160,50</v>
      </c>
      <c r="B173" s="1" t="str">
        <f t="shared" si="3"/>
        <v>POINT 160,50</v>
      </c>
    </row>
    <row r="174" spans="1:2" x14ac:dyDescent="0.6">
      <c r="A174" s="1" t="str">
        <f>_xlfn.CONCAT(ElipseTabla!$C83,",",ElipseTabla!E83)</f>
        <v>160,50</v>
      </c>
      <c r="B174" s="1" t="str">
        <f t="shared" si="3"/>
        <v>POINT 160,50</v>
      </c>
    </row>
    <row r="175" spans="1:2" x14ac:dyDescent="0.6">
      <c r="A175" s="1" t="str">
        <f>_xlfn.CONCAT(ElipseTabla!$C84,",",ElipseTabla!E84)</f>
        <v>160,50</v>
      </c>
      <c r="B175" s="1" t="str">
        <f t="shared" si="3"/>
        <v>POINT 160,50</v>
      </c>
    </row>
    <row r="176" spans="1:2" x14ac:dyDescent="0.6">
      <c r="A176" s="1" t="str">
        <f>_xlfn.CONCAT(ElipseTabla!$C85,",",ElipseTabla!E85)</f>
        <v>160,50</v>
      </c>
      <c r="B176" s="1" t="str">
        <f t="shared" si="3"/>
        <v>POINT 160,50</v>
      </c>
    </row>
    <row r="177" spans="1:2" x14ac:dyDescent="0.6">
      <c r="A177" s="1" t="str">
        <f>_xlfn.CONCAT(ElipseTabla!$C86,",",ElipseTabla!E86)</f>
        <v>160,50</v>
      </c>
      <c r="B177" s="1" t="str">
        <f t="shared" si="3"/>
        <v>POINT 160,50</v>
      </c>
    </row>
    <row r="178" spans="1:2" x14ac:dyDescent="0.6">
      <c r="A178" s="1" t="str">
        <f>_xlfn.CONCAT(ElipseTabla!$C87,",",ElipseTabla!E87)</f>
        <v>160,50</v>
      </c>
      <c r="B178" s="1" t="str">
        <f t="shared" si="3"/>
        <v>POINT 160,50</v>
      </c>
    </row>
    <row r="179" spans="1:2" x14ac:dyDescent="0.6">
      <c r="A179" s="1" t="str">
        <f>_xlfn.CONCAT(ElipseTabla!$C88,",",ElipseTabla!E88)</f>
        <v>160,50</v>
      </c>
      <c r="B179" s="1" t="str">
        <f t="shared" si="3"/>
        <v>POINT 160,50</v>
      </c>
    </row>
    <row r="180" spans="1:2" x14ac:dyDescent="0.6">
      <c r="A180" s="1" t="str">
        <f>_xlfn.CONCAT(ElipseTabla!$C89,",",ElipseTabla!E89)</f>
        <v>160,50</v>
      </c>
      <c r="B180" s="1" t="str">
        <f t="shared" si="3"/>
        <v>POINT 160,50</v>
      </c>
    </row>
    <row r="181" spans="1:2" x14ac:dyDescent="0.6">
      <c r="A181" s="1" t="str">
        <f>_xlfn.CONCAT(ElipseTabla!$C90,",",ElipseTabla!E90)</f>
        <v>160,50</v>
      </c>
      <c r="B181" s="1" t="str">
        <f t="shared" si="3"/>
        <v>POINT 160,50</v>
      </c>
    </row>
    <row r="182" spans="1:2" x14ac:dyDescent="0.6">
      <c r="A182" s="1" t="str">
        <f>_xlfn.CONCAT(ElipseTabla!$C91,",",ElipseTabla!E91)</f>
        <v>160,50</v>
      </c>
      <c r="B182" s="1" t="str">
        <f t="shared" si="3"/>
        <v>POINT 160,50</v>
      </c>
    </row>
    <row r="183" spans="1:2" x14ac:dyDescent="0.6">
      <c r="A183" s="1" t="str">
        <f>_xlfn.CONCAT(ElipseTabla!$C92,",",ElipseTabla!E92)</f>
        <v>160,50</v>
      </c>
      <c r="B183" s="1" t="str">
        <f t="shared" si="3"/>
        <v>POINT 160,50</v>
      </c>
    </row>
    <row r="184" spans="1:2" x14ac:dyDescent="0.6">
      <c r="A184" s="1" t="str">
        <f>_xlfn.CONCAT(ElipseTabla!$C93,",",ElipseTabla!E93)</f>
        <v>160,50</v>
      </c>
      <c r="B184" s="1" t="str">
        <f t="shared" si="3"/>
        <v>POINT 160,50</v>
      </c>
    </row>
    <row r="185" spans="1:2" x14ac:dyDescent="0.6">
      <c r="A185" s="1" t="str">
        <f>_xlfn.CONCAT(ElipseTabla!$C94,",",ElipseTabla!E94)</f>
        <v>160,50</v>
      </c>
      <c r="B185" s="1" t="str">
        <f t="shared" si="3"/>
        <v>POINT 160,50</v>
      </c>
    </row>
    <row r="186" spans="1:2" x14ac:dyDescent="0.6">
      <c r="A186" s="1" t="str">
        <f>_xlfn.CONCAT(ElipseTabla!$C95,",",ElipseTabla!E95)</f>
        <v>160,50</v>
      </c>
      <c r="B186" s="1" t="str">
        <f t="shared" si="3"/>
        <v>POINT 160,50</v>
      </c>
    </row>
    <row r="187" spans="1:2" x14ac:dyDescent="0.6">
      <c r="A187" s="1" t="str">
        <f>_xlfn.CONCAT(ElipseTabla!$C96,",",ElipseTabla!E96)</f>
        <v>160,50</v>
      </c>
      <c r="B187" s="1" t="str">
        <f t="shared" si="3"/>
        <v>POINT 160,50</v>
      </c>
    </row>
    <row r="188" spans="1:2" x14ac:dyDescent="0.6">
      <c r="A188" s="1" t="str">
        <f>_xlfn.CONCAT(ElipseTabla!$C97,",",ElipseTabla!E97)</f>
        <v>160,50</v>
      </c>
      <c r="B188" s="1" t="str">
        <f t="shared" si="3"/>
        <v>POINT 160,50</v>
      </c>
    </row>
    <row r="189" spans="1:2" x14ac:dyDescent="0.6">
      <c r="A189" s="1" t="str">
        <f>_xlfn.CONCAT(ElipseTabla!$C98,",",ElipseTabla!E98)</f>
        <v>160,50</v>
      </c>
      <c r="B189" s="1" t="str">
        <f t="shared" si="3"/>
        <v>POINT 160,50</v>
      </c>
    </row>
    <row r="190" spans="1:2" x14ac:dyDescent="0.6">
      <c r="A190" s="1" t="str">
        <f>_xlfn.CONCAT(ElipseTabla!$C99,",",ElipseTabla!E99)</f>
        <v>160,50</v>
      </c>
      <c r="B190" s="1" t="str">
        <f t="shared" si="3"/>
        <v>POINT 160,50</v>
      </c>
    </row>
    <row r="191" spans="1:2" x14ac:dyDescent="0.6">
      <c r="A191" s="1" t="str">
        <f>_xlfn.CONCAT(ElipseTabla!$C100,",",ElipseTabla!E100)</f>
        <v>160,50</v>
      </c>
      <c r="B191" s="1" t="str">
        <f t="shared" si="3"/>
        <v>POINT 160,50</v>
      </c>
    </row>
    <row r="192" spans="1:2" x14ac:dyDescent="0.6">
      <c r="A192" s="1" t="str">
        <f>_xlfn.CONCAT(ElipseTabla!$C101,",",ElipseTabla!E101)</f>
        <v>160,50</v>
      </c>
      <c r="B192" s="1" t="str">
        <f t="shared" si="3"/>
        <v>POINT 160,50</v>
      </c>
    </row>
    <row r="193" spans="1:2" x14ac:dyDescent="0.6">
      <c r="A193" s="1" t="str">
        <f>_xlfn.CONCAT(ElipseTabla!$C102,",",ElipseTabla!E102)</f>
        <v>160,50</v>
      </c>
      <c r="B193" s="1" t="str">
        <f t="shared" si="3"/>
        <v>POINT 160,50</v>
      </c>
    </row>
    <row r="194" spans="1:2" x14ac:dyDescent="0.6">
      <c r="A194" s="1" t="str">
        <f>_xlfn.CONCAT(ElipseTabla!$C103,",",ElipseTabla!E103)</f>
        <v>160,50</v>
      </c>
      <c r="B194" s="1" t="str">
        <f t="shared" si="3"/>
        <v>POINT 160,50</v>
      </c>
    </row>
    <row r="195" spans="1:2" x14ac:dyDescent="0.6">
      <c r="A195" s="1" t="str">
        <f>_xlfn.CONCAT(ElipseTabla!$C104,",",ElipseTabla!E104)</f>
        <v>160,50</v>
      </c>
      <c r="B195" s="1" t="str">
        <f t="shared" si="3"/>
        <v>POINT 160,50</v>
      </c>
    </row>
    <row r="196" spans="1:2" x14ac:dyDescent="0.6">
      <c r="A196" s="1" t="str">
        <f>_xlfn.CONCAT(ElipseTabla!$C105,",",ElipseTabla!E105)</f>
        <v>160,50</v>
      </c>
      <c r="B196" s="1" t="str">
        <f t="shared" si="3"/>
        <v>POINT 160,50</v>
      </c>
    </row>
    <row r="197" spans="1:2" x14ac:dyDescent="0.6">
      <c r="A197" s="1" t="str">
        <f>_xlfn.CONCAT(ElipseTabla!$C106,",",ElipseTabla!E106)</f>
        <v>160,50</v>
      </c>
      <c r="B197" s="1" t="str">
        <f t="shared" si="3"/>
        <v>POINT 160,50</v>
      </c>
    </row>
    <row r="198" spans="1:2" x14ac:dyDescent="0.6">
      <c r="A198" s="1" t="str">
        <f>_xlfn.CONCAT(ElipseTabla!$C107,",",ElipseTabla!E107)</f>
        <v>160,50</v>
      </c>
      <c r="B198" s="1" t="str">
        <f t="shared" si="3"/>
        <v>POINT 160,50</v>
      </c>
    </row>
    <row r="199" spans="1:2" x14ac:dyDescent="0.6">
      <c r="A199" s="1" t="str">
        <f>_xlfn.CONCAT(ElipseTabla!$C108,",",ElipseTabla!E108)</f>
        <v>160,50</v>
      </c>
      <c r="B199" s="1" t="str">
        <f t="shared" si="3"/>
        <v>POINT 160,50</v>
      </c>
    </row>
    <row r="200" spans="1:2" x14ac:dyDescent="0.6">
      <c r="A200" s="1" t="str">
        <f>_xlfn.CONCAT(ElipseTabla!$C109,",",ElipseTabla!E109)</f>
        <v>160,50</v>
      </c>
      <c r="B200" s="1" t="str">
        <f t="shared" si="3"/>
        <v>POINT 160,50</v>
      </c>
    </row>
    <row r="201" spans="1:2" x14ac:dyDescent="0.6">
      <c r="A201" s="1" t="str">
        <f>_xlfn.CONCAT(ElipseTabla!$C110,",",ElipseTabla!E110)</f>
        <v>160,50</v>
      </c>
      <c r="B201" s="1" t="str">
        <f t="shared" si="3"/>
        <v>POINT 160,50</v>
      </c>
    </row>
    <row r="202" spans="1:2" x14ac:dyDescent="0.6">
      <c r="A202" s="1" t="str">
        <f>_xlfn.CONCAT(ElipseTabla!$C111,",",ElipseTabla!E111)</f>
        <v>160,50</v>
      </c>
      <c r="B202" s="1" t="str">
        <f t="shared" si="3"/>
        <v>POINT 160,50</v>
      </c>
    </row>
    <row r="203" spans="1:2" x14ac:dyDescent="0.6">
      <c r="A203" s="1" t="str">
        <f>_xlfn.CONCAT(ElipseTabla!$C112,",",ElipseTabla!E112)</f>
        <v>160,50</v>
      </c>
      <c r="B203" s="1" t="str">
        <f t="shared" si="3"/>
        <v>POINT 160,50</v>
      </c>
    </row>
    <row r="205" spans="1:2" x14ac:dyDescent="0.6">
      <c r="A205" s="1" t="s">
        <v>17</v>
      </c>
    </row>
    <row r="206" spans="1:2" x14ac:dyDescent="0.6">
      <c r="A206" s="1" t="str">
        <f>_xlfn.CONCAT(ElipseTabla!$F13,",",ElipseTabla!G13)</f>
        <v>100,70</v>
      </c>
      <c r="B206" s="1" t="str">
        <f t="shared" ref="B206:B269" si="4">_xlfn.CONCAT("POINT ",A206)</f>
        <v>POINT 100,70</v>
      </c>
    </row>
    <row r="207" spans="1:2" x14ac:dyDescent="0.6">
      <c r="A207" s="1" t="str">
        <f>_xlfn.CONCAT(ElipseTabla!$F14,",",ElipseTabla!G14)</f>
        <v>98.75,69.9956592511697</v>
      </c>
      <c r="B207" s="1" t="str">
        <f t="shared" si="4"/>
        <v>POINT 98.75,69.9956592511697</v>
      </c>
    </row>
    <row r="208" spans="1:2" x14ac:dyDescent="0.6">
      <c r="A208" s="1" t="str">
        <f>_xlfn.CONCAT(ElipseTabla!$F15,",",ElipseTabla!G15)</f>
        <v>97.5,69.9826313471363</v>
      </c>
      <c r="B208" s="1" t="str">
        <f t="shared" si="4"/>
        <v>POINT 97.5,69.9826313471363</v>
      </c>
    </row>
    <row r="209" spans="1:2" x14ac:dyDescent="0.6">
      <c r="A209" s="1" t="str">
        <f>_xlfn.CONCAT(ElipseTabla!$F16,",",ElipseTabla!G16)</f>
        <v>96.25,69.9608992783391</v>
      </c>
      <c r="B209" s="1" t="str">
        <f t="shared" si="4"/>
        <v>POINT 96.25,69.9608992783391</v>
      </c>
    </row>
    <row r="210" spans="1:2" x14ac:dyDescent="0.6">
      <c r="A210" s="1" t="str">
        <f>_xlfn.CONCAT(ElipseTabla!$F17,",",ElipseTabla!G17)</f>
        <v>95,69.9304345718357</v>
      </c>
      <c r="B210" s="1" t="str">
        <f t="shared" si="4"/>
        <v>POINT 95,69.9304345718357</v>
      </c>
    </row>
    <row r="211" spans="1:2" x14ac:dyDescent="0.6">
      <c r="A211" s="1" t="str">
        <f>_xlfn.CONCAT(ElipseTabla!$F18,",",ElipseTabla!G18)</f>
        <v>93.75,69.8911971038</v>
      </c>
      <c r="B211" s="1" t="str">
        <f t="shared" si="4"/>
        <v>POINT 93.75,69.8911971038</v>
      </c>
    </row>
    <row r="212" spans="1:2" x14ac:dyDescent="0.6">
      <c r="A212" s="1" t="str">
        <f>_xlfn.CONCAT(ElipseTabla!$F19,",",ElipseTabla!G19)</f>
        <v>92.5,69.8431348329844</v>
      </c>
      <c r="B212" s="1" t="str">
        <f t="shared" si="4"/>
        <v>POINT 92.5,69.8431348329844</v>
      </c>
    </row>
    <row r="213" spans="1:2" x14ac:dyDescent="0.6">
      <c r="A213" s="1" t="str">
        <f>_xlfn.CONCAT(ElipseTabla!$F20,",",ElipseTabla!G20)</f>
        <v>91.25,69.7861834509729</v>
      </c>
      <c r="B213" s="1" t="str">
        <f t="shared" si="4"/>
        <v>POINT 91.25,69.7861834509729</v>
      </c>
    </row>
    <row r="214" spans="1:2" x14ac:dyDescent="0.6">
      <c r="A214" s="1" t="str">
        <f>_xlfn.CONCAT(ElipseTabla!$F21,",",ElipseTabla!G21)</f>
        <v>90,69.7202659436654</v>
      </c>
      <c r="B214" s="1" t="str">
        <f t="shared" si="4"/>
        <v>POINT 90,69.7202659436654</v>
      </c>
    </row>
    <row r="215" spans="1:2" x14ac:dyDescent="0.6">
      <c r="A215" s="1" t="str">
        <f>_xlfn.CONCAT(ElipseTabla!$F22,",",ElipseTabla!G22)</f>
        <v>88.75,69.6452920568771</v>
      </c>
      <c r="B215" s="1" t="str">
        <f t="shared" si="4"/>
        <v>POINT 88.75,69.6452920568771</v>
      </c>
    </row>
    <row r="216" spans="1:2" x14ac:dyDescent="0.6">
      <c r="A216" s="1" t="str">
        <f>_xlfn.CONCAT(ElipseTabla!$F23,",",ElipseTabla!G23)</f>
        <v>87.5,69.5611576571758</v>
      </c>
      <c r="B216" s="1" t="str">
        <f t="shared" si="4"/>
        <v>POINT 87.5,69.5611576571758</v>
      </c>
    </row>
    <row r="217" spans="1:2" x14ac:dyDescent="0.6">
      <c r="A217" s="1" t="str">
        <f>_xlfn.CONCAT(ElipseTabla!$F24,",",ElipseTabla!G24)</f>
        <v>86.25,69.4677439770394</v>
      </c>
      <c r="B217" s="1" t="str">
        <f t="shared" si="4"/>
        <v>POINT 86.25,69.4677439770394</v>
      </c>
    </row>
    <row r="218" spans="1:2" x14ac:dyDescent="0.6">
      <c r="A218" s="1" t="str">
        <f>_xlfn.CONCAT(ElipseTabla!$F25,",",ElipseTabla!G25)</f>
        <v>85,69.3649167310371</v>
      </c>
      <c r="B218" s="1" t="str">
        <f t="shared" si="4"/>
        <v>POINT 85,69.3649167310371</v>
      </c>
    </row>
    <row r="219" spans="1:2" x14ac:dyDescent="0.6">
      <c r="A219" s="1" t="str">
        <f>_xlfn.CONCAT(ElipseTabla!$F26,",",ElipseTabla!G26)</f>
        <v>83.75,69.2525250869132</v>
      </c>
      <c r="B219" s="1" t="str">
        <f t="shared" si="4"/>
        <v>POINT 83.75,69.2525250869132</v>
      </c>
    </row>
    <row r="220" spans="1:2" x14ac:dyDescent="0.6">
      <c r="A220" s="1" t="str">
        <f>_xlfn.CONCAT(ElipseTabla!$F27,",",ElipseTabla!G27)</f>
        <v>82.5,69.1304004720817</v>
      </c>
      <c r="B220" s="1" t="str">
        <f t="shared" si="4"/>
        <v>POINT 82.5,69.1304004720817</v>
      </c>
    </row>
    <row r="221" spans="1:2" x14ac:dyDescent="0.6">
      <c r="A221" s="1" t="str">
        <f>_xlfn.CONCAT(ElipseTabla!$F28,",",ElipseTabla!G28)</f>
        <v>81.25,68.9983551919633</v>
      </c>
      <c r="B221" s="1" t="str">
        <f t="shared" si="4"/>
        <v>POINT 81.25,68.9983551919633</v>
      </c>
    </row>
    <row r="222" spans="1:2" x14ac:dyDescent="0.6">
      <c r="A222" s="1" t="str">
        <f>_xlfn.CONCAT(ElipseTabla!$F29,",",ElipseTabla!G29)</f>
        <v>80,68.8561808316413</v>
      </c>
      <c r="B222" s="1" t="str">
        <f t="shared" si="4"/>
        <v>POINT 80,68.8561808316413</v>
      </c>
    </row>
    <row r="223" spans="1:2" x14ac:dyDescent="0.6">
      <c r="A223" s="1" t="str">
        <f>_xlfn.CONCAT(ElipseTabla!$F30,",",ElipseTabla!G30)</f>
        <v>78.75,68.7036464062195</v>
      </c>
      <c r="B223" s="1" t="str">
        <f t="shared" si="4"/>
        <v>POINT 78.75,68.7036464062195</v>
      </c>
    </row>
    <row r="224" spans="1:2" x14ac:dyDescent="0.6">
      <c r="A224" s="1" t="str">
        <f>_xlfn.CONCAT(ElipseTabla!$F31,",",ElipseTabla!G31)</f>
        <v>77.5,68.5404962177392</v>
      </c>
      <c r="B224" s="1" t="str">
        <f t="shared" si="4"/>
        <v>POINT 77.5,68.5404962177392</v>
      </c>
    </row>
    <row r="225" spans="1:2" x14ac:dyDescent="0.6">
      <c r="A225" s="1" t="str">
        <f>_xlfn.CONCAT(ElipseTabla!$F32,",",ElipseTabla!G32)</f>
        <v>76.25,68.3664473671118</v>
      </c>
      <c r="B225" s="1" t="str">
        <f t="shared" si="4"/>
        <v>POINT 76.25,68.3664473671118</v>
      </c>
    </row>
    <row r="226" spans="1:2" x14ac:dyDescent="0.6">
      <c r="A226" s="1" t="str">
        <f>_xlfn.CONCAT(ElipseTabla!$F33,",",ElipseTabla!G33)</f>
        <v>75,68.1811868577262</v>
      </c>
      <c r="B226" s="1" t="str">
        <f t="shared" si="4"/>
        <v>POINT 75,68.1811868577262</v>
      </c>
    </row>
    <row r="227" spans="1:2" x14ac:dyDescent="0.6">
      <c r="A227" s="1" t="str">
        <f>_xlfn.CONCAT(ElipseTabla!$F34,",",ElipseTabla!G34)</f>
        <v>73.75,67.9843682124227</v>
      </c>
      <c r="B227" s="1" t="str">
        <f t="shared" si="4"/>
        <v>POINT 73.75,67.9843682124227</v>
      </c>
    </row>
    <row r="228" spans="1:2" x14ac:dyDescent="0.6">
      <c r="A228" s="1" t="str">
        <f>_xlfn.CONCAT(ElipseTabla!$F35,",",ElipseTabla!G35)</f>
        <v>72.5,67.775607506418</v>
      </c>
      <c r="B228" s="1" t="str">
        <f t="shared" si="4"/>
        <v>POINT 72.5,67.775607506418</v>
      </c>
    </row>
    <row r="229" spans="1:2" x14ac:dyDescent="0.6">
      <c r="A229" s="1" t="str">
        <f>_xlfn.CONCAT(ElipseTabla!$F36,",",ElipseTabla!G36)</f>
        <v>71.25,67.5544786941174</v>
      </c>
      <c r="B229" s="1" t="str">
        <f t="shared" si="4"/>
        <v>POINT 71.25,67.5544786941174</v>
      </c>
    </row>
    <row r="230" spans="1:2" x14ac:dyDescent="0.6">
      <c r="A230" s="1" t="str">
        <f>_xlfn.CONCAT(ElipseTabla!$F37,",",ElipseTabla!G37)</f>
        <v>70,67.3205080756888</v>
      </c>
      <c r="B230" s="1" t="str">
        <f t="shared" si="4"/>
        <v>POINT 70,67.3205080756888</v>
      </c>
    </row>
    <row r="231" spans="1:2" x14ac:dyDescent="0.6">
      <c r="A231" s="1" t="str">
        <f>_xlfn.CONCAT(ElipseTabla!$F38,",",ElipseTabla!G38)</f>
        <v>68.75,67.0731677071232</v>
      </c>
      <c r="B231" s="1" t="str">
        <f t="shared" si="4"/>
        <v>POINT 68.75,67.0731677071232</v>
      </c>
    </row>
    <row r="232" spans="1:2" x14ac:dyDescent="0.6">
      <c r="A232" s="1" t="str">
        <f>_xlfn.CONCAT(ElipseTabla!$F39,",",ElipseTabla!G39)</f>
        <v>67.5,66.8118675015267</v>
      </c>
      <c r="B232" s="1" t="str">
        <f t="shared" si="4"/>
        <v>POINT 67.5,66.8118675015267</v>
      </c>
    </row>
    <row r="233" spans="1:2" x14ac:dyDescent="0.6">
      <c r="A233" s="1" t="str">
        <f>_xlfn.CONCAT(ElipseTabla!$F40,",",ElipseTabla!G40)</f>
        <v>66.25,66.5359456941537</v>
      </c>
      <c r="B233" s="1" t="str">
        <f t="shared" si="4"/>
        <v>POINT 66.25,66.5359456941537</v>
      </c>
    </row>
    <row r="234" spans="1:2" x14ac:dyDescent="0.6">
      <c r="A234" s="1" t="str">
        <f>_xlfn.CONCAT(ElipseTabla!$F41,",",ElipseTabla!G41)</f>
        <v>65,66.2446572413483</v>
      </c>
      <c r="B234" s="1" t="str">
        <f t="shared" si="4"/>
        <v>POINT 65,66.2446572413483</v>
      </c>
    </row>
    <row r="235" spans="1:2" x14ac:dyDescent="0.6">
      <c r="A235" s="1" t="str">
        <f>_xlfn.CONCAT(ElipseTabla!$F42,",",ElipseTabla!G42)</f>
        <v>63.75,65.9371595824211</v>
      </c>
      <c r="B235" s="1" t="str">
        <f t="shared" si="4"/>
        <v>POINT 63.75,65.9371595824211</v>
      </c>
    </row>
    <row r="236" spans="1:2" x14ac:dyDescent="0.6">
      <c r="A236" s="1" t="str">
        <f>_xlfn.CONCAT(ElipseTabla!$F43,",",ElipseTabla!G43)</f>
        <v>62.5,65.612494995996</v>
      </c>
      <c r="B236" s="1" t="str">
        <f t="shared" si="4"/>
        <v>POINT 62.5,65.612494995996</v>
      </c>
    </row>
    <row r="237" spans="1:2" x14ac:dyDescent="0.6">
      <c r="A237" s="1" t="str">
        <f>_xlfn.CONCAT(ElipseTabla!$F44,",",ElipseTabla!G44)</f>
        <v>61.25,65.2695685015073</v>
      </c>
      <c r="B237" s="1" t="str">
        <f t="shared" si="4"/>
        <v>POINT 61.25,65.2695685015073</v>
      </c>
    </row>
    <row r="238" spans="1:2" x14ac:dyDescent="0.6">
      <c r="A238" s="1" t="str">
        <f>_xlfn.CONCAT(ElipseTabla!$F45,",",ElipseTabla!G45)</f>
        <v>60,64.9071198499986</v>
      </c>
      <c r="B238" s="1" t="str">
        <f t="shared" si="4"/>
        <v>POINT 60,64.9071198499986</v>
      </c>
    </row>
    <row r="239" spans="1:2" x14ac:dyDescent="0.6">
      <c r="A239" s="1" t="str">
        <f>_xlfn.CONCAT(ElipseTabla!$F46,",",ElipseTabla!G46)</f>
        <v>58.75,64.5236875482778</v>
      </c>
      <c r="B239" s="1" t="str">
        <f t="shared" si="4"/>
        <v>POINT 58.75,64.5236875482778</v>
      </c>
    </row>
    <row r="240" spans="1:2" x14ac:dyDescent="0.6">
      <c r="A240" s="1" t="str">
        <f>_xlfn.CONCAT(ElipseTabla!$F47,",",ElipseTabla!G47)</f>
        <v>57.5,64.1175619550812</v>
      </c>
      <c r="B240" s="1" t="str">
        <f t="shared" si="4"/>
        <v>POINT 57.5,64.1175619550812</v>
      </c>
    </row>
    <row r="241" spans="1:2" x14ac:dyDescent="0.6">
      <c r="A241" s="1" t="str">
        <f>_xlfn.CONCAT(ElipseTabla!$F48,",",ElipseTabla!G48)</f>
        <v>56.25,63.6867230880474</v>
      </c>
      <c r="B241" s="1" t="str">
        <f t="shared" si="4"/>
        <v>POINT 56.25,63.6867230880474</v>
      </c>
    </row>
    <row r="242" spans="1:2" x14ac:dyDescent="0.6">
      <c r="A242" s="1" t="str">
        <f>_xlfn.CONCAT(ElipseTabla!$F49,",",ElipseTabla!G49)</f>
        <v>55,63.228756555323</v>
      </c>
      <c r="B242" s="1" t="str">
        <f t="shared" si="4"/>
        <v>POINT 55,63.228756555323</v>
      </c>
    </row>
    <row r="243" spans="1:2" x14ac:dyDescent="0.6">
      <c r="A243" s="1" t="str">
        <f>_xlfn.CONCAT(ElipseTabla!$F50,",",ElipseTabla!G50)</f>
        <v>53.75,62.7407373761839</v>
      </c>
      <c r="B243" s="1" t="str">
        <f t="shared" si="4"/>
        <v>POINT 53.75,62.7407373761839</v>
      </c>
    </row>
    <row r="244" spans="1:2" x14ac:dyDescent="0.6">
      <c r="A244" s="1" t="str">
        <f>_xlfn.CONCAT(ElipseTabla!$F51,",",ElipseTabla!G51)</f>
        <v>52.5,62.219065248846</v>
      </c>
      <c r="B244" s="1" t="str">
        <f t="shared" si="4"/>
        <v>POINT 52.5,62.219065248846</v>
      </c>
    </row>
    <row r="245" spans="1:2" x14ac:dyDescent="0.6">
      <c r="A245" s="1" t="str">
        <f>_xlfn.CONCAT(ElipseTabla!$F52,",",ElipseTabla!G52)</f>
        <v>51.25,61.659223816361</v>
      </c>
      <c r="B245" s="1" t="str">
        <f t="shared" si="4"/>
        <v>POINT 51.25,61.659223816361</v>
      </c>
    </row>
    <row r="246" spans="1:2" x14ac:dyDescent="0.6">
      <c r="A246" s="1" t="str">
        <f>_xlfn.CONCAT(ElipseTabla!$F53,",",ElipseTabla!G53)</f>
        <v>50,61.0554159678513</v>
      </c>
      <c r="B246" s="1" t="str">
        <f t="shared" si="4"/>
        <v>POINT 50,61.0554159678513</v>
      </c>
    </row>
    <row r="247" spans="1:2" x14ac:dyDescent="0.6">
      <c r="A247" s="1" t="str">
        <f>_xlfn.CONCAT(ElipseTabla!$F54,",",ElipseTabla!G54)</f>
        <v>48.75,60.3999866452906</v>
      </c>
      <c r="B247" s="1" t="str">
        <f t="shared" si="4"/>
        <v>POINT 48.75,60.3999866452906</v>
      </c>
    </row>
    <row r="248" spans="1:2" x14ac:dyDescent="0.6">
      <c r="A248" s="1" t="str">
        <f>_xlfn.CONCAT(ElipseTabla!$F55,",",ElipseTabla!G55)</f>
        <v>47.5,59.6824583655185</v>
      </c>
      <c r="B248" s="1" t="str">
        <f t="shared" si="4"/>
        <v>POINT 47.5,59.6824583655185</v>
      </c>
    </row>
    <row r="249" spans="1:2" x14ac:dyDescent="0.6">
      <c r="A249" s="1" t="str">
        <f>_xlfn.CONCAT(ElipseTabla!$F56,",",ElipseTabla!G56)</f>
        <v>46.25,58.887803753209</v>
      </c>
      <c r="B249" s="1" t="str">
        <f t="shared" si="4"/>
        <v>POINT 46.25,58.887803753209</v>
      </c>
    </row>
    <row r="250" spans="1:2" x14ac:dyDescent="0.6">
      <c r="A250" s="1" t="str">
        <f>_xlfn.CONCAT(ElipseTabla!$F57,",",ElipseTabla!G57)</f>
        <v>45,57.9930525388545</v>
      </c>
      <c r="B250" s="1" t="str">
        <f t="shared" si="4"/>
        <v>POINT 45,57.9930525388545</v>
      </c>
    </row>
    <row r="251" spans="1:2" x14ac:dyDescent="0.6">
      <c r="A251" s="1" t="str">
        <f>_xlfn.CONCAT(ElipseTabla!$F58,",",ElipseTabla!G58)</f>
        <v>43.75,56.9597054535375</v>
      </c>
      <c r="B251" s="1" t="str">
        <f t="shared" si="4"/>
        <v>POINT 43.75,56.9597054535375</v>
      </c>
    </row>
    <row r="252" spans="1:2" x14ac:dyDescent="0.6">
      <c r="A252" s="1" t="str">
        <f>_xlfn.CONCAT(ElipseTabla!$F59,",",ElipseTabla!G59)</f>
        <v>42.5,55.7130455003342</v>
      </c>
      <c r="B252" s="1" t="str">
        <f t="shared" si="4"/>
        <v>POINT 42.5,55.7130455003342</v>
      </c>
    </row>
    <row r="253" spans="1:2" x14ac:dyDescent="0.6">
      <c r="A253" s="1" t="str">
        <f>_xlfn.CONCAT(ElipseTabla!$F60,",",ElipseTabla!G60)</f>
        <v>41.25,54.0611643103371</v>
      </c>
      <c r="B253" s="1" t="str">
        <f t="shared" si="4"/>
        <v>POINT 41.25,54.0611643103371</v>
      </c>
    </row>
    <row r="254" spans="1:2" x14ac:dyDescent="0.6">
      <c r="A254" s="1" t="str">
        <f>_xlfn.CONCAT(ElipseTabla!$F61,",",ElipseTabla!G61)</f>
        <v>40,50</v>
      </c>
      <c r="B254" s="1" t="str">
        <f t="shared" si="4"/>
        <v>POINT 40,50</v>
      </c>
    </row>
    <row r="255" spans="1:2" x14ac:dyDescent="0.6">
      <c r="A255" s="1" t="str">
        <f>_xlfn.CONCAT(ElipseTabla!$F62,",",ElipseTabla!G62)</f>
        <v>40,50</v>
      </c>
      <c r="B255" s="1" t="str">
        <f t="shared" si="4"/>
        <v>POINT 40,50</v>
      </c>
    </row>
    <row r="256" spans="1:2" x14ac:dyDescent="0.6">
      <c r="A256" s="1" t="str">
        <f>_xlfn.CONCAT(ElipseTabla!$F63,",",ElipseTabla!G63)</f>
        <v>40,50</v>
      </c>
      <c r="B256" s="1" t="str">
        <f t="shared" si="4"/>
        <v>POINT 40,50</v>
      </c>
    </row>
    <row r="257" spans="1:2" x14ac:dyDescent="0.6">
      <c r="A257" s="1" t="str">
        <f>_xlfn.CONCAT(ElipseTabla!$F64,",",ElipseTabla!G64)</f>
        <v>40,50</v>
      </c>
      <c r="B257" s="1" t="str">
        <f t="shared" si="4"/>
        <v>POINT 40,50</v>
      </c>
    </row>
    <row r="258" spans="1:2" x14ac:dyDescent="0.6">
      <c r="A258" s="1" t="str">
        <f>_xlfn.CONCAT(ElipseTabla!$F65,",",ElipseTabla!G65)</f>
        <v>40,50</v>
      </c>
      <c r="B258" s="1" t="str">
        <f t="shared" si="4"/>
        <v>POINT 40,50</v>
      </c>
    </row>
    <row r="259" spans="1:2" x14ac:dyDescent="0.6">
      <c r="A259" s="1" t="str">
        <f>_xlfn.CONCAT(ElipseTabla!$F66,",",ElipseTabla!G66)</f>
        <v>40,50</v>
      </c>
      <c r="B259" s="1" t="str">
        <f t="shared" si="4"/>
        <v>POINT 40,50</v>
      </c>
    </row>
    <row r="260" spans="1:2" x14ac:dyDescent="0.6">
      <c r="A260" s="1" t="str">
        <f>_xlfn.CONCAT(ElipseTabla!$F67,",",ElipseTabla!G67)</f>
        <v>40,50</v>
      </c>
      <c r="B260" s="1" t="str">
        <f t="shared" si="4"/>
        <v>POINT 40,50</v>
      </c>
    </row>
    <row r="261" spans="1:2" x14ac:dyDescent="0.6">
      <c r="A261" s="1" t="str">
        <f>_xlfn.CONCAT(ElipseTabla!$F68,",",ElipseTabla!G68)</f>
        <v>40,50</v>
      </c>
      <c r="B261" s="1" t="str">
        <f t="shared" si="4"/>
        <v>POINT 40,50</v>
      </c>
    </row>
    <row r="262" spans="1:2" x14ac:dyDescent="0.6">
      <c r="A262" s="1" t="str">
        <f>_xlfn.CONCAT(ElipseTabla!$F69,",",ElipseTabla!G69)</f>
        <v>40,50</v>
      </c>
      <c r="B262" s="1" t="str">
        <f t="shared" si="4"/>
        <v>POINT 40,50</v>
      </c>
    </row>
    <row r="263" spans="1:2" x14ac:dyDescent="0.6">
      <c r="A263" s="1" t="str">
        <f>_xlfn.CONCAT(ElipseTabla!$F70,",",ElipseTabla!G70)</f>
        <v>40,50</v>
      </c>
      <c r="B263" s="1" t="str">
        <f t="shared" si="4"/>
        <v>POINT 40,50</v>
      </c>
    </row>
    <row r="264" spans="1:2" x14ac:dyDescent="0.6">
      <c r="A264" s="1" t="str">
        <f>_xlfn.CONCAT(ElipseTabla!$F71,",",ElipseTabla!G71)</f>
        <v>40,50</v>
      </c>
      <c r="B264" s="1" t="str">
        <f t="shared" si="4"/>
        <v>POINT 40,50</v>
      </c>
    </row>
    <row r="265" spans="1:2" x14ac:dyDescent="0.6">
      <c r="A265" s="1" t="str">
        <f>_xlfn.CONCAT(ElipseTabla!$F72,",",ElipseTabla!G72)</f>
        <v>40,50</v>
      </c>
      <c r="B265" s="1" t="str">
        <f t="shared" si="4"/>
        <v>POINT 40,50</v>
      </c>
    </row>
    <row r="266" spans="1:2" x14ac:dyDescent="0.6">
      <c r="A266" s="1" t="str">
        <f>_xlfn.CONCAT(ElipseTabla!$F73,",",ElipseTabla!G73)</f>
        <v>40,50</v>
      </c>
      <c r="B266" s="1" t="str">
        <f t="shared" si="4"/>
        <v>POINT 40,50</v>
      </c>
    </row>
    <row r="267" spans="1:2" x14ac:dyDescent="0.6">
      <c r="A267" s="1" t="str">
        <f>_xlfn.CONCAT(ElipseTabla!$F74,",",ElipseTabla!G74)</f>
        <v>40,50</v>
      </c>
      <c r="B267" s="1" t="str">
        <f t="shared" si="4"/>
        <v>POINT 40,50</v>
      </c>
    </row>
    <row r="268" spans="1:2" x14ac:dyDescent="0.6">
      <c r="A268" s="1" t="str">
        <f>_xlfn.CONCAT(ElipseTabla!$F75,",",ElipseTabla!G75)</f>
        <v>40,50</v>
      </c>
      <c r="B268" s="1" t="str">
        <f t="shared" si="4"/>
        <v>POINT 40,50</v>
      </c>
    </row>
    <row r="269" spans="1:2" x14ac:dyDescent="0.6">
      <c r="A269" s="1" t="str">
        <f>_xlfn.CONCAT(ElipseTabla!$F76,",",ElipseTabla!G76)</f>
        <v>40,50</v>
      </c>
      <c r="B269" s="1" t="str">
        <f t="shared" si="4"/>
        <v>POINT 40,50</v>
      </c>
    </row>
    <row r="270" spans="1:2" x14ac:dyDescent="0.6">
      <c r="A270" s="1" t="str">
        <f>_xlfn.CONCAT(ElipseTabla!$F77,",",ElipseTabla!G77)</f>
        <v>40,50</v>
      </c>
      <c r="B270" s="1" t="str">
        <f t="shared" ref="B270:B305" si="5">_xlfn.CONCAT("POINT ",A270)</f>
        <v>POINT 40,50</v>
      </c>
    </row>
    <row r="271" spans="1:2" x14ac:dyDescent="0.6">
      <c r="A271" s="1" t="str">
        <f>_xlfn.CONCAT(ElipseTabla!$F78,",",ElipseTabla!G78)</f>
        <v>40,50</v>
      </c>
      <c r="B271" s="1" t="str">
        <f t="shared" si="5"/>
        <v>POINT 40,50</v>
      </c>
    </row>
    <row r="272" spans="1:2" x14ac:dyDescent="0.6">
      <c r="A272" s="1" t="str">
        <f>_xlfn.CONCAT(ElipseTabla!$F79,",",ElipseTabla!G79)</f>
        <v>40,50</v>
      </c>
      <c r="B272" s="1" t="str">
        <f t="shared" si="5"/>
        <v>POINT 40,50</v>
      </c>
    </row>
    <row r="273" spans="1:2" x14ac:dyDescent="0.6">
      <c r="A273" s="1" t="str">
        <f>_xlfn.CONCAT(ElipseTabla!$F80,",",ElipseTabla!G80)</f>
        <v>40,50</v>
      </c>
      <c r="B273" s="1" t="str">
        <f t="shared" si="5"/>
        <v>POINT 40,50</v>
      </c>
    </row>
    <row r="274" spans="1:2" x14ac:dyDescent="0.6">
      <c r="A274" s="1" t="str">
        <f>_xlfn.CONCAT(ElipseTabla!$F81,",",ElipseTabla!G81)</f>
        <v>40,50</v>
      </c>
      <c r="B274" s="1" t="str">
        <f t="shared" si="5"/>
        <v>POINT 40,50</v>
      </c>
    </row>
    <row r="275" spans="1:2" x14ac:dyDescent="0.6">
      <c r="A275" s="1" t="str">
        <f>_xlfn.CONCAT(ElipseTabla!$F82,",",ElipseTabla!G82)</f>
        <v>40,50</v>
      </c>
      <c r="B275" s="1" t="str">
        <f t="shared" si="5"/>
        <v>POINT 40,50</v>
      </c>
    </row>
    <row r="276" spans="1:2" x14ac:dyDescent="0.6">
      <c r="A276" s="1" t="str">
        <f>_xlfn.CONCAT(ElipseTabla!$F83,",",ElipseTabla!G83)</f>
        <v>40,50</v>
      </c>
      <c r="B276" s="1" t="str">
        <f t="shared" si="5"/>
        <v>POINT 40,50</v>
      </c>
    </row>
    <row r="277" spans="1:2" x14ac:dyDescent="0.6">
      <c r="A277" s="1" t="str">
        <f>_xlfn.CONCAT(ElipseTabla!$F84,",",ElipseTabla!G84)</f>
        <v>40,50</v>
      </c>
      <c r="B277" s="1" t="str">
        <f t="shared" si="5"/>
        <v>POINT 40,50</v>
      </c>
    </row>
    <row r="278" spans="1:2" x14ac:dyDescent="0.6">
      <c r="A278" s="1" t="str">
        <f>_xlfn.CONCAT(ElipseTabla!$F85,",",ElipseTabla!G85)</f>
        <v>40,50</v>
      </c>
      <c r="B278" s="1" t="str">
        <f t="shared" si="5"/>
        <v>POINT 40,50</v>
      </c>
    </row>
    <row r="279" spans="1:2" x14ac:dyDescent="0.6">
      <c r="A279" s="1" t="str">
        <f>_xlfn.CONCAT(ElipseTabla!$F86,",",ElipseTabla!G86)</f>
        <v>40,50</v>
      </c>
      <c r="B279" s="1" t="str">
        <f t="shared" si="5"/>
        <v>POINT 40,50</v>
      </c>
    </row>
    <row r="280" spans="1:2" x14ac:dyDescent="0.6">
      <c r="A280" s="1" t="str">
        <f>_xlfn.CONCAT(ElipseTabla!$F87,",",ElipseTabla!G87)</f>
        <v>40,50</v>
      </c>
      <c r="B280" s="1" t="str">
        <f t="shared" si="5"/>
        <v>POINT 40,50</v>
      </c>
    </row>
    <row r="281" spans="1:2" x14ac:dyDescent="0.6">
      <c r="A281" s="1" t="str">
        <f>_xlfn.CONCAT(ElipseTabla!$F88,",",ElipseTabla!G88)</f>
        <v>40,50</v>
      </c>
      <c r="B281" s="1" t="str">
        <f t="shared" si="5"/>
        <v>POINT 40,50</v>
      </c>
    </row>
    <row r="282" spans="1:2" x14ac:dyDescent="0.6">
      <c r="A282" s="1" t="str">
        <f>_xlfn.CONCAT(ElipseTabla!$F89,",",ElipseTabla!G89)</f>
        <v>40,50</v>
      </c>
      <c r="B282" s="1" t="str">
        <f t="shared" si="5"/>
        <v>POINT 40,50</v>
      </c>
    </row>
    <row r="283" spans="1:2" x14ac:dyDescent="0.6">
      <c r="A283" s="1" t="str">
        <f>_xlfn.CONCAT(ElipseTabla!$F90,",",ElipseTabla!G90)</f>
        <v>40,50</v>
      </c>
      <c r="B283" s="1" t="str">
        <f t="shared" si="5"/>
        <v>POINT 40,50</v>
      </c>
    </row>
    <row r="284" spans="1:2" x14ac:dyDescent="0.6">
      <c r="A284" s="1" t="str">
        <f>_xlfn.CONCAT(ElipseTabla!$F91,",",ElipseTabla!G91)</f>
        <v>40,50</v>
      </c>
      <c r="B284" s="1" t="str">
        <f t="shared" si="5"/>
        <v>POINT 40,50</v>
      </c>
    </row>
    <row r="285" spans="1:2" x14ac:dyDescent="0.6">
      <c r="A285" s="1" t="str">
        <f>_xlfn.CONCAT(ElipseTabla!$F92,",",ElipseTabla!G92)</f>
        <v>40,50</v>
      </c>
      <c r="B285" s="1" t="str">
        <f t="shared" si="5"/>
        <v>POINT 40,50</v>
      </c>
    </row>
    <row r="286" spans="1:2" x14ac:dyDescent="0.6">
      <c r="A286" s="1" t="str">
        <f>_xlfn.CONCAT(ElipseTabla!$F93,",",ElipseTabla!G93)</f>
        <v>40,50</v>
      </c>
      <c r="B286" s="1" t="str">
        <f t="shared" si="5"/>
        <v>POINT 40,50</v>
      </c>
    </row>
    <row r="287" spans="1:2" x14ac:dyDescent="0.6">
      <c r="A287" s="1" t="str">
        <f>_xlfn.CONCAT(ElipseTabla!$F94,",",ElipseTabla!G94)</f>
        <v>40,50</v>
      </c>
      <c r="B287" s="1" t="str">
        <f t="shared" si="5"/>
        <v>POINT 40,50</v>
      </c>
    </row>
    <row r="288" spans="1:2" x14ac:dyDescent="0.6">
      <c r="A288" s="1" t="str">
        <f>_xlfn.CONCAT(ElipseTabla!$F95,",",ElipseTabla!G95)</f>
        <v>40,50</v>
      </c>
      <c r="B288" s="1" t="str">
        <f t="shared" si="5"/>
        <v>POINT 40,50</v>
      </c>
    </row>
    <row r="289" spans="1:2" x14ac:dyDescent="0.6">
      <c r="A289" s="1" t="str">
        <f>_xlfn.CONCAT(ElipseTabla!$F96,",",ElipseTabla!G96)</f>
        <v>40,50</v>
      </c>
      <c r="B289" s="1" t="str">
        <f t="shared" si="5"/>
        <v>POINT 40,50</v>
      </c>
    </row>
    <row r="290" spans="1:2" x14ac:dyDescent="0.6">
      <c r="A290" s="1" t="str">
        <f>_xlfn.CONCAT(ElipseTabla!$F97,",",ElipseTabla!G97)</f>
        <v>40,50</v>
      </c>
      <c r="B290" s="1" t="str">
        <f t="shared" si="5"/>
        <v>POINT 40,50</v>
      </c>
    </row>
    <row r="291" spans="1:2" x14ac:dyDescent="0.6">
      <c r="A291" s="1" t="str">
        <f>_xlfn.CONCAT(ElipseTabla!$F98,",",ElipseTabla!G98)</f>
        <v>40,50</v>
      </c>
      <c r="B291" s="1" t="str">
        <f t="shared" si="5"/>
        <v>POINT 40,50</v>
      </c>
    </row>
    <row r="292" spans="1:2" x14ac:dyDescent="0.6">
      <c r="A292" s="1" t="str">
        <f>_xlfn.CONCAT(ElipseTabla!$F99,",",ElipseTabla!G99)</f>
        <v>40,50</v>
      </c>
      <c r="B292" s="1" t="str">
        <f t="shared" si="5"/>
        <v>POINT 40,50</v>
      </c>
    </row>
    <row r="293" spans="1:2" x14ac:dyDescent="0.6">
      <c r="A293" s="1" t="str">
        <f>_xlfn.CONCAT(ElipseTabla!$F100,",",ElipseTabla!G100)</f>
        <v>40,50</v>
      </c>
      <c r="B293" s="1" t="str">
        <f t="shared" si="5"/>
        <v>POINT 40,50</v>
      </c>
    </row>
    <row r="294" spans="1:2" x14ac:dyDescent="0.6">
      <c r="A294" s="1" t="str">
        <f>_xlfn.CONCAT(ElipseTabla!$F101,",",ElipseTabla!G101)</f>
        <v>40,50</v>
      </c>
      <c r="B294" s="1" t="str">
        <f t="shared" si="5"/>
        <v>POINT 40,50</v>
      </c>
    </row>
    <row r="295" spans="1:2" x14ac:dyDescent="0.6">
      <c r="A295" s="1" t="str">
        <f>_xlfn.CONCAT(ElipseTabla!$F102,",",ElipseTabla!G102)</f>
        <v>40,50</v>
      </c>
      <c r="B295" s="1" t="str">
        <f t="shared" si="5"/>
        <v>POINT 40,50</v>
      </c>
    </row>
    <row r="296" spans="1:2" x14ac:dyDescent="0.6">
      <c r="A296" s="1" t="str">
        <f>_xlfn.CONCAT(ElipseTabla!$F103,",",ElipseTabla!G103)</f>
        <v>40,50</v>
      </c>
      <c r="B296" s="1" t="str">
        <f t="shared" si="5"/>
        <v>POINT 40,50</v>
      </c>
    </row>
    <row r="297" spans="1:2" x14ac:dyDescent="0.6">
      <c r="A297" s="1" t="str">
        <f>_xlfn.CONCAT(ElipseTabla!$F104,",",ElipseTabla!G104)</f>
        <v>40,50</v>
      </c>
      <c r="B297" s="1" t="str">
        <f t="shared" si="5"/>
        <v>POINT 40,50</v>
      </c>
    </row>
    <row r="298" spans="1:2" x14ac:dyDescent="0.6">
      <c r="A298" s="1" t="str">
        <f>_xlfn.CONCAT(ElipseTabla!$F105,",",ElipseTabla!G105)</f>
        <v>40,50</v>
      </c>
      <c r="B298" s="1" t="str">
        <f t="shared" si="5"/>
        <v>POINT 40,50</v>
      </c>
    </row>
    <row r="299" spans="1:2" x14ac:dyDescent="0.6">
      <c r="A299" s="1" t="str">
        <f>_xlfn.CONCAT(ElipseTabla!$F106,",",ElipseTabla!G106)</f>
        <v>40,50</v>
      </c>
      <c r="B299" s="1" t="str">
        <f t="shared" si="5"/>
        <v>POINT 40,50</v>
      </c>
    </row>
    <row r="300" spans="1:2" x14ac:dyDescent="0.6">
      <c r="A300" s="1" t="str">
        <f>_xlfn.CONCAT(ElipseTabla!$F107,",",ElipseTabla!G107)</f>
        <v>40,50</v>
      </c>
      <c r="B300" s="1" t="str">
        <f t="shared" si="5"/>
        <v>POINT 40,50</v>
      </c>
    </row>
    <row r="301" spans="1:2" x14ac:dyDescent="0.6">
      <c r="A301" s="1" t="str">
        <f>_xlfn.CONCAT(ElipseTabla!$F108,",",ElipseTabla!G108)</f>
        <v>40,50</v>
      </c>
      <c r="B301" s="1" t="str">
        <f t="shared" si="5"/>
        <v>POINT 40,50</v>
      </c>
    </row>
    <row r="302" spans="1:2" x14ac:dyDescent="0.6">
      <c r="A302" s="1" t="str">
        <f>_xlfn.CONCAT(ElipseTabla!$F109,",",ElipseTabla!G109)</f>
        <v>40,50</v>
      </c>
      <c r="B302" s="1" t="str">
        <f t="shared" si="5"/>
        <v>POINT 40,50</v>
      </c>
    </row>
    <row r="303" spans="1:2" x14ac:dyDescent="0.6">
      <c r="A303" s="1" t="str">
        <f>_xlfn.CONCAT(ElipseTabla!$F110,",",ElipseTabla!G110)</f>
        <v>40,50</v>
      </c>
      <c r="B303" s="1" t="str">
        <f t="shared" si="5"/>
        <v>POINT 40,50</v>
      </c>
    </row>
    <row r="304" spans="1:2" x14ac:dyDescent="0.6">
      <c r="A304" s="1" t="str">
        <f>_xlfn.CONCAT(ElipseTabla!$F111,",",ElipseTabla!G111)</f>
        <v>40,50</v>
      </c>
      <c r="B304" s="1" t="str">
        <f t="shared" si="5"/>
        <v>POINT 40,50</v>
      </c>
    </row>
    <row r="305" spans="1:2" x14ac:dyDescent="0.6">
      <c r="A305" s="1" t="str">
        <f>_xlfn.CONCAT(ElipseTabla!$F112,",",ElipseTabla!G112)</f>
        <v>40,50</v>
      </c>
      <c r="B305" s="1" t="str">
        <f t="shared" si="5"/>
        <v>POINT 40,50</v>
      </c>
    </row>
    <row r="307" spans="1:2" x14ac:dyDescent="0.6">
      <c r="A307" s="1" t="s">
        <v>17</v>
      </c>
    </row>
    <row r="308" spans="1:2" x14ac:dyDescent="0.6">
      <c r="A308" s="1" t="str">
        <f>_xlfn.CONCAT(ElipseTabla!$F13,",",ElipseTabla!H13)</f>
        <v>100,30</v>
      </c>
      <c r="B308" s="1" t="str">
        <f t="shared" ref="B308:B371" si="6">_xlfn.CONCAT("POINT ",A308)</f>
        <v>POINT 100,30</v>
      </c>
    </row>
    <row r="309" spans="1:2" x14ac:dyDescent="0.6">
      <c r="A309" s="1" t="str">
        <f>_xlfn.CONCAT(ElipseTabla!$F14,",",ElipseTabla!H14)</f>
        <v>98.75,30.0043407488303</v>
      </c>
      <c r="B309" s="1" t="str">
        <f t="shared" si="6"/>
        <v>POINT 98.75,30.0043407488303</v>
      </c>
    </row>
    <row r="310" spans="1:2" x14ac:dyDescent="0.6">
      <c r="A310" s="1" t="str">
        <f>_xlfn.CONCAT(ElipseTabla!$F15,",",ElipseTabla!H15)</f>
        <v>97.5,30.0173686528637</v>
      </c>
      <c r="B310" s="1" t="str">
        <f t="shared" si="6"/>
        <v>POINT 97.5,30.0173686528637</v>
      </c>
    </row>
    <row r="311" spans="1:2" x14ac:dyDescent="0.6">
      <c r="A311" s="1" t="str">
        <f>_xlfn.CONCAT(ElipseTabla!$F16,",",ElipseTabla!H16)</f>
        <v>96.25,30.0391007216609</v>
      </c>
      <c r="B311" s="1" t="str">
        <f t="shared" si="6"/>
        <v>POINT 96.25,30.0391007216609</v>
      </c>
    </row>
    <row r="312" spans="1:2" x14ac:dyDescent="0.6">
      <c r="A312" s="1" t="str">
        <f>_xlfn.CONCAT(ElipseTabla!$F17,",",ElipseTabla!H17)</f>
        <v>95,30.0695654281643</v>
      </c>
      <c r="B312" s="1" t="str">
        <f t="shared" si="6"/>
        <v>POINT 95,30.0695654281643</v>
      </c>
    </row>
    <row r="313" spans="1:2" x14ac:dyDescent="0.6">
      <c r="A313" s="1" t="str">
        <f>_xlfn.CONCAT(ElipseTabla!$F18,",",ElipseTabla!H18)</f>
        <v>93.75,30.1088028962</v>
      </c>
      <c r="B313" s="1" t="str">
        <f t="shared" si="6"/>
        <v>POINT 93.75,30.1088028962</v>
      </c>
    </row>
    <row r="314" spans="1:2" x14ac:dyDescent="0.6">
      <c r="A314" s="1" t="str">
        <f>_xlfn.CONCAT(ElipseTabla!$F19,",",ElipseTabla!H19)</f>
        <v>92.5,30.1568651670156</v>
      </c>
      <c r="B314" s="1" t="str">
        <f t="shared" si="6"/>
        <v>POINT 92.5,30.1568651670156</v>
      </c>
    </row>
    <row r="315" spans="1:2" x14ac:dyDescent="0.6">
      <c r="A315" s="1" t="str">
        <f>_xlfn.CONCAT(ElipseTabla!$F20,",",ElipseTabla!H20)</f>
        <v>91.25,30.2138165490271</v>
      </c>
      <c r="B315" s="1" t="str">
        <f t="shared" si="6"/>
        <v>POINT 91.25,30.2138165490271</v>
      </c>
    </row>
    <row r="316" spans="1:2" x14ac:dyDescent="0.6">
      <c r="A316" s="1" t="str">
        <f>_xlfn.CONCAT(ElipseTabla!$F21,",",ElipseTabla!H21)</f>
        <v>90,30.2797340563346</v>
      </c>
      <c r="B316" s="1" t="str">
        <f t="shared" si="6"/>
        <v>POINT 90,30.2797340563346</v>
      </c>
    </row>
    <row r="317" spans="1:2" x14ac:dyDescent="0.6">
      <c r="A317" s="1" t="str">
        <f>_xlfn.CONCAT(ElipseTabla!$F22,",",ElipseTabla!H22)</f>
        <v>88.75,30.3547079431229</v>
      </c>
      <c r="B317" s="1" t="str">
        <f t="shared" si="6"/>
        <v>POINT 88.75,30.3547079431229</v>
      </c>
    </row>
    <row r="318" spans="1:2" x14ac:dyDescent="0.6">
      <c r="A318" s="1" t="str">
        <f>_xlfn.CONCAT(ElipseTabla!$F23,",",ElipseTabla!H23)</f>
        <v>87.5,30.4388423428242</v>
      </c>
      <c r="B318" s="1" t="str">
        <f t="shared" si="6"/>
        <v>POINT 87.5,30.4388423428242</v>
      </c>
    </row>
    <row r="319" spans="1:2" x14ac:dyDescent="0.6">
      <c r="A319" s="1" t="str">
        <f>_xlfn.CONCAT(ElipseTabla!$F24,",",ElipseTabla!H24)</f>
        <v>86.25,30.5322560229606</v>
      </c>
      <c r="B319" s="1" t="str">
        <f t="shared" si="6"/>
        <v>POINT 86.25,30.5322560229606</v>
      </c>
    </row>
    <row r="320" spans="1:2" x14ac:dyDescent="0.6">
      <c r="A320" s="1" t="str">
        <f>_xlfn.CONCAT(ElipseTabla!$F25,",",ElipseTabla!H25)</f>
        <v>85,30.6350832689629</v>
      </c>
      <c r="B320" s="1" t="str">
        <f t="shared" si="6"/>
        <v>POINT 85,30.6350832689629</v>
      </c>
    </row>
    <row r="321" spans="1:2" x14ac:dyDescent="0.6">
      <c r="A321" s="1" t="str">
        <f>_xlfn.CONCAT(ElipseTabla!$F26,",",ElipseTabla!H26)</f>
        <v>83.75,30.7474749130868</v>
      </c>
      <c r="B321" s="1" t="str">
        <f t="shared" si="6"/>
        <v>POINT 83.75,30.7474749130868</v>
      </c>
    </row>
    <row r="322" spans="1:2" x14ac:dyDescent="0.6">
      <c r="A322" s="1" t="str">
        <f>_xlfn.CONCAT(ElipseTabla!$F27,",",ElipseTabla!H27)</f>
        <v>82.5,30.8695995279183</v>
      </c>
      <c r="B322" s="1" t="str">
        <f t="shared" si="6"/>
        <v>POINT 82.5,30.8695995279183</v>
      </c>
    </row>
    <row r="323" spans="1:2" x14ac:dyDescent="0.6">
      <c r="A323" s="1" t="str">
        <f>_xlfn.CONCAT(ElipseTabla!$F28,",",ElipseTabla!H28)</f>
        <v>81.25,31.0016448080367</v>
      </c>
      <c r="B323" s="1" t="str">
        <f t="shared" si="6"/>
        <v>POINT 81.25,31.0016448080367</v>
      </c>
    </row>
    <row r="324" spans="1:2" x14ac:dyDescent="0.6">
      <c r="A324" s="1" t="str">
        <f>_xlfn.CONCAT(ElipseTabla!$F29,",",ElipseTabla!H29)</f>
        <v>80,31.1438191683587</v>
      </c>
      <c r="B324" s="1" t="str">
        <f t="shared" si="6"/>
        <v>POINT 80,31.1438191683587</v>
      </c>
    </row>
    <row r="325" spans="1:2" x14ac:dyDescent="0.6">
      <c r="A325" s="1" t="str">
        <f>_xlfn.CONCAT(ElipseTabla!$F30,",",ElipseTabla!H30)</f>
        <v>78.75,31.2963535937805</v>
      </c>
      <c r="B325" s="1" t="str">
        <f t="shared" si="6"/>
        <v>POINT 78.75,31.2963535937805</v>
      </c>
    </row>
    <row r="326" spans="1:2" x14ac:dyDescent="0.6">
      <c r="A326" s="1" t="str">
        <f>_xlfn.CONCAT(ElipseTabla!$F31,",",ElipseTabla!H31)</f>
        <v>77.5,31.4595037822608</v>
      </c>
      <c r="B326" s="1" t="str">
        <f t="shared" si="6"/>
        <v>POINT 77.5,31.4595037822608</v>
      </c>
    </row>
    <row r="327" spans="1:2" x14ac:dyDescent="0.6">
      <c r="A327" s="1" t="str">
        <f>_xlfn.CONCAT(ElipseTabla!$F32,",",ElipseTabla!H32)</f>
        <v>76.25,31.6335526328882</v>
      </c>
      <c r="B327" s="1" t="str">
        <f t="shared" si="6"/>
        <v>POINT 76.25,31.6335526328882</v>
      </c>
    </row>
    <row r="328" spans="1:2" x14ac:dyDescent="0.6">
      <c r="A328" s="1" t="str">
        <f>_xlfn.CONCAT(ElipseTabla!$F33,",",ElipseTabla!H33)</f>
        <v>75,31.8188131422738</v>
      </c>
      <c r="B328" s="1" t="str">
        <f t="shared" si="6"/>
        <v>POINT 75,31.8188131422738</v>
      </c>
    </row>
    <row r="329" spans="1:2" x14ac:dyDescent="0.6">
      <c r="A329" s="1" t="str">
        <f>_xlfn.CONCAT(ElipseTabla!$F34,",",ElipseTabla!H34)</f>
        <v>73.75,32.0156317875773</v>
      </c>
      <c r="B329" s="1" t="str">
        <f t="shared" si="6"/>
        <v>POINT 73.75,32.0156317875773</v>
      </c>
    </row>
    <row r="330" spans="1:2" x14ac:dyDescent="0.6">
      <c r="A330" s="1" t="str">
        <f>_xlfn.CONCAT(ElipseTabla!$F35,",",ElipseTabla!H35)</f>
        <v>72.5,32.224392493582</v>
      </c>
      <c r="B330" s="1" t="str">
        <f t="shared" si="6"/>
        <v>POINT 72.5,32.224392493582</v>
      </c>
    </row>
    <row r="331" spans="1:2" x14ac:dyDescent="0.6">
      <c r="A331" s="1" t="str">
        <f>_xlfn.CONCAT(ElipseTabla!$F36,",",ElipseTabla!H36)</f>
        <v>71.25,32.4455213058826</v>
      </c>
      <c r="B331" s="1" t="str">
        <f t="shared" si="6"/>
        <v>POINT 71.25,32.4455213058826</v>
      </c>
    </row>
    <row r="332" spans="1:2" x14ac:dyDescent="0.6">
      <c r="A332" s="1" t="str">
        <f>_xlfn.CONCAT(ElipseTabla!$F37,",",ElipseTabla!H37)</f>
        <v>70,32.6794919243112</v>
      </c>
      <c r="B332" s="1" t="str">
        <f t="shared" si="6"/>
        <v>POINT 70,32.6794919243112</v>
      </c>
    </row>
    <row r="333" spans="1:2" x14ac:dyDescent="0.6">
      <c r="A333" s="1" t="str">
        <f>_xlfn.CONCAT(ElipseTabla!$F38,",",ElipseTabla!H38)</f>
        <v>68.75,32.9268322928768</v>
      </c>
      <c r="B333" s="1" t="str">
        <f t="shared" si="6"/>
        <v>POINT 68.75,32.9268322928768</v>
      </c>
    </row>
    <row r="334" spans="1:2" x14ac:dyDescent="0.6">
      <c r="A334" s="1" t="str">
        <f>_xlfn.CONCAT(ElipseTabla!$F39,",",ElipseTabla!H39)</f>
        <v>67.5,33.1881324984733</v>
      </c>
      <c r="B334" s="1" t="str">
        <f t="shared" si="6"/>
        <v>POINT 67.5,33.1881324984733</v>
      </c>
    </row>
    <row r="335" spans="1:2" x14ac:dyDescent="0.6">
      <c r="A335" s="1" t="str">
        <f>_xlfn.CONCAT(ElipseTabla!$F40,",",ElipseTabla!H40)</f>
        <v>66.25,33.4640543058463</v>
      </c>
      <c r="B335" s="1" t="str">
        <f t="shared" si="6"/>
        <v>POINT 66.25,33.4640543058463</v>
      </c>
    </row>
    <row r="336" spans="1:2" x14ac:dyDescent="0.6">
      <c r="A336" s="1" t="str">
        <f>_xlfn.CONCAT(ElipseTabla!$F41,",",ElipseTabla!H41)</f>
        <v>65,33.7553427586517</v>
      </c>
      <c r="B336" s="1" t="str">
        <f t="shared" si="6"/>
        <v>POINT 65,33.7553427586517</v>
      </c>
    </row>
    <row r="337" spans="1:2" x14ac:dyDescent="0.6">
      <c r="A337" s="1" t="str">
        <f>_xlfn.CONCAT(ElipseTabla!$F42,",",ElipseTabla!H42)</f>
        <v>63.75,34.0628404175789</v>
      </c>
      <c r="B337" s="1" t="str">
        <f t="shared" si="6"/>
        <v>POINT 63.75,34.0628404175789</v>
      </c>
    </row>
    <row r="338" spans="1:2" x14ac:dyDescent="0.6">
      <c r="A338" s="1" t="str">
        <f>_xlfn.CONCAT(ElipseTabla!$F43,",",ElipseTabla!H43)</f>
        <v>62.5,34.387505004004</v>
      </c>
      <c r="B338" s="1" t="str">
        <f t="shared" si="6"/>
        <v>POINT 62.5,34.387505004004</v>
      </c>
    </row>
    <row r="339" spans="1:2" x14ac:dyDescent="0.6">
      <c r="A339" s="1" t="str">
        <f>_xlfn.CONCAT(ElipseTabla!$F44,",",ElipseTabla!H44)</f>
        <v>61.25,34.7304314984927</v>
      </c>
      <c r="B339" s="1" t="str">
        <f t="shared" si="6"/>
        <v>POINT 61.25,34.7304314984927</v>
      </c>
    </row>
    <row r="340" spans="1:2" x14ac:dyDescent="0.6">
      <c r="A340" s="1" t="str">
        <f>_xlfn.CONCAT(ElipseTabla!$F45,",",ElipseTabla!H45)</f>
        <v>60,35.0928801500014</v>
      </c>
      <c r="B340" s="1" t="str">
        <f t="shared" si="6"/>
        <v>POINT 60,35.0928801500014</v>
      </c>
    </row>
    <row r="341" spans="1:2" x14ac:dyDescent="0.6">
      <c r="A341" s="1" t="str">
        <f>_xlfn.CONCAT(ElipseTabla!$F46,",",ElipseTabla!H46)</f>
        <v>58.75,35.4763124517222</v>
      </c>
      <c r="B341" s="1" t="str">
        <f t="shared" si="6"/>
        <v>POINT 58.75,35.4763124517222</v>
      </c>
    </row>
    <row r="342" spans="1:2" x14ac:dyDescent="0.6">
      <c r="A342" s="1" t="str">
        <f>_xlfn.CONCAT(ElipseTabla!$F47,",",ElipseTabla!H47)</f>
        <v>57.5,35.8824380449188</v>
      </c>
      <c r="B342" s="1" t="str">
        <f t="shared" si="6"/>
        <v>POINT 57.5,35.8824380449188</v>
      </c>
    </row>
    <row r="343" spans="1:2" x14ac:dyDescent="0.6">
      <c r="A343" s="1" t="str">
        <f>_xlfn.CONCAT(ElipseTabla!$F48,",",ElipseTabla!H48)</f>
        <v>56.25,36.3132769119526</v>
      </c>
      <c r="B343" s="1" t="str">
        <f t="shared" si="6"/>
        <v>POINT 56.25,36.3132769119526</v>
      </c>
    </row>
    <row r="344" spans="1:2" x14ac:dyDescent="0.6">
      <c r="A344" s="1" t="str">
        <f>_xlfn.CONCAT(ElipseTabla!$F49,",",ElipseTabla!H49)</f>
        <v>55,36.771243444677</v>
      </c>
      <c r="B344" s="1" t="str">
        <f t="shared" si="6"/>
        <v>POINT 55,36.771243444677</v>
      </c>
    </row>
    <row r="345" spans="1:2" x14ac:dyDescent="0.6">
      <c r="A345" s="1" t="str">
        <f>_xlfn.CONCAT(ElipseTabla!$F50,",",ElipseTabla!H50)</f>
        <v>53.75,37.2592626238161</v>
      </c>
      <c r="B345" s="1" t="str">
        <f t="shared" si="6"/>
        <v>POINT 53.75,37.2592626238161</v>
      </c>
    </row>
    <row r="346" spans="1:2" x14ac:dyDescent="0.6">
      <c r="A346" s="1" t="str">
        <f>_xlfn.CONCAT(ElipseTabla!$F51,",",ElipseTabla!H51)</f>
        <v>52.5,37.780934751154</v>
      </c>
      <c r="B346" s="1" t="str">
        <f t="shared" si="6"/>
        <v>POINT 52.5,37.780934751154</v>
      </c>
    </row>
    <row r="347" spans="1:2" x14ac:dyDescent="0.6">
      <c r="A347" s="1" t="str">
        <f>_xlfn.CONCAT(ElipseTabla!$F52,",",ElipseTabla!H52)</f>
        <v>51.25,38.340776183639</v>
      </c>
      <c r="B347" s="1" t="str">
        <f t="shared" si="6"/>
        <v>POINT 51.25,38.340776183639</v>
      </c>
    </row>
    <row r="348" spans="1:2" x14ac:dyDescent="0.6">
      <c r="A348" s="1" t="str">
        <f>_xlfn.CONCAT(ElipseTabla!$F53,",",ElipseTabla!H53)</f>
        <v>50,38.9445840321487</v>
      </c>
      <c r="B348" s="1" t="str">
        <f t="shared" si="6"/>
        <v>POINT 50,38.9445840321487</v>
      </c>
    </row>
    <row r="349" spans="1:2" x14ac:dyDescent="0.6">
      <c r="A349" s="1" t="str">
        <f>_xlfn.CONCAT(ElipseTabla!$F54,",",ElipseTabla!H54)</f>
        <v>48.75,39.6000133547094</v>
      </c>
      <c r="B349" s="1" t="str">
        <f t="shared" si="6"/>
        <v>POINT 48.75,39.6000133547094</v>
      </c>
    </row>
    <row r="350" spans="1:2" x14ac:dyDescent="0.6">
      <c r="A350" s="1" t="str">
        <f>_xlfn.CONCAT(ElipseTabla!$F55,",",ElipseTabla!H55)</f>
        <v>47.5,40.3175416344815</v>
      </c>
      <c r="B350" s="1" t="str">
        <f t="shared" si="6"/>
        <v>POINT 47.5,40.3175416344815</v>
      </c>
    </row>
    <row r="351" spans="1:2" x14ac:dyDescent="0.6">
      <c r="A351" s="1" t="str">
        <f>_xlfn.CONCAT(ElipseTabla!$F56,",",ElipseTabla!H56)</f>
        <v>46.25,41.112196246791</v>
      </c>
      <c r="B351" s="1" t="str">
        <f t="shared" si="6"/>
        <v>POINT 46.25,41.112196246791</v>
      </c>
    </row>
    <row r="352" spans="1:2" x14ac:dyDescent="0.6">
      <c r="A352" s="1" t="str">
        <f>_xlfn.CONCAT(ElipseTabla!$F57,",",ElipseTabla!H57)</f>
        <v>45,42.0069474611455</v>
      </c>
      <c r="B352" s="1" t="str">
        <f t="shared" si="6"/>
        <v>POINT 45,42.0069474611455</v>
      </c>
    </row>
    <row r="353" spans="1:2" x14ac:dyDescent="0.6">
      <c r="A353" s="1" t="str">
        <f>_xlfn.CONCAT(ElipseTabla!$F58,",",ElipseTabla!H58)</f>
        <v>43.75,43.0402945464625</v>
      </c>
      <c r="B353" s="1" t="str">
        <f t="shared" si="6"/>
        <v>POINT 43.75,43.0402945464625</v>
      </c>
    </row>
    <row r="354" spans="1:2" x14ac:dyDescent="0.6">
      <c r="A354" s="1" t="str">
        <f>_xlfn.CONCAT(ElipseTabla!$F59,",",ElipseTabla!H59)</f>
        <v>42.5,44.2869544996658</v>
      </c>
      <c r="B354" s="1" t="str">
        <f t="shared" si="6"/>
        <v>POINT 42.5,44.2869544996658</v>
      </c>
    </row>
    <row r="355" spans="1:2" x14ac:dyDescent="0.6">
      <c r="A355" s="1" t="str">
        <f>_xlfn.CONCAT(ElipseTabla!$F60,",",ElipseTabla!H60)</f>
        <v>41.25,45.9388356896629</v>
      </c>
      <c r="B355" s="1" t="str">
        <f t="shared" si="6"/>
        <v>POINT 41.25,45.9388356896629</v>
      </c>
    </row>
    <row r="356" spans="1:2" x14ac:dyDescent="0.6">
      <c r="A356" s="1" t="str">
        <f>_xlfn.CONCAT(ElipseTabla!$F61,",",ElipseTabla!H61)</f>
        <v>40,50</v>
      </c>
      <c r="B356" s="1" t="str">
        <f t="shared" si="6"/>
        <v>POINT 40,50</v>
      </c>
    </row>
    <row r="357" spans="1:2" x14ac:dyDescent="0.6">
      <c r="A357" s="1" t="str">
        <f>_xlfn.CONCAT(ElipseTabla!$F62,",",ElipseTabla!H62)</f>
        <v>40,50</v>
      </c>
      <c r="B357" s="1" t="str">
        <f t="shared" si="6"/>
        <v>POINT 40,50</v>
      </c>
    </row>
    <row r="358" spans="1:2" x14ac:dyDescent="0.6">
      <c r="A358" s="1" t="str">
        <f>_xlfn.CONCAT(ElipseTabla!$F63,",",ElipseTabla!H63)</f>
        <v>40,50</v>
      </c>
      <c r="B358" s="1" t="str">
        <f t="shared" si="6"/>
        <v>POINT 40,50</v>
      </c>
    </row>
    <row r="359" spans="1:2" x14ac:dyDescent="0.6">
      <c r="A359" s="1" t="str">
        <f>_xlfn.CONCAT(ElipseTabla!$F64,",",ElipseTabla!H64)</f>
        <v>40,50</v>
      </c>
      <c r="B359" s="1" t="str">
        <f t="shared" si="6"/>
        <v>POINT 40,50</v>
      </c>
    </row>
    <row r="360" spans="1:2" x14ac:dyDescent="0.6">
      <c r="A360" s="1" t="str">
        <f>_xlfn.CONCAT(ElipseTabla!$F65,",",ElipseTabla!H65)</f>
        <v>40,50</v>
      </c>
      <c r="B360" s="1" t="str">
        <f t="shared" si="6"/>
        <v>POINT 40,50</v>
      </c>
    </row>
    <row r="361" spans="1:2" x14ac:dyDescent="0.6">
      <c r="A361" s="1" t="str">
        <f>_xlfn.CONCAT(ElipseTabla!$F66,",",ElipseTabla!H66)</f>
        <v>40,50</v>
      </c>
      <c r="B361" s="1" t="str">
        <f t="shared" si="6"/>
        <v>POINT 40,50</v>
      </c>
    </row>
    <row r="362" spans="1:2" x14ac:dyDescent="0.6">
      <c r="A362" s="1" t="str">
        <f>_xlfn.CONCAT(ElipseTabla!$F67,",",ElipseTabla!H67)</f>
        <v>40,50</v>
      </c>
      <c r="B362" s="1" t="str">
        <f t="shared" si="6"/>
        <v>POINT 40,50</v>
      </c>
    </row>
    <row r="363" spans="1:2" x14ac:dyDescent="0.6">
      <c r="A363" s="1" t="str">
        <f>_xlfn.CONCAT(ElipseTabla!$F68,",",ElipseTabla!H68)</f>
        <v>40,50</v>
      </c>
      <c r="B363" s="1" t="str">
        <f t="shared" si="6"/>
        <v>POINT 40,50</v>
      </c>
    </row>
    <row r="364" spans="1:2" x14ac:dyDescent="0.6">
      <c r="A364" s="1" t="str">
        <f>_xlfn.CONCAT(ElipseTabla!$F69,",",ElipseTabla!H69)</f>
        <v>40,50</v>
      </c>
      <c r="B364" s="1" t="str">
        <f t="shared" si="6"/>
        <v>POINT 40,50</v>
      </c>
    </row>
    <row r="365" spans="1:2" x14ac:dyDescent="0.6">
      <c r="A365" s="1" t="str">
        <f>_xlfn.CONCAT(ElipseTabla!$F70,",",ElipseTabla!H70)</f>
        <v>40,50</v>
      </c>
      <c r="B365" s="1" t="str">
        <f t="shared" si="6"/>
        <v>POINT 40,50</v>
      </c>
    </row>
    <row r="366" spans="1:2" x14ac:dyDescent="0.6">
      <c r="A366" s="1" t="str">
        <f>_xlfn.CONCAT(ElipseTabla!$F71,",",ElipseTabla!H71)</f>
        <v>40,50</v>
      </c>
      <c r="B366" s="1" t="str">
        <f t="shared" si="6"/>
        <v>POINT 40,50</v>
      </c>
    </row>
    <row r="367" spans="1:2" x14ac:dyDescent="0.6">
      <c r="A367" s="1" t="str">
        <f>_xlfn.CONCAT(ElipseTabla!$F72,",",ElipseTabla!H72)</f>
        <v>40,50</v>
      </c>
      <c r="B367" s="1" t="str">
        <f t="shared" si="6"/>
        <v>POINT 40,50</v>
      </c>
    </row>
    <row r="368" spans="1:2" x14ac:dyDescent="0.6">
      <c r="A368" s="1" t="str">
        <f>_xlfn.CONCAT(ElipseTabla!$F73,",",ElipseTabla!H73)</f>
        <v>40,50</v>
      </c>
      <c r="B368" s="1" t="str">
        <f t="shared" si="6"/>
        <v>POINT 40,50</v>
      </c>
    </row>
    <row r="369" spans="1:2" x14ac:dyDescent="0.6">
      <c r="A369" s="1" t="str">
        <f>_xlfn.CONCAT(ElipseTabla!$F74,",",ElipseTabla!H74)</f>
        <v>40,50</v>
      </c>
      <c r="B369" s="1" t="str">
        <f t="shared" si="6"/>
        <v>POINT 40,50</v>
      </c>
    </row>
    <row r="370" spans="1:2" x14ac:dyDescent="0.6">
      <c r="A370" s="1" t="str">
        <f>_xlfn.CONCAT(ElipseTabla!$F75,",",ElipseTabla!H75)</f>
        <v>40,50</v>
      </c>
      <c r="B370" s="1" t="str">
        <f t="shared" si="6"/>
        <v>POINT 40,50</v>
      </c>
    </row>
    <row r="371" spans="1:2" x14ac:dyDescent="0.6">
      <c r="A371" s="1" t="str">
        <f>_xlfn.CONCAT(ElipseTabla!$F76,",",ElipseTabla!H76)</f>
        <v>40,50</v>
      </c>
      <c r="B371" s="1" t="str">
        <f t="shared" si="6"/>
        <v>POINT 40,50</v>
      </c>
    </row>
    <row r="372" spans="1:2" x14ac:dyDescent="0.6">
      <c r="A372" s="1" t="str">
        <f>_xlfn.CONCAT(ElipseTabla!$F77,",",ElipseTabla!H77)</f>
        <v>40,50</v>
      </c>
      <c r="B372" s="1" t="str">
        <f t="shared" ref="B372:B407" si="7">_xlfn.CONCAT("POINT ",A372)</f>
        <v>POINT 40,50</v>
      </c>
    </row>
    <row r="373" spans="1:2" x14ac:dyDescent="0.6">
      <c r="A373" s="1" t="str">
        <f>_xlfn.CONCAT(ElipseTabla!$F78,",",ElipseTabla!H78)</f>
        <v>40,50</v>
      </c>
      <c r="B373" s="1" t="str">
        <f t="shared" si="7"/>
        <v>POINT 40,50</v>
      </c>
    </row>
    <row r="374" spans="1:2" x14ac:dyDescent="0.6">
      <c r="A374" s="1" t="str">
        <f>_xlfn.CONCAT(ElipseTabla!$F79,",",ElipseTabla!H79)</f>
        <v>40,50</v>
      </c>
      <c r="B374" s="1" t="str">
        <f t="shared" si="7"/>
        <v>POINT 40,50</v>
      </c>
    </row>
    <row r="375" spans="1:2" x14ac:dyDescent="0.6">
      <c r="A375" s="1" t="str">
        <f>_xlfn.CONCAT(ElipseTabla!$F80,",",ElipseTabla!H80)</f>
        <v>40,50</v>
      </c>
      <c r="B375" s="1" t="str">
        <f t="shared" si="7"/>
        <v>POINT 40,50</v>
      </c>
    </row>
    <row r="376" spans="1:2" x14ac:dyDescent="0.6">
      <c r="A376" s="1" t="str">
        <f>_xlfn.CONCAT(ElipseTabla!$F81,",",ElipseTabla!H81)</f>
        <v>40,50</v>
      </c>
      <c r="B376" s="1" t="str">
        <f t="shared" si="7"/>
        <v>POINT 40,50</v>
      </c>
    </row>
    <row r="377" spans="1:2" x14ac:dyDescent="0.6">
      <c r="A377" s="1" t="str">
        <f>_xlfn.CONCAT(ElipseTabla!$F82,",",ElipseTabla!H82)</f>
        <v>40,50</v>
      </c>
      <c r="B377" s="1" t="str">
        <f t="shared" si="7"/>
        <v>POINT 40,50</v>
      </c>
    </row>
    <row r="378" spans="1:2" x14ac:dyDescent="0.6">
      <c r="A378" s="1" t="str">
        <f>_xlfn.CONCAT(ElipseTabla!$F83,",",ElipseTabla!H83)</f>
        <v>40,50</v>
      </c>
      <c r="B378" s="1" t="str">
        <f t="shared" si="7"/>
        <v>POINT 40,50</v>
      </c>
    </row>
    <row r="379" spans="1:2" x14ac:dyDescent="0.6">
      <c r="A379" s="1" t="str">
        <f>_xlfn.CONCAT(ElipseTabla!$F84,",",ElipseTabla!H84)</f>
        <v>40,50</v>
      </c>
      <c r="B379" s="1" t="str">
        <f t="shared" si="7"/>
        <v>POINT 40,50</v>
      </c>
    </row>
    <row r="380" spans="1:2" x14ac:dyDescent="0.6">
      <c r="A380" s="1" t="str">
        <f>_xlfn.CONCAT(ElipseTabla!$F85,",",ElipseTabla!H85)</f>
        <v>40,50</v>
      </c>
      <c r="B380" s="1" t="str">
        <f t="shared" si="7"/>
        <v>POINT 40,50</v>
      </c>
    </row>
    <row r="381" spans="1:2" x14ac:dyDescent="0.6">
      <c r="A381" s="1" t="str">
        <f>_xlfn.CONCAT(ElipseTabla!$F86,",",ElipseTabla!H86)</f>
        <v>40,50</v>
      </c>
      <c r="B381" s="1" t="str">
        <f t="shared" si="7"/>
        <v>POINT 40,50</v>
      </c>
    </row>
    <row r="382" spans="1:2" x14ac:dyDescent="0.6">
      <c r="A382" s="1" t="str">
        <f>_xlfn.CONCAT(ElipseTabla!$F87,",",ElipseTabla!H87)</f>
        <v>40,50</v>
      </c>
      <c r="B382" s="1" t="str">
        <f t="shared" si="7"/>
        <v>POINT 40,50</v>
      </c>
    </row>
    <row r="383" spans="1:2" x14ac:dyDescent="0.6">
      <c r="A383" s="1" t="str">
        <f>_xlfn.CONCAT(ElipseTabla!$F88,",",ElipseTabla!H88)</f>
        <v>40,50</v>
      </c>
      <c r="B383" s="1" t="str">
        <f t="shared" si="7"/>
        <v>POINT 40,50</v>
      </c>
    </row>
    <row r="384" spans="1:2" x14ac:dyDescent="0.6">
      <c r="A384" s="1" t="str">
        <f>_xlfn.CONCAT(ElipseTabla!$F89,",",ElipseTabla!H89)</f>
        <v>40,50</v>
      </c>
      <c r="B384" s="1" t="str">
        <f t="shared" si="7"/>
        <v>POINT 40,50</v>
      </c>
    </row>
    <row r="385" spans="1:2" x14ac:dyDescent="0.6">
      <c r="A385" s="1" t="str">
        <f>_xlfn.CONCAT(ElipseTabla!$F90,",",ElipseTabla!H90)</f>
        <v>40,50</v>
      </c>
      <c r="B385" s="1" t="str">
        <f t="shared" si="7"/>
        <v>POINT 40,50</v>
      </c>
    </row>
    <row r="386" spans="1:2" x14ac:dyDescent="0.6">
      <c r="A386" s="1" t="str">
        <f>_xlfn.CONCAT(ElipseTabla!$F91,",",ElipseTabla!H91)</f>
        <v>40,50</v>
      </c>
      <c r="B386" s="1" t="str">
        <f t="shared" si="7"/>
        <v>POINT 40,50</v>
      </c>
    </row>
    <row r="387" spans="1:2" x14ac:dyDescent="0.6">
      <c r="A387" s="1" t="str">
        <f>_xlfn.CONCAT(ElipseTabla!$F92,",",ElipseTabla!H92)</f>
        <v>40,50</v>
      </c>
      <c r="B387" s="1" t="str">
        <f t="shared" si="7"/>
        <v>POINT 40,50</v>
      </c>
    </row>
    <row r="388" spans="1:2" x14ac:dyDescent="0.6">
      <c r="A388" s="1" t="str">
        <f>_xlfn.CONCAT(ElipseTabla!$F93,",",ElipseTabla!H93)</f>
        <v>40,50</v>
      </c>
      <c r="B388" s="1" t="str">
        <f t="shared" si="7"/>
        <v>POINT 40,50</v>
      </c>
    </row>
    <row r="389" spans="1:2" x14ac:dyDescent="0.6">
      <c r="A389" s="1" t="str">
        <f>_xlfn.CONCAT(ElipseTabla!$F94,",",ElipseTabla!H94)</f>
        <v>40,50</v>
      </c>
      <c r="B389" s="1" t="str">
        <f t="shared" si="7"/>
        <v>POINT 40,50</v>
      </c>
    </row>
    <row r="390" spans="1:2" x14ac:dyDescent="0.6">
      <c r="A390" s="1" t="str">
        <f>_xlfn.CONCAT(ElipseTabla!$F95,",",ElipseTabla!H95)</f>
        <v>40,50</v>
      </c>
      <c r="B390" s="1" t="str">
        <f t="shared" si="7"/>
        <v>POINT 40,50</v>
      </c>
    </row>
    <row r="391" spans="1:2" x14ac:dyDescent="0.6">
      <c r="A391" s="1" t="str">
        <f>_xlfn.CONCAT(ElipseTabla!$F96,",",ElipseTabla!H96)</f>
        <v>40,50</v>
      </c>
      <c r="B391" s="1" t="str">
        <f t="shared" si="7"/>
        <v>POINT 40,50</v>
      </c>
    </row>
    <row r="392" spans="1:2" x14ac:dyDescent="0.6">
      <c r="A392" s="1" t="str">
        <f>_xlfn.CONCAT(ElipseTabla!$F97,",",ElipseTabla!H97)</f>
        <v>40,50</v>
      </c>
      <c r="B392" s="1" t="str">
        <f t="shared" si="7"/>
        <v>POINT 40,50</v>
      </c>
    </row>
    <row r="393" spans="1:2" x14ac:dyDescent="0.6">
      <c r="A393" s="1" t="str">
        <f>_xlfn.CONCAT(ElipseTabla!$F98,",",ElipseTabla!H98)</f>
        <v>40,50</v>
      </c>
      <c r="B393" s="1" t="str">
        <f t="shared" si="7"/>
        <v>POINT 40,50</v>
      </c>
    </row>
    <row r="394" spans="1:2" x14ac:dyDescent="0.6">
      <c r="A394" s="1" t="str">
        <f>_xlfn.CONCAT(ElipseTabla!$F99,",",ElipseTabla!H99)</f>
        <v>40,50</v>
      </c>
      <c r="B394" s="1" t="str">
        <f t="shared" si="7"/>
        <v>POINT 40,50</v>
      </c>
    </row>
    <row r="395" spans="1:2" x14ac:dyDescent="0.6">
      <c r="A395" s="1" t="str">
        <f>_xlfn.CONCAT(ElipseTabla!$F100,",",ElipseTabla!H100)</f>
        <v>40,50</v>
      </c>
      <c r="B395" s="1" t="str">
        <f t="shared" si="7"/>
        <v>POINT 40,50</v>
      </c>
    </row>
    <row r="396" spans="1:2" x14ac:dyDescent="0.6">
      <c r="A396" s="1" t="str">
        <f>_xlfn.CONCAT(ElipseTabla!$F101,",",ElipseTabla!H101)</f>
        <v>40,50</v>
      </c>
      <c r="B396" s="1" t="str">
        <f t="shared" si="7"/>
        <v>POINT 40,50</v>
      </c>
    </row>
    <row r="397" spans="1:2" x14ac:dyDescent="0.6">
      <c r="A397" s="1" t="str">
        <f>_xlfn.CONCAT(ElipseTabla!$F102,",",ElipseTabla!H102)</f>
        <v>40,50</v>
      </c>
      <c r="B397" s="1" t="str">
        <f t="shared" si="7"/>
        <v>POINT 40,50</v>
      </c>
    </row>
    <row r="398" spans="1:2" x14ac:dyDescent="0.6">
      <c r="A398" s="1" t="str">
        <f>_xlfn.CONCAT(ElipseTabla!$F103,",",ElipseTabla!H103)</f>
        <v>40,50</v>
      </c>
      <c r="B398" s="1" t="str">
        <f t="shared" si="7"/>
        <v>POINT 40,50</v>
      </c>
    </row>
    <row r="399" spans="1:2" x14ac:dyDescent="0.6">
      <c r="A399" s="1" t="str">
        <f>_xlfn.CONCAT(ElipseTabla!$F104,",",ElipseTabla!H104)</f>
        <v>40,50</v>
      </c>
      <c r="B399" s="1" t="str">
        <f t="shared" si="7"/>
        <v>POINT 40,50</v>
      </c>
    </row>
    <row r="400" spans="1:2" x14ac:dyDescent="0.6">
      <c r="A400" s="1" t="str">
        <f>_xlfn.CONCAT(ElipseTabla!$F105,",",ElipseTabla!H105)</f>
        <v>40,50</v>
      </c>
      <c r="B400" s="1" t="str">
        <f t="shared" si="7"/>
        <v>POINT 40,50</v>
      </c>
    </row>
    <row r="401" spans="1:2" x14ac:dyDescent="0.6">
      <c r="A401" s="1" t="str">
        <f>_xlfn.CONCAT(ElipseTabla!$F106,",",ElipseTabla!H106)</f>
        <v>40,50</v>
      </c>
      <c r="B401" s="1" t="str">
        <f t="shared" si="7"/>
        <v>POINT 40,50</v>
      </c>
    </row>
    <row r="402" spans="1:2" x14ac:dyDescent="0.6">
      <c r="A402" s="1" t="str">
        <f>_xlfn.CONCAT(ElipseTabla!$F107,",",ElipseTabla!H107)</f>
        <v>40,50</v>
      </c>
      <c r="B402" s="1" t="str">
        <f t="shared" si="7"/>
        <v>POINT 40,50</v>
      </c>
    </row>
    <row r="403" spans="1:2" x14ac:dyDescent="0.6">
      <c r="A403" s="1" t="str">
        <f>_xlfn.CONCAT(ElipseTabla!$F108,",",ElipseTabla!H108)</f>
        <v>40,50</v>
      </c>
      <c r="B403" s="1" t="str">
        <f t="shared" si="7"/>
        <v>POINT 40,50</v>
      </c>
    </row>
    <row r="404" spans="1:2" x14ac:dyDescent="0.6">
      <c r="A404" s="1" t="str">
        <f>_xlfn.CONCAT(ElipseTabla!$F109,",",ElipseTabla!H109)</f>
        <v>40,50</v>
      </c>
      <c r="B404" s="1" t="str">
        <f t="shared" si="7"/>
        <v>POINT 40,50</v>
      </c>
    </row>
    <row r="405" spans="1:2" x14ac:dyDescent="0.6">
      <c r="A405" s="1" t="str">
        <f>_xlfn.CONCAT(ElipseTabla!$F110,",",ElipseTabla!H110)</f>
        <v>40,50</v>
      </c>
      <c r="B405" s="1" t="str">
        <f t="shared" si="7"/>
        <v>POINT 40,50</v>
      </c>
    </row>
    <row r="406" spans="1:2" x14ac:dyDescent="0.6">
      <c r="A406" s="1" t="str">
        <f>_xlfn.CONCAT(ElipseTabla!$F111,",",ElipseTabla!H111)</f>
        <v>40,50</v>
      </c>
      <c r="B406" s="1" t="str">
        <f t="shared" si="7"/>
        <v>POINT 40,50</v>
      </c>
    </row>
    <row r="407" spans="1:2" x14ac:dyDescent="0.6">
      <c r="A407" s="1" t="str">
        <f>_xlfn.CONCAT(ElipseTabla!$F112,",",ElipseTabla!H112)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2:F112"/>
  <sheetViews>
    <sheetView showGridLines="0" zoomScale="130" zoomScaleNormal="130" workbookViewId="0">
      <selection activeCell="G7" sqref="G7"/>
    </sheetView>
  </sheetViews>
  <sheetFormatPr defaultColWidth="10.6640625" defaultRowHeight="16.5" x14ac:dyDescent="0.6"/>
  <cols>
    <col min="1" max="1" width="2.59765625" style="1" customWidth="1"/>
    <col min="2" max="2" width="7.1328125" style="28" customWidth="1"/>
    <col min="3" max="4" width="10.86328125" style="1" customWidth="1"/>
    <col min="5" max="6" width="17.53125" style="1" customWidth="1"/>
    <col min="7" max="16384" width="10.6640625" style="1"/>
  </cols>
  <sheetData>
    <row r="2" spans="2:6" ht="18.75" x14ac:dyDescent="0.7">
      <c r="B2" s="56" t="s">
        <v>40</v>
      </c>
      <c r="C2" s="10"/>
      <c r="D2" s="10"/>
      <c r="E2" s="10"/>
      <c r="F2" s="11"/>
    </row>
    <row r="3" spans="2:6" x14ac:dyDescent="0.6">
      <c r="B3" s="24"/>
      <c r="C3" s="13"/>
      <c r="D3" s="13"/>
      <c r="E3" s="13"/>
      <c r="F3" s="14"/>
    </row>
    <row r="4" spans="2:6" x14ac:dyDescent="0.6">
      <c r="B4" s="2" t="s">
        <v>13</v>
      </c>
      <c r="C4" s="15"/>
      <c r="D4" s="3" t="s">
        <v>14</v>
      </c>
      <c r="E4" s="10"/>
      <c r="F4" s="11"/>
    </row>
    <row r="5" spans="2:6" x14ac:dyDescent="0.6">
      <c r="B5" s="16" t="s">
        <v>23</v>
      </c>
      <c r="C5" s="17"/>
      <c r="D5" s="23">
        <v>-30</v>
      </c>
      <c r="F5" s="12"/>
    </row>
    <row r="6" spans="2:6" x14ac:dyDescent="0.6">
      <c r="B6" s="16" t="s">
        <v>24</v>
      </c>
      <c r="C6" s="18"/>
      <c r="D6" s="19">
        <f>ABS(xstart_hiperbola)</f>
        <v>30</v>
      </c>
      <c r="F6" s="12"/>
    </row>
    <row r="7" spans="2:6" x14ac:dyDescent="0.6">
      <c r="B7" s="16" t="s">
        <v>21</v>
      </c>
      <c r="C7" s="18"/>
      <c r="D7" s="23">
        <v>12</v>
      </c>
      <c r="F7" s="12"/>
    </row>
    <row r="8" spans="2:6" x14ac:dyDescent="0.6">
      <c r="B8" s="16" t="s">
        <v>22</v>
      </c>
      <c r="C8" s="18"/>
      <c r="D8" s="23">
        <v>9</v>
      </c>
      <c r="F8" s="12"/>
    </row>
    <row r="9" spans="2:6" x14ac:dyDescent="0.6">
      <c r="B9" s="16" t="s">
        <v>12</v>
      </c>
      <c r="C9" s="18"/>
      <c r="D9" s="23">
        <v>100</v>
      </c>
      <c r="F9" s="12"/>
    </row>
    <row r="10" spans="2:6" x14ac:dyDescent="0.6">
      <c r="B10" s="16"/>
      <c r="C10" s="18"/>
      <c r="D10" s="19"/>
      <c r="F10" s="12"/>
    </row>
    <row r="11" spans="2:6" x14ac:dyDescent="0.6">
      <c r="B11" s="20"/>
      <c r="C11" s="21"/>
      <c r="D11" s="22"/>
      <c r="E11" s="13"/>
      <c r="F11" s="14"/>
    </row>
    <row r="12" spans="2:6" x14ac:dyDescent="0.6">
      <c r="B12" s="25" t="s">
        <v>15</v>
      </c>
      <c r="C12" s="4" t="s">
        <v>6</v>
      </c>
      <c r="D12" s="4" t="s">
        <v>25</v>
      </c>
      <c r="E12" s="4" t="s">
        <v>7</v>
      </c>
      <c r="F12" s="5" t="s">
        <v>26</v>
      </c>
    </row>
    <row r="13" spans="2:6" x14ac:dyDescent="0.6">
      <c r="B13" s="26">
        <v>1</v>
      </c>
      <c r="C13" s="6">
        <f>xstart_hiperbola</f>
        <v>-30</v>
      </c>
      <c r="D13" s="6">
        <f t="shared" ref="D13:D44" si="0">IFERROR(((($C13^2/a_hiperbola^2)-1)*b_hiperbola^2)^0.5,"")</f>
        <v>20.621590627301281</v>
      </c>
      <c r="E13" s="6">
        <f>-C13</f>
        <v>30</v>
      </c>
      <c r="F13" s="7">
        <f>IFERROR(-D13,"")</f>
        <v>-20.621590627301281</v>
      </c>
    </row>
    <row r="14" spans="2:6" x14ac:dyDescent="0.6">
      <c r="B14" s="26">
        <v>2</v>
      </c>
      <c r="C14" s="6">
        <f t="shared" ref="C14:C45" si="1">IF(C13-(xstart_hiperbola-xend_hiperbola)/np_hiperbola&gt;xend_hiperbola,xend_hiperbola,C13-(xstart_hiperbola-xend_hiperbola)/np_hiperbola)</f>
        <v>-29.4</v>
      </c>
      <c r="D14" s="6">
        <f t="shared" si="0"/>
        <v>20.129642321710538</v>
      </c>
      <c r="E14" s="6">
        <f t="shared" ref="E14:E45" si="2">-C14</f>
        <v>29.4</v>
      </c>
      <c r="F14" s="7">
        <f t="shared" ref="F14:F77" si="3">IFERROR(-D14,"")</f>
        <v>-20.129642321710538</v>
      </c>
    </row>
    <row r="15" spans="2:6" x14ac:dyDescent="0.6">
      <c r="B15" s="26">
        <v>3</v>
      </c>
      <c r="C15" s="6">
        <f t="shared" si="1"/>
        <v>-28.799999999999997</v>
      </c>
      <c r="D15" s="6">
        <f t="shared" si="0"/>
        <v>19.635681806344284</v>
      </c>
      <c r="E15" s="6">
        <f t="shared" si="2"/>
        <v>28.799999999999997</v>
      </c>
      <c r="F15" s="7">
        <f t="shared" si="3"/>
        <v>-19.635681806344284</v>
      </c>
    </row>
    <row r="16" spans="2:6" x14ac:dyDescent="0.6">
      <c r="B16" s="26">
        <v>4</v>
      </c>
      <c r="C16" s="6">
        <f t="shared" si="1"/>
        <v>-28.199999999999996</v>
      </c>
      <c r="D16" s="6">
        <f t="shared" si="0"/>
        <v>19.139553286323061</v>
      </c>
      <c r="E16" s="6">
        <f t="shared" si="2"/>
        <v>28.199999999999996</v>
      </c>
      <c r="F16" s="7">
        <f t="shared" si="3"/>
        <v>-19.139553286323061</v>
      </c>
    </row>
    <row r="17" spans="2:6" x14ac:dyDescent="0.6">
      <c r="B17" s="26">
        <v>5</v>
      </c>
      <c r="C17" s="6">
        <f t="shared" si="1"/>
        <v>-27.599999999999994</v>
      </c>
      <c r="D17" s="6">
        <f t="shared" si="0"/>
        <v>18.641083659487176</v>
      </c>
      <c r="E17" s="6">
        <f t="shared" si="2"/>
        <v>27.599999999999994</v>
      </c>
      <c r="F17" s="7">
        <f t="shared" si="3"/>
        <v>-18.641083659487176</v>
      </c>
    </row>
    <row r="18" spans="2:6" x14ac:dyDescent="0.6">
      <c r="B18" s="26">
        <v>6</v>
      </c>
      <c r="C18" s="6">
        <f t="shared" si="1"/>
        <v>-26.999999999999993</v>
      </c>
      <c r="D18" s="6">
        <f t="shared" si="0"/>
        <v>18.140079933671732</v>
      </c>
      <c r="E18" s="6">
        <f t="shared" si="2"/>
        <v>26.999999999999993</v>
      </c>
      <c r="F18" s="7">
        <f t="shared" si="3"/>
        <v>-18.140079933671732</v>
      </c>
    </row>
    <row r="19" spans="2:6" x14ac:dyDescent="0.6">
      <c r="B19" s="26">
        <v>7</v>
      </c>
      <c r="C19" s="6">
        <f t="shared" si="1"/>
        <v>-26.399999999999991</v>
      </c>
      <c r="D19" s="6">
        <f t="shared" si="0"/>
        <v>17.636326148038876</v>
      </c>
      <c r="E19" s="6">
        <f t="shared" si="2"/>
        <v>26.399999999999991</v>
      </c>
      <c r="F19" s="7">
        <f t="shared" si="3"/>
        <v>-17.636326148038876</v>
      </c>
    </row>
    <row r="20" spans="2:6" x14ac:dyDescent="0.6">
      <c r="B20" s="26">
        <v>8</v>
      </c>
      <c r="C20" s="6">
        <f t="shared" si="1"/>
        <v>-25.79999999999999</v>
      </c>
      <c r="D20" s="6">
        <f t="shared" si="0"/>
        <v>17.129579679606845</v>
      </c>
      <c r="E20" s="6">
        <f t="shared" si="2"/>
        <v>25.79999999999999</v>
      </c>
      <c r="F20" s="7">
        <f t="shared" si="3"/>
        <v>-17.129579679606845</v>
      </c>
    </row>
    <row r="21" spans="2:6" x14ac:dyDescent="0.6">
      <c r="B21" s="26">
        <v>9</v>
      </c>
      <c r="C21" s="6">
        <f t="shared" si="1"/>
        <v>-25.199999999999989</v>
      </c>
      <c r="D21" s="6">
        <f t="shared" si="0"/>
        <v>16.619566781357438</v>
      </c>
      <c r="E21" s="6">
        <f t="shared" si="2"/>
        <v>25.199999999999989</v>
      </c>
      <c r="F21" s="7">
        <f t="shared" si="3"/>
        <v>-16.619566781357438</v>
      </c>
    </row>
    <row r="22" spans="2:6" x14ac:dyDescent="0.6">
      <c r="B22" s="26">
        <v>10</v>
      </c>
      <c r="C22" s="6">
        <f t="shared" si="1"/>
        <v>-24.599999999999987</v>
      </c>
      <c r="D22" s="6">
        <f t="shared" si="0"/>
        <v>16.105977151355944</v>
      </c>
      <c r="E22" s="6">
        <f t="shared" si="2"/>
        <v>24.599999999999987</v>
      </c>
      <c r="F22" s="7">
        <f t="shared" si="3"/>
        <v>-16.105977151355944</v>
      </c>
    </row>
    <row r="23" spans="2:6" x14ac:dyDescent="0.6">
      <c r="B23" s="26">
        <v>11</v>
      </c>
      <c r="C23" s="6">
        <f t="shared" si="1"/>
        <v>-23.999999999999986</v>
      </c>
      <c r="D23" s="6">
        <f t="shared" si="0"/>
        <v>15.588457268119884</v>
      </c>
      <c r="E23" s="6">
        <f t="shared" si="2"/>
        <v>23.999999999999986</v>
      </c>
      <c r="F23" s="7">
        <f t="shared" si="3"/>
        <v>-15.588457268119884</v>
      </c>
    </row>
    <row r="24" spans="2:6" x14ac:dyDescent="0.6">
      <c r="B24" s="26">
        <v>12</v>
      </c>
      <c r="C24" s="6">
        <f t="shared" si="1"/>
        <v>-23.399999999999984</v>
      </c>
      <c r="D24" s="6">
        <f t="shared" si="0"/>
        <v>15.066602138504873</v>
      </c>
      <c r="E24" s="6">
        <f t="shared" si="2"/>
        <v>23.399999999999984</v>
      </c>
      <c r="F24" s="7">
        <f t="shared" si="3"/>
        <v>-15.066602138504873</v>
      </c>
    </row>
    <row r="25" spans="2:6" x14ac:dyDescent="0.6">
      <c r="B25" s="26">
        <v>13</v>
      </c>
      <c r="C25" s="6">
        <f t="shared" si="1"/>
        <v>-22.799999999999983</v>
      </c>
      <c r="D25" s="6">
        <f t="shared" si="0"/>
        <v>14.539944979263145</v>
      </c>
      <c r="E25" s="6">
        <f t="shared" si="2"/>
        <v>22.799999999999983</v>
      </c>
      <c r="F25" s="7">
        <f t="shared" si="3"/>
        <v>-14.539944979263145</v>
      </c>
    </row>
    <row r="26" spans="2:6" x14ac:dyDescent="0.6">
      <c r="B26" s="26">
        <v>14</v>
      </c>
      <c r="C26" s="6">
        <f t="shared" si="1"/>
        <v>-22.199999999999982</v>
      </c>
      <c r="D26" s="6">
        <f t="shared" si="0"/>
        <v>14.007944174646026</v>
      </c>
      <c r="E26" s="6">
        <f t="shared" si="2"/>
        <v>22.199999999999982</v>
      </c>
      <c r="F26" s="7">
        <f t="shared" si="3"/>
        <v>-14.007944174646026</v>
      </c>
    </row>
    <row r="27" spans="2:6" x14ac:dyDescent="0.6">
      <c r="B27" s="26">
        <v>15</v>
      </c>
      <c r="C27" s="6">
        <f t="shared" si="1"/>
        <v>-21.59999999999998</v>
      </c>
      <c r="D27" s="6">
        <f t="shared" si="0"/>
        <v>13.469966592386172</v>
      </c>
      <c r="E27" s="6">
        <f t="shared" si="2"/>
        <v>21.59999999999998</v>
      </c>
      <c r="F27" s="7">
        <f t="shared" si="3"/>
        <v>-13.469966592386172</v>
      </c>
    </row>
    <row r="28" spans="2:6" x14ac:dyDescent="0.6">
      <c r="B28" s="26">
        <v>16</v>
      </c>
      <c r="C28" s="6">
        <f t="shared" si="1"/>
        <v>-20.999999999999979</v>
      </c>
      <c r="D28" s="6">
        <f t="shared" si="0"/>
        <v>12.925265954710545</v>
      </c>
      <c r="E28" s="6">
        <f t="shared" si="2"/>
        <v>20.999999999999979</v>
      </c>
      <c r="F28" s="7">
        <f t="shared" si="3"/>
        <v>-12.925265954710545</v>
      </c>
    </row>
    <row r="29" spans="2:6" x14ac:dyDescent="0.6">
      <c r="B29" s="26">
        <v>17</v>
      </c>
      <c r="C29" s="6">
        <f t="shared" si="1"/>
        <v>-20.399999999999977</v>
      </c>
      <c r="D29" s="6">
        <f t="shared" si="0"/>
        <v>12.372954376380747</v>
      </c>
      <c r="E29" s="6">
        <f t="shared" si="2"/>
        <v>20.399999999999977</v>
      </c>
      <c r="F29" s="7">
        <f t="shared" si="3"/>
        <v>-12.372954376380747</v>
      </c>
    </row>
    <row r="30" spans="2:6" x14ac:dyDescent="0.6">
      <c r="B30" s="26">
        <v>18</v>
      </c>
      <c r="C30" s="6">
        <f t="shared" si="1"/>
        <v>-19.799999999999976</v>
      </c>
      <c r="D30" s="6">
        <f t="shared" si="0"/>
        <v>11.811964273565996</v>
      </c>
      <c r="E30" s="6">
        <f t="shared" si="2"/>
        <v>19.799999999999976</v>
      </c>
      <c r="F30" s="7">
        <f t="shared" si="3"/>
        <v>-11.811964273565996</v>
      </c>
    </row>
    <row r="31" spans="2:6" x14ac:dyDescent="0.6">
      <c r="B31" s="26">
        <v>19</v>
      </c>
      <c r="C31" s="6">
        <f t="shared" si="1"/>
        <v>-19.199999999999974</v>
      </c>
      <c r="D31" s="6">
        <f t="shared" si="0"/>
        <v>11.240996397117092</v>
      </c>
      <c r="E31" s="6">
        <f t="shared" si="2"/>
        <v>19.199999999999974</v>
      </c>
      <c r="F31" s="7">
        <f t="shared" si="3"/>
        <v>-11.240996397117092</v>
      </c>
    </row>
    <row r="32" spans="2:6" x14ac:dyDescent="0.6">
      <c r="B32" s="26">
        <v>20</v>
      </c>
      <c r="C32" s="6">
        <f t="shared" si="1"/>
        <v>-18.599999999999973</v>
      </c>
      <c r="D32" s="6">
        <f t="shared" si="0"/>
        <v>10.658447354094285</v>
      </c>
      <c r="E32" s="6">
        <f t="shared" si="2"/>
        <v>18.599999999999973</v>
      </c>
      <c r="F32" s="7">
        <f t="shared" si="3"/>
        <v>-10.658447354094285</v>
      </c>
    </row>
    <row r="33" spans="2:6" x14ac:dyDescent="0.6">
      <c r="B33" s="26">
        <v>21</v>
      </c>
      <c r="C33" s="6">
        <f t="shared" si="1"/>
        <v>-17.999999999999972</v>
      </c>
      <c r="D33" s="6">
        <f t="shared" si="0"/>
        <v>10.062305898749026</v>
      </c>
      <c r="E33" s="6">
        <f t="shared" si="2"/>
        <v>17.999999999999972</v>
      </c>
      <c r="F33" s="7">
        <f t="shared" si="3"/>
        <v>-10.062305898749026</v>
      </c>
    </row>
    <row r="34" spans="2:6" x14ac:dyDescent="0.6">
      <c r="B34" s="26">
        <v>22</v>
      </c>
      <c r="C34" s="6">
        <f t="shared" si="1"/>
        <v>-17.39999999999997</v>
      </c>
      <c r="D34" s="6">
        <f t="shared" si="0"/>
        <v>9.4499999999999691</v>
      </c>
      <c r="E34" s="6">
        <f t="shared" si="2"/>
        <v>17.39999999999997</v>
      </c>
      <c r="F34" s="7">
        <f t="shared" si="3"/>
        <v>-9.4499999999999691</v>
      </c>
    </row>
    <row r="35" spans="2:6" x14ac:dyDescent="0.6">
      <c r="B35" s="26">
        <v>23</v>
      </c>
      <c r="C35" s="6">
        <f t="shared" si="1"/>
        <v>-16.799999999999969</v>
      </c>
      <c r="D35" s="6">
        <f t="shared" si="0"/>
        <v>8.8181630740194077</v>
      </c>
      <c r="E35" s="6">
        <f t="shared" si="2"/>
        <v>16.799999999999969</v>
      </c>
      <c r="F35" s="7">
        <f t="shared" si="3"/>
        <v>-8.8181630740194077</v>
      </c>
    </row>
    <row r="36" spans="2:6" x14ac:dyDescent="0.6">
      <c r="B36" s="26">
        <v>24</v>
      </c>
      <c r="C36" s="6">
        <f t="shared" si="1"/>
        <v>-16.199999999999967</v>
      </c>
      <c r="D36" s="6">
        <f t="shared" si="0"/>
        <v>8.162260716247637</v>
      </c>
      <c r="E36" s="6">
        <f t="shared" si="2"/>
        <v>16.199999999999967</v>
      </c>
      <c r="F36" s="7">
        <f t="shared" si="3"/>
        <v>-8.162260716247637</v>
      </c>
    </row>
    <row r="37" spans="2:6" x14ac:dyDescent="0.6">
      <c r="B37" s="26">
        <v>25</v>
      </c>
      <c r="C37" s="6">
        <f t="shared" si="1"/>
        <v>-15.599999999999968</v>
      </c>
      <c r="D37" s="6">
        <f t="shared" si="0"/>
        <v>7.4759614766262299</v>
      </c>
      <c r="E37" s="6">
        <f t="shared" si="2"/>
        <v>15.599999999999968</v>
      </c>
      <c r="F37" s="7">
        <f t="shared" si="3"/>
        <v>-7.4759614766262299</v>
      </c>
    </row>
    <row r="38" spans="2:6" x14ac:dyDescent="0.6">
      <c r="B38" s="26">
        <v>26</v>
      </c>
      <c r="C38" s="6">
        <f t="shared" si="1"/>
        <v>-14.999999999999968</v>
      </c>
      <c r="D38" s="6">
        <f t="shared" si="0"/>
        <v>6.74999999999996</v>
      </c>
      <c r="E38" s="6">
        <f t="shared" si="2"/>
        <v>14.999999999999968</v>
      </c>
      <c r="F38" s="7">
        <f t="shared" si="3"/>
        <v>-6.74999999999996</v>
      </c>
    </row>
    <row r="39" spans="2:6" x14ac:dyDescent="0.6">
      <c r="B39" s="26">
        <v>27</v>
      </c>
      <c r="C39" s="6">
        <f t="shared" si="1"/>
        <v>-14.399999999999968</v>
      </c>
      <c r="D39" s="6">
        <f t="shared" si="0"/>
        <v>5.9699246226396756</v>
      </c>
      <c r="E39" s="6">
        <f t="shared" si="2"/>
        <v>14.399999999999968</v>
      </c>
      <c r="F39" s="7">
        <f t="shared" si="3"/>
        <v>-5.9699246226396756</v>
      </c>
    </row>
    <row r="40" spans="2:6" x14ac:dyDescent="0.6">
      <c r="B40" s="26">
        <v>28</v>
      </c>
      <c r="C40" s="6">
        <f t="shared" si="1"/>
        <v>-13.799999999999969</v>
      </c>
      <c r="D40" s="6">
        <f t="shared" si="0"/>
        <v>5.111017511220199</v>
      </c>
      <c r="E40" s="6">
        <f t="shared" si="2"/>
        <v>13.799999999999969</v>
      </c>
      <c r="F40" s="7">
        <f t="shared" si="3"/>
        <v>-5.111017511220199</v>
      </c>
    </row>
    <row r="41" spans="2:6" x14ac:dyDescent="0.6">
      <c r="B41" s="26">
        <v>29</v>
      </c>
      <c r="C41" s="6">
        <f t="shared" si="1"/>
        <v>-13.199999999999969</v>
      </c>
      <c r="D41" s="6">
        <f t="shared" si="0"/>
        <v>4.124318125460201</v>
      </c>
      <c r="E41" s="6">
        <f t="shared" si="2"/>
        <v>13.199999999999969</v>
      </c>
      <c r="F41" s="7">
        <f t="shared" si="3"/>
        <v>-4.124318125460201</v>
      </c>
    </row>
    <row r="42" spans="2:6" x14ac:dyDescent="0.6">
      <c r="B42" s="26">
        <v>30</v>
      </c>
      <c r="C42" s="6">
        <f t="shared" si="1"/>
        <v>-12.599999999999969</v>
      </c>
      <c r="D42" s="6">
        <f t="shared" si="0"/>
        <v>2.8814059068447078</v>
      </c>
      <c r="E42" s="6">
        <f t="shared" si="2"/>
        <v>12.599999999999969</v>
      </c>
      <c r="F42" s="7">
        <f t="shared" si="3"/>
        <v>-2.8814059068447078</v>
      </c>
    </row>
    <row r="43" spans="2:6" x14ac:dyDescent="0.6">
      <c r="B43" s="26">
        <v>31</v>
      </c>
      <c r="C43" s="6">
        <f t="shared" si="1"/>
        <v>-11.99999999999997</v>
      </c>
      <c r="D43" s="6" t="str">
        <f t="shared" si="0"/>
        <v/>
      </c>
      <c r="E43" s="6">
        <f t="shared" si="2"/>
        <v>11.99999999999997</v>
      </c>
      <c r="F43" s="7" t="str">
        <f t="shared" si="3"/>
        <v/>
      </c>
    </row>
    <row r="44" spans="2:6" x14ac:dyDescent="0.6">
      <c r="B44" s="26">
        <v>32</v>
      </c>
      <c r="C44" s="6">
        <f t="shared" si="1"/>
        <v>-11.39999999999997</v>
      </c>
      <c r="D44" s="6" t="str">
        <f t="shared" si="0"/>
        <v/>
      </c>
      <c r="E44" s="6">
        <f t="shared" si="2"/>
        <v>11.39999999999997</v>
      </c>
      <c r="F44" s="7" t="str">
        <f t="shared" si="3"/>
        <v/>
      </c>
    </row>
    <row r="45" spans="2:6" x14ac:dyDescent="0.6">
      <c r="B45" s="26">
        <v>33</v>
      </c>
      <c r="C45" s="6">
        <f t="shared" si="1"/>
        <v>-10.799999999999971</v>
      </c>
      <c r="D45" s="6" t="str">
        <f t="shared" ref="D45:D76" si="4">IFERROR(((($C45^2/a_hiperbola^2)-1)*b_hiperbola^2)^0.5,"")</f>
        <v/>
      </c>
      <c r="E45" s="6">
        <f t="shared" si="2"/>
        <v>10.799999999999971</v>
      </c>
      <c r="F45" s="7" t="str">
        <f t="shared" si="3"/>
        <v/>
      </c>
    </row>
    <row r="46" spans="2:6" x14ac:dyDescent="0.6">
      <c r="B46" s="26">
        <v>34</v>
      </c>
      <c r="C46" s="6">
        <f t="shared" ref="C46:C77" si="5">IF(C45-(xstart_hiperbola-xend_hiperbola)/np_hiperbola&gt;xend_hiperbola,xend_hiperbola,C45-(xstart_hiperbola-xend_hiperbola)/np_hiperbola)</f>
        <v>-10.199999999999971</v>
      </c>
      <c r="D46" s="6" t="str">
        <f t="shared" si="4"/>
        <v/>
      </c>
      <c r="E46" s="6">
        <f t="shared" ref="E46:E77" si="6">-C46</f>
        <v>10.199999999999971</v>
      </c>
      <c r="F46" s="7" t="str">
        <f t="shared" si="3"/>
        <v/>
      </c>
    </row>
    <row r="47" spans="2:6" x14ac:dyDescent="0.6">
      <c r="B47" s="26">
        <v>35</v>
      </c>
      <c r="C47" s="6">
        <f t="shared" si="5"/>
        <v>-9.5999999999999712</v>
      </c>
      <c r="D47" s="6" t="str">
        <f t="shared" si="4"/>
        <v/>
      </c>
      <c r="E47" s="6">
        <f t="shared" si="6"/>
        <v>9.5999999999999712</v>
      </c>
      <c r="F47" s="7" t="str">
        <f t="shared" si="3"/>
        <v/>
      </c>
    </row>
    <row r="48" spans="2:6" x14ac:dyDescent="0.6">
      <c r="B48" s="26">
        <v>36</v>
      </c>
      <c r="C48" s="6">
        <f t="shared" si="5"/>
        <v>-8.9999999999999716</v>
      </c>
      <c r="D48" s="6" t="str">
        <f t="shared" si="4"/>
        <v/>
      </c>
      <c r="E48" s="6">
        <f t="shared" si="6"/>
        <v>8.9999999999999716</v>
      </c>
      <c r="F48" s="7" t="str">
        <f t="shared" si="3"/>
        <v/>
      </c>
    </row>
    <row r="49" spans="2:6" x14ac:dyDescent="0.6">
      <c r="B49" s="26">
        <v>37</v>
      </c>
      <c r="C49" s="6">
        <f t="shared" si="5"/>
        <v>-8.3999999999999719</v>
      </c>
      <c r="D49" s="6" t="str">
        <f t="shared" si="4"/>
        <v/>
      </c>
      <c r="E49" s="6">
        <f t="shared" si="6"/>
        <v>8.3999999999999719</v>
      </c>
      <c r="F49" s="7" t="str">
        <f t="shared" si="3"/>
        <v/>
      </c>
    </row>
    <row r="50" spans="2:6" x14ac:dyDescent="0.6">
      <c r="B50" s="26">
        <v>38</v>
      </c>
      <c r="C50" s="6">
        <f t="shared" si="5"/>
        <v>-7.7999999999999723</v>
      </c>
      <c r="D50" s="6" t="str">
        <f t="shared" si="4"/>
        <v/>
      </c>
      <c r="E50" s="6">
        <f t="shared" si="6"/>
        <v>7.7999999999999723</v>
      </c>
      <c r="F50" s="7" t="str">
        <f t="shared" si="3"/>
        <v/>
      </c>
    </row>
    <row r="51" spans="2:6" x14ac:dyDescent="0.6">
      <c r="B51" s="26">
        <v>39</v>
      </c>
      <c r="C51" s="6">
        <f t="shared" si="5"/>
        <v>-7.1999999999999726</v>
      </c>
      <c r="D51" s="6" t="str">
        <f t="shared" si="4"/>
        <v/>
      </c>
      <c r="E51" s="6">
        <f t="shared" si="6"/>
        <v>7.1999999999999726</v>
      </c>
      <c r="F51" s="7" t="str">
        <f t="shared" si="3"/>
        <v/>
      </c>
    </row>
    <row r="52" spans="2:6" x14ac:dyDescent="0.6">
      <c r="B52" s="26">
        <v>40</v>
      </c>
      <c r="C52" s="6">
        <f t="shared" si="5"/>
        <v>-6.599999999999973</v>
      </c>
      <c r="D52" s="6" t="str">
        <f t="shared" si="4"/>
        <v/>
      </c>
      <c r="E52" s="6">
        <f t="shared" si="6"/>
        <v>6.599999999999973</v>
      </c>
      <c r="F52" s="7" t="str">
        <f t="shared" si="3"/>
        <v/>
      </c>
    </row>
    <row r="53" spans="2:6" x14ac:dyDescent="0.6">
      <c r="B53" s="26">
        <v>41</v>
      </c>
      <c r="C53" s="6">
        <f t="shared" si="5"/>
        <v>-5.9999999999999734</v>
      </c>
      <c r="D53" s="6" t="str">
        <f t="shared" si="4"/>
        <v/>
      </c>
      <c r="E53" s="6">
        <f t="shared" si="6"/>
        <v>5.9999999999999734</v>
      </c>
      <c r="F53" s="7" t="str">
        <f t="shared" si="3"/>
        <v/>
      </c>
    </row>
    <row r="54" spans="2:6" x14ac:dyDescent="0.6">
      <c r="B54" s="26">
        <v>42</v>
      </c>
      <c r="C54" s="6">
        <f t="shared" si="5"/>
        <v>-5.3999999999999737</v>
      </c>
      <c r="D54" s="6" t="str">
        <f t="shared" si="4"/>
        <v/>
      </c>
      <c r="E54" s="6">
        <f t="shared" si="6"/>
        <v>5.3999999999999737</v>
      </c>
      <c r="F54" s="7" t="str">
        <f t="shared" si="3"/>
        <v/>
      </c>
    </row>
    <row r="55" spans="2:6" x14ac:dyDescent="0.6">
      <c r="B55" s="26">
        <v>43</v>
      </c>
      <c r="C55" s="6">
        <f t="shared" si="5"/>
        <v>-4.7999999999999741</v>
      </c>
      <c r="D55" s="6" t="str">
        <f t="shared" si="4"/>
        <v/>
      </c>
      <c r="E55" s="6">
        <f t="shared" si="6"/>
        <v>4.7999999999999741</v>
      </c>
      <c r="F55" s="7" t="str">
        <f t="shared" si="3"/>
        <v/>
      </c>
    </row>
    <row r="56" spans="2:6" x14ac:dyDescent="0.6">
      <c r="B56" s="26">
        <v>44</v>
      </c>
      <c r="C56" s="6">
        <f t="shared" si="5"/>
        <v>-4.1999999999999744</v>
      </c>
      <c r="D56" s="6" t="str">
        <f t="shared" si="4"/>
        <v/>
      </c>
      <c r="E56" s="6">
        <f t="shared" si="6"/>
        <v>4.1999999999999744</v>
      </c>
      <c r="F56" s="7" t="str">
        <f t="shared" si="3"/>
        <v/>
      </c>
    </row>
    <row r="57" spans="2:6" x14ac:dyDescent="0.6">
      <c r="B57" s="26">
        <v>45</v>
      </c>
      <c r="C57" s="6">
        <f t="shared" si="5"/>
        <v>-3.5999999999999743</v>
      </c>
      <c r="D57" s="6" t="str">
        <f t="shared" si="4"/>
        <v/>
      </c>
      <c r="E57" s="6">
        <f t="shared" si="6"/>
        <v>3.5999999999999743</v>
      </c>
      <c r="F57" s="7" t="str">
        <f t="shared" si="3"/>
        <v/>
      </c>
    </row>
    <row r="58" spans="2:6" x14ac:dyDescent="0.6">
      <c r="B58" s="26">
        <v>46</v>
      </c>
      <c r="C58" s="6">
        <f t="shared" si="5"/>
        <v>-2.9999999999999742</v>
      </c>
      <c r="D58" s="6" t="str">
        <f t="shared" si="4"/>
        <v/>
      </c>
      <c r="E58" s="6">
        <f t="shared" si="6"/>
        <v>2.9999999999999742</v>
      </c>
      <c r="F58" s="7" t="str">
        <f t="shared" si="3"/>
        <v/>
      </c>
    </row>
    <row r="59" spans="2:6" x14ac:dyDescent="0.6">
      <c r="B59" s="26">
        <v>47</v>
      </c>
      <c r="C59" s="6">
        <f t="shared" si="5"/>
        <v>-2.3999999999999742</v>
      </c>
      <c r="D59" s="6" t="str">
        <f t="shared" si="4"/>
        <v/>
      </c>
      <c r="E59" s="6">
        <f t="shared" si="6"/>
        <v>2.3999999999999742</v>
      </c>
      <c r="F59" s="7" t="str">
        <f t="shared" si="3"/>
        <v/>
      </c>
    </row>
    <row r="60" spans="2:6" x14ac:dyDescent="0.6">
      <c r="B60" s="26">
        <v>48</v>
      </c>
      <c r="C60" s="6">
        <f t="shared" si="5"/>
        <v>-1.7999999999999741</v>
      </c>
      <c r="D60" s="6" t="str">
        <f t="shared" si="4"/>
        <v/>
      </c>
      <c r="E60" s="6">
        <f t="shared" si="6"/>
        <v>1.7999999999999741</v>
      </c>
      <c r="F60" s="7" t="str">
        <f t="shared" si="3"/>
        <v/>
      </c>
    </row>
    <row r="61" spans="2:6" x14ac:dyDescent="0.6">
      <c r="B61" s="26">
        <v>49</v>
      </c>
      <c r="C61" s="6">
        <f t="shared" si="5"/>
        <v>-1.199999999999974</v>
      </c>
      <c r="D61" s="6" t="str">
        <f t="shared" si="4"/>
        <v/>
      </c>
      <c r="E61" s="6">
        <f t="shared" si="6"/>
        <v>1.199999999999974</v>
      </c>
      <c r="F61" s="7" t="str">
        <f t="shared" si="3"/>
        <v/>
      </c>
    </row>
    <row r="62" spans="2:6" x14ac:dyDescent="0.6">
      <c r="B62" s="26">
        <v>50</v>
      </c>
      <c r="C62" s="6">
        <f t="shared" si="5"/>
        <v>-0.599999999999974</v>
      </c>
      <c r="D62" s="6" t="str">
        <f t="shared" si="4"/>
        <v/>
      </c>
      <c r="E62" s="6">
        <f t="shared" si="6"/>
        <v>0.599999999999974</v>
      </c>
      <c r="F62" s="7" t="str">
        <f t="shared" si="3"/>
        <v/>
      </c>
    </row>
    <row r="63" spans="2:6" x14ac:dyDescent="0.6">
      <c r="B63" s="26">
        <v>51</v>
      </c>
      <c r="C63" s="6">
        <f t="shared" si="5"/>
        <v>2.5979218776228663E-14</v>
      </c>
      <c r="D63" s="6" t="str">
        <f t="shared" si="4"/>
        <v/>
      </c>
      <c r="E63" s="6">
        <f t="shared" si="6"/>
        <v>-2.5979218776228663E-14</v>
      </c>
      <c r="F63" s="7" t="str">
        <f t="shared" si="3"/>
        <v/>
      </c>
    </row>
    <row r="64" spans="2:6" x14ac:dyDescent="0.6">
      <c r="B64" s="26">
        <v>52</v>
      </c>
      <c r="C64" s="6">
        <f t="shared" si="5"/>
        <v>0.60000000000002596</v>
      </c>
      <c r="D64" s="6" t="str">
        <f t="shared" si="4"/>
        <v/>
      </c>
      <c r="E64" s="6">
        <f t="shared" si="6"/>
        <v>-0.60000000000002596</v>
      </c>
      <c r="F64" s="7" t="str">
        <f t="shared" si="3"/>
        <v/>
      </c>
    </row>
    <row r="65" spans="2:6" x14ac:dyDescent="0.6">
      <c r="B65" s="26">
        <v>53</v>
      </c>
      <c r="C65" s="6">
        <f t="shared" si="5"/>
        <v>1.2000000000000259</v>
      </c>
      <c r="D65" s="6" t="str">
        <f t="shared" si="4"/>
        <v/>
      </c>
      <c r="E65" s="6">
        <f t="shared" si="6"/>
        <v>-1.2000000000000259</v>
      </c>
      <c r="F65" s="7" t="str">
        <f t="shared" si="3"/>
        <v/>
      </c>
    </row>
    <row r="66" spans="2:6" x14ac:dyDescent="0.6">
      <c r="B66" s="26">
        <v>54</v>
      </c>
      <c r="C66" s="6">
        <f t="shared" si="5"/>
        <v>1.800000000000026</v>
      </c>
      <c r="D66" s="6" t="str">
        <f t="shared" si="4"/>
        <v/>
      </c>
      <c r="E66" s="6">
        <f t="shared" si="6"/>
        <v>-1.800000000000026</v>
      </c>
      <c r="F66" s="7" t="str">
        <f t="shared" si="3"/>
        <v/>
      </c>
    </row>
    <row r="67" spans="2:6" x14ac:dyDescent="0.6">
      <c r="B67" s="26">
        <v>55</v>
      </c>
      <c r="C67" s="6">
        <f t="shared" si="5"/>
        <v>2.4000000000000261</v>
      </c>
      <c r="D67" s="6" t="str">
        <f t="shared" si="4"/>
        <v/>
      </c>
      <c r="E67" s="6">
        <f t="shared" si="6"/>
        <v>-2.4000000000000261</v>
      </c>
      <c r="F67" s="7" t="str">
        <f t="shared" si="3"/>
        <v/>
      </c>
    </row>
    <row r="68" spans="2:6" x14ac:dyDescent="0.6">
      <c r="B68" s="26">
        <v>56</v>
      </c>
      <c r="C68" s="6">
        <f t="shared" si="5"/>
        <v>3.0000000000000262</v>
      </c>
      <c r="D68" s="6" t="str">
        <f t="shared" si="4"/>
        <v/>
      </c>
      <c r="E68" s="6">
        <f t="shared" si="6"/>
        <v>-3.0000000000000262</v>
      </c>
      <c r="F68" s="7" t="str">
        <f t="shared" si="3"/>
        <v/>
      </c>
    </row>
    <row r="69" spans="2:6" x14ac:dyDescent="0.6">
      <c r="B69" s="26">
        <v>57</v>
      </c>
      <c r="C69" s="6">
        <f t="shared" si="5"/>
        <v>3.6000000000000263</v>
      </c>
      <c r="D69" s="6" t="str">
        <f t="shared" si="4"/>
        <v/>
      </c>
      <c r="E69" s="6">
        <f t="shared" si="6"/>
        <v>-3.6000000000000263</v>
      </c>
      <c r="F69" s="7" t="str">
        <f t="shared" si="3"/>
        <v/>
      </c>
    </row>
    <row r="70" spans="2:6" x14ac:dyDescent="0.6">
      <c r="B70" s="26">
        <v>58</v>
      </c>
      <c r="C70" s="6">
        <f t="shared" si="5"/>
        <v>4.2000000000000259</v>
      </c>
      <c r="D70" s="6" t="str">
        <f t="shared" si="4"/>
        <v/>
      </c>
      <c r="E70" s="6">
        <f t="shared" si="6"/>
        <v>-4.2000000000000259</v>
      </c>
      <c r="F70" s="7" t="str">
        <f t="shared" si="3"/>
        <v/>
      </c>
    </row>
    <row r="71" spans="2:6" x14ac:dyDescent="0.6">
      <c r="B71" s="26">
        <v>59</v>
      </c>
      <c r="C71" s="6">
        <f t="shared" si="5"/>
        <v>4.8000000000000256</v>
      </c>
      <c r="D71" s="6" t="str">
        <f t="shared" si="4"/>
        <v/>
      </c>
      <c r="E71" s="6">
        <f t="shared" si="6"/>
        <v>-4.8000000000000256</v>
      </c>
      <c r="F71" s="7" t="str">
        <f t="shared" si="3"/>
        <v/>
      </c>
    </row>
    <row r="72" spans="2:6" x14ac:dyDescent="0.6">
      <c r="B72" s="26">
        <v>60</v>
      </c>
      <c r="C72" s="6">
        <f t="shared" si="5"/>
        <v>5.4000000000000252</v>
      </c>
      <c r="D72" s="6" t="str">
        <f t="shared" si="4"/>
        <v/>
      </c>
      <c r="E72" s="6">
        <f t="shared" si="6"/>
        <v>-5.4000000000000252</v>
      </c>
      <c r="F72" s="7" t="str">
        <f t="shared" si="3"/>
        <v/>
      </c>
    </row>
    <row r="73" spans="2:6" x14ac:dyDescent="0.6">
      <c r="B73" s="26">
        <v>61</v>
      </c>
      <c r="C73" s="6">
        <f t="shared" si="5"/>
        <v>6.0000000000000249</v>
      </c>
      <c r="D73" s="6" t="str">
        <f t="shared" si="4"/>
        <v/>
      </c>
      <c r="E73" s="6">
        <f t="shared" si="6"/>
        <v>-6.0000000000000249</v>
      </c>
      <c r="F73" s="7" t="str">
        <f t="shared" si="3"/>
        <v/>
      </c>
    </row>
    <row r="74" spans="2:6" x14ac:dyDescent="0.6">
      <c r="B74" s="26">
        <v>62</v>
      </c>
      <c r="C74" s="6">
        <f t="shared" si="5"/>
        <v>6.6000000000000245</v>
      </c>
      <c r="D74" s="6" t="str">
        <f t="shared" si="4"/>
        <v/>
      </c>
      <c r="E74" s="6">
        <f t="shared" si="6"/>
        <v>-6.6000000000000245</v>
      </c>
      <c r="F74" s="7" t="str">
        <f t="shared" si="3"/>
        <v/>
      </c>
    </row>
    <row r="75" spans="2:6" x14ac:dyDescent="0.6">
      <c r="B75" s="26">
        <v>63</v>
      </c>
      <c r="C75" s="6">
        <f t="shared" si="5"/>
        <v>7.2000000000000242</v>
      </c>
      <c r="D75" s="6" t="str">
        <f t="shared" si="4"/>
        <v/>
      </c>
      <c r="E75" s="6">
        <f t="shared" si="6"/>
        <v>-7.2000000000000242</v>
      </c>
      <c r="F75" s="7" t="str">
        <f t="shared" si="3"/>
        <v/>
      </c>
    </row>
    <row r="76" spans="2:6" x14ac:dyDescent="0.6">
      <c r="B76" s="26">
        <v>64</v>
      </c>
      <c r="C76" s="6">
        <f t="shared" si="5"/>
        <v>7.8000000000000238</v>
      </c>
      <c r="D76" s="6" t="str">
        <f t="shared" si="4"/>
        <v/>
      </c>
      <c r="E76" s="6">
        <f t="shared" si="6"/>
        <v>-7.8000000000000238</v>
      </c>
      <c r="F76" s="7" t="str">
        <f t="shared" si="3"/>
        <v/>
      </c>
    </row>
    <row r="77" spans="2:6" x14ac:dyDescent="0.6">
      <c r="B77" s="26">
        <v>65</v>
      </c>
      <c r="C77" s="6">
        <f t="shared" si="5"/>
        <v>8.4000000000000234</v>
      </c>
      <c r="D77" s="6" t="str">
        <f t="shared" ref="D77:D112" si="7">IFERROR(((($C77^2/a_hiperbola^2)-1)*b_hiperbola^2)^0.5,"")</f>
        <v/>
      </c>
      <c r="E77" s="6">
        <f t="shared" si="6"/>
        <v>-8.4000000000000234</v>
      </c>
      <c r="F77" s="7" t="str">
        <f t="shared" si="3"/>
        <v/>
      </c>
    </row>
    <row r="78" spans="2:6" x14ac:dyDescent="0.6">
      <c r="B78" s="26">
        <v>66</v>
      </c>
      <c r="C78" s="6">
        <f t="shared" ref="C78:C112" si="8">IF(C77-(xstart_hiperbola-xend_hiperbola)/np_hiperbola&gt;xend_hiperbola,xend_hiperbola,C77-(xstart_hiperbola-xend_hiperbola)/np_hiperbola)</f>
        <v>9.0000000000000231</v>
      </c>
      <c r="D78" s="6" t="str">
        <f t="shared" si="7"/>
        <v/>
      </c>
      <c r="E78" s="6">
        <f t="shared" ref="E78:E112" si="9">-C78</f>
        <v>-9.0000000000000231</v>
      </c>
      <c r="F78" s="7" t="str">
        <f t="shared" ref="F78:F112" si="10">IFERROR(-D78,"")</f>
        <v/>
      </c>
    </row>
    <row r="79" spans="2:6" x14ac:dyDescent="0.6">
      <c r="B79" s="26">
        <v>67</v>
      </c>
      <c r="C79" s="6">
        <f t="shared" si="8"/>
        <v>9.6000000000000227</v>
      </c>
      <c r="D79" s="6" t="str">
        <f t="shared" si="7"/>
        <v/>
      </c>
      <c r="E79" s="6">
        <f t="shared" si="9"/>
        <v>-9.6000000000000227</v>
      </c>
      <c r="F79" s="7" t="str">
        <f t="shared" si="10"/>
        <v/>
      </c>
    </row>
    <row r="80" spans="2:6" x14ac:dyDescent="0.6">
      <c r="B80" s="26">
        <v>68</v>
      </c>
      <c r="C80" s="6">
        <f t="shared" si="8"/>
        <v>10.200000000000022</v>
      </c>
      <c r="D80" s="6" t="str">
        <f t="shared" si="7"/>
        <v/>
      </c>
      <c r="E80" s="6">
        <f t="shared" si="9"/>
        <v>-10.200000000000022</v>
      </c>
      <c r="F80" s="7" t="str">
        <f t="shared" si="10"/>
        <v/>
      </c>
    </row>
    <row r="81" spans="2:6" x14ac:dyDescent="0.6">
      <c r="B81" s="26">
        <v>69</v>
      </c>
      <c r="C81" s="6">
        <f t="shared" si="8"/>
        <v>10.800000000000022</v>
      </c>
      <c r="D81" s="6" t="str">
        <f t="shared" si="7"/>
        <v/>
      </c>
      <c r="E81" s="6">
        <f t="shared" si="9"/>
        <v>-10.800000000000022</v>
      </c>
      <c r="F81" s="7" t="str">
        <f t="shared" si="10"/>
        <v/>
      </c>
    </row>
    <row r="82" spans="2:6" x14ac:dyDescent="0.6">
      <c r="B82" s="26">
        <v>70</v>
      </c>
      <c r="C82" s="6">
        <f t="shared" si="8"/>
        <v>11.400000000000022</v>
      </c>
      <c r="D82" s="6" t="str">
        <f t="shared" si="7"/>
        <v/>
      </c>
      <c r="E82" s="6">
        <f t="shared" si="9"/>
        <v>-11.400000000000022</v>
      </c>
      <c r="F82" s="7" t="str">
        <f t="shared" si="10"/>
        <v/>
      </c>
    </row>
    <row r="83" spans="2:6" x14ac:dyDescent="0.6">
      <c r="B83" s="26">
        <v>71</v>
      </c>
      <c r="C83" s="6">
        <f t="shared" si="8"/>
        <v>12.000000000000021</v>
      </c>
      <c r="D83" s="6">
        <f t="shared" si="7"/>
        <v>5.3644180297851563E-7</v>
      </c>
      <c r="E83" s="6">
        <f t="shared" si="9"/>
        <v>-12.000000000000021</v>
      </c>
      <c r="F83" s="7">
        <f t="shared" si="10"/>
        <v>-5.3644180297851563E-7</v>
      </c>
    </row>
    <row r="84" spans="2:6" x14ac:dyDescent="0.6">
      <c r="B84" s="26">
        <v>72</v>
      </c>
      <c r="C84" s="6">
        <f t="shared" si="8"/>
        <v>12.600000000000021</v>
      </c>
      <c r="D84" s="6">
        <f t="shared" si="7"/>
        <v>2.8814059068448321</v>
      </c>
      <c r="E84" s="6">
        <f t="shared" si="9"/>
        <v>-12.600000000000021</v>
      </c>
      <c r="F84" s="7">
        <f t="shared" si="10"/>
        <v>-2.8814059068448321</v>
      </c>
    </row>
    <row r="85" spans="2:6" x14ac:dyDescent="0.6">
      <c r="B85" s="26">
        <v>73</v>
      </c>
      <c r="C85" s="6">
        <f t="shared" si="8"/>
        <v>13.200000000000021</v>
      </c>
      <c r="D85" s="6">
        <f t="shared" si="7"/>
        <v>4.1243181254602925</v>
      </c>
      <c r="E85" s="6">
        <f t="shared" si="9"/>
        <v>-13.200000000000021</v>
      </c>
      <c r="F85" s="7">
        <f t="shared" si="10"/>
        <v>-4.1243181254602925</v>
      </c>
    </row>
    <row r="86" spans="2:6" x14ac:dyDescent="0.6">
      <c r="B86" s="26">
        <v>74</v>
      </c>
      <c r="C86" s="6">
        <f t="shared" si="8"/>
        <v>13.80000000000002</v>
      </c>
      <c r="D86" s="6">
        <f t="shared" si="7"/>
        <v>5.111017511220278</v>
      </c>
      <c r="E86" s="6">
        <f t="shared" si="9"/>
        <v>-13.80000000000002</v>
      </c>
      <c r="F86" s="7">
        <f t="shared" si="10"/>
        <v>-5.111017511220278</v>
      </c>
    </row>
    <row r="87" spans="2:6" x14ac:dyDescent="0.6">
      <c r="B87" s="26">
        <v>75</v>
      </c>
      <c r="C87" s="6">
        <f t="shared" si="8"/>
        <v>14.40000000000002</v>
      </c>
      <c r="D87" s="6">
        <f t="shared" si="7"/>
        <v>5.9699246226397467</v>
      </c>
      <c r="E87" s="6">
        <f t="shared" si="9"/>
        <v>-14.40000000000002</v>
      </c>
      <c r="F87" s="7">
        <f t="shared" si="10"/>
        <v>-5.9699246226397467</v>
      </c>
    </row>
    <row r="88" spans="2:6" x14ac:dyDescent="0.6">
      <c r="B88" s="26">
        <v>76</v>
      </c>
      <c r="C88" s="6">
        <f t="shared" si="8"/>
        <v>15.00000000000002</v>
      </c>
      <c r="D88" s="6">
        <f t="shared" si="7"/>
        <v>6.7500000000000249</v>
      </c>
      <c r="E88" s="6">
        <f t="shared" si="9"/>
        <v>-15.00000000000002</v>
      </c>
      <c r="F88" s="7">
        <f t="shared" si="10"/>
        <v>-6.7500000000000249</v>
      </c>
    </row>
    <row r="89" spans="2:6" x14ac:dyDescent="0.6">
      <c r="B89" s="26">
        <v>77</v>
      </c>
      <c r="C89" s="6">
        <f t="shared" si="8"/>
        <v>15.600000000000019</v>
      </c>
      <c r="D89" s="6">
        <f t="shared" si="7"/>
        <v>7.4759614766262894</v>
      </c>
      <c r="E89" s="6">
        <f t="shared" si="9"/>
        <v>-15.600000000000019</v>
      </c>
      <c r="F89" s="7">
        <f t="shared" si="10"/>
        <v>-7.4759614766262894</v>
      </c>
    </row>
    <row r="90" spans="2:6" x14ac:dyDescent="0.6">
      <c r="B90" s="26">
        <v>78</v>
      </c>
      <c r="C90" s="6">
        <f t="shared" si="8"/>
        <v>16.200000000000021</v>
      </c>
      <c r="D90" s="6">
        <f t="shared" si="7"/>
        <v>8.1622607162476974</v>
      </c>
      <c r="E90" s="6">
        <f t="shared" si="9"/>
        <v>-16.200000000000021</v>
      </c>
      <c r="F90" s="7">
        <f t="shared" si="10"/>
        <v>-8.1622607162476974</v>
      </c>
    </row>
    <row r="91" spans="2:6" x14ac:dyDescent="0.6">
      <c r="B91" s="26">
        <v>79</v>
      </c>
      <c r="C91" s="6">
        <f t="shared" si="8"/>
        <v>16.800000000000022</v>
      </c>
      <c r="D91" s="6">
        <f t="shared" si="7"/>
        <v>8.8181630740194663</v>
      </c>
      <c r="E91" s="6">
        <f t="shared" si="9"/>
        <v>-16.800000000000022</v>
      </c>
      <c r="F91" s="7">
        <f t="shared" si="10"/>
        <v>-8.8181630740194663</v>
      </c>
    </row>
    <row r="92" spans="2:6" x14ac:dyDescent="0.6">
      <c r="B92" s="26">
        <v>80</v>
      </c>
      <c r="C92" s="6">
        <f t="shared" si="8"/>
        <v>17.400000000000023</v>
      </c>
      <c r="D92" s="6">
        <f t="shared" si="7"/>
        <v>9.4500000000000242</v>
      </c>
      <c r="E92" s="6">
        <f t="shared" si="9"/>
        <v>-17.400000000000023</v>
      </c>
      <c r="F92" s="7">
        <f t="shared" si="10"/>
        <v>-9.4500000000000242</v>
      </c>
    </row>
    <row r="93" spans="2:6" x14ac:dyDescent="0.6">
      <c r="B93" s="26">
        <v>81</v>
      </c>
      <c r="C93" s="6">
        <f t="shared" si="8"/>
        <v>18.000000000000025</v>
      </c>
      <c r="D93" s="6">
        <f t="shared" si="7"/>
        <v>10.062305898749079</v>
      </c>
      <c r="E93" s="6">
        <f t="shared" si="9"/>
        <v>-18.000000000000025</v>
      </c>
      <c r="F93" s="7">
        <f t="shared" si="10"/>
        <v>-10.062305898749079</v>
      </c>
    </row>
    <row r="94" spans="2:6" x14ac:dyDescent="0.6">
      <c r="B94" s="26">
        <v>82</v>
      </c>
      <c r="C94" s="6">
        <f t="shared" si="8"/>
        <v>18.600000000000026</v>
      </c>
      <c r="D94" s="6">
        <f t="shared" si="7"/>
        <v>10.658447354094337</v>
      </c>
      <c r="E94" s="6">
        <f t="shared" si="9"/>
        <v>-18.600000000000026</v>
      </c>
      <c r="F94" s="7">
        <f t="shared" si="10"/>
        <v>-10.658447354094337</v>
      </c>
    </row>
    <row r="95" spans="2:6" x14ac:dyDescent="0.6">
      <c r="B95" s="26">
        <v>83</v>
      </c>
      <c r="C95" s="6">
        <f t="shared" si="8"/>
        <v>19.200000000000028</v>
      </c>
      <c r="D95" s="6">
        <f t="shared" si="7"/>
        <v>11.240996397117144</v>
      </c>
      <c r="E95" s="6">
        <f t="shared" si="9"/>
        <v>-19.200000000000028</v>
      </c>
      <c r="F95" s="7">
        <f t="shared" si="10"/>
        <v>-11.240996397117144</v>
      </c>
    </row>
    <row r="96" spans="2:6" x14ac:dyDescent="0.6">
      <c r="B96" s="26">
        <v>84</v>
      </c>
      <c r="C96" s="6">
        <f t="shared" si="8"/>
        <v>19.800000000000029</v>
      </c>
      <c r="D96" s="6">
        <f t="shared" si="7"/>
        <v>11.811964273566046</v>
      </c>
      <c r="E96" s="6">
        <f t="shared" si="9"/>
        <v>-19.800000000000029</v>
      </c>
      <c r="F96" s="7">
        <f t="shared" si="10"/>
        <v>-11.811964273566046</v>
      </c>
    </row>
    <row r="97" spans="2:6" x14ac:dyDescent="0.6">
      <c r="B97" s="26">
        <v>85</v>
      </c>
      <c r="C97" s="6">
        <f t="shared" si="8"/>
        <v>20.400000000000031</v>
      </c>
      <c r="D97" s="6">
        <f t="shared" si="7"/>
        <v>12.372954376380795</v>
      </c>
      <c r="E97" s="6">
        <f t="shared" si="9"/>
        <v>-20.400000000000031</v>
      </c>
      <c r="F97" s="7">
        <f t="shared" si="10"/>
        <v>-12.372954376380795</v>
      </c>
    </row>
    <row r="98" spans="2:6" x14ac:dyDescent="0.6">
      <c r="B98" s="26">
        <v>86</v>
      </c>
      <c r="C98" s="6">
        <f t="shared" si="8"/>
        <v>21.000000000000032</v>
      </c>
      <c r="D98" s="6">
        <f t="shared" si="7"/>
        <v>12.925265954710595</v>
      </c>
      <c r="E98" s="6">
        <f t="shared" si="9"/>
        <v>-21.000000000000032</v>
      </c>
      <c r="F98" s="7">
        <f t="shared" si="10"/>
        <v>-12.925265954710595</v>
      </c>
    </row>
    <row r="99" spans="2:6" x14ac:dyDescent="0.6">
      <c r="B99" s="26">
        <v>87</v>
      </c>
      <c r="C99" s="6">
        <f t="shared" si="8"/>
        <v>21.600000000000033</v>
      </c>
      <c r="D99" s="6">
        <f t="shared" si="7"/>
        <v>13.46996659238622</v>
      </c>
      <c r="E99" s="6">
        <f t="shared" si="9"/>
        <v>-21.600000000000033</v>
      </c>
      <c r="F99" s="7">
        <f t="shared" si="10"/>
        <v>-13.46996659238622</v>
      </c>
    </row>
    <row r="100" spans="2:6" x14ac:dyDescent="0.6">
      <c r="B100" s="26">
        <v>88</v>
      </c>
      <c r="C100" s="6">
        <f t="shared" si="8"/>
        <v>22.200000000000035</v>
      </c>
      <c r="D100" s="6">
        <f t="shared" si="7"/>
        <v>14.007944174646074</v>
      </c>
      <c r="E100" s="6">
        <f t="shared" si="9"/>
        <v>-22.200000000000035</v>
      </c>
      <c r="F100" s="7">
        <f t="shared" si="10"/>
        <v>-14.007944174646074</v>
      </c>
    </row>
    <row r="101" spans="2:6" x14ac:dyDescent="0.6">
      <c r="B101" s="26">
        <v>89</v>
      </c>
      <c r="C101" s="6">
        <f t="shared" si="8"/>
        <v>22.800000000000036</v>
      </c>
      <c r="D101" s="6">
        <f t="shared" si="7"/>
        <v>14.539944979263193</v>
      </c>
      <c r="E101" s="6">
        <f t="shared" si="9"/>
        <v>-22.800000000000036</v>
      </c>
      <c r="F101" s="7">
        <f t="shared" si="10"/>
        <v>-14.539944979263193</v>
      </c>
    </row>
    <row r="102" spans="2:6" x14ac:dyDescent="0.6">
      <c r="B102" s="26">
        <v>90</v>
      </c>
      <c r="C102" s="6">
        <f t="shared" si="8"/>
        <v>23.400000000000038</v>
      </c>
      <c r="D102" s="6">
        <f t="shared" si="7"/>
        <v>15.066602138504919</v>
      </c>
      <c r="E102" s="6">
        <f t="shared" si="9"/>
        <v>-23.400000000000038</v>
      </c>
      <c r="F102" s="7">
        <f t="shared" si="10"/>
        <v>-15.066602138504919</v>
      </c>
    </row>
    <row r="103" spans="2:6" x14ac:dyDescent="0.6">
      <c r="B103" s="26">
        <v>91</v>
      </c>
      <c r="C103" s="6">
        <f t="shared" si="8"/>
        <v>24.000000000000039</v>
      </c>
      <c r="D103" s="6">
        <f t="shared" si="7"/>
        <v>15.588457268119928</v>
      </c>
      <c r="E103" s="6">
        <f t="shared" si="9"/>
        <v>-24.000000000000039</v>
      </c>
      <c r="F103" s="7">
        <f t="shared" si="10"/>
        <v>-15.588457268119928</v>
      </c>
    </row>
    <row r="104" spans="2:6" x14ac:dyDescent="0.6">
      <c r="B104" s="26">
        <v>92</v>
      </c>
      <c r="C104" s="6">
        <f t="shared" si="8"/>
        <v>24.600000000000041</v>
      </c>
      <c r="D104" s="6">
        <f t="shared" si="7"/>
        <v>16.105977151355987</v>
      </c>
      <c r="E104" s="6">
        <f t="shared" si="9"/>
        <v>-24.600000000000041</v>
      </c>
      <c r="F104" s="7">
        <f t="shared" si="10"/>
        <v>-16.105977151355987</v>
      </c>
    </row>
    <row r="105" spans="2:6" x14ac:dyDescent="0.6">
      <c r="B105" s="26">
        <v>93</v>
      </c>
      <c r="C105" s="6">
        <f t="shared" si="8"/>
        <v>25.200000000000042</v>
      </c>
      <c r="D105" s="6">
        <f t="shared" si="7"/>
        <v>16.619566781357484</v>
      </c>
      <c r="E105" s="6">
        <f t="shared" si="9"/>
        <v>-25.200000000000042</v>
      </c>
      <c r="F105" s="7">
        <f t="shared" si="10"/>
        <v>-16.619566781357484</v>
      </c>
    </row>
    <row r="106" spans="2:6" x14ac:dyDescent="0.6">
      <c r="B106" s="26">
        <v>94</v>
      </c>
      <c r="C106" s="6">
        <f t="shared" si="8"/>
        <v>25.800000000000043</v>
      </c>
      <c r="D106" s="6">
        <f t="shared" si="7"/>
        <v>17.129579679606888</v>
      </c>
      <c r="E106" s="6">
        <f t="shared" si="9"/>
        <v>-25.800000000000043</v>
      </c>
      <c r="F106" s="7">
        <f t="shared" si="10"/>
        <v>-17.129579679606888</v>
      </c>
    </row>
    <row r="107" spans="2:6" x14ac:dyDescent="0.6">
      <c r="B107" s="26">
        <v>95</v>
      </c>
      <c r="C107" s="6">
        <f t="shared" si="8"/>
        <v>26.400000000000045</v>
      </c>
      <c r="D107" s="6">
        <f t="shared" si="7"/>
        <v>17.636326148038918</v>
      </c>
      <c r="E107" s="6">
        <f t="shared" si="9"/>
        <v>-26.400000000000045</v>
      </c>
      <c r="F107" s="7">
        <f t="shared" si="10"/>
        <v>-17.636326148038918</v>
      </c>
    </row>
    <row r="108" spans="2:6" x14ac:dyDescent="0.6">
      <c r="B108" s="26">
        <v>96</v>
      </c>
      <c r="C108" s="6">
        <f t="shared" si="8"/>
        <v>27.000000000000046</v>
      </c>
      <c r="D108" s="6">
        <f t="shared" si="7"/>
        <v>18.140079933671775</v>
      </c>
      <c r="E108" s="6">
        <f t="shared" si="9"/>
        <v>-27.000000000000046</v>
      </c>
      <c r="F108" s="7">
        <f t="shared" si="10"/>
        <v>-18.140079933671775</v>
      </c>
    </row>
    <row r="109" spans="2:6" x14ac:dyDescent="0.6">
      <c r="B109" s="26">
        <v>97</v>
      </c>
      <c r="C109" s="6">
        <f t="shared" si="8"/>
        <v>27.600000000000048</v>
      </c>
      <c r="D109" s="6">
        <f t="shared" si="7"/>
        <v>18.641083659487219</v>
      </c>
      <c r="E109" s="6">
        <f t="shared" si="9"/>
        <v>-27.600000000000048</v>
      </c>
      <c r="F109" s="7">
        <f t="shared" si="10"/>
        <v>-18.641083659487219</v>
      </c>
    </row>
    <row r="110" spans="2:6" x14ac:dyDescent="0.6">
      <c r="B110" s="26">
        <v>98</v>
      </c>
      <c r="C110" s="6">
        <f t="shared" si="8"/>
        <v>28.200000000000049</v>
      </c>
      <c r="D110" s="6">
        <f t="shared" si="7"/>
        <v>19.139553286323103</v>
      </c>
      <c r="E110" s="6">
        <f t="shared" si="9"/>
        <v>-28.200000000000049</v>
      </c>
      <c r="F110" s="7">
        <f t="shared" si="10"/>
        <v>-19.139553286323103</v>
      </c>
    </row>
    <row r="111" spans="2:6" x14ac:dyDescent="0.6">
      <c r="B111" s="26">
        <v>99</v>
      </c>
      <c r="C111" s="6">
        <f t="shared" si="8"/>
        <v>28.80000000000005</v>
      </c>
      <c r="D111" s="6">
        <f t="shared" si="7"/>
        <v>19.635681806344326</v>
      </c>
      <c r="E111" s="6">
        <f t="shared" si="9"/>
        <v>-28.80000000000005</v>
      </c>
      <c r="F111" s="7">
        <f t="shared" si="10"/>
        <v>-19.635681806344326</v>
      </c>
    </row>
    <row r="112" spans="2:6" x14ac:dyDescent="0.6">
      <c r="B112" s="27">
        <v>100</v>
      </c>
      <c r="C112" s="8">
        <f t="shared" si="8"/>
        <v>29.400000000000052</v>
      </c>
      <c r="D112" s="8">
        <f t="shared" si="7"/>
        <v>20.12964232171058</v>
      </c>
      <c r="E112" s="8">
        <f t="shared" si="9"/>
        <v>-29.400000000000052</v>
      </c>
      <c r="F112" s="9">
        <f t="shared" si="10"/>
        <v>-20.12964232171058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125" activePane="bottomLeft" state="frozen"/>
      <selection pane="bottomLeft" sqref="A1:A1048576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_xlfn.CONCAT(HiperbolaTabla!$C13,",",HiperbolaTabla!D13)</f>
        <v>-30,20.6215906273013</v>
      </c>
      <c r="B2" s="1" t="str">
        <f>_xlfn.CONCAT("POINT ",A2)</f>
        <v>POINT -30,20.6215906273013</v>
      </c>
    </row>
    <row r="3" spans="1:2" x14ac:dyDescent="0.6">
      <c r="A3" s="1" t="str">
        <f>_xlfn.CONCAT(HiperbolaTabla!$C14,",",HiperbolaTabla!D14)</f>
        <v>-29.4,20.1296423217105</v>
      </c>
      <c r="B3" s="1" t="str">
        <f t="shared" ref="B3:B66" si="0">_xlfn.CONCAT("POINT ",A3)</f>
        <v>POINT -29.4,20.1296423217105</v>
      </c>
    </row>
    <row r="4" spans="1:2" x14ac:dyDescent="0.6">
      <c r="A4" s="1" t="str">
        <f>_xlfn.CONCAT(HiperbolaTabla!$C15,",",HiperbolaTabla!D15)</f>
        <v>-28.8,19.6356818063443</v>
      </c>
      <c r="B4" s="1" t="str">
        <f t="shared" si="0"/>
        <v>POINT -28.8,19.6356818063443</v>
      </c>
    </row>
    <row r="5" spans="1:2" x14ac:dyDescent="0.6">
      <c r="A5" s="1" t="str">
        <f>_xlfn.CONCAT(HiperbolaTabla!$C16,",",HiperbolaTabla!D16)</f>
        <v>-28.2,19.1395532863231</v>
      </c>
      <c r="B5" s="1" t="str">
        <f t="shared" si="0"/>
        <v>POINT -28.2,19.1395532863231</v>
      </c>
    </row>
    <row r="6" spans="1:2" x14ac:dyDescent="0.6">
      <c r="A6" s="1" t="str">
        <f>_xlfn.CONCAT(HiperbolaTabla!$C17,",",HiperbolaTabla!D17)</f>
        <v>-27.6,18.6410836594872</v>
      </c>
      <c r="B6" s="1" t="str">
        <f t="shared" si="0"/>
        <v>POINT -27.6,18.6410836594872</v>
      </c>
    </row>
    <row r="7" spans="1:2" x14ac:dyDescent="0.6">
      <c r="A7" s="1" t="str">
        <f>_xlfn.CONCAT(HiperbolaTabla!$C18,",",HiperbolaTabla!D18)</f>
        <v>-27,18.1400799336717</v>
      </c>
      <c r="B7" s="1" t="str">
        <f t="shared" si="0"/>
        <v>POINT -27,18.1400799336717</v>
      </c>
    </row>
    <row r="8" spans="1:2" x14ac:dyDescent="0.6">
      <c r="A8" s="1" t="str">
        <f>_xlfn.CONCAT(HiperbolaTabla!$C19,",",HiperbolaTabla!D19)</f>
        <v>-26.4,17.6363261480389</v>
      </c>
      <c r="B8" s="1" t="str">
        <f t="shared" si="0"/>
        <v>POINT -26.4,17.6363261480389</v>
      </c>
    </row>
    <row r="9" spans="1:2" x14ac:dyDescent="0.6">
      <c r="A9" s="1" t="str">
        <f>_xlfn.CONCAT(HiperbolaTabla!$C20,",",HiperbolaTabla!D20)</f>
        <v>-25.8,17.1295796796068</v>
      </c>
      <c r="B9" s="1" t="str">
        <f t="shared" si="0"/>
        <v>POINT -25.8,17.1295796796068</v>
      </c>
    </row>
    <row r="10" spans="1:2" x14ac:dyDescent="0.6">
      <c r="A10" s="1" t="str">
        <f>_xlfn.CONCAT(HiperbolaTabla!$C21,",",HiperbolaTabla!D21)</f>
        <v>-25.2,16.6195667813574</v>
      </c>
      <c r="B10" s="1" t="str">
        <f t="shared" si="0"/>
        <v>POINT -25.2,16.6195667813574</v>
      </c>
    </row>
    <row r="11" spans="1:2" x14ac:dyDescent="0.6">
      <c r="A11" s="1" t="str">
        <f>_xlfn.CONCAT(HiperbolaTabla!$C22,",",HiperbolaTabla!D22)</f>
        <v>-24.6,16.1059771513559</v>
      </c>
      <c r="B11" s="1" t="str">
        <f t="shared" si="0"/>
        <v>POINT -24.6,16.1059771513559</v>
      </c>
    </row>
    <row r="12" spans="1:2" x14ac:dyDescent="0.6">
      <c r="A12" s="1" t="str">
        <f>_xlfn.CONCAT(HiperbolaTabla!$C23,",",HiperbolaTabla!D23)</f>
        <v>-24,15.5884572681199</v>
      </c>
      <c r="B12" s="1" t="str">
        <f t="shared" si="0"/>
        <v>POINT -24,15.5884572681199</v>
      </c>
    </row>
    <row r="13" spans="1:2" x14ac:dyDescent="0.6">
      <c r="A13" s="1" t="str">
        <f>_xlfn.CONCAT(HiperbolaTabla!$C24,",",HiperbolaTabla!D24)</f>
        <v>-23.4,15.0666021385049</v>
      </c>
      <c r="B13" s="1" t="str">
        <f t="shared" si="0"/>
        <v>POINT -23.4,15.0666021385049</v>
      </c>
    </row>
    <row r="14" spans="1:2" x14ac:dyDescent="0.6">
      <c r="A14" s="1" t="str">
        <f>_xlfn.CONCAT(HiperbolaTabla!$C25,",",HiperbolaTabla!D25)</f>
        <v>-22.8,14.5399449792631</v>
      </c>
      <c r="B14" s="1" t="str">
        <f t="shared" si="0"/>
        <v>POINT -22.8,14.5399449792631</v>
      </c>
    </row>
    <row r="15" spans="1:2" x14ac:dyDescent="0.6">
      <c r="A15" s="1" t="str">
        <f>_xlfn.CONCAT(HiperbolaTabla!$C26,",",HiperbolaTabla!D26)</f>
        <v>-22.2,14.007944174646</v>
      </c>
      <c r="B15" s="1" t="str">
        <f t="shared" si="0"/>
        <v>POINT -22.2,14.007944174646</v>
      </c>
    </row>
    <row r="16" spans="1:2" x14ac:dyDescent="0.6">
      <c r="A16" s="1" t="str">
        <f>_xlfn.CONCAT(HiperbolaTabla!$C27,",",HiperbolaTabla!D27)</f>
        <v>-21.6,13.4699665923862</v>
      </c>
      <c r="B16" s="1" t="str">
        <f t="shared" si="0"/>
        <v>POINT -21.6,13.4699665923862</v>
      </c>
    </row>
    <row r="17" spans="1:2" x14ac:dyDescent="0.6">
      <c r="A17" s="1" t="str">
        <f>_xlfn.CONCAT(HiperbolaTabla!$C28,",",HiperbolaTabla!D28)</f>
        <v>-21,12.9252659547105</v>
      </c>
      <c r="B17" s="1" t="str">
        <f t="shared" si="0"/>
        <v>POINT -21,12.9252659547105</v>
      </c>
    </row>
    <row r="18" spans="1:2" x14ac:dyDescent="0.6">
      <c r="A18" s="1" t="str">
        <f>_xlfn.CONCAT(HiperbolaTabla!$C29,",",HiperbolaTabla!D29)</f>
        <v>-20.4,12.3729543763807</v>
      </c>
      <c r="B18" s="1" t="str">
        <f t="shared" si="0"/>
        <v>POINT -20.4,12.3729543763807</v>
      </c>
    </row>
    <row r="19" spans="1:2" x14ac:dyDescent="0.6">
      <c r="A19" s="1" t="str">
        <f>_xlfn.CONCAT(HiperbolaTabla!$C30,",",HiperbolaTabla!D30)</f>
        <v>-19.8,11.811964273566</v>
      </c>
      <c r="B19" s="1" t="str">
        <f t="shared" si="0"/>
        <v>POINT -19.8,11.811964273566</v>
      </c>
    </row>
    <row r="20" spans="1:2" x14ac:dyDescent="0.6">
      <c r="A20" s="1" t="str">
        <f>_xlfn.CONCAT(HiperbolaTabla!$C31,",",HiperbolaTabla!D31)</f>
        <v>-19.2,11.2409963971171</v>
      </c>
      <c r="B20" s="1" t="str">
        <f t="shared" si="0"/>
        <v>POINT -19.2,11.2409963971171</v>
      </c>
    </row>
    <row r="21" spans="1:2" x14ac:dyDescent="0.6">
      <c r="A21" s="1" t="str">
        <f>_xlfn.CONCAT(HiperbolaTabla!$C32,",",HiperbolaTabla!D32)</f>
        <v>-18.6,10.6584473540943</v>
      </c>
      <c r="B21" s="1" t="str">
        <f t="shared" si="0"/>
        <v>POINT -18.6,10.6584473540943</v>
      </c>
    </row>
    <row r="22" spans="1:2" x14ac:dyDescent="0.6">
      <c r="A22" s="1" t="str">
        <f>_xlfn.CONCAT(HiperbolaTabla!$C33,",",HiperbolaTabla!D33)</f>
        <v>-18,10.062305898749</v>
      </c>
      <c r="B22" s="1" t="str">
        <f t="shared" si="0"/>
        <v>POINT -18,10.062305898749</v>
      </c>
    </row>
    <row r="23" spans="1:2" x14ac:dyDescent="0.6">
      <c r="A23" s="1" t="str">
        <f>_xlfn.CONCAT(HiperbolaTabla!$C34,",",HiperbolaTabla!D34)</f>
        <v>-17.4,9.44999999999997</v>
      </c>
      <c r="B23" s="1" t="str">
        <f t="shared" si="0"/>
        <v>POINT -17.4,9.44999999999997</v>
      </c>
    </row>
    <row r="24" spans="1:2" x14ac:dyDescent="0.6">
      <c r="A24" s="1" t="str">
        <f>_xlfn.CONCAT(HiperbolaTabla!$C35,",",HiperbolaTabla!D35)</f>
        <v>-16.8,8.81816307401941</v>
      </c>
      <c r="B24" s="1" t="str">
        <f t="shared" si="0"/>
        <v>POINT -16.8,8.81816307401941</v>
      </c>
    </row>
    <row r="25" spans="1:2" x14ac:dyDescent="0.6">
      <c r="A25" s="1" t="str">
        <f>_xlfn.CONCAT(HiperbolaTabla!$C36,",",HiperbolaTabla!D36)</f>
        <v>-16.2,8.16226071624764</v>
      </c>
      <c r="B25" s="1" t="str">
        <f t="shared" si="0"/>
        <v>POINT -16.2,8.16226071624764</v>
      </c>
    </row>
    <row r="26" spans="1:2" x14ac:dyDescent="0.6">
      <c r="A26" s="1" t="str">
        <f>_xlfn.CONCAT(HiperbolaTabla!$C37,",",HiperbolaTabla!D37)</f>
        <v>-15.6,7.47596147662623</v>
      </c>
      <c r="B26" s="1" t="str">
        <f t="shared" si="0"/>
        <v>POINT -15.6,7.47596147662623</v>
      </c>
    </row>
    <row r="27" spans="1:2" x14ac:dyDescent="0.6">
      <c r="A27" s="1" t="str">
        <f>_xlfn.CONCAT(HiperbolaTabla!$C38,",",HiperbolaTabla!D38)</f>
        <v>-15,6.74999999999996</v>
      </c>
      <c r="B27" s="1" t="str">
        <f t="shared" si="0"/>
        <v>POINT -15,6.74999999999996</v>
      </c>
    </row>
    <row r="28" spans="1:2" x14ac:dyDescent="0.6">
      <c r="A28" s="1" t="str">
        <f>_xlfn.CONCAT(HiperbolaTabla!$C39,",",HiperbolaTabla!D39)</f>
        <v>-14.4,5.96992462263968</v>
      </c>
      <c r="B28" s="1" t="str">
        <f t="shared" si="0"/>
        <v>POINT -14.4,5.96992462263968</v>
      </c>
    </row>
    <row r="29" spans="1:2" x14ac:dyDescent="0.6">
      <c r="A29" s="1" t="str">
        <f>_xlfn.CONCAT(HiperbolaTabla!$C40,",",HiperbolaTabla!D40)</f>
        <v>-13.8,5.1110175112202</v>
      </c>
      <c r="B29" s="1" t="str">
        <f t="shared" si="0"/>
        <v>POINT -13.8,5.1110175112202</v>
      </c>
    </row>
    <row r="30" spans="1:2" x14ac:dyDescent="0.6">
      <c r="A30" s="1" t="str">
        <f>_xlfn.CONCAT(HiperbolaTabla!$C41,",",HiperbolaTabla!D41)</f>
        <v>-13.2,4.1243181254602</v>
      </c>
      <c r="B30" s="1" t="str">
        <f t="shared" si="0"/>
        <v>POINT -13.2,4.1243181254602</v>
      </c>
    </row>
    <row r="31" spans="1:2" x14ac:dyDescent="0.6">
      <c r="A31" s="1" t="str">
        <f>_xlfn.CONCAT(HiperbolaTabla!$C42,",",HiperbolaTabla!D42)</f>
        <v>-12.6,2.88140590684471</v>
      </c>
      <c r="B31" s="1" t="str">
        <f t="shared" si="0"/>
        <v>POINT -12.6,2.88140590684471</v>
      </c>
    </row>
    <row r="32" spans="1:2" x14ac:dyDescent="0.6">
      <c r="A32" s="1" t="str">
        <f>_xlfn.CONCAT(HiperbolaTabla!$C43,",",HiperbolaTabla!D43)</f>
        <v>-12,</v>
      </c>
      <c r="B32" s="1" t="str">
        <f t="shared" si="0"/>
        <v>POINT -12,</v>
      </c>
    </row>
    <row r="33" spans="1:2" x14ac:dyDescent="0.6">
      <c r="A33" s="1" t="str">
        <f>_xlfn.CONCAT(HiperbolaTabla!$C44,",",HiperbolaTabla!D44)</f>
        <v>-11.4,</v>
      </c>
      <c r="B33" s="1" t="str">
        <f t="shared" si="0"/>
        <v>POINT -11.4,</v>
      </c>
    </row>
    <row r="34" spans="1:2" x14ac:dyDescent="0.6">
      <c r="A34" s="1" t="str">
        <f>_xlfn.CONCAT(HiperbolaTabla!$C45,",",HiperbolaTabla!D45)</f>
        <v>-10.8,</v>
      </c>
      <c r="B34" s="1" t="str">
        <f t="shared" si="0"/>
        <v>POINT -10.8,</v>
      </c>
    </row>
    <row r="35" spans="1:2" x14ac:dyDescent="0.6">
      <c r="A35" s="1" t="str">
        <f>_xlfn.CONCAT(HiperbolaTabla!$C46,",",HiperbolaTabla!D46)</f>
        <v>-10.2,</v>
      </c>
      <c r="B35" s="1" t="str">
        <f t="shared" si="0"/>
        <v>POINT -10.2,</v>
      </c>
    </row>
    <row r="36" spans="1:2" x14ac:dyDescent="0.6">
      <c r="A36" s="1" t="str">
        <f>_xlfn.CONCAT(HiperbolaTabla!$C47,",",HiperbolaTabla!D47)</f>
        <v>-9.59999999999997,</v>
      </c>
      <c r="B36" s="1" t="str">
        <f t="shared" si="0"/>
        <v>POINT -9.59999999999997,</v>
      </c>
    </row>
    <row r="37" spans="1:2" x14ac:dyDescent="0.6">
      <c r="A37" s="1" t="str">
        <f>_xlfn.CONCAT(HiperbolaTabla!$C48,",",HiperbolaTabla!D48)</f>
        <v>-8.99999999999997,</v>
      </c>
      <c r="B37" s="1" t="str">
        <f t="shared" si="0"/>
        <v>POINT -8.99999999999997,</v>
      </c>
    </row>
    <row r="38" spans="1:2" x14ac:dyDescent="0.6">
      <c r="A38" s="1" t="str">
        <f>_xlfn.CONCAT(HiperbolaTabla!$C49,",",HiperbolaTabla!D49)</f>
        <v>-8.39999999999997,</v>
      </c>
      <c r="B38" s="1" t="str">
        <f t="shared" si="0"/>
        <v>POINT -8.39999999999997,</v>
      </c>
    </row>
    <row r="39" spans="1:2" x14ac:dyDescent="0.6">
      <c r="A39" s="1" t="str">
        <f>_xlfn.CONCAT(HiperbolaTabla!$C50,",",HiperbolaTabla!D50)</f>
        <v>-7.79999999999997,</v>
      </c>
      <c r="B39" s="1" t="str">
        <f t="shared" si="0"/>
        <v>POINT -7.79999999999997,</v>
      </c>
    </row>
    <row r="40" spans="1:2" x14ac:dyDescent="0.6">
      <c r="A40" s="1" t="str">
        <f>_xlfn.CONCAT(HiperbolaTabla!$C51,",",HiperbolaTabla!D51)</f>
        <v>-7.19999999999997,</v>
      </c>
      <c r="B40" s="1" t="str">
        <f t="shared" si="0"/>
        <v>POINT -7.19999999999997,</v>
      </c>
    </row>
    <row r="41" spans="1:2" x14ac:dyDescent="0.6">
      <c r="A41" s="1" t="str">
        <f>_xlfn.CONCAT(HiperbolaTabla!$C52,",",HiperbolaTabla!D52)</f>
        <v>-6.59999999999997,</v>
      </c>
      <c r="B41" s="1" t="str">
        <f t="shared" si="0"/>
        <v>POINT -6.59999999999997,</v>
      </c>
    </row>
    <row r="42" spans="1:2" x14ac:dyDescent="0.6">
      <c r="A42" s="1" t="str">
        <f>_xlfn.CONCAT(HiperbolaTabla!$C53,",",HiperbolaTabla!D53)</f>
        <v>-5.99999999999997,</v>
      </c>
      <c r="B42" s="1" t="str">
        <f t="shared" si="0"/>
        <v>POINT -5.99999999999997,</v>
      </c>
    </row>
    <row r="43" spans="1:2" x14ac:dyDescent="0.6">
      <c r="A43" s="1" t="str">
        <f>_xlfn.CONCAT(HiperbolaTabla!$C54,",",HiperbolaTabla!D54)</f>
        <v>-5.39999999999997,</v>
      </c>
      <c r="B43" s="1" t="str">
        <f t="shared" si="0"/>
        <v>POINT -5.39999999999997,</v>
      </c>
    </row>
    <row r="44" spans="1:2" x14ac:dyDescent="0.6">
      <c r="A44" s="1" t="str">
        <f>_xlfn.CONCAT(HiperbolaTabla!$C55,",",HiperbolaTabla!D55)</f>
        <v>-4.79999999999997,</v>
      </c>
      <c r="B44" s="1" t="str">
        <f t="shared" si="0"/>
        <v>POINT -4.79999999999997,</v>
      </c>
    </row>
    <row r="45" spans="1:2" x14ac:dyDescent="0.6">
      <c r="A45" s="1" t="str">
        <f>_xlfn.CONCAT(HiperbolaTabla!$C56,",",HiperbolaTabla!D56)</f>
        <v>-4.19999999999997,</v>
      </c>
      <c r="B45" s="1" t="str">
        <f t="shared" si="0"/>
        <v>POINT -4.19999999999997,</v>
      </c>
    </row>
    <row r="46" spans="1:2" x14ac:dyDescent="0.6">
      <c r="A46" s="1" t="str">
        <f>_xlfn.CONCAT(HiperbolaTabla!$C57,",",HiperbolaTabla!D57)</f>
        <v>-3.59999999999997,</v>
      </c>
      <c r="B46" s="1" t="str">
        <f t="shared" si="0"/>
        <v>POINT -3.59999999999997,</v>
      </c>
    </row>
    <row r="47" spans="1:2" x14ac:dyDescent="0.6">
      <c r="A47" s="1" t="str">
        <f>_xlfn.CONCAT(HiperbolaTabla!$C58,",",HiperbolaTabla!D58)</f>
        <v>-2.99999999999997,</v>
      </c>
      <c r="B47" s="1" t="str">
        <f t="shared" si="0"/>
        <v>POINT -2.99999999999997,</v>
      </c>
    </row>
    <row r="48" spans="1:2" x14ac:dyDescent="0.6">
      <c r="A48" s="1" t="str">
        <f>_xlfn.CONCAT(HiperbolaTabla!$C59,",",HiperbolaTabla!D59)</f>
        <v>-2.39999999999997,</v>
      </c>
      <c r="B48" s="1" t="str">
        <f t="shared" si="0"/>
        <v>POINT -2.39999999999997,</v>
      </c>
    </row>
    <row r="49" spans="1:2" x14ac:dyDescent="0.6">
      <c r="A49" s="1" t="str">
        <f>_xlfn.CONCAT(HiperbolaTabla!$C60,",",HiperbolaTabla!D60)</f>
        <v>-1.79999999999997,</v>
      </c>
      <c r="B49" s="1" t="str">
        <f t="shared" si="0"/>
        <v>POINT -1.79999999999997,</v>
      </c>
    </row>
    <row r="50" spans="1:2" x14ac:dyDescent="0.6">
      <c r="A50" s="1" t="str">
        <f>_xlfn.CONCAT(HiperbolaTabla!$C61,",",HiperbolaTabla!D61)</f>
        <v>-1.19999999999997,</v>
      </c>
      <c r="B50" s="1" t="str">
        <f t="shared" si="0"/>
        <v>POINT -1.19999999999997,</v>
      </c>
    </row>
    <row r="51" spans="1:2" x14ac:dyDescent="0.6">
      <c r="A51" s="1" t="str">
        <f>_xlfn.CONCAT(HiperbolaTabla!$C62,",",HiperbolaTabla!D62)</f>
        <v>-0.599999999999974,</v>
      </c>
      <c r="B51" s="1" t="str">
        <f t="shared" si="0"/>
        <v>POINT -0.599999999999974,</v>
      </c>
    </row>
    <row r="52" spans="1:2" x14ac:dyDescent="0.6">
      <c r="A52" s="1" t="str">
        <f>_xlfn.CONCAT(HiperbolaTabla!$C63,",",HiperbolaTabla!D63)</f>
        <v>2.59792187762287E-14,</v>
      </c>
      <c r="B52" s="1" t="str">
        <f t="shared" si="0"/>
        <v>POINT 2.59792187762287E-14,</v>
      </c>
    </row>
    <row r="53" spans="1:2" x14ac:dyDescent="0.6">
      <c r="A53" s="1" t="str">
        <f>_xlfn.CONCAT(HiperbolaTabla!$C64,",",HiperbolaTabla!D64)</f>
        <v>0.600000000000026,</v>
      </c>
      <c r="B53" s="1" t="str">
        <f t="shared" si="0"/>
        <v>POINT 0.600000000000026,</v>
      </c>
    </row>
    <row r="54" spans="1:2" x14ac:dyDescent="0.6">
      <c r="A54" s="1" t="str">
        <f>_xlfn.CONCAT(HiperbolaTabla!$C65,",",HiperbolaTabla!D65)</f>
        <v>1.20000000000003,</v>
      </c>
      <c r="B54" s="1" t="str">
        <f t="shared" si="0"/>
        <v>POINT 1.20000000000003,</v>
      </c>
    </row>
    <row r="55" spans="1:2" x14ac:dyDescent="0.6">
      <c r="A55" s="1" t="str">
        <f>_xlfn.CONCAT(HiperbolaTabla!$C66,",",HiperbolaTabla!D66)</f>
        <v>1.80000000000003,</v>
      </c>
      <c r="B55" s="1" t="str">
        <f t="shared" si="0"/>
        <v>POINT 1.80000000000003,</v>
      </c>
    </row>
    <row r="56" spans="1:2" x14ac:dyDescent="0.6">
      <c r="A56" s="1" t="str">
        <f>_xlfn.CONCAT(HiperbolaTabla!$C67,",",HiperbolaTabla!D67)</f>
        <v>2.40000000000003,</v>
      </c>
      <c r="B56" s="1" t="str">
        <f t="shared" si="0"/>
        <v>POINT 2.40000000000003,</v>
      </c>
    </row>
    <row r="57" spans="1:2" x14ac:dyDescent="0.6">
      <c r="A57" s="1" t="str">
        <f>_xlfn.CONCAT(HiperbolaTabla!$C68,",",HiperbolaTabla!D68)</f>
        <v>3.00000000000003,</v>
      </c>
      <c r="B57" s="1" t="str">
        <f t="shared" si="0"/>
        <v>POINT 3.00000000000003,</v>
      </c>
    </row>
    <row r="58" spans="1:2" x14ac:dyDescent="0.6">
      <c r="A58" s="1" t="str">
        <f>_xlfn.CONCAT(HiperbolaTabla!$C69,",",HiperbolaTabla!D69)</f>
        <v>3.60000000000003,</v>
      </c>
      <c r="B58" s="1" t="str">
        <f t="shared" si="0"/>
        <v>POINT 3.60000000000003,</v>
      </c>
    </row>
    <row r="59" spans="1:2" x14ac:dyDescent="0.6">
      <c r="A59" s="1" t="str">
        <f>_xlfn.CONCAT(HiperbolaTabla!$C70,",",HiperbolaTabla!D70)</f>
        <v>4.20000000000003,</v>
      </c>
      <c r="B59" s="1" t="str">
        <f t="shared" si="0"/>
        <v>POINT 4.20000000000003,</v>
      </c>
    </row>
    <row r="60" spans="1:2" x14ac:dyDescent="0.6">
      <c r="A60" s="1" t="str">
        <f>_xlfn.CONCAT(HiperbolaTabla!$C71,",",HiperbolaTabla!D71)</f>
        <v>4.80000000000003,</v>
      </c>
      <c r="B60" s="1" t="str">
        <f t="shared" si="0"/>
        <v>POINT 4.80000000000003,</v>
      </c>
    </row>
    <row r="61" spans="1:2" x14ac:dyDescent="0.6">
      <c r="A61" s="1" t="str">
        <f>_xlfn.CONCAT(HiperbolaTabla!$C72,",",HiperbolaTabla!D72)</f>
        <v>5.40000000000003,</v>
      </c>
      <c r="B61" s="1" t="str">
        <f t="shared" si="0"/>
        <v>POINT 5.40000000000003,</v>
      </c>
    </row>
    <row r="62" spans="1:2" x14ac:dyDescent="0.6">
      <c r="A62" s="1" t="str">
        <f>_xlfn.CONCAT(HiperbolaTabla!$C73,",",HiperbolaTabla!D73)</f>
        <v>6.00000000000002,</v>
      </c>
      <c r="B62" s="1" t="str">
        <f t="shared" si="0"/>
        <v>POINT 6.00000000000002,</v>
      </c>
    </row>
    <row r="63" spans="1:2" x14ac:dyDescent="0.6">
      <c r="A63" s="1" t="str">
        <f>_xlfn.CONCAT(HiperbolaTabla!$C74,",",HiperbolaTabla!D74)</f>
        <v>6.60000000000002,</v>
      </c>
      <c r="B63" s="1" t="str">
        <f t="shared" si="0"/>
        <v>POINT 6.60000000000002,</v>
      </c>
    </row>
    <row r="64" spans="1:2" x14ac:dyDescent="0.6">
      <c r="A64" s="1" t="str">
        <f>_xlfn.CONCAT(HiperbolaTabla!$C75,",",HiperbolaTabla!D75)</f>
        <v>7.20000000000002,</v>
      </c>
      <c r="B64" s="1" t="str">
        <f t="shared" si="0"/>
        <v>POINT 7.20000000000002,</v>
      </c>
    </row>
    <row r="65" spans="1:2" x14ac:dyDescent="0.6">
      <c r="A65" s="1" t="str">
        <f>_xlfn.CONCAT(HiperbolaTabla!$C76,",",HiperbolaTabla!D76)</f>
        <v>7.80000000000002,</v>
      </c>
      <c r="B65" s="1" t="str">
        <f t="shared" si="0"/>
        <v>POINT 7.80000000000002,</v>
      </c>
    </row>
    <row r="66" spans="1:2" x14ac:dyDescent="0.6">
      <c r="A66" s="1" t="str">
        <f>_xlfn.CONCAT(HiperbolaTabla!$C77,",",HiperbolaTabla!D77)</f>
        <v>8.40000000000002,</v>
      </c>
      <c r="B66" s="1" t="str">
        <f t="shared" si="0"/>
        <v>POINT 8.40000000000002,</v>
      </c>
    </row>
    <row r="67" spans="1:2" x14ac:dyDescent="0.6">
      <c r="A67" s="1" t="str">
        <f>_xlfn.CONCAT(HiperbolaTabla!$C78,",",HiperbolaTabla!D78)</f>
        <v>9.00000000000002,</v>
      </c>
      <c r="B67" s="1" t="str">
        <f t="shared" ref="B67:B101" si="1">_xlfn.CONCAT("POINT ",A67)</f>
        <v>POINT 9.00000000000002,</v>
      </c>
    </row>
    <row r="68" spans="1:2" x14ac:dyDescent="0.6">
      <c r="A68" s="1" t="str">
        <f>_xlfn.CONCAT(HiperbolaTabla!$C79,",",HiperbolaTabla!D79)</f>
        <v>9.60000000000002,</v>
      </c>
      <c r="B68" s="1" t="str">
        <f t="shared" si="1"/>
        <v>POINT 9.60000000000002,</v>
      </c>
    </row>
    <row r="69" spans="1:2" x14ac:dyDescent="0.6">
      <c r="A69" s="1" t="str">
        <f>_xlfn.CONCAT(HiperbolaTabla!$C80,",",HiperbolaTabla!D80)</f>
        <v>10.2,</v>
      </c>
      <c r="B69" s="1" t="str">
        <f t="shared" si="1"/>
        <v>POINT 10.2,</v>
      </c>
    </row>
    <row r="70" spans="1:2" x14ac:dyDescent="0.6">
      <c r="A70" s="1" t="str">
        <f>_xlfn.CONCAT(HiperbolaTabla!$C81,",",HiperbolaTabla!D81)</f>
        <v>10.8,</v>
      </c>
      <c r="B70" s="1" t="str">
        <f t="shared" si="1"/>
        <v>POINT 10.8,</v>
      </c>
    </row>
    <row r="71" spans="1:2" x14ac:dyDescent="0.6">
      <c r="A71" s="1" t="str">
        <f>_xlfn.CONCAT(HiperbolaTabla!$C82,",",HiperbolaTabla!D82)</f>
        <v>11.4,</v>
      </c>
      <c r="B71" s="1" t="str">
        <f t="shared" si="1"/>
        <v>POINT 11.4,</v>
      </c>
    </row>
    <row r="72" spans="1:2" x14ac:dyDescent="0.6">
      <c r="A72" s="1" t="str">
        <f>_xlfn.CONCAT(HiperbolaTabla!$C83,",",HiperbolaTabla!D83)</f>
        <v>12,5.36441802978516E-07</v>
      </c>
      <c r="B72" s="1" t="str">
        <f t="shared" si="1"/>
        <v>POINT 12,5.36441802978516E-07</v>
      </c>
    </row>
    <row r="73" spans="1:2" x14ac:dyDescent="0.6">
      <c r="A73" s="1" t="str">
        <f>_xlfn.CONCAT(HiperbolaTabla!$C84,",",HiperbolaTabla!D84)</f>
        <v>12.6,2.88140590684483</v>
      </c>
      <c r="B73" s="1" t="str">
        <f t="shared" si="1"/>
        <v>POINT 12.6,2.88140590684483</v>
      </c>
    </row>
    <row r="74" spans="1:2" x14ac:dyDescent="0.6">
      <c r="A74" s="1" t="str">
        <f>_xlfn.CONCAT(HiperbolaTabla!$C85,",",HiperbolaTabla!D85)</f>
        <v>13.2,4.12431812546029</v>
      </c>
      <c r="B74" s="1" t="str">
        <f t="shared" si="1"/>
        <v>POINT 13.2,4.12431812546029</v>
      </c>
    </row>
    <row r="75" spans="1:2" x14ac:dyDescent="0.6">
      <c r="A75" s="1" t="str">
        <f>_xlfn.CONCAT(HiperbolaTabla!$C86,",",HiperbolaTabla!D86)</f>
        <v>13.8,5.11101751122028</v>
      </c>
      <c r="B75" s="1" t="str">
        <f t="shared" si="1"/>
        <v>POINT 13.8,5.11101751122028</v>
      </c>
    </row>
    <row r="76" spans="1:2" x14ac:dyDescent="0.6">
      <c r="A76" s="1" t="str">
        <f>_xlfn.CONCAT(HiperbolaTabla!$C87,",",HiperbolaTabla!D87)</f>
        <v>14.4,5.96992462263975</v>
      </c>
      <c r="B76" s="1" t="str">
        <f t="shared" si="1"/>
        <v>POINT 14.4,5.96992462263975</v>
      </c>
    </row>
    <row r="77" spans="1:2" x14ac:dyDescent="0.6">
      <c r="A77" s="1" t="str">
        <f>_xlfn.CONCAT(HiperbolaTabla!$C88,",",HiperbolaTabla!D88)</f>
        <v>15,6.75000000000002</v>
      </c>
      <c r="B77" s="1" t="str">
        <f t="shared" si="1"/>
        <v>POINT 15,6.75000000000002</v>
      </c>
    </row>
    <row r="78" spans="1:2" x14ac:dyDescent="0.6">
      <c r="A78" s="1" t="str">
        <f>_xlfn.CONCAT(HiperbolaTabla!$C89,",",HiperbolaTabla!D89)</f>
        <v>15.6,7.47596147662629</v>
      </c>
      <c r="B78" s="1" t="str">
        <f t="shared" si="1"/>
        <v>POINT 15.6,7.47596147662629</v>
      </c>
    </row>
    <row r="79" spans="1:2" x14ac:dyDescent="0.6">
      <c r="A79" s="1" t="str">
        <f>_xlfn.CONCAT(HiperbolaTabla!$C90,",",HiperbolaTabla!D90)</f>
        <v>16.2,8.1622607162477</v>
      </c>
      <c r="B79" s="1" t="str">
        <f t="shared" si="1"/>
        <v>POINT 16.2,8.1622607162477</v>
      </c>
    </row>
    <row r="80" spans="1:2" x14ac:dyDescent="0.6">
      <c r="A80" s="1" t="str">
        <f>_xlfn.CONCAT(HiperbolaTabla!$C91,",",HiperbolaTabla!D91)</f>
        <v>16.8,8.81816307401947</v>
      </c>
      <c r="B80" s="1" t="str">
        <f t="shared" si="1"/>
        <v>POINT 16.8,8.81816307401947</v>
      </c>
    </row>
    <row r="81" spans="1:2" x14ac:dyDescent="0.6">
      <c r="A81" s="1" t="str">
        <f>_xlfn.CONCAT(HiperbolaTabla!$C92,",",HiperbolaTabla!D92)</f>
        <v>17.4,9.45000000000002</v>
      </c>
      <c r="B81" s="1" t="str">
        <f t="shared" si="1"/>
        <v>POINT 17.4,9.45000000000002</v>
      </c>
    </row>
    <row r="82" spans="1:2" x14ac:dyDescent="0.6">
      <c r="A82" s="1" t="str">
        <f>_xlfn.CONCAT(HiperbolaTabla!$C93,",",HiperbolaTabla!D93)</f>
        <v>18,10.0623058987491</v>
      </c>
      <c r="B82" s="1" t="str">
        <f t="shared" si="1"/>
        <v>POINT 18,10.0623058987491</v>
      </c>
    </row>
    <row r="83" spans="1:2" x14ac:dyDescent="0.6">
      <c r="A83" s="1" t="str">
        <f>_xlfn.CONCAT(HiperbolaTabla!$C94,",",HiperbolaTabla!D94)</f>
        <v>18.6,10.6584473540943</v>
      </c>
      <c r="B83" s="1" t="str">
        <f t="shared" si="1"/>
        <v>POINT 18.6,10.6584473540943</v>
      </c>
    </row>
    <row r="84" spans="1:2" x14ac:dyDescent="0.6">
      <c r="A84" s="1" t="str">
        <f>_xlfn.CONCAT(HiperbolaTabla!$C95,",",HiperbolaTabla!D95)</f>
        <v>19.2,11.2409963971171</v>
      </c>
      <c r="B84" s="1" t="str">
        <f t="shared" si="1"/>
        <v>POINT 19.2,11.2409963971171</v>
      </c>
    </row>
    <row r="85" spans="1:2" x14ac:dyDescent="0.6">
      <c r="A85" s="1" t="str">
        <f>_xlfn.CONCAT(HiperbolaTabla!$C96,",",HiperbolaTabla!D96)</f>
        <v>19.8,11.811964273566</v>
      </c>
      <c r="B85" s="1" t="str">
        <f t="shared" si="1"/>
        <v>POINT 19.8,11.811964273566</v>
      </c>
    </row>
    <row r="86" spans="1:2" x14ac:dyDescent="0.6">
      <c r="A86" s="1" t="str">
        <f>_xlfn.CONCAT(HiperbolaTabla!$C97,",",HiperbolaTabla!D97)</f>
        <v>20.4,12.3729543763808</v>
      </c>
      <c r="B86" s="1" t="str">
        <f t="shared" si="1"/>
        <v>POINT 20.4,12.3729543763808</v>
      </c>
    </row>
    <row r="87" spans="1:2" x14ac:dyDescent="0.6">
      <c r="A87" s="1" t="str">
        <f>_xlfn.CONCAT(HiperbolaTabla!$C98,",",HiperbolaTabla!D98)</f>
        <v>21,12.9252659547106</v>
      </c>
      <c r="B87" s="1" t="str">
        <f t="shared" si="1"/>
        <v>POINT 21,12.9252659547106</v>
      </c>
    </row>
    <row r="88" spans="1:2" x14ac:dyDescent="0.6">
      <c r="A88" s="1" t="str">
        <f>_xlfn.CONCAT(HiperbolaTabla!$C99,",",HiperbolaTabla!D99)</f>
        <v>21.6,13.4699665923862</v>
      </c>
      <c r="B88" s="1" t="str">
        <f t="shared" si="1"/>
        <v>POINT 21.6,13.4699665923862</v>
      </c>
    </row>
    <row r="89" spans="1:2" x14ac:dyDescent="0.6">
      <c r="A89" s="1" t="str">
        <f>_xlfn.CONCAT(HiperbolaTabla!$C100,",",HiperbolaTabla!D100)</f>
        <v>22.2,14.0079441746461</v>
      </c>
      <c r="B89" s="1" t="str">
        <f t="shared" si="1"/>
        <v>POINT 22.2,14.0079441746461</v>
      </c>
    </row>
    <row r="90" spans="1:2" x14ac:dyDescent="0.6">
      <c r="A90" s="1" t="str">
        <f>_xlfn.CONCAT(HiperbolaTabla!$C101,",",HiperbolaTabla!D101)</f>
        <v>22.8,14.5399449792632</v>
      </c>
      <c r="B90" s="1" t="str">
        <f t="shared" si="1"/>
        <v>POINT 22.8,14.5399449792632</v>
      </c>
    </row>
    <row r="91" spans="1:2" x14ac:dyDescent="0.6">
      <c r="A91" s="1" t="str">
        <f>_xlfn.CONCAT(HiperbolaTabla!$C102,",",HiperbolaTabla!D102)</f>
        <v>23.4,15.0666021385049</v>
      </c>
      <c r="B91" s="1" t="str">
        <f t="shared" si="1"/>
        <v>POINT 23.4,15.0666021385049</v>
      </c>
    </row>
    <row r="92" spans="1:2" x14ac:dyDescent="0.6">
      <c r="A92" s="1" t="str">
        <f>_xlfn.CONCAT(HiperbolaTabla!$C103,",",HiperbolaTabla!D103)</f>
        <v>24,15.5884572681199</v>
      </c>
      <c r="B92" s="1" t="str">
        <f t="shared" si="1"/>
        <v>POINT 24,15.5884572681199</v>
      </c>
    </row>
    <row r="93" spans="1:2" x14ac:dyDescent="0.6">
      <c r="A93" s="1" t="str">
        <f>_xlfn.CONCAT(HiperbolaTabla!$C104,",",HiperbolaTabla!D104)</f>
        <v>24.6,16.105977151356</v>
      </c>
      <c r="B93" s="1" t="str">
        <f t="shared" si="1"/>
        <v>POINT 24.6,16.105977151356</v>
      </c>
    </row>
    <row r="94" spans="1:2" x14ac:dyDescent="0.6">
      <c r="A94" s="1" t="str">
        <f>_xlfn.CONCAT(HiperbolaTabla!$C105,",",HiperbolaTabla!D105)</f>
        <v>25.2,16.6195667813575</v>
      </c>
      <c r="B94" s="1" t="str">
        <f t="shared" si="1"/>
        <v>POINT 25.2,16.6195667813575</v>
      </c>
    </row>
    <row r="95" spans="1:2" x14ac:dyDescent="0.6">
      <c r="A95" s="1" t="str">
        <f>_xlfn.CONCAT(HiperbolaTabla!$C106,",",HiperbolaTabla!D106)</f>
        <v>25.8,17.1295796796069</v>
      </c>
      <c r="B95" s="1" t="str">
        <f t="shared" si="1"/>
        <v>POINT 25.8,17.1295796796069</v>
      </c>
    </row>
    <row r="96" spans="1:2" x14ac:dyDescent="0.6">
      <c r="A96" s="1" t="str">
        <f>_xlfn.CONCAT(HiperbolaTabla!$C107,",",HiperbolaTabla!D107)</f>
        <v>26.4,17.6363261480389</v>
      </c>
      <c r="B96" s="1" t="str">
        <f t="shared" si="1"/>
        <v>POINT 26.4,17.6363261480389</v>
      </c>
    </row>
    <row r="97" spans="1:2" x14ac:dyDescent="0.6">
      <c r="A97" s="1" t="str">
        <f>_xlfn.CONCAT(HiperbolaTabla!$C108,",",HiperbolaTabla!D108)</f>
        <v>27,18.1400799336718</v>
      </c>
      <c r="B97" s="1" t="str">
        <f t="shared" si="1"/>
        <v>POINT 27,18.1400799336718</v>
      </c>
    </row>
    <row r="98" spans="1:2" x14ac:dyDescent="0.6">
      <c r="A98" s="1" t="str">
        <f>_xlfn.CONCAT(HiperbolaTabla!$C109,",",HiperbolaTabla!D109)</f>
        <v>27.6,18.6410836594872</v>
      </c>
      <c r="B98" s="1" t="str">
        <f t="shared" si="1"/>
        <v>POINT 27.6,18.6410836594872</v>
      </c>
    </row>
    <row r="99" spans="1:2" x14ac:dyDescent="0.6">
      <c r="A99" s="1" t="str">
        <f>_xlfn.CONCAT(HiperbolaTabla!$C110,",",HiperbolaTabla!D110)</f>
        <v>28.2,19.1395532863231</v>
      </c>
      <c r="B99" s="1" t="str">
        <f t="shared" si="1"/>
        <v>POINT 28.2,19.1395532863231</v>
      </c>
    </row>
    <row r="100" spans="1:2" x14ac:dyDescent="0.6">
      <c r="A100" s="1" t="str">
        <f>_xlfn.CONCAT(HiperbolaTabla!$C111,",",HiperbolaTabla!D111)</f>
        <v>28.8000000000001,19.6356818063443</v>
      </c>
      <c r="B100" s="1" t="str">
        <f t="shared" si="1"/>
        <v>POINT 28.8000000000001,19.6356818063443</v>
      </c>
    </row>
    <row r="101" spans="1:2" x14ac:dyDescent="0.6">
      <c r="A101" s="1" t="str">
        <f>_xlfn.CONCAT(HiperbolaTabla!$C112,",",HiperbolaTabla!D112)</f>
        <v>29.4000000000001,20.1296423217106</v>
      </c>
      <c r="B101" s="1" t="str">
        <f t="shared" si="1"/>
        <v>POINT 29.4000000000001,20.1296423217106</v>
      </c>
    </row>
    <row r="103" spans="1:2" x14ac:dyDescent="0.6">
      <c r="A103" s="1" t="s">
        <v>17</v>
      </c>
    </row>
    <row r="104" spans="1:2" x14ac:dyDescent="0.6">
      <c r="A104" s="1" t="str">
        <f>_xlfn.CONCAT(HiperbolaTabla!$E13,",",HiperbolaTabla!F13)</f>
        <v>30,-20.6215906273013</v>
      </c>
      <c r="B104" s="1" t="str">
        <f t="shared" ref="B104:B167" si="2">_xlfn.CONCAT("POINT ",A104)</f>
        <v>POINT 30,-20.6215906273013</v>
      </c>
    </row>
    <row r="105" spans="1:2" x14ac:dyDescent="0.6">
      <c r="A105" s="1" t="str">
        <f>_xlfn.CONCAT(HiperbolaTabla!$E14,",",HiperbolaTabla!F14)</f>
        <v>29.4,-20.1296423217105</v>
      </c>
      <c r="B105" s="1" t="str">
        <f t="shared" si="2"/>
        <v>POINT 29.4,-20.1296423217105</v>
      </c>
    </row>
    <row r="106" spans="1:2" x14ac:dyDescent="0.6">
      <c r="A106" s="1" t="str">
        <f>_xlfn.CONCAT(HiperbolaTabla!$E15,",",HiperbolaTabla!F15)</f>
        <v>28.8,-19.6356818063443</v>
      </c>
      <c r="B106" s="1" t="str">
        <f t="shared" si="2"/>
        <v>POINT 28.8,-19.6356818063443</v>
      </c>
    </row>
    <row r="107" spans="1:2" x14ac:dyDescent="0.6">
      <c r="A107" s="1" t="str">
        <f>_xlfn.CONCAT(HiperbolaTabla!$E16,",",HiperbolaTabla!F16)</f>
        <v>28.2,-19.1395532863231</v>
      </c>
      <c r="B107" s="1" t="str">
        <f t="shared" si="2"/>
        <v>POINT 28.2,-19.1395532863231</v>
      </c>
    </row>
    <row r="108" spans="1:2" x14ac:dyDescent="0.6">
      <c r="A108" s="1" t="str">
        <f>_xlfn.CONCAT(HiperbolaTabla!$E17,",",HiperbolaTabla!F17)</f>
        <v>27.6,-18.6410836594872</v>
      </c>
      <c r="B108" s="1" t="str">
        <f t="shared" si="2"/>
        <v>POINT 27.6,-18.6410836594872</v>
      </c>
    </row>
    <row r="109" spans="1:2" x14ac:dyDescent="0.6">
      <c r="A109" s="1" t="str">
        <f>_xlfn.CONCAT(HiperbolaTabla!$E18,",",HiperbolaTabla!F18)</f>
        <v>27,-18.1400799336717</v>
      </c>
      <c r="B109" s="1" t="str">
        <f t="shared" si="2"/>
        <v>POINT 27,-18.1400799336717</v>
      </c>
    </row>
    <row r="110" spans="1:2" x14ac:dyDescent="0.6">
      <c r="A110" s="1" t="str">
        <f>_xlfn.CONCAT(HiperbolaTabla!$E19,",",HiperbolaTabla!F19)</f>
        <v>26.4,-17.6363261480389</v>
      </c>
      <c r="B110" s="1" t="str">
        <f t="shared" si="2"/>
        <v>POINT 26.4,-17.6363261480389</v>
      </c>
    </row>
    <row r="111" spans="1:2" x14ac:dyDescent="0.6">
      <c r="A111" s="1" t="str">
        <f>_xlfn.CONCAT(HiperbolaTabla!$E20,",",HiperbolaTabla!F20)</f>
        <v>25.8,-17.1295796796068</v>
      </c>
      <c r="B111" s="1" t="str">
        <f t="shared" si="2"/>
        <v>POINT 25.8,-17.1295796796068</v>
      </c>
    </row>
    <row r="112" spans="1:2" x14ac:dyDescent="0.6">
      <c r="A112" s="1" t="str">
        <f>_xlfn.CONCAT(HiperbolaTabla!$E21,",",HiperbolaTabla!F21)</f>
        <v>25.2,-16.6195667813574</v>
      </c>
      <c r="B112" s="1" t="str">
        <f t="shared" si="2"/>
        <v>POINT 25.2,-16.6195667813574</v>
      </c>
    </row>
    <row r="113" spans="1:2" x14ac:dyDescent="0.6">
      <c r="A113" s="1" t="str">
        <f>_xlfn.CONCAT(HiperbolaTabla!$E22,",",HiperbolaTabla!F22)</f>
        <v>24.6,-16.1059771513559</v>
      </c>
      <c r="B113" s="1" t="str">
        <f t="shared" si="2"/>
        <v>POINT 24.6,-16.1059771513559</v>
      </c>
    </row>
    <row r="114" spans="1:2" x14ac:dyDescent="0.6">
      <c r="A114" s="1" t="str">
        <f>_xlfn.CONCAT(HiperbolaTabla!$E23,",",HiperbolaTabla!F23)</f>
        <v>24,-15.5884572681199</v>
      </c>
      <c r="B114" s="1" t="str">
        <f t="shared" si="2"/>
        <v>POINT 24,-15.5884572681199</v>
      </c>
    </row>
    <row r="115" spans="1:2" x14ac:dyDescent="0.6">
      <c r="A115" s="1" t="str">
        <f>_xlfn.CONCAT(HiperbolaTabla!$E24,",",HiperbolaTabla!F24)</f>
        <v>23.4,-15.0666021385049</v>
      </c>
      <c r="B115" s="1" t="str">
        <f t="shared" si="2"/>
        <v>POINT 23.4,-15.0666021385049</v>
      </c>
    </row>
    <row r="116" spans="1:2" x14ac:dyDescent="0.6">
      <c r="A116" s="1" t="str">
        <f>_xlfn.CONCAT(HiperbolaTabla!$E25,",",HiperbolaTabla!F25)</f>
        <v>22.8,-14.5399449792631</v>
      </c>
      <c r="B116" s="1" t="str">
        <f t="shared" si="2"/>
        <v>POINT 22.8,-14.5399449792631</v>
      </c>
    </row>
    <row r="117" spans="1:2" x14ac:dyDescent="0.6">
      <c r="A117" s="1" t="str">
        <f>_xlfn.CONCAT(HiperbolaTabla!$E26,",",HiperbolaTabla!F26)</f>
        <v>22.2,-14.007944174646</v>
      </c>
      <c r="B117" s="1" t="str">
        <f t="shared" si="2"/>
        <v>POINT 22.2,-14.007944174646</v>
      </c>
    </row>
    <row r="118" spans="1:2" x14ac:dyDescent="0.6">
      <c r="A118" s="1" t="str">
        <f>_xlfn.CONCAT(HiperbolaTabla!$E27,",",HiperbolaTabla!F27)</f>
        <v>21.6,-13.4699665923862</v>
      </c>
      <c r="B118" s="1" t="str">
        <f t="shared" si="2"/>
        <v>POINT 21.6,-13.4699665923862</v>
      </c>
    </row>
    <row r="119" spans="1:2" x14ac:dyDescent="0.6">
      <c r="A119" s="1" t="str">
        <f>_xlfn.CONCAT(HiperbolaTabla!$E28,",",HiperbolaTabla!F28)</f>
        <v>21,-12.9252659547105</v>
      </c>
      <c r="B119" s="1" t="str">
        <f t="shared" si="2"/>
        <v>POINT 21,-12.9252659547105</v>
      </c>
    </row>
    <row r="120" spans="1:2" x14ac:dyDescent="0.6">
      <c r="A120" s="1" t="str">
        <f>_xlfn.CONCAT(HiperbolaTabla!$E29,",",HiperbolaTabla!F29)</f>
        <v>20.4,-12.3729543763807</v>
      </c>
      <c r="B120" s="1" t="str">
        <f t="shared" si="2"/>
        <v>POINT 20.4,-12.3729543763807</v>
      </c>
    </row>
    <row r="121" spans="1:2" x14ac:dyDescent="0.6">
      <c r="A121" s="1" t="str">
        <f>_xlfn.CONCAT(HiperbolaTabla!$E30,",",HiperbolaTabla!F30)</f>
        <v>19.8,-11.811964273566</v>
      </c>
      <c r="B121" s="1" t="str">
        <f t="shared" si="2"/>
        <v>POINT 19.8,-11.811964273566</v>
      </c>
    </row>
    <row r="122" spans="1:2" x14ac:dyDescent="0.6">
      <c r="A122" s="1" t="str">
        <f>_xlfn.CONCAT(HiperbolaTabla!$E31,",",HiperbolaTabla!F31)</f>
        <v>19.2,-11.2409963971171</v>
      </c>
      <c r="B122" s="1" t="str">
        <f t="shared" si="2"/>
        <v>POINT 19.2,-11.2409963971171</v>
      </c>
    </row>
    <row r="123" spans="1:2" x14ac:dyDescent="0.6">
      <c r="A123" s="1" t="str">
        <f>_xlfn.CONCAT(HiperbolaTabla!$E32,",",HiperbolaTabla!F32)</f>
        <v>18.6,-10.6584473540943</v>
      </c>
      <c r="B123" s="1" t="str">
        <f t="shared" si="2"/>
        <v>POINT 18.6,-10.6584473540943</v>
      </c>
    </row>
    <row r="124" spans="1:2" x14ac:dyDescent="0.6">
      <c r="A124" s="1" t="str">
        <f>_xlfn.CONCAT(HiperbolaTabla!$E33,",",HiperbolaTabla!F33)</f>
        <v>18,-10.062305898749</v>
      </c>
      <c r="B124" s="1" t="str">
        <f t="shared" si="2"/>
        <v>POINT 18,-10.062305898749</v>
      </c>
    </row>
    <row r="125" spans="1:2" x14ac:dyDescent="0.6">
      <c r="A125" s="1" t="str">
        <f>_xlfn.CONCAT(HiperbolaTabla!$E34,",",HiperbolaTabla!F34)</f>
        <v>17.4,-9.44999999999997</v>
      </c>
      <c r="B125" s="1" t="str">
        <f t="shared" si="2"/>
        <v>POINT 17.4,-9.44999999999997</v>
      </c>
    </row>
    <row r="126" spans="1:2" x14ac:dyDescent="0.6">
      <c r="A126" s="1" t="str">
        <f>_xlfn.CONCAT(HiperbolaTabla!$E35,",",HiperbolaTabla!F35)</f>
        <v>16.8,-8.81816307401941</v>
      </c>
      <c r="B126" s="1" t="str">
        <f t="shared" si="2"/>
        <v>POINT 16.8,-8.81816307401941</v>
      </c>
    </row>
    <row r="127" spans="1:2" x14ac:dyDescent="0.6">
      <c r="A127" s="1" t="str">
        <f>_xlfn.CONCAT(HiperbolaTabla!$E36,",",HiperbolaTabla!F36)</f>
        <v>16.2,-8.16226071624764</v>
      </c>
      <c r="B127" s="1" t="str">
        <f t="shared" si="2"/>
        <v>POINT 16.2,-8.16226071624764</v>
      </c>
    </row>
    <row r="128" spans="1:2" x14ac:dyDescent="0.6">
      <c r="A128" s="1" t="str">
        <f>_xlfn.CONCAT(HiperbolaTabla!$E37,",",HiperbolaTabla!F37)</f>
        <v>15.6,-7.47596147662623</v>
      </c>
      <c r="B128" s="1" t="str">
        <f t="shared" si="2"/>
        <v>POINT 15.6,-7.47596147662623</v>
      </c>
    </row>
    <row r="129" spans="1:2" x14ac:dyDescent="0.6">
      <c r="A129" s="1" t="str">
        <f>_xlfn.CONCAT(HiperbolaTabla!$E38,",",HiperbolaTabla!F38)</f>
        <v>15,-6.74999999999996</v>
      </c>
      <c r="B129" s="1" t="str">
        <f t="shared" si="2"/>
        <v>POINT 15,-6.74999999999996</v>
      </c>
    </row>
    <row r="130" spans="1:2" x14ac:dyDescent="0.6">
      <c r="A130" s="1" t="str">
        <f>_xlfn.CONCAT(HiperbolaTabla!$E39,",",HiperbolaTabla!F39)</f>
        <v>14.4,-5.96992462263968</v>
      </c>
      <c r="B130" s="1" t="str">
        <f t="shared" si="2"/>
        <v>POINT 14.4,-5.96992462263968</v>
      </c>
    </row>
    <row r="131" spans="1:2" x14ac:dyDescent="0.6">
      <c r="A131" s="1" t="str">
        <f>_xlfn.CONCAT(HiperbolaTabla!$E40,",",HiperbolaTabla!F40)</f>
        <v>13.8,-5.1110175112202</v>
      </c>
      <c r="B131" s="1" t="str">
        <f t="shared" si="2"/>
        <v>POINT 13.8,-5.1110175112202</v>
      </c>
    </row>
    <row r="132" spans="1:2" x14ac:dyDescent="0.6">
      <c r="A132" s="1" t="str">
        <f>_xlfn.CONCAT(HiperbolaTabla!$E41,",",HiperbolaTabla!F41)</f>
        <v>13.2,-4.1243181254602</v>
      </c>
      <c r="B132" s="1" t="str">
        <f t="shared" si="2"/>
        <v>POINT 13.2,-4.1243181254602</v>
      </c>
    </row>
    <row r="133" spans="1:2" x14ac:dyDescent="0.6">
      <c r="A133" s="1" t="str">
        <f>_xlfn.CONCAT(HiperbolaTabla!$E42,",",HiperbolaTabla!F42)</f>
        <v>12.6,-2.88140590684471</v>
      </c>
      <c r="B133" s="1" t="str">
        <f t="shared" si="2"/>
        <v>POINT 12.6,-2.88140590684471</v>
      </c>
    </row>
    <row r="134" spans="1:2" x14ac:dyDescent="0.6">
      <c r="A134" s="1" t="str">
        <f>_xlfn.CONCAT(HiperbolaTabla!$E43,",",HiperbolaTabla!F43)</f>
        <v>12,</v>
      </c>
      <c r="B134" s="1" t="str">
        <f t="shared" si="2"/>
        <v>POINT 12,</v>
      </c>
    </row>
    <row r="135" spans="1:2" x14ac:dyDescent="0.6">
      <c r="A135" s="1" t="str">
        <f>_xlfn.CONCAT(HiperbolaTabla!$E44,",",HiperbolaTabla!F44)</f>
        <v>11.4,</v>
      </c>
      <c r="B135" s="1" t="str">
        <f t="shared" si="2"/>
        <v>POINT 11.4,</v>
      </c>
    </row>
    <row r="136" spans="1:2" x14ac:dyDescent="0.6">
      <c r="A136" s="1" t="str">
        <f>_xlfn.CONCAT(HiperbolaTabla!$E45,",",HiperbolaTabla!F45)</f>
        <v>10.8,</v>
      </c>
      <c r="B136" s="1" t="str">
        <f t="shared" si="2"/>
        <v>POINT 10.8,</v>
      </c>
    </row>
    <row r="137" spans="1:2" x14ac:dyDescent="0.6">
      <c r="A137" s="1" t="str">
        <f>_xlfn.CONCAT(HiperbolaTabla!$E46,",",HiperbolaTabla!F46)</f>
        <v>10.2,</v>
      </c>
      <c r="B137" s="1" t="str">
        <f t="shared" si="2"/>
        <v>POINT 10.2,</v>
      </c>
    </row>
    <row r="138" spans="1:2" x14ac:dyDescent="0.6">
      <c r="A138" s="1" t="str">
        <f>_xlfn.CONCAT(HiperbolaTabla!$E47,",",HiperbolaTabla!F47)</f>
        <v>9.59999999999997,</v>
      </c>
      <c r="B138" s="1" t="str">
        <f t="shared" si="2"/>
        <v>POINT 9.59999999999997,</v>
      </c>
    </row>
    <row r="139" spans="1:2" x14ac:dyDescent="0.6">
      <c r="A139" s="1" t="str">
        <f>_xlfn.CONCAT(HiperbolaTabla!$E48,",",HiperbolaTabla!F48)</f>
        <v>8.99999999999997,</v>
      </c>
      <c r="B139" s="1" t="str">
        <f t="shared" si="2"/>
        <v>POINT 8.99999999999997,</v>
      </c>
    </row>
    <row r="140" spans="1:2" x14ac:dyDescent="0.6">
      <c r="A140" s="1" t="str">
        <f>_xlfn.CONCAT(HiperbolaTabla!$E49,",",HiperbolaTabla!F49)</f>
        <v>8.39999999999997,</v>
      </c>
      <c r="B140" s="1" t="str">
        <f t="shared" si="2"/>
        <v>POINT 8.39999999999997,</v>
      </c>
    </row>
    <row r="141" spans="1:2" x14ac:dyDescent="0.6">
      <c r="A141" s="1" t="str">
        <f>_xlfn.CONCAT(HiperbolaTabla!$E50,",",HiperbolaTabla!F50)</f>
        <v>7.79999999999997,</v>
      </c>
      <c r="B141" s="1" t="str">
        <f t="shared" si="2"/>
        <v>POINT 7.79999999999997,</v>
      </c>
    </row>
    <row r="142" spans="1:2" x14ac:dyDescent="0.6">
      <c r="A142" s="1" t="str">
        <f>_xlfn.CONCAT(HiperbolaTabla!$E51,",",HiperbolaTabla!F51)</f>
        <v>7.19999999999997,</v>
      </c>
      <c r="B142" s="1" t="str">
        <f t="shared" si="2"/>
        <v>POINT 7.19999999999997,</v>
      </c>
    </row>
    <row r="143" spans="1:2" x14ac:dyDescent="0.6">
      <c r="A143" s="1" t="str">
        <f>_xlfn.CONCAT(HiperbolaTabla!$E52,",",HiperbolaTabla!F52)</f>
        <v>6.59999999999997,</v>
      </c>
      <c r="B143" s="1" t="str">
        <f t="shared" si="2"/>
        <v>POINT 6.59999999999997,</v>
      </c>
    </row>
    <row r="144" spans="1:2" x14ac:dyDescent="0.6">
      <c r="A144" s="1" t="str">
        <f>_xlfn.CONCAT(HiperbolaTabla!$E53,",",HiperbolaTabla!F53)</f>
        <v>5.99999999999997,</v>
      </c>
      <c r="B144" s="1" t="str">
        <f t="shared" si="2"/>
        <v>POINT 5.99999999999997,</v>
      </c>
    </row>
    <row r="145" spans="1:2" x14ac:dyDescent="0.6">
      <c r="A145" s="1" t="str">
        <f>_xlfn.CONCAT(HiperbolaTabla!$E54,",",HiperbolaTabla!F54)</f>
        <v>5.39999999999997,</v>
      </c>
      <c r="B145" s="1" t="str">
        <f t="shared" si="2"/>
        <v>POINT 5.39999999999997,</v>
      </c>
    </row>
    <row r="146" spans="1:2" x14ac:dyDescent="0.6">
      <c r="A146" s="1" t="str">
        <f>_xlfn.CONCAT(HiperbolaTabla!$E55,",",HiperbolaTabla!F55)</f>
        <v>4.79999999999997,</v>
      </c>
      <c r="B146" s="1" t="str">
        <f t="shared" si="2"/>
        <v>POINT 4.79999999999997,</v>
      </c>
    </row>
    <row r="147" spans="1:2" x14ac:dyDescent="0.6">
      <c r="A147" s="1" t="str">
        <f>_xlfn.CONCAT(HiperbolaTabla!$E56,",",HiperbolaTabla!F56)</f>
        <v>4.19999999999997,</v>
      </c>
      <c r="B147" s="1" t="str">
        <f t="shared" si="2"/>
        <v>POINT 4.19999999999997,</v>
      </c>
    </row>
    <row r="148" spans="1:2" x14ac:dyDescent="0.6">
      <c r="A148" s="1" t="str">
        <f>_xlfn.CONCAT(HiperbolaTabla!$E57,",",HiperbolaTabla!F57)</f>
        <v>3.59999999999997,</v>
      </c>
      <c r="B148" s="1" t="str">
        <f t="shared" si="2"/>
        <v>POINT 3.59999999999997,</v>
      </c>
    </row>
    <row r="149" spans="1:2" x14ac:dyDescent="0.6">
      <c r="A149" s="1" t="str">
        <f>_xlfn.CONCAT(HiperbolaTabla!$E58,",",HiperbolaTabla!F58)</f>
        <v>2.99999999999997,</v>
      </c>
      <c r="B149" s="1" t="str">
        <f t="shared" si="2"/>
        <v>POINT 2.99999999999997,</v>
      </c>
    </row>
    <row r="150" spans="1:2" x14ac:dyDescent="0.6">
      <c r="A150" s="1" t="str">
        <f>_xlfn.CONCAT(HiperbolaTabla!$E59,",",HiperbolaTabla!F59)</f>
        <v>2.39999999999997,</v>
      </c>
      <c r="B150" s="1" t="str">
        <f t="shared" si="2"/>
        <v>POINT 2.39999999999997,</v>
      </c>
    </row>
    <row r="151" spans="1:2" x14ac:dyDescent="0.6">
      <c r="A151" s="1" t="str">
        <f>_xlfn.CONCAT(HiperbolaTabla!$E60,",",HiperbolaTabla!F60)</f>
        <v>1.79999999999997,</v>
      </c>
      <c r="B151" s="1" t="str">
        <f t="shared" si="2"/>
        <v>POINT 1.79999999999997,</v>
      </c>
    </row>
    <row r="152" spans="1:2" x14ac:dyDescent="0.6">
      <c r="A152" s="1" t="str">
        <f>_xlfn.CONCAT(HiperbolaTabla!$E61,",",HiperbolaTabla!F61)</f>
        <v>1.19999999999997,</v>
      </c>
      <c r="B152" s="1" t="str">
        <f t="shared" si="2"/>
        <v>POINT 1.19999999999997,</v>
      </c>
    </row>
    <row r="153" spans="1:2" x14ac:dyDescent="0.6">
      <c r="A153" s="1" t="str">
        <f>_xlfn.CONCAT(HiperbolaTabla!$E62,",",HiperbolaTabla!F62)</f>
        <v>0.599999999999974,</v>
      </c>
      <c r="B153" s="1" t="str">
        <f t="shared" si="2"/>
        <v>POINT 0.599999999999974,</v>
      </c>
    </row>
    <row r="154" spans="1:2" x14ac:dyDescent="0.6">
      <c r="A154" s="1" t="str">
        <f>_xlfn.CONCAT(HiperbolaTabla!$E63,",",HiperbolaTabla!F63)</f>
        <v>-2.59792187762287E-14,</v>
      </c>
      <c r="B154" s="1" t="str">
        <f t="shared" si="2"/>
        <v>POINT -2.59792187762287E-14,</v>
      </c>
    </row>
    <row r="155" spans="1:2" x14ac:dyDescent="0.6">
      <c r="A155" s="1" t="str">
        <f>_xlfn.CONCAT(HiperbolaTabla!$E64,",",HiperbolaTabla!F64)</f>
        <v>-0.600000000000026,</v>
      </c>
      <c r="B155" s="1" t="str">
        <f t="shared" si="2"/>
        <v>POINT -0.600000000000026,</v>
      </c>
    </row>
    <row r="156" spans="1:2" x14ac:dyDescent="0.6">
      <c r="A156" s="1" t="str">
        <f>_xlfn.CONCAT(HiperbolaTabla!$E65,",",HiperbolaTabla!F65)</f>
        <v>-1.20000000000003,</v>
      </c>
      <c r="B156" s="1" t="str">
        <f t="shared" si="2"/>
        <v>POINT -1.20000000000003,</v>
      </c>
    </row>
    <row r="157" spans="1:2" x14ac:dyDescent="0.6">
      <c r="A157" s="1" t="str">
        <f>_xlfn.CONCAT(HiperbolaTabla!$E66,",",HiperbolaTabla!F66)</f>
        <v>-1.80000000000003,</v>
      </c>
      <c r="B157" s="1" t="str">
        <f t="shared" si="2"/>
        <v>POINT -1.80000000000003,</v>
      </c>
    </row>
    <row r="158" spans="1:2" x14ac:dyDescent="0.6">
      <c r="A158" s="1" t="str">
        <f>_xlfn.CONCAT(HiperbolaTabla!$E67,",",HiperbolaTabla!F67)</f>
        <v>-2.40000000000003,</v>
      </c>
      <c r="B158" s="1" t="str">
        <f t="shared" si="2"/>
        <v>POINT -2.40000000000003,</v>
      </c>
    </row>
    <row r="159" spans="1:2" x14ac:dyDescent="0.6">
      <c r="A159" s="1" t="str">
        <f>_xlfn.CONCAT(HiperbolaTabla!$E68,",",HiperbolaTabla!F68)</f>
        <v>-3.00000000000003,</v>
      </c>
      <c r="B159" s="1" t="str">
        <f t="shared" si="2"/>
        <v>POINT -3.00000000000003,</v>
      </c>
    </row>
    <row r="160" spans="1:2" x14ac:dyDescent="0.6">
      <c r="A160" s="1" t="str">
        <f>_xlfn.CONCAT(HiperbolaTabla!$E69,",",HiperbolaTabla!F69)</f>
        <v>-3.60000000000003,</v>
      </c>
      <c r="B160" s="1" t="str">
        <f t="shared" si="2"/>
        <v>POINT -3.60000000000003,</v>
      </c>
    </row>
    <row r="161" spans="1:2" x14ac:dyDescent="0.6">
      <c r="A161" s="1" t="str">
        <f>_xlfn.CONCAT(HiperbolaTabla!$E70,",",HiperbolaTabla!F70)</f>
        <v>-4.20000000000003,</v>
      </c>
      <c r="B161" s="1" t="str">
        <f t="shared" si="2"/>
        <v>POINT -4.20000000000003,</v>
      </c>
    </row>
    <row r="162" spans="1:2" x14ac:dyDescent="0.6">
      <c r="A162" s="1" t="str">
        <f>_xlfn.CONCAT(HiperbolaTabla!$E71,",",HiperbolaTabla!F71)</f>
        <v>-4.80000000000003,</v>
      </c>
      <c r="B162" s="1" t="str">
        <f t="shared" si="2"/>
        <v>POINT -4.80000000000003,</v>
      </c>
    </row>
    <row r="163" spans="1:2" x14ac:dyDescent="0.6">
      <c r="A163" s="1" t="str">
        <f>_xlfn.CONCAT(HiperbolaTabla!$E72,",",HiperbolaTabla!F72)</f>
        <v>-5.40000000000003,</v>
      </c>
      <c r="B163" s="1" t="str">
        <f t="shared" si="2"/>
        <v>POINT -5.40000000000003,</v>
      </c>
    </row>
    <row r="164" spans="1:2" x14ac:dyDescent="0.6">
      <c r="A164" s="1" t="str">
        <f>_xlfn.CONCAT(HiperbolaTabla!$E73,",",HiperbolaTabla!F73)</f>
        <v>-6.00000000000002,</v>
      </c>
      <c r="B164" s="1" t="str">
        <f t="shared" si="2"/>
        <v>POINT -6.00000000000002,</v>
      </c>
    </row>
    <row r="165" spans="1:2" x14ac:dyDescent="0.6">
      <c r="A165" s="1" t="str">
        <f>_xlfn.CONCAT(HiperbolaTabla!$E74,",",HiperbolaTabla!F74)</f>
        <v>-6.60000000000002,</v>
      </c>
      <c r="B165" s="1" t="str">
        <f t="shared" si="2"/>
        <v>POINT -6.60000000000002,</v>
      </c>
    </row>
    <row r="166" spans="1:2" x14ac:dyDescent="0.6">
      <c r="A166" s="1" t="str">
        <f>_xlfn.CONCAT(HiperbolaTabla!$E75,",",HiperbolaTabla!F75)</f>
        <v>-7.20000000000002,</v>
      </c>
      <c r="B166" s="1" t="str">
        <f t="shared" si="2"/>
        <v>POINT -7.20000000000002,</v>
      </c>
    </row>
    <row r="167" spans="1:2" x14ac:dyDescent="0.6">
      <c r="A167" s="1" t="str">
        <f>_xlfn.CONCAT(HiperbolaTabla!$E76,",",HiperbolaTabla!F76)</f>
        <v>-7.80000000000002,</v>
      </c>
      <c r="B167" s="1" t="str">
        <f t="shared" si="2"/>
        <v>POINT -7.80000000000002,</v>
      </c>
    </row>
    <row r="168" spans="1:2" x14ac:dyDescent="0.6">
      <c r="A168" s="1" t="str">
        <f>_xlfn.CONCAT(HiperbolaTabla!$E77,",",HiperbolaTabla!F77)</f>
        <v>-8.40000000000002,</v>
      </c>
      <c r="B168" s="1" t="str">
        <f t="shared" ref="B168:B203" si="3">_xlfn.CONCAT("POINT ",A168)</f>
        <v>POINT -8.40000000000002,</v>
      </c>
    </row>
    <row r="169" spans="1:2" x14ac:dyDescent="0.6">
      <c r="A169" s="1" t="str">
        <f>_xlfn.CONCAT(HiperbolaTabla!$E78,",",HiperbolaTabla!F78)</f>
        <v>-9.00000000000002,</v>
      </c>
      <c r="B169" s="1" t="str">
        <f t="shared" si="3"/>
        <v>POINT -9.00000000000002,</v>
      </c>
    </row>
    <row r="170" spans="1:2" x14ac:dyDescent="0.6">
      <c r="A170" s="1" t="str">
        <f>_xlfn.CONCAT(HiperbolaTabla!$E79,",",HiperbolaTabla!F79)</f>
        <v>-9.60000000000002,</v>
      </c>
      <c r="B170" s="1" t="str">
        <f t="shared" si="3"/>
        <v>POINT -9.60000000000002,</v>
      </c>
    </row>
    <row r="171" spans="1:2" x14ac:dyDescent="0.6">
      <c r="A171" s="1" t="str">
        <f>_xlfn.CONCAT(HiperbolaTabla!$E80,",",HiperbolaTabla!F80)</f>
        <v>-10.2,</v>
      </c>
      <c r="B171" s="1" t="str">
        <f t="shared" si="3"/>
        <v>POINT -10.2,</v>
      </c>
    </row>
    <row r="172" spans="1:2" x14ac:dyDescent="0.6">
      <c r="A172" s="1" t="str">
        <f>_xlfn.CONCAT(HiperbolaTabla!$E81,",",HiperbolaTabla!F81)</f>
        <v>-10.8,</v>
      </c>
      <c r="B172" s="1" t="str">
        <f t="shared" si="3"/>
        <v>POINT -10.8,</v>
      </c>
    </row>
    <row r="173" spans="1:2" x14ac:dyDescent="0.6">
      <c r="A173" s="1" t="str">
        <f>_xlfn.CONCAT(HiperbolaTabla!$E82,",",HiperbolaTabla!F82)</f>
        <v>-11.4,</v>
      </c>
      <c r="B173" s="1" t="str">
        <f t="shared" si="3"/>
        <v>POINT -11.4,</v>
      </c>
    </row>
    <row r="174" spans="1:2" x14ac:dyDescent="0.6">
      <c r="A174" s="1" t="str">
        <f>_xlfn.CONCAT(HiperbolaTabla!$E83,",",HiperbolaTabla!F83)</f>
        <v>-12,-5.36441802978516E-07</v>
      </c>
      <c r="B174" s="1" t="str">
        <f t="shared" si="3"/>
        <v>POINT -12,-5.36441802978516E-07</v>
      </c>
    </row>
    <row r="175" spans="1:2" x14ac:dyDescent="0.6">
      <c r="A175" s="1" t="str">
        <f>_xlfn.CONCAT(HiperbolaTabla!$E84,",",HiperbolaTabla!F84)</f>
        <v>-12.6,-2.88140590684483</v>
      </c>
      <c r="B175" s="1" t="str">
        <f t="shared" si="3"/>
        <v>POINT -12.6,-2.88140590684483</v>
      </c>
    </row>
    <row r="176" spans="1:2" x14ac:dyDescent="0.6">
      <c r="A176" s="1" t="str">
        <f>_xlfn.CONCAT(HiperbolaTabla!$E85,",",HiperbolaTabla!F85)</f>
        <v>-13.2,-4.12431812546029</v>
      </c>
      <c r="B176" s="1" t="str">
        <f t="shared" si="3"/>
        <v>POINT -13.2,-4.12431812546029</v>
      </c>
    </row>
    <row r="177" spans="1:2" x14ac:dyDescent="0.6">
      <c r="A177" s="1" t="str">
        <f>_xlfn.CONCAT(HiperbolaTabla!$E86,",",HiperbolaTabla!F86)</f>
        <v>-13.8,-5.11101751122028</v>
      </c>
      <c r="B177" s="1" t="str">
        <f t="shared" si="3"/>
        <v>POINT -13.8,-5.11101751122028</v>
      </c>
    </row>
    <row r="178" spans="1:2" x14ac:dyDescent="0.6">
      <c r="A178" s="1" t="str">
        <f>_xlfn.CONCAT(HiperbolaTabla!$E87,",",HiperbolaTabla!F87)</f>
        <v>-14.4,-5.96992462263975</v>
      </c>
      <c r="B178" s="1" t="str">
        <f t="shared" si="3"/>
        <v>POINT -14.4,-5.96992462263975</v>
      </c>
    </row>
    <row r="179" spans="1:2" x14ac:dyDescent="0.6">
      <c r="A179" s="1" t="str">
        <f>_xlfn.CONCAT(HiperbolaTabla!$E88,",",HiperbolaTabla!F88)</f>
        <v>-15,-6.75000000000002</v>
      </c>
      <c r="B179" s="1" t="str">
        <f t="shared" si="3"/>
        <v>POINT -15,-6.75000000000002</v>
      </c>
    </row>
    <row r="180" spans="1:2" x14ac:dyDescent="0.6">
      <c r="A180" s="1" t="str">
        <f>_xlfn.CONCAT(HiperbolaTabla!$E89,",",HiperbolaTabla!F89)</f>
        <v>-15.6,-7.47596147662629</v>
      </c>
      <c r="B180" s="1" t="str">
        <f t="shared" si="3"/>
        <v>POINT -15.6,-7.47596147662629</v>
      </c>
    </row>
    <row r="181" spans="1:2" x14ac:dyDescent="0.6">
      <c r="A181" s="1" t="str">
        <f>_xlfn.CONCAT(HiperbolaTabla!$E90,",",HiperbolaTabla!F90)</f>
        <v>-16.2,-8.1622607162477</v>
      </c>
      <c r="B181" s="1" t="str">
        <f t="shared" si="3"/>
        <v>POINT -16.2,-8.1622607162477</v>
      </c>
    </row>
    <row r="182" spans="1:2" x14ac:dyDescent="0.6">
      <c r="A182" s="1" t="str">
        <f>_xlfn.CONCAT(HiperbolaTabla!$E91,",",HiperbolaTabla!F91)</f>
        <v>-16.8,-8.81816307401947</v>
      </c>
      <c r="B182" s="1" t="str">
        <f t="shared" si="3"/>
        <v>POINT -16.8,-8.81816307401947</v>
      </c>
    </row>
    <row r="183" spans="1:2" x14ac:dyDescent="0.6">
      <c r="A183" s="1" t="str">
        <f>_xlfn.CONCAT(HiperbolaTabla!$E92,",",HiperbolaTabla!F92)</f>
        <v>-17.4,-9.45000000000002</v>
      </c>
      <c r="B183" s="1" t="str">
        <f t="shared" si="3"/>
        <v>POINT -17.4,-9.45000000000002</v>
      </c>
    </row>
    <row r="184" spans="1:2" x14ac:dyDescent="0.6">
      <c r="A184" s="1" t="str">
        <f>_xlfn.CONCAT(HiperbolaTabla!$E93,",",HiperbolaTabla!F93)</f>
        <v>-18,-10.0623058987491</v>
      </c>
      <c r="B184" s="1" t="str">
        <f t="shared" si="3"/>
        <v>POINT -18,-10.0623058987491</v>
      </c>
    </row>
    <row r="185" spans="1:2" x14ac:dyDescent="0.6">
      <c r="A185" s="1" t="str">
        <f>_xlfn.CONCAT(HiperbolaTabla!$E94,",",HiperbolaTabla!F94)</f>
        <v>-18.6,-10.6584473540943</v>
      </c>
      <c r="B185" s="1" t="str">
        <f t="shared" si="3"/>
        <v>POINT -18.6,-10.6584473540943</v>
      </c>
    </row>
    <row r="186" spans="1:2" x14ac:dyDescent="0.6">
      <c r="A186" s="1" t="str">
        <f>_xlfn.CONCAT(HiperbolaTabla!$E95,",",HiperbolaTabla!F95)</f>
        <v>-19.2,-11.2409963971171</v>
      </c>
      <c r="B186" s="1" t="str">
        <f t="shared" si="3"/>
        <v>POINT -19.2,-11.2409963971171</v>
      </c>
    </row>
    <row r="187" spans="1:2" x14ac:dyDescent="0.6">
      <c r="A187" s="1" t="str">
        <f>_xlfn.CONCAT(HiperbolaTabla!$E96,",",HiperbolaTabla!F96)</f>
        <v>-19.8,-11.811964273566</v>
      </c>
      <c r="B187" s="1" t="str">
        <f t="shared" si="3"/>
        <v>POINT -19.8,-11.811964273566</v>
      </c>
    </row>
    <row r="188" spans="1:2" x14ac:dyDescent="0.6">
      <c r="A188" s="1" t="str">
        <f>_xlfn.CONCAT(HiperbolaTabla!$E97,",",HiperbolaTabla!F97)</f>
        <v>-20.4,-12.3729543763808</v>
      </c>
      <c r="B188" s="1" t="str">
        <f t="shared" si="3"/>
        <v>POINT -20.4,-12.3729543763808</v>
      </c>
    </row>
    <row r="189" spans="1:2" x14ac:dyDescent="0.6">
      <c r="A189" s="1" t="str">
        <f>_xlfn.CONCAT(HiperbolaTabla!$E98,",",HiperbolaTabla!F98)</f>
        <v>-21,-12.9252659547106</v>
      </c>
      <c r="B189" s="1" t="str">
        <f t="shared" si="3"/>
        <v>POINT -21,-12.9252659547106</v>
      </c>
    </row>
    <row r="190" spans="1:2" x14ac:dyDescent="0.6">
      <c r="A190" s="1" t="str">
        <f>_xlfn.CONCAT(HiperbolaTabla!$E99,",",HiperbolaTabla!F99)</f>
        <v>-21.6,-13.4699665923862</v>
      </c>
      <c r="B190" s="1" t="str">
        <f t="shared" si="3"/>
        <v>POINT -21.6,-13.4699665923862</v>
      </c>
    </row>
    <row r="191" spans="1:2" x14ac:dyDescent="0.6">
      <c r="A191" s="1" t="str">
        <f>_xlfn.CONCAT(HiperbolaTabla!$E100,",",HiperbolaTabla!F100)</f>
        <v>-22.2,-14.0079441746461</v>
      </c>
      <c r="B191" s="1" t="str">
        <f t="shared" si="3"/>
        <v>POINT -22.2,-14.0079441746461</v>
      </c>
    </row>
    <row r="192" spans="1:2" x14ac:dyDescent="0.6">
      <c r="A192" s="1" t="str">
        <f>_xlfn.CONCAT(HiperbolaTabla!$E101,",",HiperbolaTabla!F101)</f>
        <v>-22.8,-14.5399449792632</v>
      </c>
      <c r="B192" s="1" t="str">
        <f t="shared" si="3"/>
        <v>POINT -22.8,-14.5399449792632</v>
      </c>
    </row>
    <row r="193" spans="1:2" x14ac:dyDescent="0.6">
      <c r="A193" s="1" t="str">
        <f>_xlfn.CONCAT(HiperbolaTabla!$E102,",",HiperbolaTabla!F102)</f>
        <v>-23.4,-15.0666021385049</v>
      </c>
      <c r="B193" s="1" t="str">
        <f t="shared" si="3"/>
        <v>POINT -23.4,-15.0666021385049</v>
      </c>
    </row>
    <row r="194" spans="1:2" x14ac:dyDescent="0.6">
      <c r="A194" s="1" t="str">
        <f>_xlfn.CONCAT(HiperbolaTabla!$E103,",",HiperbolaTabla!F103)</f>
        <v>-24,-15.5884572681199</v>
      </c>
      <c r="B194" s="1" t="str">
        <f t="shared" si="3"/>
        <v>POINT -24,-15.5884572681199</v>
      </c>
    </row>
    <row r="195" spans="1:2" x14ac:dyDescent="0.6">
      <c r="A195" s="1" t="str">
        <f>_xlfn.CONCAT(HiperbolaTabla!$E104,",",HiperbolaTabla!F104)</f>
        <v>-24.6,-16.105977151356</v>
      </c>
      <c r="B195" s="1" t="str">
        <f t="shared" si="3"/>
        <v>POINT -24.6,-16.105977151356</v>
      </c>
    </row>
    <row r="196" spans="1:2" x14ac:dyDescent="0.6">
      <c r="A196" s="1" t="str">
        <f>_xlfn.CONCAT(HiperbolaTabla!$E105,",",HiperbolaTabla!F105)</f>
        <v>-25.2,-16.6195667813575</v>
      </c>
      <c r="B196" s="1" t="str">
        <f t="shared" si="3"/>
        <v>POINT -25.2,-16.6195667813575</v>
      </c>
    </row>
    <row r="197" spans="1:2" x14ac:dyDescent="0.6">
      <c r="A197" s="1" t="str">
        <f>_xlfn.CONCAT(HiperbolaTabla!$E106,",",HiperbolaTabla!F106)</f>
        <v>-25.8,-17.1295796796069</v>
      </c>
      <c r="B197" s="1" t="str">
        <f t="shared" si="3"/>
        <v>POINT -25.8,-17.1295796796069</v>
      </c>
    </row>
    <row r="198" spans="1:2" x14ac:dyDescent="0.6">
      <c r="A198" s="1" t="str">
        <f>_xlfn.CONCAT(HiperbolaTabla!$E107,",",HiperbolaTabla!F107)</f>
        <v>-26.4,-17.6363261480389</v>
      </c>
      <c r="B198" s="1" t="str">
        <f t="shared" si="3"/>
        <v>POINT -26.4,-17.6363261480389</v>
      </c>
    </row>
    <row r="199" spans="1:2" x14ac:dyDescent="0.6">
      <c r="A199" s="1" t="str">
        <f>_xlfn.CONCAT(HiperbolaTabla!$E108,",",HiperbolaTabla!F108)</f>
        <v>-27,-18.1400799336718</v>
      </c>
      <c r="B199" s="1" t="str">
        <f t="shared" si="3"/>
        <v>POINT -27,-18.1400799336718</v>
      </c>
    </row>
    <row r="200" spans="1:2" x14ac:dyDescent="0.6">
      <c r="A200" s="1" t="str">
        <f>_xlfn.CONCAT(HiperbolaTabla!$E109,",",HiperbolaTabla!F109)</f>
        <v>-27.6,-18.6410836594872</v>
      </c>
      <c r="B200" s="1" t="str">
        <f t="shared" si="3"/>
        <v>POINT -27.6,-18.6410836594872</v>
      </c>
    </row>
    <row r="201" spans="1:2" x14ac:dyDescent="0.6">
      <c r="A201" s="1" t="str">
        <f>_xlfn.CONCAT(HiperbolaTabla!$E110,",",HiperbolaTabla!F110)</f>
        <v>-28.2,-19.1395532863231</v>
      </c>
      <c r="B201" s="1" t="str">
        <f t="shared" si="3"/>
        <v>POINT -28.2,-19.1395532863231</v>
      </c>
    </row>
    <row r="202" spans="1:2" x14ac:dyDescent="0.6">
      <c r="A202" s="1" t="str">
        <f>_xlfn.CONCAT(HiperbolaTabla!$E111,",",HiperbolaTabla!F111)</f>
        <v>-28.8000000000001,-19.6356818063443</v>
      </c>
      <c r="B202" s="1" t="str">
        <f t="shared" si="3"/>
        <v>POINT -28.8000000000001,-19.6356818063443</v>
      </c>
    </row>
    <row r="203" spans="1:2" x14ac:dyDescent="0.6">
      <c r="A203" s="1" t="str">
        <f>_xlfn.CONCAT(HiperbolaTabla!$E112,",",HiperbolaTabla!F112)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2:P67"/>
  <sheetViews>
    <sheetView showGridLines="0" tabSelected="1" zoomScale="85" zoomScaleNormal="85" workbookViewId="0">
      <pane ySplit="16" topLeftCell="A58" activePane="bottomLeft" state="frozen"/>
      <selection pane="bottomLeft" activeCell="M16" sqref="M16:M67"/>
    </sheetView>
  </sheetViews>
  <sheetFormatPr defaultRowHeight="16.5" x14ac:dyDescent="0.6"/>
  <cols>
    <col min="1" max="1" width="2.59765625" style="1" customWidth="1"/>
    <col min="2" max="2" width="7.796875" style="28" customWidth="1"/>
    <col min="3" max="3" width="14.33203125" style="28" customWidth="1"/>
    <col min="4" max="9" width="9.06640625" style="28"/>
    <col min="10" max="10" width="2.59765625" style="52" customWidth="1"/>
    <col min="11" max="11" width="22.53125" style="1" bestFit="1" customWidth="1"/>
    <col min="12" max="12" width="22.06640625" style="1" bestFit="1" customWidth="1"/>
    <col min="13" max="13" width="22.53125" style="1" bestFit="1" customWidth="1"/>
    <col min="14" max="14" width="22.9296875" style="1" bestFit="1" customWidth="1"/>
    <col min="15" max="15" width="20.1328125" style="1" bestFit="1" customWidth="1"/>
    <col min="16" max="16" width="20.46484375" style="1" bestFit="1" customWidth="1"/>
    <col min="17" max="16384" width="9.06640625" style="1"/>
  </cols>
  <sheetData>
    <row r="2" spans="2:16" s="37" customFormat="1" ht="18.75" x14ac:dyDescent="0.7">
      <c r="B2" s="55" t="s">
        <v>30</v>
      </c>
      <c r="C2" s="38"/>
      <c r="D2" s="38"/>
      <c r="E2" s="38"/>
      <c r="F2" s="38"/>
      <c r="G2" s="38"/>
      <c r="H2" s="39" t="s">
        <v>29</v>
      </c>
      <c r="I2" s="48">
        <v>0.2</v>
      </c>
      <c r="J2" s="49"/>
    </row>
    <row r="3" spans="2:16" s="37" customFormat="1" x14ac:dyDescent="0.6">
      <c r="B3" s="53"/>
      <c r="C3" s="41"/>
      <c r="D3" s="41"/>
      <c r="E3" s="41"/>
      <c r="F3" s="41"/>
      <c r="G3" s="41"/>
      <c r="H3" s="42" t="s">
        <v>39</v>
      </c>
      <c r="I3" s="54">
        <v>10</v>
      </c>
      <c r="J3" s="49"/>
    </row>
    <row r="4" spans="2:16" s="37" customFormat="1" x14ac:dyDescent="0.6">
      <c r="B4" s="40"/>
      <c r="C4" s="41"/>
      <c r="D4" s="41"/>
      <c r="E4" s="41"/>
      <c r="F4" s="41"/>
      <c r="G4" s="41"/>
      <c r="H4" s="42"/>
      <c r="I4" s="43"/>
      <c r="J4" s="50"/>
    </row>
    <row r="5" spans="2:16" s="37" customFormat="1" x14ac:dyDescent="0.6">
      <c r="B5" s="40"/>
      <c r="C5" s="41"/>
      <c r="D5" s="41"/>
      <c r="E5" s="41"/>
      <c r="F5" s="41"/>
      <c r="G5" s="41"/>
      <c r="H5" s="42"/>
      <c r="I5" s="43"/>
      <c r="J5" s="50"/>
    </row>
    <row r="6" spans="2:16" s="37" customFormat="1" x14ac:dyDescent="0.6">
      <c r="B6" s="40"/>
      <c r="C6" s="41"/>
      <c r="D6" s="41"/>
      <c r="E6" s="41"/>
      <c r="F6" s="41"/>
      <c r="G6" s="41"/>
      <c r="H6" s="42"/>
      <c r="I6" s="43"/>
      <c r="J6" s="50"/>
    </row>
    <row r="7" spans="2:16" s="37" customFormat="1" x14ac:dyDescent="0.6">
      <c r="B7" s="40"/>
      <c r="C7" s="41"/>
      <c r="D7" s="41"/>
      <c r="E7" s="41"/>
      <c r="F7" s="41"/>
      <c r="G7" s="41"/>
      <c r="H7" s="42"/>
      <c r="I7" s="43"/>
      <c r="J7" s="50"/>
    </row>
    <row r="8" spans="2:16" s="37" customFormat="1" x14ac:dyDescent="0.6">
      <c r="B8" s="40"/>
      <c r="C8" s="41"/>
      <c r="D8" s="41"/>
      <c r="E8" s="41"/>
      <c r="F8" s="41"/>
      <c r="G8" s="41"/>
      <c r="H8" s="42"/>
      <c r="I8" s="43"/>
      <c r="J8" s="50"/>
    </row>
    <row r="9" spans="2:16" s="37" customFormat="1" x14ac:dyDescent="0.6">
      <c r="B9" s="40"/>
      <c r="C9" s="41"/>
      <c r="D9" s="41"/>
      <c r="E9" s="41"/>
      <c r="F9" s="41"/>
      <c r="G9" s="41"/>
      <c r="H9" s="42"/>
      <c r="I9" s="43"/>
      <c r="J9" s="50"/>
    </row>
    <row r="10" spans="2:16" s="37" customFormat="1" x14ac:dyDescent="0.6">
      <c r="B10" s="40"/>
      <c r="C10" s="41"/>
      <c r="D10" s="41"/>
      <c r="E10" s="41"/>
      <c r="F10" s="41"/>
      <c r="G10" s="41"/>
      <c r="H10" s="42"/>
      <c r="I10" s="43"/>
      <c r="J10" s="50"/>
    </row>
    <row r="11" spans="2:16" s="37" customFormat="1" x14ac:dyDescent="0.6">
      <c r="B11" s="40"/>
      <c r="C11" s="41"/>
      <c r="D11" s="41"/>
      <c r="E11" s="41"/>
      <c r="F11" s="41"/>
      <c r="G11" s="41"/>
      <c r="H11" s="42"/>
      <c r="I11" s="43"/>
      <c r="J11" s="50"/>
    </row>
    <row r="12" spans="2:16" s="37" customFormat="1" x14ac:dyDescent="0.6">
      <c r="B12" s="40"/>
      <c r="C12" s="41"/>
      <c r="D12" s="41"/>
      <c r="E12" s="41"/>
      <c r="F12" s="41"/>
      <c r="G12" s="41"/>
      <c r="H12" s="42"/>
      <c r="I12" s="43"/>
      <c r="J12" s="50"/>
    </row>
    <row r="13" spans="2:16" s="37" customFormat="1" x14ac:dyDescent="0.6">
      <c r="B13" s="40"/>
      <c r="C13" s="41"/>
      <c r="D13" s="41"/>
      <c r="E13" s="41"/>
      <c r="F13" s="41"/>
      <c r="G13" s="41"/>
      <c r="H13" s="42"/>
      <c r="I13" s="43"/>
      <c r="J13" s="50"/>
    </row>
    <row r="14" spans="2:16" s="37" customFormat="1" x14ac:dyDescent="0.6">
      <c r="B14" s="40"/>
      <c r="C14" s="41"/>
      <c r="D14" s="41"/>
      <c r="E14" s="41"/>
      <c r="F14" s="41"/>
      <c r="G14" s="41"/>
      <c r="H14" s="42"/>
      <c r="I14" s="43"/>
      <c r="J14" s="50"/>
    </row>
    <row r="15" spans="2:16" s="37" customFormat="1" x14ac:dyDescent="0.6">
      <c r="B15" s="44"/>
      <c r="C15" s="45"/>
      <c r="D15" s="45"/>
      <c r="E15" s="45"/>
      <c r="F15" s="45"/>
      <c r="G15" s="45"/>
      <c r="H15" s="46"/>
      <c r="I15" s="47"/>
      <c r="J15" s="50"/>
      <c r="K15" s="37" t="s">
        <v>31</v>
      </c>
    </row>
    <row r="16" spans="2:16" x14ac:dyDescent="0.6">
      <c r="B16" s="32" t="s">
        <v>28</v>
      </c>
      <c r="C16" s="33" t="s">
        <v>27</v>
      </c>
      <c r="D16" s="33" t="s">
        <v>32</v>
      </c>
      <c r="E16" s="33" t="s">
        <v>33</v>
      </c>
      <c r="F16" s="33" t="s">
        <v>34</v>
      </c>
      <c r="G16" s="33" t="s">
        <v>35</v>
      </c>
      <c r="H16" s="33" t="s">
        <v>36</v>
      </c>
      <c r="I16" s="3" t="s">
        <v>37</v>
      </c>
      <c r="J16" s="51"/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36</v>
      </c>
      <c r="P16" s="1" t="s">
        <v>37</v>
      </c>
    </row>
    <row r="17" spans="2:16" x14ac:dyDescent="0.6">
      <c r="B17" s="30">
        <v>1</v>
      </c>
      <c r="C17" s="29">
        <v>0</v>
      </c>
      <c r="D17" s="29">
        <f>IF(SIN(C17)&gt;$I$3,$I$3,(IF(SIN(C17)&lt;-$I$3,-$I$3,SIN(C17))))</f>
        <v>0</v>
      </c>
      <c r="E17" s="29">
        <f>IF(COS(C17)&gt;$I$3,$I$3,(IF(COS(C17)&lt;-$I$3,-$I$3,COS(C17))))</f>
        <v>1</v>
      </c>
      <c r="F17" s="29">
        <f>IF(TAN(C17)&gt;$I$3,$I$3,(IF(TAN(C17)&lt;-$I$3,-$I$3,TAN(C17))))</f>
        <v>0</v>
      </c>
      <c r="G17" s="29"/>
      <c r="H17" s="29">
        <f>IF(_xlfn.SEC(C17)&gt;$I$3,$I$3,(IF(_xlfn.SEC(C17)&lt;-$I$3,-$I$3,_xlfn.SEC(C17))))</f>
        <v>1</v>
      </c>
      <c r="I17" s="34"/>
      <c r="J17" s="51"/>
      <c r="K17" s="1" t="s">
        <v>38</v>
      </c>
      <c r="L17" s="1" t="s">
        <v>38</v>
      </c>
      <c r="M17" s="1" t="s">
        <v>38</v>
      </c>
      <c r="N17" s="1" t="s">
        <v>38</v>
      </c>
      <c r="O17" s="1" t="s">
        <v>38</v>
      </c>
      <c r="P17" s="1" t="s">
        <v>38</v>
      </c>
    </row>
    <row r="18" spans="2:16" x14ac:dyDescent="0.6">
      <c r="B18" s="30">
        <v>2</v>
      </c>
      <c r="C18" s="29">
        <f>C17+$I$2</f>
        <v>0.2</v>
      </c>
      <c r="D18" s="29">
        <f>IF(SIN(C18)&gt;$I$3,$I$3,(IF(SIN(C18)&lt;-$I$3,-$I$3,SIN(C18))))</f>
        <v>0.19866933079506122</v>
      </c>
      <c r="E18" s="29">
        <f>IF(COS(C18)&gt;$I$3,$I$3,(IF(COS(C18)&lt;-$I$3,-$I$3,COS(C18))))</f>
        <v>0.98006657784124163</v>
      </c>
      <c r="F18" s="29">
        <f>IF(TAN(C18)&gt;$I$3,$I$3,(IF(TAN(C18)&lt;-$I$3,-$I$3,TAN(C18))))</f>
        <v>0.2027100355086725</v>
      </c>
      <c r="G18" s="29">
        <f>IF(_xlfn.COT(C18)&gt;$I$3,$I$3,(IF(_xlfn.COT(C18)&lt;-$I$3,-$I$3,_xlfn.COT(C18))))</f>
        <v>4.9331548755868928</v>
      </c>
      <c r="H18" s="29">
        <f>IF(_xlfn.SEC(C18)&gt;$I$3,$I$3,(IF(_xlfn.SEC(C18)&lt;-$I$3,-$I$3,_xlfn.SEC(C18))))</f>
        <v>1.0203388449411928</v>
      </c>
      <c r="I18" s="34">
        <f>IF(_xlfn.CSC(C18)&gt;$I$3,$I$3,(IF(_xlfn.CSC(C18)&lt;-$I$3,-$I$3,_xlfn.CSC(C18))))</f>
        <v>5.0334895476723442</v>
      </c>
      <c r="J18" s="51"/>
      <c r="K18" s="1" t="str">
        <f>_xlfn.CONCAT($C17,",",D17)</f>
        <v>0,0</v>
      </c>
      <c r="L18" s="1" t="str">
        <f>_xlfn.CONCAT($C17,",",E17)</f>
        <v>0,1</v>
      </c>
      <c r="M18" s="1" t="str">
        <f>_xlfn.CONCAT($C17,",",F17)</f>
        <v>0,0</v>
      </c>
      <c r="N18" s="1" t="str">
        <f>N19</f>
        <v>0.2,4.93315487558689</v>
      </c>
      <c r="O18" s="1" t="str">
        <f t="shared" ref="N18:P33" si="0">_xlfn.CONCAT($C17,",",H17)</f>
        <v>0,1</v>
      </c>
      <c r="P18" s="1" t="str">
        <f>P19</f>
        <v>0.2,5.03348954767234</v>
      </c>
    </row>
    <row r="19" spans="2:16" x14ac:dyDescent="0.6">
      <c r="B19" s="30">
        <v>3</v>
      </c>
      <c r="C19" s="29">
        <f>C18+$I$2</f>
        <v>0.4</v>
      </c>
      <c r="D19" s="29">
        <f>IF(SIN(C19)&gt;$I$3,$I$3,(IF(SIN(C19)&lt;-$I$3,-$I$3,SIN(C19))))</f>
        <v>0.38941834230865052</v>
      </c>
      <c r="E19" s="29">
        <f>IF(COS(C19)&gt;$I$3,$I$3,(IF(COS(C19)&lt;-$I$3,-$I$3,COS(C19))))</f>
        <v>0.9210609940028851</v>
      </c>
      <c r="F19" s="29">
        <f>IF(TAN(C19)&gt;$I$3,$I$3,(IF(TAN(C19)&lt;-$I$3,-$I$3,TAN(C19))))</f>
        <v>0.42279321873816178</v>
      </c>
      <c r="G19" s="29">
        <f>IF(_xlfn.COT(C19)&gt;$I$3,$I$3,(IF(_xlfn.COT(C19)&lt;-$I$3,-$I$3,_xlfn.COT(C19))))</f>
        <v>2.3652224200391103</v>
      </c>
      <c r="H19" s="29">
        <f>IF(_xlfn.SEC(C19)&gt;$I$3,$I$3,(IF(_xlfn.SEC(C19)&lt;-$I$3,-$I$3,_xlfn.SEC(C19))))</f>
        <v>1.0857044283832387</v>
      </c>
      <c r="I19" s="34">
        <f>IF(_xlfn.CSC(C19)&gt;$I$3,$I$3,(IF(_xlfn.CSC(C19)&lt;-$I$3,-$I$3,_xlfn.CSC(C19))))</f>
        <v>2.5679324555477829</v>
      </c>
      <c r="J19" s="51"/>
      <c r="K19" s="1" t="str">
        <f>_xlfn.CONCAT($C18,",",D18)</f>
        <v>0.2,0.198669330795061</v>
      </c>
      <c r="L19" s="1" t="str">
        <f>_xlfn.CONCAT($C18,",",E18)</f>
        <v>0.2,0.980066577841242</v>
      </c>
      <c r="M19" s="1" t="str">
        <f>_xlfn.CONCAT($C18,",",F18)</f>
        <v>0.2,0.202710035508673</v>
      </c>
      <c r="N19" s="1" t="str">
        <f t="shared" si="0"/>
        <v>0.2,4.93315487558689</v>
      </c>
      <c r="O19" s="1" t="str">
        <f t="shared" si="0"/>
        <v>0.2,1.02033884494119</v>
      </c>
      <c r="P19" s="1" t="str">
        <f t="shared" si="0"/>
        <v>0.2,5.03348954767234</v>
      </c>
    </row>
    <row r="20" spans="2:16" x14ac:dyDescent="0.6">
      <c r="B20" s="30">
        <v>4</v>
      </c>
      <c r="C20" s="29">
        <f>C19+$I$2</f>
        <v>0.60000000000000009</v>
      </c>
      <c r="D20" s="29">
        <f>IF(SIN(C20)&gt;$I$3,$I$3,(IF(SIN(C20)&lt;-$I$3,-$I$3,SIN(C20))))</f>
        <v>0.56464247339503548</v>
      </c>
      <c r="E20" s="29">
        <f>IF(COS(C20)&gt;$I$3,$I$3,(IF(COS(C20)&lt;-$I$3,-$I$3,COS(C20))))</f>
        <v>0.82533561490967822</v>
      </c>
      <c r="F20" s="29">
        <f>IF(TAN(C20)&gt;$I$3,$I$3,(IF(TAN(C20)&lt;-$I$3,-$I$3,TAN(C20))))</f>
        <v>0.68413680834169244</v>
      </c>
      <c r="G20" s="29">
        <f>IF(_xlfn.COT(C20)&gt;$I$3,$I$3,(IF(_xlfn.COT(C20)&lt;-$I$3,-$I$3,_xlfn.COT(C20))))</f>
        <v>1.4616959470781019</v>
      </c>
      <c r="H20" s="29">
        <f>IF(_xlfn.SEC(C20)&gt;$I$3,$I$3,(IF(_xlfn.SEC(C20)&lt;-$I$3,-$I$3,_xlfn.SEC(C20))))</f>
        <v>1.2116283145123168</v>
      </c>
      <c r="I20" s="34">
        <f>IF(_xlfn.CSC(C20)&gt;$I$3,$I$3,(IF(_xlfn.CSC(C20)&lt;-$I$3,-$I$3,_xlfn.CSC(C20))))</f>
        <v>1.7710321966877249</v>
      </c>
      <c r="J20" s="51"/>
      <c r="K20" s="1" t="str">
        <f>_xlfn.CONCAT($C19,",",D19)</f>
        <v>0.4,0.389418342308651</v>
      </c>
      <c r="L20" s="1" t="str">
        <f>_xlfn.CONCAT($C19,",",E19)</f>
        <v>0.4,0.921060994002885</v>
      </c>
      <c r="M20" s="1" t="str">
        <f>_xlfn.CONCAT($C19,",",F19)</f>
        <v>0.4,0.422793218738162</v>
      </c>
      <c r="N20" s="1" t="str">
        <f t="shared" si="0"/>
        <v>0.4,2.36522242003911</v>
      </c>
      <c r="O20" s="1" t="str">
        <f t="shared" si="0"/>
        <v>0.4,1.08570442838324</v>
      </c>
      <c r="P20" s="1" t="str">
        <f t="shared" si="0"/>
        <v>0.4,2.56793245554778</v>
      </c>
    </row>
    <row r="21" spans="2:16" x14ac:dyDescent="0.6">
      <c r="B21" s="30">
        <v>5</v>
      </c>
      <c r="C21" s="29">
        <f>C20+$I$2</f>
        <v>0.8</v>
      </c>
      <c r="D21" s="29">
        <f>IF(SIN(C21)&gt;$I$3,$I$3,(IF(SIN(C21)&lt;-$I$3,-$I$3,SIN(C21))))</f>
        <v>0.71735609089952279</v>
      </c>
      <c r="E21" s="29">
        <f>IF(COS(C21)&gt;$I$3,$I$3,(IF(COS(C21)&lt;-$I$3,-$I$3,COS(C21))))</f>
        <v>0.69670670934716539</v>
      </c>
      <c r="F21" s="29">
        <f>IF(TAN(C21)&gt;$I$3,$I$3,(IF(TAN(C21)&lt;-$I$3,-$I$3,TAN(C21))))</f>
        <v>1.0296385570503641</v>
      </c>
      <c r="G21" s="29">
        <f>IF(_xlfn.COT(C21)&gt;$I$3,$I$3,(IF(_xlfn.COT(C21)&lt;-$I$3,-$I$3,_xlfn.COT(C21))))</f>
        <v>0.97121460065047427</v>
      </c>
      <c r="H21" s="29">
        <f>IF(_xlfn.SEC(C21)&gt;$I$3,$I$3,(IF(_xlfn.SEC(C21)&lt;-$I$3,-$I$3,_xlfn.SEC(C21))))</f>
        <v>1.4353241996722399</v>
      </c>
      <c r="I21" s="34">
        <f>IF(_xlfn.CSC(C21)&gt;$I$3,$I$3,(IF(_xlfn.CSC(C21)&lt;-$I$3,-$I$3,_xlfn.CSC(C21))))</f>
        <v>1.394007819388636</v>
      </c>
      <c r="J21" s="51"/>
      <c r="K21" s="1" t="str">
        <f>_xlfn.CONCAT($C20,",",D20)</f>
        <v>0.6,0.564642473395035</v>
      </c>
      <c r="L21" s="1" t="str">
        <f>_xlfn.CONCAT($C20,",",E20)</f>
        <v>0.6,0.825335614909678</v>
      </c>
      <c r="M21" s="1" t="str">
        <f>_xlfn.CONCAT($C20,",",F20)</f>
        <v>0.6,0.684136808341692</v>
      </c>
      <c r="N21" s="1" t="str">
        <f t="shared" si="0"/>
        <v>0.6,1.4616959470781</v>
      </c>
      <c r="O21" s="1" t="str">
        <f t="shared" si="0"/>
        <v>0.6,1.21162831451232</v>
      </c>
      <c r="P21" s="1" t="str">
        <f t="shared" si="0"/>
        <v>0.6,1.77103219668772</v>
      </c>
    </row>
    <row r="22" spans="2:16" x14ac:dyDescent="0.6">
      <c r="B22" s="30">
        <v>6</v>
      </c>
      <c r="C22" s="29">
        <f>C21+$I$2</f>
        <v>1</v>
      </c>
      <c r="D22" s="29">
        <f>IF(SIN(C22)&gt;$I$3,$I$3,(IF(SIN(C22)&lt;-$I$3,-$I$3,SIN(C22))))</f>
        <v>0.8414709848078965</v>
      </c>
      <c r="E22" s="29">
        <f>IF(COS(C22)&gt;$I$3,$I$3,(IF(COS(C22)&lt;-$I$3,-$I$3,COS(C22))))</f>
        <v>0.54030230586813977</v>
      </c>
      <c r="F22" s="29">
        <f>IF(TAN(C22)&gt;$I$3,$I$3,(IF(TAN(C22)&lt;-$I$3,-$I$3,TAN(C22))))</f>
        <v>1.5574077246549023</v>
      </c>
      <c r="G22" s="29">
        <f>IF(_xlfn.COT(C22)&gt;$I$3,$I$3,(IF(_xlfn.COT(C22)&lt;-$I$3,-$I$3,_xlfn.COT(C22))))</f>
        <v>0.64209261593433065</v>
      </c>
      <c r="H22" s="29">
        <f>IF(_xlfn.SEC(C22)&gt;$I$3,$I$3,(IF(_xlfn.SEC(C22)&lt;-$I$3,-$I$3,_xlfn.SEC(C22))))</f>
        <v>1.8508157176809255</v>
      </c>
      <c r="I22" s="34">
        <f>IF(_xlfn.CSC(C22)&gt;$I$3,$I$3,(IF(_xlfn.CSC(C22)&lt;-$I$3,-$I$3,_xlfn.CSC(C22))))</f>
        <v>1.1883951057781212</v>
      </c>
      <c r="J22" s="51"/>
      <c r="K22" s="1" t="str">
        <f>_xlfn.CONCAT($C21,",",D21)</f>
        <v>0.8,0.717356090899523</v>
      </c>
      <c r="L22" s="1" t="str">
        <f>_xlfn.CONCAT($C21,",",E21)</f>
        <v>0.8,0.696706709347165</v>
      </c>
      <c r="M22" s="1" t="str">
        <f>_xlfn.CONCAT($C21,",",F21)</f>
        <v>0.8,1.02963855705036</v>
      </c>
      <c r="N22" s="1" t="str">
        <f t="shared" si="0"/>
        <v>0.8,0.971214600650474</v>
      </c>
      <c r="O22" s="1" t="str">
        <f t="shared" si="0"/>
        <v>0.8,1.43532419967224</v>
      </c>
      <c r="P22" s="1" t="str">
        <f t="shared" si="0"/>
        <v>0.8,1.39400781938864</v>
      </c>
    </row>
    <row r="23" spans="2:16" x14ac:dyDescent="0.6">
      <c r="B23" s="30">
        <v>7</v>
      </c>
      <c r="C23" s="29">
        <f>C22+$I$2</f>
        <v>1.2</v>
      </c>
      <c r="D23" s="29">
        <f>IF(SIN(C23)&gt;$I$3,$I$3,(IF(SIN(C23)&lt;-$I$3,-$I$3,SIN(C23))))</f>
        <v>0.93203908596722629</v>
      </c>
      <c r="E23" s="29">
        <f>IF(COS(C23)&gt;$I$3,$I$3,(IF(COS(C23)&lt;-$I$3,-$I$3,COS(C23))))</f>
        <v>0.36235775447667362</v>
      </c>
      <c r="F23" s="29">
        <f>IF(TAN(C23)&gt;$I$3,$I$3,(IF(TAN(C23)&lt;-$I$3,-$I$3,TAN(C23))))</f>
        <v>2.5721516221263188</v>
      </c>
      <c r="G23" s="29">
        <f>IF(_xlfn.COT(C23)&gt;$I$3,$I$3,(IF(_xlfn.COT(C23)&lt;-$I$3,-$I$3,_xlfn.COT(C23))))</f>
        <v>0.38877956936820496</v>
      </c>
      <c r="H23" s="29">
        <f>IF(_xlfn.SEC(C23)&gt;$I$3,$I$3,(IF(_xlfn.SEC(C23)&lt;-$I$3,-$I$3,_xlfn.SEC(C23))))</f>
        <v>2.7597036013324061</v>
      </c>
      <c r="I23" s="34">
        <f>IF(_xlfn.CSC(C23)&gt;$I$3,$I$3,(IF(_xlfn.CSC(C23)&lt;-$I$3,-$I$3,_xlfn.CSC(C23))))</f>
        <v>1.0729163777098973</v>
      </c>
      <c r="J23" s="51"/>
      <c r="K23" s="1" t="str">
        <f>_xlfn.CONCAT($C22,",",D22)</f>
        <v>1,0.841470984807897</v>
      </c>
      <c r="L23" s="1" t="str">
        <f>_xlfn.CONCAT($C22,",",E22)</f>
        <v>1,0.54030230586814</v>
      </c>
      <c r="M23" s="1" t="str">
        <f>_xlfn.CONCAT($C22,",",F22)</f>
        <v>1,1.5574077246549</v>
      </c>
      <c r="N23" s="1" t="str">
        <f t="shared" si="0"/>
        <v>1,0.642092615934331</v>
      </c>
      <c r="O23" s="1" t="str">
        <f t="shared" si="0"/>
        <v>1,1.85081571768093</v>
      </c>
      <c r="P23" s="1" t="str">
        <f t="shared" si="0"/>
        <v>1,1.18839510577812</v>
      </c>
    </row>
    <row r="24" spans="2:16" x14ac:dyDescent="0.6">
      <c r="B24" s="30">
        <v>8</v>
      </c>
      <c r="C24" s="29">
        <f>C23+$I$2</f>
        <v>1.4</v>
      </c>
      <c r="D24" s="29">
        <f>IF(SIN(C24)&gt;$I$3,$I$3,(IF(SIN(C24)&lt;-$I$3,-$I$3,SIN(C24))))</f>
        <v>0.98544972998846014</v>
      </c>
      <c r="E24" s="29">
        <f>IF(COS(C24)&gt;$I$3,$I$3,(IF(COS(C24)&lt;-$I$3,-$I$3,COS(C24))))</f>
        <v>0.16996714290024104</v>
      </c>
      <c r="F24" s="29">
        <f>IF(TAN(C24)&gt;$I$3,$I$3,(IF(TAN(C24)&lt;-$I$3,-$I$3,TAN(C24))))</f>
        <v>5.7978837154828868</v>
      </c>
      <c r="G24" s="29">
        <f>IF(_xlfn.COT(C24)&gt;$I$3,$I$3,(IF(_xlfn.COT(C24)&lt;-$I$3,-$I$3,_xlfn.COT(C24))))</f>
        <v>0.17247672583180004</v>
      </c>
      <c r="H24" s="29">
        <f>IF(_xlfn.SEC(C24)&gt;$I$3,$I$3,(IF(_xlfn.SEC(C24)&lt;-$I$3,-$I$3,_xlfn.SEC(C24))))</f>
        <v>5.8834900848273417</v>
      </c>
      <c r="I24" s="34">
        <f>IF(_xlfn.CSC(C24)&gt;$I$3,$I$3,(IF(_xlfn.CSC(C24)&lt;-$I$3,-$I$3,_xlfn.CSC(C24))))</f>
        <v>1.0147651062948795</v>
      </c>
      <c r="J24" s="51"/>
      <c r="K24" s="1" t="str">
        <f>_xlfn.CONCAT($C23,",",D23)</f>
        <v>1.2,0.932039085967226</v>
      </c>
      <c r="L24" s="1" t="str">
        <f>_xlfn.CONCAT($C23,",",E23)</f>
        <v>1.2,0.362357754476674</v>
      </c>
      <c r="M24" s="1" t="str">
        <f>_xlfn.CONCAT($C23,",",F23)</f>
        <v>1.2,2.57215162212632</v>
      </c>
      <c r="N24" s="1" t="str">
        <f t="shared" si="0"/>
        <v>1.2,0.388779569368205</v>
      </c>
      <c r="O24" s="1" t="str">
        <f t="shared" si="0"/>
        <v>1.2,2.75970360133241</v>
      </c>
      <c r="P24" s="1" t="str">
        <f t="shared" si="0"/>
        <v>1.2,1.0729163777099</v>
      </c>
    </row>
    <row r="25" spans="2:16" x14ac:dyDescent="0.6">
      <c r="B25" s="30">
        <v>9</v>
      </c>
      <c r="C25" s="29">
        <f>C24+$I$2</f>
        <v>1.5999999999999999</v>
      </c>
      <c r="D25" s="29">
        <f>IF(SIN(C25)&gt;$I$3,$I$3,(IF(SIN(C25)&lt;-$I$3,-$I$3,SIN(C25))))</f>
        <v>0.99957360304150522</v>
      </c>
      <c r="E25" s="29">
        <f>IF(COS(C25)&gt;$I$3,$I$3,(IF(COS(C25)&lt;-$I$3,-$I$3,COS(C25))))</f>
        <v>-2.9199522301288593E-2</v>
      </c>
      <c r="F25" s="29">
        <f>IF(TAN(C25)&gt;$I$3,$I$3,(IF(TAN(C25)&lt;-$I$3,-$I$3,TAN(C25))))</f>
        <v>-10</v>
      </c>
      <c r="G25" s="29">
        <f>IF(_xlfn.COT(C25)&gt;$I$3,$I$3,(IF(_xlfn.COT(C25)&lt;-$I$3,-$I$3,_xlfn.COT(C25))))</f>
        <v>-2.9211978199944665E-2</v>
      </c>
      <c r="H25" s="29">
        <f>IF(_xlfn.SEC(C25)&gt;$I$3,$I$3,(IF(_xlfn.SEC(C25)&lt;-$I$3,-$I$3,_xlfn.SEC(C25))))</f>
        <v>-10</v>
      </c>
      <c r="I25" s="34">
        <f>IF(_xlfn.CSC(C25)&gt;$I$3,$I$3,(IF(_xlfn.CSC(C25)&lt;-$I$3,-$I$3,_xlfn.CSC(C25))))</f>
        <v>1.0004265788504192</v>
      </c>
      <c r="J25" s="51"/>
      <c r="K25" s="1" t="str">
        <f>_xlfn.CONCAT($C24,",",D24)</f>
        <v>1.4,0.98544972998846</v>
      </c>
      <c r="L25" s="1" t="str">
        <f>_xlfn.CONCAT($C24,",",E24)</f>
        <v>1.4,0.169967142900241</v>
      </c>
      <c r="M25" s="1" t="str">
        <f>_xlfn.CONCAT($C24,",",F24)</f>
        <v>1.4,5.79788371548289</v>
      </c>
      <c r="N25" s="1" t="str">
        <f t="shared" si="0"/>
        <v>1.4,0.1724767258318</v>
      </c>
      <c r="O25" s="1" t="str">
        <f t="shared" si="0"/>
        <v>1.4,5.88349008482734</v>
      </c>
      <c r="P25" s="1" t="str">
        <f t="shared" si="0"/>
        <v>1.4,1.01476510629488</v>
      </c>
    </row>
    <row r="26" spans="2:16" x14ac:dyDescent="0.6">
      <c r="B26" s="30">
        <v>10</v>
      </c>
      <c r="C26" s="29">
        <f>C25+$I$2</f>
        <v>1.7999999999999998</v>
      </c>
      <c r="D26" s="29">
        <f>IF(SIN(C26)&gt;$I$3,$I$3,(IF(SIN(C26)&lt;-$I$3,-$I$3,SIN(C26))))</f>
        <v>0.97384763087819526</v>
      </c>
      <c r="E26" s="29">
        <f>IF(COS(C26)&gt;$I$3,$I$3,(IF(COS(C26)&lt;-$I$3,-$I$3,COS(C26))))</f>
        <v>-0.22720209469308689</v>
      </c>
      <c r="F26" s="29">
        <f>IF(TAN(C26)&gt;$I$3,$I$3,(IF(TAN(C26)&lt;-$I$3,-$I$3,TAN(C26))))</f>
        <v>-4.2862616746280668</v>
      </c>
      <c r="G26" s="29">
        <f>IF(_xlfn.COT(C26)&gt;$I$3,$I$3,(IF(_xlfn.COT(C26)&lt;-$I$3,-$I$3,_xlfn.COT(C26))))</f>
        <v>-0.23330353485401081</v>
      </c>
      <c r="H26" s="29">
        <f>IF(_xlfn.SEC(C26)&gt;$I$3,$I$3,(IF(_xlfn.SEC(C26)&lt;-$I$3,-$I$3,_xlfn.SEC(C26))))</f>
        <v>-4.4013678718536351</v>
      </c>
      <c r="I26" s="34">
        <f>IF(_xlfn.CSC(C26)&gt;$I$3,$I$3,(IF(_xlfn.CSC(C26)&lt;-$I$3,-$I$3,_xlfn.CSC(C26))))</f>
        <v>1.0268546826963281</v>
      </c>
      <c r="J26" s="51"/>
      <c r="K26" s="1" t="str">
        <f>_xlfn.CONCAT($C25,",",D25)</f>
        <v>1.6,0.999573603041505</v>
      </c>
      <c r="L26" s="1" t="str">
        <f>_xlfn.CONCAT($C25,",",E25)</f>
        <v>1.6,-0.0291995223012886</v>
      </c>
      <c r="M26" s="1" t="str">
        <f>_xlfn.CONCAT($C25,",",F25)</f>
        <v>1.6,-10</v>
      </c>
      <c r="N26" s="1" t="str">
        <f t="shared" si="0"/>
        <v>1.6,-0.0292119781999447</v>
      </c>
      <c r="O26" s="1" t="str">
        <f t="shared" si="0"/>
        <v>1.6,-10</v>
      </c>
      <c r="P26" s="1" t="str">
        <f t="shared" si="0"/>
        <v>1.6,1.00042657885042</v>
      </c>
    </row>
    <row r="27" spans="2:16" x14ac:dyDescent="0.6">
      <c r="B27" s="30">
        <v>11</v>
      </c>
      <c r="C27" s="29">
        <f>C26+$I$2</f>
        <v>1.9999999999999998</v>
      </c>
      <c r="D27" s="29">
        <f>IF(SIN(C27)&gt;$I$3,$I$3,(IF(SIN(C27)&lt;-$I$3,-$I$3,SIN(C27))))</f>
        <v>0.90929742682568182</v>
      </c>
      <c r="E27" s="29">
        <f>IF(COS(C27)&gt;$I$3,$I$3,(IF(COS(C27)&lt;-$I$3,-$I$3,COS(C27))))</f>
        <v>-0.41614683654714218</v>
      </c>
      <c r="F27" s="29">
        <f>IF(TAN(C27)&gt;$I$3,$I$3,(IF(TAN(C27)&lt;-$I$3,-$I$3,TAN(C27))))</f>
        <v>-2.1850398632615202</v>
      </c>
      <c r="G27" s="29">
        <f>IF(_xlfn.COT(C27)&gt;$I$3,$I$3,(IF(_xlfn.COT(C27)&lt;-$I$3,-$I$3,_xlfn.COT(C27))))</f>
        <v>-0.45765755436028549</v>
      </c>
      <c r="H27" s="29">
        <f>IF(_xlfn.SEC(C27)&gt;$I$3,$I$3,(IF(_xlfn.SEC(C27)&lt;-$I$3,-$I$3,_xlfn.SEC(C27))))</f>
        <v>-2.4029979617223822</v>
      </c>
      <c r="I27" s="34">
        <f>IF(_xlfn.CSC(C27)&gt;$I$3,$I$3,(IF(_xlfn.CSC(C27)&lt;-$I$3,-$I$3,_xlfn.CSC(C27))))</f>
        <v>1.0997501702946164</v>
      </c>
      <c r="J27" s="51"/>
      <c r="K27" s="1" t="str">
        <f>_xlfn.CONCAT($C26,",",D26)</f>
        <v>1.8,0.973847630878195</v>
      </c>
      <c r="L27" s="1" t="str">
        <f>_xlfn.CONCAT($C26,",",E26)</f>
        <v>1.8,-0.227202094693087</v>
      </c>
      <c r="M27" s="1" t="str">
        <f>_xlfn.CONCAT($C26,",",F26)</f>
        <v>1.8,-4.28626167462807</v>
      </c>
      <c r="N27" s="1" t="str">
        <f t="shared" si="0"/>
        <v>1.8,-0.233303534854011</v>
      </c>
      <c r="O27" s="1" t="str">
        <f t="shared" si="0"/>
        <v>1.8,-4.40136787185364</v>
      </c>
      <c r="P27" s="1" t="str">
        <f t="shared" si="0"/>
        <v>1.8,1.02685468269633</v>
      </c>
    </row>
    <row r="28" spans="2:16" x14ac:dyDescent="0.6">
      <c r="B28" s="30">
        <v>12</v>
      </c>
      <c r="C28" s="29">
        <f>C27+$I$2</f>
        <v>2.1999999999999997</v>
      </c>
      <c r="D28" s="29">
        <f>IF(SIN(C28)&gt;$I$3,$I$3,(IF(SIN(C28)&lt;-$I$3,-$I$3,SIN(C28))))</f>
        <v>0.80849640381959031</v>
      </c>
      <c r="E28" s="29">
        <f>IF(COS(C28)&gt;$I$3,$I$3,(IF(COS(C28)&lt;-$I$3,-$I$3,COS(C28))))</f>
        <v>-0.58850111725534549</v>
      </c>
      <c r="F28" s="29">
        <f>IF(TAN(C28)&gt;$I$3,$I$3,(IF(TAN(C28)&lt;-$I$3,-$I$3,TAN(C28))))</f>
        <v>-1.3738230567687959</v>
      </c>
      <c r="G28" s="29">
        <f>IF(_xlfn.COT(C28)&gt;$I$3,$I$3,(IF(_xlfn.COT(C28)&lt;-$I$3,-$I$3,_xlfn.COT(C28))))</f>
        <v>-0.72789577600479338</v>
      </c>
      <c r="H28" s="29">
        <f>IF(_xlfn.SEC(C28)&gt;$I$3,$I$3,(IF(_xlfn.SEC(C28)&lt;-$I$3,-$I$3,_xlfn.SEC(C28))))</f>
        <v>-1.699232118137354</v>
      </c>
      <c r="I28" s="34">
        <f>IF(_xlfn.CSC(C28)&gt;$I$3,$I$3,(IF(_xlfn.CSC(C28)&lt;-$I$3,-$I$3,_xlfn.CSC(C28))))</f>
        <v>1.2368638812438579</v>
      </c>
      <c r="J28" s="51"/>
      <c r="K28" s="1" t="str">
        <f>_xlfn.CONCAT($C27,",",D27)</f>
        <v>2,0.909297426825682</v>
      </c>
      <c r="L28" s="1" t="str">
        <f>_xlfn.CONCAT($C27,",",E27)</f>
        <v>2,-0.416146836547142</v>
      </c>
      <c r="M28" s="1" t="str">
        <f>_xlfn.CONCAT($C27,",",F27)</f>
        <v>2,-2.18503986326152</v>
      </c>
      <c r="N28" s="1" t="str">
        <f t="shared" si="0"/>
        <v>2,-0.457657554360285</v>
      </c>
      <c r="O28" s="1" t="str">
        <f t="shared" si="0"/>
        <v>2,-2.40299796172238</v>
      </c>
      <c r="P28" s="1" t="str">
        <f t="shared" si="0"/>
        <v>2,1.09975017029462</v>
      </c>
    </row>
    <row r="29" spans="2:16" x14ac:dyDescent="0.6">
      <c r="B29" s="30">
        <v>13</v>
      </c>
      <c r="C29" s="29">
        <f>C28+$I$2</f>
        <v>2.4</v>
      </c>
      <c r="D29" s="29">
        <f>IF(SIN(C29)&gt;$I$3,$I$3,(IF(SIN(C29)&lt;-$I$3,-$I$3,SIN(C29))))</f>
        <v>0.67546318055115095</v>
      </c>
      <c r="E29" s="29">
        <f>IF(COS(C29)&gt;$I$3,$I$3,(IF(COS(C29)&lt;-$I$3,-$I$3,COS(C29))))</f>
        <v>-0.73739371554124544</v>
      </c>
      <c r="F29" s="29">
        <f>IF(TAN(C29)&gt;$I$3,$I$3,(IF(TAN(C29)&lt;-$I$3,-$I$3,TAN(C29))))</f>
        <v>-0.9160142896734107</v>
      </c>
      <c r="G29" s="29">
        <f>IF(_xlfn.COT(C29)&gt;$I$3,$I$3,(IF(_xlfn.COT(C29)&lt;-$I$3,-$I$3,_xlfn.COT(C29))))</f>
        <v>-1.0916860263790569</v>
      </c>
      <c r="H29" s="29">
        <f>IF(_xlfn.SEC(C29)&gt;$I$3,$I$3,(IF(_xlfn.SEC(C29)&lt;-$I$3,-$I$3,_xlfn.SEC(C29))))</f>
        <v>-1.3561276410743508</v>
      </c>
      <c r="I29" s="34">
        <f>IF(_xlfn.CSC(C29)&gt;$I$3,$I$3,(IF(_xlfn.CSC(C29)&lt;-$I$3,-$I$3,_xlfn.CSC(C29))))</f>
        <v>1.4804655957472619</v>
      </c>
      <c r="J29" s="51"/>
      <c r="K29" s="1" t="str">
        <f>_xlfn.CONCAT($C28,",",D28)</f>
        <v>2.2,0.80849640381959</v>
      </c>
      <c r="L29" s="1" t="str">
        <f>_xlfn.CONCAT($C28,",",E28)</f>
        <v>2.2,-0.588501117255345</v>
      </c>
      <c r="M29" s="1" t="str">
        <f>_xlfn.CONCAT($C28,",",F28)</f>
        <v>2.2,-1.3738230567688</v>
      </c>
      <c r="N29" s="1" t="str">
        <f t="shared" si="0"/>
        <v>2.2,-0.727895776004793</v>
      </c>
      <c r="O29" s="1" t="str">
        <f t="shared" si="0"/>
        <v>2.2,-1.69923211813735</v>
      </c>
      <c r="P29" s="1" t="str">
        <f t="shared" si="0"/>
        <v>2.2,1.23686388124386</v>
      </c>
    </row>
    <row r="30" spans="2:16" x14ac:dyDescent="0.6">
      <c r="B30" s="30">
        <v>14</v>
      </c>
      <c r="C30" s="29">
        <f>C29+$I$2</f>
        <v>2.6</v>
      </c>
      <c r="D30" s="29">
        <f>IF(SIN(C30)&gt;$I$3,$I$3,(IF(SIN(C30)&lt;-$I$3,-$I$3,SIN(C30))))</f>
        <v>0.51550137182146416</v>
      </c>
      <c r="E30" s="29">
        <f>IF(COS(C30)&gt;$I$3,$I$3,(IF(COS(C30)&lt;-$I$3,-$I$3,COS(C30))))</f>
        <v>-0.85688875336894732</v>
      </c>
      <c r="F30" s="29">
        <f>IF(TAN(C30)&gt;$I$3,$I$3,(IF(TAN(C30)&lt;-$I$3,-$I$3,TAN(C30))))</f>
        <v>-0.60159661308975865</v>
      </c>
      <c r="G30" s="29">
        <f>IF(_xlfn.COT(C30)&gt;$I$3,$I$3,(IF(_xlfn.COT(C30)&lt;-$I$3,-$I$3,_xlfn.COT(C30))))</f>
        <v>-1.6622434007134268</v>
      </c>
      <c r="H30" s="29">
        <f>IF(_xlfn.SEC(C30)&gt;$I$3,$I$3,(IF(_xlfn.SEC(C30)&lt;-$I$3,-$I$3,_xlfn.SEC(C30))))</f>
        <v>-1.1670126326998644</v>
      </c>
      <c r="I30" s="34">
        <f>IF(_xlfn.CSC(C30)&gt;$I$3,$I$3,(IF(_xlfn.CSC(C30)&lt;-$I$3,-$I$3,_xlfn.CSC(C30))))</f>
        <v>1.939859047254552</v>
      </c>
      <c r="J30" s="51"/>
      <c r="K30" s="1" t="str">
        <f>_xlfn.CONCAT($C29,",",D29)</f>
        <v>2.4,0.675463180551151</v>
      </c>
      <c r="L30" s="1" t="str">
        <f>_xlfn.CONCAT($C29,",",E29)</f>
        <v>2.4,-0.737393715541245</v>
      </c>
      <c r="M30" s="1" t="str">
        <f>_xlfn.CONCAT($C29,",",F29)</f>
        <v>2.4,-0.916014289673411</v>
      </c>
      <c r="N30" s="1" t="str">
        <f t="shared" si="0"/>
        <v>2.4,-1.09168602637906</v>
      </c>
      <c r="O30" s="1" t="str">
        <f t="shared" si="0"/>
        <v>2.4,-1.35612764107435</v>
      </c>
      <c r="P30" s="1" t="str">
        <f t="shared" si="0"/>
        <v>2.4,1.48046559574726</v>
      </c>
    </row>
    <row r="31" spans="2:16" x14ac:dyDescent="0.6">
      <c r="B31" s="30">
        <v>15</v>
      </c>
      <c r="C31" s="29">
        <f>C30+$I$2</f>
        <v>2.8000000000000003</v>
      </c>
      <c r="D31" s="29">
        <f>IF(SIN(C31)&gt;$I$3,$I$3,(IF(SIN(C31)&lt;-$I$3,-$I$3,SIN(C31))))</f>
        <v>0.33498815015590466</v>
      </c>
      <c r="E31" s="29">
        <f>IF(COS(C31)&gt;$I$3,$I$3,(IF(COS(C31)&lt;-$I$3,-$I$3,COS(C31))))</f>
        <v>-0.94222234066865829</v>
      </c>
      <c r="F31" s="29">
        <f>IF(TAN(C31)&gt;$I$3,$I$3,(IF(TAN(C31)&lt;-$I$3,-$I$3,TAN(C31))))</f>
        <v>-0.35552983165117558</v>
      </c>
      <c r="G31" s="29">
        <f>IF(_xlfn.COT(C31)&gt;$I$3,$I$3,(IF(_xlfn.COT(C31)&lt;-$I$3,-$I$3,_xlfn.COT(C31))))</f>
        <v>-2.8127034948255472</v>
      </c>
      <c r="H31" s="29">
        <f>IF(_xlfn.SEC(C31)&gt;$I$3,$I$3,(IF(_xlfn.SEC(C31)&lt;-$I$3,-$I$3,_xlfn.SEC(C31))))</f>
        <v>-1.0613206212987256</v>
      </c>
      <c r="I31" s="34">
        <f>IF(_xlfn.CSC(C31)&gt;$I$3,$I$3,(IF(_xlfn.CSC(C31)&lt;-$I$3,-$I$3,_xlfn.CSC(C31))))</f>
        <v>2.9851802206573472</v>
      </c>
      <c r="J31" s="51"/>
      <c r="K31" s="1" t="str">
        <f>_xlfn.CONCAT($C30,",",D30)</f>
        <v>2.6,0.515501371821464</v>
      </c>
      <c r="L31" s="1" t="str">
        <f>_xlfn.CONCAT($C30,",",E30)</f>
        <v>2.6,-0.856888753368947</v>
      </c>
      <c r="M31" s="1" t="str">
        <f>_xlfn.CONCAT($C30,",",F30)</f>
        <v>2.6,-0.601596613089759</v>
      </c>
      <c r="N31" s="1" t="str">
        <f t="shared" si="0"/>
        <v>2.6,-1.66224340071343</v>
      </c>
      <c r="O31" s="1" t="str">
        <f t="shared" si="0"/>
        <v>2.6,-1.16701263269986</v>
      </c>
      <c r="P31" s="1" t="str">
        <f t="shared" si="0"/>
        <v>2.6,1.93985904725455</v>
      </c>
    </row>
    <row r="32" spans="2:16" x14ac:dyDescent="0.6">
      <c r="B32" s="30">
        <v>16</v>
      </c>
      <c r="C32" s="29">
        <f>C31+$I$2</f>
        <v>3.0000000000000004</v>
      </c>
      <c r="D32" s="29">
        <f>IF(SIN(C32)&gt;$I$3,$I$3,(IF(SIN(C32)&lt;-$I$3,-$I$3,SIN(C32))))</f>
        <v>0.14112000805986677</v>
      </c>
      <c r="E32" s="29">
        <f>IF(COS(C32)&gt;$I$3,$I$3,(IF(COS(C32)&lt;-$I$3,-$I$3,COS(C32))))</f>
        <v>-0.98999249660044553</v>
      </c>
      <c r="F32" s="29">
        <f>IF(TAN(C32)&gt;$I$3,$I$3,(IF(TAN(C32)&lt;-$I$3,-$I$3,TAN(C32))))</f>
        <v>-0.14254654307427736</v>
      </c>
      <c r="G32" s="29">
        <f>IF(_xlfn.COT(C32)&gt;$I$3,$I$3,(IF(_xlfn.COT(C32)&lt;-$I$3,-$I$3,_xlfn.COT(C32))))</f>
        <v>-7.0152525514345552</v>
      </c>
      <c r="H32" s="29">
        <f>IF(_xlfn.SEC(C32)&gt;$I$3,$I$3,(IF(_xlfn.SEC(C32)&lt;-$I$3,-$I$3,_xlfn.SEC(C32))))</f>
        <v>-1.0101086659079936</v>
      </c>
      <c r="I32" s="34">
        <f>IF(_xlfn.CSC(C32)&gt;$I$3,$I$3,(IF(_xlfn.CSC(C32)&lt;-$I$3,-$I$3,_xlfn.CSC(C32))))</f>
        <v>7.0861673957372089</v>
      </c>
      <c r="J32" s="51"/>
      <c r="K32" s="1" t="str">
        <f>_xlfn.CONCAT($C31,",",D31)</f>
        <v>2.8,0.334988150155905</v>
      </c>
      <c r="L32" s="1" t="str">
        <f>_xlfn.CONCAT($C31,",",E31)</f>
        <v>2.8,-0.942222340668658</v>
      </c>
      <c r="M32" s="1" t="str">
        <f>_xlfn.CONCAT($C31,",",F31)</f>
        <v>2.8,-0.355529831651176</v>
      </c>
      <c r="N32" s="1" t="str">
        <f t="shared" si="0"/>
        <v>2.8,-2.81270349482555</v>
      </c>
      <c r="O32" s="1" t="str">
        <f t="shared" si="0"/>
        <v>2.8,-1.06132062129873</v>
      </c>
      <c r="P32" s="1" t="str">
        <f t="shared" si="0"/>
        <v>2.8,2.98518022065735</v>
      </c>
    </row>
    <row r="33" spans="2:16" x14ac:dyDescent="0.6">
      <c r="B33" s="30">
        <v>17</v>
      </c>
      <c r="C33" s="29">
        <f>C32+$I$2</f>
        <v>3.2000000000000006</v>
      </c>
      <c r="D33" s="29">
        <f>IF(SIN(C33)&gt;$I$3,$I$3,(IF(SIN(C33)&lt;-$I$3,-$I$3,SIN(C33))))</f>
        <v>-5.837414342758053E-2</v>
      </c>
      <c r="E33" s="29">
        <f>IF(COS(C33)&gt;$I$3,$I$3,(IF(COS(C33)&lt;-$I$3,-$I$3,COS(C33))))</f>
        <v>-0.99829477579475301</v>
      </c>
      <c r="F33" s="29">
        <f>IF(TAN(C33)&gt;$I$3,$I$3,(IF(TAN(C33)&lt;-$I$3,-$I$3,TAN(C33))))</f>
        <v>5.8473854459579089E-2</v>
      </c>
      <c r="G33" s="29">
        <f>IF(_xlfn.COT(C33)&gt;$I$3,$I$3,(IF(_xlfn.COT(C33)&lt;-$I$3,-$I$3,_xlfn.COT(C33))))</f>
        <v>10</v>
      </c>
      <c r="H33" s="29">
        <f>IF(_xlfn.SEC(C33)&gt;$I$3,$I$3,(IF(_xlfn.SEC(C33)&lt;-$I$3,-$I$3,_xlfn.SEC(C33))))</f>
        <v>-1.00170813696174</v>
      </c>
      <c r="I33" s="34">
        <f>IF(_xlfn.CSC(C33)&gt;$I$3,$I$3,(IF(_xlfn.CSC(C33)&lt;-$I$3,-$I$3,_xlfn.CSC(C33))))</f>
        <v>-10</v>
      </c>
      <c r="J33" s="51"/>
      <c r="K33" s="1" t="str">
        <f>_xlfn.CONCAT($C32,",",D32)</f>
        <v>3,0.141120008059867</v>
      </c>
      <c r="L33" s="1" t="str">
        <f>_xlfn.CONCAT($C32,",",E32)</f>
        <v>3,-0.989992496600446</v>
      </c>
      <c r="M33" s="1" t="str">
        <f>_xlfn.CONCAT($C32,",",F32)</f>
        <v>3,-0.142546543074277</v>
      </c>
      <c r="N33" s="1" t="str">
        <f t="shared" si="0"/>
        <v>3,-7.01525255143456</v>
      </c>
      <c r="O33" s="1" t="str">
        <f t="shared" si="0"/>
        <v>3,-1.01010866590799</v>
      </c>
      <c r="P33" s="1" t="str">
        <f t="shared" si="0"/>
        <v>3,7.08616739573721</v>
      </c>
    </row>
    <row r="34" spans="2:16" x14ac:dyDescent="0.6">
      <c r="B34" s="30">
        <v>18</v>
      </c>
      <c r="C34" s="29">
        <f>C33+$I$2</f>
        <v>3.4000000000000008</v>
      </c>
      <c r="D34" s="29">
        <f>IF(SIN(C34)&gt;$I$3,$I$3,(IF(SIN(C34)&lt;-$I$3,-$I$3,SIN(C34))))</f>
        <v>-0.25554110202683211</v>
      </c>
      <c r="E34" s="29">
        <f>IF(COS(C34)&gt;$I$3,$I$3,(IF(COS(C34)&lt;-$I$3,-$I$3,COS(C34))))</f>
        <v>-0.96679819257946076</v>
      </c>
      <c r="F34" s="29">
        <f>IF(TAN(C34)&gt;$I$3,$I$3,(IF(TAN(C34)&lt;-$I$3,-$I$3,TAN(C34))))</f>
        <v>0.2643169008674261</v>
      </c>
      <c r="G34" s="29">
        <f>IF(_xlfn.COT(C34)&gt;$I$3,$I$3,(IF(_xlfn.COT(C34)&lt;-$I$3,-$I$3,_xlfn.COT(C34))))</f>
        <v>3.7833373375604604</v>
      </c>
      <c r="H34" s="29">
        <f>IF(_xlfn.SEC(C34)&gt;$I$3,$I$3,(IF(_xlfn.SEC(C34)&lt;-$I$3,-$I$3,_xlfn.SEC(C34))))</f>
        <v>-1.0343420247114399</v>
      </c>
      <c r="I34" s="34">
        <f>IF(_xlfn.CSC(C34)&gt;$I$3,$I$3,(IF(_xlfn.CSC(C34)&lt;-$I$3,-$I$3,_xlfn.CSC(C34))))</f>
        <v>-3.913264801898674</v>
      </c>
      <c r="J34" s="51"/>
      <c r="K34" s="1" t="str">
        <f>_xlfn.CONCAT($C33,",",D33)</f>
        <v>3.2,-0.0583741434275805</v>
      </c>
      <c r="L34" s="1" t="str">
        <f>_xlfn.CONCAT($C33,",",E33)</f>
        <v>3.2,-0.998294775794753</v>
      </c>
      <c r="M34" s="1" t="str">
        <f>_xlfn.CONCAT($C33,",",F33)</f>
        <v>3.2,0.0584738544595791</v>
      </c>
      <c r="N34" s="1" t="str">
        <f t="shared" ref="N34:P66" si="1">_xlfn.CONCAT($C33,",",G33)</f>
        <v>3.2,10</v>
      </c>
      <c r="O34" s="1" t="str">
        <f t="shared" si="1"/>
        <v>3.2,-1.00170813696174</v>
      </c>
      <c r="P34" s="1" t="str">
        <f t="shared" si="1"/>
        <v>3.2,-10</v>
      </c>
    </row>
    <row r="35" spans="2:16" x14ac:dyDescent="0.6">
      <c r="B35" s="30">
        <v>19</v>
      </c>
      <c r="C35" s="29">
        <f>C34+$I$2</f>
        <v>3.600000000000001</v>
      </c>
      <c r="D35" s="29">
        <f>IF(SIN(C35)&gt;$I$3,$I$3,(IF(SIN(C35)&lt;-$I$3,-$I$3,SIN(C35))))</f>
        <v>-0.44252044329485324</v>
      </c>
      <c r="E35" s="29">
        <f>IF(COS(C35)&gt;$I$3,$I$3,(IF(COS(C35)&lt;-$I$3,-$I$3,COS(C35))))</f>
        <v>-0.89675841633414655</v>
      </c>
      <c r="F35" s="29">
        <f>IF(TAN(C35)&gt;$I$3,$I$3,(IF(TAN(C35)&lt;-$I$3,-$I$3,TAN(C35))))</f>
        <v>0.49346672998490493</v>
      </c>
      <c r="G35" s="29">
        <f>IF(_xlfn.COT(C35)&gt;$I$3,$I$3,(IF(_xlfn.COT(C35)&lt;-$I$3,-$I$3,_xlfn.COT(C35))))</f>
        <v>2.0264790698870212</v>
      </c>
      <c r="H35" s="29">
        <f>IF(_xlfn.SEC(C35)&gt;$I$3,$I$3,(IF(_xlfn.SEC(C35)&lt;-$I$3,-$I$3,_xlfn.SEC(C35))))</f>
        <v>-1.1151275324383283</v>
      </c>
      <c r="I35" s="34">
        <f>IF(_xlfn.CSC(C35)&gt;$I$3,$I$3,(IF(_xlfn.CSC(C35)&lt;-$I$3,-$I$3,_xlfn.CSC(C35))))</f>
        <v>-2.2597826047410328</v>
      </c>
      <c r="J35" s="51"/>
      <c r="K35" s="1" t="str">
        <f>_xlfn.CONCAT($C34,",",D34)</f>
        <v>3.4,-0.255541102026832</v>
      </c>
      <c r="L35" s="1" t="str">
        <f>_xlfn.CONCAT($C34,",",E34)</f>
        <v>3.4,-0.966798192579461</v>
      </c>
      <c r="M35" s="1" t="str">
        <f>_xlfn.CONCAT($C34,",",F34)</f>
        <v>3.4,0.264316900867426</v>
      </c>
      <c r="N35" s="1" t="str">
        <f t="shared" si="1"/>
        <v>3.4,3.78333733756046</v>
      </c>
      <c r="O35" s="1" t="str">
        <f t="shared" si="1"/>
        <v>3.4,-1.03434202471144</v>
      </c>
      <c r="P35" s="1" t="str">
        <f t="shared" si="1"/>
        <v>3.4,-3.91326480189867</v>
      </c>
    </row>
    <row r="36" spans="2:16" x14ac:dyDescent="0.6">
      <c r="B36" s="30">
        <v>20</v>
      </c>
      <c r="C36" s="29">
        <f>C35+$I$2</f>
        <v>3.8000000000000012</v>
      </c>
      <c r="D36" s="29">
        <f>IF(SIN(C36)&gt;$I$3,$I$3,(IF(SIN(C36)&lt;-$I$3,-$I$3,SIN(C36))))</f>
        <v>-0.61185789094272003</v>
      </c>
      <c r="E36" s="29">
        <f>IF(COS(C36)&gt;$I$3,$I$3,(IF(COS(C36)&lt;-$I$3,-$I$3,COS(C36))))</f>
        <v>-0.79096771191441595</v>
      </c>
      <c r="F36" s="29">
        <f>IF(TAN(C36)&gt;$I$3,$I$3,(IF(TAN(C36)&lt;-$I$3,-$I$3,TAN(C36))))</f>
        <v>0.7735560905031279</v>
      </c>
      <c r="G36" s="29">
        <f>IF(_xlfn.COT(C36)&gt;$I$3,$I$3,(IF(_xlfn.COT(C36)&lt;-$I$3,-$I$3,_xlfn.COT(C36))))</f>
        <v>1.2927310795906097</v>
      </c>
      <c r="H36" s="29">
        <f>IF(_xlfn.SEC(C36)&gt;$I$3,$I$3,(IF(_xlfn.SEC(C36)&lt;-$I$3,-$I$3,_xlfn.SEC(C36))))</f>
        <v>-1.2642741099755557</v>
      </c>
      <c r="I36" s="34">
        <f>IF(_xlfn.CSC(C36)&gt;$I$3,$I$3,(IF(_xlfn.CSC(C36)&lt;-$I$3,-$I$3,_xlfn.CSC(C36))))</f>
        <v>-1.6343664350871574</v>
      </c>
      <c r="J36" s="51"/>
      <c r="K36" s="1" t="str">
        <f>_xlfn.CONCAT($C35,",",D35)</f>
        <v>3.6,-0.442520443294853</v>
      </c>
      <c r="L36" s="1" t="str">
        <f>_xlfn.CONCAT($C35,",",E35)</f>
        <v>3.6,-0.896758416334147</v>
      </c>
      <c r="M36" s="1" t="str">
        <f>_xlfn.CONCAT($C35,",",F35)</f>
        <v>3.6,0.493466729984905</v>
      </c>
      <c r="N36" s="1" t="str">
        <f t="shared" si="1"/>
        <v>3.6,2.02647906988702</v>
      </c>
      <c r="O36" s="1" t="str">
        <f t="shared" si="1"/>
        <v>3.6,-1.11512753243833</v>
      </c>
      <c r="P36" s="1" t="str">
        <f t="shared" si="1"/>
        <v>3.6,-2.25978260474103</v>
      </c>
    </row>
    <row r="37" spans="2:16" x14ac:dyDescent="0.6">
      <c r="B37" s="30">
        <v>21</v>
      </c>
      <c r="C37" s="29">
        <f>C36+$I$2</f>
        <v>4.0000000000000009</v>
      </c>
      <c r="D37" s="29">
        <f>IF(SIN(C37)&gt;$I$3,$I$3,(IF(SIN(C37)&lt;-$I$3,-$I$3,SIN(C37))))</f>
        <v>-0.75680249530792887</v>
      </c>
      <c r="E37" s="29">
        <f>IF(COS(C37)&gt;$I$3,$I$3,(IF(COS(C37)&lt;-$I$3,-$I$3,COS(C37))))</f>
        <v>-0.65364362086361127</v>
      </c>
      <c r="F37" s="29">
        <f>IF(TAN(C37)&gt;$I$3,$I$3,(IF(TAN(C37)&lt;-$I$3,-$I$3,TAN(C37))))</f>
        <v>1.1578212823495797</v>
      </c>
      <c r="G37" s="29">
        <f>IF(_xlfn.COT(C37)&gt;$I$3,$I$3,(IF(_xlfn.COT(C37)&lt;-$I$3,-$I$3,_xlfn.COT(C37))))</f>
        <v>0.86369115445061506</v>
      </c>
      <c r="H37" s="29">
        <f>IF(_xlfn.SEC(C37)&gt;$I$3,$I$3,(IF(_xlfn.SEC(C37)&lt;-$I$3,-$I$3,_xlfn.SEC(C37))))</f>
        <v>-1.5298856564663992</v>
      </c>
      <c r="I37" s="34">
        <f>IF(_xlfn.CSC(C37)&gt;$I$3,$I$3,(IF(_xlfn.CSC(C37)&lt;-$I$3,-$I$3,_xlfn.CSC(C37))))</f>
        <v>-1.3213487088109013</v>
      </c>
      <c r="J37" s="51"/>
      <c r="K37" s="1" t="str">
        <f>_xlfn.CONCAT($C36,",",D36)</f>
        <v>3.8,-0.61185789094272</v>
      </c>
      <c r="L37" s="1" t="str">
        <f>_xlfn.CONCAT($C36,",",E36)</f>
        <v>3.8,-0.790967711914416</v>
      </c>
      <c r="M37" s="1" t="str">
        <f>_xlfn.CONCAT($C36,",",F36)</f>
        <v>3.8,0.773556090503128</v>
      </c>
      <c r="N37" s="1" t="str">
        <f t="shared" si="1"/>
        <v>3.8,1.29273107959061</v>
      </c>
      <c r="O37" s="1" t="str">
        <f t="shared" si="1"/>
        <v>3.8,-1.26427410997556</v>
      </c>
      <c r="P37" s="1" t="str">
        <f t="shared" si="1"/>
        <v>3.8,-1.63436643508716</v>
      </c>
    </row>
    <row r="38" spans="2:16" x14ac:dyDescent="0.6">
      <c r="B38" s="30">
        <v>22</v>
      </c>
      <c r="C38" s="29">
        <f>C37+$I$2</f>
        <v>4.2000000000000011</v>
      </c>
      <c r="D38" s="29">
        <f>IF(SIN(C38)&gt;$I$3,$I$3,(IF(SIN(C38)&lt;-$I$3,-$I$3,SIN(C38))))</f>
        <v>-0.87157577241358863</v>
      </c>
      <c r="E38" s="29">
        <f>IF(COS(C38)&gt;$I$3,$I$3,(IF(COS(C38)&lt;-$I$3,-$I$3,COS(C38))))</f>
        <v>-0.49026082134069865</v>
      </c>
      <c r="F38" s="29">
        <f>IF(TAN(C38)&gt;$I$3,$I$3,(IF(TAN(C38)&lt;-$I$3,-$I$3,TAN(C38))))</f>
        <v>1.7777797745088455</v>
      </c>
      <c r="G38" s="29">
        <f>IF(_xlfn.COT(C38)&gt;$I$3,$I$3,(IF(_xlfn.COT(C38)&lt;-$I$3,-$I$3,_xlfn.COT(C38))))</f>
        <v>0.56249936822252022</v>
      </c>
      <c r="H38" s="29">
        <f>IF(_xlfn.SEC(C38)&gt;$I$3,$I$3,(IF(_xlfn.SEC(C38)&lt;-$I$3,-$I$3,_xlfn.SEC(C38))))</f>
        <v>-2.0397306014895009</v>
      </c>
      <c r="I38" s="34">
        <f>IF(_xlfn.CSC(C38)&gt;$I$3,$I$3,(IF(_xlfn.CSC(C38)&lt;-$I$3,-$I$3,_xlfn.CSC(C38))))</f>
        <v>-1.1473471746819854</v>
      </c>
      <c r="J38" s="51"/>
      <c r="K38" s="1" t="str">
        <f>_xlfn.CONCAT($C37,",",D37)</f>
        <v>4,-0.756802495307929</v>
      </c>
      <c r="L38" s="1" t="str">
        <f>_xlfn.CONCAT($C37,",",E37)</f>
        <v>4,-0.653643620863611</v>
      </c>
      <c r="M38" s="1" t="str">
        <f>_xlfn.CONCAT($C37,",",F37)</f>
        <v>4,1.15782128234958</v>
      </c>
      <c r="N38" s="1" t="str">
        <f t="shared" si="1"/>
        <v>4,0.863691154450615</v>
      </c>
      <c r="O38" s="1" t="str">
        <f t="shared" si="1"/>
        <v>4,-1.5298856564664</v>
      </c>
      <c r="P38" s="1" t="str">
        <f t="shared" si="1"/>
        <v>4,-1.3213487088109</v>
      </c>
    </row>
    <row r="39" spans="2:16" x14ac:dyDescent="0.6">
      <c r="B39" s="30">
        <v>23</v>
      </c>
      <c r="C39" s="29">
        <f>C38+$I$2</f>
        <v>4.4000000000000012</v>
      </c>
      <c r="D39" s="29">
        <f>IF(SIN(C39)&gt;$I$3,$I$3,(IF(SIN(C39)&lt;-$I$3,-$I$3,SIN(C39))))</f>
        <v>-0.95160207388951634</v>
      </c>
      <c r="E39" s="29">
        <f>IF(COS(C39)&gt;$I$3,$I$3,(IF(COS(C39)&lt;-$I$3,-$I$3,COS(C39))))</f>
        <v>-0.30733286997841852</v>
      </c>
      <c r="F39" s="29">
        <f>IF(TAN(C39)&gt;$I$3,$I$3,(IF(TAN(C39)&lt;-$I$3,-$I$3,TAN(C39))))</f>
        <v>3.096323780649755</v>
      </c>
      <c r="G39" s="29">
        <f>IF(_xlfn.COT(C39)&gt;$I$3,$I$3,(IF(_xlfn.COT(C39)&lt;-$I$3,-$I$3,_xlfn.COT(C39))))</f>
        <v>0.32296364038199932</v>
      </c>
      <c r="H39" s="29">
        <f>IF(_xlfn.SEC(C39)&gt;$I$3,$I$3,(IF(_xlfn.SEC(C39)&lt;-$I$3,-$I$3,_xlfn.SEC(C39))))</f>
        <v>-3.2538010010781528</v>
      </c>
      <c r="I39" s="34">
        <f>IF(_xlfn.CSC(C39)&gt;$I$3,$I$3,(IF(_xlfn.CSC(C39)&lt;-$I$3,-$I$3,_xlfn.CSC(C39))))</f>
        <v>-1.0508594163867941</v>
      </c>
      <c r="J39" s="51"/>
      <c r="K39" s="1" t="str">
        <f>_xlfn.CONCAT($C38,",",D38)</f>
        <v>4.2,-0.871575772413589</v>
      </c>
      <c r="L39" s="1" t="str">
        <f>_xlfn.CONCAT($C38,",",E38)</f>
        <v>4.2,-0.490260821340699</v>
      </c>
      <c r="M39" s="1" t="str">
        <f>_xlfn.CONCAT($C38,",",F38)</f>
        <v>4.2,1.77777977450885</v>
      </c>
      <c r="N39" s="1" t="str">
        <f t="shared" si="1"/>
        <v>4.2,0.56249936822252</v>
      </c>
      <c r="O39" s="1" t="str">
        <f t="shared" si="1"/>
        <v>4.2,-2.0397306014895</v>
      </c>
      <c r="P39" s="1" t="str">
        <f t="shared" si="1"/>
        <v>4.2,-1.14734717468199</v>
      </c>
    </row>
    <row r="40" spans="2:16" x14ac:dyDescent="0.6">
      <c r="B40" s="30">
        <v>24</v>
      </c>
      <c r="C40" s="29">
        <f>C39+$I$2</f>
        <v>4.6000000000000014</v>
      </c>
      <c r="D40" s="29">
        <f>IF(SIN(C40)&gt;$I$3,$I$3,(IF(SIN(C40)&lt;-$I$3,-$I$3,SIN(C40))))</f>
        <v>-0.99369100363346463</v>
      </c>
      <c r="E40" s="29">
        <f>IF(COS(C40)&gt;$I$3,$I$3,(IF(COS(C40)&lt;-$I$3,-$I$3,COS(C40))))</f>
        <v>-0.11215252693505311</v>
      </c>
      <c r="F40" s="29">
        <f>IF(TAN(C40)&gt;$I$3,$I$3,(IF(TAN(C40)&lt;-$I$3,-$I$3,TAN(C40))))</f>
        <v>8.8601748956481874</v>
      </c>
      <c r="G40" s="29">
        <f>IF(_xlfn.COT(C40)&gt;$I$3,$I$3,(IF(_xlfn.COT(C40)&lt;-$I$3,-$I$3,_xlfn.COT(C40))))</f>
        <v>0.11286458921834212</v>
      </c>
      <c r="H40" s="29">
        <f>IF(_xlfn.SEC(C40)&gt;$I$3,$I$3,(IF(_xlfn.SEC(C40)&lt;-$I$3,-$I$3,_xlfn.SEC(C40))))</f>
        <v>-8.9164286113597271</v>
      </c>
      <c r="I40" s="34">
        <f>IF(_xlfn.CSC(C40)&gt;$I$3,$I$3,(IF(_xlfn.CSC(C40)&lt;-$I$3,-$I$3,_xlfn.CSC(C40))))</f>
        <v>-1.0063490525157883</v>
      </c>
      <c r="J40" s="51"/>
      <c r="K40" s="1" t="str">
        <f>_xlfn.CONCAT($C39,",",D39)</f>
        <v>4.4,-0.951602073889516</v>
      </c>
      <c r="L40" s="1" t="str">
        <f>_xlfn.CONCAT($C39,",",E39)</f>
        <v>4.4,-0.307332869978419</v>
      </c>
      <c r="M40" s="1" t="str">
        <f>_xlfn.CONCAT($C39,",",F39)</f>
        <v>4.4,3.09632378064975</v>
      </c>
      <c r="N40" s="1" t="str">
        <f t="shared" si="1"/>
        <v>4.4,0.322963640381999</v>
      </c>
      <c r="O40" s="1" t="str">
        <f t="shared" si="1"/>
        <v>4.4,-3.25380100107815</v>
      </c>
      <c r="P40" s="1" t="str">
        <f t="shared" si="1"/>
        <v>4.4,-1.05085941638679</v>
      </c>
    </row>
    <row r="41" spans="2:16" x14ac:dyDescent="0.6">
      <c r="B41" s="30">
        <v>25</v>
      </c>
      <c r="C41" s="29">
        <f>C40+$I$2</f>
        <v>4.8000000000000016</v>
      </c>
      <c r="D41" s="29">
        <f>IF(SIN(C41)&gt;$I$3,$I$3,(IF(SIN(C41)&lt;-$I$3,-$I$3,SIN(C41))))</f>
        <v>-0.99616460883584057</v>
      </c>
      <c r="E41" s="29">
        <f>IF(COS(C41)&gt;$I$3,$I$3,(IF(COS(C41)&lt;-$I$3,-$I$3,COS(C41))))</f>
        <v>8.7498983439448161E-2</v>
      </c>
      <c r="F41" s="29">
        <f>IF(TAN(C41)&gt;$I$3,$I$3,(IF(TAN(C41)&lt;-$I$3,-$I$3,TAN(C41))))</f>
        <v>-10</v>
      </c>
      <c r="G41" s="29">
        <f>IF(_xlfn.COT(C41)&gt;$I$3,$I$3,(IF(_xlfn.COT(C41)&lt;-$I$3,-$I$3,_xlfn.COT(C41))))</f>
        <v>-8.7835868352824864E-2</v>
      </c>
      <c r="H41" s="29">
        <f>IF(_xlfn.SEC(C41)&gt;$I$3,$I$3,(IF(_xlfn.SEC(C41)&lt;-$I$3,-$I$3,_xlfn.SEC(C41))))</f>
        <v>10</v>
      </c>
      <c r="I41" s="34">
        <f>IF(_xlfn.CSC(C41)&gt;$I$3,$I$3,(IF(_xlfn.CSC(C41)&lt;-$I$3,-$I$3,_xlfn.CSC(C41))))</f>
        <v>-1.0038501580262338</v>
      </c>
      <c r="J41" s="51"/>
      <c r="K41" s="1" t="str">
        <f>_xlfn.CONCAT($C40,",",D40)</f>
        <v>4.6,-0.993691003633465</v>
      </c>
      <c r="L41" s="1" t="str">
        <f>_xlfn.CONCAT($C40,",",E40)</f>
        <v>4.6,-0.112152526935053</v>
      </c>
      <c r="M41" s="1" t="str">
        <f>_xlfn.CONCAT($C40,",",F40)</f>
        <v>4.6,8.86017489564819</v>
      </c>
      <c r="N41" s="1" t="str">
        <f t="shared" si="1"/>
        <v>4.6,0.112864589218342</v>
      </c>
      <c r="O41" s="1" t="str">
        <f t="shared" si="1"/>
        <v>4.6,-8.91642861135973</v>
      </c>
      <c r="P41" s="1" t="str">
        <f t="shared" si="1"/>
        <v>4.6,-1.00634905251579</v>
      </c>
    </row>
    <row r="42" spans="2:16" x14ac:dyDescent="0.6">
      <c r="B42" s="30">
        <v>26</v>
      </c>
      <c r="C42" s="29">
        <f>C41+$I$2</f>
        <v>5.0000000000000018</v>
      </c>
      <c r="D42" s="29">
        <f>IF(SIN(C42)&gt;$I$3,$I$3,(IF(SIN(C42)&lt;-$I$3,-$I$3,SIN(C42))))</f>
        <v>-0.95892427466313801</v>
      </c>
      <c r="E42" s="29">
        <f>IF(COS(C42)&gt;$I$3,$I$3,(IF(COS(C42)&lt;-$I$3,-$I$3,COS(C42))))</f>
        <v>0.28366218546322797</v>
      </c>
      <c r="F42" s="29">
        <f>IF(TAN(C42)&gt;$I$3,$I$3,(IF(TAN(C42)&lt;-$I$3,-$I$3,TAN(C42))))</f>
        <v>-3.3805150062465636</v>
      </c>
      <c r="G42" s="29">
        <f>IF(_xlfn.COT(C42)&gt;$I$3,$I$3,(IF(_xlfn.COT(C42)&lt;-$I$3,-$I$3,_xlfn.COT(C42))))</f>
        <v>-0.29581291553274747</v>
      </c>
      <c r="H42" s="29">
        <f>IF(_xlfn.SEC(C42)&gt;$I$3,$I$3,(IF(_xlfn.SEC(C42)&lt;-$I$3,-$I$3,_xlfn.SEC(C42))))</f>
        <v>3.5253200858160674</v>
      </c>
      <c r="I42" s="34">
        <f>IF(_xlfn.CSC(C42)&gt;$I$3,$I$3,(IF(_xlfn.CSC(C42)&lt;-$I$3,-$I$3,_xlfn.CSC(C42))))</f>
        <v>-1.0428352127714062</v>
      </c>
      <c r="J42" s="51"/>
      <c r="K42" s="1" t="str">
        <f>_xlfn.CONCAT($C41,",",D41)</f>
        <v>4.8,-0.996164608835841</v>
      </c>
      <c r="L42" s="1" t="str">
        <f>_xlfn.CONCAT($C41,",",E41)</f>
        <v>4.8,0.0874989834394482</v>
      </c>
      <c r="M42" s="1" t="str">
        <f>_xlfn.CONCAT($C41,",",F41)</f>
        <v>4.8,-10</v>
      </c>
      <c r="N42" s="1" t="str">
        <f t="shared" si="1"/>
        <v>4.8,-0.0878358683528249</v>
      </c>
      <c r="O42" s="1" t="str">
        <f t="shared" si="1"/>
        <v>4.8,10</v>
      </c>
      <c r="P42" s="1" t="str">
        <f t="shared" si="1"/>
        <v>4.8,-1.00385015802623</v>
      </c>
    </row>
    <row r="43" spans="2:16" x14ac:dyDescent="0.6">
      <c r="B43" s="30">
        <v>27</v>
      </c>
      <c r="C43" s="29">
        <f>C42+$I$2</f>
        <v>5.200000000000002</v>
      </c>
      <c r="D43" s="29">
        <f>IF(SIN(C43)&gt;$I$3,$I$3,(IF(SIN(C43)&lt;-$I$3,-$I$3,SIN(C43))))</f>
        <v>-0.88345465572015236</v>
      </c>
      <c r="E43" s="29">
        <f>IF(COS(C43)&gt;$I$3,$I$3,(IF(COS(C43)&lt;-$I$3,-$I$3,COS(C43))))</f>
        <v>0.46851667130037866</v>
      </c>
      <c r="F43" s="29">
        <f>IF(TAN(C43)&gt;$I$3,$I$3,(IF(TAN(C43)&lt;-$I$3,-$I$3,TAN(C43))))</f>
        <v>-1.8856418775197559</v>
      </c>
      <c r="G43" s="29">
        <f>IF(_xlfn.COT(C43)&gt;$I$3,$I$3,(IF(_xlfn.COT(C43)&lt;-$I$3,-$I$3,_xlfn.COT(C43))))</f>
        <v>-0.53032339381183635</v>
      </c>
      <c r="H43" s="29">
        <f>IF(_xlfn.SEC(C43)&gt;$I$3,$I$3,(IF(_xlfn.SEC(C43)&lt;-$I$3,-$I$3,_xlfn.SEC(C43))))</f>
        <v>2.1343957670160965</v>
      </c>
      <c r="I43" s="34">
        <f>IF(_xlfn.CSC(C43)&gt;$I$3,$I$3,(IF(_xlfn.CSC(C43)&lt;-$I$3,-$I$3,_xlfn.CSC(C43))))</f>
        <v>-1.1319200069015938</v>
      </c>
      <c r="J43" s="51"/>
      <c r="K43" s="1" t="str">
        <f>_xlfn.CONCAT($C42,",",D42)</f>
        <v>5,-0.958924274663138</v>
      </c>
      <c r="L43" s="1" t="str">
        <f>_xlfn.CONCAT($C42,",",E42)</f>
        <v>5,0.283662185463228</v>
      </c>
      <c r="M43" s="1" t="str">
        <f>_xlfn.CONCAT($C42,",",F42)</f>
        <v>5,-3.38051500624656</v>
      </c>
      <c r="N43" s="1" t="str">
        <f t="shared" si="1"/>
        <v>5,-0.295812915532747</v>
      </c>
      <c r="O43" s="1" t="str">
        <f t="shared" si="1"/>
        <v>5,3.52532008581607</v>
      </c>
      <c r="P43" s="1" t="str">
        <f t="shared" si="1"/>
        <v>5,-1.04283521277141</v>
      </c>
    </row>
    <row r="44" spans="2:16" x14ac:dyDescent="0.6">
      <c r="B44" s="30">
        <v>28</v>
      </c>
      <c r="C44" s="29">
        <f>C43+$I$2</f>
        <v>5.4000000000000021</v>
      </c>
      <c r="D44" s="29">
        <f>IF(SIN(C44)&gt;$I$3,$I$3,(IF(SIN(C44)&lt;-$I$3,-$I$3,SIN(C44))))</f>
        <v>-0.77276448755598603</v>
      </c>
      <c r="E44" s="29">
        <f>IF(COS(C44)&gt;$I$3,$I$3,(IF(COS(C44)&lt;-$I$3,-$I$3,COS(C44))))</f>
        <v>0.63469287594263601</v>
      </c>
      <c r="F44" s="29">
        <f>IF(TAN(C44)&gt;$I$3,$I$3,(IF(TAN(C44)&lt;-$I$3,-$I$3,TAN(C44))))</f>
        <v>-1.2175408246205508</v>
      </c>
      <c r="G44" s="29">
        <f>IF(_xlfn.COT(C44)&gt;$I$3,$I$3,(IF(_xlfn.COT(C44)&lt;-$I$3,-$I$3,_xlfn.COT(C44))))</f>
        <v>-0.82132769577697906</v>
      </c>
      <c r="H44" s="29">
        <f>IF(_xlfn.SEC(C44)&gt;$I$3,$I$3,(IF(_xlfn.SEC(C44)&lt;-$I$3,-$I$3,_xlfn.SEC(C44))))</f>
        <v>1.5755651873590286</v>
      </c>
      <c r="I44" s="34">
        <f>IF(_xlfn.CSC(C44)&gt;$I$3,$I$3,(IF(_xlfn.CSC(C44)&lt;-$I$3,-$I$3,_xlfn.CSC(C44))))</f>
        <v>-1.2940553248800153</v>
      </c>
      <c r="J44" s="51"/>
      <c r="K44" s="1" t="str">
        <f>_xlfn.CONCAT($C43,",",D43)</f>
        <v>5.2,-0.883454655720152</v>
      </c>
      <c r="L44" s="1" t="str">
        <f>_xlfn.CONCAT($C43,",",E43)</f>
        <v>5.2,0.468516671300379</v>
      </c>
      <c r="M44" s="1" t="str">
        <f>_xlfn.CONCAT($C43,",",F43)</f>
        <v>5.2,-1.88564187751976</v>
      </c>
      <c r="N44" s="1" t="str">
        <f t="shared" si="1"/>
        <v>5.2,-0.530323393811836</v>
      </c>
      <c r="O44" s="1" t="str">
        <f t="shared" si="1"/>
        <v>5.2,2.1343957670161</v>
      </c>
      <c r="P44" s="1" t="str">
        <f t="shared" si="1"/>
        <v>5.2,-1.13192000690159</v>
      </c>
    </row>
    <row r="45" spans="2:16" x14ac:dyDescent="0.6">
      <c r="B45" s="30">
        <v>29</v>
      </c>
      <c r="C45" s="29">
        <f>C44+$I$2</f>
        <v>5.6000000000000023</v>
      </c>
      <c r="D45" s="29">
        <f>IF(SIN(C45)&gt;$I$3,$I$3,(IF(SIN(C45)&lt;-$I$3,-$I$3,SIN(C45))))</f>
        <v>-0.63126663787231951</v>
      </c>
      <c r="E45" s="29">
        <f>IF(COS(C45)&gt;$I$3,$I$3,(IF(COS(C45)&lt;-$I$3,-$I$3,COS(C45))))</f>
        <v>0.77556587851025127</v>
      </c>
      <c r="F45" s="29">
        <f>IF(TAN(C45)&gt;$I$3,$I$3,(IF(TAN(C45)&lt;-$I$3,-$I$3,TAN(C45))))</f>
        <v>-0.81394328368969826</v>
      </c>
      <c r="G45" s="29">
        <f>IF(_xlfn.COT(C45)&gt;$I$3,$I$3,(IF(_xlfn.COT(C45)&lt;-$I$3,-$I$3,_xlfn.COT(C45))))</f>
        <v>-1.2285868315871904</v>
      </c>
      <c r="H45" s="29">
        <f>IF(_xlfn.SEC(C45)&gt;$I$3,$I$3,(IF(_xlfn.SEC(C45)&lt;-$I$3,-$I$3,_xlfn.SEC(C45))))</f>
        <v>1.2893811186238027</v>
      </c>
      <c r="I45" s="34">
        <f>IF(_xlfn.CSC(C45)&gt;$I$3,$I$3,(IF(_xlfn.CSC(C45)&lt;-$I$3,-$I$3,_xlfn.CSC(C45))))</f>
        <v>-1.584116663238365</v>
      </c>
      <c r="J45" s="51"/>
      <c r="K45" s="1" t="str">
        <f>_xlfn.CONCAT($C44,",",D44)</f>
        <v>5.4,-0.772764487555986</v>
      </c>
      <c r="L45" s="1" t="str">
        <f>_xlfn.CONCAT($C44,",",E44)</f>
        <v>5.4,0.634692875942636</v>
      </c>
      <c r="M45" s="1" t="str">
        <f>_xlfn.CONCAT($C44,",",F44)</f>
        <v>5.4,-1.21754082462055</v>
      </c>
      <c r="N45" s="1" t="str">
        <f t="shared" si="1"/>
        <v>5.4,-0.821327695776979</v>
      </c>
      <c r="O45" s="1" t="str">
        <f t="shared" si="1"/>
        <v>5.4,1.57556518735903</v>
      </c>
      <c r="P45" s="1" t="str">
        <f t="shared" si="1"/>
        <v>5.4,-1.29405532488002</v>
      </c>
    </row>
    <row r="46" spans="2:16" x14ac:dyDescent="0.6">
      <c r="B46" s="30">
        <v>30</v>
      </c>
      <c r="C46" s="29">
        <f>C45+$I$2</f>
        <v>5.8000000000000025</v>
      </c>
      <c r="D46" s="29">
        <f>IF(SIN(C46)&gt;$I$3,$I$3,(IF(SIN(C46)&lt;-$I$3,-$I$3,SIN(C46))))</f>
        <v>-0.46460217941375503</v>
      </c>
      <c r="E46" s="29">
        <f>IF(COS(C46)&gt;$I$3,$I$3,(IF(COS(C46)&lt;-$I$3,-$I$3,COS(C46))))</f>
        <v>0.88551951694132014</v>
      </c>
      <c r="F46" s="29">
        <f>IF(TAN(C46)&gt;$I$3,$I$3,(IF(TAN(C46)&lt;-$I$3,-$I$3,TAN(C46))))</f>
        <v>-0.5246662219467968</v>
      </c>
      <c r="G46" s="29">
        <f>IF(_xlfn.COT(C46)&gt;$I$3,$I$3,(IF(_xlfn.COT(C46)&lt;-$I$3,-$I$3,_xlfn.COT(C46))))</f>
        <v>-1.905973661291662</v>
      </c>
      <c r="H46" s="29">
        <f>IF(_xlfn.SEC(C46)&gt;$I$3,$I$3,(IF(_xlfn.SEC(C46)&lt;-$I$3,-$I$3,_xlfn.SEC(C46))))</f>
        <v>1.1292805871225828</v>
      </c>
      <c r="I46" s="34">
        <f>IF(_xlfn.CSC(C46)&gt;$I$3,$I$3,(IF(_xlfn.CSC(C46)&lt;-$I$3,-$I$3,_xlfn.CSC(C46))))</f>
        <v>-2.1523790552636264</v>
      </c>
      <c r="J46" s="51"/>
      <c r="K46" s="1" t="str">
        <f>_xlfn.CONCAT($C45,",",D45)</f>
        <v>5.6,-0.63126663787232</v>
      </c>
      <c r="L46" s="1" t="str">
        <f>_xlfn.CONCAT($C45,",",E45)</f>
        <v>5.6,0.775565878510251</v>
      </c>
      <c r="M46" s="1" t="str">
        <f>_xlfn.CONCAT($C45,",",F45)</f>
        <v>5.6,-0.813943283689698</v>
      </c>
      <c r="N46" s="1" t="str">
        <f t="shared" si="1"/>
        <v>5.6,-1.22858683158719</v>
      </c>
      <c r="O46" s="1" t="str">
        <f t="shared" si="1"/>
        <v>5.6,1.2893811186238</v>
      </c>
      <c r="P46" s="1" t="str">
        <f t="shared" si="1"/>
        <v>5.6,-1.58411666323836</v>
      </c>
    </row>
    <row r="47" spans="2:16" x14ac:dyDescent="0.6">
      <c r="B47" s="30">
        <v>31</v>
      </c>
      <c r="C47" s="29">
        <f>C46+$I$2</f>
        <v>6.0000000000000027</v>
      </c>
      <c r="D47" s="29">
        <f>IF(SIN(C47)&gt;$I$3,$I$3,(IF(SIN(C47)&lt;-$I$3,-$I$3,SIN(C47))))</f>
        <v>-0.27941549819892331</v>
      </c>
      <c r="E47" s="29">
        <f>IF(COS(C47)&gt;$I$3,$I$3,(IF(COS(C47)&lt;-$I$3,-$I$3,COS(C47))))</f>
        <v>0.96017028665036674</v>
      </c>
      <c r="F47" s="29">
        <f>IF(TAN(C47)&gt;$I$3,$I$3,(IF(TAN(C47)&lt;-$I$3,-$I$3,TAN(C47))))</f>
        <v>-0.29100619138474626</v>
      </c>
      <c r="G47" s="29">
        <f>IF(_xlfn.COT(C47)&gt;$I$3,$I$3,(IF(_xlfn.COT(C47)&lt;-$I$3,-$I$3,_xlfn.COT(C47))))</f>
        <v>-3.436353004180162</v>
      </c>
      <c r="H47" s="29">
        <f>IF(_xlfn.SEC(C47)&gt;$I$3,$I$3,(IF(_xlfn.SEC(C47)&lt;-$I$3,-$I$3,_xlfn.SEC(C47))))</f>
        <v>1.041481926595107</v>
      </c>
      <c r="I47" s="34">
        <f>IF(_xlfn.CSC(C47)&gt;$I$3,$I$3,(IF(_xlfn.CSC(C47)&lt;-$I$3,-$I$3,_xlfn.CSC(C47))))</f>
        <v>-3.5788995472544385</v>
      </c>
      <c r="J47" s="51"/>
      <c r="K47" s="1" t="str">
        <f>_xlfn.CONCAT($C46,",",D46)</f>
        <v>5.8,-0.464602179413755</v>
      </c>
      <c r="L47" s="1" t="str">
        <f>_xlfn.CONCAT($C46,",",E46)</f>
        <v>5.8,0.88551951694132</v>
      </c>
      <c r="M47" s="1" t="str">
        <f>_xlfn.CONCAT($C46,",",F46)</f>
        <v>5.8,-0.524666221946797</v>
      </c>
      <c r="N47" s="1" t="str">
        <f t="shared" si="1"/>
        <v>5.8,-1.90597366129166</v>
      </c>
      <c r="O47" s="1" t="str">
        <f t="shared" si="1"/>
        <v>5.8,1.12928058712258</v>
      </c>
      <c r="P47" s="1" t="str">
        <f t="shared" si="1"/>
        <v>5.8,-2.15237905526363</v>
      </c>
    </row>
    <row r="48" spans="2:16" x14ac:dyDescent="0.6">
      <c r="B48" s="30">
        <v>32</v>
      </c>
      <c r="C48" s="29">
        <f>C47+$I$2</f>
        <v>6.2000000000000028</v>
      </c>
      <c r="D48" s="29">
        <f>IF(SIN(C48)&gt;$I$3,$I$3,(IF(SIN(C48)&lt;-$I$3,-$I$3,SIN(C48))))</f>
        <v>-8.3089402817493746E-2</v>
      </c>
      <c r="E48" s="29">
        <f>IF(COS(C48)&gt;$I$3,$I$3,(IF(COS(C48)&lt;-$I$3,-$I$3,COS(C48))))</f>
        <v>0.99654209702321772</v>
      </c>
      <c r="F48" s="29">
        <f>IF(TAN(C48)&gt;$I$3,$I$3,(IF(TAN(C48)&lt;-$I$3,-$I$3,TAN(C48))))</f>
        <v>-8.3377714865925934E-2</v>
      </c>
      <c r="G48" s="29">
        <f>IF(_xlfn.COT(C48)&gt;$I$3,$I$3,(IF(_xlfn.COT(C48)&lt;-$I$3,-$I$3,_xlfn.COT(C48))))</f>
        <v>-10</v>
      </c>
      <c r="H48" s="29">
        <f>IF(_xlfn.SEC(C48)&gt;$I$3,$I$3,(IF(_xlfn.SEC(C48)&lt;-$I$3,-$I$3,_xlfn.SEC(C48))))</f>
        <v>1.0034699015597148</v>
      </c>
      <c r="I48" s="34">
        <f>IF(_xlfn.CSC(C48)&gt;$I$3,$I$3,(IF(_xlfn.CSC(C48)&lt;-$I$3,-$I$3,_xlfn.CSC(C48))))</f>
        <v>-10</v>
      </c>
      <c r="J48" s="51"/>
      <c r="K48" s="1" t="str">
        <f>_xlfn.CONCAT($C47,",",D47)</f>
        <v>6,-0.279415498198923</v>
      </c>
      <c r="L48" s="1" t="str">
        <f>_xlfn.CONCAT($C47,",",E47)</f>
        <v>6,0.960170286650367</v>
      </c>
      <c r="M48" s="1" t="str">
        <f>_xlfn.CONCAT($C47,",",F47)</f>
        <v>6,-0.291006191384746</v>
      </c>
      <c r="N48" s="1" t="str">
        <f t="shared" si="1"/>
        <v>6,-3.43635300418016</v>
      </c>
      <c r="O48" s="1" t="str">
        <f t="shared" si="1"/>
        <v>6,1.04148192659511</v>
      </c>
      <c r="P48" s="1" t="str">
        <f t="shared" si="1"/>
        <v>6,-3.57889954725444</v>
      </c>
    </row>
    <row r="49" spans="2:16" x14ac:dyDescent="0.6">
      <c r="B49" s="30">
        <v>33</v>
      </c>
      <c r="C49" s="29">
        <f>C48+$I$2</f>
        <v>6.400000000000003</v>
      </c>
      <c r="D49" s="29">
        <f>IF(SIN(C49)&gt;$I$3,$I$3,(IF(SIN(C49)&lt;-$I$3,-$I$3,SIN(C49))))</f>
        <v>0.11654920485049629</v>
      </c>
      <c r="E49" s="29">
        <f>IF(COS(C49)&gt;$I$3,$I$3,(IF(COS(C49)&lt;-$I$3,-$I$3,COS(C49))))</f>
        <v>0.99318491875819226</v>
      </c>
      <c r="F49" s="29">
        <f>IF(TAN(C49)&gt;$I$3,$I$3,(IF(TAN(C49)&lt;-$I$3,-$I$3,TAN(C49))))</f>
        <v>0.11734894746108419</v>
      </c>
      <c r="G49" s="29">
        <f>IF(_xlfn.COT(C49)&gt;$I$3,$I$3,(IF(_xlfn.COT(C49)&lt;-$I$3,-$I$3,_xlfn.COT(C49))))</f>
        <v>8.5215932621093575</v>
      </c>
      <c r="H49" s="29">
        <f>IF(_xlfn.SEC(C49)&gt;$I$3,$I$3,(IF(_xlfn.SEC(C49)&lt;-$I$3,-$I$3,_xlfn.SEC(C49))))</f>
        <v>1.0068618452748244</v>
      </c>
      <c r="I49" s="34">
        <f>IF(_xlfn.CSC(C49)&gt;$I$3,$I$3,(IF(_xlfn.CSC(C49)&lt;-$I$3,-$I$3,_xlfn.CSC(C49))))</f>
        <v>8.5800671165689373</v>
      </c>
      <c r="J49" s="51"/>
      <c r="K49" s="1" t="str">
        <f>_xlfn.CONCAT($C48,",",D48)</f>
        <v>6.2,-0.0830894028174937</v>
      </c>
      <c r="L49" s="1" t="str">
        <f>_xlfn.CONCAT($C48,",",E48)</f>
        <v>6.2,0.996542097023218</v>
      </c>
      <c r="M49" s="1" t="str">
        <f>_xlfn.CONCAT($C48,",",F48)</f>
        <v>6.2,-0.0833777148659259</v>
      </c>
      <c r="N49" s="1" t="str">
        <f t="shared" si="1"/>
        <v>6.2,-10</v>
      </c>
      <c r="O49" s="1" t="str">
        <f t="shared" si="1"/>
        <v>6.2,1.00346990155971</v>
      </c>
      <c r="P49" s="1" t="str">
        <f t="shared" si="1"/>
        <v>6.2,-10</v>
      </c>
    </row>
    <row r="50" spans="2:16" x14ac:dyDescent="0.6">
      <c r="B50" s="30">
        <v>34</v>
      </c>
      <c r="C50" s="29">
        <f>C49+$I$2</f>
        <v>6.6000000000000032</v>
      </c>
      <c r="D50" s="29">
        <f>IF(SIN(C50)&gt;$I$3,$I$3,(IF(SIN(C50)&lt;-$I$3,-$I$3,SIN(C50))))</f>
        <v>0.31154136351338119</v>
      </c>
      <c r="E50" s="29">
        <f>IF(COS(C50)&gt;$I$3,$I$3,(IF(COS(C50)&lt;-$I$3,-$I$3,COS(C50))))</f>
        <v>0.95023259195852849</v>
      </c>
      <c r="F50" s="29">
        <f>IF(TAN(C50)&gt;$I$3,$I$3,(IF(TAN(C50)&lt;-$I$3,-$I$3,TAN(C50))))</f>
        <v>0.32785800671313742</v>
      </c>
      <c r="G50" s="29">
        <f>IF(_xlfn.COT(C50)&gt;$I$3,$I$3,(IF(_xlfn.COT(C50)&lt;-$I$3,-$I$3,_xlfn.COT(C50))))</f>
        <v>3.0501008958886273</v>
      </c>
      <c r="H50" s="29">
        <f>IF(_xlfn.SEC(C50)&gt;$I$3,$I$3,(IF(_xlfn.SEC(C50)&lt;-$I$3,-$I$3,_xlfn.SEC(C50))))</f>
        <v>1.0523739224087185</v>
      </c>
      <c r="I50" s="34">
        <f>IF(_xlfn.CSC(C50)&gt;$I$3,$I$3,(IF(_xlfn.CSC(C50)&lt;-$I$3,-$I$3,_xlfn.CSC(C50))))</f>
        <v>3.2098466435486612</v>
      </c>
      <c r="J50" s="51"/>
      <c r="K50" s="1" t="str">
        <f>_xlfn.CONCAT($C49,",",D49)</f>
        <v>6.4,0.116549204850496</v>
      </c>
      <c r="L50" s="1" t="str">
        <f>_xlfn.CONCAT($C49,",",E49)</f>
        <v>6.4,0.993184918758192</v>
      </c>
      <c r="M50" s="1" t="str">
        <f>_xlfn.CONCAT($C49,",",F49)</f>
        <v>6.4,0.117348947461084</v>
      </c>
      <c r="N50" s="1" t="str">
        <f t="shared" si="1"/>
        <v>6.4,8.52159326210936</v>
      </c>
      <c r="O50" s="1" t="str">
        <f t="shared" si="1"/>
        <v>6.4,1.00686184527482</v>
      </c>
      <c r="P50" s="1" t="str">
        <f t="shared" si="1"/>
        <v>6.4,8.58006711656894</v>
      </c>
    </row>
    <row r="51" spans="2:16" x14ac:dyDescent="0.6">
      <c r="B51" s="30">
        <v>35</v>
      </c>
      <c r="C51" s="29">
        <f>C50+$I$2</f>
        <v>6.8000000000000034</v>
      </c>
      <c r="D51" s="29">
        <f>IF(SIN(C51)&gt;$I$3,$I$3,(IF(SIN(C51)&lt;-$I$3,-$I$3,SIN(C51))))</f>
        <v>0.49411335113861127</v>
      </c>
      <c r="E51" s="29">
        <f>IF(COS(C51)&gt;$I$3,$I$3,(IF(COS(C51)&lt;-$I$3,-$I$3,COS(C51))))</f>
        <v>0.8693974903498235</v>
      </c>
      <c r="F51" s="29">
        <f>IF(TAN(C51)&gt;$I$3,$I$3,(IF(TAN(C51)&lt;-$I$3,-$I$3,TAN(C51))))</f>
        <v>0.56833997869006103</v>
      </c>
      <c r="G51" s="29">
        <f>IF(_xlfn.COT(C51)&gt;$I$3,$I$3,(IF(_xlfn.COT(C51)&lt;-$I$3,-$I$3,_xlfn.COT(C51))))</f>
        <v>1.7595102183465097</v>
      </c>
      <c r="H51" s="29">
        <f>IF(_xlfn.SEC(C51)&gt;$I$3,$I$3,(IF(_xlfn.SEC(C51)&lt;-$I$3,-$I$3,_xlfn.SEC(C51))))</f>
        <v>1.1502218618064164</v>
      </c>
      <c r="I51" s="34">
        <f>IF(_xlfn.CSC(C51)&gt;$I$3,$I$3,(IF(_xlfn.CSC(C51)&lt;-$I$3,-$I$3,_xlfn.CSC(C51))))</f>
        <v>2.0238271192139368</v>
      </c>
      <c r="J51" s="51"/>
      <c r="K51" s="1" t="str">
        <f>_xlfn.CONCAT($C50,",",D50)</f>
        <v>6.6,0.311541363513381</v>
      </c>
      <c r="L51" s="1" t="str">
        <f>_xlfn.CONCAT($C50,",",E50)</f>
        <v>6.6,0.950232591958528</v>
      </c>
      <c r="M51" s="1" t="str">
        <f>_xlfn.CONCAT($C50,",",F50)</f>
        <v>6.6,0.327858006713137</v>
      </c>
      <c r="N51" s="1" t="str">
        <f t="shared" si="1"/>
        <v>6.6,3.05010089588863</v>
      </c>
      <c r="O51" s="1" t="str">
        <f t="shared" si="1"/>
        <v>6.6,1.05237392240872</v>
      </c>
      <c r="P51" s="1" t="str">
        <f t="shared" si="1"/>
        <v>6.6,3.20984664354866</v>
      </c>
    </row>
    <row r="52" spans="2:16" x14ac:dyDescent="0.6">
      <c r="B52" s="30">
        <v>36</v>
      </c>
      <c r="C52" s="29">
        <f>C51+$I$2</f>
        <v>7.0000000000000036</v>
      </c>
      <c r="D52" s="29">
        <f>IF(SIN(C52)&gt;$I$3,$I$3,(IF(SIN(C52)&lt;-$I$3,-$I$3,SIN(C52))))</f>
        <v>0.65698659871879173</v>
      </c>
      <c r="E52" s="29">
        <f>IF(COS(C52)&gt;$I$3,$I$3,(IF(COS(C52)&lt;-$I$3,-$I$3,COS(C52))))</f>
        <v>0.75390225434330227</v>
      </c>
      <c r="F52" s="29">
        <f>IF(TAN(C52)&gt;$I$3,$I$3,(IF(TAN(C52)&lt;-$I$3,-$I$3,TAN(C52))))</f>
        <v>0.871447982724325</v>
      </c>
      <c r="G52" s="29">
        <f>IF(_xlfn.COT(C52)&gt;$I$3,$I$3,(IF(_xlfn.COT(C52)&lt;-$I$3,-$I$3,_xlfn.COT(C52))))</f>
        <v>1.1475154224051274</v>
      </c>
      <c r="H52" s="29">
        <f>IF(_xlfn.SEC(C52)&gt;$I$3,$I$3,(IF(_xlfn.SEC(C52)&lt;-$I$3,-$I$3,_xlfn.SEC(C52))))</f>
        <v>1.3264319004737091</v>
      </c>
      <c r="I52" s="34">
        <f>IF(_xlfn.CSC(C52)&gt;$I$3,$I$3,(IF(_xlfn.CSC(C52)&lt;-$I$3,-$I$3,_xlfn.CSC(C52))))</f>
        <v>1.5221010625637243</v>
      </c>
      <c r="J52" s="51"/>
      <c r="K52" s="1" t="str">
        <f>_xlfn.CONCAT($C51,",",D51)</f>
        <v>6.8,0.494113351138611</v>
      </c>
      <c r="L52" s="1" t="str">
        <f>_xlfn.CONCAT($C51,",",E51)</f>
        <v>6.8,0.869397490349823</v>
      </c>
      <c r="M52" s="1" t="str">
        <f>_xlfn.CONCAT($C51,",",F51)</f>
        <v>6.8,0.568339978690061</v>
      </c>
      <c r="N52" s="1" t="str">
        <f t="shared" si="1"/>
        <v>6.8,1.75951021834651</v>
      </c>
      <c r="O52" s="1" t="str">
        <f t="shared" si="1"/>
        <v>6.8,1.15022186180642</v>
      </c>
      <c r="P52" s="1" t="str">
        <f t="shared" si="1"/>
        <v>6.8,2.02382711921394</v>
      </c>
    </row>
    <row r="53" spans="2:16" x14ac:dyDescent="0.6">
      <c r="B53" s="30">
        <v>37</v>
      </c>
      <c r="C53" s="29">
        <f>C52+$I$2</f>
        <v>7.2000000000000037</v>
      </c>
      <c r="D53" s="29">
        <f>IF(SIN(C53)&gt;$I$3,$I$3,(IF(SIN(C53)&lt;-$I$3,-$I$3,SIN(C53))))</f>
        <v>0.79366786384915533</v>
      </c>
      <c r="E53" s="29">
        <f>IF(COS(C53)&gt;$I$3,$I$3,(IF(COS(C53)&lt;-$I$3,-$I$3,COS(C53))))</f>
        <v>0.60835131453225166</v>
      </c>
      <c r="F53" s="29">
        <f>IF(TAN(C53)&gt;$I$3,$I$3,(IF(TAN(C53)&lt;-$I$3,-$I$3,TAN(C53))))</f>
        <v>1.3046209400556479</v>
      </c>
      <c r="G53" s="29">
        <f>IF(_xlfn.COT(C53)&gt;$I$3,$I$3,(IF(_xlfn.COT(C53)&lt;-$I$3,-$I$3,_xlfn.COT(C53))))</f>
        <v>0.76650616995105536</v>
      </c>
      <c r="H53" s="29">
        <f>IF(_xlfn.SEC(C53)&gt;$I$3,$I$3,(IF(_xlfn.SEC(C53)&lt;-$I$3,-$I$3,_xlfn.SEC(C53))))</f>
        <v>1.6437870291590948</v>
      </c>
      <c r="I53" s="34">
        <f>IF(_xlfn.CSC(C53)&gt;$I$3,$I$3,(IF(_xlfn.CSC(C53)&lt;-$I$3,-$I$3,_xlfn.CSC(C53))))</f>
        <v>1.2599728999359614</v>
      </c>
      <c r="J53" s="51"/>
      <c r="K53" s="1" t="str">
        <f>_xlfn.CONCAT($C52,",",D52)</f>
        <v>7,0.656986598718792</v>
      </c>
      <c r="L53" s="1" t="str">
        <f>_xlfn.CONCAT($C52,",",E52)</f>
        <v>7,0.753902254343302</v>
      </c>
      <c r="M53" s="1" t="str">
        <f>_xlfn.CONCAT($C52,",",F52)</f>
        <v>7,0.871447982724325</v>
      </c>
      <c r="N53" s="1" t="str">
        <f t="shared" si="1"/>
        <v>7,1.14751542240513</v>
      </c>
      <c r="O53" s="1" t="str">
        <f t="shared" si="1"/>
        <v>7,1.32643190047371</v>
      </c>
      <c r="P53" s="1" t="str">
        <f t="shared" si="1"/>
        <v>7,1.52210106256372</v>
      </c>
    </row>
    <row r="54" spans="2:16" x14ac:dyDescent="0.6">
      <c r="B54" s="30">
        <v>38</v>
      </c>
      <c r="C54" s="29">
        <f>C53+$I$2</f>
        <v>7.4000000000000039</v>
      </c>
      <c r="D54" s="29">
        <f>IF(SIN(C54)&gt;$I$3,$I$3,(IF(SIN(C54)&lt;-$I$3,-$I$3,SIN(C54))))</f>
        <v>0.89870809581162847</v>
      </c>
      <c r="E54" s="29">
        <f>IF(COS(C54)&gt;$I$3,$I$3,(IF(COS(C54)&lt;-$I$3,-$I$3,COS(C54))))</f>
        <v>0.43854732757438714</v>
      </c>
      <c r="F54" s="29">
        <f>IF(TAN(C54)&gt;$I$3,$I$3,(IF(TAN(C54)&lt;-$I$3,-$I$3,TAN(C54))))</f>
        <v>2.0492841691281041</v>
      </c>
      <c r="G54" s="29">
        <f>IF(_xlfn.COT(C54)&gt;$I$3,$I$3,(IF(_xlfn.COT(C54)&lt;-$I$3,-$I$3,_xlfn.COT(C54))))</f>
        <v>0.48797527208023261</v>
      </c>
      <c r="H54" s="29">
        <f>IF(_xlfn.SEC(C54)&gt;$I$3,$I$3,(IF(_xlfn.SEC(C54)&lt;-$I$3,-$I$3,_xlfn.SEC(C54))))</f>
        <v>2.2802556009884207</v>
      </c>
      <c r="I54" s="34">
        <f>IF(_xlfn.CSC(C54)&gt;$I$3,$I$3,(IF(_xlfn.CSC(C54)&lt;-$I$3,-$I$3,_xlfn.CSC(C54))))</f>
        <v>1.112708347304799</v>
      </c>
      <c r="J54" s="51"/>
      <c r="K54" s="1" t="str">
        <f>_xlfn.CONCAT($C53,",",D53)</f>
        <v>7.2,0.793667863849155</v>
      </c>
      <c r="L54" s="1" t="str">
        <f>_xlfn.CONCAT($C53,",",E53)</f>
        <v>7.2,0.608351314532252</v>
      </c>
      <c r="M54" s="1" t="str">
        <f>_xlfn.CONCAT($C53,",",F53)</f>
        <v>7.2,1.30462094005565</v>
      </c>
      <c r="N54" s="1" t="str">
        <f t="shared" si="1"/>
        <v>7.2,0.766506169951055</v>
      </c>
      <c r="O54" s="1" t="str">
        <f t="shared" si="1"/>
        <v>7.2,1.64378702915909</v>
      </c>
      <c r="P54" s="1" t="str">
        <f t="shared" si="1"/>
        <v>7.2,1.25997289993596</v>
      </c>
    </row>
    <row r="55" spans="2:16" x14ac:dyDescent="0.6">
      <c r="B55" s="30">
        <v>39</v>
      </c>
      <c r="C55" s="29">
        <f>C54+$I$2</f>
        <v>7.6000000000000041</v>
      </c>
      <c r="D55" s="29">
        <f>IF(SIN(C55)&gt;$I$3,$I$3,(IF(SIN(C55)&lt;-$I$3,-$I$3,SIN(C55))))</f>
        <v>0.96791967203148743</v>
      </c>
      <c r="E55" s="29">
        <f>IF(COS(C55)&gt;$I$3,$I$3,(IF(COS(C55)&lt;-$I$3,-$I$3,COS(C55))))</f>
        <v>0.25125984258225142</v>
      </c>
      <c r="F55" s="29">
        <f>IF(TAN(C55)&gt;$I$3,$I$3,(IF(TAN(C55)&lt;-$I$3,-$I$3,TAN(C55))))</f>
        <v>3.8522656946847094</v>
      </c>
      <c r="G55" s="29">
        <f>IF(_xlfn.COT(C55)&gt;$I$3,$I$3,(IF(_xlfn.COT(C55)&lt;-$I$3,-$I$3,_xlfn.COT(C55))))</f>
        <v>0.25958749454373903</v>
      </c>
      <c r="H55" s="29">
        <f>IF(_xlfn.SEC(C55)&gt;$I$3,$I$3,(IF(_xlfn.SEC(C55)&lt;-$I$3,-$I$3,_xlfn.SEC(C55))))</f>
        <v>3.9799435903596252</v>
      </c>
      <c r="I55" s="34">
        <f>IF(_xlfn.CSC(C55)&gt;$I$3,$I$3,(IF(_xlfn.CSC(C55)&lt;-$I$3,-$I$3,_xlfn.CSC(C55))))</f>
        <v>1.0331435850468684</v>
      </c>
      <c r="J55" s="51"/>
      <c r="K55" s="1" t="str">
        <f>_xlfn.CONCAT($C54,",",D54)</f>
        <v>7.4,0.898708095811628</v>
      </c>
      <c r="L55" s="1" t="str">
        <f>_xlfn.CONCAT($C54,",",E54)</f>
        <v>7.4,0.438547327574387</v>
      </c>
      <c r="M55" s="1" t="str">
        <f>_xlfn.CONCAT($C54,",",F54)</f>
        <v>7.4,2.0492841691281</v>
      </c>
      <c r="N55" s="1" t="str">
        <f t="shared" si="1"/>
        <v>7.4,0.487975272080233</v>
      </c>
      <c r="O55" s="1" t="str">
        <f t="shared" si="1"/>
        <v>7.4,2.28025560098842</v>
      </c>
      <c r="P55" s="1" t="str">
        <f t="shared" si="1"/>
        <v>7.4,1.1127083473048</v>
      </c>
    </row>
    <row r="56" spans="2:16" x14ac:dyDescent="0.6">
      <c r="B56" s="30">
        <v>40</v>
      </c>
      <c r="C56" s="29">
        <f>C55+$I$2</f>
        <v>7.8000000000000043</v>
      </c>
      <c r="D56" s="29">
        <f>IF(SIN(C56)&gt;$I$3,$I$3,(IF(SIN(C56)&lt;-$I$3,-$I$3,SIN(C56))))</f>
        <v>0.99854334537460521</v>
      </c>
      <c r="E56" s="29">
        <f>IF(COS(C56)&gt;$I$3,$I$3,(IF(COS(C56)&lt;-$I$3,-$I$3,COS(C56))))</f>
        <v>5.3955420562645316E-2</v>
      </c>
      <c r="F56" s="29">
        <f>IF(TAN(C56)&gt;$I$3,$I$3,(IF(TAN(C56)&lt;-$I$3,-$I$3,TAN(C56))))</f>
        <v>10</v>
      </c>
      <c r="G56" s="29">
        <f>IF(_xlfn.COT(C56)&gt;$I$3,$I$3,(IF(_xlfn.COT(C56)&lt;-$I$3,-$I$3,_xlfn.COT(C56))))</f>
        <v>5.4034129627496395E-2</v>
      </c>
      <c r="H56" s="29">
        <f>IF(_xlfn.SEC(C56)&gt;$I$3,$I$3,(IF(_xlfn.SEC(C56)&lt;-$I$3,-$I$3,_xlfn.SEC(C56))))</f>
        <v>10</v>
      </c>
      <c r="I56" s="34">
        <f>IF(_xlfn.CSC(C56)&gt;$I$3,$I$3,(IF(_xlfn.CSC(C56)&lt;-$I$3,-$I$3,_xlfn.CSC(C56))))</f>
        <v>1.0014587795633931</v>
      </c>
      <c r="J56" s="51"/>
      <c r="K56" s="1" t="str">
        <f>_xlfn.CONCAT($C55,",",D55)</f>
        <v>7.6,0.967919672031487</v>
      </c>
      <c r="L56" s="1" t="str">
        <f>_xlfn.CONCAT($C55,",",E55)</f>
        <v>7.6,0.251259842582251</v>
      </c>
      <c r="M56" s="1" t="str">
        <f>_xlfn.CONCAT($C55,",",F55)</f>
        <v>7.6,3.85226569468471</v>
      </c>
      <c r="N56" s="1" t="str">
        <f t="shared" si="1"/>
        <v>7.6,0.259587494543739</v>
      </c>
      <c r="O56" s="1" t="str">
        <f t="shared" si="1"/>
        <v>7.6,3.97994359035963</v>
      </c>
      <c r="P56" s="1" t="str">
        <f t="shared" si="1"/>
        <v>7.6,1.03314358504687</v>
      </c>
    </row>
    <row r="57" spans="2:16" x14ac:dyDescent="0.6">
      <c r="B57" s="30">
        <v>41</v>
      </c>
      <c r="C57" s="29">
        <f>C56+$I$2</f>
        <v>8.0000000000000036</v>
      </c>
      <c r="D57" s="29">
        <f>IF(SIN(C57)&gt;$I$3,$I$3,(IF(SIN(C57)&lt;-$I$3,-$I$3,SIN(C57))))</f>
        <v>0.98935824662338123</v>
      </c>
      <c r="E57" s="29">
        <f>IF(COS(C57)&gt;$I$3,$I$3,(IF(COS(C57)&lt;-$I$3,-$I$3,COS(C57))))</f>
        <v>-0.14550003380861704</v>
      </c>
      <c r="F57" s="29">
        <f>IF(TAN(C57)&gt;$I$3,$I$3,(IF(TAN(C57)&lt;-$I$3,-$I$3,TAN(C57))))</f>
        <v>-6.7997114552202111</v>
      </c>
      <c r="G57" s="29">
        <f>IF(_xlfn.COT(C57)&gt;$I$3,$I$3,(IF(_xlfn.COT(C57)&lt;-$I$3,-$I$3,_xlfn.COT(C57))))</f>
        <v>-0.1470650639494841</v>
      </c>
      <c r="H57" s="29">
        <f>IF(_xlfn.SEC(C57)&gt;$I$3,$I$3,(IF(_xlfn.SEC(C57)&lt;-$I$3,-$I$3,_xlfn.SEC(C57))))</f>
        <v>-6.8728506366902051</v>
      </c>
      <c r="I57" s="34">
        <f>IF(_xlfn.CSC(C57)&gt;$I$3,$I$3,(IF(_xlfn.CSC(C57)&lt;-$I$3,-$I$3,_xlfn.CSC(C57))))</f>
        <v>1.0107562184000976</v>
      </c>
      <c r="J57" s="51"/>
      <c r="K57" s="1" t="str">
        <f>_xlfn.CONCAT($C56,",",D56)</f>
        <v>7.8,0.998543345374605</v>
      </c>
      <c r="L57" s="1" t="str">
        <f>_xlfn.CONCAT($C56,",",E56)</f>
        <v>7.8,0.0539554205626453</v>
      </c>
      <c r="M57" s="1" t="str">
        <f>_xlfn.CONCAT($C56,",",F56)</f>
        <v>7.8,10</v>
      </c>
      <c r="N57" s="1" t="str">
        <f t="shared" si="1"/>
        <v>7.8,0.0540341296274964</v>
      </c>
      <c r="O57" s="1" t="str">
        <f t="shared" si="1"/>
        <v>7.8,10</v>
      </c>
      <c r="P57" s="1" t="str">
        <f t="shared" si="1"/>
        <v>7.8,1.00145877956339</v>
      </c>
    </row>
    <row r="58" spans="2:16" x14ac:dyDescent="0.6">
      <c r="B58" s="30">
        <v>42</v>
      </c>
      <c r="C58" s="29">
        <f>C57+$I$2</f>
        <v>8.2000000000000028</v>
      </c>
      <c r="D58" s="29">
        <f>IF(SIN(C58)&gt;$I$3,$I$3,(IF(SIN(C58)&lt;-$I$3,-$I$3,SIN(C58))))</f>
        <v>0.9407305566797719</v>
      </c>
      <c r="E58" s="29">
        <f>IF(COS(C58)&gt;$I$3,$I$3,(IF(COS(C58)&lt;-$I$3,-$I$3,COS(C58))))</f>
        <v>-0.3391548609838379</v>
      </c>
      <c r="F58" s="29">
        <f>IF(TAN(C58)&gt;$I$3,$I$3,(IF(TAN(C58)&lt;-$I$3,-$I$3,TAN(C58))))</f>
        <v>-2.7737492953833902</v>
      </c>
      <c r="G58" s="29">
        <f>IF(_xlfn.COT(C58)&gt;$I$3,$I$3,(IF(_xlfn.COT(C58)&lt;-$I$3,-$I$3,_xlfn.COT(C58))))</f>
        <v>-0.36052284958283481</v>
      </c>
      <c r="H58" s="29">
        <f>IF(_xlfn.SEC(C58)&gt;$I$3,$I$3,(IF(_xlfn.SEC(C58)&lt;-$I$3,-$I$3,_xlfn.SEC(C58))))</f>
        <v>-2.9485055797199795</v>
      </c>
      <c r="I58" s="34">
        <f>IF(_xlfn.CSC(C58)&gt;$I$3,$I$3,(IF(_xlfn.CSC(C58)&lt;-$I$3,-$I$3,_xlfn.CSC(C58))))</f>
        <v>1.0630036336115354</v>
      </c>
      <c r="J58" s="51"/>
      <c r="K58" s="1" t="str">
        <f>_xlfn.CONCAT($C57,",",D57)</f>
        <v>8,0.989358246623381</v>
      </c>
      <c r="L58" s="1" t="str">
        <f>_xlfn.CONCAT($C57,",",E57)</f>
        <v>8,-0.145500033808617</v>
      </c>
      <c r="M58" s="1" t="str">
        <f>_xlfn.CONCAT($C57,",",F57)</f>
        <v>8,-6.79971145522021</v>
      </c>
      <c r="N58" s="1" t="str">
        <f t="shared" si="1"/>
        <v>8,-0.147065063949484</v>
      </c>
      <c r="O58" s="1" t="str">
        <f t="shared" si="1"/>
        <v>8,-6.87285063669021</v>
      </c>
      <c r="P58" s="1" t="str">
        <f t="shared" si="1"/>
        <v>8,1.0107562184001</v>
      </c>
    </row>
    <row r="59" spans="2:16" x14ac:dyDescent="0.6">
      <c r="B59" s="30">
        <v>43</v>
      </c>
      <c r="C59" s="29">
        <f>C58+$I$2</f>
        <v>8.4000000000000021</v>
      </c>
      <c r="D59" s="29">
        <f>IF(SIN(C59)&gt;$I$3,$I$3,(IF(SIN(C59)&lt;-$I$3,-$I$3,SIN(C59))))</f>
        <v>0.85459890808827954</v>
      </c>
      <c r="E59" s="29">
        <f>IF(COS(C59)&gt;$I$3,$I$3,(IF(COS(C59)&lt;-$I$3,-$I$3,COS(C59))))</f>
        <v>-0.51928865411668712</v>
      </c>
      <c r="F59" s="29">
        <f>IF(TAN(C59)&gt;$I$3,$I$3,(IF(TAN(C59)&lt;-$I$3,-$I$3,TAN(C59))))</f>
        <v>-1.6457107262278954</v>
      </c>
      <c r="G59" s="29">
        <f>IF(_xlfn.COT(C59)&gt;$I$3,$I$3,(IF(_xlfn.COT(C59)&lt;-$I$3,-$I$3,_xlfn.COT(C59))))</f>
        <v>-0.60764020314316258</v>
      </c>
      <c r="H59" s="29">
        <f>IF(_xlfn.SEC(C59)&gt;$I$3,$I$3,(IF(_xlfn.SEC(C59)&lt;-$I$3,-$I$3,_xlfn.SEC(C59))))</f>
        <v>-1.9257112437802162</v>
      </c>
      <c r="I59" s="34">
        <f>IF(_xlfn.CSC(C59)&gt;$I$3,$I$3,(IF(_xlfn.CSC(C59)&lt;-$I$3,-$I$3,_xlfn.CSC(C59))))</f>
        <v>1.1701395713656828</v>
      </c>
      <c r="J59" s="51"/>
      <c r="K59" s="1" t="str">
        <f>_xlfn.CONCAT($C58,",",D58)</f>
        <v>8.2,0.940730556679772</v>
      </c>
      <c r="L59" s="1" t="str">
        <f>_xlfn.CONCAT($C58,",",E58)</f>
        <v>8.2,-0.339154860983838</v>
      </c>
      <c r="M59" s="1" t="str">
        <f>_xlfn.CONCAT($C58,",",F58)</f>
        <v>8.2,-2.77374929538339</v>
      </c>
      <c r="N59" s="1" t="str">
        <f t="shared" si="1"/>
        <v>8.2,-0.360522849582835</v>
      </c>
      <c r="O59" s="1" t="str">
        <f t="shared" si="1"/>
        <v>8.2,-2.94850557971998</v>
      </c>
      <c r="P59" s="1" t="str">
        <f t="shared" si="1"/>
        <v>8.2,1.06300363361154</v>
      </c>
    </row>
    <row r="60" spans="2:16" x14ac:dyDescent="0.6">
      <c r="B60" s="30">
        <v>44</v>
      </c>
      <c r="C60" s="29">
        <f>C59+$I$2</f>
        <v>8.6000000000000014</v>
      </c>
      <c r="D60" s="29">
        <f>IF(SIN(C60)&gt;$I$3,$I$3,(IF(SIN(C60)&lt;-$I$3,-$I$3,SIN(C60))))</f>
        <v>0.73439709787411223</v>
      </c>
      <c r="E60" s="29">
        <f>IF(COS(C60)&gt;$I$3,$I$3,(IF(COS(C60)&lt;-$I$3,-$I$3,COS(C60))))</f>
        <v>-0.67872004732001379</v>
      </c>
      <c r="F60" s="29">
        <f>IF(TAN(C60)&gt;$I$3,$I$3,(IF(TAN(C60)&lt;-$I$3,-$I$3,TAN(C60))))</f>
        <v>-1.0820324237864258</v>
      </c>
      <c r="G60" s="29">
        <f>IF(_xlfn.COT(C60)&gt;$I$3,$I$3,(IF(_xlfn.COT(C60)&lt;-$I$3,-$I$3,_xlfn.COT(C60))))</f>
        <v>-0.92418672307492922</v>
      </c>
      <c r="H60" s="29">
        <f>IF(_xlfn.SEC(C60)&gt;$I$3,$I$3,(IF(_xlfn.SEC(C60)&lt;-$I$3,-$I$3,_xlfn.SEC(C60))))</f>
        <v>-1.4733615191544562</v>
      </c>
      <c r="I60" s="34">
        <f>IF(_xlfn.CSC(C60)&gt;$I$3,$I$3,(IF(_xlfn.CSC(C60)&lt;-$I$3,-$I$3,_xlfn.CSC(C60))))</f>
        <v>1.3616611542920565</v>
      </c>
      <c r="J60" s="51"/>
      <c r="K60" s="1" t="str">
        <f>_xlfn.CONCAT($C59,",",D59)</f>
        <v>8.4,0.85459890808828</v>
      </c>
      <c r="L60" s="1" t="str">
        <f>_xlfn.CONCAT($C59,",",E59)</f>
        <v>8.4,-0.519288654116687</v>
      </c>
      <c r="M60" s="1" t="str">
        <f>_xlfn.CONCAT($C59,",",F59)</f>
        <v>8.4,-1.6457107262279</v>
      </c>
      <c r="N60" s="1" t="str">
        <f t="shared" si="1"/>
        <v>8.4,-0.607640203143163</v>
      </c>
      <c r="O60" s="1" t="str">
        <f t="shared" si="1"/>
        <v>8.4,-1.92571124378022</v>
      </c>
      <c r="P60" s="1" t="str">
        <f t="shared" si="1"/>
        <v>8.4,1.17013957136568</v>
      </c>
    </row>
    <row r="61" spans="2:16" x14ac:dyDescent="0.6">
      <c r="B61" s="30">
        <v>45</v>
      </c>
      <c r="C61" s="29">
        <f>C60+$I$2</f>
        <v>8.8000000000000007</v>
      </c>
      <c r="D61" s="29">
        <f>IF(SIN(C61)&gt;$I$3,$I$3,(IF(SIN(C61)&lt;-$I$3,-$I$3,SIN(C61))))</f>
        <v>0.58491719289176169</v>
      </c>
      <c r="E61" s="29">
        <f>IF(COS(C61)&gt;$I$3,$I$3,(IF(COS(C61)&lt;-$I$3,-$I$3,COS(C61))))</f>
        <v>-0.81109301406165601</v>
      </c>
      <c r="F61" s="29">
        <f>IF(TAN(C61)&gt;$I$3,$I$3,(IF(TAN(C61)&lt;-$I$3,-$I$3,TAN(C61))))</f>
        <v>-0.72114687557560275</v>
      </c>
      <c r="G61" s="29">
        <f>IF(_xlfn.COT(C61)&gt;$I$3,$I$3,(IF(_xlfn.COT(C61)&lt;-$I$3,-$I$3,_xlfn.COT(C61))))</f>
        <v>-1.3866800701338726</v>
      </c>
      <c r="H61" s="29">
        <f>IF(_xlfn.SEC(C61)&gt;$I$3,$I$3,(IF(_xlfn.SEC(C61)&lt;-$I$3,-$I$3,_xlfn.SEC(C61))))</f>
        <v>-1.2329042201860021</v>
      </c>
      <c r="I61" s="34">
        <f>IF(_xlfn.CSC(C61)&gt;$I$3,$I$3,(IF(_xlfn.CSC(C61)&lt;-$I$3,-$I$3,_xlfn.CSC(C61))))</f>
        <v>1.7096437105158728</v>
      </c>
      <c r="J61" s="51"/>
      <c r="K61" s="1" t="str">
        <f>_xlfn.CONCAT($C60,",",D60)</f>
        <v>8.6,0.734397097874112</v>
      </c>
      <c r="L61" s="1" t="str">
        <f>_xlfn.CONCAT($C60,",",E60)</f>
        <v>8.6,-0.678720047320014</v>
      </c>
      <c r="M61" s="1" t="str">
        <f>_xlfn.CONCAT($C60,",",F60)</f>
        <v>8.6,-1.08203242378643</v>
      </c>
      <c r="N61" s="1" t="str">
        <f t="shared" si="1"/>
        <v>8.6,-0.924186723074929</v>
      </c>
      <c r="O61" s="1" t="str">
        <f t="shared" si="1"/>
        <v>8.6,-1.47336151915446</v>
      </c>
      <c r="P61" s="1" t="str">
        <f t="shared" si="1"/>
        <v>8.6,1.36166115429206</v>
      </c>
    </row>
    <row r="62" spans="2:16" x14ac:dyDescent="0.6">
      <c r="B62" s="30">
        <v>46</v>
      </c>
      <c r="C62" s="29">
        <f>C61+$I$2</f>
        <v>9</v>
      </c>
      <c r="D62" s="29">
        <f>IF(SIN(C62)&gt;$I$3,$I$3,(IF(SIN(C62)&lt;-$I$3,-$I$3,SIN(C62))))</f>
        <v>0.41211848524175659</v>
      </c>
      <c r="E62" s="29">
        <f>IF(COS(C62)&gt;$I$3,$I$3,(IF(COS(C62)&lt;-$I$3,-$I$3,COS(C62))))</f>
        <v>-0.91113026188467694</v>
      </c>
      <c r="F62" s="29">
        <f>IF(TAN(C62)&gt;$I$3,$I$3,(IF(TAN(C62)&lt;-$I$3,-$I$3,TAN(C62))))</f>
        <v>-0.45231565944180985</v>
      </c>
      <c r="G62" s="29">
        <f>IF(_xlfn.COT(C62)&gt;$I$3,$I$3,(IF(_xlfn.COT(C62)&lt;-$I$3,-$I$3,_xlfn.COT(C62))))</f>
        <v>-2.2108454109991951</v>
      </c>
      <c r="H62" s="29">
        <f>IF(_xlfn.SEC(C62)&gt;$I$3,$I$3,(IF(_xlfn.SEC(C62)&lt;-$I$3,-$I$3,_xlfn.SEC(C62))))</f>
        <v>-1.097537906304962</v>
      </c>
      <c r="I62" s="34">
        <f>IF(_xlfn.CSC(C62)&gt;$I$3,$I$3,(IF(_xlfn.CSC(C62)&lt;-$I$3,-$I$3,_xlfn.CSC(C62))))</f>
        <v>2.4264866435519892</v>
      </c>
      <c r="J62" s="51"/>
      <c r="K62" s="1" t="str">
        <f>_xlfn.CONCAT($C61,",",D61)</f>
        <v>8.8,0.584917192891762</v>
      </c>
      <c r="L62" s="1" t="str">
        <f>_xlfn.CONCAT($C61,",",E61)</f>
        <v>8.8,-0.811093014061656</v>
      </c>
      <c r="M62" s="1" t="str">
        <f>_xlfn.CONCAT($C61,",",F61)</f>
        <v>8.8,-0.721146875575603</v>
      </c>
      <c r="N62" s="1" t="str">
        <f t="shared" si="1"/>
        <v>8.8,-1.38668007013387</v>
      </c>
      <c r="O62" s="1" t="str">
        <f t="shared" si="1"/>
        <v>8.8,-1.232904220186</v>
      </c>
      <c r="P62" s="1" t="str">
        <f t="shared" si="1"/>
        <v>8.8,1.70964371051587</v>
      </c>
    </row>
    <row r="63" spans="2:16" x14ac:dyDescent="0.6">
      <c r="B63" s="30">
        <v>47</v>
      </c>
      <c r="C63" s="29">
        <f>C62+$I$2</f>
        <v>9.1999999999999993</v>
      </c>
      <c r="D63" s="29">
        <f>IF(SIN(C63)&gt;$I$3,$I$3,(IF(SIN(C63)&lt;-$I$3,-$I$3,SIN(C63))))</f>
        <v>0.22288991410024764</v>
      </c>
      <c r="E63" s="29">
        <f>IF(COS(C63)&gt;$I$3,$I$3,(IF(COS(C63)&lt;-$I$3,-$I$3,COS(C63))))</f>
        <v>-0.97484362140416358</v>
      </c>
      <c r="F63" s="29">
        <f>IF(TAN(C63)&gt;$I$3,$I$3,(IF(TAN(C63)&lt;-$I$3,-$I$3,TAN(C63))))</f>
        <v>-0.22864171155902654</v>
      </c>
      <c r="G63" s="29">
        <f>IF(_xlfn.COT(C63)&gt;$I$3,$I$3,(IF(_xlfn.COT(C63)&lt;-$I$3,-$I$3,_xlfn.COT(C63))))</f>
        <v>-4.3736551532148509</v>
      </c>
      <c r="H63" s="29">
        <f>IF(_xlfn.SEC(C63)&gt;$I$3,$I$3,(IF(_xlfn.SEC(C63)&lt;-$I$3,-$I$3,_xlfn.SEC(C63))))</f>
        <v>-1.0258055528532886</v>
      </c>
      <c r="I63" s="34">
        <f>IF(_xlfn.CSC(C63)&gt;$I$3,$I$3,(IF(_xlfn.CSC(C63)&lt;-$I$3,-$I$3,_xlfn.CSC(C63))))</f>
        <v>4.4865197424331953</v>
      </c>
      <c r="J63" s="51"/>
      <c r="K63" s="1" t="str">
        <f>_xlfn.CONCAT($C62,",",D62)</f>
        <v>9,0.412118485241757</v>
      </c>
      <c r="L63" s="1" t="str">
        <f>_xlfn.CONCAT($C62,",",E62)</f>
        <v>9,-0.911130261884677</v>
      </c>
      <c r="M63" s="1" t="str">
        <f>_xlfn.CONCAT($C62,",",F62)</f>
        <v>9,-0.45231565944181</v>
      </c>
      <c r="N63" s="1" t="str">
        <f t="shared" si="1"/>
        <v>9,-2.2108454109992</v>
      </c>
      <c r="O63" s="1" t="str">
        <f t="shared" si="1"/>
        <v>9,-1.09753790630496</v>
      </c>
      <c r="P63" s="1" t="str">
        <f t="shared" si="1"/>
        <v>9,2.42648664355199</v>
      </c>
    </row>
    <row r="64" spans="2:16" x14ac:dyDescent="0.6">
      <c r="B64" s="30">
        <v>48</v>
      </c>
      <c r="C64" s="29">
        <f>C63+$I$2</f>
        <v>9.3999999999999986</v>
      </c>
      <c r="D64" s="29">
        <f>IF(SIN(C64)&gt;$I$3,$I$3,(IF(SIN(C64)&lt;-$I$3,-$I$3,SIN(C64))))</f>
        <v>2.4775425453359541E-2</v>
      </c>
      <c r="E64" s="29">
        <f>IF(COS(C64)&gt;$I$3,$I$3,(IF(COS(C64)&lt;-$I$3,-$I$3,COS(C64))))</f>
        <v>-0.99969304203520648</v>
      </c>
      <c r="F64" s="29">
        <f>IF(TAN(C64)&gt;$I$3,$I$3,(IF(TAN(C64)&lt;-$I$3,-$I$3,TAN(C64))))</f>
        <v>-2.4783032802670062E-2</v>
      </c>
      <c r="G64" s="29">
        <f>IF(_xlfn.COT(C64)&gt;$I$3,$I$3,(IF(_xlfn.COT(C64)&lt;-$I$3,-$I$3,_xlfn.COT(C64))))</f>
        <v>-10</v>
      </c>
      <c r="H64" s="29">
        <f>IF(_xlfn.SEC(C64)&gt;$I$3,$I$3,(IF(_xlfn.SEC(C64)&lt;-$I$3,-$I$3,_xlfn.SEC(C64))))</f>
        <v>-1.0003070522169171</v>
      </c>
      <c r="I64" s="34">
        <f>IF(_xlfn.CSC(C64)&gt;$I$3,$I$3,(IF(_xlfn.CSC(C64)&lt;-$I$3,-$I$3,_xlfn.CSC(C64))))</f>
        <v>10</v>
      </c>
      <c r="J64" s="51"/>
      <c r="K64" s="1" t="str">
        <f>_xlfn.CONCAT($C63,",",D63)</f>
        <v>9.2,0.222889914100248</v>
      </c>
      <c r="L64" s="1" t="str">
        <f>_xlfn.CONCAT($C63,",",E63)</f>
        <v>9.2,-0.974843621404164</v>
      </c>
      <c r="M64" s="1" t="str">
        <f>_xlfn.CONCAT($C63,",",F63)</f>
        <v>9.2,-0.228641711559027</v>
      </c>
      <c r="N64" s="1" t="str">
        <f t="shared" si="1"/>
        <v>9.2,-4.37365515321485</v>
      </c>
      <c r="O64" s="1" t="str">
        <f t="shared" si="1"/>
        <v>9.2,-1.02580555285329</v>
      </c>
      <c r="P64" s="1" t="str">
        <f t="shared" si="1"/>
        <v>9.2,4.4865197424332</v>
      </c>
    </row>
    <row r="65" spans="2:16" x14ac:dyDescent="0.6">
      <c r="B65" s="30">
        <v>49</v>
      </c>
      <c r="C65" s="29">
        <f>C64+$I$2</f>
        <v>9.5999999999999979</v>
      </c>
      <c r="D65" s="29">
        <f>IF(SIN(C65)&gt;$I$3,$I$3,(IF(SIN(C65)&lt;-$I$3,-$I$3,SIN(C65))))</f>
        <v>-0.17432678122297787</v>
      </c>
      <c r="E65" s="29">
        <f>IF(COS(C65)&gt;$I$3,$I$3,(IF(COS(C65)&lt;-$I$3,-$I$3,COS(C65))))</f>
        <v>-0.98468785579412732</v>
      </c>
      <c r="F65" s="29">
        <f>IF(TAN(C65)&gt;$I$3,$I$3,(IF(TAN(C65)&lt;-$I$3,-$I$3,TAN(C65))))</f>
        <v>0.17703760658486795</v>
      </c>
      <c r="G65" s="29">
        <f>IF(_xlfn.COT(C65)&gt;$I$3,$I$3,(IF(_xlfn.COT(C65)&lt;-$I$3,-$I$3,_xlfn.COT(C65))))</f>
        <v>5.6485173929451085</v>
      </c>
      <c r="H65" s="29">
        <f>IF(_xlfn.SEC(C65)&gt;$I$3,$I$3,(IF(_xlfn.SEC(C65)&lt;-$I$3,-$I$3,_xlfn.SEC(C65))))</f>
        <v>-1.0155502519054871</v>
      </c>
      <c r="I65" s="34">
        <f>IF(_xlfn.CSC(C65)&gt;$I$3,$I$3,(IF(_xlfn.CSC(C65)&lt;-$I$3,-$I$3,_xlfn.CSC(C65))))</f>
        <v>-5.7363532612979311</v>
      </c>
      <c r="J65" s="51"/>
      <c r="K65" s="1" t="str">
        <f>_xlfn.CONCAT($C64,",",D64)</f>
        <v>9.4,0.0247754254533595</v>
      </c>
      <c r="L65" s="1" t="str">
        <f>_xlfn.CONCAT($C64,",",E64)</f>
        <v>9.4,-0.999693042035206</v>
      </c>
      <c r="M65" s="1" t="str">
        <f>_xlfn.CONCAT($C64,",",F64)</f>
        <v>9.4,-0.0247830328026701</v>
      </c>
      <c r="N65" s="1" t="str">
        <f t="shared" si="1"/>
        <v>9.4,-10</v>
      </c>
      <c r="O65" s="1" t="str">
        <f t="shared" si="1"/>
        <v>9.4,-1.00030705221692</v>
      </c>
      <c r="P65" s="1" t="str">
        <f t="shared" si="1"/>
        <v>9.4,10</v>
      </c>
    </row>
    <row r="66" spans="2:16" x14ac:dyDescent="0.6">
      <c r="B66" s="31">
        <v>50</v>
      </c>
      <c r="C66" s="35">
        <f>C65+$I$2</f>
        <v>9.7999999999999972</v>
      </c>
      <c r="D66" s="35">
        <f>IF(SIN(C66)&gt;$I$3,$I$3,(IF(SIN(C66)&lt;-$I$3,-$I$3,SIN(C66))))</f>
        <v>-0.36647912925192511</v>
      </c>
      <c r="E66" s="35">
        <f>IF(COS(C66)&gt;$I$3,$I$3,(IF(COS(C66)&lt;-$I$3,-$I$3,COS(C66))))</f>
        <v>-0.93042627210475459</v>
      </c>
      <c r="F66" s="35">
        <f>IF(TAN(C66)&gt;$I$3,$I$3,(IF(TAN(C66)&lt;-$I$3,-$I$3,TAN(C66))))</f>
        <v>0.39388304075173841</v>
      </c>
      <c r="G66" s="35">
        <f>IF(_xlfn.COT(C66)&gt;$I$3,$I$3,(IF(_xlfn.COT(C66)&lt;-$I$3,-$I$3,_xlfn.COT(C66))))</f>
        <v>2.5388247183515897</v>
      </c>
      <c r="H66" s="35">
        <f>IF(_xlfn.SEC(C66)&gt;$I$3,$I$3,(IF(_xlfn.SEC(C66)&lt;-$I$3,-$I$3,_xlfn.SEC(C66))))</f>
        <v>-1.0747761859065521</v>
      </c>
      <c r="I66" s="36">
        <f>IF(_xlfn.CSC(C66)&gt;$I$3,$I$3,(IF(_xlfn.CSC(C66)&lt;-$I$3,-$I$3,_xlfn.CSC(C66))))</f>
        <v>-2.7286683474751983</v>
      </c>
      <c r="J66" s="51"/>
      <c r="K66" s="1" t="str">
        <f>_xlfn.CONCAT($C65,",",D65)</f>
        <v>9.6,-0.174326781222978</v>
      </c>
      <c r="L66" s="1" t="str">
        <f>_xlfn.CONCAT($C65,",",E65)</f>
        <v>9.6,-0.984687855794127</v>
      </c>
      <c r="M66" s="1" t="str">
        <f>_xlfn.CONCAT($C65,",",F65)</f>
        <v>9.6,0.177037606584868</v>
      </c>
      <c r="N66" s="1" t="str">
        <f t="shared" si="1"/>
        <v>9.6,5.64851739294511</v>
      </c>
      <c r="O66" s="1" t="str">
        <f t="shared" si="1"/>
        <v>9.6,-1.01555025190549</v>
      </c>
      <c r="P66" s="1" t="str">
        <f t="shared" si="1"/>
        <v>9.6,-5.73635326129793</v>
      </c>
    </row>
    <row r="67" spans="2:16" x14ac:dyDescent="0.6">
      <c r="K67" s="1" t="str">
        <f>_xlfn.CONCAT($C66,",",D66)</f>
        <v>9.8,-0.366479129251925</v>
      </c>
      <c r="L67" s="1" t="str">
        <f>_xlfn.CONCAT($C66,",",E66)</f>
        <v>9.8,-0.930426272104755</v>
      </c>
      <c r="M67" s="1" t="str">
        <f>_xlfn.CONCAT($C66,",",F66)</f>
        <v>9.8,0.393883040751738</v>
      </c>
      <c r="N67" s="1" t="str">
        <f t="shared" ref="N67:P67" si="2">_xlfn.CONCAT($C66,",",G66)</f>
        <v>9.8,2.53882471835159</v>
      </c>
      <c r="O67" s="1" t="str">
        <f t="shared" si="2"/>
        <v>9.8,-1.07477618590655</v>
      </c>
      <c r="P67" s="1" t="str">
        <f t="shared" si="2"/>
        <v>9.8,-2.7286683474752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B3" sqref="B3"/>
    </sheetView>
  </sheetViews>
  <sheetFormatPr defaultColWidth="10.6640625" defaultRowHeight="16.5" x14ac:dyDescent="0.6"/>
  <cols>
    <col min="1" max="1" width="2.59765625" style="1" customWidth="1"/>
    <col min="2" max="2" width="27.53125" style="1" customWidth="1"/>
    <col min="3" max="16384" width="10.6640625" style="1"/>
  </cols>
  <sheetData>
    <row r="2" spans="2:2" x14ac:dyDescent="0.6">
      <c r="B2" s="1" t="s">
        <v>18</v>
      </c>
    </row>
    <row r="3" spans="2:2" x14ac:dyDescent="0.6">
      <c r="B3" s="1" t="s">
        <v>19</v>
      </c>
    </row>
    <row r="4" spans="2:2" x14ac:dyDescent="0.6">
      <c r="B4" s="1" t="s">
        <v>20</v>
      </c>
    </row>
  </sheetData>
  <sheetProtection algorithmName="SHA-512" hashValue="LTdCJyVS2iykCmUD2QgLoTMChQxGkNUmEr03z/0aP8bv2Ct3a4W1bRsTzKra/KtVTE6bpCq8zVJQmhvaBdsIGw==" saltValue="58u1yoSQOyWDVTXjY+2/+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7" baseType="lpstr">
      <vt:lpstr>ElipseTabla</vt:lpstr>
      <vt:lpstr>ElipseAutoCAD</vt:lpstr>
      <vt:lpstr>HiperbolaTabla</vt:lpstr>
      <vt:lpstr>HiperbolaAutoCAD</vt:lpstr>
      <vt:lpstr>Trigonometrica</vt:lpstr>
      <vt:lpstr>Metadata</vt:lpstr>
      <vt:lpstr>ElipseGráfico</vt:lpstr>
      <vt:lpstr>a_elipse</vt:lpstr>
      <vt:lpstr>a_hiperbola</vt:lpstr>
      <vt:lpstr>b_elipse</vt:lpstr>
      <vt:lpstr>b_hiperbola</vt:lpstr>
      <vt:lpstr>h_elipse</vt:lpstr>
      <vt:lpstr>k_elipse</vt:lpstr>
      <vt:lpstr>np_elipse</vt:lpstr>
      <vt:lpstr>np_hiperbola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2025-06-29T23:35:46Z</dcterms:modified>
</cp:coreProperties>
</file>