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0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R.DAPC\file\table\"/>
    </mc:Choice>
  </mc:AlternateContent>
  <xr:revisionPtr revIDLastSave="0" documentId="13_ncr:1_{0806135F-8751-455D-ACB4-F441506C675A}" xr6:coauthVersionLast="47" xr6:coauthVersionMax="47" xr10:uidLastSave="{00000000-0000-0000-0000-000000000000}"/>
  <bookViews>
    <workbookView xWindow="-108" yWindow="-108" windowWidth="23256" windowHeight="12456" xr2:uid="{899F30DF-20EB-4CFF-A721-49C06D4D1E88}"/>
  </bookViews>
  <sheets>
    <sheet name="Solid" sheetId="1" r:id="rId1"/>
    <sheet name="Setup" sheetId="2" r:id="rId2"/>
    <sheet name="Metadata" sheetId="3" r:id="rId3"/>
  </sheets>
  <definedNames>
    <definedName name="Gravity">Solid!#REF!</definedName>
    <definedName name="Units">Solid!$C$4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5" i="1" l="1"/>
  <c r="D37" i="1"/>
  <c r="D38" i="1" s="1"/>
  <c r="E37" i="1"/>
  <c r="E35" i="1"/>
  <c r="E34" i="1"/>
  <c r="E33" i="1"/>
  <c r="D26" i="1"/>
  <c r="D27" i="1" s="1"/>
  <c r="D24" i="1"/>
  <c r="E23" i="1"/>
  <c r="E22" i="1"/>
  <c r="E26" i="1"/>
  <c r="E24" i="1"/>
  <c r="E21" i="1"/>
  <c r="C7" i="1"/>
  <c r="C5" i="1"/>
  <c r="B5" i="1"/>
  <c r="B7" i="1"/>
  <c r="E62" i="2"/>
  <c r="D62" i="2"/>
  <c r="C62" i="2"/>
  <c r="E57" i="2"/>
  <c r="D57" i="2"/>
  <c r="C57" i="2"/>
  <c r="E6" i="2"/>
  <c r="D6" i="2"/>
  <c r="C6" i="2"/>
  <c r="E14" i="1"/>
  <c r="D14" i="1"/>
  <c r="D15" i="1" s="1"/>
  <c r="E12" i="1"/>
  <c r="E11" i="1"/>
  <c r="D12" i="1"/>
  <c r="D36" i="1" l="1"/>
  <c r="D39" i="1" s="1"/>
  <c r="D40" i="1" s="1"/>
  <c r="D13" i="1"/>
  <c r="D16" i="1" s="1"/>
  <c r="D17" i="1" s="1"/>
  <c r="D25" i="1"/>
  <c r="D28" i="1" s="1"/>
  <c r="D29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R</author>
  </authors>
  <commentList>
    <comment ref="C6" authorId="0" shapeId="0" xr:uid="{50DE48DC-80FD-4F82-91CB-C8AF1510ADAE}">
      <text>
        <r>
          <rPr>
            <sz val="9"/>
            <color indexed="81"/>
            <rFont val="Tahoma"/>
            <family val="2"/>
          </rPr>
          <t>1019 to 1427</t>
        </r>
      </text>
    </comment>
    <comment ref="D6" authorId="0" shapeId="0" xr:uid="{57D76633-C66E-425F-8069-DDBB843898E3}">
      <text>
        <r>
          <rPr>
            <sz val="9"/>
            <color indexed="81"/>
            <rFont val="Tahoma"/>
            <family val="2"/>
          </rPr>
          <t>10 to 14</t>
        </r>
      </text>
    </comment>
    <comment ref="E6" authorId="0" shapeId="0" xr:uid="{EF0970E1-5C59-419F-8A41-F471500C52F6}">
      <text>
        <r>
          <rPr>
            <sz val="9"/>
            <color indexed="81"/>
            <rFont val="Tahoma"/>
            <family val="2"/>
          </rPr>
          <t>64 to 89</t>
        </r>
      </text>
    </comment>
    <comment ref="C57" authorId="0" shapeId="0" xr:uid="{88FE0A2A-86C7-45FC-B86F-22FE317F6E41}">
      <text>
        <r>
          <rPr>
            <sz val="9"/>
            <color indexed="81"/>
            <rFont val="Tahoma"/>
            <family val="2"/>
          </rPr>
          <t>978 to 1142</t>
        </r>
      </text>
    </comment>
    <comment ref="D57" authorId="0" shapeId="0" xr:uid="{12273B3A-F19C-402B-88E7-FBBE13DEC9C1}">
      <text>
        <r>
          <rPr>
            <sz val="9"/>
            <color indexed="81"/>
            <rFont val="Tahoma"/>
            <family val="2"/>
          </rPr>
          <t>9.6 to 11.2</t>
        </r>
      </text>
    </comment>
    <comment ref="E57" authorId="0" shapeId="0" xr:uid="{302BBA68-4659-43C0-8B05-66B447D8B39C}">
      <text>
        <r>
          <rPr>
            <sz val="9"/>
            <color indexed="81"/>
            <rFont val="Tahoma"/>
            <family val="2"/>
          </rPr>
          <t>61 to 71</t>
        </r>
      </text>
    </comment>
    <comment ref="C62" authorId="0" shapeId="0" xr:uid="{7C796D7F-8FF9-4CF8-B1E3-5D8428600D93}">
      <text>
        <r>
          <rPr>
            <sz val="9"/>
            <color indexed="81"/>
            <rFont val="Tahoma"/>
            <family val="2"/>
          </rPr>
          <t>305 to 407</t>
        </r>
      </text>
    </comment>
    <comment ref="D62" authorId="0" shapeId="0" xr:uid="{DA4A0973-231F-4A3A-95A6-8D9673053D79}">
      <text>
        <r>
          <rPr>
            <sz val="9"/>
            <color indexed="81"/>
            <rFont val="Tahoma"/>
            <family val="2"/>
          </rPr>
          <t>3 to 4</t>
        </r>
      </text>
    </comment>
    <comment ref="E62" authorId="0" shapeId="0" xr:uid="{C65F2449-0C53-4E85-BF57-DDA579106D7C}">
      <text>
        <r>
          <rPr>
            <sz val="9"/>
            <color indexed="81"/>
            <rFont val="Tahoma"/>
            <family val="2"/>
          </rPr>
          <t>19 to 25</t>
        </r>
      </text>
    </comment>
  </commentList>
</comments>
</file>

<file path=xl/sharedStrings.xml><?xml version="1.0" encoding="utf-8"?>
<sst xmlns="http://schemas.openxmlformats.org/spreadsheetml/2006/main" count="156" uniqueCount="114">
  <si>
    <t>mm</t>
  </si>
  <si>
    <t>Units</t>
  </si>
  <si>
    <t>Material</t>
  </si>
  <si>
    <t>https://sheerforceeng.com/2021/12/26/density-of-construction-materials-and-construction-elements/</t>
  </si>
  <si>
    <t>Metadata</t>
  </si>
  <si>
    <t>Construction  material density</t>
  </si>
  <si>
    <t>Aluminium</t>
  </si>
  <si>
    <t>Asphalt</t>
  </si>
  <si>
    <t>Bitumen</t>
  </si>
  <si>
    <t>Brass</t>
  </si>
  <si>
    <t>Cobalt</t>
  </si>
  <si>
    <t>Cement Mortar</t>
  </si>
  <si>
    <t>Chalk</t>
  </si>
  <si>
    <t>Clay Soil</t>
  </si>
  <si>
    <t>Concrete (normal weight)</t>
  </si>
  <si>
    <t>Copper</t>
  </si>
  <si>
    <t>Cork (normal)</t>
  </si>
  <si>
    <t>Cork (compressed)</t>
  </si>
  <si>
    <t>Fibre Cement Sheet (uncompressed)</t>
  </si>
  <si>
    <t>Fibre Cement Sheet (compressed)</t>
  </si>
  <si>
    <t>Fibre Cement Sheet (Fire-resistant lining sheet)</t>
  </si>
  <si>
    <t>Fibre Cement Sheet (Insulating sheet)</t>
  </si>
  <si>
    <t>Glass – Window (soda-lime)</t>
  </si>
  <si>
    <t>Gravel Soil</t>
  </si>
  <si>
    <t>Granite, basalt, trachyte</t>
  </si>
  <si>
    <t>Iron, cast</t>
  </si>
  <si>
    <t>Lead </t>
  </si>
  <si>
    <t>Limestone (dense)</t>
  </si>
  <si>
    <t>Limestone (Mt. Gambier)</t>
  </si>
  <si>
    <t>Magnesium</t>
  </si>
  <si>
    <t>Marble</t>
  </si>
  <si>
    <t>Nickel</t>
  </si>
  <si>
    <t>Paper (copy paper) boxed</t>
  </si>
  <si>
    <t>Sand (dense and wet)</t>
  </si>
  <si>
    <t>Sandstone</t>
  </si>
  <si>
    <t>Sandy Soil</t>
  </si>
  <si>
    <t>Shale</t>
  </si>
  <si>
    <t>Silt</t>
  </si>
  <si>
    <t>Steel</t>
  </si>
  <si>
    <t>Timber (Radiata Pine, Australia)</t>
  </si>
  <si>
    <t>Timber (Radiata Pine, New Zealand)</t>
  </si>
  <si>
    <t>Timber (Cypress, Australia)</t>
  </si>
  <si>
    <t>Timber (Douglas Fir)</t>
  </si>
  <si>
    <t>Timber (Hoop)</t>
  </si>
  <si>
    <t>Timber (Blackbutt)</t>
  </si>
  <si>
    <t>Timber (Grey Gum)</t>
  </si>
  <si>
    <t>Timber (Grey Ironbark)</t>
  </si>
  <si>
    <t>Timber (Jarrah)</t>
  </si>
  <si>
    <t>Timber (Spotted Gum)</t>
  </si>
  <si>
    <t>Timber (Tallow wood)</t>
  </si>
  <si>
    <t>Timber (Turpentine)</t>
  </si>
  <si>
    <t>Timber (White Mahogany)</t>
  </si>
  <si>
    <t>Timber (Vic Ash)</t>
  </si>
  <si>
    <t>Timber (Teak)</t>
  </si>
  <si>
    <t>Timber (Oak)</t>
  </si>
  <si>
    <t>Timber (Maple)</t>
  </si>
  <si>
    <t>Timber (Larch)</t>
  </si>
  <si>
    <t>Timber (Elm)</t>
  </si>
  <si>
    <t>Timber (Ebony)</t>
  </si>
  <si>
    <t>Timber (Birch)</t>
  </si>
  <si>
    <t>Timber (Ash, White)</t>
  </si>
  <si>
    <t>Timber (Ash, Black)</t>
  </si>
  <si>
    <t>Timber (Balsa)</t>
  </si>
  <si>
    <t>Timber (Bamboo)</t>
  </si>
  <si>
    <t>Timber (Cedar)</t>
  </si>
  <si>
    <t>Timber (Aspen)</t>
  </si>
  <si>
    <t>Timber (American Red Wood)</t>
  </si>
  <si>
    <t>Timber (European Red Wood)</t>
  </si>
  <si>
    <t>Tin</t>
  </si>
  <si>
    <t>Water</t>
  </si>
  <si>
    <t>Zinc</t>
  </si>
  <si>
    <t>Construction Material</t>
  </si>
  <si>
    <t>Sphere</t>
  </si>
  <si>
    <t>r, radius</t>
  </si>
  <si>
    <t>m, mass</t>
  </si>
  <si>
    <t>https://buildingclub.info/calculator/weight-converter-kg-m3-to-kn-m3-and-kn-m3-to-kg-m3/</t>
  </si>
  <si>
    <t>Unit</t>
  </si>
  <si>
    <t>m</t>
  </si>
  <si>
    <t>mm, milimeters</t>
  </si>
  <si>
    <t>m, meters</t>
  </si>
  <si>
    <t>ft, feet</t>
  </si>
  <si>
    <t>cm, centimeters</t>
  </si>
  <si>
    <t>n/a</t>
  </si>
  <si>
    <t>Conversion to meters</t>
  </si>
  <si>
    <t>Text</t>
  </si>
  <si>
    <t>cm</t>
  </si>
  <si>
    <t>ft</t>
  </si>
  <si>
    <t>doesn't apply</t>
  </si>
  <si>
    <t>kg</t>
  </si>
  <si>
    <t>gr</t>
  </si>
  <si>
    <t>m³</t>
  </si>
  <si>
    <t>v, volume</t>
  </si>
  <si>
    <t>d, density (kg/m³)</t>
  </si>
  <si>
    <t>d, density (kN/m³)</t>
  </si>
  <si>
    <t>d, density (lb/ft³)</t>
  </si>
  <si>
    <t>Formula</t>
  </si>
  <si>
    <t>m = d*v</t>
  </si>
  <si>
    <t>s, surface</t>
  </si>
  <si>
    <t>Value</t>
  </si>
  <si>
    <t>Parameter</t>
  </si>
  <si>
    <t>Box</t>
  </si>
  <si>
    <t>m²</t>
  </si>
  <si>
    <t>Solid geometry and mass calculations</t>
  </si>
  <si>
    <t>Cone</t>
  </si>
  <si>
    <t>v = (4/3) π r³</t>
  </si>
  <si>
    <t>s = 4 π r²</t>
  </si>
  <si>
    <t>m = dv</t>
  </si>
  <si>
    <t>v = lwt</t>
  </si>
  <si>
    <t>l, length</t>
  </si>
  <si>
    <t>w, width</t>
  </si>
  <si>
    <t>h, height</t>
  </si>
  <si>
    <t xml:space="preserve">s =  πrh + πr² </t>
  </si>
  <si>
    <t>s = (lh + wh + lw) * 2</t>
  </si>
  <si>
    <t>v =(1/3)πr²h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</si>
</sst>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0" formatCode="#,##0.0000"/>
    <numFmt numFmtId="171" formatCode="#,##0.00000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Segoe UI Light"/>
      <family val="2"/>
    </font>
    <font>
      <sz val="11"/>
      <color rgb="FF0070C0"/>
      <name val="Segoe UI Light"/>
      <family val="2"/>
    </font>
    <font>
      <u/>
      <sz val="11"/>
      <color theme="10"/>
      <name val="Aptos Narrow"/>
      <family val="2"/>
      <scheme val="minor"/>
    </font>
    <font>
      <u/>
      <sz val="11"/>
      <color theme="10"/>
      <name val="Segoe UI Light"/>
      <family val="2"/>
    </font>
    <font>
      <sz val="9"/>
      <color indexed="81"/>
      <name val="Tahoma"/>
      <family val="2"/>
    </font>
    <font>
      <sz val="12"/>
      <color theme="1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3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28">
    <xf numFmtId="0" fontId="0" fillId="0" borderId="0" xfId="0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1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1" fillId="0" borderId="9" xfId="0" applyFont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0" fontId="4" fillId="0" borderId="0" xfId="1" applyFont="1"/>
    <xf numFmtId="0" fontId="1" fillId="2" borderId="10" xfId="0" applyFont="1" applyFill="1" applyBorder="1"/>
    <xf numFmtId="0" fontId="1" fillId="0" borderId="11" xfId="0" applyFont="1" applyBorder="1"/>
    <xf numFmtId="0" fontId="1" fillId="0" borderId="12" xfId="0" applyFont="1" applyBorder="1"/>
    <xf numFmtId="171" fontId="2" fillId="0" borderId="0" xfId="0" applyNumberFormat="1" applyFont="1" applyAlignment="1">
      <alignment horizontal="left"/>
    </xf>
    <xf numFmtId="0" fontId="1" fillId="0" borderId="1" xfId="0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1" fillId="0" borderId="0" xfId="0" applyFont="1" applyFill="1" applyBorder="1"/>
    <xf numFmtId="170" fontId="2" fillId="0" borderId="0" xfId="0" applyNumberFormat="1" applyFont="1" applyFill="1" applyBorder="1" applyAlignment="1">
      <alignment horizontal="left"/>
    </xf>
    <xf numFmtId="0" fontId="1" fillId="2" borderId="3" xfId="0" applyFont="1" applyFill="1" applyBorder="1" applyAlignment="1">
      <alignment horizontal="left"/>
    </xf>
    <xf numFmtId="0" fontId="1" fillId="0" borderId="8" xfId="0" applyFont="1" applyBorder="1" applyAlignment="1">
      <alignment horizontal="left"/>
    </xf>
    <xf numFmtId="0" fontId="6" fillId="0" borderId="0" xfId="0" applyFont="1"/>
    <xf numFmtId="0" fontId="2" fillId="0" borderId="6" xfId="0" applyFont="1" applyBorder="1" applyAlignment="1">
      <alignment horizontal="left"/>
    </xf>
    <xf numFmtId="0" fontId="1" fillId="0" borderId="6" xfId="0" applyFont="1" applyBorder="1" applyAlignment="1">
      <alignment horizontal="left"/>
    </xf>
    <xf numFmtId="0" fontId="1" fillId="0" borderId="9" xfId="0" applyFont="1" applyBorder="1" applyAlignment="1">
      <alignment horizontal="left"/>
    </xf>
    <xf numFmtId="0" fontId="6" fillId="2" borderId="2" xfId="0" applyFont="1" applyFill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buildingclub.info/calculator/weight-converter-kg-m3-to-kn-m3-and-kn-m3-to-kg-m3/" TargetMode="External"/><Relationship Id="rId1" Type="http://schemas.openxmlformats.org/officeDocument/2006/relationships/hyperlink" Target="https://sheerforceeng.com/2021/12/26/density-of-construction-materials-and-construction-elements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C991CC-633D-4EDA-A260-4E383F1CE19E}">
  <dimension ref="B2:E40"/>
  <sheetViews>
    <sheetView showGridLines="0" tabSelected="1" topLeftCell="A27" zoomScale="130" zoomScaleNormal="130" workbookViewId="0">
      <selection activeCell="D35" sqref="D35"/>
    </sheetView>
  </sheetViews>
  <sheetFormatPr defaultColWidth="9.19921875" defaultRowHeight="16.5" x14ac:dyDescent="0.6"/>
  <cols>
    <col min="1" max="1" width="2.6640625" style="1" customWidth="1"/>
    <col min="2" max="2" width="20.3984375" style="1" customWidth="1"/>
    <col min="3" max="3" width="20.86328125" style="1" customWidth="1"/>
    <col min="4" max="4" width="14.19921875" style="1" customWidth="1"/>
    <col min="5" max="5" width="14.53125" style="2" customWidth="1"/>
    <col min="6" max="16384" width="9.19921875" style="1"/>
  </cols>
  <sheetData>
    <row r="2" spans="2:5" ht="18.75" x14ac:dyDescent="0.7">
      <c r="B2" s="23" t="s">
        <v>102</v>
      </c>
    </row>
    <row r="3" spans="2:5" ht="18.75" x14ac:dyDescent="0.7">
      <c r="B3" s="27" t="s">
        <v>99</v>
      </c>
      <c r="C3" s="11" t="s">
        <v>98</v>
      </c>
    </row>
    <row r="4" spans="2:5" x14ac:dyDescent="0.6">
      <c r="B4" s="4" t="s">
        <v>1</v>
      </c>
      <c r="C4" s="24" t="s">
        <v>0</v>
      </c>
      <c r="E4" s="1"/>
    </row>
    <row r="5" spans="2:5" x14ac:dyDescent="0.6">
      <c r="B5" s="4" t="str">
        <f>Setup!G2</f>
        <v>Conversion to meters</v>
      </c>
      <c r="C5" s="25">
        <f>VLOOKUP(Units,Setup!G4:I8,2,FALSE)</f>
        <v>1000</v>
      </c>
      <c r="E5" s="1"/>
    </row>
    <row r="6" spans="2:5" x14ac:dyDescent="0.6">
      <c r="B6" s="4" t="s">
        <v>2</v>
      </c>
      <c r="C6" s="24" t="s">
        <v>7</v>
      </c>
      <c r="E6" s="1"/>
    </row>
    <row r="7" spans="2:5" x14ac:dyDescent="0.6">
      <c r="B7" s="6" t="str">
        <f>Setup!C3</f>
        <v>d, density (kg/m³)</v>
      </c>
      <c r="C7" s="26">
        <f>VLOOKUP(C6,Setup!B3:E70,2,FALSE)</f>
        <v>2162</v>
      </c>
      <c r="E7" s="1"/>
    </row>
    <row r="8" spans="2:5" x14ac:dyDescent="0.6">
      <c r="C8" s="16"/>
      <c r="E8" s="1"/>
    </row>
    <row r="9" spans="2:5" s="19" customFormat="1" x14ac:dyDescent="0.6">
      <c r="B9" s="19" t="s">
        <v>72</v>
      </c>
      <c r="D9" s="20"/>
    </row>
    <row r="10" spans="2:5" x14ac:dyDescent="0.6">
      <c r="B10" s="9" t="s">
        <v>99</v>
      </c>
      <c r="C10" s="10" t="s">
        <v>95</v>
      </c>
      <c r="D10" s="21" t="s">
        <v>98</v>
      </c>
      <c r="E10" s="11" t="s">
        <v>1</v>
      </c>
    </row>
    <row r="11" spans="2:5" x14ac:dyDescent="0.6">
      <c r="B11" s="4" t="s">
        <v>73</v>
      </c>
      <c r="C11" s="3"/>
      <c r="D11" s="18">
        <v>50</v>
      </c>
      <c r="E11" s="5" t="str">
        <f>Units</f>
        <v>mm</v>
      </c>
    </row>
    <row r="12" spans="2:5" x14ac:dyDescent="0.6">
      <c r="B12" s="4" t="s">
        <v>91</v>
      </c>
      <c r="C12" s="3" t="s">
        <v>104</v>
      </c>
      <c r="D12" s="17">
        <f>4/3*PI()*D11^3</f>
        <v>523598.77559829882</v>
      </c>
      <c r="E12" s="5" t="str">
        <f>_xlfn.CONCAT(Units,"³")</f>
        <v>mm³</v>
      </c>
    </row>
    <row r="13" spans="2:5" x14ac:dyDescent="0.6">
      <c r="B13" s="4" t="s">
        <v>91</v>
      </c>
      <c r="C13" s="3"/>
      <c r="D13" s="17">
        <f>D12/($C$5*$C$5*$C$5)</f>
        <v>5.2359877559829881E-4</v>
      </c>
      <c r="E13" s="5" t="s">
        <v>90</v>
      </c>
    </row>
    <row r="14" spans="2:5" x14ac:dyDescent="0.6">
      <c r="B14" s="4" t="s">
        <v>97</v>
      </c>
      <c r="C14" s="3" t="s">
        <v>105</v>
      </c>
      <c r="D14" s="17">
        <f>4*PI()*D11^2</f>
        <v>31415.926535897932</v>
      </c>
      <c r="E14" s="5" t="str">
        <f>_xlfn.CONCAT(Units,"²")</f>
        <v>mm²</v>
      </c>
    </row>
    <row r="15" spans="2:5" x14ac:dyDescent="0.6">
      <c r="B15" s="4" t="s">
        <v>97</v>
      </c>
      <c r="C15" s="3"/>
      <c r="D15" s="17">
        <f>D14/(1000*1000)</f>
        <v>3.1415926535897934E-2</v>
      </c>
      <c r="E15" s="5" t="s">
        <v>101</v>
      </c>
    </row>
    <row r="16" spans="2:5" x14ac:dyDescent="0.6">
      <c r="B16" s="4" t="s">
        <v>74</v>
      </c>
      <c r="C16" s="3" t="s">
        <v>106</v>
      </c>
      <c r="D16" s="17">
        <f>$C$7*D13</f>
        <v>1.1320205528435221</v>
      </c>
      <c r="E16" s="5" t="s">
        <v>88</v>
      </c>
    </row>
    <row r="17" spans="2:5" x14ac:dyDescent="0.6">
      <c r="B17" s="6" t="s">
        <v>74</v>
      </c>
      <c r="C17" s="7"/>
      <c r="D17" s="22">
        <f>D16*1000</f>
        <v>1132.0205528435222</v>
      </c>
      <c r="E17" s="8" t="s">
        <v>89</v>
      </c>
    </row>
    <row r="19" spans="2:5" s="19" customFormat="1" x14ac:dyDescent="0.6">
      <c r="B19" s="19" t="s">
        <v>100</v>
      </c>
      <c r="D19" s="20"/>
    </row>
    <row r="20" spans="2:5" x14ac:dyDescent="0.6">
      <c r="B20" s="9" t="s">
        <v>99</v>
      </c>
      <c r="C20" s="10" t="s">
        <v>95</v>
      </c>
      <c r="D20" s="21" t="s">
        <v>98</v>
      </c>
      <c r="E20" s="11" t="s">
        <v>1</v>
      </c>
    </row>
    <row r="21" spans="2:5" x14ac:dyDescent="0.6">
      <c r="B21" s="4" t="s">
        <v>108</v>
      </c>
      <c r="C21" s="3"/>
      <c r="D21" s="18">
        <v>100</v>
      </c>
      <c r="E21" s="5" t="str">
        <f>Units</f>
        <v>mm</v>
      </c>
    </row>
    <row r="22" spans="2:5" x14ac:dyDescent="0.6">
      <c r="B22" s="4" t="s">
        <v>109</v>
      </c>
      <c r="C22" s="3"/>
      <c r="D22" s="18">
        <v>100</v>
      </c>
      <c r="E22" s="5" t="str">
        <f>Units</f>
        <v>mm</v>
      </c>
    </row>
    <row r="23" spans="2:5" x14ac:dyDescent="0.6">
      <c r="B23" s="4" t="s">
        <v>110</v>
      </c>
      <c r="C23" s="3"/>
      <c r="D23" s="18">
        <v>100</v>
      </c>
      <c r="E23" s="5" t="str">
        <f>Units</f>
        <v>mm</v>
      </c>
    </row>
    <row r="24" spans="2:5" x14ac:dyDescent="0.6">
      <c r="B24" s="4" t="s">
        <v>91</v>
      </c>
      <c r="C24" s="3" t="s">
        <v>107</v>
      </c>
      <c r="D24" s="17">
        <f>D21*D22*D23</f>
        <v>1000000</v>
      </c>
      <c r="E24" s="5" t="str">
        <f>_xlfn.CONCAT(Units,"³")</f>
        <v>mm³</v>
      </c>
    </row>
    <row r="25" spans="2:5" x14ac:dyDescent="0.6">
      <c r="B25" s="4" t="s">
        <v>91</v>
      </c>
      <c r="C25" s="3"/>
      <c r="D25" s="17">
        <f>D24/($C$5*$C$5*$C$5)</f>
        <v>1E-3</v>
      </c>
      <c r="E25" s="5" t="s">
        <v>90</v>
      </c>
    </row>
    <row r="26" spans="2:5" x14ac:dyDescent="0.6">
      <c r="B26" s="4" t="s">
        <v>97</v>
      </c>
      <c r="C26" s="3" t="s">
        <v>112</v>
      </c>
      <c r="D26" s="17">
        <f>($D$21*D23+D22*D23+D21*D22)*2</f>
        <v>60000</v>
      </c>
      <c r="E26" s="5" t="str">
        <f>_xlfn.CONCAT(Units,"²")</f>
        <v>mm²</v>
      </c>
    </row>
    <row r="27" spans="2:5" x14ac:dyDescent="0.6">
      <c r="B27" s="4" t="s">
        <v>97</v>
      </c>
      <c r="C27" s="3"/>
      <c r="D27" s="17">
        <f>D26/(1000*1000)</f>
        <v>0.06</v>
      </c>
      <c r="E27" s="5" t="s">
        <v>101</v>
      </c>
    </row>
    <row r="28" spans="2:5" x14ac:dyDescent="0.6">
      <c r="B28" s="4" t="s">
        <v>74</v>
      </c>
      <c r="C28" s="3" t="s">
        <v>106</v>
      </c>
      <c r="D28" s="17">
        <f>$C$7*D25</f>
        <v>2.1619999999999999</v>
      </c>
      <c r="E28" s="5" t="s">
        <v>88</v>
      </c>
    </row>
    <row r="29" spans="2:5" x14ac:dyDescent="0.6">
      <c r="B29" s="6" t="s">
        <v>74</v>
      </c>
      <c r="C29" s="7"/>
      <c r="D29" s="22">
        <f>D28*1000</f>
        <v>2162</v>
      </c>
      <c r="E29" s="8" t="s">
        <v>89</v>
      </c>
    </row>
    <row r="31" spans="2:5" x14ac:dyDescent="0.6">
      <c r="B31" s="19" t="s">
        <v>103</v>
      </c>
      <c r="C31" s="19"/>
      <c r="D31" s="20"/>
      <c r="E31" s="19"/>
    </row>
    <row r="32" spans="2:5" x14ac:dyDescent="0.6">
      <c r="B32" s="9" t="s">
        <v>99</v>
      </c>
      <c r="C32" s="10" t="s">
        <v>95</v>
      </c>
      <c r="D32" s="21" t="s">
        <v>98</v>
      </c>
      <c r="E32" s="11" t="s">
        <v>1</v>
      </c>
    </row>
    <row r="33" spans="2:5" x14ac:dyDescent="0.6">
      <c r="B33" s="4" t="s">
        <v>73</v>
      </c>
      <c r="C33" s="3"/>
      <c r="D33" s="18">
        <v>50</v>
      </c>
      <c r="E33" s="5" t="str">
        <f>Units</f>
        <v>mm</v>
      </c>
    </row>
    <row r="34" spans="2:5" x14ac:dyDescent="0.6">
      <c r="B34" s="4" t="s">
        <v>110</v>
      </c>
      <c r="C34" s="3"/>
      <c r="D34" s="18">
        <v>50</v>
      </c>
      <c r="E34" s="5" t="str">
        <f>Units</f>
        <v>mm</v>
      </c>
    </row>
    <row r="35" spans="2:5" x14ac:dyDescent="0.6">
      <c r="B35" s="4" t="s">
        <v>91</v>
      </c>
      <c r="C35" s="3" t="s">
        <v>113</v>
      </c>
      <c r="D35" s="17">
        <f>(1/3)*PI()*D33^2*D34</f>
        <v>130899.6938995747</v>
      </c>
      <c r="E35" s="5" t="str">
        <f>_xlfn.CONCAT(Units,"³")</f>
        <v>mm³</v>
      </c>
    </row>
    <row r="36" spans="2:5" x14ac:dyDescent="0.6">
      <c r="B36" s="4" t="s">
        <v>91</v>
      </c>
      <c r="C36" s="3"/>
      <c r="D36" s="17">
        <f>D35/($C$5*$C$5*$C$5)</f>
        <v>1.308996938995747E-4</v>
      </c>
      <c r="E36" s="5" t="s">
        <v>90</v>
      </c>
    </row>
    <row r="37" spans="2:5" x14ac:dyDescent="0.6">
      <c r="B37" s="4" t="s">
        <v>97</v>
      </c>
      <c r="C37" s="3" t="s">
        <v>111</v>
      </c>
      <c r="D37" s="17">
        <f>PI()*D33*D34+PI()*D33^2</f>
        <v>15707.963267948966</v>
      </c>
      <c r="E37" s="5" t="str">
        <f>_xlfn.CONCAT(Units,"²")</f>
        <v>mm²</v>
      </c>
    </row>
    <row r="38" spans="2:5" x14ac:dyDescent="0.6">
      <c r="B38" s="4" t="s">
        <v>97</v>
      </c>
      <c r="C38" s="3"/>
      <c r="D38" s="17">
        <f>D37/(1000*1000)</f>
        <v>1.5707963267948967E-2</v>
      </c>
      <c r="E38" s="5" t="s">
        <v>101</v>
      </c>
    </row>
    <row r="39" spans="2:5" x14ac:dyDescent="0.6">
      <c r="B39" s="4" t="s">
        <v>74</v>
      </c>
      <c r="C39" s="3" t="s">
        <v>96</v>
      </c>
      <c r="D39" s="17">
        <f>$C$7*D36</f>
        <v>0.28300513821088052</v>
      </c>
      <c r="E39" s="5" t="s">
        <v>88</v>
      </c>
    </row>
    <row r="40" spans="2:5" x14ac:dyDescent="0.6">
      <c r="B40" s="6" t="s">
        <v>74</v>
      </c>
      <c r="C40" s="7"/>
      <c r="D40" s="22">
        <f>D39*1000</f>
        <v>283.00513821088055</v>
      </c>
      <c r="E40" s="8" t="s">
        <v>89</v>
      </c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65472E31-3765-488D-A681-5A7FE77B008F}">
          <x14:formula1>
            <xm:f>Setup!$B$4:$B$70</xm:f>
          </x14:formula1>
          <xm:sqref>C6</xm:sqref>
        </x14:dataValidation>
        <x14:dataValidation type="list" allowBlank="1" showInputMessage="1" showErrorMessage="1" xr:uid="{660B0DDF-59A2-4AA1-AFCB-384445C9CF0C}">
          <x14:formula1>
            <xm:f>Setup!$G$4:$G$8</xm:f>
          </x14:formula1>
          <xm:sqref>C4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19E336-512C-4D38-BB5C-93D5965F59E9}">
  <dimension ref="B2:I70"/>
  <sheetViews>
    <sheetView showGridLines="0" zoomScale="130" zoomScaleNormal="130" workbookViewId="0">
      <pane ySplit="3" topLeftCell="A4" activePane="bottomLeft" state="frozen"/>
      <selection pane="bottomLeft" activeCell="H4" sqref="H4"/>
    </sheetView>
  </sheetViews>
  <sheetFormatPr defaultRowHeight="16.5" x14ac:dyDescent="0.6"/>
  <cols>
    <col min="1" max="1" width="2.59765625" style="1" customWidth="1"/>
    <col min="2" max="2" width="39.9296875" style="1" bestFit="1" customWidth="1"/>
    <col min="3" max="3" width="15.73046875" style="1" bestFit="1" customWidth="1"/>
    <col min="4" max="4" width="16.06640625" style="1" bestFit="1" customWidth="1"/>
    <col min="5" max="5" width="14.796875" style="1" bestFit="1" customWidth="1"/>
    <col min="6" max="6" width="2.59765625" style="1" customWidth="1"/>
    <col min="7" max="7" width="15.59765625" style="1" customWidth="1"/>
    <col min="8" max="8" width="8.59765625" style="1" customWidth="1"/>
    <col min="9" max="9" width="14.06640625" style="1" customWidth="1"/>
    <col min="10" max="16384" width="9.06640625" style="1"/>
  </cols>
  <sheetData>
    <row r="2" spans="2:9" x14ac:dyDescent="0.6">
      <c r="B2" s="1" t="s">
        <v>5</v>
      </c>
      <c r="G2" s="1" t="s">
        <v>83</v>
      </c>
    </row>
    <row r="3" spans="2:9" x14ac:dyDescent="0.6">
      <c r="B3" s="9" t="s">
        <v>71</v>
      </c>
      <c r="C3" s="13" t="s">
        <v>92</v>
      </c>
      <c r="D3" s="10" t="s">
        <v>93</v>
      </c>
      <c r="E3" s="11" t="s">
        <v>94</v>
      </c>
      <c r="G3" s="9" t="s">
        <v>76</v>
      </c>
      <c r="H3" s="10" t="s">
        <v>98</v>
      </c>
      <c r="I3" s="11" t="s">
        <v>84</v>
      </c>
    </row>
    <row r="4" spans="2:9" x14ac:dyDescent="0.6">
      <c r="B4" s="4" t="s">
        <v>6</v>
      </c>
      <c r="C4" s="14">
        <v>2723</v>
      </c>
      <c r="D4" s="3">
        <v>26.7</v>
      </c>
      <c r="E4" s="5">
        <v>170</v>
      </c>
      <c r="G4" s="4" t="s">
        <v>0</v>
      </c>
      <c r="H4" s="3">
        <v>1000</v>
      </c>
      <c r="I4" s="5" t="s">
        <v>78</v>
      </c>
    </row>
    <row r="5" spans="2:9" x14ac:dyDescent="0.6">
      <c r="B5" s="4" t="s">
        <v>7</v>
      </c>
      <c r="C5" s="14">
        <v>2162</v>
      </c>
      <c r="D5" s="3">
        <v>21.2</v>
      </c>
      <c r="E5" s="5">
        <v>135</v>
      </c>
      <c r="G5" s="4" t="s">
        <v>85</v>
      </c>
      <c r="H5" s="3">
        <v>100</v>
      </c>
      <c r="I5" s="5" t="s">
        <v>81</v>
      </c>
    </row>
    <row r="6" spans="2:9" x14ac:dyDescent="0.6">
      <c r="B6" s="4" t="s">
        <v>8</v>
      </c>
      <c r="C6" s="14">
        <f>(1019 + 1427)/2</f>
        <v>1223</v>
      </c>
      <c r="D6" s="3">
        <f>(10 + 14)/2</f>
        <v>12</v>
      </c>
      <c r="E6" s="5">
        <f>(54 + 89)/2</f>
        <v>71.5</v>
      </c>
      <c r="G6" s="4" t="s">
        <v>77</v>
      </c>
      <c r="H6" s="3">
        <v>1</v>
      </c>
      <c r="I6" s="5" t="s">
        <v>79</v>
      </c>
    </row>
    <row r="7" spans="2:9" x14ac:dyDescent="0.6">
      <c r="B7" s="4" t="s">
        <v>9</v>
      </c>
      <c r="C7" s="14">
        <v>8514</v>
      </c>
      <c r="D7" s="3">
        <v>83.5</v>
      </c>
      <c r="E7" s="5">
        <v>531.5</v>
      </c>
      <c r="G7" s="4" t="s">
        <v>86</v>
      </c>
      <c r="H7" s="3">
        <v>0.30480000000000002</v>
      </c>
      <c r="I7" s="5" t="s">
        <v>80</v>
      </c>
    </row>
    <row r="8" spans="2:9" x14ac:dyDescent="0.6">
      <c r="B8" s="4" t="s">
        <v>10</v>
      </c>
      <c r="C8" s="14">
        <v>8912</v>
      </c>
      <c r="D8" s="3">
        <v>87.4</v>
      </c>
      <c r="E8" s="5">
        <v>556.4</v>
      </c>
      <c r="G8" s="6" t="s">
        <v>82</v>
      </c>
      <c r="H8" s="7">
        <v>1</v>
      </c>
      <c r="I8" s="8" t="s">
        <v>87</v>
      </c>
    </row>
    <row r="9" spans="2:9" x14ac:dyDescent="0.6">
      <c r="B9" s="4" t="s">
        <v>11</v>
      </c>
      <c r="C9" s="14">
        <v>1468</v>
      </c>
      <c r="D9" s="3">
        <v>14.4</v>
      </c>
      <c r="E9" s="5">
        <v>91.7</v>
      </c>
    </row>
    <row r="10" spans="2:9" x14ac:dyDescent="0.6">
      <c r="B10" s="4" t="s">
        <v>11</v>
      </c>
      <c r="C10" s="14">
        <v>2050</v>
      </c>
      <c r="D10" s="3">
        <v>20.100000000000001</v>
      </c>
      <c r="E10" s="5">
        <v>128</v>
      </c>
    </row>
    <row r="11" spans="2:9" x14ac:dyDescent="0.6">
      <c r="B11" s="4" t="s">
        <v>12</v>
      </c>
      <c r="C11" s="14">
        <v>2141</v>
      </c>
      <c r="D11" s="3">
        <v>21</v>
      </c>
      <c r="E11" s="5">
        <v>133.69999999999999</v>
      </c>
    </row>
    <row r="12" spans="2:9" x14ac:dyDescent="0.6">
      <c r="B12" s="4" t="s">
        <v>13</v>
      </c>
      <c r="C12" s="14">
        <v>1937</v>
      </c>
      <c r="D12" s="3">
        <v>19</v>
      </c>
      <c r="E12" s="5">
        <v>120.9</v>
      </c>
    </row>
    <row r="13" spans="2:9" x14ac:dyDescent="0.6">
      <c r="B13" s="4" t="s">
        <v>14</v>
      </c>
      <c r="C13" s="14">
        <v>2447</v>
      </c>
      <c r="D13" s="3">
        <v>24</v>
      </c>
      <c r="E13" s="5">
        <v>152.80000000000001</v>
      </c>
    </row>
    <row r="14" spans="2:9" x14ac:dyDescent="0.6">
      <c r="B14" s="4" t="s">
        <v>15</v>
      </c>
      <c r="C14" s="14">
        <v>8800</v>
      </c>
      <c r="D14" s="3">
        <v>86.3</v>
      </c>
      <c r="E14" s="5">
        <v>549.4</v>
      </c>
    </row>
    <row r="15" spans="2:9" x14ac:dyDescent="0.6">
      <c r="B15" s="4" t="s">
        <v>16</v>
      </c>
      <c r="C15" s="14">
        <v>173</v>
      </c>
      <c r="D15" s="3">
        <v>1.7</v>
      </c>
      <c r="E15" s="5">
        <v>10.8</v>
      </c>
    </row>
    <row r="16" spans="2:9" x14ac:dyDescent="0.6">
      <c r="B16" s="4" t="s">
        <v>17</v>
      </c>
      <c r="C16" s="14">
        <v>377</v>
      </c>
      <c r="D16" s="3">
        <v>3.7</v>
      </c>
      <c r="E16" s="5">
        <v>23.6</v>
      </c>
    </row>
    <row r="17" spans="2:5" x14ac:dyDescent="0.6">
      <c r="B17" s="4" t="s">
        <v>18</v>
      </c>
      <c r="C17" s="14">
        <v>1448</v>
      </c>
      <c r="D17" s="3">
        <v>14.2</v>
      </c>
      <c r="E17" s="5">
        <v>90.4</v>
      </c>
    </row>
    <row r="18" spans="2:5" x14ac:dyDescent="0.6">
      <c r="B18" s="4" t="s">
        <v>19</v>
      </c>
      <c r="C18" s="14">
        <v>1754</v>
      </c>
      <c r="D18" s="3">
        <v>17.2</v>
      </c>
      <c r="E18" s="5">
        <v>109.5</v>
      </c>
    </row>
    <row r="19" spans="2:5" x14ac:dyDescent="0.6">
      <c r="B19" s="4" t="s">
        <v>20</v>
      </c>
      <c r="C19" s="14">
        <v>928</v>
      </c>
      <c r="D19" s="3">
        <v>9.1</v>
      </c>
      <c r="E19" s="5">
        <v>57.9</v>
      </c>
    </row>
    <row r="20" spans="2:5" x14ac:dyDescent="0.6">
      <c r="B20" s="4" t="s">
        <v>21</v>
      </c>
      <c r="C20" s="14">
        <v>704</v>
      </c>
      <c r="D20" s="3">
        <v>6.9</v>
      </c>
      <c r="E20" s="5">
        <v>43.9</v>
      </c>
    </row>
    <row r="21" spans="2:5" x14ac:dyDescent="0.6">
      <c r="B21" s="4" t="s">
        <v>22</v>
      </c>
      <c r="C21" s="14">
        <v>2600</v>
      </c>
      <c r="D21" s="3">
        <v>25.5</v>
      </c>
      <c r="E21" s="5">
        <v>162.30000000000001</v>
      </c>
    </row>
    <row r="22" spans="2:5" x14ac:dyDescent="0.6">
      <c r="B22" s="4" t="s">
        <v>23</v>
      </c>
      <c r="C22" s="14">
        <v>2039</v>
      </c>
      <c r="D22" s="3">
        <v>20</v>
      </c>
      <c r="E22" s="5">
        <v>127.3</v>
      </c>
    </row>
    <row r="23" spans="2:5" x14ac:dyDescent="0.6">
      <c r="B23" s="4" t="s">
        <v>24</v>
      </c>
      <c r="C23" s="14">
        <v>2692</v>
      </c>
      <c r="D23" s="3">
        <v>26.4</v>
      </c>
      <c r="E23" s="5">
        <v>168.1</v>
      </c>
    </row>
    <row r="24" spans="2:5" x14ac:dyDescent="0.6">
      <c r="B24" s="4" t="s">
        <v>25</v>
      </c>
      <c r="C24" s="14">
        <v>7209</v>
      </c>
      <c r="D24" s="3">
        <v>70.7</v>
      </c>
      <c r="E24" s="5">
        <v>450.1</v>
      </c>
    </row>
    <row r="25" spans="2:5" x14ac:dyDescent="0.6">
      <c r="B25" s="4" t="s">
        <v>26</v>
      </c>
      <c r="C25" s="14">
        <v>11319</v>
      </c>
      <c r="D25" s="3">
        <v>111</v>
      </c>
      <c r="E25" s="5">
        <v>706.6</v>
      </c>
    </row>
    <row r="26" spans="2:5" x14ac:dyDescent="0.6">
      <c r="B26" s="4" t="s">
        <v>27</v>
      </c>
      <c r="C26" s="14">
        <v>2498</v>
      </c>
      <c r="D26" s="3">
        <v>24.5</v>
      </c>
      <c r="E26" s="5">
        <v>156</v>
      </c>
    </row>
    <row r="27" spans="2:5" x14ac:dyDescent="0.6">
      <c r="B27" s="4" t="s">
        <v>28</v>
      </c>
      <c r="C27" s="14">
        <v>1275</v>
      </c>
      <c r="D27" s="3">
        <v>12.5</v>
      </c>
      <c r="E27" s="5">
        <v>79.599999999999994</v>
      </c>
    </row>
    <row r="28" spans="2:5" x14ac:dyDescent="0.6">
      <c r="B28" s="4" t="s">
        <v>29</v>
      </c>
      <c r="C28" s="14">
        <v>1774</v>
      </c>
      <c r="D28" s="3">
        <v>17.399999999999999</v>
      </c>
      <c r="E28" s="5">
        <v>110.8</v>
      </c>
    </row>
    <row r="29" spans="2:5" x14ac:dyDescent="0.6">
      <c r="B29" s="4" t="s">
        <v>30</v>
      </c>
      <c r="C29" s="14">
        <v>2702</v>
      </c>
      <c r="D29" s="3">
        <v>26.5</v>
      </c>
      <c r="E29" s="5">
        <v>168.7</v>
      </c>
    </row>
    <row r="30" spans="2:5" x14ac:dyDescent="0.6">
      <c r="B30" s="4" t="s">
        <v>31</v>
      </c>
      <c r="C30" s="14">
        <v>9086</v>
      </c>
      <c r="D30" s="3">
        <v>89.1</v>
      </c>
      <c r="E30" s="5">
        <v>567.20000000000005</v>
      </c>
    </row>
    <row r="31" spans="2:5" x14ac:dyDescent="0.6">
      <c r="B31" s="4" t="s">
        <v>32</v>
      </c>
      <c r="C31" s="14">
        <v>704</v>
      </c>
      <c r="D31" s="3">
        <v>6.9</v>
      </c>
      <c r="E31" s="5">
        <v>43.9</v>
      </c>
    </row>
    <row r="32" spans="2:5" x14ac:dyDescent="0.6">
      <c r="B32" s="4" t="s">
        <v>33</v>
      </c>
      <c r="C32" s="14">
        <v>2039</v>
      </c>
      <c r="D32" s="3">
        <v>20</v>
      </c>
      <c r="E32" s="5">
        <v>127.3</v>
      </c>
    </row>
    <row r="33" spans="2:5" x14ac:dyDescent="0.6">
      <c r="B33" s="4" t="s">
        <v>34</v>
      </c>
      <c r="C33" s="14">
        <v>2294</v>
      </c>
      <c r="D33" s="3">
        <v>22.5</v>
      </c>
      <c r="E33" s="5">
        <v>143.19999999999999</v>
      </c>
    </row>
    <row r="34" spans="2:5" x14ac:dyDescent="0.6">
      <c r="B34" s="4" t="s">
        <v>35</v>
      </c>
      <c r="C34" s="14">
        <v>1835</v>
      </c>
      <c r="D34" s="3">
        <v>18</v>
      </c>
      <c r="E34" s="5">
        <v>114.6</v>
      </c>
    </row>
    <row r="35" spans="2:5" x14ac:dyDescent="0.6">
      <c r="B35" s="4" t="s">
        <v>36</v>
      </c>
      <c r="C35" s="14">
        <v>2549</v>
      </c>
      <c r="D35" s="3">
        <v>25</v>
      </c>
      <c r="E35" s="5">
        <v>159.1</v>
      </c>
    </row>
    <row r="36" spans="2:5" x14ac:dyDescent="0.6">
      <c r="B36" s="4" t="s">
        <v>37</v>
      </c>
      <c r="C36" s="14">
        <v>2141</v>
      </c>
      <c r="D36" s="3">
        <v>21</v>
      </c>
      <c r="E36" s="5">
        <v>133.69999999999999</v>
      </c>
    </row>
    <row r="37" spans="2:5" x14ac:dyDescent="0.6">
      <c r="B37" s="4" t="s">
        <v>38</v>
      </c>
      <c r="C37" s="14">
        <v>7841</v>
      </c>
      <c r="D37" s="3">
        <v>76.900000000000006</v>
      </c>
      <c r="E37" s="5">
        <v>489.5</v>
      </c>
    </row>
    <row r="38" spans="2:5" x14ac:dyDescent="0.6">
      <c r="B38" s="4" t="s">
        <v>39</v>
      </c>
      <c r="C38" s="14">
        <v>540</v>
      </c>
      <c r="D38" s="3">
        <v>5.3</v>
      </c>
      <c r="E38" s="5">
        <v>33.700000000000003</v>
      </c>
    </row>
    <row r="39" spans="2:5" x14ac:dyDescent="0.6">
      <c r="B39" s="4" t="s">
        <v>40</v>
      </c>
      <c r="C39" s="14">
        <v>469</v>
      </c>
      <c r="D39" s="3">
        <v>4.5999999999999996</v>
      </c>
      <c r="E39" s="5">
        <v>29.3</v>
      </c>
    </row>
    <row r="40" spans="2:5" x14ac:dyDescent="0.6">
      <c r="B40" s="4" t="s">
        <v>41</v>
      </c>
      <c r="C40" s="14">
        <v>714</v>
      </c>
      <c r="D40" s="3">
        <v>7</v>
      </c>
      <c r="E40" s="5">
        <v>44.6</v>
      </c>
    </row>
    <row r="41" spans="2:5" x14ac:dyDescent="0.6">
      <c r="B41" s="4" t="s">
        <v>42</v>
      </c>
      <c r="C41" s="14">
        <v>561</v>
      </c>
      <c r="D41" s="3">
        <v>5.5</v>
      </c>
      <c r="E41" s="5">
        <v>35</v>
      </c>
    </row>
    <row r="42" spans="2:5" x14ac:dyDescent="0.6">
      <c r="B42" s="4" t="s">
        <v>43</v>
      </c>
      <c r="C42" s="14">
        <v>540</v>
      </c>
      <c r="D42" s="3">
        <v>5.3</v>
      </c>
      <c r="E42" s="5">
        <v>33.700000000000003</v>
      </c>
    </row>
    <row r="43" spans="2:5" x14ac:dyDescent="0.6">
      <c r="B43" s="4" t="s">
        <v>44</v>
      </c>
      <c r="C43" s="14">
        <v>887</v>
      </c>
      <c r="D43" s="3">
        <v>8.6999999999999993</v>
      </c>
      <c r="E43" s="5">
        <v>55.4</v>
      </c>
    </row>
    <row r="44" spans="2:5" x14ac:dyDescent="0.6">
      <c r="B44" s="4" t="s">
        <v>45</v>
      </c>
      <c r="C44" s="14">
        <v>1081</v>
      </c>
      <c r="D44" s="3">
        <v>10.6</v>
      </c>
      <c r="E44" s="5">
        <v>67.5</v>
      </c>
    </row>
    <row r="45" spans="2:5" x14ac:dyDescent="0.6">
      <c r="B45" s="4" t="s">
        <v>46</v>
      </c>
      <c r="C45" s="14">
        <v>1122</v>
      </c>
      <c r="D45" s="3">
        <v>11</v>
      </c>
      <c r="E45" s="5">
        <v>70</v>
      </c>
    </row>
    <row r="46" spans="2:5" x14ac:dyDescent="0.6">
      <c r="B46" s="4" t="s">
        <v>47</v>
      </c>
      <c r="C46" s="14">
        <v>816</v>
      </c>
      <c r="D46" s="3">
        <v>8</v>
      </c>
      <c r="E46" s="5">
        <v>50.9</v>
      </c>
    </row>
    <row r="47" spans="2:5" x14ac:dyDescent="0.6">
      <c r="B47" s="4" t="s">
        <v>48</v>
      </c>
      <c r="C47" s="14">
        <v>1020</v>
      </c>
      <c r="D47" s="3">
        <v>10</v>
      </c>
      <c r="E47" s="5">
        <v>63.7</v>
      </c>
    </row>
    <row r="48" spans="2:5" x14ac:dyDescent="0.6">
      <c r="B48" s="4" t="s">
        <v>49</v>
      </c>
      <c r="C48" s="14">
        <v>1020</v>
      </c>
      <c r="D48" s="3">
        <v>10</v>
      </c>
      <c r="E48" s="5">
        <v>63.7</v>
      </c>
    </row>
    <row r="49" spans="2:5" x14ac:dyDescent="0.6">
      <c r="B49" s="4" t="s">
        <v>50</v>
      </c>
      <c r="C49" s="14">
        <v>969</v>
      </c>
      <c r="D49" s="3">
        <v>9.5</v>
      </c>
      <c r="E49" s="5">
        <v>60.5</v>
      </c>
    </row>
    <row r="50" spans="2:5" x14ac:dyDescent="0.6">
      <c r="B50" s="4" t="s">
        <v>51</v>
      </c>
      <c r="C50" s="14">
        <v>969</v>
      </c>
      <c r="D50" s="3">
        <v>9.5</v>
      </c>
      <c r="E50" s="5">
        <v>60.5</v>
      </c>
    </row>
    <row r="51" spans="2:5" x14ac:dyDescent="0.6">
      <c r="B51" s="4" t="s">
        <v>52</v>
      </c>
      <c r="C51" s="14">
        <v>642</v>
      </c>
      <c r="D51" s="3">
        <v>6.3</v>
      </c>
      <c r="E51" s="5">
        <v>40.1</v>
      </c>
    </row>
    <row r="52" spans="2:5" x14ac:dyDescent="0.6">
      <c r="B52" s="4" t="s">
        <v>53</v>
      </c>
      <c r="C52" s="14">
        <v>714</v>
      </c>
      <c r="D52" s="3">
        <v>7</v>
      </c>
      <c r="E52" s="5">
        <v>44.6</v>
      </c>
    </row>
    <row r="53" spans="2:5" x14ac:dyDescent="0.6">
      <c r="B53" s="4" t="s">
        <v>54</v>
      </c>
      <c r="C53" s="14">
        <v>867</v>
      </c>
      <c r="D53" s="3">
        <v>8.5</v>
      </c>
      <c r="E53" s="5">
        <v>54.1</v>
      </c>
    </row>
    <row r="54" spans="2:5" x14ac:dyDescent="0.6">
      <c r="B54" s="4" t="s">
        <v>55</v>
      </c>
      <c r="C54" s="14">
        <v>775</v>
      </c>
      <c r="D54" s="3">
        <v>7.6</v>
      </c>
      <c r="E54" s="5">
        <v>48.4</v>
      </c>
    </row>
    <row r="55" spans="2:5" x14ac:dyDescent="0.6">
      <c r="B55" s="4" t="s">
        <v>56</v>
      </c>
      <c r="C55" s="14">
        <v>602</v>
      </c>
      <c r="D55" s="3">
        <v>5.9</v>
      </c>
      <c r="E55" s="5">
        <v>37.6</v>
      </c>
    </row>
    <row r="56" spans="2:5" x14ac:dyDescent="0.6">
      <c r="B56" s="4" t="s">
        <v>57</v>
      </c>
      <c r="C56" s="14">
        <v>795</v>
      </c>
      <c r="D56" s="3">
        <v>7.8</v>
      </c>
      <c r="E56" s="5">
        <v>49.7</v>
      </c>
    </row>
    <row r="57" spans="2:5" x14ac:dyDescent="0.6">
      <c r="B57" s="4" t="s">
        <v>58</v>
      </c>
      <c r="C57" s="14">
        <f>(978 + 1142)/2</f>
        <v>1060</v>
      </c>
      <c r="D57" s="3">
        <f>(9.6 + 11.2)/2</f>
        <v>10.399999999999999</v>
      </c>
      <c r="E57" s="5">
        <f>(61 + 71)/2</f>
        <v>66</v>
      </c>
    </row>
    <row r="58" spans="2:5" x14ac:dyDescent="0.6">
      <c r="B58" s="4" t="s">
        <v>59</v>
      </c>
      <c r="C58" s="14">
        <v>683</v>
      </c>
      <c r="D58" s="3">
        <v>6.7</v>
      </c>
      <c r="E58" s="5">
        <v>42.7</v>
      </c>
    </row>
    <row r="59" spans="2:5" x14ac:dyDescent="0.6">
      <c r="B59" s="4" t="s">
        <v>60</v>
      </c>
      <c r="C59" s="14">
        <v>683</v>
      </c>
      <c r="D59" s="3">
        <v>6.7</v>
      </c>
      <c r="E59" s="5">
        <v>42.7</v>
      </c>
    </row>
    <row r="60" spans="2:5" x14ac:dyDescent="0.6">
      <c r="B60" s="4" t="s">
        <v>61</v>
      </c>
      <c r="C60" s="14">
        <v>551</v>
      </c>
      <c r="D60" s="3">
        <v>5.4</v>
      </c>
      <c r="E60" s="5">
        <v>34.4</v>
      </c>
    </row>
    <row r="61" spans="2:5" x14ac:dyDescent="0.6">
      <c r="B61" s="4" t="s">
        <v>62</v>
      </c>
      <c r="C61" s="14">
        <v>173</v>
      </c>
      <c r="D61" s="3">
        <v>1.7</v>
      </c>
      <c r="E61" s="5">
        <v>10.8</v>
      </c>
    </row>
    <row r="62" spans="2:5" x14ac:dyDescent="0.6">
      <c r="B62" s="4" t="s">
        <v>63</v>
      </c>
      <c r="C62" s="14">
        <f>(305 + 407)/2</f>
        <v>356</v>
      </c>
      <c r="D62" s="3">
        <f>(3 + 4)/2</f>
        <v>3.5</v>
      </c>
      <c r="E62" s="5">
        <f>(19 + 25)/2</f>
        <v>22</v>
      </c>
    </row>
    <row r="63" spans="2:5" x14ac:dyDescent="0.6">
      <c r="B63" s="4" t="s">
        <v>64</v>
      </c>
      <c r="C63" s="14">
        <v>387</v>
      </c>
      <c r="D63" s="3">
        <v>3.8</v>
      </c>
      <c r="E63" s="5">
        <v>24.2</v>
      </c>
    </row>
    <row r="64" spans="2:5" x14ac:dyDescent="0.6">
      <c r="B64" s="4" t="s">
        <v>65</v>
      </c>
      <c r="C64" s="14">
        <v>428</v>
      </c>
      <c r="D64" s="3">
        <v>4.2</v>
      </c>
      <c r="E64" s="5">
        <v>26.7</v>
      </c>
    </row>
    <row r="65" spans="2:5" x14ac:dyDescent="0.6">
      <c r="B65" s="4" t="s">
        <v>66</v>
      </c>
      <c r="C65" s="14">
        <v>459</v>
      </c>
      <c r="D65" s="3">
        <v>4.5</v>
      </c>
      <c r="E65" s="5">
        <v>28.6</v>
      </c>
    </row>
    <row r="66" spans="2:5" x14ac:dyDescent="0.6">
      <c r="B66" s="4" t="s">
        <v>67</v>
      </c>
      <c r="C66" s="14">
        <v>520</v>
      </c>
      <c r="D66" s="3">
        <v>5.0999999999999996</v>
      </c>
      <c r="E66" s="5">
        <v>32.5</v>
      </c>
    </row>
    <row r="67" spans="2:5" x14ac:dyDescent="0.6">
      <c r="B67" s="4" t="s">
        <v>68</v>
      </c>
      <c r="C67" s="14">
        <v>7423</v>
      </c>
      <c r="D67" s="3">
        <v>72.8</v>
      </c>
      <c r="E67" s="5">
        <v>463.4</v>
      </c>
    </row>
    <row r="68" spans="2:5" x14ac:dyDescent="0.6">
      <c r="B68" s="4" t="s">
        <v>69</v>
      </c>
      <c r="C68" s="14">
        <v>1020</v>
      </c>
      <c r="D68" s="3">
        <v>10</v>
      </c>
      <c r="E68" s="5">
        <v>63.7</v>
      </c>
    </row>
    <row r="69" spans="2:5" x14ac:dyDescent="0.6">
      <c r="B69" s="4" t="s">
        <v>70</v>
      </c>
      <c r="C69" s="14">
        <v>7138</v>
      </c>
      <c r="D69" s="3">
        <v>70</v>
      </c>
      <c r="E69" s="5">
        <v>445.6</v>
      </c>
    </row>
    <row r="70" spans="2:5" x14ac:dyDescent="0.6">
      <c r="B70" s="6" t="s">
        <v>82</v>
      </c>
      <c r="C70" s="15">
        <v>1</v>
      </c>
      <c r="D70" s="7">
        <v>1</v>
      </c>
      <c r="E70" s="8">
        <v>1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72B8C-3F93-4DD9-AAD5-70D661FB4749}">
  <dimension ref="B2:B4"/>
  <sheetViews>
    <sheetView showGridLines="0" workbookViewId="0">
      <selection sqref="A1:XFD1048576"/>
    </sheetView>
  </sheetViews>
  <sheetFormatPr defaultRowHeight="16.5" x14ac:dyDescent="0.6"/>
  <cols>
    <col min="1" max="1" width="2.59765625" style="1" customWidth="1"/>
    <col min="2" max="2" width="90.9296875" style="1" customWidth="1"/>
    <col min="3" max="16384" width="9.06640625" style="1"/>
  </cols>
  <sheetData>
    <row r="2" spans="2:2" x14ac:dyDescent="0.6">
      <c r="B2" s="1" t="s">
        <v>4</v>
      </c>
    </row>
    <row r="3" spans="2:2" x14ac:dyDescent="0.6">
      <c r="B3" s="12" t="s">
        <v>3</v>
      </c>
    </row>
    <row r="4" spans="2:2" x14ac:dyDescent="0.6">
      <c r="B4" s="12" t="s">
        <v>75</v>
      </c>
    </row>
  </sheetData>
  <hyperlinks>
    <hyperlink ref="B3" r:id="rId1" xr:uid="{19D164C5-C649-4719-AABE-90BC2C8B6B0D}"/>
    <hyperlink ref="B4" r:id="rId2" xr:uid="{DCE20C30-E45D-473C-B994-ECCB647E587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Solid</vt:lpstr>
      <vt:lpstr>Setup</vt:lpstr>
      <vt:lpstr>Metadata</vt:lpstr>
      <vt:lpstr>Units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RICARDO AGUILAR PIÑA</dc:creator>
  <cp:lastModifiedBy>WILLIAM RICARDO AGUILAR PIÑA</cp:lastModifiedBy>
  <dcterms:created xsi:type="dcterms:W3CDTF">2025-07-07T18:46:02Z</dcterms:created>
  <dcterms:modified xsi:type="dcterms:W3CDTF">2025-07-10T23:09:31Z</dcterms:modified>
</cp:coreProperties>
</file>