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4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2522759B-2FB0-493B-BF45-F0B3091F2084}" xr6:coauthVersionLast="47" xr6:coauthVersionMax="47" xr10:uidLastSave="{00000000-0000-0000-0000-000000000000}"/>
  <bookViews>
    <workbookView xWindow="-28898" yWindow="6323" windowWidth="28996" windowHeight="15675" xr2:uid="{85940953-CB19-47BF-B353-0BB449A22871}"/>
  </bookViews>
  <sheets>
    <sheet name="Luminari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1" l="1"/>
  <c r="E10" i="1"/>
  <c r="F10" i="1" s="1"/>
  <c r="G10" i="1" s="1"/>
  <c r="E9" i="1"/>
  <c r="F9" i="1" s="1"/>
  <c r="G9" i="1" s="1"/>
  <c r="E8" i="1"/>
  <c r="F8" i="1" s="1"/>
  <c r="G8" i="1" s="1"/>
  <c r="C11" i="1"/>
  <c r="G11" i="1" l="1"/>
  <c r="H8" i="1" s="1"/>
  <c r="F11" i="1"/>
  <c r="C15" i="1" l="1"/>
  <c r="C16" i="1"/>
  <c r="H10" i="1"/>
  <c r="H9" i="1"/>
  <c r="D22" i="1" l="1"/>
  <c r="D23" i="1"/>
  <c r="D20" i="1"/>
  <c r="D19" i="1"/>
  <c r="D21" i="1"/>
  <c r="H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Test</author>
  </authors>
  <commentList>
    <comment ref="D7" authorId="0" shapeId="0" xr:uid="{4ABBA72E-6F12-4A80-B2BB-455BC2378CDA}">
      <text>
        <r>
          <rPr>
            <sz val="9"/>
            <color indexed="81"/>
            <rFont val="Tahoma"/>
            <family val="2"/>
          </rPr>
          <t>Por hora</t>
        </r>
      </text>
    </comment>
    <comment ref="C21" authorId="0" shapeId="0" xr:uid="{F6D654B6-8E83-4D4C-A5C6-AE230C9FA8C2}">
      <text>
        <r>
          <rPr>
            <sz val="9"/>
            <color indexed="81"/>
            <rFont val="Tahoma"/>
            <family val="2"/>
          </rPr>
          <t>=2100/12</t>
        </r>
      </text>
    </comment>
  </commentList>
</comments>
</file>

<file path=xl/sharedStrings.xml><?xml version="1.0" encoding="utf-8"?>
<sst xmlns="http://schemas.openxmlformats.org/spreadsheetml/2006/main" count="26" uniqueCount="26">
  <si>
    <t>LED</t>
  </si>
  <si>
    <t>Halogenuro Metálico (MH)</t>
  </si>
  <si>
    <t>Sodio (Na)</t>
  </si>
  <si>
    <t>Tipo de luminaria</t>
  </si>
  <si>
    <t>Total</t>
  </si>
  <si>
    <t>Potencia (Watt)</t>
  </si>
  <si>
    <t># Lámparas</t>
  </si>
  <si>
    <t>Horas de uso</t>
  </si>
  <si>
    <t>Tarifa eléctrica ($ por kilovatio-hora (kWh))</t>
  </si>
  <si>
    <t>Potencia (kWatt)</t>
  </si>
  <si>
    <t>Costo anual en millones de $</t>
  </si>
  <si>
    <t>Dias promedio por mes</t>
  </si>
  <si>
    <t>% distribuido de costo</t>
  </si>
  <si>
    <t>Consumo
(kWh-mes)</t>
  </si>
  <si>
    <t>Estimación de consumo eléctrico de luminarias y costo de iluminación en Bogotá D.C.</t>
  </si>
  <si>
    <t>Consumo en GWh-mes</t>
  </si>
  <si>
    <t>Turbina hidráulica</t>
  </si>
  <si>
    <t>Consumo en MWh-mes</t>
  </si>
  <si>
    <t>Turbina eólica</t>
  </si>
  <si>
    <t>Granja solar 1 MW</t>
  </si>
  <si>
    <t>Generación (MWh-mes)</t>
  </si>
  <si>
    <t>Generación eléctrica requerida por tipo de tecnología</t>
  </si>
  <si>
    <t>Tipo de tecnología</t>
  </si>
  <si>
    <t>Planta nuclear 1000 MW</t>
  </si>
  <si>
    <t>Unidades requeridas</t>
  </si>
  <si>
    <t>Termoeléctrica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</si>
</sst>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0.0"/>
    <numFmt numFmtId="169" formatCode="0.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9"/>
      <color indexed="81"/>
      <name val="Tahoma"/>
      <family val="2"/>
    </font>
    <font>
      <sz val="11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vertical="top"/>
    </xf>
    <xf numFmtId="0" fontId="4" fillId="0" borderId="5" xfId="0" applyFont="1" applyBorder="1" applyAlignment="1">
      <alignment horizontal="center" vertical="top"/>
    </xf>
    <xf numFmtId="0" fontId="4" fillId="0" borderId="7" xfId="0" applyFont="1" applyBorder="1" applyAlignment="1">
      <alignment horizontal="center" vertical="top"/>
    </xf>
    <xf numFmtId="0" fontId="2" fillId="2" borderId="2" xfId="0" applyFont="1" applyFill="1" applyBorder="1" applyAlignment="1">
      <alignment vertical="top"/>
    </xf>
    <xf numFmtId="0" fontId="2" fillId="2" borderId="4" xfId="0" applyFont="1" applyFill="1" applyBorder="1" applyAlignment="1">
      <alignment vertical="top"/>
    </xf>
    <xf numFmtId="0" fontId="2" fillId="2" borderId="6" xfId="0" applyFont="1" applyFill="1" applyBorder="1" applyAlignment="1">
      <alignment vertical="top" wrapText="1"/>
    </xf>
    <xf numFmtId="169" fontId="2" fillId="0" borderId="1" xfId="0" applyNumberFormat="1" applyFont="1" applyBorder="1" applyAlignment="1">
      <alignment horizontal="center" vertical="top"/>
    </xf>
    <xf numFmtId="168" fontId="2" fillId="0" borderId="1" xfId="0" applyNumberFormat="1" applyFont="1" applyBorder="1" applyAlignment="1">
      <alignment horizontal="center" vertical="top"/>
    </xf>
    <xf numFmtId="10" fontId="2" fillId="0" borderId="5" xfId="1" applyNumberFormat="1" applyFont="1" applyBorder="1" applyAlignment="1">
      <alignment horizontal="center" vertical="top"/>
    </xf>
    <xf numFmtId="0" fontId="2" fillId="0" borderId="6" xfId="0" applyFont="1" applyBorder="1" applyAlignment="1">
      <alignment vertical="top"/>
    </xf>
    <xf numFmtId="0" fontId="2" fillId="2" borderId="2" xfId="0" applyFont="1" applyFill="1" applyBorder="1" applyAlignment="1">
      <alignment vertical="top" wrapText="1"/>
    </xf>
    <xf numFmtId="0" fontId="2" fillId="2" borderId="8" xfId="0" applyFont="1" applyFill="1" applyBorder="1" applyAlignment="1">
      <alignment horizontal="center" vertical="top" wrapText="1"/>
    </xf>
    <xf numFmtId="0" fontId="2" fillId="2" borderId="3" xfId="0" applyFont="1" applyFill="1" applyBorder="1" applyAlignment="1">
      <alignment horizontal="center" vertical="top" wrapText="1"/>
    </xf>
    <xf numFmtId="0" fontId="2" fillId="2" borderId="6" xfId="0" applyFont="1" applyFill="1" applyBorder="1" applyAlignment="1">
      <alignment vertical="top"/>
    </xf>
    <xf numFmtId="0" fontId="2" fillId="2" borderId="9" xfId="0" applyFont="1" applyFill="1" applyBorder="1" applyAlignment="1">
      <alignment horizontal="center" vertical="top"/>
    </xf>
    <xf numFmtId="2" fontId="2" fillId="2" borderId="9" xfId="0" applyNumberFormat="1" applyFont="1" applyFill="1" applyBorder="1" applyAlignment="1">
      <alignment vertical="top"/>
    </xf>
    <xf numFmtId="168" fontId="2" fillId="2" borderId="9" xfId="0" applyNumberFormat="1" applyFont="1" applyFill="1" applyBorder="1" applyAlignment="1">
      <alignment horizontal="center" vertical="top"/>
    </xf>
    <xf numFmtId="10" fontId="2" fillId="2" borderId="7" xfId="1" applyNumberFormat="1" applyFont="1" applyFill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7" xfId="0" applyFont="1" applyBorder="1" applyAlignment="1">
      <alignment horizontal="center" vertical="top"/>
    </xf>
    <xf numFmtId="0" fontId="4" fillId="0" borderId="9" xfId="0" applyFont="1" applyBorder="1" applyAlignment="1">
      <alignment horizontal="center" vertical="top"/>
    </xf>
    <xf numFmtId="0" fontId="2" fillId="0" borderId="10" xfId="0" applyFont="1" applyBorder="1" applyAlignment="1">
      <alignment vertical="top"/>
    </xf>
    <xf numFmtId="0" fontId="4" fillId="0" borderId="11" xfId="0" applyFont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747BF-5D31-41A9-84AC-A476BC03E676}">
  <dimension ref="B2:H23"/>
  <sheetViews>
    <sheetView showGridLines="0" tabSelected="1" zoomScale="145" zoomScaleNormal="145" workbookViewId="0">
      <pane ySplit="7" topLeftCell="A8" activePane="bottomLeft" state="frozen"/>
      <selection pane="bottomLeft" activeCell="F15" sqref="F15"/>
    </sheetView>
  </sheetViews>
  <sheetFormatPr defaultRowHeight="16.5" x14ac:dyDescent="0.45"/>
  <cols>
    <col min="1" max="1" width="2.59765625" style="1" customWidth="1"/>
    <col min="2" max="2" width="24.73046875" style="1" customWidth="1"/>
    <col min="3" max="3" width="13.19921875" style="2" customWidth="1"/>
    <col min="4" max="4" width="10.86328125" style="2" customWidth="1"/>
    <col min="5" max="5" width="10.86328125" style="1" customWidth="1"/>
    <col min="6" max="6" width="13.53125" style="2" customWidth="1"/>
    <col min="7" max="7" width="14.6640625" style="2" customWidth="1"/>
    <col min="8" max="8" width="13.1328125" style="1" customWidth="1"/>
    <col min="9" max="16384" width="9.06640625" style="1"/>
  </cols>
  <sheetData>
    <row r="2" spans="2:8" x14ac:dyDescent="0.45">
      <c r="B2" s="1" t="s">
        <v>14</v>
      </c>
    </row>
    <row r="3" spans="2:8" x14ac:dyDescent="0.45">
      <c r="B3" s="8" t="s">
        <v>7</v>
      </c>
      <c r="C3" s="4">
        <v>8</v>
      </c>
    </row>
    <row r="4" spans="2:8" x14ac:dyDescent="0.45">
      <c r="B4" s="9" t="s">
        <v>11</v>
      </c>
      <c r="C4" s="6">
        <v>30</v>
      </c>
    </row>
    <row r="5" spans="2:8" ht="33" x14ac:dyDescent="0.45">
      <c r="B5" s="10" t="s">
        <v>8</v>
      </c>
      <c r="C5" s="7">
        <v>650</v>
      </c>
    </row>
    <row r="7" spans="2:8" ht="33" x14ac:dyDescent="0.45">
      <c r="B7" s="15" t="s">
        <v>3</v>
      </c>
      <c r="C7" s="16" t="s">
        <v>6</v>
      </c>
      <c r="D7" s="16" t="s">
        <v>5</v>
      </c>
      <c r="E7" s="16" t="s">
        <v>9</v>
      </c>
      <c r="F7" s="16" t="s">
        <v>13</v>
      </c>
      <c r="G7" s="16" t="s">
        <v>10</v>
      </c>
      <c r="H7" s="17" t="s">
        <v>12</v>
      </c>
    </row>
    <row r="8" spans="2:8" x14ac:dyDescent="0.45">
      <c r="B8" s="5" t="s">
        <v>0</v>
      </c>
      <c r="C8" s="3">
        <v>159016</v>
      </c>
      <c r="D8" s="3">
        <v>40</v>
      </c>
      <c r="E8" s="11">
        <f>D8/1000</f>
        <v>0.04</v>
      </c>
      <c r="F8" s="12">
        <f>C8*E8*$C$3*$C$4</f>
        <v>1526553.6000000001</v>
      </c>
      <c r="G8" s="12">
        <f>F8*$C$5/1000000</f>
        <v>992.25984000000017</v>
      </c>
      <c r="H8" s="13">
        <f>(G8/$G$11)</f>
        <v>0.3641846677077713</v>
      </c>
    </row>
    <row r="9" spans="2:8" x14ac:dyDescent="0.45">
      <c r="B9" s="5" t="s">
        <v>1</v>
      </c>
      <c r="C9" s="3">
        <v>103644</v>
      </c>
      <c r="D9" s="3">
        <v>60</v>
      </c>
      <c r="E9" s="11">
        <f t="shared" ref="E9:E10" si="0">D9/1000</f>
        <v>0.06</v>
      </c>
      <c r="F9" s="12">
        <f t="shared" ref="F9:F10" si="1">C9*E9*$C$3*$C$4</f>
        <v>1492473.5999999999</v>
      </c>
      <c r="G9" s="12">
        <f t="shared" ref="G9:G10" si="2">F9*$C$5/1000000</f>
        <v>970.1078399999999</v>
      </c>
      <c r="H9" s="13">
        <f>(G9/$G$11)</f>
        <v>0.35605431874689564</v>
      </c>
    </row>
    <row r="10" spans="2:8" x14ac:dyDescent="0.45">
      <c r="B10" s="5" t="s">
        <v>2</v>
      </c>
      <c r="C10" s="3">
        <v>88839</v>
      </c>
      <c r="D10" s="3">
        <v>55</v>
      </c>
      <c r="E10" s="11">
        <f t="shared" si="0"/>
        <v>5.5E-2</v>
      </c>
      <c r="F10" s="12">
        <f t="shared" si="1"/>
        <v>1172674.8</v>
      </c>
      <c r="G10" s="12">
        <f t="shared" si="2"/>
        <v>762.23861999999997</v>
      </c>
      <c r="H10" s="13">
        <f>(G10/$G$11)</f>
        <v>0.27976101354533311</v>
      </c>
    </row>
    <row r="11" spans="2:8" x14ac:dyDescent="0.45">
      <c r="B11" s="18" t="s">
        <v>4</v>
      </c>
      <c r="C11" s="19">
        <f>SUM(C8:C10)</f>
        <v>351499</v>
      </c>
      <c r="D11" s="19"/>
      <c r="E11" s="20"/>
      <c r="F11" s="21">
        <f>SUM(F8:F10)</f>
        <v>4191702</v>
      </c>
      <c r="G11" s="21">
        <f>SUM(G8:G10)</f>
        <v>2724.6062999999999</v>
      </c>
      <c r="H11" s="22">
        <f>SUM(H8:H10)</f>
        <v>1</v>
      </c>
    </row>
    <row r="14" spans="2:8" x14ac:dyDescent="0.45">
      <c r="B14" s="1" t="s">
        <v>21</v>
      </c>
    </row>
    <row r="15" spans="2:8" x14ac:dyDescent="0.45">
      <c r="B15" s="1" t="s">
        <v>17</v>
      </c>
      <c r="C15" s="2">
        <f>F11/1000</f>
        <v>4191.7020000000002</v>
      </c>
    </row>
    <row r="16" spans="2:8" x14ac:dyDescent="0.45">
      <c r="B16" s="1" t="s">
        <v>15</v>
      </c>
      <c r="C16" s="2">
        <f>F11/1000000</f>
        <v>4.1917020000000003</v>
      </c>
    </row>
    <row r="18" spans="2:4" ht="33" x14ac:dyDescent="0.45">
      <c r="B18" s="8" t="s">
        <v>22</v>
      </c>
      <c r="C18" s="16" t="s">
        <v>20</v>
      </c>
      <c r="D18" s="17" t="s">
        <v>24</v>
      </c>
    </row>
    <row r="19" spans="2:4" x14ac:dyDescent="0.45">
      <c r="B19" s="5" t="s">
        <v>16</v>
      </c>
      <c r="C19" s="3">
        <v>700</v>
      </c>
      <c r="D19" s="23">
        <f>ROUNDUP($C$15/C19,0)</f>
        <v>6</v>
      </c>
    </row>
    <row r="20" spans="2:4" x14ac:dyDescent="0.45">
      <c r="B20" s="5" t="s">
        <v>18</v>
      </c>
      <c r="C20" s="3">
        <v>363</v>
      </c>
      <c r="D20" s="23">
        <f>ROUNDUP($C$15/C20,0)</f>
        <v>12</v>
      </c>
    </row>
    <row r="21" spans="2:4" x14ac:dyDescent="0.45">
      <c r="B21" s="5" t="s">
        <v>19</v>
      </c>
      <c r="C21" s="3">
        <v>175</v>
      </c>
      <c r="D21" s="23">
        <f>ROUNDUP($C$15/C21,0)</f>
        <v>24</v>
      </c>
    </row>
    <row r="22" spans="2:4" x14ac:dyDescent="0.45">
      <c r="B22" s="26" t="s">
        <v>23</v>
      </c>
      <c r="C22" s="27">
        <f>8500000/12</f>
        <v>708333.33333333337</v>
      </c>
      <c r="D22" s="23">
        <f>$C$15/C22</f>
        <v>5.9176969411764702E-3</v>
      </c>
    </row>
    <row r="23" spans="2:4" x14ac:dyDescent="0.45">
      <c r="B23" s="14" t="s">
        <v>25</v>
      </c>
      <c r="C23" s="25">
        <v>150</v>
      </c>
      <c r="D23" s="24">
        <f>ROUNDUP($C$15/C23,0)</f>
        <v>28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Luminaria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2025-09-26T14:18:54Z</dcterms:created>
  <dcterms:modified xsi:type="dcterms:W3CDTF">2025-09-26T15:01:27Z</dcterms:modified>
</cp:coreProperties>
</file>