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1D0E5741-8FD6-417F-A796-3EB03A5B4E88}" xr6:coauthVersionLast="47" xr6:coauthVersionMax="47" xr10:uidLastSave="{00000000-0000-0000-0000-000000000000}"/>
  <bookViews>
    <workbookView xWindow="-98" yWindow="-98" windowWidth="28996" windowHeight="15675" xr2:uid="{85940953-CB19-47BF-B353-0BB449A22871}"/>
  </bookViews>
  <sheets>
    <sheet name="Lumina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E11" i="1"/>
  <c r="F11" i="1" s="1"/>
  <c r="G11" i="1" s="1"/>
  <c r="E10" i="1"/>
  <c r="F10" i="1" s="1"/>
  <c r="G10" i="1" s="1"/>
  <c r="E9" i="1"/>
  <c r="F9" i="1" s="1"/>
  <c r="C12" i="1"/>
  <c r="G9" i="1" l="1"/>
  <c r="G12" i="1" s="1"/>
  <c r="H9" i="1" s="1"/>
  <c r="F12" i="1"/>
  <c r="C16" i="1" l="1"/>
  <c r="C18" i="1" s="1"/>
  <c r="C17" i="1"/>
  <c r="H11" i="1"/>
  <c r="H10" i="1"/>
  <c r="D22" i="1" l="1"/>
  <c r="D25" i="1"/>
  <c r="D21" i="1"/>
  <c r="D23" i="1"/>
  <c r="D24" i="1"/>
  <c r="H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D8" authorId="0" shapeId="0" xr:uid="{4ABBA72E-6F12-4A80-B2BB-455BC2378CDA}">
      <text>
        <r>
          <rPr>
            <sz val="9"/>
            <color indexed="81"/>
            <rFont val="Tahoma"/>
            <family val="2"/>
          </rPr>
          <t>Por hora</t>
        </r>
      </text>
    </comment>
    <comment ref="C23" authorId="0" shapeId="0" xr:uid="{F6D654B6-8E83-4D4C-A5C6-AE230C9FA8C2}">
      <text>
        <r>
          <rPr>
            <sz val="9"/>
            <color indexed="81"/>
            <rFont val="Tahoma"/>
            <family val="2"/>
          </rPr>
          <t>=2100/12</t>
        </r>
      </text>
    </comment>
  </commentList>
</comments>
</file>

<file path=xl/sharedStrings.xml><?xml version="1.0" encoding="utf-8"?>
<sst xmlns="http://schemas.openxmlformats.org/spreadsheetml/2006/main" count="31" uniqueCount="30">
  <si>
    <t>LED</t>
  </si>
  <si>
    <t>Halogenuro Metálico (MH)</t>
  </si>
  <si>
    <t>Sodio (Na)</t>
  </si>
  <si>
    <t>Tipo de luminaria</t>
  </si>
  <si>
    <t>Total</t>
  </si>
  <si>
    <t>Potencia (Watt)</t>
  </si>
  <si>
    <t># Lámparas</t>
  </si>
  <si>
    <t>Horas de uso</t>
  </si>
  <si>
    <t>Tarifa eléctrica ($ por kilovatio-hora (kWh))</t>
  </si>
  <si>
    <t>Potencia (kWatt)</t>
  </si>
  <si>
    <t>Dias promedio por mes</t>
  </si>
  <si>
    <t>% distribuido de costo</t>
  </si>
  <si>
    <t>Consumo
(kWh-mes)</t>
  </si>
  <si>
    <t>Consumo en GWh-mes</t>
  </si>
  <si>
    <t>Turbina hidráulica</t>
  </si>
  <si>
    <t>Consumo en MWh-mes</t>
  </si>
  <si>
    <t>Turbina eólica</t>
  </si>
  <si>
    <t>Granja solar 1 MW</t>
  </si>
  <si>
    <t>Tipo de tecnología</t>
  </si>
  <si>
    <t>Planta nuclear 1000 MW</t>
  </si>
  <si>
    <t>Unidades requeridas</t>
  </si>
  <si>
    <t>Termoeléctrica</t>
  </si>
  <si>
    <t>1. Estimación de consumo eléctrico de luminarias y costo de iluminación en Bogotá D.C.</t>
  </si>
  <si>
    <t>2. Generación eléctrica requerida por tipo de tecnología</t>
  </si>
  <si>
    <t>Consumo</t>
  </si>
  <si>
    <t>Valor</t>
  </si>
  <si>
    <t>Parámetro</t>
  </si>
  <si>
    <t>Costo mensual en millones de $</t>
  </si>
  <si>
    <t>Consumo en MWh-hora</t>
  </si>
  <si>
    <t>Generación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</si>
</sst>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9"/>
      <color indexed="81"/>
      <name val="Tahoma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165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0" fontId="2" fillId="0" borderId="5" xfId="1" applyNumberFormat="1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vertical="top"/>
    </xf>
    <xf numFmtId="0" fontId="2" fillId="2" borderId="9" xfId="0" applyFont="1" applyFill="1" applyBorder="1" applyAlignment="1">
      <alignment horizontal="center" vertical="top"/>
    </xf>
    <xf numFmtId="2" fontId="2" fillId="2" borderId="9" xfId="0" applyNumberFormat="1" applyFont="1" applyFill="1" applyBorder="1" applyAlignment="1">
      <alignment vertical="top"/>
    </xf>
    <xf numFmtId="164" fontId="2" fillId="2" borderId="9" xfId="0" applyNumberFormat="1" applyFont="1" applyFill="1" applyBorder="1" applyAlignment="1">
      <alignment horizontal="center" vertical="top"/>
    </xf>
    <xf numFmtId="10" fontId="2" fillId="2" borderId="7" xfId="1" applyNumberFormat="1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2" fillId="2" borderId="12" xfId="0" applyFont="1" applyFill="1" applyBorder="1" applyAlignment="1">
      <alignment vertical="top"/>
    </xf>
    <xf numFmtId="0" fontId="2" fillId="2" borderId="13" xfId="0" applyFont="1" applyFill="1" applyBorder="1" applyAlignment="1">
      <alignment horizontal="center" vertical="top"/>
    </xf>
    <xf numFmtId="0" fontId="2" fillId="0" borderId="14" xfId="0" applyFont="1" applyBorder="1" applyAlignment="1">
      <alignment vertical="top"/>
    </xf>
    <xf numFmtId="0" fontId="2" fillId="0" borderId="16" xfId="0" applyFont="1" applyBorder="1" applyAlignment="1">
      <alignment vertical="top" wrapText="1"/>
    </xf>
    <xf numFmtId="165" fontId="2" fillId="0" borderId="5" xfId="0" applyNumberFormat="1" applyFont="1" applyBorder="1" applyAlignment="1">
      <alignment horizontal="center" vertical="top"/>
    </xf>
    <xf numFmtId="165" fontId="2" fillId="0" borderId="7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47BF-5D31-41A9-84AC-A476BC03E676}">
  <dimension ref="B2:H25"/>
  <sheetViews>
    <sheetView showGridLines="0" tabSelected="1" zoomScale="130" zoomScaleNormal="130" workbookViewId="0">
      <pane ySplit="8" topLeftCell="A9" activePane="bottomLeft" state="frozen"/>
      <selection pane="bottomLeft" activeCell="L13" sqref="L13"/>
    </sheetView>
  </sheetViews>
  <sheetFormatPr defaultColWidth="9.1328125" defaultRowHeight="16.5" x14ac:dyDescent="0.45"/>
  <cols>
    <col min="1" max="1" width="2.53125" style="1" customWidth="1"/>
    <col min="2" max="2" width="24.796875" style="1" customWidth="1"/>
    <col min="3" max="3" width="13.19921875" style="2" customWidth="1"/>
    <col min="4" max="4" width="10.86328125" style="2" customWidth="1"/>
    <col min="5" max="5" width="10.86328125" style="1" customWidth="1"/>
    <col min="6" max="6" width="13.53125" style="2" customWidth="1"/>
    <col min="7" max="7" width="14.6640625" style="2" customWidth="1"/>
    <col min="8" max="8" width="13.1328125" style="1" customWidth="1"/>
    <col min="9" max="16384" width="9.1328125" style="1"/>
  </cols>
  <sheetData>
    <row r="2" spans="2:8" x14ac:dyDescent="0.45">
      <c r="B2" s="1" t="s">
        <v>22</v>
      </c>
    </row>
    <row r="3" spans="2:8" x14ac:dyDescent="0.45">
      <c r="B3" s="25" t="s">
        <v>26</v>
      </c>
      <c r="C3" s="26" t="s">
        <v>25</v>
      </c>
    </row>
    <row r="4" spans="2:8" x14ac:dyDescent="0.45">
      <c r="B4" s="27" t="s">
        <v>7</v>
      </c>
      <c r="C4" s="23">
        <v>8</v>
      </c>
    </row>
    <row r="5" spans="2:8" x14ac:dyDescent="0.45">
      <c r="B5" s="27" t="s">
        <v>10</v>
      </c>
      <c r="C5" s="23">
        <v>30</v>
      </c>
    </row>
    <row r="6" spans="2:8" ht="33" x14ac:dyDescent="0.45">
      <c r="B6" s="28" t="s">
        <v>8</v>
      </c>
      <c r="C6" s="24">
        <v>650</v>
      </c>
    </row>
    <row r="8" spans="2:8" ht="33" x14ac:dyDescent="0.45">
      <c r="B8" s="10" t="s">
        <v>3</v>
      </c>
      <c r="C8" s="11" t="s">
        <v>6</v>
      </c>
      <c r="D8" s="11" t="s">
        <v>5</v>
      </c>
      <c r="E8" s="11" t="s">
        <v>9</v>
      </c>
      <c r="F8" s="11" t="s">
        <v>12</v>
      </c>
      <c r="G8" s="11" t="s">
        <v>27</v>
      </c>
      <c r="H8" s="12" t="s">
        <v>11</v>
      </c>
    </row>
    <row r="9" spans="2:8" x14ac:dyDescent="0.45">
      <c r="B9" s="4" t="s">
        <v>0</v>
      </c>
      <c r="C9" s="3">
        <v>1590.16</v>
      </c>
      <c r="D9" s="3">
        <v>40</v>
      </c>
      <c r="E9" s="6">
        <f>D9/1000</f>
        <v>0.04</v>
      </c>
      <c r="F9" s="7">
        <f>C9*E9*$C$4*$C$5</f>
        <v>15265.536000000002</v>
      </c>
      <c r="G9" s="7">
        <f>F9*$C$6/1000000</f>
        <v>9.9225984</v>
      </c>
      <c r="H9" s="8">
        <f>(G9/$G$12)</f>
        <v>0.36418466770777119</v>
      </c>
    </row>
    <row r="10" spans="2:8" x14ac:dyDescent="0.45">
      <c r="B10" s="4" t="s">
        <v>1</v>
      </c>
      <c r="C10" s="3">
        <v>1036.44</v>
      </c>
      <c r="D10" s="3">
        <v>60</v>
      </c>
      <c r="E10" s="6">
        <f t="shared" ref="E10:E11" si="0">D10/1000</f>
        <v>0.06</v>
      </c>
      <c r="F10" s="7">
        <f t="shared" ref="F10:F11" si="1">C10*E10*$C$4*$C$5</f>
        <v>14924.735999999999</v>
      </c>
      <c r="G10" s="7">
        <f t="shared" ref="G10:G11" si="2">F10*$C$6/1000000</f>
        <v>9.7010783999999983</v>
      </c>
      <c r="H10" s="8">
        <f>(G10/$G$12)</f>
        <v>0.35605431874689558</v>
      </c>
    </row>
    <row r="11" spans="2:8" x14ac:dyDescent="0.45">
      <c r="B11" s="4" t="s">
        <v>2</v>
      </c>
      <c r="C11" s="3">
        <v>888.39</v>
      </c>
      <c r="D11" s="3">
        <v>55</v>
      </c>
      <c r="E11" s="6">
        <f t="shared" si="0"/>
        <v>5.5E-2</v>
      </c>
      <c r="F11" s="7">
        <f t="shared" si="1"/>
        <v>11726.748</v>
      </c>
      <c r="G11" s="7">
        <f t="shared" si="2"/>
        <v>7.6223862000000002</v>
      </c>
      <c r="H11" s="8">
        <f>(G11/$G$12)</f>
        <v>0.27976101354533317</v>
      </c>
    </row>
    <row r="12" spans="2:8" x14ac:dyDescent="0.45">
      <c r="B12" s="13" t="s">
        <v>4</v>
      </c>
      <c r="C12" s="14">
        <f>SUM(C9:C11)</f>
        <v>3514.9900000000002</v>
      </c>
      <c r="D12" s="14"/>
      <c r="E12" s="15"/>
      <c r="F12" s="16">
        <f>SUM(F9:F11)</f>
        <v>41917.020000000004</v>
      </c>
      <c r="G12" s="16">
        <f>SUM(G9:G11)</f>
        <v>27.246062999999999</v>
      </c>
      <c r="H12" s="17">
        <f>SUM(H9:H11)</f>
        <v>1</v>
      </c>
    </row>
    <row r="14" spans="2:8" x14ac:dyDescent="0.45">
      <c r="B14" s="1" t="s">
        <v>23</v>
      </c>
    </row>
    <row r="15" spans="2:8" x14ac:dyDescent="0.45">
      <c r="B15" s="5" t="s">
        <v>24</v>
      </c>
      <c r="C15" s="12" t="s">
        <v>25</v>
      </c>
      <c r="D15" s="1"/>
    </row>
    <row r="16" spans="2:8" x14ac:dyDescent="0.45">
      <c r="B16" s="4" t="s">
        <v>15</v>
      </c>
      <c r="C16" s="29">
        <f>F12/1000</f>
        <v>41.917020000000001</v>
      </c>
      <c r="D16" s="1"/>
    </row>
    <row r="17" spans="2:4" x14ac:dyDescent="0.45">
      <c r="B17" s="4" t="s">
        <v>13</v>
      </c>
      <c r="C17" s="29">
        <f>F12/1000000</f>
        <v>4.1917020000000006E-2</v>
      </c>
      <c r="D17" s="1"/>
    </row>
    <row r="18" spans="2:4" x14ac:dyDescent="0.45">
      <c r="B18" s="9" t="s">
        <v>28</v>
      </c>
      <c r="C18" s="30">
        <f>C16/($C$5*$C$4)</f>
        <v>0.17465425000000001</v>
      </c>
      <c r="D18" s="1"/>
    </row>
    <row r="20" spans="2:4" ht="33" x14ac:dyDescent="0.45">
      <c r="B20" s="5" t="s">
        <v>18</v>
      </c>
      <c r="C20" s="11" t="s">
        <v>29</v>
      </c>
      <c r="D20" s="12" t="s">
        <v>20</v>
      </c>
    </row>
    <row r="21" spans="2:4" x14ac:dyDescent="0.45">
      <c r="B21" s="4" t="s">
        <v>14</v>
      </c>
      <c r="C21" s="3">
        <v>700</v>
      </c>
      <c r="D21" s="18">
        <f>C$18/C21</f>
        <v>2.4950607142857142E-4</v>
      </c>
    </row>
    <row r="22" spans="2:4" x14ac:dyDescent="0.45">
      <c r="B22" s="4" t="s">
        <v>16</v>
      </c>
      <c r="C22" s="3">
        <v>15</v>
      </c>
      <c r="D22" s="18">
        <f>C$18/C22</f>
        <v>1.1643616666666667E-2</v>
      </c>
    </row>
    <row r="23" spans="2:4" x14ac:dyDescent="0.45">
      <c r="B23" s="4" t="s">
        <v>17</v>
      </c>
      <c r="C23" s="3">
        <v>175</v>
      </c>
      <c r="D23" s="18">
        <f t="shared" ref="D23:D25" si="3">C$18/C23</f>
        <v>9.980242857142857E-4</v>
      </c>
    </row>
    <row r="24" spans="2:4" x14ac:dyDescent="0.45">
      <c r="B24" s="21" t="s">
        <v>19</v>
      </c>
      <c r="C24" s="22">
        <f>8500000/12</f>
        <v>708333.33333333337</v>
      </c>
      <c r="D24" s="18">
        <f t="shared" si="3"/>
        <v>2.4657070588235293E-7</v>
      </c>
    </row>
    <row r="25" spans="2:4" x14ac:dyDescent="0.45">
      <c r="B25" s="9" t="s">
        <v>21</v>
      </c>
      <c r="C25" s="20">
        <v>150</v>
      </c>
      <c r="D25" s="19">
        <f t="shared" si="3"/>
        <v>1.1643616666666668E-3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Luminaria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2025-09-26T14:18:54Z</dcterms:created>
  <dcterms:modified xsi:type="dcterms:W3CDTF">2026-09-13T18:49:18Z</dcterms:modified>
</cp:coreProperties>
</file>