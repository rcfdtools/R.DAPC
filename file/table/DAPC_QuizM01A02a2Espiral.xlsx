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B56530D0-79C3-4828-922F-FDF79A54E701}" xr6:coauthVersionLast="47" xr6:coauthVersionMax="47" xr10:uidLastSave="{00000000-0000-0000-0000-000000000000}"/>
  <bookViews>
    <workbookView xWindow="-28898" yWindow="6548" windowWidth="28996" windowHeight="15675" xr2:uid="{4FA0F644-0B27-48D7-AC0A-327E78D1DF86}"/>
  </bookViews>
  <sheets>
    <sheet name="Espiral2Centros" sheetId="2" r:id="rId1"/>
    <sheet name="Espiral3CentrosCircuInscrita" sheetId="3" r:id="rId2"/>
    <sheet name="Espiral3CentrosInscri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14" i="4" s="1"/>
  <c r="D14" i="4" s="1"/>
  <c r="C15" i="4"/>
  <c r="D15" i="4" s="1"/>
  <c r="C13" i="4"/>
  <c r="D13" i="4" s="1"/>
  <c r="C10" i="4"/>
  <c r="D10" i="4" s="1"/>
  <c r="C9" i="4"/>
  <c r="D9" i="4" s="1"/>
  <c r="C12" i="4"/>
  <c r="D12" i="4" s="1"/>
  <c r="C7" i="3"/>
  <c r="C10" i="3" s="1"/>
  <c r="D10" i="3" s="1"/>
  <c r="C9" i="2"/>
  <c r="C10" i="2" s="1"/>
  <c r="C11" i="4" l="1"/>
  <c r="D11" i="4" s="1"/>
  <c r="D16" i="4" s="1"/>
  <c r="C9" i="3"/>
  <c r="D9" i="3" s="1"/>
  <c r="C15" i="3"/>
  <c r="D15" i="3" s="1"/>
  <c r="C14" i="3"/>
  <c r="D14" i="3" s="1"/>
  <c r="C13" i="3"/>
  <c r="D13" i="3" s="1"/>
  <c r="C12" i="3"/>
  <c r="D12" i="3" s="1"/>
  <c r="C11" i="3"/>
  <c r="D11" i="3" s="1"/>
  <c r="C11" i="2"/>
  <c r="C12" i="2" s="1"/>
  <c r="C13" i="2" s="1"/>
  <c r="C14" i="2" s="1"/>
  <c r="C15" i="2" s="1"/>
  <c r="D16" i="3" l="1"/>
  <c r="C16" i="2"/>
</calcChain>
</file>

<file path=xl/sharedStrings.xml><?xml version="1.0" encoding="utf-8"?>
<sst xmlns="http://schemas.openxmlformats.org/spreadsheetml/2006/main" count="23" uniqueCount="13">
  <si>
    <t>Arco</t>
  </si>
  <si>
    <t>Factor:</t>
  </si>
  <si>
    <t xml:space="preserve">Longitud  polilínea (m): </t>
  </si>
  <si>
    <t>SDig:</t>
  </si>
  <si>
    <t>Longitud polilínea (m):</t>
  </si>
  <si>
    <t>Radio (m)</t>
  </si>
  <si>
    <t xml:space="preserve">SDig: </t>
  </si>
  <si>
    <t>Lado triángulo (m):</t>
  </si>
  <si>
    <t>Arco (m)</t>
  </si>
  <si>
    <t>v20260130</t>
  </si>
  <si>
    <t>Quiz M01A02a-2 / Espiral de dos centros usando factor de expansión</t>
  </si>
  <si>
    <t>Quiz M01A02a-2 / Espiral de 3 centros a partir de triángulo inscrito en una circunferencia</t>
  </si>
  <si>
    <t>Quiz M01A02a-2 / Espiral de 3 centros a partir de triángulo circuinscrito en una circunferencia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</si>
</sst>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5" fontId="1" fillId="0" borderId="12" xfId="0" applyNumberFormat="1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165" fontId="1" fillId="2" borderId="14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170099</xdr:colOff>
      <xdr:row>0</xdr:row>
      <xdr:rowOff>149783</xdr:rowOff>
    </xdr:from>
    <xdr:to>
      <xdr:col>9</xdr:col>
      <xdr:colOff>599165</xdr:colOff>
      <xdr:row>17</xdr:row>
      <xdr:rowOff>199888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8C50A-E9AA-48DC-8904-8D979E3D4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7330" y="149783"/>
          <a:ext cx="3671230" cy="3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62510</xdr:colOff>
      <xdr:row>0</xdr:row>
      <xdr:rowOff>84948</xdr:rowOff>
    </xdr:from>
    <xdr:to>
      <xdr:col>1</xdr:col>
      <xdr:colOff>1220755</xdr:colOff>
      <xdr:row>1</xdr:row>
      <xdr:rowOff>146589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9FAB64-0CCE-989F-1DF8-173AB9867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47" y="84948"/>
          <a:ext cx="1158245" cy="2704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98227</xdr:colOff>
      <xdr:row>0</xdr:row>
      <xdr:rowOff>59531</xdr:rowOff>
    </xdr:from>
    <xdr:to>
      <xdr:col>2</xdr:col>
      <xdr:colOff>3797</xdr:colOff>
      <xdr:row>1</xdr:row>
      <xdr:rowOff>121631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B2D24F-4487-4C18-BD75-33B55F11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774" y="59531"/>
          <a:ext cx="1158245" cy="270459"/>
        </a:xfrm>
        <a:prstGeom prst="rect">
          <a:avLst/>
        </a:prstGeom>
      </xdr:spPr>
    </xdr:pic>
    <xdr:clientData/>
  </xdr:twoCellAnchor>
  <xdr:twoCellAnchor editAs="oneCell">
    <xdr:from>
      <xdr:col>3</xdr:col>
      <xdr:colOff>304067</xdr:colOff>
      <xdr:row>5</xdr:row>
      <xdr:rowOff>36634</xdr:rowOff>
    </xdr:from>
    <xdr:to>
      <xdr:col>3</xdr:col>
      <xdr:colOff>1047022</xdr:colOff>
      <xdr:row>6</xdr:row>
      <xdr:rowOff>113569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51ED6A-9357-D212-EB5B-9E52FCDDA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6712" y="1080721"/>
          <a:ext cx="742955" cy="285752"/>
        </a:xfrm>
        <a:prstGeom prst="rect">
          <a:avLst/>
        </a:prstGeom>
      </xdr:spPr>
    </xdr:pic>
    <xdr:clientData/>
  </xdr:twoCellAnchor>
  <xdr:twoCellAnchor editAs="oneCell">
    <xdr:from>
      <xdr:col>4</xdr:col>
      <xdr:colOff>318722</xdr:colOff>
      <xdr:row>0</xdr:row>
      <xdr:rowOff>193592</xdr:rowOff>
    </xdr:from>
    <xdr:to>
      <xdr:col>10</xdr:col>
      <xdr:colOff>51840</xdr:colOff>
      <xdr:row>18</xdr:row>
      <xdr:rowOff>34880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FD400E-D342-ED60-BD29-E7F9DD60D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4270" y="193592"/>
          <a:ext cx="3623715" cy="3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98227</xdr:colOff>
      <xdr:row>0</xdr:row>
      <xdr:rowOff>59531</xdr:rowOff>
    </xdr:from>
    <xdr:to>
      <xdr:col>2</xdr:col>
      <xdr:colOff>3797</xdr:colOff>
      <xdr:row>1</xdr:row>
      <xdr:rowOff>121631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875FA-B64A-4D19-A60F-F25C46CFE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965" y="59531"/>
          <a:ext cx="1158107" cy="2716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4</xdr:row>
      <xdr:rowOff>197827</xdr:rowOff>
    </xdr:from>
    <xdr:to>
      <xdr:col>3</xdr:col>
      <xdr:colOff>1038230</xdr:colOff>
      <xdr:row>6</xdr:row>
      <xdr:rowOff>123095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F8FA9A-7E64-4455-A315-3314B609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1813" y="1036027"/>
          <a:ext cx="657230" cy="344368"/>
        </a:xfrm>
        <a:prstGeom prst="rect">
          <a:avLst/>
        </a:prstGeom>
      </xdr:spPr>
    </xdr:pic>
    <xdr:clientData/>
  </xdr:twoCellAnchor>
  <xdr:twoCellAnchor editAs="oneCell">
    <xdr:from>
      <xdr:col>4</xdr:col>
      <xdr:colOff>348028</xdr:colOff>
      <xdr:row>0</xdr:row>
      <xdr:rowOff>168519</xdr:rowOff>
    </xdr:from>
    <xdr:to>
      <xdr:col>10</xdr:col>
      <xdr:colOff>264761</xdr:colOff>
      <xdr:row>18</xdr:row>
      <xdr:rowOff>9807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2889CB-F40A-DB71-60AB-445ED7066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3576" y="168519"/>
          <a:ext cx="380733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74C5-5229-45D6-9D44-FAB954EBC922}">
  <dimension ref="B1:C16"/>
  <sheetViews>
    <sheetView showGridLines="0" tabSelected="1" zoomScale="130" zoomScaleNormal="130" workbookViewId="0">
      <selection activeCell="F22" sqref="F22"/>
    </sheetView>
  </sheetViews>
  <sheetFormatPr defaultRowHeight="16.5" x14ac:dyDescent="0.6"/>
  <cols>
    <col min="1" max="1" width="2.59765625" style="1" customWidth="1"/>
    <col min="2" max="2" width="24.86328125" style="1" customWidth="1"/>
    <col min="3" max="3" width="24.86328125" style="2" customWidth="1"/>
    <col min="4" max="4" width="2.59765625" style="1" customWidth="1"/>
    <col min="5" max="16384" width="9.06640625" style="1"/>
  </cols>
  <sheetData>
    <row r="1" spans="2:3" x14ac:dyDescent="0.6">
      <c r="C1" s="22" t="s">
        <v>9</v>
      </c>
    </row>
    <row r="2" spans="2:3" x14ac:dyDescent="0.6">
      <c r="C2" s="22"/>
    </row>
    <row r="3" spans="2:3" x14ac:dyDescent="0.6">
      <c r="B3" s="23" t="s">
        <v>10</v>
      </c>
      <c r="C3" s="23"/>
    </row>
    <row r="4" spans="2:3" x14ac:dyDescent="0.6">
      <c r="B4" s="23"/>
      <c r="C4" s="23"/>
    </row>
    <row r="5" spans="2:3" x14ac:dyDescent="0.6">
      <c r="B5" s="20"/>
      <c r="C5" s="20"/>
    </row>
    <row r="6" spans="2:3" x14ac:dyDescent="0.6">
      <c r="B6" s="19" t="s">
        <v>1</v>
      </c>
      <c r="C6" s="8">
        <v>1.73</v>
      </c>
    </row>
    <row r="7" spans="2:3" x14ac:dyDescent="0.6">
      <c r="B7" s="19" t="s">
        <v>3</v>
      </c>
      <c r="C7" s="8">
        <v>1</v>
      </c>
    </row>
    <row r="8" spans="2:3" x14ac:dyDescent="0.6">
      <c r="B8" s="3" t="s">
        <v>0</v>
      </c>
      <c r="C8" s="4" t="s">
        <v>5</v>
      </c>
    </row>
    <row r="9" spans="2:3" x14ac:dyDescent="0.6">
      <c r="B9" s="5">
        <v>1</v>
      </c>
      <c r="C9" s="6">
        <f>C7</f>
        <v>1</v>
      </c>
    </row>
    <row r="10" spans="2:3" x14ac:dyDescent="0.6">
      <c r="B10" s="5">
        <v>2</v>
      </c>
      <c r="C10" s="6">
        <f t="shared" ref="C10:C15" si="0">ROUND(C9+(C$7/10)^(1/B10)+$C$6^(1/B10),2)</f>
        <v>2.63</v>
      </c>
    </row>
    <row r="11" spans="2:3" x14ac:dyDescent="0.6">
      <c r="B11" s="5">
        <v>3</v>
      </c>
      <c r="C11" s="6">
        <f t="shared" si="0"/>
        <v>4.29</v>
      </c>
    </row>
    <row r="12" spans="2:3" x14ac:dyDescent="0.6">
      <c r="B12" s="5">
        <v>4</v>
      </c>
      <c r="C12" s="6">
        <f t="shared" si="0"/>
        <v>6</v>
      </c>
    </row>
    <row r="13" spans="2:3" x14ac:dyDescent="0.6">
      <c r="B13" s="5">
        <v>5</v>
      </c>
      <c r="C13" s="6">
        <f t="shared" si="0"/>
        <v>7.75</v>
      </c>
    </row>
    <row r="14" spans="2:3" x14ac:dyDescent="0.6">
      <c r="B14" s="5">
        <v>6</v>
      </c>
      <c r="C14" s="6">
        <f t="shared" si="0"/>
        <v>9.5299999999999994</v>
      </c>
    </row>
    <row r="15" spans="2:3" x14ac:dyDescent="0.6">
      <c r="B15" s="5">
        <v>7</v>
      </c>
      <c r="C15" s="6">
        <f t="shared" si="0"/>
        <v>11.33</v>
      </c>
    </row>
    <row r="16" spans="2:3" x14ac:dyDescent="0.6">
      <c r="B16" s="18" t="s">
        <v>4</v>
      </c>
      <c r="C16" s="7">
        <f>(SUM(C9:C15)/2)*2*PI()</f>
        <v>133.61193555717389</v>
      </c>
    </row>
  </sheetData>
  <mergeCells count="1">
    <mergeCell ref="B3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A317-1350-448C-83DA-1D10CE9AAA17}">
  <dimension ref="B1:D16"/>
  <sheetViews>
    <sheetView showGridLines="0" zoomScale="130" zoomScaleNormal="130" workbookViewId="0">
      <selection activeCell="K11" sqref="K11"/>
    </sheetView>
  </sheetViews>
  <sheetFormatPr defaultRowHeight="16.5" x14ac:dyDescent="0.6"/>
  <cols>
    <col min="1" max="1" width="2.59765625" style="1" customWidth="1"/>
    <col min="2" max="2" width="17.53125" style="1" customWidth="1"/>
    <col min="3" max="3" width="17.53125" style="2" customWidth="1"/>
    <col min="4" max="4" width="17.53125" style="1" customWidth="1"/>
    <col min="5" max="16384" width="9.06640625" style="1"/>
  </cols>
  <sheetData>
    <row r="1" spans="2:4" x14ac:dyDescent="0.6">
      <c r="D1" s="22" t="s">
        <v>9</v>
      </c>
    </row>
    <row r="3" spans="2:4" x14ac:dyDescent="0.6">
      <c r="B3" s="23" t="s">
        <v>12</v>
      </c>
      <c r="C3" s="23"/>
      <c r="D3" s="23"/>
    </row>
    <row r="4" spans="2:4" x14ac:dyDescent="0.6">
      <c r="B4" s="23"/>
      <c r="C4" s="23"/>
      <c r="D4" s="23"/>
    </row>
    <row r="5" spans="2:4" x14ac:dyDescent="0.6">
      <c r="B5" s="20"/>
      <c r="C5" s="20"/>
      <c r="D5" s="20"/>
    </row>
    <row r="6" spans="2:4" x14ac:dyDescent="0.6">
      <c r="B6" s="19" t="s">
        <v>6</v>
      </c>
      <c r="C6" s="8">
        <v>0.3</v>
      </c>
    </row>
    <row r="7" spans="2:4" x14ac:dyDescent="0.6">
      <c r="B7" s="19" t="s">
        <v>7</v>
      </c>
      <c r="C7" s="21">
        <f>2*$C$6*3^(1/2)</f>
        <v>1.0392304845413263</v>
      </c>
    </row>
    <row r="8" spans="2:4" x14ac:dyDescent="0.6">
      <c r="B8" s="10" t="s">
        <v>0</v>
      </c>
      <c r="C8" s="11" t="s">
        <v>5</v>
      </c>
      <c r="D8" s="12" t="s">
        <v>8</v>
      </c>
    </row>
    <row r="9" spans="2:4" x14ac:dyDescent="0.6">
      <c r="B9" s="13">
        <v>1</v>
      </c>
      <c r="C9" s="9">
        <f>$C$7*B9</f>
        <v>1.0392304845413263</v>
      </c>
      <c r="D9" s="14">
        <f>2*PI()*C9/3</f>
        <v>2.1765592370810611</v>
      </c>
    </row>
    <row r="10" spans="2:4" x14ac:dyDescent="0.6">
      <c r="B10" s="13">
        <v>2</v>
      </c>
      <c r="C10" s="9">
        <f t="shared" ref="C10:C15" si="0">$C$7*B10</f>
        <v>2.0784609690826525</v>
      </c>
      <c r="D10" s="14">
        <f t="shared" ref="D10:D15" si="1">2*PI()*C10/3</f>
        <v>4.3531184741621223</v>
      </c>
    </row>
    <row r="11" spans="2:4" x14ac:dyDescent="0.6">
      <c r="B11" s="13">
        <v>3</v>
      </c>
      <c r="C11" s="9">
        <f t="shared" si="0"/>
        <v>3.117691453623979</v>
      </c>
      <c r="D11" s="14">
        <f t="shared" si="1"/>
        <v>6.5296777112431839</v>
      </c>
    </row>
    <row r="12" spans="2:4" x14ac:dyDescent="0.6">
      <c r="B12" s="13">
        <v>4</v>
      </c>
      <c r="C12" s="9">
        <f t="shared" si="0"/>
        <v>4.1569219381653051</v>
      </c>
      <c r="D12" s="14">
        <f t="shared" si="1"/>
        <v>8.7062369483242446</v>
      </c>
    </row>
    <row r="13" spans="2:4" x14ac:dyDescent="0.6">
      <c r="B13" s="13">
        <v>5</v>
      </c>
      <c r="C13" s="9">
        <f t="shared" si="0"/>
        <v>5.1961524227066311</v>
      </c>
      <c r="D13" s="14">
        <f t="shared" si="1"/>
        <v>10.882796185405304</v>
      </c>
    </row>
    <row r="14" spans="2:4" x14ac:dyDescent="0.6">
      <c r="B14" s="13">
        <v>6</v>
      </c>
      <c r="C14" s="9">
        <f t="shared" si="0"/>
        <v>6.2353829072479581</v>
      </c>
      <c r="D14" s="14">
        <f t="shared" si="1"/>
        <v>13.059355422486368</v>
      </c>
    </row>
    <row r="15" spans="2:4" x14ac:dyDescent="0.6">
      <c r="B15" s="13">
        <v>7</v>
      </c>
      <c r="C15" s="9">
        <f t="shared" si="0"/>
        <v>7.2746133917892841</v>
      </c>
      <c r="D15" s="14">
        <f t="shared" si="1"/>
        <v>15.235914659567428</v>
      </c>
    </row>
    <row r="16" spans="2:4" x14ac:dyDescent="0.6">
      <c r="B16" s="15"/>
      <c r="C16" s="17" t="s">
        <v>2</v>
      </c>
      <c r="D16" s="16">
        <f>SUM(D9:D15)</f>
        <v>60.94365863826971</v>
      </c>
    </row>
  </sheetData>
  <mergeCells count="1">
    <mergeCell ref="B3:D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A9B1-05D1-451C-B202-C6CE562323C7}">
  <dimension ref="B1:D16"/>
  <sheetViews>
    <sheetView showGridLines="0" zoomScale="130" zoomScaleNormal="130" workbookViewId="0">
      <selection activeCell="F8" sqref="F8"/>
    </sheetView>
  </sheetViews>
  <sheetFormatPr defaultRowHeight="16.5" x14ac:dyDescent="0.6"/>
  <cols>
    <col min="1" max="1" width="2.59765625" style="1" customWidth="1"/>
    <col min="2" max="2" width="17.53125" style="1" customWidth="1"/>
    <col min="3" max="3" width="17.53125" style="2" customWidth="1"/>
    <col min="4" max="4" width="17.53125" style="1" customWidth="1"/>
    <col min="5" max="16384" width="9.06640625" style="1"/>
  </cols>
  <sheetData>
    <row r="1" spans="2:4" x14ac:dyDescent="0.6">
      <c r="D1" s="22" t="s">
        <v>9</v>
      </c>
    </row>
    <row r="3" spans="2:4" x14ac:dyDescent="0.6">
      <c r="B3" s="23" t="s">
        <v>11</v>
      </c>
      <c r="C3" s="23"/>
      <c r="D3" s="23"/>
    </row>
    <row r="4" spans="2:4" x14ac:dyDescent="0.6">
      <c r="B4" s="23"/>
      <c r="C4" s="23"/>
      <c r="D4" s="23"/>
    </row>
    <row r="5" spans="2:4" x14ac:dyDescent="0.6">
      <c r="B5" s="20"/>
      <c r="C5" s="20"/>
      <c r="D5" s="20"/>
    </row>
    <row r="6" spans="2:4" x14ac:dyDescent="0.6">
      <c r="B6" s="19" t="s">
        <v>6</v>
      </c>
      <c r="C6" s="8">
        <v>0.3</v>
      </c>
    </row>
    <row r="7" spans="2:4" x14ac:dyDescent="0.6">
      <c r="B7" s="19" t="s">
        <v>7</v>
      </c>
      <c r="C7" s="21">
        <f>$C$6*3^(1/2)</f>
        <v>0.51961524227066314</v>
      </c>
    </row>
    <row r="8" spans="2:4" x14ac:dyDescent="0.6">
      <c r="B8" s="10" t="s">
        <v>0</v>
      </c>
      <c r="C8" s="11" t="s">
        <v>5</v>
      </c>
      <c r="D8" s="12" t="s">
        <v>8</v>
      </c>
    </row>
    <row r="9" spans="2:4" x14ac:dyDescent="0.6">
      <c r="B9" s="13">
        <v>1</v>
      </c>
      <c r="C9" s="9">
        <f>$C$7*B9</f>
        <v>0.51961524227066314</v>
      </c>
      <c r="D9" s="14">
        <f>2*PI()*C9/3</f>
        <v>1.0882796185405306</v>
      </c>
    </row>
    <row r="10" spans="2:4" x14ac:dyDescent="0.6">
      <c r="B10" s="13">
        <v>2</v>
      </c>
      <c r="C10" s="9">
        <f t="shared" ref="C10:C15" si="0">$C$7*B10</f>
        <v>1.0392304845413263</v>
      </c>
      <c r="D10" s="14">
        <f t="shared" ref="D10:D15" si="1">2*PI()*C10/3</f>
        <v>2.1765592370810611</v>
      </c>
    </row>
    <row r="11" spans="2:4" x14ac:dyDescent="0.6">
      <c r="B11" s="13">
        <v>3</v>
      </c>
      <c r="C11" s="9">
        <f t="shared" si="0"/>
        <v>1.5588457268119895</v>
      </c>
      <c r="D11" s="14">
        <f t="shared" si="1"/>
        <v>3.2648388556215919</v>
      </c>
    </row>
    <row r="12" spans="2:4" x14ac:dyDescent="0.6">
      <c r="B12" s="13">
        <v>4</v>
      </c>
      <c r="C12" s="9">
        <f t="shared" si="0"/>
        <v>2.0784609690826525</v>
      </c>
      <c r="D12" s="14">
        <f t="shared" si="1"/>
        <v>4.3531184741621223</v>
      </c>
    </row>
    <row r="13" spans="2:4" x14ac:dyDescent="0.6">
      <c r="B13" s="13">
        <v>5</v>
      </c>
      <c r="C13" s="9">
        <f t="shared" si="0"/>
        <v>2.5980762113533156</v>
      </c>
      <c r="D13" s="14">
        <f t="shared" si="1"/>
        <v>5.4413980927026522</v>
      </c>
    </row>
    <row r="14" spans="2:4" x14ac:dyDescent="0.6">
      <c r="B14" s="13">
        <v>6</v>
      </c>
      <c r="C14" s="9">
        <f t="shared" si="0"/>
        <v>3.117691453623979</v>
      </c>
      <c r="D14" s="14">
        <f t="shared" si="1"/>
        <v>6.5296777112431839</v>
      </c>
    </row>
    <row r="15" spans="2:4" x14ac:dyDescent="0.6">
      <c r="B15" s="13">
        <v>7</v>
      </c>
      <c r="C15" s="9">
        <f t="shared" si="0"/>
        <v>3.6373066958946421</v>
      </c>
      <c r="D15" s="14">
        <f t="shared" si="1"/>
        <v>7.6179573297837138</v>
      </c>
    </row>
    <row r="16" spans="2:4" x14ac:dyDescent="0.6">
      <c r="B16" s="15"/>
      <c r="C16" s="17" t="s">
        <v>2</v>
      </c>
      <c r="D16" s="16">
        <f>SUM(D9:D15)</f>
        <v>30.471829319134855</v>
      </c>
    </row>
  </sheetData>
  <mergeCells count="1">
    <mergeCell ref="B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Espiral2Centros</vt:lpstr>
      <vt:lpstr>Espiral3CentrosCircuInscrita</vt:lpstr>
      <vt:lpstr>Espiral3CentrosInscrita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2025-07-28T14:18:04Z</dcterms:created>
  <dcterms:modified xsi:type="dcterms:W3CDTF">2026-01-30T13:50:53Z</dcterms:modified>
</cp:coreProperties>
</file>