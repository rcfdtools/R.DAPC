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1E876E35-9F7B-497B-85B5-C799D80777C9}" xr6:coauthVersionLast="47" xr6:coauthVersionMax="47" xr10:uidLastSave="{00000000-0000-0000-0000-000000000000}"/>
  <bookViews>
    <workbookView xWindow="-98" yWindow="-98" windowWidth="28996" windowHeight="15675" xr2:uid="{4FA0F644-0B27-48D7-AC0A-327E78D1DF86}"/>
  </bookViews>
  <sheets>
    <sheet name="Espiral2CentrosSDig" sheetId="2" r:id="rId1"/>
    <sheet name="Espiral2CentrosFacto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C8" i="2" s="1"/>
  <c r="C8" i="1"/>
  <c r="D8" i="1" s="1"/>
  <c r="C9" i="2" l="1"/>
  <c r="C10" i="2" s="1"/>
  <c r="C11" i="2" s="1"/>
  <c r="C12" i="2" s="1"/>
  <c r="C13" i="2" s="1"/>
  <c r="C9" i="1"/>
  <c r="C10" i="1" s="1"/>
  <c r="C11" i="1" s="1"/>
  <c r="C12" i="1" s="1"/>
  <c r="C13" i="1" s="1"/>
  <c r="E8" i="1"/>
  <c r="C14" i="2" l="1"/>
  <c r="C14" i="1"/>
  <c r="D9" i="1"/>
  <c r="F8" i="1"/>
  <c r="D10" i="1" l="1"/>
  <c r="D11" i="1" s="1"/>
  <c r="D12" i="1" s="1"/>
  <c r="D13" i="1" s="1"/>
  <c r="E9" i="1"/>
  <c r="G8" i="1"/>
  <c r="D14" i="1" l="1"/>
  <c r="E10" i="1"/>
  <c r="E11" i="1" s="1"/>
  <c r="E12" i="1" s="1"/>
  <c r="E13" i="1" s="1"/>
  <c r="F9" i="1"/>
  <c r="G9" i="1"/>
  <c r="H8" i="1"/>
  <c r="F10" i="1" l="1"/>
  <c r="F11" i="1" s="1"/>
  <c r="F12" i="1" s="1"/>
  <c r="F13" i="1" s="1"/>
  <c r="E14" i="1"/>
  <c r="H9" i="1"/>
  <c r="I8" i="1"/>
  <c r="F14" i="1" l="1"/>
  <c r="G10" i="1"/>
  <c r="J8" i="1"/>
  <c r="I9" i="1"/>
  <c r="G11" i="1" l="1"/>
  <c r="G12" i="1" s="1"/>
  <c r="G13" i="1" s="1"/>
  <c r="G14" i="1" s="1"/>
  <c r="H10" i="1"/>
  <c r="K8" i="1"/>
  <c r="J9" i="1"/>
  <c r="J10" i="1" l="1"/>
  <c r="H11" i="1"/>
  <c r="H12" i="1" s="1"/>
  <c r="H13" i="1" s="1"/>
  <c r="H14" i="1"/>
  <c r="I10" i="1"/>
  <c r="K9" i="1"/>
  <c r="L8" i="1"/>
  <c r="I11" i="1" l="1"/>
  <c r="I12" i="1" s="1"/>
  <c r="I13" i="1" s="1"/>
  <c r="I14" i="1"/>
  <c r="J11" i="1"/>
  <c r="J12" i="1" s="1"/>
  <c r="J13" i="1" s="1"/>
  <c r="K10" i="1"/>
  <c r="K11" i="1" s="1"/>
  <c r="K12" i="1" s="1"/>
  <c r="K13" i="1" s="1"/>
  <c r="J14" i="1"/>
  <c r="K14" i="1"/>
  <c r="L9" i="1"/>
  <c r="L10" i="1" l="1"/>
  <c r="L11" i="1" l="1"/>
  <c r="L12" i="1" l="1"/>
  <c r="L13" i="1" l="1"/>
  <c r="L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B5" authorId="0" shapeId="0" xr:uid="{5DBA6237-70AB-4AB6-88B8-9285E275DD2A}">
      <text>
        <r>
          <rPr>
            <sz val="9"/>
            <color indexed="81"/>
            <rFont val="Tahoma"/>
            <family val="2"/>
          </rPr>
          <t>Último dígito de su código de alumno en Enlace Académico.</t>
        </r>
      </text>
    </comment>
  </commentList>
</comments>
</file>

<file path=xl/sharedStrings.xml><?xml version="1.0" encoding="utf-8"?>
<sst xmlns="http://schemas.openxmlformats.org/spreadsheetml/2006/main" count="23" uniqueCount="11">
  <si>
    <t>Arco</t>
  </si>
  <si>
    <t>Código</t>
  </si>
  <si>
    <t>r</t>
  </si>
  <si>
    <t>Radio r en metros</t>
  </si>
  <si>
    <t>Long (m)</t>
  </si>
  <si>
    <t>Factor:</t>
  </si>
  <si>
    <r>
      <t xml:space="preserve">Quiz </t>
    </r>
    <r>
      <rPr>
        <b/>
        <sz val="11"/>
        <color theme="1"/>
        <rFont val="Segoe UI Light"/>
        <family val="2"/>
      </rPr>
      <t>M01A02a-2 / Espiral de dos centros usando factor</t>
    </r>
  </si>
  <si>
    <t>Factor</t>
  </si>
  <si>
    <t>SDig</t>
  </si>
  <si>
    <r>
      <t xml:space="preserve">Quiz </t>
    </r>
    <r>
      <rPr>
        <b/>
        <sz val="11"/>
        <color theme="1"/>
        <rFont val="Segoe UI Light"/>
        <family val="2"/>
      </rPr>
      <t>M01A02a-2 / Espiral de dos centros usando factor y SDig</t>
    </r>
  </si>
  <si>
    <t>radio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</si>
</sst>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1"/>
      <color rgb="FF0070C0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6" xfId="0" applyNumberFormat="1" applyFont="1" applyBorder="1" applyAlignment="1">
      <alignment horizontal="center"/>
    </xf>
    <xf numFmtId="2" fontId="1" fillId="2" borderId="8" xfId="0" applyNumberFormat="1" applyFont="1" applyFill="1" applyBorder="1" applyAlignment="1">
      <alignment horizontal="center"/>
    </xf>
    <xf numFmtId="2" fontId="1" fillId="2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348155</xdr:colOff>
      <xdr:row>3</xdr:row>
      <xdr:rowOff>111672</xdr:rowOff>
    </xdr:from>
    <xdr:to>
      <xdr:col>9</xdr:col>
      <xdr:colOff>551489</xdr:colOff>
      <xdr:row>19</xdr:row>
      <xdr:rowOff>148812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78C50A-E9AA-48DC-8904-8D979E3D4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6465" y="742293"/>
          <a:ext cx="3438550" cy="3400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19707</xdr:colOff>
      <xdr:row>3</xdr:row>
      <xdr:rowOff>157655</xdr:rowOff>
    </xdr:from>
    <xdr:to>
      <xdr:col>18</xdr:col>
      <xdr:colOff>223042</xdr:colOff>
      <xdr:row>19</xdr:row>
      <xdr:rowOff>194795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39C095-0272-EF44-C742-3BA297062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09544" y="788276"/>
          <a:ext cx="3438550" cy="3400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E74C5-5229-45D6-9D44-FAB954EBC922}">
  <dimension ref="B2:C15"/>
  <sheetViews>
    <sheetView showGridLines="0" tabSelected="1" zoomScale="145" zoomScaleNormal="145" workbookViewId="0">
      <selection activeCell="C3" sqref="C3"/>
    </sheetView>
  </sheetViews>
  <sheetFormatPr defaultRowHeight="16.5" x14ac:dyDescent="0.6"/>
  <cols>
    <col min="1" max="1" width="2.59765625" style="1" customWidth="1"/>
    <col min="2" max="2" width="9.06640625" style="1"/>
    <col min="3" max="3" width="6.1328125" style="2" customWidth="1"/>
    <col min="4" max="4" width="2.59765625" style="1" customWidth="1"/>
    <col min="5" max="16384" width="9.06640625" style="1"/>
  </cols>
  <sheetData>
    <row r="2" spans="2:3" x14ac:dyDescent="0.6">
      <c r="B2" s="1" t="s">
        <v>9</v>
      </c>
    </row>
    <row r="3" spans="2:3" x14ac:dyDescent="0.6">
      <c r="B3" s="1" t="s">
        <v>7</v>
      </c>
      <c r="C3" s="3">
        <v>1.18</v>
      </c>
    </row>
    <row r="4" spans="2:3" x14ac:dyDescent="0.6">
      <c r="B4" s="1" t="s">
        <v>8</v>
      </c>
      <c r="C4" s="3">
        <v>0.5</v>
      </c>
    </row>
    <row r="6" spans="2:3" x14ac:dyDescent="0.6">
      <c r="B6" s="5" t="s">
        <v>0</v>
      </c>
      <c r="C6" s="7" t="s">
        <v>10</v>
      </c>
    </row>
    <row r="7" spans="2:3" x14ac:dyDescent="0.6">
      <c r="B7" s="8">
        <v>1</v>
      </c>
      <c r="C7" s="12">
        <f>C4</f>
        <v>0.5</v>
      </c>
    </row>
    <row r="8" spans="2:3" x14ac:dyDescent="0.6">
      <c r="B8" s="8">
        <v>2</v>
      </c>
      <c r="C8" s="12">
        <f>ROUND(C7+(C$4/10)^(1/B8)+$C$3^(1/B8),2)</f>
        <v>1.81</v>
      </c>
    </row>
    <row r="9" spans="2:3" x14ac:dyDescent="0.6">
      <c r="B9" s="8">
        <v>3</v>
      </c>
      <c r="C9" s="12">
        <f>ROUND(C8+(C$4/10)^(1/B9)+$C$3^(1/B9),2)</f>
        <v>3.24</v>
      </c>
    </row>
    <row r="10" spans="2:3" x14ac:dyDescent="0.6">
      <c r="B10" s="8">
        <v>4</v>
      </c>
      <c r="C10" s="12">
        <f>ROUND(C9+(C$4/10)^(1/B10)+$C$3^(1/B10),2)</f>
        <v>4.76</v>
      </c>
    </row>
    <row r="11" spans="2:3" x14ac:dyDescent="0.6">
      <c r="B11" s="8">
        <v>5</v>
      </c>
      <c r="C11" s="12">
        <f>ROUND(C10+(C$4/10)^(1/B11)+$C$3^(1/B11),2)</f>
        <v>6.34</v>
      </c>
    </row>
    <row r="12" spans="2:3" x14ac:dyDescent="0.6">
      <c r="B12" s="8">
        <v>6</v>
      </c>
      <c r="C12" s="12">
        <f>ROUND(C11+(C$4/10)^(1/B12)+$C$3^(1/B12),2)</f>
        <v>7.97</v>
      </c>
    </row>
    <row r="13" spans="2:3" x14ac:dyDescent="0.6">
      <c r="B13" s="8">
        <v>7</v>
      </c>
      <c r="C13" s="12">
        <f>ROUND(C12+(C$4/10)^(1/B13)+$C$3^(1/B13),2)</f>
        <v>9.65</v>
      </c>
    </row>
    <row r="14" spans="2:3" x14ac:dyDescent="0.6">
      <c r="B14" s="10" t="s">
        <v>4</v>
      </c>
      <c r="C14" s="14">
        <f>(SUM(C7:C13)/2)*2*PI()</f>
        <v>107.6623802385222</v>
      </c>
    </row>
    <row r="15" spans="2:3" x14ac:dyDescent="0.6">
      <c r="B15" s="1" t="s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33F6-12AF-4DD9-A5AD-2A0BD4ECCEC5}">
  <dimension ref="B2:L15"/>
  <sheetViews>
    <sheetView showGridLines="0" zoomScale="145" zoomScaleNormal="145" workbookViewId="0">
      <selection activeCell="D8" sqref="D8"/>
    </sheetView>
  </sheetViews>
  <sheetFormatPr defaultRowHeight="16.5" x14ac:dyDescent="0.6"/>
  <cols>
    <col min="1" max="1" width="2.59765625" style="1" customWidth="1"/>
    <col min="2" max="2" width="9.06640625" style="1"/>
    <col min="3" max="12" width="6.1328125" style="2" customWidth="1"/>
    <col min="13" max="13" width="2.59765625" style="1" customWidth="1"/>
    <col min="14" max="16384" width="9.06640625" style="1"/>
  </cols>
  <sheetData>
    <row r="2" spans="2:12" x14ac:dyDescent="0.6">
      <c r="B2" s="1" t="s">
        <v>6</v>
      </c>
    </row>
    <row r="3" spans="2:12" x14ac:dyDescent="0.6">
      <c r="B3" s="1" t="s">
        <v>5</v>
      </c>
      <c r="C3" s="3">
        <v>0.18</v>
      </c>
    </row>
    <row r="5" spans="2:12" x14ac:dyDescent="0.6">
      <c r="B5" s="5" t="s">
        <v>1</v>
      </c>
      <c r="C5" s="6">
        <v>0</v>
      </c>
      <c r="D5" s="6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6">
        <v>8</v>
      </c>
      <c r="L5" s="7">
        <v>9</v>
      </c>
    </row>
    <row r="6" spans="2:12" x14ac:dyDescent="0.6">
      <c r="B6" s="8" t="s">
        <v>0</v>
      </c>
      <c r="C6" s="4" t="s">
        <v>2</v>
      </c>
      <c r="D6" s="4" t="s">
        <v>2</v>
      </c>
      <c r="E6" s="4" t="s">
        <v>2</v>
      </c>
      <c r="F6" s="4" t="s">
        <v>2</v>
      </c>
      <c r="G6" s="4" t="s">
        <v>2</v>
      </c>
      <c r="H6" s="4" t="s">
        <v>2</v>
      </c>
      <c r="I6" s="4" t="s">
        <v>2</v>
      </c>
      <c r="J6" s="4" t="s">
        <v>2</v>
      </c>
      <c r="K6" s="4" t="s">
        <v>2</v>
      </c>
      <c r="L6" s="9" t="s">
        <v>2</v>
      </c>
    </row>
    <row r="7" spans="2:12" x14ac:dyDescent="0.6">
      <c r="B7" s="8">
        <v>1</v>
      </c>
      <c r="C7" s="11">
        <v>1</v>
      </c>
      <c r="D7" s="11">
        <v>1</v>
      </c>
      <c r="E7" s="11">
        <v>1</v>
      </c>
      <c r="F7" s="11">
        <v>1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2">
        <v>1</v>
      </c>
    </row>
    <row r="8" spans="2:12" x14ac:dyDescent="0.6">
      <c r="B8" s="8">
        <v>2</v>
      </c>
      <c r="C8" s="11">
        <f>ROUND(C7+(C$5/10)^(1/B8)+$C$3^(1/B8),2)</f>
        <v>1.42</v>
      </c>
      <c r="D8" s="11">
        <f t="shared" ref="D8:L13" si="0">ROUND(D7+(D$5/10)^(1/C8)+$C$3^(1/C8),2)</f>
        <v>1.5</v>
      </c>
      <c r="E8" s="11">
        <f t="shared" si="0"/>
        <v>1.66</v>
      </c>
      <c r="F8" s="11">
        <f t="shared" si="0"/>
        <v>1.84</v>
      </c>
      <c r="G8" s="11">
        <f t="shared" si="0"/>
        <v>2</v>
      </c>
      <c r="H8" s="11">
        <f t="shared" si="0"/>
        <v>2.13</v>
      </c>
      <c r="I8" s="11">
        <f t="shared" si="0"/>
        <v>2.23</v>
      </c>
      <c r="J8" s="11">
        <f t="shared" si="0"/>
        <v>2.3199999999999998</v>
      </c>
      <c r="K8" s="11">
        <f t="shared" si="0"/>
        <v>2.39</v>
      </c>
      <c r="L8" s="12">
        <f t="shared" si="0"/>
        <v>2.44</v>
      </c>
    </row>
    <row r="9" spans="2:12" x14ac:dyDescent="0.6">
      <c r="B9" s="8">
        <v>3</v>
      </c>
      <c r="C9" s="11">
        <f t="shared" ref="C9:C13" si="1">ROUND(C8+(C$5/10)^(1/B9)+$C$3^(1/B9),2)</f>
        <v>1.98</v>
      </c>
      <c r="D9" s="11">
        <f t="shared" si="0"/>
        <v>2.23</v>
      </c>
      <c r="E9" s="11">
        <f t="shared" si="0"/>
        <v>2.61</v>
      </c>
      <c r="F9" s="11">
        <f t="shared" si="0"/>
        <v>2.99</v>
      </c>
      <c r="G9" s="11">
        <f t="shared" si="0"/>
        <v>3.3</v>
      </c>
      <c r="H9" s="11">
        <f t="shared" si="0"/>
        <v>3.54</v>
      </c>
      <c r="I9" s="11">
        <f t="shared" si="0"/>
        <v>3.71</v>
      </c>
      <c r="J9" s="11">
        <f t="shared" si="0"/>
        <v>3.86</v>
      </c>
      <c r="K9" s="11">
        <f t="shared" si="0"/>
        <v>3.98</v>
      </c>
      <c r="L9" s="12">
        <f t="shared" si="0"/>
        <v>4.0599999999999996</v>
      </c>
    </row>
    <row r="10" spans="2:12" x14ac:dyDescent="0.6">
      <c r="B10" s="8">
        <v>4</v>
      </c>
      <c r="C10" s="11">
        <f t="shared" si="1"/>
        <v>2.63</v>
      </c>
      <c r="D10" s="11">
        <f t="shared" si="0"/>
        <v>3.17</v>
      </c>
      <c r="E10" s="11">
        <f t="shared" si="0"/>
        <v>3.79</v>
      </c>
      <c r="F10" s="11">
        <f t="shared" si="0"/>
        <v>4.3499999999999996</v>
      </c>
      <c r="G10" s="11">
        <f t="shared" si="0"/>
        <v>4.78</v>
      </c>
      <c r="H10" s="11">
        <f t="shared" si="0"/>
        <v>5.0999999999999996</v>
      </c>
      <c r="I10" s="11">
        <f t="shared" si="0"/>
        <v>5.33</v>
      </c>
      <c r="J10" s="11">
        <f t="shared" si="0"/>
        <v>5.52</v>
      </c>
      <c r="K10" s="11">
        <f t="shared" si="0"/>
        <v>5.67</v>
      </c>
      <c r="L10" s="12">
        <f t="shared" si="0"/>
        <v>5.78</v>
      </c>
    </row>
    <row r="11" spans="2:12" x14ac:dyDescent="0.6">
      <c r="B11" s="8">
        <v>5</v>
      </c>
      <c r="C11" s="11">
        <f t="shared" si="1"/>
        <v>3.34</v>
      </c>
      <c r="D11" s="11">
        <f t="shared" si="0"/>
        <v>4.2699999999999996</v>
      </c>
      <c r="E11" s="11">
        <f t="shared" si="0"/>
        <v>5.15</v>
      </c>
      <c r="F11" s="11">
        <f t="shared" si="0"/>
        <v>5.86</v>
      </c>
      <c r="G11" s="11">
        <f t="shared" si="0"/>
        <v>6.38</v>
      </c>
      <c r="H11" s="11">
        <f t="shared" si="0"/>
        <v>6.76</v>
      </c>
      <c r="I11" s="11">
        <f t="shared" si="0"/>
        <v>7.03</v>
      </c>
      <c r="J11" s="11">
        <f t="shared" si="0"/>
        <v>7.25</v>
      </c>
      <c r="K11" s="11">
        <f t="shared" si="0"/>
        <v>7.43</v>
      </c>
      <c r="L11" s="12">
        <f t="shared" si="0"/>
        <v>7.56</v>
      </c>
    </row>
    <row r="12" spans="2:12" x14ac:dyDescent="0.6">
      <c r="B12" s="8">
        <v>6</v>
      </c>
      <c r="C12" s="11">
        <f t="shared" si="1"/>
        <v>4.09</v>
      </c>
      <c r="D12" s="11">
        <f t="shared" si="0"/>
        <v>5.5</v>
      </c>
      <c r="E12" s="11">
        <f t="shared" si="0"/>
        <v>6.63</v>
      </c>
      <c r="F12" s="11">
        <f t="shared" si="0"/>
        <v>7.47</v>
      </c>
      <c r="G12" s="11">
        <f t="shared" si="0"/>
        <v>8.06</v>
      </c>
      <c r="H12" s="11">
        <f t="shared" si="0"/>
        <v>8.49</v>
      </c>
      <c r="I12" s="11">
        <f t="shared" si="0"/>
        <v>8.7899999999999991</v>
      </c>
      <c r="J12" s="11">
        <f t="shared" si="0"/>
        <v>9.0299999999999994</v>
      </c>
      <c r="K12" s="11">
        <f t="shared" si="0"/>
        <v>9.23</v>
      </c>
      <c r="L12" s="12">
        <f t="shared" si="0"/>
        <v>9.3800000000000008</v>
      </c>
    </row>
    <row r="13" spans="2:12" x14ac:dyDescent="0.6">
      <c r="B13" s="8">
        <v>7</v>
      </c>
      <c r="C13" s="11">
        <f t="shared" si="1"/>
        <v>4.87</v>
      </c>
      <c r="D13" s="11">
        <f t="shared" si="0"/>
        <v>6.83</v>
      </c>
      <c r="E13" s="11">
        <f t="shared" si="0"/>
        <v>8.1999999999999993</v>
      </c>
      <c r="F13" s="11">
        <f t="shared" si="0"/>
        <v>9.14</v>
      </c>
      <c r="G13" s="11">
        <f t="shared" si="0"/>
        <v>9.7899999999999991</v>
      </c>
      <c r="H13" s="11">
        <f t="shared" si="0"/>
        <v>10.26</v>
      </c>
      <c r="I13" s="11">
        <f t="shared" si="0"/>
        <v>10.59</v>
      </c>
      <c r="J13" s="11">
        <f t="shared" si="0"/>
        <v>10.85</v>
      </c>
      <c r="K13" s="11">
        <f t="shared" si="0"/>
        <v>11.06</v>
      </c>
      <c r="L13" s="12">
        <f t="shared" si="0"/>
        <v>11.23</v>
      </c>
    </row>
    <row r="14" spans="2:12" x14ac:dyDescent="0.6">
      <c r="B14" s="10" t="s">
        <v>4</v>
      </c>
      <c r="C14" s="13">
        <f>(SUM(C7:C13)/2)*2*PI()</f>
        <v>60.726985993890708</v>
      </c>
      <c r="D14" s="13">
        <f t="shared" ref="D14:L14" si="2">(SUM(D7:D13)/2)*2*PI()</f>
        <v>76.969020012949926</v>
      </c>
      <c r="E14" s="13">
        <f t="shared" si="2"/>
        <v>91.231850660247588</v>
      </c>
      <c r="F14" s="13">
        <f t="shared" si="2"/>
        <v>102.57300013970674</v>
      </c>
      <c r="G14" s="13">
        <f t="shared" si="2"/>
        <v>110.9296365982556</v>
      </c>
      <c r="H14" s="13">
        <f t="shared" si="2"/>
        <v>117.11857412582749</v>
      </c>
      <c r="I14" s="13">
        <f t="shared" si="2"/>
        <v>121.5168038408532</v>
      </c>
      <c r="J14" s="13">
        <f t="shared" si="2"/>
        <v>125.12963539248146</v>
      </c>
      <c r="K14" s="13">
        <f t="shared" si="2"/>
        <v>128.05131656031998</v>
      </c>
      <c r="L14" s="14">
        <f t="shared" si="2"/>
        <v>130.21901549129694</v>
      </c>
    </row>
    <row r="15" spans="2:12" x14ac:dyDescent="0.6">
      <c r="B15" s="1" t="s">
        <v>3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Espiral2CentrosSDig</vt:lpstr>
      <vt:lpstr>Espiral2CentrosFactor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2025-07-28T14:18:04Z</dcterms:created>
  <dcterms:modified xsi:type="dcterms:W3CDTF">2026-01-29T22:43:29Z</dcterms:modified>
</cp:coreProperties>
</file>