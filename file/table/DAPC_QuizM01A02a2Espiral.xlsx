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CBB80C55-58CD-4C3A-BCA8-A990A9A6FF1F}" xr6:coauthVersionLast="47" xr6:coauthVersionMax="47" xr10:uidLastSave="{00000000-0000-0000-0000-000000000000}"/>
  <bookViews>
    <workbookView xWindow="-98" yWindow="-98" windowWidth="28996" windowHeight="15675" xr2:uid="{4FA0F644-0B27-48D7-AC0A-327E78D1DF86}"/>
  </bookViews>
  <sheets>
    <sheet name="Espir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F14" i="1"/>
  <c r="G14" i="1"/>
  <c r="H14" i="1"/>
  <c r="I14" i="1"/>
  <c r="J14" i="1"/>
  <c r="K14" i="1"/>
  <c r="L14" i="1"/>
  <c r="C14" i="1"/>
  <c r="C8" i="1"/>
  <c r="D8" i="1" s="1"/>
  <c r="C9" i="1" l="1"/>
  <c r="C10" i="1" s="1"/>
  <c r="C11" i="1" s="1"/>
  <c r="C12" i="1" s="1"/>
  <c r="C13" i="1" s="1"/>
  <c r="E8" i="1"/>
  <c r="D9" i="1" l="1"/>
  <c r="D10" i="1" s="1"/>
  <c r="D11" i="1" s="1"/>
  <c r="D12" i="1" s="1"/>
  <c r="D13" i="1" s="1"/>
  <c r="F8" i="1"/>
  <c r="E9" i="1" l="1"/>
  <c r="E10" i="1" s="1"/>
  <c r="E11" i="1" s="1"/>
  <c r="E12" i="1" s="1"/>
  <c r="E13" i="1" s="1"/>
  <c r="G8" i="1"/>
  <c r="F9" i="1" l="1"/>
  <c r="F10" i="1" s="1"/>
  <c r="F11" i="1" s="1"/>
  <c r="F12" i="1" s="1"/>
  <c r="F13" i="1" s="1"/>
  <c r="G9" i="1"/>
  <c r="G10" i="1" s="1"/>
  <c r="G11" i="1" s="1"/>
  <c r="G12" i="1" s="1"/>
  <c r="G13" i="1" s="1"/>
  <c r="H8" i="1"/>
  <c r="H9" i="1" l="1"/>
  <c r="H10" i="1" s="1"/>
  <c r="H11" i="1" s="1"/>
  <c r="H12" i="1" s="1"/>
  <c r="H13" i="1" s="1"/>
  <c r="I8" i="1"/>
  <c r="J8" i="1" l="1"/>
  <c r="I9" i="1"/>
  <c r="I10" i="1" s="1"/>
  <c r="I11" i="1" s="1"/>
  <c r="I12" i="1" s="1"/>
  <c r="I13" i="1" s="1"/>
  <c r="K8" i="1" l="1"/>
  <c r="J9" i="1"/>
  <c r="J10" i="1" s="1"/>
  <c r="J11" i="1" s="1"/>
  <c r="J12" i="1" s="1"/>
  <c r="J13" i="1" s="1"/>
  <c r="K9" i="1" l="1"/>
  <c r="K10" i="1" s="1"/>
  <c r="K11" i="1" s="1"/>
  <c r="K12" i="1" s="1"/>
  <c r="K13" i="1" s="1"/>
  <c r="L8" i="1"/>
  <c r="L9" i="1" l="1"/>
  <c r="L10" i="1" l="1"/>
  <c r="L11" i="1" l="1"/>
  <c r="L12" i="1" l="1"/>
  <c r="L13" i="1" l="1"/>
</calcChain>
</file>

<file path=xl/sharedStrings.xml><?xml version="1.0" encoding="utf-8"?>
<sst xmlns="http://schemas.openxmlformats.org/spreadsheetml/2006/main" count="17" uniqueCount="8">
  <si>
    <t>Arco</t>
  </si>
  <si>
    <t>Código</t>
  </si>
  <si>
    <t>R</t>
  </si>
  <si>
    <r>
      <t xml:space="preserve">Quiz </t>
    </r>
    <r>
      <rPr>
        <b/>
        <sz val="11"/>
        <color theme="1"/>
        <rFont val="Segoe UI Light"/>
        <family val="2"/>
      </rPr>
      <t>M01A02a-2 / Espiral</t>
    </r>
  </si>
  <si>
    <t>r</t>
  </si>
  <si>
    <t>Radio r en metros</t>
  </si>
  <si>
    <t>Long (m)</t>
  </si>
  <si>
    <t>Factor: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</si>
</sst>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6" xfId="0" applyNumberFormat="1" applyFont="1" applyBorder="1" applyAlignment="1">
      <alignment horizontal="center"/>
    </xf>
    <xf numFmtId="2" fontId="1" fillId="2" borderId="8" xfId="0" applyNumberFormat="1" applyFont="1" applyFill="1" applyBorder="1" applyAlignment="1">
      <alignment horizontal="center"/>
    </xf>
    <xf numFmtId="2" fontId="1" fillId="2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19707</xdr:colOff>
      <xdr:row>3</xdr:row>
      <xdr:rowOff>157655</xdr:rowOff>
    </xdr:from>
    <xdr:to>
      <xdr:col>18</xdr:col>
      <xdr:colOff>223042</xdr:colOff>
      <xdr:row>19</xdr:row>
      <xdr:rowOff>194795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39C095-0272-EF44-C742-3BA297062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09544" y="788276"/>
          <a:ext cx="3438550" cy="3400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33F6-12AF-4DD9-A5AD-2A0BD4ECCEC5}">
  <dimension ref="B2:L15"/>
  <sheetViews>
    <sheetView showGridLines="0" tabSelected="1" zoomScale="145" zoomScaleNormal="145" workbookViewId="0">
      <selection activeCell="F19" sqref="F19"/>
    </sheetView>
  </sheetViews>
  <sheetFormatPr defaultRowHeight="16.5" x14ac:dyDescent="0.6"/>
  <cols>
    <col min="1" max="1" width="2.59765625" style="1" customWidth="1"/>
    <col min="2" max="2" width="9.06640625" style="1"/>
    <col min="3" max="12" width="6.1328125" style="2" customWidth="1"/>
    <col min="13" max="13" width="2.59765625" style="1" customWidth="1"/>
    <col min="14" max="16384" width="9.06640625" style="1"/>
  </cols>
  <sheetData>
    <row r="2" spans="2:12" x14ac:dyDescent="0.6">
      <c r="B2" s="1" t="s">
        <v>3</v>
      </c>
    </row>
    <row r="3" spans="2:12" x14ac:dyDescent="0.6">
      <c r="B3" s="1" t="s">
        <v>7</v>
      </c>
      <c r="C3" s="3">
        <v>0.14000000000000001</v>
      </c>
    </row>
    <row r="5" spans="2:12" x14ac:dyDescent="0.6">
      <c r="B5" s="5" t="s">
        <v>1</v>
      </c>
      <c r="C5" s="6">
        <v>0</v>
      </c>
      <c r="D5" s="6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6">
        <v>8</v>
      </c>
      <c r="L5" s="7">
        <v>9</v>
      </c>
    </row>
    <row r="6" spans="2:12" x14ac:dyDescent="0.6">
      <c r="B6" s="8" t="s">
        <v>0</v>
      </c>
      <c r="C6" s="4" t="s">
        <v>4</v>
      </c>
      <c r="D6" s="4" t="s">
        <v>4</v>
      </c>
      <c r="E6" s="4" t="s">
        <v>4</v>
      </c>
      <c r="F6" s="4" t="s">
        <v>4</v>
      </c>
      <c r="G6" s="4" t="s">
        <v>4</v>
      </c>
      <c r="H6" s="4" t="s">
        <v>4</v>
      </c>
      <c r="I6" s="4" t="s">
        <v>4</v>
      </c>
      <c r="J6" s="4" t="s">
        <v>4</v>
      </c>
      <c r="K6" s="4" t="s">
        <v>4</v>
      </c>
      <c r="L6" s="9" t="s">
        <v>4</v>
      </c>
    </row>
    <row r="7" spans="2:12" x14ac:dyDescent="0.6">
      <c r="B7" s="8">
        <v>1</v>
      </c>
      <c r="C7" s="11">
        <v>1</v>
      </c>
      <c r="D7" s="11">
        <v>1</v>
      </c>
      <c r="E7" s="11">
        <v>1</v>
      </c>
      <c r="F7" s="11">
        <v>1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2">
        <v>1</v>
      </c>
    </row>
    <row r="8" spans="2:12" x14ac:dyDescent="0.6">
      <c r="B8" s="8">
        <v>2</v>
      </c>
      <c r="C8" s="11">
        <f>ROUND(C7+(C$5/10)^(1/B8)+$C$3^(1/B8),2)</f>
        <v>1.37</v>
      </c>
      <c r="D8" s="11">
        <f t="shared" ref="D8:L13" si="0">ROUND(D7+(D$5/10)^(1/C8)+$C$3^(1/C8),2)</f>
        <v>1.42</v>
      </c>
      <c r="E8" s="11">
        <f t="shared" si="0"/>
        <v>1.57</v>
      </c>
      <c r="F8" s="11">
        <f t="shared" si="0"/>
        <v>1.75</v>
      </c>
      <c r="G8" s="11">
        <f t="shared" si="0"/>
        <v>1.92</v>
      </c>
      <c r="H8" s="11">
        <f t="shared" si="0"/>
        <v>2.06</v>
      </c>
      <c r="I8" s="11">
        <f t="shared" si="0"/>
        <v>2.17</v>
      </c>
      <c r="J8" s="11">
        <f t="shared" si="0"/>
        <v>2.25</v>
      </c>
      <c r="K8" s="11">
        <f t="shared" si="0"/>
        <v>2.3199999999999998</v>
      </c>
      <c r="L8" s="12">
        <f t="shared" si="0"/>
        <v>2.38</v>
      </c>
    </row>
    <row r="9" spans="2:12" x14ac:dyDescent="0.6">
      <c r="B9" s="8">
        <v>3</v>
      </c>
      <c r="C9" s="11">
        <f t="shared" ref="C9:C13" si="1">ROUND(C8+(C$5/10)^(1/B9)+$C$3^(1/B9),2)</f>
        <v>1.89</v>
      </c>
      <c r="D9" s="11">
        <f t="shared" si="0"/>
        <v>2.0699999999999998</v>
      </c>
      <c r="E9" s="11">
        <f t="shared" si="0"/>
        <v>2.42</v>
      </c>
      <c r="F9" s="11">
        <f t="shared" si="0"/>
        <v>2.8</v>
      </c>
      <c r="G9" s="11">
        <f t="shared" si="0"/>
        <v>3.14</v>
      </c>
      <c r="H9" s="11">
        <f t="shared" si="0"/>
        <v>3.4</v>
      </c>
      <c r="I9" s="11">
        <f t="shared" si="0"/>
        <v>3.59</v>
      </c>
      <c r="J9" s="11">
        <f t="shared" si="0"/>
        <v>3.73</v>
      </c>
      <c r="K9" s="11">
        <f t="shared" si="0"/>
        <v>3.85</v>
      </c>
      <c r="L9" s="12">
        <f t="shared" si="0"/>
        <v>3.95</v>
      </c>
    </row>
    <row r="10" spans="2:12" x14ac:dyDescent="0.6">
      <c r="B10" s="8">
        <v>4</v>
      </c>
      <c r="C10" s="11">
        <f t="shared" si="1"/>
        <v>2.5</v>
      </c>
      <c r="D10" s="11">
        <f t="shared" si="0"/>
        <v>2.92</v>
      </c>
      <c r="E10" s="11">
        <f t="shared" si="0"/>
        <v>3.51</v>
      </c>
      <c r="F10" s="11">
        <f t="shared" si="0"/>
        <v>4.08</v>
      </c>
      <c r="G10" s="11">
        <f t="shared" si="0"/>
        <v>4.5599999999999996</v>
      </c>
      <c r="H10" s="11">
        <f t="shared" si="0"/>
        <v>4.91</v>
      </c>
      <c r="I10" s="11">
        <f t="shared" si="0"/>
        <v>5.16</v>
      </c>
      <c r="J10" s="11">
        <f t="shared" si="0"/>
        <v>5.35</v>
      </c>
      <c r="K10" s="11">
        <f t="shared" si="0"/>
        <v>5.5</v>
      </c>
      <c r="L10" s="12">
        <f t="shared" si="0"/>
        <v>5.63</v>
      </c>
    </row>
    <row r="11" spans="2:12" x14ac:dyDescent="0.6">
      <c r="B11" s="8">
        <v>5</v>
      </c>
      <c r="C11" s="11">
        <f t="shared" si="1"/>
        <v>3.17</v>
      </c>
      <c r="D11" s="11">
        <f t="shared" si="0"/>
        <v>3.94</v>
      </c>
      <c r="E11" s="11">
        <f t="shared" si="0"/>
        <v>4.78</v>
      </c>
      <c r="F11" s="11">
        <f t="shared" si="0"/>
        <v>5.52</v>
      </c>
      <c r="G11" s="11">
        <f t="shared" si="0"/>
        <v>6.11</v>
      </c>
      <c r="H11" s="11">
        <f t="shared" si="0"/>
        <v>6.53</v>
      </c>
      <c r="I11" s="11">
        <f t="shared" si="0"/>
        <v>6.82</v>
      </c>
      <c r="J11" s="11">
        <f t="shared" si="0"/>
        <v>7.05</v>
      </c>
      <c r="K11" s="11">
        <f t="shared" si="0"/>
        <v>7.23</v>
      </c>
      <c r="L11" s="12">
        <f t="shared" si="0"/>
        <v>7.38</v>
      </c>
    </row>
    <row r="12" spans="2:12" x14ac:dyDescent="0.6">
      <c r="B12" s="8">
        <v>6</v>
      </c>
      <c r="C12" s="11">
        <f t="shared" si="1"/>
        <v>3.89</v>
      </c>
      <c r="D12" s="11">
        <f t="shared" si="0"/>
        <v>5.0999999999999996</v>
      </c>
      <c r="E12" s="11">
        <f t="shared" si="0"/>
        <v>6.19</v>
      </c>
      <c r="F12" s="11">
        <f t="shared" si="0"/>
        <v>7.07</v>
      </c>
      <c r="G12" s="11">
        <f t="shared" si="0"/>
        <v>7.75</v>
      </c>
      <c r="H12" s="11">
        <f t="shared" si="0"/>
        <v>8.2200000000000006</v>
      </c>
      <c r="I12" s="11">
        <f t="shared" si="0"/>
        <v>8.5500000000000007</v>
      </c>
      <c r="J12" s="11">
        <f t="shared" si="0"/>
        <v>8.8000000000000007</v>
      </c>
      <c r="K12" s="11">
        <f t="shared" si="0"/>
        <v>9</v>
      </c>
      <c r="L12" s="12">
        <f t="shared" si="0"/>
        <v>9.17</v>
      </c>
    </row>
    <row r="13" spans="2:12" x14ac:dyDescent="0.6">
      <c r="B13" s="8">
        <v>7</v>
      </c>
      <c r="C13" s="11">
        <f t="shared" si="1"/>
        <v>4.6500000000000004</v>
      </c>
      <c r="D13" s="11">
        <f t="shared" si="0"/>
        <v>6.36</v>
      </c>
      <c r="E13" s="11">
        <f t="shared" si="0"/>
        <v>7.7</v>
      </c>
      <c r="F13" s="11">
        <f t="shared" si="0"/>
        <v>8.6999999999999993</v>
      </c>
      <c r="G13" s="11">
        <f t="shared" si="0"/>
        <v>9.4499999999999993</v>
      </c>
      <c r="H13" s="11">
        <f t="shared" si="0"/>
        <v>9.9600000000000009</v>
      </c>
      <c r="I13" s="11">
        <f t="shared" si="0"/>
        <v>10.32</v>
      </c>
      <c r="J13" s="11">
        <f t="shared" si="0"/>
        <v>10.59</v>
      </c>
      <c r="K13" s="11">
        <f t="shared" si="0"/>
        <v>10.81</v>
      </c>
      <c r="L13" s="12">
        <f t="shared" si="0"/>
        <v>10.99</v>
      </c>
    </row>
    <row r="14" spans="2:12" x14ac:dyDescent="0.6">
      <c r="B14" s="10" t="s">
        <v>6</v>
      </c>
      <c r="C14" s="13">
        <f>(SUM(C7:C13)/2)*2*PI()</f>
        <v>58.025216311803476</v>
      </c>
      <c r="D14" s="13">
        <f t="shared" ref="D14:L14" si="2">(SUM(D7:D13)/2)*2*PI()</f>
        <v>71.659728428383175</v>
      </c>
      <c r="E14" s="13">
        <f t="shared" si="2"/>
        <v>85.357072398034688</v>
      </c>
      <c r="F14" s="13">
        <f t="shared" si="2"/>
        <v>97.138044848996401</v>
      </c>
      <c r="G14" s="13">
        <f t="shared" si="2"/>
        <v>106.59423873630168</v>
      </c>
      <c r="H14" s="13">
        <f t="shared" si="2"/>
        <v>113.34866294151975</v>
      </c>
      <c r="I14" s="13">
        <f t="shared" si="2"/>
        <v>118.15529970151212</v>
      </c>
      <c r="J14" s="13">
        <f t="shared" si="2"/>
        <v>121.79954717967627</v>
      </c>
      <c r="K14" s="13">
        <f t="shared" si="2"/>
        <v>124.75264427405068</v>
      </c>
      <c r="L14" s="14">
        <f t="shared" si="2"/>
        <v>127.23450247038662</v>
      </c>
    </row>
    <row r="15" spans="2:12" x14ac:dyDescent="0.6">
      <c r="B15" s="1" t="s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Espiral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2025-07-28T14:18:04Z</dcterms:created>
  <dcterms:modified xsi:type="dcterms:W3CDTF">2025-07-28T15:06:26Z</dcterms:modified>
</cp:coreProperties>
</file>