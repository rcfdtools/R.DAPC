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B6738C9D-B331-441B-AFD2-349C202BAAEA}" xr6:coauthVersionLast="47" xr6:coauthVersionMax="47" xr10:uidLastSave="{00000000-0000-0000-0000-000000000000}"/>
  <bookViews>
    <workbookView xWindow="-98" yWindow="-98" windowWidth="28996" windowHeight="15675" activeTab="1" xr2:uid="{00000000-000D-0000-FFFF-FFFF00000000}"/>
  </bookViews>
  <sheets>
    <sheet name="1.Técnicas" sheetId="2" r:id="rId1"/>
    <sheet name="2.Arquitectónica" sheetId="4" r:id="rId2"/>
    <sheet name="3.Eléctrica" sheetId="5" r:id="rId3"/>
    <sheet name="3.Planos" sheetId="6" r:id="rId4"/>
    <sheet name="Files" sheetId="1" r:id="rId5"/>
    <sheet name="Metadata" sheetId="3" r:id="rId6"/>
  </sheets>
  <definedNames>
    <definedName name="SumUDig">'1.Técnicas'!$E$32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6" l="1"/>
  <c r="D12" i="6"/>
  <c r="D14" i="6" s="1"/>
  <c r="C83" i="4"/>
  <c r="D52" i="4"/>
  <c r="D54" i="4" s="1"/>
  <c r="D49" i="4" s="1"/>
  <c r="C85" i="4" s="1"/>
  <c r="D26" i="4"/>
  <c r="D36" i="4"/>
  <c r="E30" i="2"/>
  <c r="E23" i="2"/>
  <c r="E24" i="2"/>
  <c r="E25" i="2"/>
  <c r="E26" i="2"/>
  <c r="E27" i="2"/>
  <c r="E28" i="2"/>
  <c r="E29" i="2"/>
  <c r="E31" i="2"/>
  <c r="E22" i="2"/>
  <c r="D94" i="4" l="1"/>
  <c r="C84" i="4"/>
  <c r="E32" i="2"/>
  <c r="D11" i="4" l="1"/>
  <c r="D10" i="4"/>
  <c r="D16" i="4" l="1"/>
  <c r="D42" i="4"/>
  <c r="D43" i="4" s="1"/>
  <c r="D30" i="4"/>
  <c r="D32" i="4" s="1"/>
  <c r="D68" i="4"/>
  <c r="D15" i="4"/>
  <c r="D67" i="4"/>
  <c r="D74" i="4" s="1"/>
  <c r="D69" i="4" l="1"/>
  <c r="D95" i="4" s="1"/>
  <c r="D96" i="4" s="1"/>
  <c r="D17" i="4"/>
  <c r="C81" i="4" s="1"/>
  <c r="D75" i="4"/>
  <c r="D31" i="4"/>
  <c r="D34" i="4" s="1"/>
  <c r="D37" i="4" s="1"/>
  <c r="D97" i="4"/>
  <c r="D18" i="4"/>
  <c r="D19" i="4"/>
  <c r="D25" i="5" l="1"/>
  <c r="D28" i="5" s="1"/>
  <c r="D21" i="4"/>
  <c r="C88" i="4" s="1"/>
  <c r="C86" i="4"/>
  <c r="D20" i="4"/>
  <c r="C87" i="4" s="1"/>
  <c r="C82" i="4"/>
  <c r="D64" i="4"/>
  <c r="D92" i="4" s="1"/>
  <c r="D9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21"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<sst xmlns="http://schemas.openxmlformats.org/spreadsheetml/2006/main" count="414" uniqueCount="278">
  <si>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</si>
  <si>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</si>
  <si>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</si>
  <si>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</si>
  <si>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</si>
  <si>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</si>
  <si>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</si>
  <si>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</si>
  <si>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</si>
  <si>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</si>
  <si>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</si>
  <si>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</si>
  <si>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</si>
  <si>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</si>
  <si>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</si>
  <si>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</si>
  <si>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</si>
  <si>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</si>
  <si>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</si>
  <si>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</si>
  <si>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</si>
  <si>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</si>
  <si>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</si>
  <si>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</si>
  <si>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</si>
  <si>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</si>
  <si>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</si>
  <si>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</si>
  <si>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</si>
  <si>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</si>
  <si>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</si>
  <si>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</si>
  <si>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</si>
  <si>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</si>
  <si>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</si>
  <si>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</si>
  <si>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</si>
  <si>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</si>
  <si>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</si>
  <si>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</si>
  <si>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</si>
  <si>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</si>
  <si>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</si>
  <si>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</si>
  <si>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</si>
  <si>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</si>
  <si>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</si>
  <si>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</si>
  <si>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</si>
  <si>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</si>
  <si>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</si>
  <si>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</si>
  <si>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</si>
  <si>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</si>
  <si>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</si>
  <si>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</si>
  <si>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</si>
  <si>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</si>
  <si>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</si>
  <si>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</si>
  <si>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</si>
  <si>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</si>
  <si>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</si>
  <si>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</si>
  <si>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</si>
  <si>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</si>
  <si>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</si>
  <si>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</si>
  <si>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</si>
  <si>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</si>
  <si>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</si>
  <si>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</si>
  <si>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</si>
  <si>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</si>
  <si>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</si>
  <si>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</si>
  <si>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</si>
  <si>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</si>
  <si>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</si>
  <si>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</si>
  <si>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</si>
  <si>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</si>
  <si>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</si>
  <si>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</si>
  <si>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</si>
  <si>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</si>
  <si>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</si>
  <si>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</si>
  <si>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</si>
  <si>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</si>
  <si>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</si>
  <si>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</si>
  <si>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</si>
  <si>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</si>
  <si>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</si>
  <si>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</si>
  <si>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</si>
  <si>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</si>
  <si>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</si>
  <si>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</si>
  <si>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</si>
  <si>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</si>
  <si>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</si>
  <si>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</si>
  <si>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</si>
  <si>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</si>
  <si>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</si>
  <si>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</si>
  <si>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</si>
  <si>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</si>
  <si>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</si>
  <si>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</si>
  <si>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</si>
  <si>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</si>
  <si>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</si>
  <si>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</si>
  <si>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</si>
  <si>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</si>
  <si>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</si>
  <si>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</si>
  <si>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</si>
  <si>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</si>
  <si>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</si>
  <si>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</si>
  <si>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</si>
  <si>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</si>
  <si>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</si>
  <si>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</si>
  <si>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</si>
  <si>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</si>
  <si>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</si>
  <si>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</si>
  <si>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</si>
  <si>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</si>
  <si>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</si>
  <si>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</si>
  <si>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</si>
  <si>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</si>
  <si>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</si>
  <si>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</si>
  <si>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</si>
  <si>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</si>
  <si>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</si>
  <si>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</si>
  <si>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</si>
  <si>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</si>
  <si>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</si>
  <si>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</si>
  <si>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</si>
  <si>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</si>
  <si>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</si>
  <si>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</si>
  <si>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</si>
  <si>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</si>
  <si>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</si>
  <si>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</si>
  <si>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</si>
  <si>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</si>
  <si>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</si>
  <si>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</si>
  <si>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</si>
  <si>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</si>
  <si>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</si>
  <si>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</si>
  <si>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</si>
  <si>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</si>
  <si>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</si>
  <si>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</si>
  <si>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</si>
  <si>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</si>
  <si>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</si>
  <si>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</si>
  <si>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</si>
  <si>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</si>
  <si>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</si>
  <si>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</si>
  <si>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</si>
  <si>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</si>
  <si>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</si>
  <si>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</si>
  <si>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</si>
  <si>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</si>
  <si>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</si>
  <si>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</si>
  <si>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</si>
  <si>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</si>
  <si>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</si>
  <si>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</si>
  <si>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</si>
  <si>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</si>
  <si>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</si>
  <si>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</si>
  <si>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</si>
  <si>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</si>
  <si>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</si>
  <si>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</si>
  <si>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</si>
  <si>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</si>
  <si>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</si>
  <si>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</si>
  <si>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</si>
  <si>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</si>
  <si>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</si>
  <si>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</si>
  <si>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</si>
  <si>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</si>
  <si>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</si>
  <si>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</si>
  <si>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</si>
  <si>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</si>
  <si>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</si>
  <si>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</si>
  <si>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</si>
  <si>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</si>
  <si>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</si>
  <si>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</si>
  <si>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</si>
  <si>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</si>
  <si>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</si>
  <si>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</si>
  <si>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Localizados en planta y en cortes.</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</si>
  <si>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</si>
  <si>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</si>
  <si>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</si>
  <si>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</si>
  <si>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</si>
  <si>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</si>
  <si>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</si>
  <si>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</si>
  <si>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</si>
  <si>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</si>
  <si>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</si>
  <si>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</si>
  <si>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</si>
  <si>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</si>
  <si>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</si>
  <si>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</si>
  <si>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</si>
  <si>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</si>
  <si>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</si>
  <si>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</si>
  <si>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</si>
  <si>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Conexión desde poste o subterránea desde lindero de entrada al predio en uno de los laterales.</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</si>
  <si>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</si>
  <si>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</si>
  <si>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</si>
  <si>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r>
      <t>Distribución interna</t>
    </r>
    <r>
      <rPr>
        <sz val="8"/>
        <color theme="1"/>
        <rFont val="Segoe UI Light"/>
        <family val="2"/>
      </rPr>
      <t xml:space="preserve"> (al menos se deben incluir 3 referencias distintas de transformadores eléctricos industriales)</t>
    </r>
  </si>
  <si>
    <t>4. Bodegaje</t>
  </si>
  <si>
    <t>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</si>
  <si>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</si>
  <si>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</si>
  <si>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</si>
  <si>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Estantería</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</si>
  <si>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</si>
  <si>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</si>
  <si>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</si>
  <si>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</si>
  <si>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</si>
  <si>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</si>
  <si>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</si>
  <si>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</si>
  <si>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</si>
  <si>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</si>
  <si>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</si>
  <si>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</si>
  <si>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</si>
  <si>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</si>
  <si>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</si>
  <si>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</si>
  <si>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</si>
  <si>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</si>
  <si>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</si>
  <si>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</si>
  <si>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</si>
  <si>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</si>
  <si>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</si>
  <si>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</si>
  <si>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Cuadro de cantidades (resumen a incluir en planos, no es necesario realizar costos unitarios)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</si>
</sst>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9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2" borderId="21"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2" borderId="12" xfId="0" applyFont="1" applyFill="1" applyBorder="1" applyAlignment="1">
      <alignment horizontal="left"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0" borderId="13" xfId="0" applyFont="1" applyBorder="1" applyAlignment="1">
      <alignment horizontal="center" vertical="top"/>
    </xf>
    <xf numFmtId="0" fontId="2" fillId="0" borderId="14" xfId="0" applyFont="1" applyBorder="1" applyAlignment="1">
      <alignment horizontal="center" vertical="top"/>
    </xf>
    <xf numFmtId="0" fontId="3" fillId="0" borderId="13" xfId="0" applyFont="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17" xfId="0" applyFont="1" applyBorder="1" applyAlignment="1">
      <alignment horizontal="left" vertical="top" wrapText="1"/>
    </xf>
    <xf numFmtId="0" fontId="2" fillId="0" borderId="1" xfId="0" applyFont="1" applyBorder="1" applyAlignment="1">
      <alignment horizontal="left" vertical="top"/>
    </xf>
    <xf numFmtId="0" fontId="2" fillId="0" borderId="6" xfId="0" applyFont="1" applyBorder="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2"/>
  <sheetViews>
    <sheetView showGridLines="0" zoomScale="130" zoomScaleNormal="130" workbookViewId="0">
      <pane ySplit="3" topLeftCell="A4" activePane="bottomLeft" state="frozen"/>
      <selection pane="bottomLeft" activeCell="H16" sqref="H16"/>
    </sheetView>
  </sheetViews>
  <sheetFormatPr defaultRowHeight="16.5" x14ac:dyDescent="0.45"/>
  <cols>
    <col min="1" max="2" width="2.59765625" style="2" customWidth="1"/>
    <col min="3" max="3" width="50.59765625" style="2" customWidth="1"/>
    <col min="4" max="4" width="15.59765625" style="2" customWidth="1"/>
    <col min="5" max="5" width="9.06640625" style="2"/>
    <col min="6" max="6" width="2.59765625" style="2" customWidth="1"/>
    <col min="7" max="16384" width="9.06640625" style="2"/>
  </cols>
  <sheetData>
    <row r="1" spans="2:5" x14ac:dyDescent="0.45">
      <c r="E1" s="24"/>
    </row>
    <row r="2" spans="2:5" x14ac:dyDescent="0.45">
      <c r="B2" s="2" t="s">
        <v>23</v>
      </c>
    </row>
    <row r="3" spans="2:5" x14ac:dyDescent="0.45">
      <c r="B3" s="20" t="s">
        <v>0</v>
      </c>
    </row>
    <row r="4" spans="2:5" x14ac:dyDescent="0.45">
      <c r="B4" s="86" t="s">
        <v>248</v>
      </c>
      <c r="C4" s="86"/>
      <c r="D4" s="86"/>
      <c r="E4" s="86"/>
    </row>
    <row r="5" spans="2:5" x14ac:dyDescent="0.45">
      <c r="B5" s="86"/>
      <c r="C5" s="86"/>
      <c r="D5" s="86"/>
      <c r="E5" s="86"/>
    </row>
    <row r="6" spans="2:5" x14ac:dyDescent="0.45">
      <c r="B6" s="86"/>
      <c r="C6" s="86"/>
      <c r="D6" s="86"/>
      <c r="E6" s="86"/>
    </row>
    <row r="7" spans="2:5" x14ac:dyDescent="0.45">
      <c r="B7" s="86"/>
      <c r="C7" s="86"/>
      <c r="D7" s="86"/>
      <c r="E7" s="86"/>
    </row>
    <row r="8" spans="2:5" x14ac:dyDescent="0.45">
      <c r="B8" s="86"/>
      <c r="C8" s="86"/>
      <c r="D8" s="86"/>
      <c r="E8" s="86"/>
    </row>
    <row r="9" spans="2:5" x14ac:dyDescent="0.45">
      <c r="B9" s="86"/>
      <c r="C9" s="86"/>
      <c r="D9" s="86"/>
      <c r="E9" s="86"/>
    </row>
    <row r="10" spans="2:5" x14ac:dyDescent="0.45">
      <c r="B10" s="88" t="s">
        <v>1</v>
      </c>
      <c r="C10" s="89"/>
      <c r="D10" s="89"/>
      <c r="E10" s="90"/>
    </row>
    <row r="11" spans="2:5" x14ac:dyDescent="0.45">
      <c r="B11" s="80" t="s">
        <v>12</v>
      </c>
      <c r="C11" s="81"/>
      <c r="D11" s="81"/>
      <c r="E11" s="82"/>
    </row>
    <row r="12" spans="2:5" x14ac:dyDescent="0.45">
      <c r="B12" s="77" t="s">
        <v>2</v>
      </c>
      <c r="C12" s="78"/>
      <c r="D12" s="78"/>
      <c r="E12" s="79"/>
    </row>
    <row r="13" spans="2:5" x14ac:dyDescent="0.45">
      <c r="B13" s="80" t="s">
        <v>13</v>
      </c>
      <c r="C13" s="81"/>
      <c r="D13" s="81"/>
      <c r="E13" s="82"/>
    </row>
    <row r="14" spans="2:5" x14ac:dyDescent="0.45">
      <c r="B14" s="83"/>
      <c r="C14" s="84"/>
      <c r="D14" s="84"/>
      <c r="E14" s="85"/>
    </row>
    <row r="15" spans="2:5" x14ac:dyDescent="0.45">
      <c r="B15" s="77" t="s">
        <v>21</v>
      </c>
      <c r="C15" s="78"/>
      <c r="D15" s="78"/>
      <c r="E15" s="79"/>
    </row>
    <row r="16" spans="2:5" x14ac:dyDescent="0.45">
      <c r="B16" s="80" t="s">
        <v>19</v>
      </c>
      <c r="C16" s="81"/>
      <c r="D16" s="81"/>
      <c r="E16" s="82"/>
    </row>
    <row r="17" spans="2:5" x14ac:dyDescent="0.45">
      <c r="B17" s="83"/>
      <c r="C17" s="84"/>
      <c r="D17" s="84"/>
      <c r="E17" s="85"/>
    </row>
    <row r="18" spans="2:5" x14ac:dyDescent="0.45">
      <c r="B18" s="23" t="s">
        <v>22</v>
      </c>
      <c r="C18" s="23"/>
      <c r="D18" s="23"/>
      <c r="E18" s="23"/>
    </row>
    <row r="19" spans="2:5" x14ac:dyDescent="0.45">
      <c r="B19" s="18"/>
      <c r="C19" s="18"/>
      <c r="D19" s="18"/>
      <c r="E19" s="18"/>
    </row>
    <row r="20" spans="2:5" x14ac:dyDescent="0.45">
      <c r="B20" s="87" t="s">
        <v>14</v>
      </c>
      <c r="C20" s="87"/>
      <c r="D20" s="87"/>
      <c r="E20" s="87"/>
    </row>
    <row r="21" spans="2:5" x14ac:dyDescent="0.45">
      <c r="B21" s="17" t="s">
        <v>10</v>
      </c>
      <c r="C21" s="7" t="s">
        <v>30</v>
      </c>
      <c r="D21" s="8" t="s">
        <v>29</v>
      </c>
      <c r="E21" s="10" t="s">
        <v>4</v>
      </c>
    </row>
    <row r="22" spans="2:5" x14ac:dyDescent="0.45">
      <c r="B22" s="15">
        <v>1</v>
      </c>
      <c r="C22" s="25" t="s">
        <v>8</v>
      </c>
      <c r="D22" s="27" t="s">
        <v>3</v>
      </c>
      <c r="E22" s="11">
        <f t="shared" ref="E22:E31" si="0">IFERROR(RIGHT(D22,1)*1,0)</f>
        <v>1</v>
      </c>
    </row>
    <row r="23" spans="2:5" x14ac:dyDescent="0.45">
      <c r="B23" s="15">
        <v>2</v>
      </c>
      <c r="C23" s="25" t="s">
        <v>8</v>
      </c>
      <c r="D23" s="27" t="s">
        <v>5</v>
      </c>
      <c r="E23" s="11">
        <f t="shared" si="0"/>
        <v>4</v>
      </c>
    </row>
    <row r="24" spans="2:5" x14ac:dyDescent="0.45">
      <c r="B24" s="15">
        <v>3</v>
      </c>
      <c r="C24" s="25" t="s">
        <v>8</v>
      </c>
      <c r="D24" s="27" t="s">
        <v>6</v>
      </c>
      <c r="E24" s="11">
        <f t="shared" si="0"/>
        <v>5</v>
      </c>
    </row>
    <row r="25" spans="2:5" x14ac:dyDescent="0.45">
      <c r="B25" s="15">
        <v>4</v>
      </c>
      <c r="C25" s="25" t="s">
        <v>8</v>
      </c>
      <c r="D25" s="27" t="s">
        <v>7</v>
      </c>
      <c r="E25" s="11">
        <f t="shared" si="0"/>
        <v>8</v>
      </c>
    </row>
    <row r="26" spans="2:5" x14ac:dyDescent="0.45">
      <c r="B26" s="15">
        <v>5</v>
      </c>
      <c r="C26" s="25" t="s">
        <v>8</v>
      </c>
      <c r="D26" s="27" t="s">
        <v>9</v>
      </c>
      <c r="E26" s="11">
        <f t="shared" si="0"/>
        <v>9</v>
      </c>
    </row>
    <row r="27" spans="2:5" x14ac:dyDescent="0.45">
      <c r="B27" s="15">
        <v>6</v>
      </c>
      <c r="C27" s="25" t="s">
        <v>8</v>
      </c>
      <c r="D27" s="27"/>
      <c r="E27" s="11">
        <f t="shared" si="0"/>
        <v>0</v>
      </c>
    </row>
    <row r="28" spans="2:5" x14ac:dyDescent="0.45">
      <c r="B28" s="15">
        <v>7</v>
      </c>
      <c r="C28" s="25" t="s">
        <v>8</v>
      </c>
      <c r="D28" s="27"/>
      <c r="E28" s="11">
        <f t="shared" si="0"/>
        <v>0</v>
      </c>
    </row>
    <row r="29" spans="2:5" x14ac:dyDescent="0.45">
      <c r="B29" s="15">
        <v>8</v>
      </c>
      <c r="C29" s="25" t="s">
        <v>8</v>
      </c>
      <c r="D29" s="27"/>
      <c r="E29" s="11">
        <f t="shared" si="0"/>
        <v>0</v>
      </c>
    </row>
    <row r="30" spans="2:5" x14ac:dyDescent="0.45">
      <c r="B30" s="15">
        <v>9</v>
      </c>
      <c r="C30" s="25" t="s">
        <v>8</v>
      </c>
      <c r="D30" s="27"/>
      <c r="E30" s="11">
        <f t="shared" si="0"/>
        <v>0</v>
      </c>
    </row>
    <row r="31" spans="2:5" x14ac:dyDescent="0.45">
      <c r="B31" s="16">
        <v>10</v>
      </c>
      <c r="C31" s="26" t="s">
        <v>8</v>
      </c>
      <c r="D31" s="28"/>
      <c r="E31" s="9">
        <f t="shared" si="0"/>
        <v>0</v>
      </c>
    </row>
    <row r="32" spans="2:5" x14ac:dyDescent="0.45">
      <c r="D32" s="19" t="s">
        <v>11</v>
      </c>
      <c r="E32" s="12">
        <f>SUM(E22:E31)</f>
        <v>27</v>
      </c>
    </row>
  </sheetData>
  <mergeCells count="8">
    <mergeCell ref="B15:E15"/>
    <mergeCell ref="B16:E17"/>
    <mergeCell ref="B4:E9"/>
    <mergeCell ref="B20:E20"/>
    <mergeCell ref="B13:E14"/>
    <mergeCell ref="B12:E12"/>
    <mergeCell ref="B11:E11"/>
    <mergeCell ref="B10:E10"/>
  </mergeCells>
  <pageMargins left="0.7" right="0.7" top="0.75" bottom="0.75" header="0.3" footer="0.3"/>
  <ignoredErrors>
    <ignoredError sqref="D22:D31"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tabSelected="1" zoomScale="130" zoomScaleNormal="130" workbookViewId="0">
      <pane ySplit="6" topLeftCell="A82" activePane="bottomLeft" state="frozen"/>
      <selection pane="bottomLeft" activeCell="B91" sqref="B91"/>
    </sheetView>
  </sheetViews>
  <sheetFormatPr defaultRowHeight="16.5" x14ac:dyDescent="0.45"/>
  <cols>
    <col min="1" max="1" width="2.59765625" style="2" customWidth="1"/>
    <col min="2" max="2" width="27.06640625" style="2" customWidth="1"/>
    <col min="3" max="3" width="41" style="2" customWidth="1"/>
    <col min="4" max="6" width="9.19921875" style="55" customWidth="1"/>
    <col min="7" max="7" width="28.53125" style="2" customWidth="1"/>
    <col min="8" max="8" width="14.86328125" style="2" customWidth="1"/>
    <col min="9" max="9" width="2.59765625" style="2" customWidth="1"/>
    <col min="10" max="16384" width="9.06640625" style="2"/>
  </cols>
  <sheetData>
    <row r="2" spans="2:8" x14ac:dyDescent="0.45">
      <c r="B2" s="2" t="s">
        <v>23</v>
      </c>
    </row>
    <row r="3" spans="2:8" x14ac:dyDescent="0.45">
      <c r="B3" s="20" t="s">
        <v>174</v>
      </c>
    </row>
    <row r="4" spans="2:8" x14ac:dyDescent="0.45">
      <c r="B4" s="86" t="s">
        <v>249</v>
      </c>
      <c r="C4" s="86"/>
      <c r="D4" s="86"/>
      <c r="E4" s="86"/>
      <c r="F4" s="86"/>
      <c r="G4" s="86"/>
      <c r="H4" s="86"/>
    </row>
    <row r="5" spans="2:8" x14ac:dyDescent="0.45">
      <c r="B5" s="91"/>
      <c r="C5" s="91"/>
      <c r="D5" s="91"/>
      <c r="E5" s="91"/>
      <c r="F5" s="91"/>
      <c r="G5" s="91"/>
      <c r="H5" s="91"/>
    </row>
    <row r="6" spans="2:8" x14ac:dyDescent="0.45">
      <c r="B6" s="42" t="s">
        <v>42</v>
      </c>
      <c r="C6" s="43" t="s">
        <v>43</v>
      </c>
      <c r="D6" s="44" t="s">
        <v>54</v>
      </c>
      <c r="E6" s="44" t="s">
        <v>55</v>
      </c>
      <c r="F6" s="44" t="s">
        <v>44</v>
      </c>
      <c r="G6" s="43" t="s">
        <v>27</v>
      </c>
      <c r="H6" s="45" t="s">
        <v>28</v>
      </c>
    </row>
    <row r="7" spans="2:8" x14ac:dyDescent="0.45">
      <c r="B7" s="6" t="s">
        <v>111</v>
      </c>
      <c r="C7" s="37"/>
      <c r="D7" s="38"/>
      <c r="E7" s="38"/>
      <c r="F7" s="38"/>
      <c r="G7" s="37"/>
      <c r="H7" s="39"/>
    </row>
    <row r="8" spans="2:8" x14ac:dyDescent="0.45">
      <c r="B8" s="35" t="s">
        <v>175</v>
      </c>
      <c r="C8" s="40" t="s">
        <v>177</v>
      </c>
      <c r="D8" s="41">
        <v>8</v>
      </c>
      <c r="E8" s="34" t="s">
        <v>59</v>
      </c>
      <c r="F8" s="34"/>
      <c r="G8" s="29"/>
      <c r="H8" s="36"/>
    </row>
    <row r="9" spans="2:8" x14ac:dyDescent="0.45">
      <c r="B9" s="35" t="s">
        <v>176</v>
      </c>
      <c r="C9" s="40" t="s">
        <v>178</v>
      </c>
      <c r="D9" s="41">
        <v>10</v>
      </c>
      <c r="E9" s="34" t="s">
        <v>59</v>
      </c>
      <c r="F9" s="34"/>
      <c r="G9" s="29"/>
      <c r="H9" s="36"/>
    </row>
    <row r="10" spans="2:8" ht="25.5" x14ac:dyDescent="0.45">
      <c r="B10" s="35" t="s">
        <v>181</v>
      </c>
      <c r="C10" s="40" t="s">
        <v>179</v>
      </c>
      <c r="D10" s="34">
        <f>D8+SumUDig</f>
        <v>35</v>
      </c>
      <c r="E10" s="34" t="s">
        <v>59</v>
      </c>
      <c r="F10" s="34"/>
      <c r="G10" s="29"/>
      <c r="H10" s="36"/>
    </row>
    <row r="11" spans="2:8" ht="25.5" x14ac:dyDescent="0.45">
      <c r="B11" s="35" t="s">
        <v>182</v>
      </c>
      <c r="C11" s="40" t="s">
        <v>180</v>
      </c>
      <c r="D11" s="34">
        <f>D9+SumUDig</f>
        <v>37</v>
      </c>
      <c r="E11" s="34" t="s">
        <v>59</v>
      </c>
      <c r="F11" s="34"/>
      <c r="G11" s="29"/>
      <c r="H11" s="36"/>
    </row>
    <row r="12" spans="2:8" x14ac:dyDescent="0.45">
      <c r="B12" s="35" t="s">
        <v>45</v>
      </c>
      <c r="C12" s="40" t="s">
        <v>191</v>
      </c>
      <c r="D12" s="41">
        <v>12</v>
      </c>
      <c r="E12" s="34" t="s">
        <v>59</v>
      </c>
      <c r="F12" s="34"/>
      <c r="G12" s="29"/>
      <c r="H12" s="36"/>
    </row>
    <row r="13" spans="2:8" x14ac:dyDescent="0.45">
      <c r="B13" s="35" t="s">
        <v>66</v>
      </c>
      <c r="C13" s="40" t="s">
        <v>76</v>
      </c>
      <c r="D13" s="41">
        <v>6</v>
      </c>
      <c r="E13" s="34" t="s">
        <v>59</v>
      </c>
      <c r="F13" s="34"/>
      <c r="G13" s="29"/>
      <c r="H13" s="36"/>
    </row>
    <row r="14" spans="2:8" x14ac:dyDescent="0.45">
      <c r="B14" s="35" t="s">
        <v>46</v>
      </c>
      <c r="C14" s="40" t="s">
        <v>75</v>
      </c>
      <c r="D14" s="41">
        <v>12</v>
      </c>
      <c r="E14" s="34" t="s">
        <v>59</v>
      </c>
      <c r="F14" s="34"/>
      <c r="G14" s="29"/>
      <c r="H14" s="36"/>
    </row>
    <row r="15" spans="2:8" ht="25.5" x14ac:dyDescent="0.45">
      <c r="B15" s="35" t="s">
        <v>58</v>
      </c>
      <c r="C15" s="40" t="s">
        <v>67</v>
      </c>
      <c r="D15" s="34">
        <f>D10</f>
        <v>35</v>
      </c>
      <c r="E15" s="34" t="s">
        <v>59</v>
      </c>
      <c r="F15" s="34"/>
      <c r="G15" s="29"/>
      <c r="H15" s="36"/>
    </row>
    <row r="16" spans="2:8" x14ac:dyDescent="0.45">
      <c r="B16" s="35" t="s">
        <v>57</v>
      </c>
      <c r="C16" s="40" t="s">
        <v>65</v>
      </c>
      <c r="D16" s="34">
        <f>D11+D14+D13</f>
        <v>55</v>
      </c>
      <c r="E16" s="34" t="s">
        <v>59</v>
      </c>
      <c r="F16" s="34"/>
      <c r="G16" s="29"/>
      <c r="H16" s="36"/>
    </row>
    <row r="17" spans="2:8" ht="25.5" x14ac:dyDescent="0.45">
      <c r="B17" s="35" t="s">
        <v>56</v>
      </c>
      <c r="C17" s="40" t="s">
        <v>145</v>
      </c>
      <c r="D17" s="34">
        <f>D16*D15</f>
        <v>1925</v>
      </c>
      <c r="E17" s="34" t="s">
        <v>60</v>
      </c>
      <c r="F17" s="34"/>
      <c r="G17" s="29"/>
      <c r="H17" s="36"/>
    </row>
    <row r="18" spans="2:8" x14ac:dyDescent="0.45">
      <c r="B18" s="50" t="s">
        <v>114</v>
      </c>
      <c r="C18" s="51" t="s">
        <v>115</v>
      </c>
      <c r="D18" s="52">
        <f>D32+D30</f>
        <v>1435</v>
      </c>
      <c r="E18" s="34" t="s">
        <v>60</v>
      </c>
      <c r="F18" s="52"/>
      <c r="G18" s="31"/>
      <c r="H18" s="53"/>
    </row>
    <row r="19" spans="2:8" x14ac:dyDescent="0.45">
      <c r="B19" s="50" t="s">
        <v>112</v>
      </c>
      <c r="C19" s="51" t="s">
        <v>146</v>
      </c>
      <c r="D19" s="52">
        <f>D32+D30+D46</f>
        <v>1495</v>
      </c>
      <c r="E19" s="34" t="s">
        <v>60</v>
      </c>
      <c r="F19" s="52"/>
      <c r="G19" s="31"/>
      <c r="H19" s="53"/>
    </row>
    <row r="20" spans="2:8" ht="38.25" x14ac:dyDescent="0.45">
      <c r="B20" s="50" t="s">
        <v>77</v>
      </c>
      <c r="C20" s="51" t="s">
        <v>147</v>
      </c>
      <c r="D20" s="52">
        <f>D18/D17</f>
        <v>0.74545454545454548</v>
      </c>
      <c r="E20" s="52" t="s">
        <v>78</v>
      </c>
      <c r="F20" s="52"/>
      <c r="G20" s="31"/>
      <c r="H20" s="53"/>
    </row>
    <row r="21" spans="2:8" ht="25.5" x14ac:dyDescent="0.45">
      <c r="B21" s="50" t="s">
        <v>113</v>
      </c>
      <c r="C21" s="51" t="s">
        <v>148</v>
      </c>
      <c r="D21" s="52">
        <f>D19/D17</f>
        <v>0.77662337662337666</v>
      </c>
      <c r="E21" s="52" t="s">
        <v>78</v>
      </c>
      <c r="F21" s="52"/>
      <c r="G21" s="31"/>
      <c r="H21" s="53"/>
    </row>
    <row r="22" spans="2:8" x14ac:dyDescent="0.45">
      <c r="B22" s="46"/>
      <c r="C22" s="47"/>
      <c r="D22" s="48"/>
      <c r="E22" s="48"/>
      <c r="F22" s="48"/>
      <c r="G22" s="30"/>
      <c r="H22" s="49"/>
    </row>
    <row r="23" spans="2:8" x14ac:dyDescent="0.45">
      <c r="B23" s="6" t="s">
        <v>224</v>
      </c>
      <c r="C23" s="37"/>
      <c r="D23" s="38"/>
      <c r="E23" s="38"/>
      <c r="F23" s="38"/>
      <c r="G23" s="37"/>
      <c r="H23" s="39"/>
    </row>
    <row r="24" spans="2:8" ht="38.25" x14ac:dyDescent="0.45">
      <c r="B24" s="35" t="s">
        <v>82</v>
      </c>
      <c r="C24" s="40" t="s">
        <v>149</v>
      </c>
      <c r="D24" s="41">
        <v>2</v>
      </c>
      <c r="E24" s="34" t="s">
        <v>59</v>
      </c>
      <c r="F24" s="34"/>
      <c r="G24" s="29"/>
      <c r="H24" s="36"/>
    </row>
    <row r="25" spans="2:8" ht="76.5" x14ac:dyDescent="0.45">
      <c r="B25" s="35" t="s">
        <v>83</v>
      </c>
      <c r="C25" s="40" t="s">
        <v>93</v>
      </c>
      <c r="D25" s="57">
        <v>5</v>
      </c>
      <c r="E25" s="34" t="s">
        <v>79</v>
      </c>
      <c r="F25" s="34"/>
      <c r="G25" s="29"/>
      <c r="H25" s="36"/>
    </row>
    <row r="26" spans="2:8" ht="51" x14ac:dyDescent="0.45">
      <c r="B26" s="35" t="s">
        <v>84</v>
      </c>
      <c r="C26" s="40" t="s">
        <v>81</v>
      </c>
      <c r="D26" s="34">
        <f>ROUND(ATAN(D25/100)*180/PI(),0)</f>
        <v>3</v>
      </c>
      <c r="E26" s="34" t="s">
        <v>80</v>
      </c>
      <c r="F26" s="34"/>
      <c r="G26" s="29"/>
      <c r="H26" s="36"/>
    </row>
    <row r="27" spans="2:8" ht="38.25" x14ac:dyDescent="0.45">
      <c r="B27" s="50" t="s">
        <v>86</v>
      </c>
      <c r="C27" s="51" t="s">
        <v>151</v>
      </c>
      <c r="D27" s="58">
        <v>0.6</v>
      </c>
      <c r="E27" s="52" t="s">
        <v>59</v>
      </c>
      <c r="F27" s="52"/>
      <c r="G27" s="31"/>
      <c r="H27" s="53"/>
    </row>
    <row r="28" spans="2:8" ht="33" x14ac:dyDescent="0.45">
      <c r="B28" s="35" t="s">
        <v>85</v>
      </c>
      <c r="C28" s="40" t="s">
        <v>150</v>
      </c>
      <c r="D28" s="41">
        <v>0.2</v>
      </c>
      <c r="E28" s="34" t="s">
        <v>59</v>
      </c>
      <c r="F28" s="34"/>
      <c r="G28" s="29"/>
      <c r="H28" s="36"/>
    </row>
    <row r="29" spans="2:8" ht="25.5" x14ac:dyDescent="0.45">
      <c r="B29" s="35" t="s">
        <v>152</v>
      </c>
      <c r="C29" s="40" t="s">
        <v>154</v>
      </c>
      <c r="D29" s="41">
        <v>2</v>
      </c>
      <c r="E29" s="34" t="s">
        <v>78</v>
      </c>
      <c r="F29" s="34"/>
      <c r="G29" s="29"/>
      <c r="H29" s="36"/>
    </row>
    <row r="30" spans="2:8" ht="33" x14ac:dyDescent="0.45">
      <c r="B30" s="50" t="s">
        <v>87</v>
      </c>
      <c r="C30" s="51" t="s">
        <v>153</v>
      </c>
      <c r="D30" s="52">
        <f>(D27-D28)*(D11+D24+D24)*D29</f>
        <v>32.799999999999997</v>
      </c>
      <c r="E30" s="34" t="s">
        <v>60</v>
      </c>
      <c r="F30" s="52"/>
      <c r="G30" s="31"/>
      <c r="H30" s="53"/>
    </row>
    <row r="31" spans="2:8" ht="38.25" x14ac:dyDescent="0.45">
      <c r="B31" s="35" t="s">
        <v>155</v>
      </c>
      <c r="C31" s="40" t="s">
        <v>157</v>
      </c>
      <c r="D31" s="34">
        <f>(D10*D11)-D30</f>
        <v>1262.2</v>
      </c>
      <c r="E31" s="34" t="s">
        <v>60</v>
      </c>
      <c r="F31" s="34"/>
      <c r="G31" s="29"/>
      <c r="H31" s="36"/>
    </row>
    <row r="32" spans="2:8" ht="51" x14ac:dyDescent="0.45">
      <c r="B32" s="35" t="s">
        <v>156</v>
      </c>
      <c r="C32" s="40" t="s">
        <v>158</v>
      </c>
      <c r="D32" s="34">
        <f>((D10*D11)+D10*(D24+D24))-D30</f>
        <v>1402.2</v>
      </c>
      <c r="E32" s="34" t="s">
        <v>60</v>
      </c>
      <c r="F32" s="34"/>
      <c r="G32" s="29"/>
      <c r="H32" s="36"/>
    </row>
    <row r="33" spans="2:8" ht="25.5" x14ac:dyDescent="0.45">
      <c r="B33" s="35" t="s">
        <v>88</v>
      </c>
      <c r="C33" s="40" t="s">
        <v>138</v>
      </c>
      <c r="D33" s="41">
        <v>10</v>
      </c>
      <c r="E33" s="34" t="s">
        <v>59</v>
      </c>
      <c r="F33" s="34"/>
      <c r="G33" s="29"/>
      <c r="H33" s="36"/>
    </row>
    <row r="34" spans="2:8" ht="51" x14ac:dyDescent="0.45">
      <c r="B34" s="35" t="s">
        <v>89</v>
      </c>
      <c r="C34" s="40" t="s">
        <v>159</v>
      </c>
      <c r="D34" s="34">
        <f>EVEN(D31/(D33*D33))</f>
        <v>14</v>
      </c>
      <c r="E34" s="34" t="s">
        <v>129</v>
      </c>
      <c r="F34" s="34"/>
      <c r="G34" s="29"/>
      <c r="H34" s="36"/>
    </row>
    <row r="35" spans="2:8" ht="25.5" x14ac:dyDescent="0.45">
      <c r="B35" s="35" t="s">
        <v>90</v>
      </c>
      <c r="C35" s="40" t="s">
        <v>69</v>
      </c>
      <c r="D35" s="41">
        <v>1200</v>
      </c>
      <c r="E35" s="34" t="s">
        <v>70</v>
      </c>
      <c r="F35" s="34"/>
      <c r="G35" s="29"/>
      <c r="H35" s="36"/>
    </row>
    <row r="36" spans="2:8" ht="38.25" x14ac:dyDescent="0.45">
      <c r="B36" s="35" t="s">
        <v>91</v>
      </c>
      <c r="C36" s="40" t="s">
        <v>68</v>
      </c>
      <c r="D36" s="34">
        <f>D35*D35/(1000*1000)</f>
        <v>1.44</v>
      </c>
      <c r="E36" s="34" t="s">
        <v>60</v>
      </c>
      <c r="F36" s="34"/>
      <c r="G36" s="29"/>
      <c r="H36" s="36"/>
    </row>
    <row r="37" spans="2:8" ht="33" x14ac:dyDescent="0.45">
      <c r="B37" s="35" t="s">
        <v>92</v>
      </c>
      <c r="C37" s="40" t="s">
        <v>160</v>
      </c>
      <c r="D37" s="34">
        <f>D34*D36</f>
        <v>20.16</v>
      </c>
      <c r="E37" s="34" t="s">
        <v>60</v>
      </c>
      <c r="F37" s="34"/>
      <c r="G37" s="29"/>
      <c r="H37" s="36"/>
    </row>
    <row r="38" spans="2:8" x14ac:dyDescent="0.45">
      <c r="B38" s="46"/>
      <c r="C38" s="47"/>
      <c r="D38" s="48"/>
      <c r="E38" s="48"/>
      <c r="F38" s="48"/>
      <c r="G38" s="30"/>
      <c r="H38" s="49"/>
    </row>
    <row r="39" spans="2:8" x14ac:dyDescent="0.45">
      <c r="B39" s="56" t="s">
        <v>72</v>
      </c>
      <c r="C39" s="37"/>
      <c r="D39" s="38"/>
      <c r="E39" s="38"/>
      <c r="F39" s="38"/>
      <c r="G39" s="37"/>
      <c r="H39" s="39"/>
    </row>
    <row r="40" spans="2:8" x14ac:dyDescent="0.45">
      <c r="B40" s="35" t="s">
        <v>94</v>
      </c>
      <c r="C40" s="40" t="s">
        <v>98</v>
      </c>
      <c r="D40" s="41">
        <v>1</v>
      </c>
      <c r="E40" s="34" t="s">
        <v>59</v>
      </c>
      <c r="F40" s="34"/>
      <c r="G40" s="29"/>
      <c r="H40" s="36"/>
    </row>
    <row r="41" spans="2:8" ht="25.5" x14ac:dyDescent="0.45">
      <c r="B41" s="35" t="s">
        <v>95</v>
      </c>
      <c r="C41" s="40" t="s">
        <v>99</v>
      </c>
      <c r="D41" s="41">
        <v>15</v>
      </c>
      <c r="E41" s="34" t="s">
        <v>59</v>
      </c>
      <c r="F41" s="34"/>
      <c r="G41" s="29"/>
      <c r="H41" s="36"/>
    </row>
    <row r="42" spans="2:8" ht="25.5" x14ac:dyDescent="0.45">
      <c r="B42" s="35" t="s">
        <v>96</v>
      </c>
      <c r="C42" s="40" t="s">
        <v>100</v>
      </c>
      <c r="D42" s="34">
        <f>D11+(INT(D11/D41)*D10)</f>
        <v>107</v>
      </c>
      <c r="E42" s="34" t="s">
        <v>59</v>
      </c>
      <c r="F42" s="34"/>
      <c r="G42" s="29"/>
      <c r="H42" s="36"/>
    </row>
    <row r="43" spans="2:8" ht="25.5" x14ac:dyDescent="0.45">
      <c r="B43" s="35" t="s">
        <v>97</v>
      </c>
      <c r="C43" s="40" t="s">
        <v>101</v>
      </c>
      <c r="D43" s="34">
        <f>D42*D40</f>
        <v>107</v>
      </c>
      <c r="E43" s="34" t="s">
        <v>60</v>
      </c>
      <c r="F43" s="34"/>
      <c r="G43" s="29"/>
      <c r="H43" s="36"/>
    </row>
    <row r="44" spans="2:8" x14ac:dyDescent="0.45">
      <c r="B44" s="46"/>
      <c r="C44" s="47"/>
      <c r="D44" s="48"/>
      <c r="E44" s="48"/>
      <c r="F44" s="48"/>
      <c r="G44" s="30"/>
      <c r="H44" s="49"/>
    </row>
    <row r="45" spans="2:8" x14ac:dyDescent="0.45">
      <c r="B45" s="56" t="s">
        <v>73</v>
      </c>
      <c r="C45" s="37"/>
      <c r="D45" s="38"/>
      <c r="E45" s="38"/>
      <c r="F45" s="38"/>
      <c r="G45" s="37"/>
      <c r="H45" s="39"/>
    </row>
    <row r="46" spans="2:8" ht="25.5" x14ac:dyDescent="0.45">
      <c r="B46" s="35" t="s">
        <v>47</v>
      </c>
      <c r="C46" s="40" t="s">
        <v>161</v>
      </c>
      <c r="D46" s="41">
        <v>60</v>
      </c>
      <c r="E46" s="34" t="s">
        <v>60</v>
      </c>
      <c r="F46" s="34"/>
      <c r="G46" s="29"/>
      <c r="H46" s="36"/>
    </row>
    <row r="47" spans="2:8" ht="38.25" x14ac:dyDescent="0.45">
      <c r="B47" s="35" t="s">
        <v>48</v>
      </c>
      <c r="C47" s="40" t="s">
        <v>49</v>
      </c>
      <c r="D47" s="41">
        <v>24</v>
      </c>
      <c r="E47" s="34" t="s">
        <v>60</v>
      </c>
      <c r="F47" s="34"/>
      <c r="G47" s="29"/>
      <c r="H47" s="36"/>
    </row>
    <row r="48" spans="2:8" ht="38.25" x14ac:dyDescent="0.45">
      <c r="B48" s="35" t="s">
        <v>102</v>
      </c>
      <c r="C48" s="40" t="s">
        <v>139</v>
      </c>
      <c r="D48" s="41">
        <v>3.9900000000000007</v>
      </c>
      <c r="E48" s="34" t="s">
        <v>59</v>
      </c>
      <c r="F48" s="34"/>
      <c r="G48" s="29"/>
      <c r="H48" s="36"/>
    </row>
    <row r="49" spans="2:8" ht="25.5" x14ac:dyDescent="0.45">
      <c r="B49" s="35" t="s">
        <v>103</v>
      </c>
      <c r="C49" s="40" t="s">
        <v>162</v>
      </c>
      <c r="D49" s="34">
        <f>D46-D54</f>
        <v>52.943999999999996</v>
      </c>
      <c r="E49" s="34" t="s">
        <v>60</v>
      </c>
      <c r="F49" s="34"/>
      <c r="G49" s="29"/>
      <c r="H49" s="36"/>
    </row>
    <row r="50" spans="2:8" ht="25.5" x14ac:dyDescent="0.45">
      <c r="B50" s="35" t="s">
        <v>63</v>
      </c>
      <c r="C50" s="40" t="s">
        <v>62</v>
      </c>
      <c r="D50" s="41">
        <v>28</v>
      </c>
      <c r="E50" s="34" t="s">
        <v>61</v>
      </c>
      <c r="F50" s="34"/>
      <c r="G50" s="29"/>
      <c r="H50" s="36"/>
    </row>
    <row r="51" spans="2:8" ht="25.5" x14ac:dyDescent="0.45">
      <c r="B51" s="35" t="s">
        <v>106</v>
      </c>
      <c r="C51" s="40" t="s">
        <v>64</v>
      </c>
      <c r="D51" s="41">
        <v>19</v>
      </c>
      <c r="E51" s="34" t="s">
        <v>61</v>
      </c>
      <c r="F51" s="34"/>
      <c r="G51" s="29"/>
      <c r="H51" s="36"/>
    </row>
    <row r="52" spans="2:8" ht="25.5" x14ac:dyDescent="0.45">
      <c r="B52" s="35" t="s">
        <v>104</v>
      </c>
      <c r="C52" s="40" t="s">
        <v>105</v>
      </c>
      <c r="D52" s="34">
        <f>D48/(D51/100)</f>
        <v>21.000000000000004</v>
      </c>
      <c r="E52" s="34" t="s">
        <v>55</v>
      </c>
      <c r="F52" s="34"/>
      <c r="G52" s="29"/>
      <c r="H52" s="36"/>
    </row>
    <row r="53" spans="2:8" x14ac:dyDescent="0.45">
      <c r="B53" s="35" t="s">
        <v>107</v>
      </c>
      <c r="C53" s="40" t="s">
        <v>108</v>
      </c>
      <c r="D53" s="41">
        <v>1.2</v>
      </c>
      <c r="E53" s="34" t="s">
        <v>59</v>
      </c>
      <c r="F53" s="34"/>
      <c r="G53" s="29"/>
      <c r="H53" s="36"/>
    </row>
    <row r="54" spans="2:8" ht="25.5" x14ac:dyDescent="0.45">
      <c r="B54" s="35" t="s">
        <v>109</v>
      </c>
      <c r="C54" s="40" t="s">
        <v>110</v>
      </c>
      <c r="D54" s="54">
        <f>D53*D52*(D50/100)</f>
        <v>7.0560000000000018</v>
      </c>
      <c r="E54" s="34" t="s">
        <v>60</v>
      </c>
      <c r="F54" s="34"/>
      <c r="G54" s="29"/>
      <c r="H54" s="36"/>
    </row>
    <row r="55" spans="2:8" ht="89.25" x14ac:dyDescent="0.45">
      <c r="B55" s="35" t="s">
        <v>140</v>
      </c>
      <c r="C55" s="40" t="s">
        <v>203</v>
      </c>
      <c r="D55" s="41">
        <v>6</v>
      </c>
      <c r="E55" s="34" t="s">
        <v>59</v>
      </c>
      <c r="F55" s="34"/>
      <c r="G55" s="29"/>
      <c r="H55" s="36"/>
    </row>
    <row r="56" spans="2:8" ht="102" x14ac:dyDescent="0.45">
      <c r="B56" s="35" t="s">
        <v>141</v>
      </c>
      <c r="C56" s="40" t="s">
        <v>204</v>
      </c>
      <c r="D56" s="41">
        <v>4.5</v>
      </c>
      <c r="E56" s="34" t="s">
        <v>59</v>
      </c>
      <c r="F56" s="34"/>
      <c r="G56" s="29"/>
      <c r="H56" s="36"/>
    </row>
    <row r="57" spans="2:8" x14ac:dyDescent="0.45">
      <c r="B57" s="35" t="s">
        <v>143</v>
      </c>
      <c r="C57" s="40" t="s">
        <v>142</v>
      </c>
      <c r="D57" s="41">
        <v>1.2</v>
      </c>
      <c r="E57" s="34" t="s">
        <v>59</v>
      </c>
      <c r="F57" s="34"/>
      <c r="G57" s="29"/>
      <c r="H57" s="36"/>
    </row>
    <row r="58" spans="2:8" x14ac:dyDescent="0.45">
      <c r="B58" s="35" t="s">
        <v>201</v>
      </c>
      <c r="C58" s="40" t="s">
        <v>202</v>
      </c>
      <c r="D58" s="41">
        <v>2.2999999999999998</v>
      </c>
      <c r="E58" s="34" t="s">
        <v>59</v>
      </c>
      <c r="F58" s="34"/>
      <c r="G58" s="29"/>
      <c r="H58" s="36"/>
    </row>
    <row r="59" spans="2:8" ht="38.25" x14ac:dyDescent="0.45">
      <c r="B59" s="35" t="s">
        <v>144</v>
      </c>
      <c r="C59" s="40" t="s">
        <v>205</v>
      </c>
      <c r="D59" s="41">
        <v>3</v>
      </c>
      <c r="E59" s="34" t="s">
        <v>59</v>
      </c>
      <c r="F59" s="34"/>
      <c r="G59" s="29"/>
      <c r="H59" s="36"/>
    </row>
    <row r="60" spans="2:8" ht="38.25" x14ac:dyDescent="0.45">
      <c r="B60" s="35" t="s">
        <v>200</v>
      </c>
      <c r="C60" s="40" t="s">
        <v>206</v>
      </c>
      <c r="D60" s="41">
        <v>2</v>
      </c>
      <c r="E60" s="34" t="s">
        <v>59</v>
      </c>
      <c r="F60" s="34"/>
      <c r="G60" s="29"/>
      <c r="H60" s="36"/>
    </row>
    <row r="61" spans="2:8" x14ac:dyDescent="0.45">
      <c r="B61" s="46"/>
      <c r="C61" s="47"/>
      <c r="D61" s="48"/>
      <c r="E61" s="48"/>
      <c r="F61" s="48"/>
      <c r="G61" s="30"/>
      <c r="H61" s="49"/>
    </row>
    <row r="62" spans="2:8" x14ac:dyDescent="0.45">
      <c r="B62" s="59" t="s">
        <v>74</v>
      </c>
      <c r="C62" s="60"/>
      <c r="D62" s="61"/>
      <c r="E62" s="61"/>
      <c r="F62" s="61"/>
      <c r="G62" s="60"/>
      <c r="H62" s="62"/>
    </row>
    <row r="63" spans="2:8" ht="38.25" x14ac:dyDescent="0.45">
      <c r="B63" s="35" t="s">
        <v>184</v>
      </c>
      <c r="C63" s="40" t="s">
        <v>117</v>
      </c>
      <c r="D63" s="41">
        <v>40</v>
      </c>
      <c r="E63" s="34" t="s">
        <v>61</v>
      </c>
      <c r="F63" s="34"/>
      <c r="G63" s="29"/>
      <c r="H63" s="36"/>
    </row>
    <row r="64" spans="2:8" ht="25.5" x14ac:dyDescent="0.45">
      <c r="B64" s="35" t="s">
        <v>183</v>
      </c>
      <c r="C64" s="40" t="s">
        <v>185</v>
      </c>
      <c r="D64" s="54">
        <f>D18</f>
        <v>1435</v>
      </c>
      <c r="E64" s="34" t="s">
        <v>60</v>
      </c>
      <c r="F64" s="34"/>
      <c r="G64" s="29"/>
      <c r="H64" s="36"/>
    </row>
    <row r="65" spans="2:8" ht="25.5" x14ac:dyDescent="0.45">
      <c r="B65" s="35" t="s">
        <v>116</v>
      </c>
      <c r="C65" s="40" t="s">
        <v>118</v>
      </c>
      <c r="D65" s="41">
        <v>20</v>
      </c>
      <c r="E65" s="34" t="s">
        <v>61</v>
      </c>
      <c r="F65" s="34"/>
      <c r="G65" s="29"/>
      <c r="H65" s="36"/>
    </row>
    <row r="66" spans="2:8" ht="33" x14ac:dyDescent="0.45">
      <c r="B66" s="35" t="s">
        <v>127</v>
      </c>
      <c r="C66" s="40" t="s">
        <v>120</v>
      </c>
      <c r="D66" s="41">
        <v>6</v>
      </c>
      <c r="E66" s="34" t="s">
        <v>59</v>
      </c>
      <c r="F66" s="34"/>
      <c r="G66" s="29"/>
      <c r="H66" s="36"/>
    </row>
    <row r="67" spans="2:8" ht="38.25" x14ac:dyDescent="0.45">
      <c r="B67" s="35" t="s">
        <v>128</v>
      </c>
      <c r="C67" s="40" t="s">
        <v>163</v>
      </c>
      <c r="D67" s="54">
        <f>ROUND(D10/D66,0)</f>
        <v>6</v>
      </c>
      <c r="E67" s="34" t="s">
        <v>129</v>
      </c>
      <c r="F67" s="34"/>
      <c r="G67" s="29"/>
      <c r="H67" s="36"/>
    </row>
    <row r="68" spans="2:8" ht="38.25" x14ac:dyDescent="0.45">
      <c r="B68" s="35" t="s">
        <v>131</v>
      </c>
      <c r="C68" s="40" t="s">
        <v>164</v>
      </c>
      <c r="D68" s="54">
        <f>ROUND(D11/D66,0)</f>
        <v>6</v>
      </c>
      <c r="E68" s="34" t="s">
        <v>129</v>
      </c>
      <c r="F68" s="34"/>
      <c r="G68" s="29"/>
      <c r="H68" s="36"/>
    </row>
    <row r="69" spans="2:8" x14ac:dyDescent="0.45">
      <c r="B69" s="35" t="s">
        <v>132</v>
      </c>
      <c r="C69" s="40" t="s">
        <v>133</v>
      </c>
      <c r="D69" s="54">
        <f>D68*D67</f>
        <v>36</v>
      </c>
      <c r="E69" s="34" t="s">
        <v>129</v>
      </c>
      <c r="F69" s="34"/>
      <c r="G69" s="29"/>
      <c r="H69" s="36"/>
    </row>
    <row r="70" spans="2:8" ht="51" x14ac:dyDescent="0.45">
      <c r="B70" s="35" t="s">
        <v>119</v>
      </c>
      <c r="C70" s="40" t="s">
        <v>165</v>
      </c>
      <c r="D70" s="41">
        <v>0.3</v>
      </c>
      <c r="E70" s="34" t="s">
        <v>59</v>
      </c>
      <c r="F70" s="34"/>
      <c r="G70" s="29"/>
      <c r="H70" s="36"/>
    </row>
    <row r="71" spans="2:8" ht="51" x14ac:dyDescent="0.45">
      <c r="B71" s="35" t="s">
        <v>121</v>
      </c>
      <c r="C71" s="40" t="s">
        <v>166</v>
      </c>
      <c r="D71" s="41">
        <v>0.4</v>
      </c>
      <c r="E71" s="34" t="s">
        <v>59</v>
      </c>
      <c r="F71" s="34"/>
      <c r="G71" s="29"/>
      <c r="H71" s="36"/>
    </row>
    <row r="72" spans="2:8" ht="38.25" x14ac:dyDescent="0.45">
      <c r="B72" s="35" t="s">
        <v>123</v>
      </c>
      <c r="C72" s="40" t="s">
        <v>125</v>
      </c>
      <c r="D72" s="41">
        <v>0.3</v>
      </c>
      <c r="E72" s="34" t="s">
        <v>59</v>
      </c>
      <c r="F72" s="34"/>
      <c r="G72" s="29"/>
      <c r="H72" s="36"/>
    </row>
    <row r="73" spans="2:8" ht="38.25" x14ac:dyDescent="0.45">
      <c r="B73" s="35" t="s">
        <v>124</v>
      </c>
      <c r="C73" s="40" t="s">
        <v>126</v>
      </c>
      <c r="D73" s="41">
        <v>0.4</v>
      </c>
      <c r="E73" s="34" t="s">
        <v>59</v>
      </c>
      <c r="F73" s="34"/>
      <c r="G73" s="29"/>
      <c r="H73" s="36"/>
    </row>
    <row r="74" spans="2:8" ht="38.25" x14ac:dyDescent="0.45">
      <c r="B74" s="35" t="s">
        <v>134</v>
      </c>
      <c r="C74" s="40" t="s">
        <v>136</v>
      </c>
      <c r="D74" s="54">
        <f>(D10-D70)/D67</f>
        <v>5.7833333333333341</v>
      </c>
      <c r="E74" s="34" t="s">
        <v>59</v>
      </c>
      <c r="F74" s="34"/>
      <c r="G74" s="29"/>
      <c r="H74" s="36"/>
    </row>
    <row r="75" spans="2:8" ht="38.25" x14ac:dyDescent="0.45">
      <c r="B75" s="35" t="s">
        <v>135</v>
      </c>
      <c r="C75" s="40" t="s">
        <v>137</v>
      </c>
      <c r="D75" s="54">
        <f>(D11-D71)/D68</f>
        <v>6.1000000000000005</v>
      </c>
      <c r="E75" s="34" t="s">
        <v>59</v>
      </c>
      <c r="F75" s="34"/>
      <c r="G75" s="29"/>
      <c r="H75" s="36"/>
    </row>
    <row r="76" spans="2:8" x14ac:dyDescent="0.45">
      <c r="B76" s="63"/>
      <c r="C76" s="64"/>
      <c r="D76" s="65"/>
      <c r="E76" s="65"/>
      <c r="F76" s="65"/>
      <c r="G76" s="4"/>
      <c r="H76" s="5"/>
    </row>
    <row r="77" spans="2:8" x14ac:dyDescent="0.45">
      <c r="B77" s="66" t="s">
        <v>122</v>
      </c>
    </row>
    <row r="79" spans="2:8" x14ac:dyDescent="0.45">
      <c r="B79" s="2" t="s">
        <v>130</v>
      </c>
    </row>
    <row r="80" spans="2:8" x14ac:dyDescent="0.45">
      <c r="B80" s="6" t="s">
        <v>167</v>
      </c>
      <c r="C80" s="14" t="s">
        <v>168</v>
      </c>
    </row>
    <row r="81" spans="2:5" x14ac:dyDescent="0.45">
      <c r="B81" s="67" t="s">
        <v>169</v>
      </c>
      <c r="C81" s="13">
        <f>D17</f>
        <v>1925</v>
      </c>
    </row>
    <row r="82" spans="2:5" x14ac:dyDescent="0.45">
      <c r="B82" s="67" t="s">
        <v>172</v>
      </c>
      <c r="C82" s="13">
        <f>D18</f>
        <v>1435</v>
      </c>
    </row>
    <row r="83" spans="2:5" x14ac:dyDescent="0.45">
      <c r="B83" s="67" t="s">
        <v>171</v>
      </c>
      <c r="C83" s="13">
        <f>D46</f>
        <v>60</v>
      </c>
    </row>
    <row r="84" spans="2:5" x14ac:dyDescent="0.45">
      <c r="B84" s="67" t="s">
        <v>51</v>
      </c>
      <c r="C84" s="13">
        <f>D54</f>
        <v>7.0560000000000018</v>
      </c>
    </row>
    <row r="85" spans="2:5" x14ac:dyDescent="0.45">
      <c r="B85" s="67" t="s">
        <v>50</v>
      </c>
      <c r="C85" s="13">
        <f>D49</f>
        <v>52.943999999999996</v>
      </c>
    </row>
    <row r="86" spans="2:5" x14ac:dyDescent="0.45">
      <c r="B86" s="68" t="s">
        <v>170</v>
      </c>
      <c r="C86" s="69">
        <f>D19</f>
        <v>1495</v>
      </c>
    </row>
    <row r="87" spans="2:5" x14ac:dyDescent="0.45">
      <c r="B87" s="70" t="s">
        <v>77</v>
      </c>
      <c r="C87" s="71">
        <f>D20</f>
        <v>0.74545454545454548</v>
      </c>
    </row>
    <row r="88" spans="2:5" x14ac:dyDescent="0.45">
      <c r="B88" s="63" t="s">
        <v>113</v>
      </c>
      <c r="C88" s="5">
        <f>D21</f>
        <v>0.77662337662337666</v>
      </c>
    </row>
    <row r="90" spans="2:5" x14ac:dyDescent="0.45">
      <c r="B90" s="2" t="s">
        <v>277</v>
      </c>
    </row>
    <row r="91" spans="2:5" x14ac:dyDescent="0.45">
      <c r="B91" s="6" t="s">
        <v>167</v>
      </c>
      <c r="C91" s="37" t="s">
        <v>43</v>
      </c>
      <c r="D91" s="8" t="s">
        <v>54</v>
      </c>
      <c r="E91" s="10" t="s">
        <v>55</v>
      </c>
    </row>
    <row r="92" spans="2:5" x14ac:dyDescent="0.45">
      <c r="B92" s="35" t="s">
        <v>187</v>
      </c>
      <c r="C92" s="29" t="s">
        <v>186</v>
      </c>
      <c r="D92" s="73">
        <f>D64</f>
        <v>1435</v>
      </c>
      <c r="E92" s="11" t="s">
        <v>60</v>
      </c>
    </row>
    <row r="93" spans="2:5" ht="33" x14ac:dyDescent="0.45">
      <c r="B93" s="35" t="s">
        <v>188</v>
      </c>
      <c r="C93" s="29" t="s">
        <v>189</v>
      </c>
      <c r="D93" s="73">
        <f>D92*D63</f>
        <v>57400</v>
      </c>
      <c r="E93" s="11" t="s">
        <v>190</v>
      </c>
    </row>
    <row r="94" spans="2:5" x14ac:dyDescent="0.45">
      <c r="B94" s="35" t="s">
        <v>199</v>
      </c>
      <c r="C94" s="29" t="s">
        <v>198</v>
      </c>
      <c r="D94" s="73">
        <f>D49</f>
        <v>52.943999999999996</v>
      </c>
      <c r="E94" s="11" t="s">
        <v>60</v>
      </c>
    </row>
    <row r="95" spans="2:5" x14ac:dyDescent="0.45">
      <c r="B95" s="35" t="s">
        <v>192</v>
      </c>
      <c r="C95" s="29" t="s">
        <v>193</v>
      </c>
      <c r="D95" s="73">
        <f>D69</f>
        <v>36</v>
      </c>
      <c r="E95" s="11" t="s">
        <v>129</v>
      </c>
    </row>
    <row r="96" spans="2:5" ht="33" x14ac:dyDescent="0.45">
      <c r="B96" s="35" t="s">
        <v>194</v>
      </c>
      <c r="C96" s="29" t="s">
        <v>195</v>
      </c>
      <c r="D96" s="73">
        <f>D95*D12</f>
        <v>432</v>
      </c>
      <c r="E96" s="11" t="s">
        <v>59</v>
      </c>
    </row>
    <row r="97" spans="2:5" ht="49.5" x14ac:dyDescent="0.45">
      <c r="B97" s="35" t="s">
        <v>196</v>
      </c>
      <c r="C97" s="29" t="s">
        <v>197</v>
      </c>
      <c r="D97" s="73">
        <f>((D67*D9)+(D68*D8))*INT(D12/D48)</f>
        <v>324</v>
      </c>
      <c r="E97" s="11" t="s">
        <v>59</v>
      </c>
    </row>
    <row r="98" spans="2:5" ht="33" x14ac:dyDescent="0.45">
      <c r="B98" s="50" t="s">
        <v>207</v>
      </c>
      <c r="C98" s="31" t="s">
        <v>210</v>
      </c>
      <c r="D98" s="76" t="s">
        <v>209</v>
      </c>
      <c r="E98" s="11" t="s">
        <v>60</v>
      </c>
    </row>
    <row r="99" spans="2:5" x14ac:dyDescent="0.45">
      <c r="B99" s="50" t="s">
        <v>208</v>
      </c>
      <c r="C99" s="31" t="s">
        <v>211</v>
      </c>
      <c r="D99" s="76">
        <v>2</v>
      </c>
      <c r="E99" s="11" t="s">
        <v>129</v>
      </c>
    </row>
    <row r="100" spans="2:5" ht="49.5" x14ac:dyDescent="0.45">
      <c r="B100" s="50" t="s">
        <v>52</v>
      </c>
      <c r="C100" s="31" t="s">
        <v>212</v>
      </c>
      <c r="D100" s="76" t="s">
        <v>209</v>
      </c>
      <c r="E100" s="11" t="s">
        <v>129</v>
      </c>
    </row>
    <row r="101" spans="2:5" ht="33" x14ac:dyDescent="0.45">
      <c r="B101" s="50" t="s">
        <v>53</v>
      </c>
      <c r="C101" s="31" t="s">
        <v>213</v>
      </c>
      <c r="D101" s="76" t="s">
        <v>209</v>
      </c>
      <c r="E101" s="11" t="s">
        <v>129</v>
      </c>
    </row>
    <row r="102" spans="2:5" x14ac:dyDescent="0.45">
      <c r="B102" s="50"/>
      <c r="C102" s="31"/>
      <c r="D102" s="74"/>
      <c r="E102" s="75"/>
    </row>
    <row r="103" spans="2:5" x14ac:dyDescent="0.45">
      <c r="B103" s="46"/>
      <c r="C103" s="30"/>
      <c r="D103" s="65"/>
      <c r="E103" s="9"/>
    </row>
    <row r="104" spans="2:5" x14ac:dyDescent="0.45">
      <c r="B104" s="72"/>
      <c r="C104" s="72"/>
    </row>
    <row r="105" spans="2:5" x14ac:dyDescent="0.45">
      <c r="B105" s="72"/>
      <c r="C105" s="72"/>
    </row>
    <row r="106" spans="2:5" x14ac:dyDescent="0.45">
      <c r="B106" s="72"/>
      <c r="C106" s="72"/>
    </row>
    <row r="107" spans="2:5" x14ac:dyDescent="0.45">
      <c r="B107" s="72"/>
      <c r="C107" s="72"/>
    </row>
    <row r="108" spans="2:5" x14ac:dyDescent="0.45">
      <c r="B108" s="72"/>
      <c r="C108" s="72"/>
    </row>
    <row r="109" spans="2:5" x14ac:dyDescent="0.45">
      <c r="B109" s="72"/>
      <c r="C109" s="72"/>
    </row>
    <row r="110" spans="2:5" x14ac:dyDescent="0.45">
      <c r="B110" s="72"/>
      <c r="C110" s="72"/>
    </row>
    <row r="111" spans="2:5" x14ac:dyDescent="0.45">
      <c r="B111" s="72"/>
      <c r="C111" s="72"/>
    </row>
    <row r="112" spans="2:5" x14ac:dyDescent="0.45">
      <c r="B112" s="72"/>
      <c r="C112" s="72"/>
    </row>
    <row r="113" spans="2:3" x14ac:dyDescent="0.45">
      <c r="B113" s="72"/>
      <c r="C113" s="72"/>
    </row>
    <row r="114" spans="2:3" x14ac:dyDescent="0.45">
      <c r="B114" s="72"/>
      <c r="C114" s="72"/>
    </row>
  </sheetData>
  <mergeCells count="1">
    <mergeCell ref="B4:H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29"/>
  <sheetViews>
    <sheetView showGridLines="0" zoomScale="130" zoomScaleNormal="130" workbookViewId="0">
      <pane ySplit="6" topLeftCell="A7" activePane="bottomLeft" state="frozen"/>
      <selection pane="bottomLeft" activeCell="E6" sqref="E6"/>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173</v>
      </c>
    </row>
    <row r="4" spans="2:8" ht="16.5" customHeight="1" x14ac:dyDescent="0.45">
      <c r="B4" s="86" t="s">
        <v>250</v>
      </c>
      <c r="C4" s="86"/>
      <c r="D4" s="86"/>
      <c r="E4" s="86"/>
      <c r="F4" s="86"/>
      <c r="G4" s="86"/>
      <c r="H4" s="86"/>
    </row>
    <row r="5" spans="2:8" ht="16.5" customHeight="1"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16.5" x14ac:dyDescent="0.45">
      <c r="B7" s="6" t="s">
        <v>71</v>
      </c>
      <c r="C7" s="37"/>
      <c r="D7" s="38"/>
      <c r="E7" s="38"/>
      <c r="F7" s="38"/>
      <c r="G7" s="37"/>
      <c r="H7" s="39"/>
    </row>
    <row r="8" spans="2:8" ht="38.25" x14ac:dyDescent="0.45">
      <c r="B8" s="35" t="s">
        <v>214</v>
      </c>
      <c r="C8" s="40" t="s">
        <v>215</v>
      </c>
      <c r="D8" s="34">
        <v>1</v>
      </c>
      <c r="E8" s="34" t="s">
        <v>129</v>
      </c>
      <c r="F8" s="34"/>
      <c r="G8" s="29"/>
      <c r="H8" s="36"/>
    </row>
    <row r="9" spans="2:8" ht="16.5" x14ac:dyDescent="0.45">
      <c r="B9" s="35"/>
      <c r="C9" s="40"/>
      <c r="D9" s="34"/>
      <c r="E9" s="34"/>
      <c r="F9" s="34"/>
      <c r="G9" s="29"/>
      <c r="H9" s="36"/>
    </row>
    <row r="10" spans="2:8" ht="16.5" x14ac:dyDescent="0.45">
      <c r="B10" s="6" t="s">
        <v>223</v>
      </c>
      <c r="C10" s="37"/>
      <c r="D10" s="38"/>
      <c r="E10" s="38"/>
      <c r="F10" s="38"/>
      <c r="G10" s="37"/>
      <c r="H10" s="39"/>
    </row>
    <row r="11" spans="2:8" ht="25.5" x14ac:dyDescent="0.45">
      <c r="B11" s="35" t="s">
        <v>234</v>
      </c>
      <c r="C11" s="40" t="s">
        <v>242</v>
      </c>
      <c r="D11" s="34">
        <v>1</v>
      </c>
      <c r="E11" s="34" t="s">
        <v>129</v>
      </c>
      <c r="F11" s="34"/>
      <c r="G11" s="29"/>
      <c r="H11" s="36"/>
    </row>
    <row r="12" spans="2:8" ht="16.5" x14ac:dyDescent="0.45">
      <c r="B12" s="35" t="s">
        <v>236</v>
      </c>
      <c r="C12" s="40" t="s">
        <v>239</v>
      </c>
      <c r="D12" s="34">
        <v>1</v>
      </c>
      <c r="E12" s="34" t="s">
        <v>129</v>
      </c>
      <c r="F12" s="34"/>
      <c r="G12" s="29"/>
      <c r="H12" s="36"/>
    </row>
    <row r="13" spans="2:8" ht="16.5" x14ac:dyDescent="0.45">
      <c r="B13" s="35" t="s">
        <v>235</v>
      </c>
      <c r="C13" s="40" t="s">
        <v>239</v>
      </c>
      <c r="D13" s="34">
        <v>1</v>
      </c>
      <c r="E13" s="34" t="s">
        <v>129</v>
      </c>
      <c r="F13" s="34"/>
      <c r="G13" s="29"/>
      <c r="H13" s="36"/>
    </row>
    <row r="14" spans="2:8" ht="25.5" x14ac:dyDescent="0.45">
      <c r="B14" s="35" t="s">
        <v>237</v>
      </c>
      <c r="C14" s="40" t="s">
        <v>243</v>
      </c>
      <c r="D14" s="34">
        <v>1</v>
      </c>
      <c r="E14" s="34" t="s">
        <v>129</v>
      </c>
      <c r="F14" s="34"/>
      <c r="G14" s="29"/>
      <c r="H14" s="36"/>
    </row>
    <row r="15" spans="2:8" ht="25.5" x14ac:dyDescent="0.45">
      <c r="B15" s="50" t="s">
        <v>221</v>
      </c>
      <c r="C15" s="40" t="s">
        <v>240</v>
      </c>
      <c r="D15" s="34">
        <v>1</v>
      </c>
      <c r="E15" s="34" t="s">
        <v>129</v>
      </c>
      <c r="F15" s="52"/>
      <c r="G15" s="31"/>
      <c r="H15" s="53"/>
    </row>
    <row r="16" spans="2:8" ht="16.5" x14ac:dyDescent="0.45">
      <c r="B16" s="50" t="s">
        <v>238</v>
      </c>
      <c r="C16" s="40" t="s">
        <v>241</v>
      </c>
      <c r="D16" s="34">
        <v>1</v>
      </c>
      <c r="E16" s="34" t="s">
        <v>129</v>
      </c>
      <c r="F16" s="52"/>
      <c r="G16" s="31"/>
      <c r="H16" s="53"/>
    </row>
    <row r="17" spans="2:8" ht="16.5" x14ac:dyDescent="0.45">
      <c r="B17" s="35" t="s">
        <v>216</v>
      </c>
      <c r="C17" s="40" t="s">
        <v>220</v>
      </c>
      <c r="D17" s="34">
        <v>1</v>
      </c>
      <c r="E17" s="34" t="s">
        <v>129</v>
      </c>
      <c r="F17" s="34"/>
      <c r="G17" s="29"/>
      <c r="H17" s="36"/>
    </row>
    <row r="18" spans="2:8" ht="16.5" x14ac:dyDescent="0.45">
      <c r="B18" s="35" t="s">
        <v>217</v>
      </c>
      <c r="C18" s="40" t="s">
        <v>220</v>
      </c>
      <c r="D18" s="34">
        <v>1</v>
      </c>
      <c r="E18" s="34" t="s">
        <v>129</v>
      </c>
      <c r="F18" s="34"/>
      <c r="G18" s="29"/>
      <c r="H18" s="36"/>
    </row>
    <row r="19" spans="2:8" ht="16.5" x14ac:dyDescent="0.45">
      <c r="B19" s="50" t="s">
        <v>218</v>
      </c>
      <c r="C19" s="40" t="s">
        <v>220</v>
      </c>
      <c r="D19" s="34">
        <v>1</v>
      </c>
      <c r="E19" s="34" t="s">
        <v>129</v>
      </c>
      <c r="F19" s="52"/>
      <c r="G19" s="31"/>
      <c r="H19" s="53"/>
    </row>
    <row r="20" spans="2:8" ht="16.5" x14ac:dyDescent="0.45">
      <c r="B20" s="50" t="s">
        <v>219</v>
      </c>
      <c r="C20" s="40" t="s">
        <v>220</v>
      </c>
      <c r="D20" s="34">
        <v>1</v>
      </c>
      <c r="E20" s="34" t="s">
        <v>129</v>
      </c>
      <c r="F20" s="52"/>
      <c r="G20" s="31"/>
      <c r="H20" s="53"/>
    </row>
    <row r="21" spans="2:8" ht="16.5" x14ac:dyDescent="0.45">
      <c r="B21" s="50" t="s">
        <v>232</v>
      </c>
      <c r="C21" s="40" t="s">
        <v>220</v>
      </c>
      <c r="D21" s="52">
        <v>1</v>
      </c>
      <c r="E21" s="34" t="s">
        <v>129</v>
      </c>
      <c r="F21" s="52"/>
      <c r="G21" s="31"/>
      <c r="H21" s="53"/>
    </row>
    <row r="22" spans="2:8" ht="16.5" x14ac:dyDescent="0.45">
      <c r="B22" s="50" t="s">
        <v>233</v>
      </c>
      <c r="C22" s="40" t="s">
        <v>220</v>
      </c>
      <c r="D22" s="52">
        <v>1</v>
      </c>
      <c r="E22" s="34" t="s">
        <v>129</v>
      </c>
      <c r="F22" s="52"/>
      <c r="G22" s="31"/>
      <c r="H22" s="53"/>
    </row>
    <row r="23" spans="2:8" ht="16.5" x14ac:dyDescent="0.45">
      <c r="B23" s="50"/>
      <c r="C23" s="51"/>
      <c r="D23" s="52"/>
      <c r="E23" s="52"/>
      <c r="F23" s="52"/>
      <c r="G23" s="31"/>
      <c r="H23" s="53"/>
    </row>
    <row r="24" spans="2:8" ht="16.5" x14ac:dyDescent="0.45">
      <c r="B24" s="6" t="s">
        <v>244</v>
      </c>
      <c r="C24" s="37"/>
      <c r="D24" s="38"/>
      <c r="E24" s="38"/>
      <c r="F24" s="38"/>
      <c r="G24" s="37"/>
      <c r="H24" s="39"/>
    </row>
    <row r="25" spans="2:8" ht="38.25" x14ac:dyDescent="0.45">
      <c r="B25" s="35" t="s">
        <v>222</v>
      </c>
      <c r="C25" s="40" t="s">
        <v>227</v>
      </c>
      <c r="D25" s="54">
        <f>'2.Arquitectónica'!D31-'2.Arquitectónica'!D37-'2.Arquitectónica'!D43</f>
        <v>1135.04</v>
      </c>
      <c r="E25" s="34" t="s">
        <v>60</v>
      </c>
      <c r="F25" s="34"/>
      <c r="G25" s="29"/>
      <c r="H25" s="36"/>
    </row>
    <row r="26" spans="2:8" ht="16.5" x14ac:dyDescent="0.45">
      <c r="B26" s="35" t="s">
        <v>226</v>
      </c>
      <c r="C26" s="40" t="s">
        <v>229</v>
      </c>
      <c r="D26" s="41">
        <v>992</v>
      </c>
      <c r="E26" s="34" t="s">
        <v>70</v>
      </c>
      <c r="F26" s="34"/>
      <c r="G26" s="29"/>
      <c r="H26" s="36"/>
    </row>
    <row r="27" spans="2:8" ht="16.5" x14ac:dyDescent="0.45">
      <c r="B27" s="35" t="s">
        <v>225</v>
      </c>
      <c r="C27" s="40" t="s">
        <v>230</v>
      </c>
      <c r="D27" s="41">
        <v>1950</v>
      </c>
      <c r="E27" s="34" t="s">
        <v>70</v>
      </c>
      <c r="F27" s="34"/>
      <c r="G27" s="29"/>
      <c r="H27" s="36"/>
    </row>
    <row r="28" spans="2:8" ht="51" x14ac:dyDescent="0.45">
      <c r="B28" s="35" t="s">
        <v>228</v>
      </c>
      <c r="C28" s="40" t="s">
        <v>231</v>
      </c>
      <c r="D28" s="34">
        <f>INT(D25/(D26/1000*D27/1000))</f>
        <v>586</v>
      </c>
      <c r="E28" s="34" t="s">
        <v>129</v>
      </c>
      <c r="F28" s="34"/>
      <c r="G28" s="29"/>
      <c r="H28" s="36"/>
    </row>
    <row r="29" spans="2:8" ht="16.5" x14ac:dyDescent="0.45">
      <c r="B29" s="46"/>
      <c r="C29" s="47"/>
      <c r="D29" s="48"/>
      <c r="E29" s="48"/>
      <c r="F29" s="48"/>
      <c r="G29" s="30"/>
      <c r="H29" s="49"/>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23"/>
  <sheetViews>
    <sheetView showGridLines="0" zoomScale="130" zoomScaleNormal="130" workbookViewId="0">
      <pane ySplit="6" topLeftCell="A12" activePane="bottomLeft" state="frozen"/>
      <selection pane="bottomLeft" activeCell="D22" sqref="D22"/>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247</v>
      </c>
    </row>
    <row r="4" spans="2:8" ht="14.25" customHeight="1" x14ac:dyDescent="0.45">
      <c r="B4" s="86" t="s">
        <v>245</v>
      </c>
      <c r="C4" s="86"/>
      <c r="D4" s="86"/>
      <c r="E4" s="86"/>
      <c r="F4" s="86"/>
      <c r="G4" s="86"/>
      <c r="H4" s="86"/>
    </row>
    <row r="5" spans="2:8"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16.5" x14ac:dyDescent="0.45">
      <c r="B7" s="6" t="s">
        <v>252</v>
      </c>
      <c r="C7" s="37"/>
      <c r="D7" s="38"/>
      <c r="E7" s="38"/>
      <c r="F7" s="38"/>
      <c r="G7" s="37"/>
      <c r="H7" s="39"/>
    </row>
    <row r="8" spans="2:8" ht="16.5" x14ac:dyDescent="0.45">
      <c r="B8" s="35" t="s">
        <v>251</v>
      </c>
      <c r="C8" s="40" t="s">
        <v>258</v>
      </c>
      <c r="D8" s="41">
        <v>3</v>
      </c>
      <c r="E8" s="34" t="s">
        <v>59</v>
      </c>
      <c r="F8" s="34"/>
      <c r="G8" s="29"/>
      <c r="H8" s="36"/>
    </row>
    <row r="9" spans="2:8" ht="25.5" x14ac:dyDescent="0.45">
      <c r="B9" s="35" t="s">
        <v>256</v>
      </c>
      <c r="C9" s="40" t="s">
        <v>259</v>
      </c>
      <c r="D9" s="41">
        <v>2.5</v>
      </c>
      <c r="E9" s="34" t="s">
        <v>59</v>
      </c>
      <c r="F9" s="34"/>
      <c r="G9" s="29"/>
      <c r="H9" s="36"/>
    </row>
    <row r="10" spans="2:8" ht="25.5" x14ac:dyDescent="0.45">
      <c r="B10" s="35" t="s">
        <v>254</v>
      </c>
      <c r="C10" s="40" t="s">
        <v>265</v>
      </c>
      <c r="D10" s="41">
        <v>4</v>
      </c>
      <c r="E10" s="34" t="s">
        <v>255</v>
      </c>
      <c r="F10" s="34"/>
      <c r="G10" s="29"/>
      <c r="H10" s="36"/>
    </row>
    <row r="11" spans="2:8" ht="16.5" x14ac:dyDescent="0.45">
      <c r="B11" s="35" t="s">
        <v>257</v>
      </c>
      <c r="C11" s="40" t="s">
        <v>260</v>
      </c>
      <c r="D11" s="41">
        <v>2</v>
      </c>
      <c r="E11" s="34" t="s">
        <v>59</v>
      </c>
      <c r="F11" s="34"/>
      <c r="G11" s="29"/>
      <c r="H11" s="36"/>
    </row>
    <row r="12" spans="2:8" ht="33" x14ac:dyDescent="0.45">
      <c r="B12" s="35" t="s">
        <v>262</v>
      </c>
      <c r="C12" s="40" t="s">
        <v>266</v>
      </c>
      <c r="D12" s="34">
        <f>D10*D11</f>
        <v>8</v>
      </c>
      <c r="E12" s="34" t="s">
        <v>59</v>
      </c>
      <c r="F12" s="34"/>
      <c r="G12" s="29"/>
      <c r="H12" s="36"/>
    </row>
    <row r="13" spans="2:8" ht="25.5" x14ac:dyDescent="0.45">
      <c r="B13" s="35" t="s">
        <v>253</v>
      </c>
      <c r="C13" s="40" t="s">
        <v>261</v>
      </c>
      <c r="D13" s="41">
        <v>8</v>
      </c>
      <c r="E13" s="34" t="s">
        <v>59</v>
      </c>
      <c r="F13" s="34"/>
      <c r="G13" s="29"/>
      <c r="H13" s="36"/>
    </row>
    <row r="14" spans="2:8" ht="16.5" x14ac:dyDescent="0.45">
      <c r="B14" s="35" t="s">
        <v>267</v>
      </c>
      <c r="C14" s="40" t="s">
        <v>269</v>
      </c>
      <c r="D14" s="34" t="str">
        <f>IF(D12&lt;=D13, "Cumple","No cumple")</f>
        <v>Cumple</v>
      </c>
      <c r="E14" s="34" t="s">
        <v>268</v>
      </c>
      <c r="F14" s="34"/>
      <c r="G14" s="29"/>
      <c r="H14" s="36"/>
    </row>
    <row r="15" spans="2:8" ht="33" x14ac:dyDescent="0.45">
      <c r="B15" s="35" t="s">
        <v>270</v>
      </c>
      <c r="C15" s="40" t="s">
        <v>271</v>
      </c>
      <c r="D15" s="41">
        <v>60</v>
      </c>
      <c r="E15" s="34" t="s">
        <v>59</v>
      </c>
      <c r="F15" s="34"/>
      <c r="G15" s="29"/>
      <c r="H15" s="36"/>
    </row>
    <row r="16" spans="2:8" ht="33" x14ac:dyDescent="0.45">
      <c r="B16" s="35" t="s">
        <v>272</v>
      </c>
      <c r="C16" s="40" t="s">
        <v>273</v>
      </c>
      <c r="D16" s="34">
        <f>D15*D10</f>
        <v>240</v>
      </c>
      <c r="E16" s="34" t="s">
        <v>59</v>
      </c>
      <c r="F16" s="34"/>
      <c r="G16" s="29"/>
      <c r="H16" s="36"/>
    </row>
    <row r="17" spans="2:8" ht="16.5" x14ac:dyDescent="0.45">
      <c r="B17" s="35"/>
      <c r="C17" s="40"/>
      <c r="D17" s="41"/>
      <c r="E17" s="34"/>
      <c r="F17" s="34"/>
      <c r="G17" s="29"/>
      <c r="H17" s="36"/>
    </row>
    <row r="18" spans="2:8" ht="16.5" x14ac:dyDescent="0.45">
      <c r="B18" s="35"/>
      <c r="C18" s="40"/>
      <c r="D18" s="34"/>
      <c r="E18" s="34"/>
      <c r="F18" s="34"/>
      <c r="G18" s="29"/>
      <c r="H18" s="36"/>
    </row>
    <row r="19" spans="2:8" ht="16.5" x14ac:dyDescent="0.45">
      <c r="B19" s="6" t="s">
        <v>246</v>
      </c>
      <c r="C19" s="37"/>
      <c r="D19" s="38"/>
      <c r="E19" s="38"/>
      <c r="F19" s="38"/>
      <c r="G19" s="37"/>
      <c r="H19" s="39"/>
    </row>
    <row r="20" spans="2:8" ht="38.25" x14ac:dyDescent="0.45">
      <c r="B20" s="35" t="s">
        <v>274</v>
      </c>
      <c r="C20" s="40" t="s">
        <v>263</v>
      </c>
      <c r="D20" s="41" t="s">
        <v>264</v>
      </c>
      <c r="E20" s="34" t="s">
        <v>129</v>
      </c>
      <c r="F20" s="34"/>
      <c r="G20" s="29"/>
      <c r="H20" s="36"/>
    </row>
    <row r="21" spans="2:8" ht="38.25" x14ac:dyDescent="0.45">
      <c r="B21" s="35" t="s">
        <v>275</v>
      </c>
      <c r="C21" s="40" t="s">
        <v>263</v>
      </c>
      <c r="D21" s="41" t="s">
        <v>264</v>
      </c>
      <c r="E21" s="34" t="s">
        <v>129</v>
      </c>
      <c r="F21" s="34"/>
      <c r="G21" s="29"/>
      <c r="H21" s="36"/>
    </row>
    <row r="22" spans="2:8" ht="38.25" x14ac:dyDescent="0.45">
      <c r="B22" s="35" t="s">
        <v>276</v>
      </c>
      <c r="C22" s="40" t="s">
        <v>263</v>
      </c>
      <c r="D22" s="41" t="s">
        <v>264</v>
      </c>
      <c r="E22" s="34" t="s">
        <v>129</v>
      </c>
      <c r="F22" s="34"/>
      <c r="G22" s="29"/>
      <c r="H22" s="36"/>
    </row>
    <row r="23" spans="2:8" ht="16.5" x14ac:dyDescent="0.45">
      <c r="B23" s="46"/>
      <c r="C23" s="47"/>
      <c r="D23" s="48"/>
      <c r="E23" s="48"/>
      <c r="F23" s="48"/>
      <c r="G23" s="30"/>
      <c r="H23" s="49"/>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87" t="s">
        <v>23</v>
      </c>
      <c r="C2" s="87"/>
      <c r="D2" s="87"/>
      <c r="E2" s="87"/>
      <c r="F2" s="87"/>
    </row>
    <row r="3" spans="2:6" x14ac:dyDescent="0.45">
      <c r="B3" s="87" t="s">
        <v>16</v>
      </c>
      <c r="C3" s="87"/>
      <c r="D3" s="87"/>
      <c r="E3" s="87"/>
      <c r="F3" s="87"/>
    </row>
    <row r="5" spans="2:6" x14ac:dyDescent="0.45">
      <c r="B5" s="17" t="s">
        <v>10</v>
      </c>
      <c r="C5" s="7" t="s">
        <v>17</v>
      </c>
      <c r="D5" s="7" t="s">
        <v>18</v>
      </c>
      <c r="E5" s="7" t="s">
        <v>27</v>
      </c>
      <c r="F5" s="14" t="s">
        <v>28</v>
      </c>
    </row>
    <row r="6" spans="2:6" ht="29.25" x14ac:dyDescent="0.45">
      <c r="B6" s="15">
        <v>0</v>
      </c>
      <c r="C6" s="29" t="s">
        <v>39</v>
      </c>
      <c r="D6" s="3" t="s">
        <v>40</v>
      </c>
      <c r="E6" s="3"/>
      <c r="F6" s="13"/>
    </row>
    <row r="7" spans="2:6" x14ac:dyDescent="0.45">
      <c r="B7" s="15">
        <v>1</v>
      </c>
      <c r="C7" s="29" t="s">
        <v>20</v>
      </c>
      <c r="D7" s="3" t="s">
        <v>32</v>
      </c>
      <c r="E7" s="3"/>
      <c r="F7" s="13"/>
    </row>
    <row r="8" spans="2:6" ht="131.25" x14ac:dyDescent="0.45">
      <c r="B8" s="15">
        <v>2</v>
      </c>
      <c r="C8" s="29" t="s">
        <v>41</v>
      </c>
      <c r="D8" s="3" t="s">
        <v>15</v>
      </c>
      <c r="E8" s="3"/>
      <c r="F8" s="13"/>
    </row>
    <row r="9" spans="2:6" ht="42" x14ac:dyDescent="0.45">
      <c r="B9" s="15">
        <v>3</v>
      </c>
      <c r="C9" s="29" t="s">
        <v>36</v>
      </c>
      <c r="D9" s="3" t="s">
        <v>33</v>
      </c>
      <c r="E9" s="92"/>
      <c r="F9" s="93"/>
    </row>
    <row r="10" spans="2:6" ht="54.75" x14ac:dyDescent="0.45">
      <c r="B10" s="15">
        <v>4</v>
      </c>
      <c r="C10" s="29" t="s">
        <v>37</v>
      </c>
      <c r="D10" s="3" t="s">
        <v>34</v>
      </c>
      <c r="E10" s="92"/>
      <c r="F10" s="93"/>
    </row>
    <row r="11" spans="2:6" ht="29.25" x14ac:dyDescent="0.45">
      <c r="B11" s="15">
        <v>5</v>
      </c>
      <c r="C11" s="29" t="s">
        <v>38</v>
      </c>
      <c r="D11" s="3" t="s">
        <v>35</v>
      </c>
      <c r="E11" s="92"/>
      <c r="F11" s="93"/>
    </row>
    <row r="12" spans="2:6" x14ac:dyDescent="0.45">
      <c r="B12" s="15">
        <v>6</v>
      </c>
      <c r="C12" s="29"/>
      <c r="D12" s="3"/>
      <c r="E12" s="3"/>
      <c r="F12" s="13"/>
    </row>
    <row r="13" spans="2:6" x14ac:dyDescent="0.45">
      <c r="B13" s="15">
        <v>7</v>
      </c>
      <c r="C13" s="29"/>
      <c r="D13" s="3"/>
      <c r="E13" s="3"/>
      <c r="F13" s="13"/>
    </row>
    <row r="14" spans="2:6" x14ac:dyDescent="0.45">
      <c r="B14" s="15">
        <v>8</v>
      </c>
      <c r="C14" s="29"/>
      <c r="D14" s="3"/>
      <c r="E14" s="3"/>
      <c r="F14" s="13"/>
    </row>
    <row r="15" spans="2:6" x14ac:dyDescent="0.45">
      <c r="B15" s="15">
        <v>9</v>
      </c>
      <c r="C15" s="29"/>
      <c r="D15" s="3"/>
      <c r="E15" s="3"/>
      <c r="F15" s="13"/>
    </row>
    <row r="16" spans="2:6" x14ac:dyDescent="0.45">
      <c r="B16" s="15">
        <v>10</v>
      </c>
      <c r="C16" s="29"/>
      <c r="D16" s="3"/>
      <c r="E16" s="3"/>
      <c r="F16" s="13"/>
    </row>
    <row r="17" spans="2:6" x14ac:dyDescent="0.45">
      <c r="B17" s="15">
        <v>11</v>
      </c>
      <c r="C17" s="29"/>
      <c r="D17" s="3"/>
      <c r="E17" s="3"/>
      <c r="F17" s="13"/>
    </row>
    <row r="18" spans="2:6" x14ac:dyDescent="0.45">
      <c r="B18" s="15">
        <v>12</v>
      </c>
      <c r="C18" s="29"/>
      <c r="D18" s="3"/>
      <c r="E18" s="3"/>
      <c r="F18" s="13"/>
    </row>
    <row r="19" spans="2:6" x14ac:dyDescent="0.45">
      <c r="B19" s="15">
        <v>13</v>
      </c>
      <c r="C19" s="29"/>
      <c r="D19" s="3"/>
      <c r="E19" s="3"/>
      <c r="F19" s="13"/>
    </row>
    <row r="20" spans="2:6" x14ac:dyDescent="0.45">
      <c r="B20" s="15">
        <v>14</v>
      </c>
      <c r="C20" s="29"/>
      <c r="D20" s="3"/>
      <c r="E20" s="3"/>
      <c r="F20" s="13"/>
    </row>
    <row r="21" spans="2:6" x14ac:dyDescent="0.45">
      <c r="B21" s="15">
        <v>15</v>
      </c>
      <c r="C21" s="29"/>
      <c r="D21" s="3"/>
      <c r="E21" s="3"/>
      <c r="F21" s="13"/>
    </row>
    <row r="22" spans="2:6" x14ac:dyDescent="0.45">
      <c r="B22" s="15">
        <v>16</v>
      </c>
      <c r="C22" s="29"/>
      <c r="D22" s="3"/>
      <c r="E22" s="3"/>
      <c r="F22" s="13"/>
    </row>
    <row r="23" spans="2:6" x14ac:dyDescent="0.45">
      <c r="B23" s="15">
        <v>17</v>
      </c>
      <c r="C23" s="29"/>
      <c r="D23" s="3"/>
      <c r="E23" s="3"/>
      <c r="F23" s="13"/>
    </row>
    <row r="24" spans="2:6" x14ac:dyDescent="0.45">
      <c r="B24" s="15">
        <v>18</v>
      </c>
      <c r="C24" s="29"/>
      <c r="D24" s="3"/>
      <c r="E24" s="3"/>
      <c r="F24" s="13"/>
    </row>
    <row r="25" spans="2:6" x14ac:dyDescent="0.45">
      <c r="B25" s="15">
        <v>19</v>
      </c>
      <c r="C25" s="31"/>
      <c r="D25" s="32"/>
      <c r="E25" s="32"/>
      <c r="F25" s="33"/>
    </row>
    <row r="26" spans="2:6" x14ac:dyDescent="0.45">
      <c r="B26" s="16">
        <v>20</v>
      </c>
      <c r="C26" s="30"/>
      <c r="D26" s="4"/>
      <c r="E26" s="4"/>
      <c r="F26" s="5"/>
    </row>
  </sheetData>
  <mergeCells count="5">
    <mergeCell ref="B3:F3"/>
    <mergeCell ref="B2:F2"/>
    <mergeCell ref="E10:F10"/>
    <mergeCell ref="E11:F11"/>
    <mergeCell ref="E9:F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24" t="s">
        <v>31</v>
      </c>
    </row>
    <row r="2" spans="2:2" x14ac:dyDescent="0.6">
      <c r="B2" s="1" t="s">
        <v>24</v>
      </c>
    </row>
    <row r="3" spans="2:2" x14ac:dyDescent="0.6">
      <c r="B3" s="21" t="s">
        <v>25</v>
      </c>
    </row>
    <row r="4" spans="2:2" x14ac:dyDescent="0.6">
      <c r="B4" s="22"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1.Técnicas</vt:lpstr>
      <vt:lpstr>2.Arquitectónica</vt:lpstr>
      <vt:lpstr>3.Eléctrica</vt:lpstr>
      <vt:lpstr>3.Planos</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2025-07-24T22:35:11Z</dcterms:modified>
</cp:coreProperties>
</file>