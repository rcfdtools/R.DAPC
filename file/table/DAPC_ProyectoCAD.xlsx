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C1CABA3C-473F-4262-9284-D51AFEBC2BA7}" xr6:coauthVersionLast="47" xr6:coauthVersionMax="47" xr10:uidLastSave="{00000000-0000-0000-0000-000000000000}"/>
  <bookViews>
    <workbookView xWindow="-98" yWindow="-98" windowWidth="28996" windowHeight="15675" activeTab="6"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5.Archivos" sheetId="1" r:id="rId7"/>
    <sheet name="Metadata" sheetId="3" r:id="rId8"/>
  </sheets>
  <externalReferences>
    <externalReference r:id="rId9"/>
  </externalReferences>
  <definedNames>
    <definedName name="SumUDig" localSheetId="4">'[1]1.Técnicas'!$E$32</definedName>
    <definedName name="SumUDig">'0.Inicio'!$E$30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7" i="7" l="1"/>
  <c r="H24" i="9"/>
  <c r="D16" i="9"/>
  <c r="D12" i="9"/>
  <c r="D14" i="9" s="1"/>
  <c r="E38" i="7" l="1"/>
  <c r="G17" i="1"/>
  <c r="E39" i="7" s="1"/>
  <c r="H17" i="6"/>
  <c r="H28" i="5"/>
  <c r="E36" i="7" s="1"/>
  <c r="H104" i="4"/>
  <c r="H19" i="2"/>
  <c r="E34" i="7" s="1"/>
  <c r="E29" i="7"/>
  <c r="E28" i="7"/>
  <c r="E27" i="7"/>
  <c r="E26" i="7"/>
  <c r="E25" i="7"/>
  <c r="E24" i="7"/>
  <c r="E23" i="7"/>
  <c r="E22" i="7"/>
  <c r="E21" i="7"/>
  <c r="E20" i="7"/>
  <c r="C83" i="4"/>
  <c r="D52" i="4"/>
  <c r="D54" i="4" s="1"/>
  <c r="D49" i="4" s="1"/>
  <c r="C85" i="4" s="1"/>
  <c r="D26" i="4"/>
  <c r="D36" i="4"/>
  <c r="E30" i="7" l="1"/>
  <c r="D94" i="4"/>
  <c r="C84" i="4"/>
  <c r="D10" i="4" l="1"/>
  <c r="D15" i="4" s="1"/>
  <c r="D11" i="4" a="1"/>
  <c r="D11" i="4" s="1"/>
  <c r="D16" i="4" s="1"/>
  <c r="D67" i="4" l="1"/>
  <c r="D74" i="4" s="1"/>
  <c r="D42" i="4"/>
  <c r="D43" i="4" s="1"/>
  <c r="D30" i="4"/>
  <c r="D32" i="4" s="1"/>
  <c r="D18" i="4" s="1"/>
  <c r="D68" i="4"/>
  <c r="D75" i="4" s="1"/>
  <c r="D17" i="4"/>
  <c r="C81" i="4" s="1"/>
  <c r="D97" i="4" l="1"/>
  <c r="D69" i="4"/>
  <c r="D95" i="4" s="1"/>
  <c r="D96" i="4" s="1"/>
  <c r="D19" i="4"/>
  <c r="D21" i="4" s="1"/>
  <c r="C88" i="4" s="1"/>
  <c r="D31" i="4"/>
  <c r="D20" i="4"/>
  <c r="C87" i="4" s="1"/>
  <c r="C82" i="4"/>
  <c r="D64" i="4"/>
  <c r="D92" i="4" s="1"/>
  <c r="D93" i="4" s="1"/>
  <c r="E35" i="7"/>
  <c r="E42" i="7" s="1"/>
  <c r="D34" i="4" l="1"/>
  <c r="D37" i="4" s="1"/>
  <c r="C86" i="4"/>
  <c r="D23" i="5"/>
  <c r="D26"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9"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 ref="F91" authorId="0" shapeId="0" xr:uid="{58FB072B-AFAB-4EFA-BE22-BCCEF0C50642}">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<sst xmlns="http://schemas.openxmlformats.org/spreadsheetml/2006/main" count="533" uniqueCount="336">
  <si>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</si>
  <si>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</si>
  <si>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</si>
  <si>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</si>
  <si>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</si>
  <si>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</si>
  <si>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</si>
  <si>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</si>
  <si>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</si>
  <si>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</si>
  <si>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</si>
  <si>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</si>
  <si>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</si>
  <si>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</si>
  <si>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</si>
  <si>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</si>
  <si>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</si>
  <si>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</si>
  <si>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</si>
  <si>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</si>
  <si>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</si>
  <si>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</si>
  <si>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</si>
  <si>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</si>
  <si>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</si>
  <si>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</si>
  <si>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</si>
  <si>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</si>
  <si>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</si>
  <si>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</si>
  <si>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v.20250723</t>
  </si>
  <si>
    <t>/file/cad/Logotipo.dwg</t>
  </si>
  <si>
    <t>/file/cad/Bloque_Arquitectonico.dwg</t>
  </si>
  <si>
    <t>/file/cad/Bloque_Electrico.dwg</t>
  </si>
  <si>
    <t>/file/cad/Bloque_Otros.dwg</t>
  </si>
  <si>
    <r>
      <t xml:space="preserve">Bloques - arquitectónicos </t>
    </r>
    <r>
      <rPr>
        <sz val="8"/>
        <color theme="1"/>
        <rFont val="Segoe UI Light"/>
        <family val="2"/>
      </rPr>
      <t>(Utilizar los bloques ejemplo del ADC de AutoCAD, o utilizar una librería de bloque externos, citando la fuente de descarga)</t>
    </r>
  </si>
  <si>
    <r>
      <t xml:space="preserve">Bloques - eléctricos </t>
    </r>
    <r>
      <rPr>
        <sz val="8"/>
        <color theme="1"/>
        <rFont val="Segoe UI Light"/>
        <family val="2"/>
      </rPr>
      <t>(Para el dibujo de los planos eléctricos, utilizar los bloques creados a partir de las especificaciones establecidas en el Reglamento Técnico de Instalaciones Eléctricas - RETIE del Ministerio de Minas y Energía de Colombia)</t>
    </r>
  </si>
  <si>
    <r>
      <t xml:space="preserve">Bloques - otros </t>
    </r>
    <r>
      <rPr>
        <sz val="8"/>
        <color theme="1"/>
        <rFont val="Segoe UI Light"/>
        <family val="2"/>
      </rPr>
      <t>(Utilizar una librería de bloque externos citando la fuente de descarga.)</t>
    </r>
  </si>
  <si>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</si>
  <si>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</si>
  <si>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</si>
  <si>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</si>
  <si>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</si>
  <si>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</si>
  <si>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</si>
  <si>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</si>
  <si>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</si>
  <si>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</si>
  <si>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</si>
  <si>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</si>
  <si>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</si>
  <si>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</si>
  <si>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</si>
  <si>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</si>
  <si>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</si>
  <si>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</si>
  <si>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</si>
  <si>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</si>
  <si>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</si>
  <si>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</si>
  <si>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</si>
  <si>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</si>
  <si>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</si>
  <si>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</si>
  <si>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</si>
  <si>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</si>
  <si>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 Utilizar cuadrado con lado igual al diametro externo ØC.</t>
  </si>
  <si>
    <t>Ver especificaciones técnicas en archivo /file/ref/FT_D37-AXP-AXD-AXM-104.pdf.</t>
  </si>
  <si>
    <t>mm</t>
  </si>
  <si>
    <t>Líneas de vida</t>
  </si>
  <si>
    <t>Distribución interna</t>
  </si>
  <si>
    <t>Elementos estructurales</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</si>
  <si>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</si>
  <si>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</si>
  <si>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</si>
  <si>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</si>
  <si>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</si>
  <si>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</si>
  <si>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</si>
  <si>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</si>
  <si>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</si>
  <si>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</si>
  <si>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</si>
  <si>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</si>
  <si>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</si>
  <si>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</si>
  <si>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</si>
  <si>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</si>
  <si>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</si>
  <si>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</si>
  <si>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</si>
  <si>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Ancho</t>
  </si>
  <si>
    <t>Separación</t>
  </si>
  <si>
    <t>Longitud</t>
  </si>
  <si>
    <t>Área</t>
  </si>
  <si>
    <t>Ancho de la pasarela. Cómo mínimo utilizar 1 metro.</t>
  </si>
  <si>
    <t>Separación de corredores a lo largo de la cubierta. Cómo mínimo cada 15 metros.</t>
  </si>
  <si>
    <t>Líneas a lo largo de toda la cubierta cubriendo todo el ancho y en forma de cruz. No incluir en voladizo de cubierta.</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</si>
  <si>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</si>
  <si>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</si>
  <si>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</si>
  <si>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</si>
  <si>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</si>
  <si>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</si>
  <si>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</si>
  <si>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</si>
  <si>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</si>
  <si>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</si>
  <si>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Especificaciones generales e índices</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</si>
  <si>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</si>
  <si>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</si>
  <si>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</si>
  <si>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</si>
  <si>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</si>
  <si>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</si>
  <si>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</si>
  <si>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</si>
  <si>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</si>
  <si>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</si>
  <si>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</si>
  <si>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</si>
  <si>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</si>
  <si>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</si>
  <si>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</si>
  <si>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</si>
  <si>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</si>
  <si>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</si>
  <si>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Tabla de áreas (resumen a incluir en planos)</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</si>
  <si>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</si>
  <si>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</si>
  <si>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</si>
  <si>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</si>
  <si>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</si>
  <si>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</si>
  <si>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</si>
  <si>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</si>
  <si>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</si>
  <si>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</si>
  <si>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</si>
  <si>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</si>
  <si>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</si>
  <si>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</si>
  <si>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</si>
  <si>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</si>
  <si>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</si>
  <si>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</si>
  <si>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</si>
  <si>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</si>
  <si>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r>
      <t xml:space="preserve">A los costados y a lo ancho de la cubierta (incluídos voladizos), se deben dibujar canales de recolección de aguas lluvias. Diseñar con el ancho indicado. </t>
    </r>
    <r>
      <rPr>
        <i/>
        <sz val="8"/>
        <color theme="1"/>
        <rFont val="Segoe UI Light"/>
        <family val="2"/>
      </rPr>
      <t>Ver nota 1a.</t>
    </r>
  </si>
  <si>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</si>
  <si>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</si>
  <si>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</si>
  <si>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</si>
  <si>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</si>
  <si>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</si>
  <si>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</si>
  <si>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</si>
  <si>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</si>
  <si>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Localizadas cerca a la puerta de acceso y en costado de la bodega. Máximo ocupar 60 m² en planta, incluida el área de la escalera.</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</si>
  <si>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</si>
  <si>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</si>
  <si>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</si>
  <si>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ancho mínimo 30 centímetros. Dibujar ancho en el sentido del ancho de la bodega. Para columnas en concreto investigar especificaciones de refuerzo y dibujar detalle estructural. </t>
    </r>
    <r>
      <rPr>
        <i/>
        <sz val="8"/>
        <color theme="1"/>
        <rFont val="Segoe UI Light"/>
        <family val="2"/>
      </rPr>
      <t>Ver nota 1a.</t>
    </r>
  </si>
  <si>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</si>
  <si>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</si>
  <si>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</si>
  <si>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</si>
  <si>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</si>
  <si>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</si>
  <si>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</si>
  <si>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</si>
  <si>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</si>
  <si>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</si>
  <si>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</si>
  <si>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</si>
  <si>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</si>
  <si>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</si>
  <si>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</si>
  <si>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</si>
  <si>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</si>
  <si>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contra piso - Área</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</si>
  <si>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</si>
  <si>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</si>
  <si>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</si>
  <si>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</si>
  <si>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</si>
  <si>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</si>
  <si>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</si>
  <si>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</si>
  <si>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</si>
  <si>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</si>
  <si>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</si>
  <si>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</si>
  <si>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</si>
  <si>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</si>
  <si>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</si>
  <si>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</si>
  <si>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</si>
  <si>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</si>
  <si>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</si>
  <si>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</si>
  <si>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</si>
  <si>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</si>
  <si>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</si>
  <si>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</si>
  <si>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</si>
  <si>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</si>
  <si>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</si>
  <si>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</si>
  <si>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</si>
  <si>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</si>
  <si>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</si>
  <si>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</si>
  <si>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</si>
  <si>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</si>
  <si>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</si>
  <si>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Red foto-voltáica</t>
  </si>
  <si>
    <t>Área disponible en cubierta</t>
  </si>
  <si>
    <r>
      <t>Diseño de cubierta</t>
    </r>
    <r>
      <rPr>
        <sz val="8"/>
        <color theme="1"/>
        <rFont val="Segoe UI Light"/>
        <family val="2"/>
      </rPr>
      <t xml:space="preserve"> (dibujo y diseño a partir de la altura de la bodega)</t>
    </r>
  </si>
  <si>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</si>
  <si>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</si>
  <si>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</si>
  <si>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</si>
  <si>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</si>
  <si>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</si>
  <si>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</si>
  <si>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Para rayos</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</si>
  <si>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</si>
  <si>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</si>
  <si>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</si>
  <si>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</si>
  <si>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</si>
  <si>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</si>
  <si>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</si>
  <si>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</si>
  <si>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</si>
  <si>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</si>
  <si>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r>
      <t>Energía solar</t>
    </r>
    <r>
      <rPr>
        <sz val="8"/>
        <color theme="1"/>
        <rFont val="Segoe UI Light"/>
        <family val="2"/>
      </rPr>
      <t xml:space="preserve"> (evaluar únicamente el número de páneles que se pueden instalar y dibujarlos sobre la cubierta)</t>
    </r>
  </si>
  <si>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</si>
  <si>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r>
      <t>Distribución interna</t>
    </r>
    <r>
      <rPr>
        <sz val="8"/>
        <color theme="1"/>
        <rFont val="Segoe UI Light"/>
        <family val="2"/>
      </rPr>
      <t xml:space="preserve"> (al menos se deben incluir 3 referencias distintas de transformadores eléctricos industriales)</t>
    </r>
  </si>
  <si>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</si>
  <si>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</si>
  <si>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</si>
  <si>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</si>
  <si>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Estantería</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</si>
  <si>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</si>
  <si>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</si>
  <si>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</si>
  <si>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</si>
  <si>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</si>
  <si>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</si>
  <si>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</si>
  <si>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</si>
  <si>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</si>
  <si>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</si>
  <si>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</si>
  <si>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</si>
  <si>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</si>
  <si>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</si>
  <si>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</si>
  <si>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</si>
  <si>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</si>
  <si>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</si>
  <si>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</si>
  <si>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</si>
  <si>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</si>
  <si>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</si>
  <si>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</si>
  <si>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</si>
  <si>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Cuadro de cantidades (resumen a incluir en planos, no es necesario realizar costos unitarios)</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</si>
  <si>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</si>
  <si>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</si>
  <si>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</si>
  <si>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</si>
  <si>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</si>
  <si>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</si>
  <si>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</si>
  <si>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</si>
  <si>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</si>
  <si>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</si>
  <si>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Plano de red vigilancia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</si>
  <si>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</si>
  <si>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</si>
  <si>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</si>
  <si>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</si>
  <si>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</si>
  <si>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</si>
  <si>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</si>
  <si>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</si>
  <si>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</si>
  <si>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Grupos, integrantes y resúmen de calificaciones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</si>
  <si>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</si>
  <si>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</si>
  <si>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</si>
  <si>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</si>
  <si>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</si>
  <si>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</si>
  <si>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 xml:space="preserve">Repositorio de datos creado, compartido y accesible. Crear en OneDrive de Campus. </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</si>
  <si>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</si>
  <si>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</si>
  <si>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</si>
  <si>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</si>
  <si>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</si>
  <si>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</si>
  <si>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A0 / A4, horizontal y vertical. Formatos adicionales pueden ser incluídos en la plantilla.</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</si>
  <si>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</si>
  <si>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</si>
  <si>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</si>
  <si>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</si>
  <si>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</si>
  <si>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</si>
  <si>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</si>
  <si>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</si>
  <si>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</si>
  <si>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</si>
  <si>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</si>
  <si>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t>Los estudiantes deberán definir el nombre de su grupo de proyecto y crear un logotipo en AutoCAD (guardar como /file/cad/logotipo.dwg). El código, logotipo y nombre del grupo deberán incluirse en todos los planos generados.</t>
  </si>
  <si>
    <r>
      <t>Otros estudiante</t>
    </r>
    <r>
      <rPr>
        <sz val="8"/>
        <rFont val="Segoe UI Light"/>
        <family val="2"/>
      </rPr>
      <t xml:space="preserve"> (auto-calificación)</t>
    </r>
  </si>
  <si>
    <r>
      <t>Otros instructor</t>
    </r>
    <r>
      <rPr>
        <sz val="8"/>
        <rFont val="Segoe UI Light"/>
        <family val="2"/>
      </rPr>
      <t xml:space="preserve"> (participación en clase, dedicación, calidad del proyecto)</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</si>
  <si>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</si>
  <si>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r>
      <t xml:space="preserve">Especificaciones generales y redes </t>
    </r>
    <r>
      <rPr>
        <sz val="8"/>
        <color theme="1"/>
        <rFont val="Segoe UI Light"/>
        <family val="2"/>
      </rPr>
      <t>(en este curso, no es necesario crear los planos de instalaciones hidráulicas, sanitarias y contra incendios)</t>
    </r>
  </si>
  <si>
    <t>Archivo único de dibujo del proyecto. Guardar copias de las diferentes versiones de avance creadas colocando el sufijo correspondiente al aaaammdd.</t>
  </si>
  <si>
    <t>/file/cad/DAPC.dwg</t>
  </si>
  <si>
    <t>Plano digital del proyecto</t>
  </si>
  <si>
    <t>Generados a partir de layouts e integrados en un único archivo de Acrobat .pdf.</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</si>
  <si>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</si>
  <si>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</si>
  <si>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</si>
  <si>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</si>
  <si>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</si>
  <si>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</si>
  <si>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</si>
  <si>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5. Archivos digitales del proyecto</t>
  </si>
  <si>
    <t>4. Planos</t>
  </si>
  <si>
    <t>Bodegaje</t>
  </si>
  <si>
    <t>Arquitectónica y estructural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</si>
</sst>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
      <name val="Calibri"/>
      <family val="2"/>
      <scheme val="minor"/>
    </font>
  </fonts>
  <fills count="3">
    <fill>
      <patternFill patternType="none"/>
    </fill>
    <fill>
      <patternFill patternType="gray125"/>
    </fill>
    <fill>
      <patternFill patternType="solid">
        <fgColor theme="0" tint="-4.9989318521683403E-2"/>
        <bgColor indexed="64"/>
      </patternFill>
    </fill>
  </fills>
  <borders count="31">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1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0" borderId="9"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3" xfId="0" applyFont="1" applyFill="1" applyBorder="1" applyAlignment="1">
      <alignment horizontal="center"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2" fillId="0" borderId="16" xfId="0" applyFont="1" applyBorder="1" applyAlignment="1">
      <alignment horizontal="center" vertical="top"/>
    </xf>
    <xf numFmtId="0" fontId="2" fillId="0" borderId="6" xfId="0" applyFont="1" applyBorder="1" applyAlignment="1">
      <alignment horizontal="left" vertical="top"/>
    </xf>
    <xf numFmtId="0" fontId="2" fillId="2" borderId="4" xfId="0" applyFont="1" applyFill="1" applyBorder="1" applyAlignment="1">
      <alignment horizontal="left"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5" fillId="2" borderId="2" xfId="0" applyFont="1" applyFill="1" applyBorder="1" applyAlignment="1">
      <alignment horizontal="center" vertical="top"/>
    </xf>
    <xf numFmtId="0" fontId="3" fillId="0" borderId="0" xfId="0" applyFont="1" applyAlignment="1">
      <alignment horizontal="left" vertical="top"/>
    </xf>
    <xf numFmtId="0" fontId="2" fillId="2" borderId="15" xfId="0" applyFont="1" applyFill="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10" fillId="0" borderId="0" xfId="0" applyFont="1" applyAlignment="1">
      <alignment horizontal="left" vertical="top"/>
    </xf>
    <xf numFmtId="0" fontId="5" fillId="0" borderId="0" xfId="0" applyFont="1" applyAlignment="1">
      <alignment horizontal="righ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left" vertical="top" wrapText="1"/>
    </xf>
    <xf numFmtId="0" fontId="2" fillId="0" borderId="8" xfId="0" applyFont="1" applyBorder="1" applyAlignment="1">
      <alignment horizontal="left" vertical="top" wrapText="1"/>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2" fillId="2" borderId="2" xfId="0" applyFont="1" applyFill="1" applyBorder="1" applyAlignment="1">
      <alignment horizontal="left" vertical="top" wrapText="1"/>
    </xf>
    <xf numFmtId="0" fontId="3" fillId="0" borderId="1" xfId="1" applyNumberFormat="1" applyFont="1" applyBorder="1" applyAlignment="1" applyProtection="1">
      <alignment horizontal="center" vertical="top" wrapText="1"/>
    </xf>
    <xf numFmtId="0" fontId="3" fillId="0" borderId="13" xfId="0" applyFont="1" applyBorder="1" applyAlignment="1">
      <alignment horizontal="center"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2" fillId="0" borderId="7" xfId="0" applyFont="1" applyBorder="1" applyAlignment="1">
      <alignment horizontal="left" vertical="top"/>
    </xf>
    <xf numFmtId="0" fontId="5" fillId="0" borderId="8" xfId="0" applyFont="1" applyBorder="1" applyAlignment="1">
      <alignment horizontal="left" vertical="top"/>
    </xf>
    <xf numFmtId="0" fontId="2" fillId="0" borderId="8" xfId="0" applyFont="1" applyBorder="1" applyAlignment="1">
      <alignment horizontal="center" vertical="top"/>
    </xf>
    <xf numFmtId="0" fontId="4" fillId="0" borderId="0" xfId="0" applyFont="1" applyAlignment="1">
      <alignment horizontal="left" vertical="top"/>
    </xf>
    <xf numFmtId="0" fontId="2" fillId="0" borderId="5"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0" xfId="0" applyFont="1" applyAlignment="1">
      <alignment horizontal="left" vertical="top" wrapText="1"/>
    </xf>
    <xf numFmtId="0" fontId="2" fillId="0" borderId="1" xfId="0" applyFont="1" applyBorder="1" applyAlignment="1">
      <alignment horizontal="center"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5" fillId="0" borderId="0" xfId="0" applyFont="1" applyAlignment="1">
      <alignment horizontal="left" vertical="top" wrapText="1"/>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5" fillId="0" borderId="17" xfId="0" applyFont="1" applyBorder="1" applyAlignment="1">
      <alignment horizontal="left" vertical="top" wrapText="1"/>
    </xf>
    <xf numFmtId="0" fontId="0" fillId="0" borderId="0" xfId="0" applyAlignment="1">
      <alignment horizontal="center"/>
    </xf>
    <xf numFmtId="0" fontId="3" fillId="0" borderId="8" xfId="0" applyFont="1" applyBorder="1" applyAlignment="1">
      <alignment horizontal="center" vertical="top" wrapText="1"/>
    </xf>
    <xf numFmtId="0" fontId="3" fillId="0" borderId="1" xfId="0" applyFont="1" applyBorder="1" applyAlignment="1">
      <alignment horizontal="center" vertical="top"/>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2" borderId="12" xfId="0" applyFont="1" applyFill="1" applyBorder="1" applyAlignment="1">
      <alignment horizontal="center" vertical="top" wrapText="1"/>
    </xf>
    <xf numFmtId="0" fontId="2" fillId="2" borderId="23" xfId="0" applyFont="1" applyFill="1" applyBorder="1" applyAlignment="1">
      <alignment horizontal="right" vertical="top"/>
    </xf>
    <xf numFmtId="0" fontId="2" fillId="0" borderId="0" xfId="0" applyFont="1" applyAlignment="1">
      <alignment horizontal="right" vertical="top"/>
    </xf>
    <xf numFmtId="0" fontId="2" fillId="0" borderId="0" xfId="0" applyFont="1" applyAlignment="1" applyProtection="1">
      <alignment horizontal="lef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2" borderId="11" xfId="0" applyFont="1" applyFill="1" applyBorder="1" applyAlignment="1">
      <alignment horizontal="left" vertical="top" wrapText="1"/>
    </xf>
    <xf numFmtId="0" fontId="5" fillId="0" borderId="1" xfId="0" applyFont="1" applyBorder="1" applyAlignment="1">
      <alignment horizontal="left" vertical="top"/>
    </xf>
    <xf numFmtId="0" fontId="13" fillId="0" borderId="0" xfId="0" applyFont="1"/>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3" fillId="0" borderId="6" xfId="0" applyNumberFormat="1" applyFont="1" applyBorder="1" applyAlignment="1" applyProtection="1">
      <alignment horizontal="center" vertical="top"/>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2" fillId="0" borderId="16" xfId="0" applyFont="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6" fillId="0" borderId="0" xfId="0" applyFont="1" applyAlignment="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H46"/>
  <sheetViews>
    <sheetView showGridLines="0" zoomScale="130" zoomScaleNormal="130" workbookViewId="0">
      <pane ySplit="3" topLeftCell="A25" activePane="bottomLeft" state="frozen"/>
      <selection pane="bottomLeft" activeCell="C40" sqref="C40:D40"/>
    </sheetView>
  </sheetViews>
  <sheetFormatPr defaultRowHeight="16.5" x14ac:dyDescent="0.45"/>
  <cols>
    <col min="1" max="2" width="2.59765625" style="2" customWidth="1"/>
    <col min="3" max="3" width="50.59765625" style="2" customWidth="1"/>
    <col min="4" max="4" width="15.59765625" style="2" customWidth="1"/>
    <col min="5" max="5" width="11.53125" style="2" customWidth="1"/>
    <col min="6" max="6" width="2.59765625" style="2" customWidth="1"/>
    <col min="7" max="16384" width="9.06640625" style="2"/>
  </cols>
  <sheetData>
    <row r="1" spans="2:5" x14ac:dyDescent="0.45">
      <c r="E1" s="24"/>
    </row>
    <row r="2" spans="2:5" x14ac:dyDescent="0.45">
      <c r="B2" s="2" t="s">
        <v>22</v>
      </c>
    </row>
    <row r="3" spans="2:5" x14ac:dyDescent="0.45">
      <c r="B3" s="20" t="s">
        <v>290</v>
      </c>
    </row>
    <row r="4" spans="2:5" x14ac:dyDescent="0.45">
      <c r="B4" s="74" t="s">
        <v>39</v>
      </c>
      <c r="C4" s="74"/>
      <c r="D4" s="74"/>
      <c r="E4" s="74"/>
    </row>
    <row r="5" spans="2:5" x14ac:dyDescent="0.45">
      <c r="B5" s="74"/>
      <c r="C5" s="74"/>
      <c r="D5" s="74"/>
      <c r="E5" s="74"/>
    </row>
    <row r="6" spans="2:5" x14ac:dyDescent="0.45">
      <c r="B6" s="74"/>
      <c r="C6" s="74"/>
      <c r="D6" s="74"/>
      <c r="E6" s="74"/>
    </row>
    <row r="7" spans="2:5" x14ac:dyDescent="0.45">
      <c r="B7" s="74"/>
      <c r="C7" s="74"/>
      <c r="D7" s="74"/>
      <c r="E7" s="74"/>
    </row>
    <row r="8" spans="2:5" x14ac:dyDescent="0.45">
      <c r="B8" s="76" t="s">
        <v>1</v>
      </c>
      <c r="C8" s="77"/>
      <c r="D8" s="77"/>
      <c r="E8" s="78"/>
    </row>
    <row r="9" spans="2:5" x14ac:dyDescent="0.45">
      <c r="B9" s="68" t="s">
        <v>12</v>
      </c>
      <c r="C9" s="69"/>
      <c r="D9" s="69"/>
      <c r="E9" s="70"/>
    </row>
    <row r="10" spans="2:5" x14ac:dyDescent="0.45">
      <c r="B10" s="65" t="s">
        <v>2</v>
      </c>
      <c r="C10" s="66"/>
      <c r="D10" s="66"/>
      <c r="E10" s="67"/>
    </row>
    <row r="11" spans="2:5" x14ac:dyDescent="0.45">
      <c r="B11" s="68" t="s">
        <v>13</v>
      </c>
      <c r="C11" s="69"/>
      <c r="D11" s="69"/>
      <c r="E11" s="70"/>
    </row>
    <row r="12" spans="2:5" x14ac:dyDescent="0.45">
      <c r="B12" s="71"/>
      <c r="C12" s="72"/>
      <c r="D12" s="72"/>
      <c r="E12" s="73"/>
    </row>
    <row r="13" spans="2:5" x14ac:dyDescent="0.45">
      <c r="B13" s="65" t="s">
        <v>20</v>
      </c>
      <c r="C13" s="66"/>
      <c r="D13" s="66"/>
      <c r="E13" s="67"/>
    </row>
    <row r="14" spans="2:5" x14ac:dyDescent="0.45">
      <c r="B14" s="68" t="s">
        <v>18</v>
      </c>
      <c r="C14" s="69"/>
      <c r="D14" s="69"/>
      <c r="E14" s="70"/>
    </row>
    <row r="15" spans="2:5" x14ac:dyDescent="0.45">
      <c r="B15" s="71"/>
      <c r="C15" s="72"/>
      <c r="D15" s="72"/>
      <c r="E15" s="73"/>
    </row>
    <row r="16" spans="2:5" x14ac:dyDescent="0.45">
      <c r="B16" s="23" t="s">
        <v>21</v>
      </c>
      <c r="C16" s="23"/>
      <c r="D16" s="23"/>
      <c r="E16" s="23"/>
    </row>
    <row r="17" spans="2:8" x14ac:dyDescent="0.45">
      <c r="B17" s="18"/>
      <c r="C17" s="18"/>
      <c r="D17" s="18"/>
      <c r="E17" s="18"/>
    </row>
    <row r="18" spans="2:8" x14ac:dyDescent="0.45">
      <c r="B18" s="75" t="s">
        <v>14</v>
      </c>
      <c r="C18" s="75"/>
      <c r="D18" s="75"/>
      <c r="E18" s="75"/>
    </row>
    <row r="19" spans="2:8" x14ac:dyDescent="0.45">
      <c r="B19" s="17" t="s">
        <v>10</v>
      </c>
      <c r="C19" s="7" t="s">
        <v>29</v>
      </c>
      <c r="D19" s="8" t="s">
        <v>28</v>
      </c>
      <c r="E19" s="10" t="s">
        <v>4</v>
      </c>
    </row>
    <row r="20" spans="2:8" x14ac:dyDescent="0.45">
      <c r="B20" s="15">
        <v>1</v>
      </c>
      <c r="C20" s="25" t="s">
        <v>8</v>
      </c>
      <c r="D20" s="27" t="s">
        <v>3</v>
      </c>
      <c r="E20" s="11">
        <f t="shared" ref="E20:E29" si="0">IFERROR(RIGHT(D20,1)*1,0)</f>
        <v>1</v>
      </c>
    </row>
    <row r="21" spans="2:8" x14ac:dyDescent="0.45">
      <c r="B21" s="15">
        <v>2</v>
      </c>
      <c r="C21" s="25" t="s">
        <v>8</v>
      </c>
      <c r="D21" s="27" t="s">
        <v>5</v>
      </c>
      <c r="E21" s="11">
        <f t="shared" si="0"/>
        <v>4</v>
      </c>
    </row>
    <row r="22" spans="2:8" x14ac:dyDescent="0.45">
      <c r="B22" s="15">
        <v>3</v>
      </c>
      <c r="C22" s="25" t="s">
        <v>8</v>
      </c>
      <c r="D22" s="27" t="s">
        <v>6</v>
      </c>
      <c r="E22" s="11">
        <f t="shared" si="0"/>
        <v>5</v>
      </c>
    </row>
    <row r="23" spans="2:8" x14ac:dyDescent="0.45">
      <c r="B23" s="15">
        <v>4</v>
      </c>
      <c r="C23" s="25" t="s">
        <v>8</v>
      </c>
      <c r="D23" s="27" t="s">
        <v>7</v>
      </c>
      <c r="E23" s="11">
        <f t="shared" si="0"/>
        <v>8</v>
      </c>
    </row>
    <row r="24" spans="2:8" x14ac:dyDescent="0.45">
      <c r="B24" s="15">
        <v>5</v>
      </c>
      <c r="C24" s="25" t="s">
        <v>8</v>
      </c>
      <c r="D24" s="27" t="s">
        <v>9</v>
      </c>
      <c r="E24" s="11">
        <f t="shared" si="0"/>
        <v>9</v>
      </c>
    </row>
    <row r="25" spans="2:8" x14ac:dyDescent="0.45">
      <c r="B25" s="15">
        <v>6</v>
      </c>
      <c r="C25" s="25" t="s">
        <v>8</v>
      </c>
      <c r="D25" s="27"/>
      <c r="E25" s="11">
        <f t="shared" si="0"/>
        <v>0</v>
      </c>
    </row>
    <row r="26" spans="2:8" x14ac:dyDescent="0.45">
      <c r="B26" s="15">
        <v>7</v>
      </c>
      <c r="C26" s="25" t="s">
        <v>8</v>
      </c>
      <c r="D26" s="27"/>
      <c r="E26" s="11">
        <f t="shared" si="0"/>
        <v>0</v>
      </c>
    </row>
    <row r="27" spans="2:8" x14ac:dyDescent="0.45">
      <c r="B27" s="15">
        <v>8</v>
      </c>
      <c r="C27" s="25" t="s">
        <v>8</v>
      </c>
      <c r="D27" s="27"/>
      <c r="E27" s="11">
        <f t="shared" si="0"/>
        <v>0</v>
      </c>
    </row>
    <row r="28" spans="2:8" x14ac:dyDescent="0.45">
      <c r="B28" s="15">
        <v>9</v>
      </c>
      <c r="C28" s="25" t="s">
        <v>8</v>
      </c>
      <c r="D28" s="27"/>
      <c r="E28" s="11">
        <f t="shared" si="0"/>
        <v>0</v>
      </c>
    </row>
    <row r="29" spans="2:8" x14ac:dyDescent="0.45">
      <c r="B29" s="16">
        <v>10</v>
      </c>
      <c r="C29" s="26" t="s">
        <v>8</v>
      </c>
      <c r="D29" s="28"/>
      <c r="E29" s="9">
        <f t="shared" si="0"/>
        <v>0</v>
      </c>
    </row>
    <row r="30" spans="2:8" x14ac:dyDescent="0.45">
      <c r="D30" s="19" t="s">
        <v>11</v>
      </c>
      <c r="E30" s="12">
        <f>SUM(E20:E29)</f>
        <v>27</v>
      </c>
    </row>
    <row r="31" spans="2:8" x14ac:dyDescent="0.45">
      <c r="B31" s="91"/>
      <c r="C31" s="91"/>
      <c r="D31" s="91"/>
      <c r="E31" s="91"/>
      <c r="F31" s="91"/>
      <c r="G31" s="91"/>
      <c r="H31" s="91"/>
    </row>
    <row r="32" spans="2:8" x14ac:dyDescent="0.45">
      <c r="B32" s="92" t="s">
        <v>285</v>
      </c>
      <c r="C32" s="92"/>
      <c r="D32" s="92"/>
      <c r="E32" s="92"/>
      <c r="F32" s="91"/>
      <c r="G32" s="91"/>
      <c r="H32" s="91"/>
    </row>
    <row r="33" spans="2:8" x14ac:dyDescent="0.45">
      <c r="B33" s="93" t="s">
        <v>10</v>
      </c>
      <c r="C33" s="106" t="s">
        <v>40</v>
      </c>
      <c r="D33" s="107"/>
      <c r="E33" s="94" t="s">
        <v>27</v>
      </c>
      <c r="F33" s="91"/>
      <c r="G33" s="91"/>
      <c r="H33" s="91"/>
    </row>
    <row r="34" spans="2:8" x14ac:dyDescent="0.45">
      <c r="B34" s="95">
        <v>1</v>
      </c>
      <c r="C34" s="109" t="s">
        <v>286</v>
      </c>
      <c r="D34" s="110"/>
      <c r="E34" s="96">
        <f>'1.Tecnica'!H19</f>
        <v>5</v>
      </c>
      <c r="F34" s="91"/>
      <c r="G34" s="91"/>
      <c r="H34" s="91"/>
    </row>
    <row r="35" spans="2:8" x14ac:dyDescent="0.45">
      <c r="B35" s="95">
        <v>2</v>
      </c>
      <c r="C35" s="111" t="s">
        <v>335</v>
      </c>
      <c r="D35" s="112"/>
      <c r="E35" s="96">
        <f>'2.ArquitectonicaEstructural'!H104</f>
        <v>5</v>
      </c>
      <c r="F35" s="91"/>
      <c r="G35" s="91"/>
      <c r="H35" s="91"/>
    </row>
    <row r="36" spans="2:8" x14ac:dyDescent="0.45">
      <c r="B36" s="95">
        <v>3</v>
      </c>
      <c r="C36" s="111" t="s">
        <v>287</v>
      </c>
      <c r="D36" s="112"/>
      <c r="E36" s="96">
        <f>'3.Electrica'!H28</f>
        <v>5</v>
      </c>
      <c r="F36" s="91"/>
      <c r="G36" s="91"/>
      <c r="H36" s="91"/>
    </row>
    <row r="37" spans="2:8" x14ac:dyDescent="0.45">
      <c r="B37" s="95">
        <v>4</v>
      </c>
      <c r="C37" s="116" t="s">
        <v>334</v>
      </c>
      <c r="D37" s="117"/>
      <c r="E37" s="96">
        <f>'4.Bodegaje'!H24</f>
        <v>5</v>
      </c>
      <c r="F37" s="91"/>
      <c r="G37" s="91"/>
      <c r="H37" s="91"/>
    </row>
    <row r="38" spans="2:8" x14ac:dyDescent="0.45">
      <c r="B38" s="95">
        <v>4</v>
      </c>
      <c r="C38" s="111" t="s">
        <v>288</v>
      </c>
      <c r="D38" s="112"/>
      <c r="E38" s="96">
        <f>'5.Planos'!H17</f>
        <v>5</v>
      </c>
      <c r="F38" s="91"/>
      <c r="G38" s="91"/>
      <c r="H38" s="91"/>
    </row>
    <row r="39" spans="2:8" x14ac:dyDescent="0.45">
      <c r="B39" s="95">
        <v>5</v>
      </c>
      <c r="C39" s="111" t="s">
        <v>289</v>
      </c>
      <c r="D39" s="112"/>
      <c r="E39" s="96">
        <f>'5.Archivos'!G17</f>
        <v>5</v>
      </c>
      <c r="F39" s="91"/>
      <c r="G39" s="91"/>
      <c r="H39" s="91"/>
    </row>
    <row r="40" spans="2:8" x14ac:dyDescent="0.45">
      <c r="B40" s="95">
        <v>6</v>
      </c>
      <c r="C40" s="111" t="s">
        <v>317</v>
      </c>
      <c r="D40" s="112"/>
      <c r="E40" s="105">
        <v>5</v>
      </c>
      <c r="F40" s="91"/>
      <c r="G40" s="91"/>
      <c r="H40" s="91"/>
    </row>
    <row r="41" spans="2:8" x14ac:dyDescent="0.45">
      <c r="B41" s="97">
        <v>7</v>
      </c>
      <c r="C41" s="113" t="s">
        <v>318</v>
      </c>
      <c r="D41" s="114"/>
      <c r="E41" s="104">
        <v>5</v>
      </c>
      <c r="F41" s="91"/>
      <c r="G41" s="91"/>
      <c r="H41" s="91"/>
    </row>
    <row r="42" spans="2:8" x14ac:dyDescent="0.45">
      <c r="B42" s="91"/>
      <c r="C42" s="91"/>
      <c r="D42" s="89" t="s">
        <v>293</v>
      </c>
      <c r="E42" s="108">
        <f>AVERAGE(E34:E41)</f>
        <v>5</v>
      </c>
      <c r="F42" s="91"/>
      <c r="G42" s="91"/>
      <c r="H42" s="91"/>
    </row>
    <row r="43" spans="2:8" x14ac:dyDescent="0.45">
      <c r="B43" s="91"/>
      <c r="C43" s="91"/>
      <c r="D43" s="91"/>
      <c r="E43" s="91"/>
      <c r="F43" s="91"/>
      <c r="G43" s="91"/>
      <c r="H43" s="91"/>
    </row>
    <row r="44" spans="2:8" x14ac:dyDescent="0.45">
      <c r="B44" s="91"/>
      <c r="C44" s="91"/>
      <c r="D44" s="91"/>
      <c r="E44" s="91"/>
      <c r="F44" s="91"/>
      <c r="G44" s="91"/>
      <c r="H44" s="91"/>
    </row>
    <row r="45" spans="2:8" x14ac:dyDescent="0.45">
      <c r="B45" s="91"/>
      <c r="C45" s="91"/>
      <c r="D45" s="91"/>
      <c r="E45" s="91"/>
      <c r="F45" s="91"/>
      <c r="G45" s="91"/>
      <c r="H45" s="91"/>
    </row>
    <row r="46" spans="2:8" x14ac:dyDescent="0.45">
      <c r="B46" s="91"/>
      <c r="C46" s="91"/>
      <c r="D46" s="91"/>
      <c r="E46" s="91"/>
      <c r="F46" s="91"/>
      <c r="G46" s="91"/>
      <c r="H46" s="91"/>
    </row>
  </sheetData>
  <mergeCells count="18">
    <mergeCell ref="C39:D39"/>
    <mergeCell ref="C40:D40"/>
    <mergeCell ref="C41:D41"/>
    <mergeCell ref="B14:E15"/>
    <mergeCell ref="B18:E18"/>
    <mergeCell ref="B32:E32"/>
    <mergeCell ref="B4:E6"/>
    <mergeCell ref="C33:D33"/>
    <mergeCell ref="C34:D34"/>
    <mergeCell ref="C35:D35"/>
    <mergeCell ref="C36:D36"/>
    <mergeCell ref="C38:D38"/>
    <mergeCell ref="B7:E7"/>
    <mergeCell ref="B8:E8"/>
    <mergeCell ref="B9:E9"/>
    <mergeCell ref="B10:E10"/>
    <mergeCell ref="B11:E12"/>
    <mergeCell ref="B13:E13"/>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H19"/>
  <sheetViews>
    <sheetView showGridLines="0" zoomScale="130" zoomScaleNormal="130" workbookViewId="0">
      <pane ySplit="6" topLeftCell="A12" activePane="bottomLeft" state="frozen"/>
      <selection pane="bottomLeft" activeCell="B17" sqref="B17"/>
    </sheetView>
  </sheetViews>
  <sheetFormatPr defaultRowHeight="16.5" x14ac:dyDescent="0.45"/>
  <cols>
    <col min="1" max="1" width="2.59765625" style="2" customWidth="1"/>
    <col min="2" max="2" width="30.06640625" style="2" customWidth="1"/>
    <col min="3" max="3" width="50.59765625" style="2" customWidth="1"/>
    <col min="4" max="4" width="15.59765625" style="2" customWidth="1"/>
    <col min="5" max="5" width="9.06640625" style="2"/>
    <col min="6" max="6" width="12.265625" style="2" customWidth="1"/>
    <col min="7" max="7" width="20.265625" style="98" customWidth="1"/>
    <col min="8" max="8" width="12.3984375" style="47" customWidth="1"/>
    <col min="9" max="16384" width="9.06640625" style="2"/>
  </cols>
  <sheetData>
    <row r="1" spans="2:8" x14ac:dyDescent="0.45">
      <c r="E1" s="24"/>
    </row>
    <row r="2" spans="2:8" x14ac:dyDescent="0.45">
      <c r="B2" s="2" t="s">
        <v>22</v>
      </c>
    </row>
    <row r="3" spans="2:8" x14ac:dyDescent="0.45">
      <c r="B3" s="20" t="s">
        <v>0</v>
      </c>
    </row>
    <row r="4" spans="2:8" x14ac:dyDescent="0.45">
      <c r="B4" s="74" t="s">
        <v>291</v>
      </c>
      <c r="C4" s="74"/>
      <c r="D4" s="74"/>
      <c r="E4" s="74"/>
    </row>
    <row r="5" spans="2:8" x14ac:dyDescent="0.45">
      <c r="B5" s="74"/>
      <c r="C5" s="74"/>
      <c r="D5" s="74"/>
      <c r="E5" s="74"/>
    </row>
    <row r="6" spans="2:8" x14ac:dyDescent="0.45">
      <c r="B6" s="37" t="s">
        <v>40</v>
      </c>
      <c r="C6" s="38" t="s">
        <v>41</v>
      </c>
      <c r="D6" s="39" t="s">
        <v>52</v>
      </c>
      <c r="E6" s="39" t="s">
        <v>53</v>
      </c>
      <c r="F6" s="39" t="s">
        <v>42</v>
      </c>
      <c r="G6" s="38" t="s">
        <v>26</v>
      </c>
      <c r="H6" s="83" t="s">
        <v>27</v>
      </c>
    </row>
    <row r="7" spans="2:8" ht="38.25" x14ac:dyDescent="0.45">
      <c r="B7" s="32" t="s">
        <v>292</v>
      </c>
      <c r="C7" s="35" t="s">
        <v>316</v>
      </c>
      <c r="D7" s="36">
        <v>1</v>
      </c>
      <c r="E7" s="31" t="s">
        <v>126</v>
      </c>
      <c r="F7" s="31"/>
      <c r="G7" s="35"/>
      <c r="H7" s="85">
        <v>5</v>
      </c>
    </row>
    <row r="8" spans="2:8" ht="25.5" x14ac:dyDescent="0.45">
      <c r="B8" s="32" t="s">
        <v>296</v>
      </c>
      <c r="C8" s="35" t="s">
        <v>297</v>
      </c>
      <c r="D8" s="36">
        <v>1</v>
      </c>
      <c r="E8" s="31" t="s">
        <v>126</v>
      </c>
      <c r="F8" s="31"/>
      <c r="G8" s="35"/>
      <c r="H8" s="85"/>
    </row>
    <row r="9" spans="2:8" x14ac:dyDescent="0.45">
      <c r="B9" s="32" t="s">
        <v>294</v>
      </c>
      <c r="C9" s="35" t="s">
        <v>295</v>
      </c>
      <c r="D9" s="36">
        <v>1</v>
      </c>
      <c r="E9" s="31" t="s">
        <v>126</v>
      </c>
      <c r="F9" s="31"/>
      <c r="G9" s="35"/>
      <c r="H9" s="85"/>
    </row>
    <row r="10" spans="2:8" x14ac:dyDescent="0.45">
      <c r="B10" s="32" t="s">
        <v>299</v>
      </c>
      <c r="C10" s="35" t="s">
        <v>300</v>
      </c>
      <c r="D10" s="36">
        <v>1</v>
      </c>
      <c r="E10" s="31" t="s">
        <v>126</v>
      </c>
      <c r="F10" s="31"/>
      <c r="G10" s="35"/>
      <c r="H10" s="85"/>
    </row>
    <row r="11" spans="2:8" ht="33" x14ac:dyDescent="0.45">
      <c r="B11" s="32" t="s">
        <v>298</v>
      </c>
      <c r="C11" s="35" t="s">
        <v>301</v>
      </c>
      <c r="D11" s="36">
        <v>1</v>
      </c>
      <c r="E11" s="31" t="s">
        <v>126</v>
      </c>
      <c r="F11" s="31"/>
      <c r="G11" s="35"/>
      <c r="H11" s="85"/>
    </row>
    <row r="12" spans="2:8" ht="63.75" x14ac:dyDescent="0.45">
      <c r="B12" s="32" t="s">
        <v>308</v>
      </c>
      <c r="C12" s="35" t="s">
        <v>302</v>
      </c>
      <c r="D12" s="36">
        <v>1</v>
      </c>
      <c r="E12" s="31" t="s">
        <v>126</v>
      </c>
      <c r="F12" s="31"/>
      <c r="G12" s="35"/>
      <c r="H12" s="85"/>
    </row>
    <row r="13" spans="2:8" ht="25.5" x14ac:dyDescent="0.45">
      <c r="B13" s="32" t="s">
        <v>309</v>
      </c>
      <c r="C13" s="35" t="s">
        <v>303</v>
      </c>
      <c r="D13" s="36">
        <v>1</v>
      </c>
      <c r="E13" s="31" t="s">
        <v>126</v>
      </c>
      <c r="F13" s="31"/>
      <c r="G13" s="35"/>
      <c r="H13" s="85"/>
    </row>
    <row r="14" spans="2:8" ht="33" x14ac:dyDescent="0.45">
      <c r="B14" s="32" t="s">
        <v>310</v>
      </c>
      <c r="C14" s="35" t="s">
        <v>304</v>
      </c>
      <c r="D14" s="36">
        <v>1</v>
      </c>
      <c r="E14" s="31" t="s">
        <v>126</v>
      </c>
      <c r="F14" s="31"/>
      <c r="G14" s="35"/>
      <c r="H14" s="85"/>
    </row>
    <row r="15" spans="2:8" ht="25.5" x14ac:dyDescent="0.45">
      <c r="B15" s="32" t="s">
        <v>305</v>
      </c>
      <c r="C15" s="35" t="s">
        <v>311</v>
      </c>
      <c r="D15" s="36">
        <v>1</v>
      </c>
      <c r="E15" s="31" t="s">
        <v>126</v>
      </c>
      <c r="F15" s="31"/>
      <c r="G15" s="35"/>
      <c r="H15" s="85"/>
    </row>
    <row r="16" spans="2:8" ht="52.15" customHeight="1" x14ac:dyDescent="0.45">
      <c r="B16" s="32" t="s">
        <v>306</v>
      </c>
      <c r="C16" s="35" t="s">
        <v>312</v>
      </c>
      <c r="D16" s="36">
        <v>1</v>
      </c>
      <c r="E16" s="31" t="s">
        <v>126</v>
      </c>
      <c r="F16" s="31"/>
      <c r="G16" s="35"/>
      <c r="H16" s="85"/>
    </row>
    <row r="17" spans="2:8" ht="35.65" customHeight="1" x14ac:dyDescent="0.45">
      <c r="B17" s="43" t="s">
        <v>307</v>
      </c>
      <c r="C17" s="44" t="s">
        <v>313</v>
      </c>
      <c r="D17" s="36">
        <v>1</v>
      </c>
      <c r="E17" s="31" t="s">
        <v>126</v>
      </c>
      <c r="F17" s="45"/>
      <c r="G17" s="44"/>
      <c r="H17" s="86"/>
    </row>
    <row r="18" spans="2:8" x14ac:dyDescent="0.45">
      <c r="B18" s="40"/>
      <c r="C18" s="41"/>
      <c r="D18" s="81"/>
      <c r="E18" s="42"/>
      <c r="F18" s="42"/>
      <c r="G18" s="41"/>
      <c r="H18" s="87"/>
    </row>
    <row r="19" spans="2:8" x14ac:dyDescent="0.45">
      <c r="G19" s="90" t="s">
        <v>293</v>
      </c>
      <c r="H19" s="47">
        <f>AVERAGE(H7:H18)</f>
        <v>5</v>
      </c>
    </row>
  </sheetData>
  <mergeCells count="1">
    <mergeCell ref="B4:E5"/>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H114"/>
  <sheetViews>
    <sheetView showGridLines="0" zoomScale="130" zoomScaleNormal="130" workbookViewId="0">
      <pane ySplit="6" topLeftCell="A96" activePane="bottomLeft" state="frozen"/>
      <selection pane="bottomLeft" activeCell="G104" sqref="G104"/>
    </sheetView>
  </sheetViews>
  <sheetFormatPr defaultRowHeight="16.5" x14ac:dyDescent="0.45"/>
  <cols>
    <col min="1" max="1" width="2.59765625" style="2" customWidth="1"/>
    <col min="2" max="2" width="27.06640625" style="2" customWidth="1"/>
    <col min="3" max="3" width="41" style="2" customWidth="1"/>
    <col min="4" max="6" width="9.19921875" style="47" customWidth="1"/>
    <col min="7" max="7" width="28.53125" style="98" customWidth="1"/>
    <col min="8" max="8" width="14.86328125" style="47" customWidth="1"/>
    <col min="9" max="9" width="2.59765625" style="2" customWidth="1"/>
    <col min="10" max="16384" width="9.06640625" style="2"/>
  </cols>
  <sheetData>
    <row r="2" spans="2:8" x14ac:dyDescent="0.45">
      <c r="B2" s="2" t="s">
        <v>22</v>
      </c>
    </row>
    <row r="3" spans="2:8" x14ac:dyDescent="0.45">
      <c r="B3" s="20" t="s">
        <v>171</v>
      </c>
    </row>
    <row r="4" spans="2:8" x14ac:dyDescent="0.45">
      <c r="B4" s="74" t="s">
        <v>241</v>
      </c>
      <c r="C4" s="74"/>
      <c r="D4" s="74"/>
      <c r="E4" s="74"/>
      <c r="F4" s="74"/>
      <c r="G4" s="74"/>
      <c r="H4" s="74"/>
    </row>
    <row r="5" spans="2:8" x14ac:dyDescent="0.45">
      <c r="B5" s="79"/>
      <c r="C5" s="79"/>
      <c r="D5" s="79"/>
      <c r="E5" s="79"/>
      <c r="F5" s="79"/>
      <c r="G5" s="79"/>
      <c r="H5" s="79"/>
    </row>
    <row r="6" spans="2:8" x14ac:dyDescent="0.45">
      <c r="B6" s="37" t="s">
        <v>40</v>
      </c>
      <c r="C6" s="38" t="s">
        <v>41</v>
      </c>
      <c r="D6" s="39" t="s">
        <v>52</v>
      </c>
      <c r="E6" s="39" t="s">
        <v>53</v>
      </c>
      <c r="F6" s="39" t="s">
        <v>42</v>
      </c>
      <c r="G6" s="38" t="s">
        <v>26</v>
      </c>
      <c r="H6" s="83" t="s">
        <v>27</v>
      </c>
    </row>
    <row r="7" spans="2:8" x14ac:dyDescent="0.45">
      <c r="B7" s="6" t="s">
        <v>108</v>
      </c>
      <c r="C7" s="33"/>
      <c r="D7" s="34"/>
      <c r="E7" s="34"/>
      <c r="F7" s="34"/>
      <c r="G7" s="99"/>
      <c r="H7" s="84"/>
    </row>
    <row r="8" spans="2:8" x14ac:dyDescent="0.45">
      <c r="B8" s="32" t="s">
        <v>172</v>
      </c>
      <c r="C8" s="35" t="s">
        <v>174</v>
      </c>
      <c r="D8" s="36">
        <v>8</v>
      </c>
      <c r="E8" s="31" t="s">
        <v>57</v>
      </c>
      <c r="F8" s="31"/>
      <c r="G8" s="35" t="s">
        <v>315</v>
      </c>
      <c r="H8" s="85">
        <v>5</v>
      </c>
    </row>
    <row r="9" spans="2:8" x14ac:dyDescent="0.45">
      <c r="B9" s="32" t="s">
        <v>173</v>
      </c>
      <c r="C9" s="35" t="s">
        <v>175</v>
      </c>
      <c r="D9" s="36">
        <v>10</v>
      </c>
      <c r="E9" s="31" t="s">
        <v>57</v>
      </c>
      <c r="F9" s="31"/>
      <c r="G9" s="35" t="s">
        <v>315</v>
      </c>
      <c r="H9" s="85"/>
    </row>
    <row r="10" spans="2:8" ht="25.5" x14ac:dyDescent="0.45">
      <c r="B10" s="32" t="s">
        <v>178</v>
      </c>
      <c r="C10" s="35" t="s">
        <v>176</v>
      </c>
      <c r="D10" s="31">
        <f>D8+SumUDig</f>
        <v>35</v>
      </c>
      <c r="E10" s="31" t="s">
        <v>57</v>
      </c>
      <c r="F10" s="31"/>
      <c r="G10" s="35"/>
      <c r="H10" s="85"/>
    </row>
    <row r="11" spans="2:8" ht="25.5" x14ac:dyDescent="0.45">
      <c r="B11" s="32" t="s">
        <v>179</v>
      </c>
      <c r="C11" s="35" t="s">
        <v>177</v>
      </c>
      <c r="D11" s="31" cm="1">
        <f t="array" ref="D11">D9+SumUDig</f>
        <v>37</v>
      </c>
      <c r="E11" s="31" t="s">
        <v>57</v>
      </c>
      <c r="F11" s="31"/>
      <c r="G11" s="35"/>
      <c r="H11" s="85"/>
    </row>
    <row r="12" spans="2:8" x14ac:dyDescent="0.45">
      <c r="B12" s="32" t="s">
        <v>43</v>
      </c>
      <c r="C12" s="35" t="s">
        <v>188</v>
      </c>
      <c r="D12" s="36">
        <v>12</v>
      </c>
      <c r="E12" s="31" t="s">
        <v>57</v>
      </c>
      <c r="F12" s="31"/>
      <c r="G12" s="35" t="s">
        <v>315</v>
      </c>
      <c r="H12" s="85"/>
    </row>
    <row r="13" spans="2:8" x14ac:dyDescent="0.45">
      <c r="B13" s="32" t="s">
        <v>64</v>
      </c>
      <c r="C13" s="35" t="s">
        <v>73</v>
      </c>
      <c r="D13" s="36">
        <v>6</v>
      </c>
      <c r="E13" s="31" t="s">
        <v>57</v>
      </c>
      <c r="F13" s="31"/>
      <c r="G13" s="35" t="s">
        <v>315</v>
      </c>
      <c r="H13" s="85"/>
    </row>
    <row r="14" spans="2:8" x14ac:dyDescent="0.45">
      <c r="B14" s="32" t="s">
        <v>44</v>
      </c>
      <c r="C14" s="35" t="s">
        <v>72</v>
      </c>
      <c r="D14" s="36">
        <v>12</v>
      </c>
      <c r="E14" s="31" t="s">
        <v>57</v>
      </c>
      <c r="F14" s="31"/>
      <c r="G14" s="35" t="s">
        <v>315</v>
      </c>
      <c r="H14" s="85"/>
    </row>
    <row r="15" spans="2:8" ht="25.5" x14ac:dyDescent="0.45">
      <c r="B15" s="32" t="s">
        <v>56</v>
      </c>
      <c r="C15" s="35" t="s">
        <v>65</v>
      </c>
      <c r="D15" s="31">
        <f>D10</f>
        <v>35</v>
      </c>
      <c r="E15" s="31" t="s">
        <v>57</v>
      </c>
      <c r="F15" s="31"/>
      <c r="G15" s="35"/>
      <c r="H15" s="85"/>
    </row>
    <row r="16" spans="2:8" x14ac:dyDescent="0.45">
      <c r="B16" s="32" t="s">
        <v>55</v>
      </c>
      <c r="C16" s="35" t="s">
        <v>63</v>
      </c>
      <c r="D16" s="31">
        <f>D11+D14+D13</f>
        <v>55</v>
      </c>
      <c r="E16" s="31" t="s">
        <v>57</v>
      </c>
      <c r="F16" s="31"/>
      <c r="G16" s="35"/>
      <c r="H16" s="85"/>
    </row>
    <row r="17" spans="2:8" ht="25.5" x14ac:dyDescent="0.45">
      <c r="B17" s="32" t="s">
        <v>54</v>
      </c>
      <c r="C17" s="35" t="s">
        <v>142</v>
      </c>
      <c r="D17" s="31">
        <f>D16*D15</f>
        <v>1925</v>
      </c>
      <c r="E17" s="31" t="s">
        <v>58</v>
      </c>
      <c r="F17" s="31"/>
      <c r="G17" s="35"/>
      <c r="H17" s="85"/>
    </row>
    <row r="18" spans="2:8" x14ac:dyDescent="0.45">
      <c r="B18" s="43" t="s">
        <v>111</v>
      </c>
      <c r="C18" s="44" t="s">
        <v>112</v>
      </c>
      <c r="D18" s="45">
        <f>D32+D30</f>
        <v>1435</v>
      </c>
      <c r="E18" s="31" t="s">
        <v>58</v>
      </c>
      <c r="F18" s="45"/>
      <c r="G18" s="44"/>
      <c r="H18" s="86"/>
    </row>
    <row r="19" spans="2:8" x14ac:dyDescent="0.45">
      <c r="B19" s="43" t="s">
        <v>109</v>
      </c>
      <c r="C19" s="44" t="s">
        <v>143</v>
      </c>
      <c r="D19" s="45">
        <f>D32+D30+D46</f>
        <v>1495</v>
      </c>
      <c r="E19" s="31" t="s">
        <v>58</v>
      </c>
      <c r="F19" s="45"/>
      <c r="G19" s="44"/>
      <c r="H19" s="86"/>
    </row>
    <row r="20" spans="2:8" ht="38.25" x14ac:dyDescent="0.45">
      <c r="B20" s="43" t="s">
        <v>74</v>
      </c>
      <c r="C20" s="44" t="s">
        <v>144</v>
      </c>
      <c r="D20" s="45">
        <f>D18/D17</f>
        <v>0.74545454545454548</v>
      </c>
      <c r="E20" s="45" t="s">
        <v>75</v>
      </c>
      <c r="F20" s="45"/>
      <c r="G20" s="44"/>
      <c r="H20" s="86"/>
    </row>
    <row r="21" spans="2:8" ht="25.5" x14ac:dyDescent="0.45">
      <c r="B21" s="43" t="s">
        <v>110</v>
      </c>
      <c r="C21" s="44" t="s">
        <v>145</v>
      </c>
      <c r="D21" s="45">
        <f>D19/D17</f>
        <v>0.77662337662337666</v>
      </c>
      <c r="E21" s="45" t="s">
        <v>75</v>
      </c>
      <c r="F21" s="45"/>
      <c r="G21" s="44"/>
      <c r="H21" s="86"/>
    </row>
    <row r="22" spans="2:8" x14ac:dyDescent="0.45">
      <c r="B22" s="40"/>
      <c r="C22" s="41"/>
      <c r="D22" s="42"/>
      <c r="E22" s="42"/>
      <c r="F22" s="42"/>
      <c r="G22" s="41"/>
      <c r="H22" s="87"/>
    </row>
    <row r="23" spans="2:8" x14ac:dyDescent="0.45">
      <c r="B23" s="6" t="s">
        <v>218</v>
      </c>
      <c r="C23" s="33"/>
      <c r="D23" s="34"/>
      <c r="E23" s="34"/>
      <c r="F23" s="34"/>
      <c r="G23" s="99"/>
      <c r="H23" s="84"/>
    </row>
    <row r="24" spans="2:8" ht="38.25" x14ac:dyDescent="0.45">
      <c r="B24" s="32" t="s">
        <v>79</v>
      </c>
      <c r="C24" s="35" t="s">
        <v>146</v>
      </c>
      <c r="D24" s="36">
        <v>2</v>
      </c>
      <c r="E24" s="31" t="s">
        <v>57</v>
      </c>
      <c r="F24" s="31"/>
      <c r="G24" s="35"/>
      <c r="H24" s="85">
        <v>5</v>
      </c>
    </row>
    <row r="25" spans="2:8" ht="76.5" x14ac:dyDescent="0.45">
      <c r="B25" s="32" t="s">
        <v>80</v>
      </c>
      <c r="C25" s="35" t="s">
        <v>90</v>
      </c>
      <c r="D25" s="49">
        <v>5</v>
      </c>
      <c r="E25" s="31" t="s">
        <v>76</v>
      </c>
      <c r="F25" s="31"/>
      <c r="G25" s="35"/>
      <c r="H25" s="85"/>
    </row>
    <row r="26" spans="2:8" ht="51" x14ac:dyDescent="0.45">
      <c r="B26" s="32" t="s">
        <v>81</v>
      </c>
      <c r="C26" s="35" t="s">
        <v>78</v>
      </c>
      <c r="D26" s="31">
        <f>ROUND(ATAN(D25/100)*180/PI(),0)</f>
        <v>3</v>
      </c>
      <c r="E26" s="31" t="s">
        <v>77</v>
      </c>
      <c r="F26" s="31"/>
      <c r="G26" s="35"/>
      <c r="H26" s="85"/>
    </row>
    <row r="27" spans="2:8" ht="38.25" x14ac:dyDescent="0.45">
      <c r="B27" s="43" t="s">
        <v>83</v>
      </c>
      <c r="C27" s="44" t="s">
        <v>148</v>
      </c>
      <c r="D27" s="50">
        <v>0.6</v>
      </c>
      <c r="E27" s="45" t="s">
        <v>57</v>
      </c>
      <c r="F27" s="45"/>
      <c r="G27" s="44"/>
      <c r="H27" s="86"/>
    </row>
    <row r="28" spans="2:8" ht="33" x14ac:dyDescent="0.45">
      <c r="B28" s="32" t="s">
        <v>82</v>
      </c>
      <c r="C28" s="35" t="s">
        <v>147</v>
      </c>
      <c r="D28" s="36">
        <v>0.2</v>
      </c>
      <c r="E28" s="31" t="s">
        <v>57</v>
      </c>
      <c r="F28" s="31"/>
      <c r="G28" s="35"/>
      <c r="H28" s="85"/>
    </row>
    <row r="29" spans="2:8" ht="25.5" x14ac:dyDescent="0.45">
      <c r="B29" s="32" t="s">
        <v>149</v>
      </c>
      <c r="C29" s="35" t="s">
        <v>151</v>
      </c>
      <c r="D29" s="36">
        <v>2</v>
      </c>
      <c r="E29" s="31" t="s">
        <v>75</v>
      </c>
      <c r="F29" s="31"/>
      <c r="G29" s="35"/>
      <c r="H29" s="85"/>
    </row>
    <row r="30" spans="2:8" ht="33" x14ac:dyDescent="0.45">
      <c r="B30" s="43" t="s">
        <v>84</v>
      </c>
      <c r="C30" s="44" t="s">
        <v>150</v>
      </c>
      <c r="D30" s="45">
        <f>(D27-D28)*(D11+D24+D24)*D29</f>
        <v>32.799999999999997</v>
      </c>
      <c r="E30" s="31" t="s">
        <v>58</v>
      </c>
      <c r="F30" s="45"/>
      <c r="G30" s="44"/>
      <c r="H30" s="86"/>
    </row>
    <row r="31" spans="2:8" ht="38.25" x14ac:dyDescent="0.45">
      <c r="B31" s="32" t="s">
        <v>152</v>
      </c>
      <c r="C31" s="35" t="s">
        <v>154</v>
      </c>
      <c r="D31" s="31">
        <f>(D10*D11)-D30</f>
        <v>1262.2</v>
      </c>
      <c r="E31" s="31" t="s">
        <v>58</v>
      </c>
      <c r="F31" s="31"/>
      <c r="G31" s="35"/>
      <c r="H31" s="85"/>
    </row>
    <row r="32" spans="2:8" ht="51" x14ac:dyDescent="0.45">
      <c r="B32" s="32" t="s">
        <v>153</v>
      </c>
      <c r="C32" s="35" t="s">
        <v>155</v>
      </c>
      <c r="D32" s="31">
        <f>((D10*D11)+D10*(D24+D24))-D30</f>
        <v>1402.2</v>
      </c>
      <c r="E32" s="31" t="s">
        <v>58</v>
      </c>
      <c r="F32" s="31"/>
      <c r="G32" s="35"/>
      <c r="H32" s="85"/>
    </row>
    <row r="33" spans="2:8" ht="25.5" x14ac:dyDescent="0.45">
      <c r="B33" s="32" t="s">
        <v>85</v>
      </c>
      <c r="C33" s="35" t="s">
        <v>135</v>
      </c>
      <c r="D33" s="36">
        <v>10</v>
      </c>
      <c r="E33" s="31" t="s">
        <v>57</v>
      </c>
      <c r="F33" s="31"/>
      <c r="G33" s="35"/>
      <c r="H33" s="85"/>
    </row>
    <row r="34" spans="2:8" ht="51" x14ac:dyDescent="0.45">
      <c r="B34" s="32" t="s">
        <v>86</v>
      </c>
      <c r="C34" s="35" t="s">
        <v>156</v>
      </c>
      <c r="D34" s="31">
        <f>EVEN(D31/(D33*D33))</f>
        <v>14</v>
      </c>
      <c r="E34" s="31" t="s">
        <v>126</v>
      </c>
      <c r="F34" s="31"/>
      <c r="G34" s="35"/>
      <c r="H34" s="85"/>
    </row>
    <row r="35" spans="2:8" ht="25.5" x14ac:dyDescent="0.45">
      <c r="B35" s="32" t="s">
        <v>87</v>
      </c>
      <c r="C35" s="35" t="s">
        <v>67</v>
      </c>
      <c r="D35" s="36">
        <v>1200</v>
      </c>
      <c r="E35" s="31" t="s">
        <v>68</v>
      </c>
      <c r="F35" s="31"/>
      <c r="G35" s="35"/>
      <c r="H35" s="85"/>
    </row>
    <row r="36" spans="2:8" ht="38.25" x14ac:dyDescent="0.45">
      <c r="B36" s="32" t="s">
        <v>88</v>
      </c>
      <c r="C36" s="35" t="s">
        <v>66</v>
      </c>
      <c r="D36" s="31">
        <f>D35*D35/(1000*1000)</f>
        <v>1.44</v>
      </c>
      <c r="E36" s="31" t="s">
        <v>58</v>
      </c>
      <c r="F36" s="31"/>
      <c r="G36" s="35"/>
      <c r="H36" s="85"/>
    </row>
    <row r="37" spans="2:8" ht="33" x14ac:dyDescent="0.45">
      <c r="B37" s="32" t="s">
        <v>89</v>
      </c>
      <c r="C37" s="35" t="s">
        <v>157</v>
      </c>
      <c r="D37" s="31">
        <f>D34*D36</f>
        <v>20.16</v>
      </c>
      <c r="E37" s="31" t="s">
        <v>58</v>
      </c>
      <c r="F37" s="31"/>
      <c r="G37" s="35"/>
      <c r="H37" s="85"/>
    </row>
    <row r="38" spans="2:8" x14ac:dyDescent="0.45">
      <c r="B38" s="40"/>
      <c r="C38" s="41"/>
      <c r="D38" s="42"/>
      <c r="E38" s="42"/>
      <c r="F38" s="42"/>
      <c r="G38" s="41"/>
      <c r="H38" s="87"/>
    </row>
    <row r="39" spans="2:8" x14ac:dyDescent="0.45">
      <c r="B39" s="48" t="s">
        <v>69</v>
      </c>
      <c r="C39" s="33"/>
      <c r="D39" s="34"/>
      <c r="E39" s="34"/>
      <c r="F39" s="34"/>
      <c r="G39" s="99"/>
      <c r="H39" s="84"/>
    </row>
    <row r="40" spans="2:8" x14ac:dyDescent="0.45">
      <c r="B40" s="32" t="s">
        <v>91</v>
      </c>
      <c r="C40" s="35" t="s">
        <v>95</v>
      </c>
      <c r="D40" s="36">
        <v>1</v>
      </c>
      <c r="E40" s="31" t="s">
        <v>57</v>
      </c>
      <c r="F40" s="31"/>
      <c r="G40" s="35"/>
      <c r="H40" s="85">
        <v>5</v>
      </c>
    </row>
    <row r="41" spans="2:8" ht="25.5" x14ac:dyDescent="0.45">
      <c r="B41" s="32" t="s">
        <v>92</v>
      </c>
      <c r="C41" s="35" t="s">
        <v>96</v>
      </c>
      <c r="D41" s="36">
        <v>15</v>
      </c>
      <c r="E41" s="31" t="s">
        <v>57</v>
      </c>
      <c r="F41" s="31"/>
      <c r="G41" s="35"/>
      <c r="H41" s="85"/>
    </row>
    <row r="42" spans="2:8" ht="25.5" x14ac:dyDescent="0.45">
      <c r="B42" s="32" t="s">
        <v>93</v>
      </c>
      <c r="C42" s="35" t="s">
        <v>97</v>
      </c>
      <c r="D42" s="31">
        <f>D11+(INT(D11/D41)*D10)</f>
        <v>107</v>
      </c>
      <c r="E42" s="31" t="s">
        <v>57</v>
      </c>
      <c r="F42" s="31"/>
      <c r="G42" s="35"/>
      <c r="H42" s="85"/>
    </row>
    <row r="43" spans="2:8" ht="25.5" x14ac:dyDescent="0.45">
      <c r="B43" s="32" t="s">
        <v>94</v>
      </c>
      <c r="C43" s="35" t="s">
        <v>98</v>
      </c>
      <c r="D43" s="31">
        <f>D42*D40</f>
        <v>107</v>
      </c>
      <c r="E43" s="31" t="s">
        <v>58</v>
      </c>
      <c r="F43" s="31"/>
      <c r="G43" s="35"/>
      <c r="H43" s="85"/>
    </row>
    <row r="44" spans="2:8" x14ac:dyDescent="0.45">
      <c r="B44" s="40"/>
      <c r="C44" s="41"/>
      <c r="D44" s="42"/>
      <c r="E44" s="42"/>
      <c r="F44" s="42"/>
      <c r="G44" s="41"/>
      <c r="H44" s="87"/>
    </row>
    <row r="45" spans="2:8" x14ac:dyDescent="0.45">
      <c r="B45" s="48" t="s">
        <v>70</v>
      </c>
      <c r="C45" s="33"/>
      <c r="D45" s="34"/>
      <c r="E45" s="34"/>
      <c r="F45" s="34"/>
      <c r="G45" s="99"/>
      <c r="H45" s="84"/>
    </row>
    <row r="46" spans="2:8" ht="25.5" x14ac:dyDescent="0.45">
      <c r="B46" s="32" t="s">
        <v>45</v>
      </c>
      <c r="C46" s="35" t="s">
        <v>158</v>
      </c>
      <c r="D46" s="36">
        <v>60</v>
      </c>
      <c r="E46" s="31" t="s">
        <v>58</v>
      </c>
      <c r="F46" s="31"/>
      <c r="G46" s="35"/>
      <c r="H46" s="85">
        <v>5</v>
      </c>
    </row>
    <row r="47" spans="2:8" ht="38.25" x14ac:dyDescent="0.45">
      <c r="B47" s="32" t="s">
        <v>46</v>
      </c>
      <c r="C47" s="35" t="s">
        <v>47</v>
      </c>
      <c r="D47" s="36">
        <v>24</v>
      </c>
      <c r="E47" s="31" t="s">
        <v>58</v>
      </c>
      <c r="F47" s="31"/>
      <c r="G47" s="35"/>
      <c r="H47" s="85"/>
    </row>
    <row r="48" spans="2:8" ht="38.25" x14ac:dyDescent="0.45">
      <c r="B48" s="32" t="s">
        <v>99</v>
      </c>
      <c r="C48" s="35" t="s">
        <v>136</v>
      </c>
      <c r="D48" s="36">
        <v>3.9900000000000007</v>
      </c>
      <c r="E48" s="31" t="s">
        <v>57</v>
      </c>
      <c r="F48" s="31"/>
      <c r="G48" s="35"/>
      <c r="H48" s="85"/>
    </row>
    <row r="49" spans="2:8" ht="25.5" x14ac:dyDescent="0.45">
      <c r="B49" s="32" t="s">
        <v>100</v>
      </c>
      <c r="C49" s="35" t="s">
        <v>159</v>
      </c>
      <c r="D49" s="31">
        <f>D46-D54</f>
        <v>52.943999999999996</v>
      </c>
      <c r="E49" s="31" t="s">
        <v>58</v>
      </c>
      <c r="F49" s="31"/>
      <c r="G49" s="35"/>
      <c r="H49" s="85"/>
    </row>
    <row r="50" spans="2:8" ht="25.5" x14ac:dyDescent="0.45">
      <c r="B50" s="32" t="s">
        <v>61</v>
      </c>
      <c r="C50" s="35" t="s">
        <v>60</v>
      </c>
      <c r="D50" s="36">
        <v>28</v>
      </c>
      <c r="E50" s="31" t="s">
        <v>59</v>
      </c>
      <c r="F50" s="31"/>
      <c r="G50" s="35"/>
      <c r="H50" s="85"/>
    </row>
    <row r="51" spans="2:8" ht="25.5" x14ac:dyDescent="0.45">
      <c r="B51" s="32" t="s">
        <v>103</v>
      </c>
      <c r="C51" s="35" t="s">
        <v>62</v>
      </c>
      <c r="D51" s="36">
        <v>19</v>
      </c>
      <c r="E51" s="31" t="s">
        <v>59</v>
      </c>
      <c r="F51" s="31"/>
      <c r="G51" s="35"/>
      <c r="H51" s="85"/>
    </row>
    <row r="52" spans="2:8" ht="25.5" x14ac:dyDescent="0.45">
      <c r="B52" s="32" t="s">
        <v>101</v>
      </c>
      <c r="C52" s="35" t="s">
        <v>102</v>
      </c>
      <c r="D52" s="31">
        <f>D48/(D51/100)</f>
        <v>21.000000000000004</v>
      </c>
      <c r="E52" s="31" t="s">
        <v>53</v>
      </c>
      <c r="F52" s="31"/>
      <c r="G52" s="35"/>
      <c r="H52" s="85"/>
    </row>
    <row r="53" spans="2:8" x14ac:dyDescent="0.45">
      <c r="B53" s="32" t="s">
        <v>104</v>
      </c>
      <c r="C53" s="35" t="s">
        <v>105</v>
      </c>
      <c r="D53" s="36">
        <v>1.2</v>
      </c>
      <c r="E53" s="31" t="s">
        <v>57</v>
      </c>
      <c r="F53" s="31"/>
      <c r="G53" s="35"/>
      <c r="H53" s="85"/>
    </row>
    <row r="54" spans="2:8" ht="25.5" x14ac:dyDescent="0.45">
      <c r="B54" s="32" t="s">
        <v>106</v>
      </c>
      <c r="C54" s="35" t="s">
        <v>107</v>
      </c>
      <c r="D54" s="46">
        <f>D53*D52*(D50/100)</f>
        <v>7.0560000000000018</v>
      </c>
      <c r="E54" s="31" t="s">
        <v>58</v>
      </c>
      <c r="F54" s="31"/>
      <c r="G54" s="35"/>
      <c r="H54" s="85"/>
    </row>
    <row r="55" spans="2:8" ht="89.25" x14ac:dyDescent="0.45">
      <c r="B55" s="32" t="s">
        <v>137</v>
      </c>
      <c r="C55" s="35" t="s">
        <v>200</v>
      </c>
      <c r="D55" s="36">
        <v>6</v>
      </c>
      <c r="E55" s="31" t="s">
        <v>57</v>
      </c>
      <c r="F55" s="31"/>
      <c r="G55" s="35"/>
      <c r="H55" s="85"/>
    </row>
    <row r="56" spans="2:8" ht="102" x14ac:dyDescent="0.45">
      <c r="B56" s="32" t="s">
        <v>138</v>
      </c>
      <c r="C56" s="35" t="s">
        <v>201</v>
      </c>
      <c r="D56" s="36">
        <v>4.5</v>
      </c>
      <c r="E56" s="31" t="s">
        <v>57</v>
      </c>
      <c r="F56" s="31"/>
      <c r="G56" s="35"/>
      <c r="H56" s="85"/>
    </row>
    <row r="57" spans="2:8" x14ac:dyDescent="0.45">
      <c r="B57" s="32" t="s">
        <v>140</v>
      </c>
      <c r="C57" s="35" t="s">
        <v>139</v>
      </c>
      <c r="D57" s="36">
        <v>1.2</v>
      </c>
      <c r="E57" s="31" t="s">
        <v>57</v>
      </c>
      <c r="F57" s="31"/>
      <c r="G57" s="35"/>
      <c r="H57" s="85"/>
    </row>
    <row r="58" spans="2:8" x14ac:dyDescent="0.45">
      <c r="B58" s="32" t="s">
        <v>198</v>
      </c>
      <c r="C58" s="35" t="s">
        <v>199</v>
      </c>
      <c r="D58" s="36">
        <v>2.2999999999999998</v>
      </c>
      <c r="E58" s="31" t="s">
        <v>57</v>
      </c>
      <c r="F58" s="31"/>
      <c r="G58" s="35"/>
      <c r="H58" s="85"/>
    </row>
    <row r="59" spans="2:8" ht="38.25" x14ac:dyDescent="0.45">
      <c r="B59" s="32" t="s">
        <v>141</v>
      </c>
      <c r="C59" s="35" t="s">
        <v>202</v>
      </c>
      <c r="D59" s="36">
        <v>3</v>
      </c>
      <c r="E59" s="31" t="s">
        <v>57</v>
      </c>
      <c r="F59" s="31"/>
      <c r="G59" s="35"/>
      <c r="H59" s="85"/>
    </row>
    <row r="60" spans="2:8" ht="38.25" x14ac:dyDescent="0.45">
      <c r="B60" s="32" t="s">
        <v>197</v>
      </c>
      <c r="C60" s="35" t="s">
        <v>203</v>
      </c>
      <c r="D60" s="36">
        <v>2</v>
      </c>
      <c r="E60" s="31" t="s">
        <v>57</v>
      </c>
      <c r="F60" s="31"/>
      <c r="G60" s="35"/>
      <c r="H60" s="85"/>
    </row>
    <row r="61" spans="2:8" x14ac:dyDescent="0.45">
      <c r="B61" s="40"/>
      <c r="C61" s="41"/>
      <c r="D61" s="42"/>
      <c r="E61" s="42"/>
      <c r="F61" s="42"/>
      <c r="G61" s="41"/>
      <c r="H61" s="87"/>
    </row>
    <row r="62" spans="2:8" x14ac:dyDescent="0.45">
      <c r="B62" s="51" t="s">
        <v>71</v>
      </c>
      <c r="C62" s="52"/>
      <c r="D62" s="53"/>
      <c r="E62" s="53"/>
      <c r="F62" s="53"/>
      <c r="G62" s="100"/>
      <c r="H62" s="88"/>
    </row>
    <row r="63" spans="2:8" ht="38.25" x14ac:dyDescent="0.45">
      <c r="B63" s="32" t="s">
        <v>181</v>
      </c>
      <c r="C63" s="35" t="s">
        <v>114</v>
      </c>
      <c r="D63" s="36">
        <v>40</v>
      </c>
      <c r="E63" s="31" t="s">
        <v>59</v>
      </c>
      <c r="F63" s="31"/>
      <c r="G63" s="35"/>
      <c r="H63" s="85">
        <v>5</v>
      </c>
    </row>
    <row r="64" spans="2:8" ht="25.5" x14ac:dyDescent="0.45">
      <c r="B64" s="32" t="s">
        <v>180</v>
      </c>
      <c r="C64" s="35" t="s">
        <v>182</v>
      </c>
      <c r="D64" s="46">
        <f>D18</f>
        <v>1435</v>
      </c>
      <c r="E64" s="31" t="s">
        <v>58</v>
      </c>
      <c r="F64" s="31"/>
      <c r="G64" s="35"/>
      <c r="H64" s="85"/>
    </row>
    <row r="65" spans="2:8" ht="25.5" x14ac:dyDescent="0.45">
      <c r="B65" s="32" t="s">
        <v>113</v>
      </c>
      <c r="C65" s="35" t="s">
        <v>115</v>
      </c>
      <c r="D65" s="36">
        <v>20</v>
      </c>
      <c r="E65" s="31" t="s">
        <v>59</v>
      </c>
      <c r="F65" s="31"/>
      <c r="G65" s="35"/>
      <c r="H65" s="85"/>
    </row>
    <row r="66" spans="2:8" ht="33" x14ac:dyDescent="0.45">
      <c r="B66" s="32" t="s">
        <v>124</v>
      </c>
      <c r="C66" s="35" t="s">
        <v>117</v>
      </c>
      <c r="D66" s="36">
        <v>6</v>
      </c>
      <c r="E66" s="31" t="s">
        <v>57</v>
      </c>
      <c r="F66" s="31"/>
      <c r="G66" s="35"/>
      <c r="H66" s="85"/>
    </row>
    <row r="67" spans="2:8" ht="38.25" x14ac:dyDescent="0.45">
      <c r="B67" s="32" t="s">
        <v>125</v>
      </c>
      <c r="C67" s="35" t="s">
        <v>160</v>
      </c>
      <c r="D67" s="46">
        <f>ROUND(D10/D66,0)</f>
        <v>6</v>
      </c>
      <c r="E67" s="31" t="s">
        <v>126</v>
      </c>
      <c r="F67" s="31"/>
      <c r="G67" s="35"/>
      <c r="H67" s="85"/>
    </row>
    <row r="68" spans="2:8" ht="38.25" x14ac:dyDescent="0.45">
      <c r="B68" s="32" t="s">
        <v>128</v>
      </c>
      <c r="C68" s="35" t="s">
        <v>161</v>
      </c>
      <c r="D68" s="46">
        <f>ROUND(D11/D66,0)</f>
        <v>6</v>
      </c>
      <c r="E68" s="31" t="s">
        <v>126</v>
      </c>
      <c r="F68" s="31"/>
      <c r="G68" s="35"/>
      <c r="H68" s="85"/>
    </row>
    <row r="69" spans="2:8" x14ac:dyDescent="0.45">
      <c r="B69" s="32" t="s">
        <v>129</v>
      </c>
      <c r="C69" s="35" t="s">
        <v>130</v>
      </c>
      <c r="D69" s="46">
        <f>D68*D67</f>
        <v>36</v>
      </c>
      <c r="E69" s="31" t="s">
        <v>126</v>
      </c>
      <c r="F69" s="31"/>
      <c r="G69" s="35"/>
      <c r="H69" s="85"/>
    </row>
    <row r="70" spans="2:8" ht="51" x14ac:dyDescent="0.45">
      <c r="B70" s="32" t="s">
        <v>116</v>
      </c>
      <c r="C70" s="35" t="s">
        <v>162</v>
      </c>
      <c r="D70" s="36">
        <v>0.3</v>
      </c>
      <c r="E70" s="31" t="s">
        <v>57</v>
      </c>
      <c r="F70" s="31"/>
      <c r="G70" s="35"/>
      <c r="H70" s="85"/>
    </row>
    <row r="71" spans="2:8" ht="51" x14ac:dyDescent="0.45">
      <c r="B71" s="32" t="s">
        <v>118</v>
      </c>
      <c r="C71" s="35" t="s">
        <v>163</v>
      </c>
      <c r="D71" s="36">
        <v>0.4</v>
      </c>
      <c r="E71" s="31" t="s">
        <v>57</v>
      </c>
      <c r="F71" s="31"/>
      <c r="G71" s="35"/>
      <c r="H71" s="85"/>
    </row>
    <row r="72" spans="2:8" ht="38.25" x14ac:dyDescent="0.45">
      <c r="B72" s="32" t="s">
        <v>120</v>
      </c>
      <c r="C72" s="35" t="s">
        <v>122</v>
      </c>
      <c r="D72" s="36">
        <v>0.3</v>
      </c>
      <c r="E72" s="31" t="s">
        <v>57</v>
      </c>
      <c r="F72" s="31"/>
      <c r="G72" s="35"/>
      <c r="H72" s="85"/>
    </row>
    <row r="73" spans="2:8" ht="38.25" x14ac:dyDescent="0.45">
      <c r="B73" s="32" t="s">
        <v>121</v>
      </c>
      <c r="C73" s="35" t="s">
        <v>123</v>
      </c>
      <c r="D73" s="36">
        <v>0.4</v>
      </c>
      <c r="E73" s="31" t="s">
        <v>57</v>
      </c>
      <c r="F73" s="31"/>
      <c r="G73" s="35"/>
      <c r="H73" s="85"/>
    </row>
    <row r="74" spans="2:8" ht="38.25" x14ac:dyDescent="0.45">
      <c r="B74" s="32" t="s">
        <v>131</v>
      </c>
      <c r="C74" s="35" t="s">
        <v>133</v>
      </c>
      <c r="D74" s="46">
        <f>(D10-D70)/D67</f>
        <v>5.7833333333333341</v>
      </c>
      <c r="E74" s="31" t="s">
        <v>57</v>
      </c>
      <c r="F74" s="31"/>
      <c r="G74" s="35"/>
      <c r="H74" s="85"/>
    </row>
    <row r="75" spans="2:8" ht="38.25" x14ac:dyDescent="0.45">
      <c r="B75" s="32" t="s">
        <v>132</v>
      </c>
      <c r="C75" s="35" t="s">
        <v>134</v>
      </c>
      <c r="D75" s="46">
        <f>(D11-D71)/D68</f>
        <v>6.1000000000000005</v>
      </c>
      <c r="E75" s="31" t="s">
        <v>57</v>
      </c>
      <c r="F75" s="31"/>
      <c r="G75" s="35"/>
      <c r="H75" s="85"/>
    </row>
    <row r="76" spans="2:8" x14ac:dyDescent="0.45">
      <c r="B76" s="54"/>
      <c r="C76" s="55"/>
      <c r="D76" s="56"/>
      <c r="E76" s="56"/>
      <c r="F76" s="56"/>
      <c r="G76" s="55"/>
      <c r="H76" s="9"/>
    </row>
    <row r="77" spans="2:8" x14ac:dyDescent="0.45">
      <c r="B77" s="57" t="s">
        <v>119</v>
      </c>
    </row>
    <row r="79" spans="2:8" x14ac:dyDescent="0.45">
      <c r="B79" s="2" t="s">
        <v>127</v>
      </c>
    </row>
    <row r="80" spans="2:8" x14ac:dyDescent="0.45">
      <c r="B80" s="6" t="s">
        <v>164</v>
      </c>
      <c r="C80" s="14" t="s">
        <v>165</v>
      </c>
    </row>
    <row r="81" spans="2:8" x14ac:dyDescent="0.45">
      <c r="B81" s="58" t="s">
        <v>166</v>
      </c>
      <c r="C81" s="13">
        <f>D17</f>
        <v>1925</v>
      </c>
    </row>
    <row r="82" spans="2:8" x14ac:dyDescent="0.45">
      <c r="B82" s="58" t="s">
        <v>169</v>
      </c>
      <c r="C82" s="13">
        <f>D18</f>
        <v>1435</v>
      </c>
    </row>
    <row r="83" spans="2:8" x14ac:dyDescent="0.45">
      <c r="B83" s="58" t="s">
        <v>168</v>
      </c>
      <c r="C83" s="13">
        <f>D46</f>
        <v>60</v>
      </c>
    </row>
    <row r="84" spans="2:8" x14ac:dyDescent="0.45">
      <c r="B84" s="58" t="s">
        <v>49</v>
      </c>
      <c r="C84" s="13">
        <f>D54</f>
        <v>7.0560000000000018</v>
      </c>
    </row>
    <row r="85" spans="2:8" x14ac:dyDescent="0.45">
      <c r="B85" s="58" t="s">
        <v>48</v>
      </c>
      <c r="C85" s="13">
        <f>D49</f>
        <v>52.943999999999996</v>
      </c>
    </row>
    <row r="86" spans="2:8" x14ac:dyDescent="0.45">
      <c r="B86" s="59" t="s">
        <v>167</v>
      </c>
      <c r="C86" s="60">
        <f>D19</f>
        <v>1495</v>
      </c>
    </row>
    <row r="87" spans="2:8" x14ac:dyDescent="0.45">
      <c r="B87" s="61" t="s">
        <v>74</v>
      </c>
      <c r="C87" s="62">
        <f>D20</f>
        <v>0.74545454545454548</v>
      </c>
    </row>
    <row r="88" spans="2:8" x14ac:dyDescent="0.45">
      <c r="B88" s="54" t="s">
        <v>110</v>
      </c>
      <c r="C88" s="5">
        <f>D21</f>
        <v>0.77662337662337666</v>
      </c>
    </row>
    <row r="90" spans="2:8" x14ac:dyDescent="0.45">
      <c r="B90" s="2" t="s">
        <v>269</v>
      </c>
    </row>
    <row r="91" spans="2:8" x14ac:dyDescent="0.45">
      <c r="B91" s="6" t="s">
        <v>164</v>
      </c>
      <c r="C91" s="33" t="s">
        <v>41</v>
      </c>
      <c r="D91" s="8" t="s">
        <v>52</v>
      </c>
      <c r="E91" s="8" t="s">
        <v>53</v>
      </c>
      <c r="F91" s="34" t="s">
        <v>42</v>
      </c>
      <c r="G91" s="33" t="s">
        <v>26</v>
      </c>
      <c r="H91" s="84" t="s">
        <v>27</v>
      </c>
    </row>
    <row r="92" spans="2:8" x14ac:dyDescent="0.45">
      <c r="B92" s="32" t="s">
        <v>184</v>
      </c>
      <c r="C92" s="29" t="s">
        <v>183</v>
      </c>
      <c r="D92" s="64">
        <f>D64</f>
        <v>1435</v>
      </c>
      <c r="E92" s="64" t="s">
        <v>58</v>
      </c>
      <c r="F92" s="31"/>
      <c r="G92" s="35"/>
      <c r="H92" s="85"/>
    </row>
    <row r="93" spans="2:8" ht="33" x14ac:dyDescent="0.45">
      <c r="B93" s="32" t="s">
        <v>185</v>
      </c>
      <c r="C93" s="29" t="s">
        <v>186</v>
      </c>
      <c r="D93" s="64">
        <f>D92*D63</f>
        <v>57400</v>
      </c>
      <c r="E93" s="64" t="s">
        <v>187</v>
      </c>
      <c r="F93" s="31"/>
      <c r="G93" s="35"/>
      <c r="H93" s="85"/>
    </row>
    <row r="94" spans="2:8" x14ac:dyDescent="0.45">
      <c r="B94" s="32" t="s">
        <v>196</v>
      </c>
      <c r="C94" s="29" t="s">
        <v>195</v>
      </c>
      <c r="D94" s="64">
        <f>D49</f>
        <v>52.943999999999996</v>
      </c>
      <c r="E94" s="64" t="s">
        <v>58</v>
      </c>
      <c r="F94" s="64"/>
      <c r="G94" s="101"/>
      <c r="H94" s="11"/>
    </row>
    <row r="95" spans="2:8" x14ac:dyDescent="0.45">
      <c r="B95" s="32" t="s">
        <v>189</v>
      </c>
      <c r="C95" s="29" t="s">
        <v>190</v>
      </c>
      <c r="D95" s="64">
        <f>D69</f>
        <v>36</v>
      </c>
      <c r="E95" s="64" t="s">
        <v>126</v>
      </c>
      <c r="F95" s="64"/>
      <c r="G95" s="101"/>
      <c r="H95" s="11"/>
    </row>
    <row r="96" spans="2:8" ht="33" x14ac:dyDescent="0.45">
      <c r="B96" s="32" t="s">
        <v>191</v>
      </c>
      <c r="C96" s="29" t="s">
        <v>192</v>
      </c>
      <c r="D96" s="64">
        <f>D95*D12</f>
        <v>432</v>
      </c>
      <c r="E96" s="64" t="s">
        <v>57</v>
      </c>
      <c r="F96" s="64"/>
      <c r="G96" s="101"/>
      <c r="H96" s="11"/>
    </row>
    <row r="97" spans="2:8" ht="49.5" x14ac:dyDescent="0.45">
      <c r="B97" s="32" t="s">
        <v>193</v>
      </c>
      <c r="C97" s="29" t="s">
        <v>194</v>
      </c>
      <c r="D97" s="64">
        <f>((D67*D9)+(D68*D8))*INT(D12/D48)</f>
        <v>324</v>
      </c>
      <c r="E97" s="64" t="s">
        <v>57</v>
      </c>
      <c r="F97" s="64"/>
      <c r="G97" s="101"/>
      <c r="H97" s="11"/>
    </row>
    <row r="98" spans="2:8" ht="33" x14ac:dyDescent="0.45">
      <c r="B98" s="32" t="s">
        <v>204</v>
      </c>
      <c r="C98" s="29" t="s">
        <v>207</v>
      </c>
      <c r="D98" s="82" t="s">
        <v>206</v>
      </c>
      <c r="E98" s="64" t="s">
        <v>58</v>
      </c>
      <c r="F98" s="64"/>
      <c r="G98" s="101"/>
      <c r="H98" s="11">
        <v>5</v>
      </c>
    </row>
    <row r="99" spans="2:8" x14ac:dyDescent="0.45">
      <c r="B99" s="32" t="s">
        <v>205</v>
      </c>
      <c r="C99" s="29" t="s">
        <v>208</v>
      </c>
      <c r="D99" s="82">
        <v>2</v>
      </c>
      <c r="E99" s="64" t="s">
        <v>126</v>
      </c>
      <c r="F99" s="64"/>
      <c r="G99" s="101"/>
      <c r="H99" s="11"/>
    </row>
    <row r="100" spans="2:8" ht="49.5" x14ac:dyDescent="0.45">
      <c r="B100" s="32" t="s">
        <v>50</v>
      </c>
      <c r="C100" s="29" t="s">
        <v>209</v>
      </c>
      <c r="D100" s="82" t="s">
        <v>206</v>
      </c>
      <c r="E100" s="64" t="s">
        <v>126</v>
      </c>
      <c r="F100" s="64"/>
      <c r="G100" s="101"/>
      <c r="H100" s="11"/>
    </row>
    <row r="101" spans="2:8" ht="33" x14ac:dyDescent="0.45">
      <c r="B101" s="32" t="s">
        <v>51</v>
      </c>
      <c r="C101" s="29" t="s">
        <v>210</v>
      </c>
      <c r="D101" s="82" t="s">
        <v>206</v>
      </c>
      <c r="E101" s="64" t="s">
        <v>126</v>
      </c>
      <c r="F101" s="64"/>
      <c r="G101" s="101"/>
      <c r="H101" s="11"/>
    </row>
    <row r="102" spans="2:8" x14ac:dyDescent="0.45">
      <c r="B102" s="32"/>
      <c r="C102" s="29"/>
      <c r="D102" s="64"/>
      <c r="E102" s="64"/>
      <c r="F102" s="64"/>
      <c r="G102" s="101"/>
      <c r="H102" s="11"/>
    </row>
    <row r="103" spans="2:8" x14ac:dyDescent="0.45">
      <c r="B103" s="40"/>
      <c r="C103" s="30"/>
      <c r="D103" s="56"/>
      <c r="E103" s="56"/>
      <c r="F103" s="56"/>
      <c r="G103" s="55"/>
      <c r="H103" s="9"/>
    </row>
    <row r="104" spans="2:8" x14ac:dyDescent="0.45">
      <c r="B104" s="63"/>
      <c r="C104" s="63"/>
      <c r="G104" s="90" t="s">
        <v>293</v>
      </c>
      <c r="H104" s="47">
        <f>AVERAGE(H7:H103)</f>
        <v>5</v>
      </c>
    </row>
    <row r="105" spans="2:8" x14ac:dyDescent="0.45">
      <c r="B105" s="63"/>
      <c r="C105" s="63"/>
    </row>
    <row r="106" spans="2:8" x14ac:dyDescent="0.45">
      <c r="B106" s="63"/>
      <c r="C106" s="63"/>
    </row>
    <row r="107" spans="2:8" x14ac:dyDescent="0.45">
      <c r="B107" s="63"/>
      <c r="C107" s="63"/>
    </row>
    <row r="108" spans="2:8" x14ac:dyDescent="0.45">
      <c r="B108" s="63"/>
      <c r="C108" s="63"/>
    </row>
    <row r="109" spans="2:8" x14ac:dyDescent="0.45">
      <c r="B109" s="63"/>
      <c r="C109" s="63"/>
    </row>
    <row r="110" spans="2:8" x14ac:dyDescent="0.45">
      <c r="B110" s="63"/>
      <c r="C110" s="63"/>
    </row>
    <row r="111" spans="2:8" x14ac:dyDescent="0.45">
      <c r="B111" s="63"/>
      <c r="C111" s="63"/>
    </row>
    <row r="112" spans="2:8" x14ac:dyDescent="0.45">
      <c r="B112" s="63"/>
      <c r="C112" s="63"/>
    </row>
    <row r="113" spans="2:3" x14ac:dyDescent="0.45">
      <c r="B113" s="63"/>
      <c r="C113" s="63"/>
    </row>
    <row r="114" spans="2:3" x14ac:dyDescent="0.45">
      <c r="B114" s="63"/>
      <c r="C114" s="63"/>
    </row>
  </sheetData>
  <mergeCells count="1">
    <mergeCell ref="B4:H5"/>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H28"/>
  <sheetViews>
    <sheetView showGridLines="0" zoomScale="130" zoomScaleNormal="130" workbookViewId="0">
      <pane ySplit="6" topLeftCell="A23" activePane="bottomLeft" state="frozen"/>
      <selection pane="bottomLeft" activeCell="H28" sqref="H28"/>
    </sheetView>
  </sheetViews>
  <sheetFormatPr defaultRowHeight="14.25" x14ac:dyDescent="0.45"/>
  <cols>
    <col min="1" max="1" width="2.59765625" customWidth="1"/>
    <col min="2" max="2" width="29.1328125" customWidth="1"/>
    <col min="3" max="3" width="51.73046875" customWidth="1"/>
    <col min="4" max="4" width="11.265625" bestFit="1" customWidth="1"/>
    <col min="6" max="6" width="11.59765625" customWidth="1"/>
    <col min="7" max="7" width="35.1328125" style="102" customWidth="1"/>
    <col min="8" max="8" width="13.46484375" style="80" customWidth="1"/>
  </cols>
  <sheetData>
    <row r="2" spans="2:8" ht="16.5" x14ac:dyDescent="0.45">
      <c r="B2" s="2" t="s">
        <v>22</v>
      </c>
    </row>
    <row r="3" spans="2:8" ht="16.5" x14ac:dyDescent="0.45">
      <c r="B3" s="20" t="s">
        <v>170</v>
      </c>
    </row>
    <row r="4" spans="2:8" ht="16.5" customHeight="1" x14ac:dyDescent="0.45">
      <c r="B4" s="74" t="s">
        <v>242</v>
      </c>
      <c r="C4" s="74"/>
      <c r="D4" s="74"/>
      <c r="E4" s="74"/>
      <c r="F4" s="74"/>
      <c r="G4" s="74"/>
      <c r="H4" s="74"/>
    </row>
    <row r="5" spans="2:8" ht="16.5" customHeight="1" x14ac:dyDescent="0.45">
      <c r="B5" s="79"/>
      <c r="C5" s="79"/>
      <c r="D5" s="79"/>
      <c r="E5" s="79"/>
      <c r="F5" s="79"/>
      <c r="G5" s="79"/>
      <c r="H5" s="79"/>
    </row>
    <row r="6" spans="2:8" ht="16.5" x14ac:dyDescent="0.45">
      <c r="B6" s="37" t="s">
        <v>40</v>
      </c>
      <c r="C6" s="38" t="s">
        <v>41</v>
      </c>
      <c r="D6" s="39" t="s">
        <v>52</v>
      </c>
      <c r="E6" s="39" t="s">
        <v>53</v>
      </c>
      <c r="F6" s="39" t="s">
        <v>42</v>
      </c>
      <c r="G6" s="38" t="s">
        <v>26</v>
      </c>
      <c r="H6" s="83" t="s">
        <v>27</v>
      </c>
    </row>
    <row r="7" spans="2:8" ht="16.5" x14ac:dyDescent="0.45">
      <c r="B7" s="6" t="s">
        <v>320</v>
      </c>
      <c r="C7" s="33"/>
      <c r="D7" s="34"/>
      <c r="E7" s="34"/>
      <c r="F7" s="34"/>
      <c r="G7" s="99"/>
      <c r="H7" s="84"/>
    </row>
    <row r="8" spans="2:8" ht="51" x14ac:dyDescent="0.45">
      <c r="B8" s="32" t="s">
        <v>228</v>
      </c>
      <c r="C8" s="35" t="s">
        <v>319</v>
      </c>
      <c r="D8" s="31">
        <v>1</v>
      </c>
      <c r="E8" s="31" t="s">
        <v>126</v>
      </c>
      <c r="F8" s="31"/>
      <c r="G8" s="35"/>
      <c r="H8" s="85">
        <v>5</v>
      </c>
    </row>
    <row r="9" spans="2:8" ht="16.5" x14ac:dyDescent="0.45">
      <c r="B9" s="32" t="s">
        <v>230</v>
      </c>
      <c r="C9" s="35" t="s">
        <v>233</v>
      </c>
      <c r="D9" s="31">
        <v>1</v>
      </c>
      <c r="E9" s="31" t="s">
        <v>126</v>
      </c>
      <c r="F9" s="31"/>
      <c r="G9" s="35"/>
      <c r="H9" s="85"/>
    </row>
    <row r="10" spans="2:8" ht="16.5" x14ac:dyDescent="0.45">
      <c r="B10" s="32" t="s">
        <v>229</v>
      </c>
      <c r="C10" s="35" t="s">
        <v>233</v>
      </c>
      <c r="D10" s="31">
        <v>1</v>
      </c>
      <c r="E10" s="31" t="s">
        <v>126</v>
      </c>
      <c r="F10" s="31"/>
      <c r="G10" s="35"/>
      <c r="H10" s="85"/>
    </row>
    <row r="11" spans="2:8" ht="25.5" x14ac:dyDescent="0.45">
      <c r="B11" s="32" t="s">
        <v>231</v>
      </c>
      <c r="C11" s="35" t="s">
        <v>236</v>
      </c>
      <c r="D11" s="31">
        <v>1</v>
      </c>
      <c r="E11" s="31" t="s">
        <v>126</v>
      </c>
      <c r="F11" s="31"/>
      <c r="G11" s="35"/>
      <c r="H11" s="85"/>
    </row>
    <row r="12" spans="2:8" ht="25.5" x14ac:dyDescent="0.45">
      <c r="B12" s="43" t="s">
        <v>216</v>
      </c>
      <c r="C12" s="35" t="s">
        <v>234</v>
      </c>
      <c r="D12" s="31">
        <v>1</v>
      </c>
      <c r="E12" s="31" t="s">
        <v>126</v>
      </c>
      <c r="F12" s="45"/>
      <c r="G12" s="44"/>
      <c r="H12" s="86"/>
    </row>
    <row r="13" spans="2:8" ht="16.5" x14ac:dyDescent="0.45">
      <c r="B13" s="43" t="s">
        <v>232</v>
      </c>
      <c r="C13" s="35" t="s">
        <v>235</v>
      </c>
      <c r="D13" s="31">
        <v>1</v>
      </c>
      <c r="E13" s="31" t="s">
        <v>126</v>
      </c>
      <c r="F13" s="45"/>
      <c r="G13" s="44"/>
      <c r="H13" s="86"/>
    </row>
    <row r="14" spans="2:8" ht="16.5" x14ac:dyDescent="0.45">
      <c r="B14" s="32" t="s">
        <v>211</v>
      </c>
      <c r="C14" s="35" t="s">
        <v>215</v>
      </c>
      <c r="D14" s="31">
        <v>1</v>
      </c>
      <c r="E14" s="31" t="s">
        <v>126</v>
      </c>
      <c r="F14" s="31"/>
      <c r="G14" s="35"/>
      <c r="H14" s="85"/>
    </row>
    <row r="15" spans="2:8" ht="16.5" x14ac:dyDescent="0.45">
      <c r="B15" s="32" t="s">
        <v>212</v>
      </c>
      <c r="C15" s="35" t="s">
        <v>215</v>
      </c>
      <c r="D15" s="31">
        <v>1</v>
      </c>
      <c r="E15" s="31" t="s">
        <v>126</v>
      </c>
      <c r="F15" s="31"/>
      <c r="G15" s="35"/>
      <c r="H15" s="85"/>
    </row>
    <row r="16" spans="2:8" ht="16.5" x14ac:dyDescent="0.45">
      <c r="B16" s="43" t="s">
        <v>213</v>
      </c>
      <c r="C16" s="35" t="s">
        <v>215</v>
      </c>
      <c r="D16" s="31">
        <v>1</v>
      </c>
      <c r="E16" s="31" t="s">
        <v>126</v>
      </c>
      <c r="F16" s="45"/>
      <c r="G16" s="44"/>
      <c r="H16" s="86"/>
    </row>
    <row r="17" spans="2:8" ht="16.5" x14ac:dyDescent="0.45">
      <c r="B17" s="43" t="s">
        <v>281</v>
      </c>
      <c r="C17" s="35" t="s">
        <v>215</v>
      </c>
      <c r="D17" s="31">
        <v>1</v>
      </c>
      <c r="E17" s="31" t="s">
        <v>126</v>
      </c>
      <c r="F17" s="45"/>
      <c r="G17" s="44"/>
      <c r="H17" s="86"/>
    </row>
    <row r="18" spans="2:8" ht="16.5" x14ac:dyDescent="0.45">
      <c r="B18" s="43" t="s">
        <v>214</v>
      </c>
      <c r="C18" s="35" t="s">
        <v>215</v>
      </c>
      <c r="D18" s="31">
        <v>1</v>
      </c>
      <c r="E18" s="31" t="s">
        <v>126</v>
      </c>
      <c r="F18" s="45"/>
      <c r="G18" s="44"/>
      <c r="H18" s="86"/>
    </row>
    <row r="19" spans="2:8" ht="16.5" x14ac:dyDescent="0.45">
      <c r="B19" s="43" t="s">
        <v>226</v>
      </c>
      <c r="C19" s="35" t="s">
        <v>215</v>
      </c>
      <c r="D19" s="45">
        <v>1</v>
      </c>
      <c r="E19" s="31" t="s">
        <v>126</v>
      </c>
      <c r="F19" s="45"/>
      <c r="G19" s="44"/>
      <c r="H19" s="86"/>
    </row>
    <row r="20" spans="2:8" ht="16.5" x14ac:dyDescent="0.45">
      <c r="B20" s="43" t="s">
        <v>227</v>
      </c>
      <c r="C20" s="35" t="s">
        <v>215</v>
      </c>
      <c r="D20" s="45">
        <v>1</v>
      </c>
      <c r="E20" s="31" t="s">
        <v>126</v>
      </c>
      <c r="F20" s="45"/>
      <c r="G20" s="44"/>
      <c r="H20" s="86"/>
    </row>
    <row r="21" spans="2:8" ht="16.5" x14ac:dyDescent="0.45">
      <c r="B21" s="43"/>
      <c r="C21" s="44"/>
      <c r="D21" s="45"/>
      <c r="E21" s="45"/>
      <c r="F21" s="45"/>
      <c r="G21" s="44"/>
      <c r="H21" s="86"/>
    </row>
    <row r="22" spans="2:8" ht="16.5" x14ac:dyDescent="0.45">
      <c r="B22" s="6" t="s">
        <v>237</v>
      </c>
      <c r="C22" s="33"/>
      <c r="D22" s="34"/>
      <c r="E22" s="34"/>
      <c r="F22" s="34"/>
      <c r="G22" s="99"/>
      <c r="H22" s="84"/>
    </row>
    <row r="23" spans="2:8" ht="38.25" x14ac:dyDescent="0.45">
      <c r="B23" s="32" t="s">
        <v>217</v>
      </c>
      <c r="C23" s="35" t="s">
        <v>221</v>
      </c>
      <c r="D23" s="46">
        <f>'2.ArquitectonicaEstructural'!D31-'2.ArquitectonicaEstructural'!D37-'2.ArquitectonicaEstructural'!D43</f>
        <v>1135.04</v>
      </c>
      <c r="E23" s="31" t="s">
        <v>58</v>
      </c>
      <c r="F23" s="31"/>
      <c r="G23" s="35"/>
      <c r="H23" s="85">
        <v>5</v>
      </c>
    </row>
    <row r="24" spans="2:8" ht="16.5" x14ac:dyDescent="0.45">
      <c r="B24" s="32" t="s">
        <v>220</v>
      </c>
      <c r="C24" s="35" t="s">
        <v>223</v>
      </c>
      <c r="D24" s="36">
        <v>992</v>
      </c>
      <c r="E24" s="31" t="s">
        <v>68</v>
      </c>
      <c r="F24" s="31"/>
      <c r="G24" s="35"/>
      <c r="H24" s="85"/>
    </row>
    <row r="25" spans="2:8" ht="16.5" x14ac:dyDescent="0.45">
      <c r="B25" s="32" t="s">
        <v>219</v>
      </c>
      <c r="C25" s="35" t="s">
        <v>224</v>
      </c>
      <c r="D25" s="36">
        <v>1950</v>
      </c>
      <c r="E25" s="31" t="s">
        <v>68</v>
      </c>
      <c r="F25" s="31"/>
      <c r="G25" s="35"/>
      <c r="H25" s="85"/>
    </row>
    <row r="26" spans="2:8" ht="51" x14ac:dyDescent="0.45">
      <c r="B26" s="32" t="s">
        <v>222</v>
      </c>
      <c r="C26" s="35" t="s">
        <v>225</v>
      </c>
      <c r="D26" s="31">
        <f>INT(D23/(D24/1000*D25/1000))</f>
        <v>586</v>
      </c>
      <c r="E26" s="31" t="s">
        <v>126</v>
      </c>
      <c r="F26" s="31"/>
      <c r="G26" s="35"/>
      <c r="H26" s="85"/>
    </row>
    <row r="27" spans="2:8" ht="16.5" x14ac:dyDescent="0.45">
      <c r="B27" s="40"/>
      <c r="C27" s="41"/>
      <c r="D27" s="42"/>
      <c r="E27" s="42"/>
      <c r="F27" s="42"/>
      <c r="G27" s="41"/>
      <c r="H27" s="87"/>
    </row>
    <row r="28" spans="2:8" ht="16.5" x14ac:dyDescent="0.6">
      <c r="G28" s="90" t="s">
        <v>293</v>
      </c>
      <c r="H28" s="103">
        <f>AVERAGE(H7:H27)</f>
        <v>5</v>
      </c>
    </row>
  </sheetData>
  <mergeCells count="1">
    <mergeCell ref="B4:H5"/>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H24"/>
  <sheetViews>
    <sheetView showGridLines="0" zoomScale="130" zoomScaleNormal="130" workbookViewId="0">
      <pane ySplit="6" topLeftCell="A7" activePane="bottomLeft" state="frozen"/>
      <selection pane="bottomLeft" activeCell="H24" sqref="H24"/>
    </sheetView>
  </sheetViews>
  <sheetFormatPr defaultRowHeight="16.5" x14ac:dyDescent="0.6"/>
  <cols>
    <col min="1" max="1" width="2.59765625" style="1" customWidth="1"/>
    <col min="2" max="2" width="29.1328125" style="1" customWidth="1"/>
    <col min="3" max="3" width="51.73046875" style="1" customWidth="1"/>
    <col min="4" max="4" width="11.265625" style="1" bestFit="1" customWidth="1"/>
    <col min="5" max="5" width="9.06640625" style="1"/>
    <col min="6" max="6" width="11.59765625" style="1" customWidth="1"/>
    <col min="7" max="7" width="35.1328125" style="22" customWidth="1"/>
    <col min="8" max="8" width="13.46484375" style="103" customWidth="1"/>
    <col min="9" max="16384" width="9.06640625" style="1"/>
  </cols>
  <sheetData>
    <row r="2" spans="2:8" x14ac:dyDescent="0.6">
      <c r="B2" s="2" t="s">
        <v>22</v>
      </c>
    </row>
    <row r="3" spans="2:8" x14ac:dyDescent="0.6">
      <c r="B3" s="20" t="s">
        <v>240</v>
      </c>
    </row>
    <row r="4" spans="2:8" ht="14.25" customHeight="1" x14ac:dyDescent="0.6">
      <c r="B4" s="74" t="s">
        <v>238</v>
      </c>
      <c r="C4" s="74"/>
      <c r="D4" s="74"/>
      <c r="E4" s="74"/>
      <c r="F4" s="74"/>
      <c r="G4" s="74"/>
      <c r="H4" s="74"/>
    </row>
    <row r="5" spans="2:8" x14ac:dyDescent="0.6">
      <c r="B5" s="79"/>
      <c r="C5" s="79"/>
      <c r="D5" s="79"/>
      <c r="E5" s="79"/>
      <c r="F5" s="79"/>
      <c r="G5" s="79"/>
      <c r="H5" s="79"/>
    </row>
    <row r="6" spans="2:8" x14ac:dyDescent="0.6">
      <c r="B6" s="37" t="s">
        <v>40</v>
      </c>
      <c r="C6" s="38" t="s">
        <v>41</v>
      </c>
      <c r="D6" s="39" t="s">
        <v>52</v>
      </c>
      <c r="E6" s="39" t="s">
        <v>53</v>
      </c>
      <c r="F6" s="39" t="s">
        <v>42</v>
      </c>
      <c r="G6" s="38" t="s">
        <v>26</v>
      </c>
      <c r="H6" s="83" t="s">
        <v>27</v>
      </c>
    </row>
    <row r="7" spans="2:8" x14ac:dyDescent="0.6">
      <c r="B7" s="6" t="s">
        <v>244</v>
      </c>
      <c r="C7" s="33"/>
      <c r="D7" s="34"/>
      <c r="E7" s="34"/>
      <c r="F7" s="34"/>
      <c r="G7" s="99"/>
      <c r="H7" s="84"/>
    </row>
    <row r="8" spans="2:8" x14ac:dyDescent="0.6">
      <c r="B8" s="32" t="s">
        <v>243</v>
      </c>
      <c r="C8" s="35" t="s">
        <v>250</v>
      </c>
      <c r="D8" s="36">
        <v>3</v>
      </c>
      <c r="E8" s="31" t="s">
        <v>57</v>
      </c>
      <c r="F8" s="31"/>
      <c r="G8" s="35"/>
      <c r="H8" s="85">
        <v>5</v>
      </c>
    </row>
    <row r="9" spans="2:8" ht="25.5" x14ac:dyDescent="0.6">
      <c r="B9" s="32" t="s">
        <v>248</v>
      </c>
      <c r="C9" s="35" t="s">
        <v>251</v>
      </c>
      <c r="D9" s="36">
        <v>2.5</v>
      </c>
      <c r="E9" s="31" t="s">
        <v>57</v>
      </c>
      <c r="F9" s="31"/>
      <c r="G9" s="35"/>
      <c r="H9" s="85"/>
    </row>
    <row r="10" spans="2:8" ht="25.5" x14ac:dyDescent="0.6">
      <c r="B10" s="32" t="s">
        <v>246</v>
      </c>
      <c r="C10" s="35" t="s">
        <v>257</v>
      </c>
      <c r="D10" s="36">
        <v>4</v>
      </c>
      <c r="E10" s="31" t="s">
        <v>247</v>
      </c>
      <c r="F10" s="31"/>
      <c r="G10" s="35"/>
      <c r="H10" s="85"/>
    </row>
    <row r="11" spans="2:8" x14ac:dyDescent="0.6">
      <c r="B11" s="32" t="s">
        <v>249</v>
      </c>
      <c r="C11" s="35" t="s">
        <v>252</v>
      </c>
      <c r="D11" s="36">
        <v>2</v>
      </c>
      <c r="E11" s="31" t="s">
        <v>57</v>
      </c>
      <c r="F11" s="31"/>
      <c r="G11" s="35"/>
      <c r="H11" s="85"/>
    </row>
    <row r="12" spans="2:8" ht="33" x14ac:dyDescent="0.6">
      <c r="B12" s="32" t="s">
        <v>254</v>
      </c>
      <c r="C12" s="35" t="s">
        <v>258</v>
      </c>
      <c r="D12" s="31">
        <f>D10*D11</f>
        <v>8</v>
      </c>
      <c r="E12" s="31" t="s">
        <v>57</v>
      </c>
      <c r="F12" s="31"/>
      <c r="G12" s="35"/>
      <c r="H12" s="85"/>
    </row>
    <row r="13" spans="2:8" ht="25.5" x14ac:dyDescent="0.6">
      <c r="B13" s="32" t="s">
        <v>245</v>
      </c>
      <c r="C13" s="35" t="s">
        <v>253</v>
      </c>
      <c r="D13" s="36">
        <v>8</v>
      </c>
      <c r="E13" s="31" t="s">
        <v>57</v>
      </c>
      <c r="F13" s="31"/>
      <c r="G13" s="35"/>
      <c r="H13" s="85"/>
    </row>
    <row r="14" spans="2:8" x14ac:dyDescent="0.6">
      <c r="B14" s="32" t="s">
        <v>259</v>
      </c>
      <c r="C14" s="35" t="s">
        <v>261</v>
      </c>
      <c r="D14" s="31" t="str">
        <f>IF(D12&lt;=D13, "Cumple","No cumple")</f>
        <v>Cumple</v>
      </c>
      <c r="E14" s="31" t="s">
        <v>260</v>
      </c>
      <c r="F14" s="31"/>
      <c r="G14" s="35"/>
      <c r="H14" s="85"/>
    </row>
    <row r="15" spans="2:8" ht="33" x14ac:dyDescent="0.6">
      <c r="B15" s="32" t="s">
        <v>262</v>
      </c>
      <c r="C15" s="35" t="s">
        <v>263</v>
      </c>
      <c r="D15" s="36">
        <v>60</v>
      </c>
      <c r="E15" s="31" t="s">
        <v>57</v>
      </c>
      <c r="F15" s="31"/>
      <c r="G15" s="35"/>
      <c r="H15" s="85"/>
    </row>
    <row r="16" spans="2:8" ht="33" x14ac:dyDescent="0.6">
      <c r="B16" s="32" t="s">
        <v>264</v>
      </c>
      <c r="C16" s="35" t="s">
        <v>265</v>
      </c>
      <c r="D16" s="31">
        <f>D15*D10</f>
        <v>240</v>
      </c>
      <c r="E16" s="31" t="s">
        <v>57</v>
      </c>
      <c r="F16" s="31"/>
      <c r="G16" s="35"/>
      <c r="H16" s="85"/>
    </row>
    <row r="17" spans="2:8" x14ac:dyDescent="0.6">
      <c r="B17" s="32"/>
      <c r="C17" s="35"/>
      <c r="D17" s="36"/>
      <c r="E17" s="31"/>
      <c r="F17" s="31"/>
      <c r="G17" s="35"/>
      <c r="H17" s="85"/>
    </row>
    <row r="18" spans="2:8" x14ac:dyDescent="0.6">
      <c r="B18" s="32"/>
      <c r="C18" s="35"/>
      <c r="D18" s="31"/>
      <c r="E18" s="31"/>
      <c r="F18" s="31"/>
      <c r="G18" s="35"/>
      <c r="H18" s="85"/>
    </row>
    <row r="19" spans="2:8" x14ac:dyDescent="0.6">
      <c r="B19" s="6" t="s">
        <v>239</v>
      </c>
      <c r="C19" s="33"/>
      <c r="D19" s="34"/>
      <c r="E19" s="34"/>
      <c r="F19" s="34"/>
      <c r="G19" s="99"/>
      <c r="H19" s="84"/>
    </row>
    <row r="20" spans="2:8" ht="38.25" x14ac:dyDescent="0.6">
      <c r="B20" s="32" t="s">
        <v>266</v>
      </c>
      <c r="C20" s="35" t="s">
        <v>255</v>
      </c>
      <c r="D20" s="36" t="s">
        <v>256</v>
      </c>
      <c r="E20" s="31" t="s">
        <v>126</v>
      </c>
      <c r="F20" s="31"/>
      <c r="G20" s="35"/>
      <c r="H20" s="85">
        <v>5</v>
      </c>
    </row>
    <row r="21" spans="2:8" ht="38.25" x14ac:dyDescent="0.6">
      <c r="B21" s="32" t="s">
        <v>267</v>
      </c>
      <c r="C21" s="35" t="s">
        <v>255</v>
      </c>
      <c r="D21" s="36" t="s">
        <v>256</v>
      </c>
      <c r="E21" s="31" t="s">
        <v>126</v>
      </c>
      <c r="F21" s="31"/>
      <c r="G21" s="35"/>
      <c r="H21" s="85"/>
    </row>
    <row r="22" spans="2:8" ht="38.25" x14ac:dyDescent="0.6">
      <c r="B22" s="32" t="s">
        <v>268</v>
      </c>
      <c r="C22" s="35" t="s">
        <v>255</v>
      </c>
      <c r="D22" s="36" t="s">
        <v>256</v>
      </c>
      <c r="E22" s="31" t="s">
        <v>126</v>
      </c>
      <c r="F22" s="31"/>
      <c r="G22" s="35"/>
      <c r="H22" s="85"/>
    </row>
    <row r="23" spans="2:8" x14ac:dyDescent="0.6">
      <c r="B23" s="40"/>
      <c r="C23" s="41"/>
      <c r="D23" s="42"/>
      <c r="E23" s="42"/>
      <c r="F23" s="42"/>
      <c r="G23" s="41"/>
      <c r="H23" s="87"/>
    </row>
    <row r="24" spans="2:8" x14ac:dyDescent="0.6">
      <c r="G24" s="90" t="s">
        <v>293</v>
      </c>
      <c r="H24" s="103">
        <f>AVERAGE(H7:H23)</f>
        <v>5</v>
      </c>
    </row>
  </sheetData>
  <mergeCells count="1">
    <mergeCell ref="B4:H5"/>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H17"/>
  <sheetViews>
    <sheetView showGridLines="0" zoomScale="130" zoomScaleNormal="130" workbookViewId="0">
      <pane ySplit="6" topLeftCell="A7" activePane="bottomLeft" state="frozen"/>
      <selection pane="bottomLeft" activeCell="G17" sqref="G17"/>
    </sheetView>
  </sheetViews>
  <sheetFormatPr defaultRowHeight="16.5" x14ac:dyDescent="0.6"/>
  <cols>
    <col min="1" max="1" width="2.59765625" style="1" customWidth="1"/>
    <col min="2" max="2" width="36.3984375" style="1" customWidth="1"/>
    <col min="3" max="3" width="51.73046875" style="1" customWidth="1"/>
    <col min="4" max="4" width="11.265625" style="1" bestFit="1" customWidth="1"/>
    <col min="5" max="5" width="9.06640625" style="1"/>
    <col min="6" max="6" width="11.59765625" style="1" customWidth="1"/>
    <col min="7" max="7" width="35.1328125" style="22" customWidth="1"/>
    <col min="8" max="8" width="13.46484375" style="103" customWidth="1"/>
    <col min="9" max="16384" width="9.06640625" style="1"/>
  </cols>
  <sheetData>
    <row r="2" spans="2:8" x14ac:dyDescent="0.6">
      <c r="B2" s="2" t="s">
        <v>22</v>
      </c>
    </row>
    <row r="3" spans="2:8" x14ac:dyDescent="0.6">
      <c r="B3" s="20" t="s">
        <v>333</v>
      </c>
    </row>
    <row r="4" spans="2:8" x14ac:dyDescent="0.6">
      <c r="B4" s="74" t="s">
        <v>275</v>
      </c>
      <c r="C4" s="74"/>
      <c r="D4" s="74"/>
      <c r="E4" s="74"/>
      <c r="F4" s="74"/>
      <c r="G4" s="74"/>
      <c r="H4" s="74"/>
    </row>
    <row r="5" spans="2:8" x14ac:dyDescent="0.6">
      <c r="B5" s="79"/>
      <c r="C5" s="79"/>
      <c r="D5" s="79"/>
      <c r="E5" s="79"/>
      <c r="F5" s="79"/>
      <c r="G5" s="79"/>
      <c r="H5" s="79"/>
    </row>
    <row r="6" spans="2:8" x14ac:dyDescent="0.6">
      <c r="B6" s="37" t="s">
        <v>40</v>
      </c>
      <c r="C6" s="38" t="s">
        <v>41</v>
      </c>
      <c r="D6" s="39" t="s">
        <v>52</v>
      </c>
      <c r="E6" s="39" t="s">
        <v>53</v>
      </c>
      <c r="F6" s="39" t="s">
        <v>42</v>
      </c>
      <c r="G6" s="38" t="s">
        <v>26</v>
      </c>
      <c r="H6" s="83" t="s">
        <v>27</v>
      </c>
    </row>
    <row r="7" spans="2:8" ht="25.5" x14ac:dyDescent="0.6">
      <c r="B7" s="32" t="s">
        <v>270</v>
      </c>
      <c r="C7" s="35" t="s">
        <v>271</v>
      </c>
      <c r="D7" s="36">
        <v>1</v>
      </c>
      <c r="E7" s="31" t="s">
        <v>126</v>
      </c>
      <c r="F7" s="31"/>
      <c r="G7" s="35"/>
      <c r="H7" s="85">
        <v>5</v>
      </c>
    </row>
    <row r="8" spans="2:8" ht="25.5" x14ac:dyDescent="0.6">
      <c r="B8" s="32" t="s">
        <v>272</v>
      </c>
      <c r="C8" s="35" t="s">
        <v>282</v>
      </c>
      <c r="D8" s="36">
        <v>1</v>
      </c>
      <c r="E8" s="31" t="s">
        <v>126</v>
      </c>
      <c r="F8" s="31"/>
      <c r="G8" s="35"/>
      <c r="H8" s="85"/>
    </row>
    <row r="9" spans="2:8" ht="25.5" x14ac:dyDescent="0.6">
      <c r="B9" s="32" t="s">
        <v>273</v>
      </c>
      <c r="C9" s="35" t="s">
        <v>283</v>
      </c>
      <c r="D9" s="36">
        <v>1</v>
      </c>
      <c r="E9" s="31" t="s">
        <v>126</v>
      </c>
      <c r="F9" s="31"/>
      <c r="G9" s="35"/>
      <c r="H9" s="85"/>
    </row>
    <row r="10" spans="2:8" ht="25.5" x14ac:dyDescent="0.6">
      <c r="B10" s="32" t="s">
        <v>274</v>
      </c>
      <c r="C10" s="35" t="s">
        <v>284</v>
      </c>
      <c r="D10" s="36">
        <v>1</v>
      </c>
      <c r="E10" s="31" t="s">
        <v>126</v>
      </c>
      <c r="F10" s="31"/>
      <c r="G10" s="35"/>
      <c r="H10" s="85"/>
    </row>
    <row r="11" spans="2:8" x14ac:dyDescent="0.6">
      <c r="B11" s="32" t="s">
        <v>276</v>
      </c>
      <c r="C11" s="35" t="s">
        <v>233</v>
      </c>
      <c r="D11" s="36">
        <v>1</v>
      </c>
      <c r="E11" s="31" t="s">
        <v>126</v>
      </c>
      <c r="F11" s="31"/>
      <c r="G11" s="35"/>
      <c r="H11" s="85"/>
    </row>
    <row r="12" spans="2:8" x14ac:dyDescent="0.6">
      <c r="B12" s="32" t="s">
        <v>277</v>
      </c>
      <c r="C12" s="35" t="s">
        <v>233</v>
      </c>
      <c r="D12" s="36">
        <v>1</v>
      </c>
      <c r="E12" s="31" t="s">
        <v>126</v>
      </c>
      <c r="F12" s="31"/>
      <c r="G12" s="35"/>
      <c r="H12" s="85"/>
    </row>
    <row r="13" spans="2:8" ht="25.5" x14ac:dyDescent="0.6">
      <c r="B13" s="32" t="s">
        <v>278</v>
      </c>
      <c r="C13" s="35" t="s">
        <v>236</v>
      </c>
      <c r="D13" s="36">
        <v>1</v>
      </c>
      <c r="E13" s="31" t="s">
        <v>126</v>
      </c>
      <c r="F13" s="31"/>
      <c r="G13" s="35"/>
      <c r="H13" s="85"/>
    </row>
    <row r="14" spans="2:8" ht="25.5" x14ac:dyDescent="0.6">
      <c r="B14" s="32" t="s">
        <v>279</v>
      </c>
      <c r="C14" s="35" t="s">
        <v>234</v>
      </c>
      <c r="D14" s="36">
        <v>1</v>
      </c>
      <c r="E14" s="31" t="s">
        <v>126</v>
      </c>
      <c r="F14" s="31"/>
      <c r="G14" s="35"/>
      <c r="H14" s="85"/>
    </row>
    <row r="15" spans="2:8" x14ac:dyDescent="0.6">
      <c r="B15" s="32" t="s">
        <v>280</v>
      </c>
      <c r="C15" s="35" t="s">
        <v>235</v>
      </c>
      <c r="D15" s="36">
        <v>1</v>
      </c>
      <c r="E15" s="31" t="s">
        <v>126</v>
      </c>
      <c r="F15" s="31"/>
      <c r="G15" s="35"/>
      <c r="H15" s="85"/>
    </row>
    <row r="16" spans="2:8" x14ac:dyDescent="0.6">
      <c r="B16" s="40"/>
      <c r="C16" s="41"/>
      <c r="D16" s="81"/>
      <c r="E16" s="42"/>
      <c r="F16" s="42"/>
      <c r="G16" s="41"/>
      <c r="H16" s="87"/>
    </row>
    <row r="17" spans="7:8" x14ac:dyDescent="0.6">
      <c r="G17" s="90" t="s">
        <v>293</v>
      </c>
      <c r="H17" s="103">
        <f>AVERAGE(H7:H16)</f>
        <v>5</v>
      </c>
    </row>
  </sheetData>
  <mergeCells count="1">
    <mergeCell ref="B4:H5"/>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17"/>
  <sheetViews>
    <sheetView showGridLines="0" tabSelected="1" zoomScale="130" zoomScaleNormal="130" workbookViewId="0">
      <pane ySplit="5" topLeftCell="A6" activePane="bottomLeft" state="frozen"/>
      <selection pane="bottomLeft" activeCell="B3" sqref="B3:G3"/>
    </sheetView>
  </sheetViews>
  <sheetFormatPr defaultRowHeight="16.5" x14ac:dyDescent="0.45"/>
  <cols>
    <col min="1" max="2" width="2.59765625" style="2" customWidth="1"/>
    <col min="3" max="4" width="46.6640625" style="2" customWidth="1"/>
    <col min="5" max="5" width="33.46484375" style="2" customWidth="1"/>
    <col min="6" max="6" width="30.3984375" style="98" customWidth="1"/>
    <col min="7" max="7" width="11.59765625" style="47" customWidth="1"/>
    <col min="8" max="16384" width="9.06640625" style="2"/>
  </cols>
  <sheetData>
    <row r="2" spans="2:7" x14ac:dyDescent="0.45">
      <c r="B2" s="75" t="s">
        <v>22</v>
      </c>
      <c r="C2" s="75"/>
      <c r="D2" s="75"/>
      <c r="E2" s="75"/>
      <c r="F2" s="75"/>
      <c r="G2" s="75"/>
    </row>
    <row r="3" spans="2:7" x14ac:dyDescent="0.45">
      <c r="B3" s="115" t="s">
        <v>332</v>
      </c>
      <c r="C3" s="115"/>
      <c r="D3" s="115"/>
      <c r="E3" s="115"/>
      <c r="F3" s="115"/>
      <c r="G3" s="115"/>
    </row>
    <row r="5" spans="2:7" x14ac:dyDescent="0.45">
      <c r="B5" s="17" t="s">
        <v>10</v>
      </c>
      <c r="C5" s="7" t="s">
        <v>16</v>
      </c>
      <c r="D5" s="7" t="s">
        <v>41</v>
      </c>
      <c r="E5" s="7" t="s">
        <v>17</v>
      </c>
      <c r="F5" s="7" t="s">
        <v>26</v>
      </c>
      <c r="G5" s="10" t="s">
        <v>27</v>
      </c>
    </row>
    <row r="6" spans="2:7" x14ac:dyDescent="0.45">
      <c r="B6" s="15">
        <v>0</v>
      </c>
      <c r="C6" s="29" t="s">
        <v>294</v>
      </c>
      <c r="D6" s="35" t="s">
        <v>295</v>
      </c>
      <c r="E6" s="3" t="s">
        <v>38</v>
      </c>
      <c r="F6" s="101"/>
      <c r="G6" s="11">
        <v>5</v>
      </c>
    </row>
    <row r="7" spans="2:7" x14ac:dyDescent="0.45">
      <c r="B7" s="15">
        <v>1</v>
      </c>
      <c r="C7" s="29" t="s">
        <v>19</v>
      </c>
      <c r="D7" s="35" t="s">
        <v>326</v>
      </c>
      <c r="E7" s="3" t="s">
        <v>31</v>
      </c>
      <c r="F7" s="101"/>
      <c r="G7" s="11"/>
    </row>
    <row r="8" spans="2:7" ht="114.75" x14ac:dyDescent="0.45">
      <c r="B8" s="15">
        <v>2</v>
      </c>
      <c r="C8" s="29" t="s">
        <v>327</v>
      </c>
      <c r="D8" s="35" t="s">
        <v>328</v>
      </c>
      <c r="E8" s="3" t="s">
        <v>15</v>
      </c>
      <c r="F8" s="101"/>
      <c r="G8" s="11"/>
    </row>
    <row r="9" spans="2:7" ht="42" x14ac:dyDescent="0.45">
      <c r="B9" s="15">
        <v>3</v>
      </c>
      <c r="C9" s="29" t="s">
        <v>35</v>
      </c>
      <c r="D9" s="35"/>
      <c r="E9" s="3" t="s">
        <v>32</v>
      </c>
      <c r="F9" s="101"/>
      <c r="G9" s="11"/>
    </row>
    <row r="10" spans="2:7" ht="54.75" x14ac:dyDescent="0.45">
      <c r="B10" s="15">
        <v>4</v>
      </c>
      <c r="C10" s="29" t="s">
        <v>36</v>
      </c>
      <c r="D10" s="35"/>
      <c r="E10" s="3" t="s">
        <v>33</v>
      </c>
      <c r="F10" s="101"/>
      <c r="G10" s="11"/>
    </row>
    <row r="11" spans="2:7" ht="29.25" x14ac:dyDescent="0.45">
      <c r="B11" s="15">
        <v>5</v>
      </c>
      <c r="C11" s="29" t="s">
        <v>37</v>
      </c>
      <c r="D11" s="35"/>
      <c r="E11" s="3" t="s">
        <v>34</v>
      </c>
      <c r="F11" s="101"/>
      <c r="G11" s="11"/>
    </row>
    <row r="12" spans="2:7" ht="38.25" x14ac:dyDescent="0.45">
      <c r="B12" s="15">
        <v>6</v>
      </c>
      <c r="C12" s="29" t="s">
        <v>314</v>
      </c>
      <c r="D12" s="35" t="s">
        <v>321</v>
      </c>
      <c r="E12" s="3" t="s">
        <v>322</v>
      </c>
      <c r="F12" s="101"/>
      <c r="G12" s="11"/>
    </row>
    <row r="13" spans="2:7" ht="25.5" x14ac:dyDescent="0.45">
      <c r="B13" s="15">
        <v>7</v>
      </c>
      <c r="C13" s="29" t="s">
        <v>323</v>
      </c>
      <c r="D13" s="35" t="s">
        <v>324</v>
      </c>
      <c r="E13" s="3" t="s">
        <v>325</v>
      </c>
      <c r="F13" s="101"/>
      <c r="G13" s="11"/>
    </row>
    <row r="14" spans="2:7" x14ac:dyDescent="0.45">
      <c r="B14" s="15">
        <v>8</v>
      </c>
      <c r="C14" s="29" t="s">
        <v>329</v>
      </c>
      <c r="D14" s="35" t="s">
        <v>330</v>
      </c>
      <c r="E14" s="3" t="s">
        <v>331</v>
      </c>
      <c r="F14" s="101"/>
      <c r="G14" s="11"/>
    </row>
    <row r="15" spans="2:7" x14ac:dyDescent="0.45">
      <c r="B15" s="15">
        <v>9</v>
      </c>
      <c r="C15" s="29"/>
      <c r="D15" s="35"/>
      <c r="E15" s="3"/>
      <c r="F15" s="101"/>
      <c r="G15" s="11"/>
    </row>
    <row r="16" spans="2:7" x14ac:dyDescent="0.45">
      <c r="B16" s="16">
        <v>10</v>
      </c>
      <c r="C16" s="30"/>
      <c r="D16" s="41"/>
      <c r="E16" s="4"/>
      <c r="F16" s="55"/>
      <c r="G16" s="9"/>
    </row>
    <row r="17" spans="6:7" x14ac:dyDescent="0.45">
      <c r="F17" s="90" t="s">
        <v>293</v>
      </c>
      <c r="G17" s="47">
        <f>AVERAGE(G6:G16)</f>
        <v>5</v>
      </c>
    </row>
  </sheetData>
  <mergeCells count="2">
    <mergeCell ref="B3:G3"/>
    <mergeCell ref="B2:G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B8" sqref="B8"/>
    </sheetView>
  </sheetViews>
  <sheetFormatPr defaultRowHeight="16.5" x14ac:dyDescent="0.6"/>
  <cols>
    <col min="1" max="1" width="2.59765625" style="1" customWidth="1"/>
    <col min="2" max="2" width="95.3984375" style="1" customWidth="1"/>
    <col min="3" max="16384" width="9.06640625" style="1"/>
  </cols>
  <sheetData>
    <row r="1" spans="2:2" x14ac:dyDescent="0.6">
      <c r="B1" s="24" t="s">
        <v>30</v>
      </c>
    </row>
    <row r="2" spans="2:2" x14ac:dyDescent="0.6">
      <c r="B2" s="1" t="s">
        <v>23</v>
      </c>
    </row>
    <row r="3" spans="2:2" x14ac:dyDescent="0.6">
      <c r="B3" s="21" t="s">
        <v>24</v>
      </c>
    </row>
    <row r="4" spans="2:2" x14ac:dyDescent="0.6">
      <c r="B4" s="22" t="s">
        <v>25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5.Archivos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2025-07-25T00:19:38Z</dcterms:modified>
</cp:coreProperties>
</file>