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0E0D70E6-6294-4E99-A775-D1C41A6BD266}" xr6:coauthVersionLast="47" xr6:coauthVersionMax="47" xr10:uidLastSave="{00000000-0000-0000-0000-000000000000}"/>
  <bookViews>
    <workbookView xWindow="30612" yWindow="-108" windowWidth="30936" windowHeight="16776" activeTab="4"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<sst xmlns="http://schemas.openxmlformats.org/spreadsheetml/2006/main" count="662" uniqueCount="349">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</sst>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335</v>
      </c>
    </row>
    <row r="2" spans="2:5" x14ac:dyDescent="0.3">
      <c r="B2" s="47" t="s">
        <v>22</v>
      </c>
    </row>
    <row r="3" spans="2:5" x14ac:dyDescent="0.3">
      <c r="B3" s="101" t="s">
        <v>329</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263</v>
      </c>
      <c r="C31" s="73"/>
      <c r="D31" s="73"/>
      <c r="E31" s="73"/>
    </row>
    <row r="32" spans="2:5" x14ac:dyDescent="0.3">
      <c r="B32" s="48" t="s">
        <v>10</v>
      </c>
      <c r="C32" s="75" t="s">
        <v>36</v>
      </c>
      <c r="D32" s="76"/>
      <c r="E32" s="49" t="s">
        <v>27</v>
      </c>
    </row>
    <row r="33" spans="2:5" x14ac:dyDescent="0.3">
      <c r="B33" s="50">
        <v>1</v>
      </c>
      <c r="C33" s="77" t="s">
        <v>264</v>
      </c>
      <c r="D33" s="78"/>
      <c r="E33" s="51">
        <f>'1.Tecnica'!I19</f>
        <v>5</v>
      </c>
    </row>
    <row r="34" spans="2:5" x14ac:dyDescent="0.3">
      <c r="B34" s="50">
        <v>2</v>
      </c>
      <c r="C34" s="62" t="s">
        <v>303</v>
      </c>
      <c r="D34" s="63"/>
      <c r="E34" s="51">
        <f>'1.Tecnica'!I19</f>
        <v>5</v>
      </c>
    </row>
    <row r="35" spans="2:5" x14ac:dyDescent="0.3">
      <c r="B35" s="50">
        <v>3</v>
      </c>
      <c r="C35" s="62" t="s">
        <v>265</v>
      </c>
      <c r="D35" s="63"/>
      <c r="E35" s="51">
        <f>'3.Electrica'!I28</f>
        <v>5</v>
      </c>
    </row>
    <row r="36" spans="2:5" x14ac:dyDescent="0.3">
      <c r="B36" s="50">
        <v>4</v>
      </c>
      <c r="C36" s="60" t="s">
        <v>302</v>
      </c>
      <c r="D36" s="61"/>
      <c r="E36" s="51">
        <f>'4.Bodegaje'!I23</f>
        <v>5</v>
      </c>
    </row>
    <row r="37" spans="2:5" x14ac:dyDescent="0.3">
      <c r="B37" s="50">
        <v>4</v>
      </c>
      <c r="C37" s="62" t="s">
        <v>266</v>
      </c>
      <c r="D37" s="63"/>
      <c r="E37" s="51">
        <f>'5.Planos'!I17</f>
        <v>5</v>
      </c>
    </row>
    <row r="38" spans="2:5" x14ac:dyDescent="0.3">
      <c r="B38" s="50">
        <v>5</v>
      </c>
      <c r="C38" s="62" t="s">
        <v>267</v>
      </c>
      <c r="D38" s="63"/>
      <c r="E38" s="51">
        <f>'6.Archivos'!H18</f>
        <v>5</v>
      </c>
    </row>
    <row r="39" spans="2:5" x14ac:dyDescent="0.3">
      <c r="B39" s="50">
        <v>6</v>
      </c>
      <c r="C39" s="62" t="s">
        <v>292</v>
      </c>
      <c r="D39" s="63"/>
      <c r="E39" s="99">
        <v>5</v>
      </c>
    </row>
    <row r="40" spans="2:5" x14ac:dyDescent="0.3">
      <c r="B40" s="52">
        <v>7</v>
      </c>
      <c r="C40" s="64" t="s">
        <v>334</v>
      </c>
      <c r="D40" s="65"/>
      <c r="E40" s="58">
        <v>5</v>
      </c>
    </row>
    <row r="41" spans="2:5" x14ac:dyDescent="0.3">
      <c r="D41" s="118" t="s">
        <v>270</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268</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269</v>
      </c>
      <c r="C7" s="128" t="s">
        <v>336</v>
      </c>
      <c r="D7" s="91">
        <v>1</v>
      </c>
      <c r="E7" s="130" t="s">
        <v>16</v>
      </c>
      <c r="F7" s="131" t="s">
        <v>304</v>
      </c>
      <c r="G7" s="132" t="str">
        <f>HYPERLINK(_xlfn.CONCAT("https://github.com/rcfdtools/R.DAPC/blob/main/activity/",F7,"/Readme.md"),"Ver")</f>
        <v>Ver</v>
      </c>
      <c r="H7" s="93"/>
      <c r="I7" s="94">
        <v>5</v>
      </c>
    </row>
    <row r="8" spans="2:9" ht="22.8" x14ac:dyDescent="0.3">
      <c r="B8" s="127" t="s">
        <v>273</v>
      </c>
      <c r="C8" s="128" t="s">
        <v>314</v>
      </c>
      <c r="D8" s="91">
        <v>1</v>
      </c>
      <c r="E8" s="130" t="s">
        <v>315</v>
      </c>
      <c r="F8" s="131" t="s">
        <v>304</v>
      </c>
      <c r="G8" s="132" t="str">
        <f t="shared" ref="G8:G18" si="0">HYPERLINK(_xlfn.CONCAT("https://github.com/rcfdtools/R.DAPC/blob/main/activity/",F8,"/Readme.md"),"Ver")</f>
        <v>Ver</v>
      </c>
      <c r="H8" s="93"/>
      <c r="I8" s="94"/>
    </row>
    <row r="9" spans="2:9" x14ac:dyDescent="0.3">
      <c r="B9" s="127" t="s">
        <v>271</v>
      </c>
      <c r="C9" s="128" t="s">
        <v>272</v>
      </c>
      <c r="D9" s="91" t="s">
        <v>316</v>
      </c>
      <c r="E9" s="130"/>
      <c r="F9" s="131" t="s">
        <v>304</v>
      </c>
      <c r="G9" s="132" t="str">
        <f t="shared" si="0"/>
        <v>Ver</v>
      </c>
      <c r="H9" s="93"/>
      <c r="I9" s="94"/>
    </row>
    <row r="10" spans="2:9" x14ac:dyDescent="0.3">
      <c r="B10" s="127" t="s">
        <v>275</v>
      </c>
      <c r="C10" s="128" t="s">
        <v>276</v>
      </c>
      <c r="D10" s="91">
        <v>1</v>
      </c>
      <c r="E10" s="130" t="s">
        <v>16</v>
      </c>
      <c r="F10" s="131" t="s">
        <v>305</v>
      </c>
      <c r="G10" s="132" t="str">
        <f t="shared" si="0"/>
        <v>Ver</v>
      </c>
      <c r="H10" s="93"/>
      <c r="I10" s="94"/>
    </row>
    <row r="11" spans="2:9" ht="33.6" x14ac:dyDescent="0.3">
      <c r="B11" s="127" t="s">
        <v>274</v>
      </c>
      <c r="C11" s="128" t="s">
        <v>277</v>
      </c>
      <c r="D11" s="91" t="s">
        <v>316</v>
      </c>
      <c r="E11" s="130"/>
      <c r="F11" s="131" t="s">
        <v>306</v>
      </c>
      <c r="G11" s="132" t="str">
        <f t="shared" si="0"/>
        <v>Ver</v>
      </c>
      <c r="H11" s="93"/>
      <c r="I11" s="94"/>
    </row>
    <row r="12" spans="2:9" ht="57" x14ac:dyDescent="0.3">
      <c r="B12" s="127" t="s">
        <v>284</v>
      </c>
      <c r="C12" s="128" t="s">
        <v>278</v>
      </c>
      <c r="D12" s="91" t="s">
        <v>316</v>
      </c>
      <c r="E12" s="130"/>
      <c r="F12" s="131" t="s">
        <v>307</v>
      </c>
      <c r="G12" s="132" t="str">
        <f t="shared" si="0"/>
        <v>Ver</v>
      </c>
      <c r="H12" s="93"/>
      <c r="I12" s="94"/>
    </row>
    <row r="13" spans="2:9" ht="22.8" x14ac:dyDescent="0.3">
      <c r="B13" s="127" t="s">
        <v>285</v>
      </c>
      <c r="C13" s="128" t="s">
        <v>279</v>
      </c>
      <c r="D13" s="91" t="s">
        <v>316</v>
      </c>
      <c r="E13" s="130"/>
      <c r="F13" s="131" t="s">
        <v>308</v>
      </c>
      <c r="G13" s="132" t="str">
        <f t="shared" si="0"/>
        <v>Ver</v>
      </c>
      <c r="H13" s="93"/>
      <c r="I13" s="94"/>
    </row>
    <row r="14" spans="2:9" ht="33.6" x14ac:dyDescent="0.3">
      <c r="B14" s="127" t="s">
        <v>286</v>
      </c>
      <c r="C14" s="128" t="s">
        <v>280</v>
      </c>
      <c r="D14" s="91" t="s">
        <v>316</v>
      </c>
      <c r="E14" s="130"/>
      <c r="F14" s="131" t="s">
        <v>305</v>
      </c>
      <c r="G14" s="132" t="str">
        <f t="shared" si="0"/>
        <v>Ver</v>
      </c>
      <c r="H14" s="93"/>
      <c r="I14" s="94"/>
    </row>
    <row r="15" spans="2:9" ht="34.200000000000003" x14ac:dyDescent="0.3">
      <c r="B15" s="127" t="s">
        <v>281</v>
      </c>
      <c r="C15" s="128" t="s">
        <v>287</v>
      </c>
      <c r="D15" s="91">
        <v>1</v>
      </c>
      <c r="E15" s="130" t="s">
        <v>16</v>
      </c>
      <c r="F15" s="131" t="s">
        <v>309</v>
      </c>
      <c r="G15" s="132" t="str">
        <f t="shared" si="0"/>
        <v>Ver</v>
      </c>
      <c r="H15" s="93"/>
      <c r="I15" s="94"/>
    </row>
    <row r="16" spans="2:9" ht="52.2" customHeight="1" x14ac:dyDescent="0.3">
      <c r="B16" s="127" t="s">
        <v>282</v>
      </c>
      <c r="C16" s="128" t="s">
        <v>288</v>
      </c>
      <c r="D16" s="91">
        <v>1</v>
      </c>
      <c r="E16" s="130" t="s">
        <v>16</v>
      </c>
      <c r="F16" s="131" t="s">
        <v>309</v>
      </c>
      <c r="G16" s="132" t="str">
        <f t="shared" si="0"/>
        <v>Ver</v>
      </c>
      <c r="H16" s="93"/>
      <c r="I16" s="94"/>
    </row>
    <row r="17" spans="2:9" ht="35.700000000000003" customHeight="1" x14ac:dyDescent="0.3">
      <c r="B17" s="134" t="s">
        <v>283</v>
      </c>
      <c r="C17" s="135" t="s">
        <v>289</v>
      </c>
      <c r="D17" s="91">
        <v>1</v>
      </c>
      <c r="E17" s="130" t="s">
        <v>16</v>
      </c>
      <c r="F17" s="131" t="s">
        <v>309</v>
      </c>
      <c r="G17" s="132" t="str">
        <f t="shared" si="0"/>
        <v>Ver</v>
      </c>
      <c r="H17" s="95"/>
      <c r="I17" s="96"/>
    </row>
    <row r="18" spans="2:9" x14ac:dyDescent="0.3">
      <c r="B18" s="136"/>
      <c r="C18" s="137"/>
      <c r="D18" s="92"/>
      <c r="E18" s="138"/>
      <c r="F18" s="139"/>
      <c r="G18" s="140" t="str">
        <f t="shared" si="0"/>
        <v>Ver</v>
      </c>
      <c r="H18" s="97"/>
      <c r="I18" s="98"/>
    </row>
    <row r="19" spans="2:9" x14ac:dyDescent="0.3">
      <c r="H19" s="141" t="s">
        <v>270</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5" activePane="bottomLeft" state="frozen"/>
      <selection pane="bottomLeft" activeCell="F87" sqref="F8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221</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318</v>
      </c>
      <c r="C7" s="147"/>
      <c r="D7" s="148"/>
      <c r="E7" s="148"/>
      <c r="F7" s="149"/>
      <c r="G7" s="148"/>
      <c r="H7" s="150"/>
      <c r="I7" s="151"/>
    </row>
    <row r="8" spans="2:9" x14ac:dyDescent="0.3">
      <c r="B8" s="127" t="s">
        <v>157</v>
      </c>
      <c r="C8" s="128" t="s">
        <v>159</v>
      </c>
      <c r="D8" s="129">
        <v>8</v>
      </c>
      <c r="E8" s="130" t="s">
        <v>53</v>
      </c>
      <c r="F8" s="131" t="s">
        <v>306</v>
      </c>
      <c r="G8" s="132" t="str">
        <f>HYPERLINK(_xlfn.CONCAT("https://github.com/rcfdtools/R.DAPC/blob/main/activity/",F8,"/Readme.md"),"Ver")</f>
        <v>Ver</v>
      </c>
      <c r="H8" s="128" t="s">
        <v>291</v>
      </c>
      <c r="I8" s="133">
        <v>5</v>
      </c>
    </row>
    <row r="9" spans="2:9" x14ac:dyDescent="0.3">
      <c r="B9" s="127" t="s">
        <v>158</v>
      </c>
      <c r="C9" s="128" t="s">
        <v>160</v>
      </c>
      <c r="D9" s="129">
        <v>10</v>
      </c>
      <c r="E9" s="130" t="s">
        <v>53</v>
      </c>
      <c r="F9" s="131" t="s">
        <v>306</v>
      </c>
      <c r="G9" s="132" t="str">
        <f t="shared" ref="G9:G72" si="0">HYPERLINK(_xlfn.CONCAT("https://github.com/rcfdtools/R.DAPC/blob/main/activity/",F9,"/Readme.md"),"Ver")</f>
        <v>Ver</v>
      </c>
      <c r="H9" s="128" t="s">
        <v>291</v>
      </c>
      <c r="I9" s="133"/>
    </row>
    <row r="10" spans="2:9" ht="22.8" x14ac:dyDescent="0.3">
      <c r="B10" s="127" t="s">
        <v>163</v>
      </c>
      <c r="C10" s="128" t="s">
        <v>161</v>
      </c>
      <c r="D10" s="130">
        <f>D8+SumUDig</f>
        <v>35</v>
      </c>
      <c r="E10" s="130" t="s">
        <v>53</v>
      </c>
      <c r="F10" s="131" t="s">
        <v>306</v>
      </c>
      <c r="G10" s="132" t="str">
        <f t="shared" si="0"/>
        <v>Ver</v>
      </c>
      <c r="H10" s="128"/>
      <c r="I10" s="133"/>
    </row>
    <row r="11" spans="2:9" x14ac:dyDescent="0.3">
      <c r="B11" s="127" t="s">
        <v>164</v>
      </c>
      <c r="C11" s="128" t="s">
        <v>162</v>
      </c>
      <c r="D11" s="130" cm="1">
        <f t="array" ref="D11">D9+SumUDig</f>
        <v>37</v>
      </c>
      <c r="E11" s="130" t="s">
        <v>53</v>
      </c>
      <c r="F11" s="131" t="s">
        <v>306</v>
      </c>
      <c r="G11" s="132" t="str">
        <f t="shared" si="0"/>
        <v>Ver</v>
      </c>
      <c r="H11" s="128"/>
      <c r="I11" s="133"/>
    </row>
    <row r="12" spans="2:9" x14ac:dyDescent="0.3">
      <c r="B12" s="127" t="s">
        <v>39</v>
      </c>
      <c r="C12" s="128" t="s">
        <v>172</v>
      </c>
      <c r="D12" s="129">
        <v>12</v>
      </c>
      <c r="E12" s="130" t="s">
        <v>53</v>
      </c>
      <c r="F12" s="131" t="s">
        <v>306</v>
      </c>
      <c r="G12" s="132" t="str">
        <f t="shared" si="0"/>
        <v>Ver</v>
      </c>
      <c r="H12" s="128" t="s">
        <v>291</v>
      </c>
      <c r="I12" s="133"/>
    </row>
    <row r="13" spans="2:9" x14ac:dyDescent="0.3">
      <c r="B13" s="127" t="s">
        <v>60</v>
      </c>
      <c r="C13" s="128" t="s">
        <v>65</v>
      </c>
      <c r="D13" s="129">
        <v>6</v>
      </c>
      <c r="E13" s="130" t="s">
        <v>53</v>
      </c>
      <c r="F13" s="131" t="s">
        <v>306</v>
      </c>
      <c r="G13" s="132" t="str">
        <f t="shared" si="0"/>
        <v>Ver</v>
      </c>
      <c r="H13" s="128" t="s">
        <v>291</v>
      </c>
      <c r="I13" s="133"/>
    </row>
    <row r="14" spans="2:9" x14ac:dyDescent="0.3">
      <c r="B14" s="127" t="s">
        <v>40</v>
      </c>
      <c r="C14" s="128" t="s">
        <v>64</v>
      </c>
      <c r="D14" s="129">
        <v>12</v>
      </c>
      <c r="E14" s="130" t="s">
        <v>53</v>
      </c>
      <c r="F14" s="131" t="s">
        <v>306</v>
      </c>
      <c r="G14" s="132" t="str">
        <f t="shared" si="0"/>
        <v>Ver</v>
      </c>
      <c r="H14" s="128" t="s">
        <v>291</v>
      </c>
      <c r="I14" s="133"/>
    </row>
    <row r="15" spans="2:9" ht="22.8" x14ac:dyDescent="0.3">
      <c r="B15" s="127" t="s">
        <v>52</v>
      </c>
      <c r="C15" s="128" t="s">
        <v>61</v>
      </c>
      <c r="D15" s="130">
        <f>D10</f>
        <v>35</v>
      </c>
      <c r="E15" s="130" t="s">
        <v>53</v>
      </c>
      <c r="F15" s="131" t="s">
        <v>306</v>
      </c>
      <c r="G15" s="132" t="str">
        <f t="shared" si="0"/>
        <v>Ver</v>
      </c>
      <c r="H15" s="128"/>
      <c r="I15" s="133"/>
    </row>
    <row r="16" spans="2:9" x14ac:dyDescent="0.3">
      <c r="B16" s="127" t="s">
        <v>51</v>
      </c>
      <c r="C16" s="128" t="s">
        <v>59</v>
      </c>
      <c r="D16" s="130">
        <f>D11+D14+D13</f>
        <v>55</v>
      </c>
      <c r="E16" s="130" t="s">
        <v>53</v>
      </c>
      <c r="F16" s="131" t="s">
        <v>306</v>
      </c>
      <c r="G16" s="132" t="str">
        <f t="shared" si="0"/>
        <v>Ver</v>
      </c>
      <c r="H16" s="128"/>
      <c r="I16" s="133"/>
    </row>
    <row r="17" spans="2:9" ht="22.8" x14ac:dyDescent="0.3">
      <c r="B17" s="127" t="s">
        <v>50</v>
      </c>
      <c r="C17" s="128" t="s">
        <v>130</v>
      </c>
      <c r="D17" s="130">
        <f>D16*D15</f>
        <v>1925</v>
      </c>
      <c r="E17" s="130" t="s">
        <v>54</v>
      </c>
      <c r="F17" s="131" t="s">
        <v>306</v>
      </c>
      <c r="G17" s="132" t="str">
        <f t="shared" si="0"/>
        <v>Ver</v>
      </c>
      <c r="H17" s="128"/>
      <c r="I17" s="133"/>
    </row>
    <row r="18" spans="2:9" x14ac:dyDescent="0.3">
      <c r="B18" s="134" t="s">
        <v>100</v>
      </c>
      <c r="C18" s="135" t="s">
        <v>101</v>
      </c>
      <c r="D18" s="152">
        <f>D32+D30</f>
        <v>1435</v>
      </c>
      <c r="E18" s="130" t="s">
        <v>54</v>
      </c>
      <c r="F18" s="131" t="s">
        <v>306</v>
      </c>
      <c r="G18" s="132" t="str">
        <f t="shared" si="0"/>
        <v>Ver</v>
      </c>
      <c r="H18" s="135"/>
      <c r="I18" s="153"/>
    </row>
    <row r="19" spans="2:9" x14ac:dyDescent="0.3">
      <c r="B19" s="134" t="s">
        <v>98</v>
      </c>
      <c r="C19" s="135" t="s">
        <v>131</v>
      </c>
      <c r="D19" s="152">
        <f>D32+D30+D46</f>
        <v>1495</v>
      </c>
      <c r="E19" s="130" t="s">
        <v>54</v>
      </c>
      <c r="F19" s="131" t="s">
        <v>306</v>
      </c>
      <c r="G19" s="132" t="str">
        <f t="shared" si="0"/>
        <v>Ver</v>
      </c>
      <c r="H19" s="135"/>
      <c r="I19" s="153"/>
    </row>
    <row r="20" spans="2:9" ht="34.200000000000003" x14ac:dyDescent="0.3">
      <c r="B20" s="134" t="s">
        <v>66</v>
      </c>
      <c r="C20" s="135" t="s">
        <v>132</v>
      </c>
      <c r="D20" s="152">
        <f>D18/D17</f>
        <v>0.74545454545454548</v>
      </c>
      <c r="E20" s="152" t="s">
        <v>67</v>
      </c>
      <c r="F20" s="131" t="s">
        <v>306</v>
      </c>
      <c r="G20" s="132" t="str">
        <f t="shared" si="0"/>
        <v>Ver</v>
      </c>
      <c r="H20" s="135"/>
      <c r="I20" s="153"/>
    </row>
    <row r="21" spans="2:9" ht="22.8" x14ac:dyDescent="0.3">
      <c r="B21" s="134" t="s">
        <v>99</v>
      </c>
      <c r="C21" s="135" t="s">
        <v>133</v>
      </c>
      <c r="D21" s="152">
        <f>D19/D17</f>
        <v>0.77662337662337666</v>
      </c>
      <c r="E21" s="152" t="s">
        <v>67</v>
      </c>
      <c r="F21" s="131" t="s">
        <v>306</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319</v>
      </c>
      <c r="C23" s="147"/>
      <c r="D23" s="148"/>
      <c r="E23" s="148"/>
      <c r="F23" s="149"/>
      <c r="G23" s="148"/>
      <c r="H23" s="150"/>
      <c r="I23" s="151"/>
    </row>
    <row r="24" spans="2:9" ht="34.200000000000003" x14ac:dyDescent="0.3">
      <c r="B24" s="127" t="s">
        <v>71</v>
      </c>
      <c r="C24" s="128" t="s">
        <v>134</v>
      </c>
      <c r="D24" s="129">
        <v>2</v>
      </c>
      <c r="E24" s="130" t="s">
        <v>53</v>
      </c>
      <c r="F24" s="131" t="s">
        <v>306</v>
      </c>
      <c r="G24" s="132" t="str">
        <f t="shared" si="0"/>
        <v>Ver</v>
      </c>
      <c r="H24" s="128" t="s">
        <v>291</v>
      </c>
      <c r="I24" s="133">
        <v>5</v>
      </c>
    </row>
    <row r="25" spans="2:9" ht="57" x14ac:dyDescent="0.3">
      <c r="B25" s="127" t="s">
        <v>72</v>
      </c>
      <c r="C25" s="128" t="s">
        <v>82</v>
      </c>
      <c r="D25" s="32">
        <v>5</v>
      </c>
      <c r="E25" s="130" t="s">
        <v>68</v>
      </c>
      <c r="F25" s="131" t="s">
        <v>306</v>
      </c>
      <c r="G25" s="132" t="str">
        <f t="shared" si="0"/>
        <v>Ver</v>
      </c>
      <c r="H25" s="128"/>
      <c r="I25" s="133"/>
    </row>
    <row r="26" spans="2:9" ht="45.6" x14ac:dyDescent="0.3">
      <c r="B26" s="127" t="s">
        <v>73</v>
      </c>
      <c r="C26" s="128" t="s">
        <v>70</v>
      </c>
      <c r="D26" s="130">
        <f>ROUND(ATAN(D25/100)*180/PI(),0)</f>
        <v>3</v>
      </c>
      <c r="E26" s="130" t="s">
        <v>69</v>
      </c>
      <c r="F26" s="131" t="s">
        <v>306</v>
      </c>
      <c r="G26" s="132" t="str">
        <f t="shared" si="0"/>
        <v>Ver</v>
      </c>
      <c r="H26" s="128"/>
      <c r="I26" s="133"/>
    </row>
    <row r="27" spans="2:9" ht="22.8" x14ac:dyDescent="0.3">
      <c r="B27" s="134" t="s">
        <v>75</v>
      </c>
      <c r="C27" s="135" t="s">
        <v>317</v>
      </c>
      <c r="D27" s="155">
        <v>0.6</v>
      </c>
      <c r="E27" s="152" t="s">
        <v>53</v>
      </c>
      <c r="F27" s="131" t="s">
        <v>306</v>
      </c>
      <c r="G27" s="132" t="str">
        <f t="shared" si="0"/>
        <v>Ver</v>
      </c>
      <c r="H27" s="135"/>
      <c r="I27" s="153"/>
    </row>
    <row r="28" spans="2:9" ht="33.6" x14ac:dyDescent="0.3">
      <c r="B28" s="127" t="s">
        <v>74</v>
      </c>
      <c r="C28" s="128" t="s">
        <v>135</v>
      </c>
      <c r="D28" s="129">
        <v>0.2</v>
      </c>
      <c r="E28" s="130" t="s">
        <v>53</v>
      </c>
      <c r="F28" s="131" t="s">
        <v>306</v>
      </c>
      <c r="G28" s="132" t="str">
        <f t="shared" si="0"/>
        <v>Ver</v>
      </c>
      <c r="H28" s="128"/>
      <c r="I28" s="133"/>
    </row>
    <row r="29" spans="2:9" x14ac:dyDescent="0.3">
      <c r="B29" s="127" t="s">
        <v>136</v>
      </c>
      <c r="C29" s="128" t="s">
        <v>138</v>
      </c>
      <c r="D29" s="129">
        <v>2</v>
      </c>
      <c r="E29" s="130" t="s">
        <v>67</v>
      </c>
      <c r="F29" s="131" t="s">
        <v>306</v>
      </c>
      <c r="G29" s="132" t="str">
        <f t="shared" si="0"/>
        <v>Ver</v>
      </c>
      <c r="H29" s="128"/>
      <c r="I29" s="133"/>
    </row>
    <row r="30" spans="2:9" ht="22.8" x14ac:dyDescent="0.3">
      <c r="B30" s="134" t="s">
        <v>76</v>
      </c>
      <c r="C30" s="135" t="s">
        <v>137</v>
      </c>
      <c r="D30" s="152">
        <f>(D27-D28)*(D11+D24+D24)*D29</f>
        <v>32.799999999999997</v>
      </c>
      <c r="E30" s="130" t="s">
        <v>54</v>
      </c>
      <c r="F30" s="131" t="s">
        <v>306</v>
      </c>
      <c r="G30" s="132" t="str">
        <f t="shared" si="0"/>
        <v>Ver</v>
      </c>
      <c r="H30" s="135"/>
      <c r="I30" s="153"/>
    </row>
    <row r="31" spans="2:9" ht="34.200000000000003" x14ac:dyDescent="0.3">
      <c r="B31" s="127" t="s">
        <v>139</v>
      </c>
      <c r="C31" s="128" t="s">
        <v>141</v>
      </c>
      <c r="D31" s="130">
        <f>(D10*D11)-D30</f>
        <v>1262.2</v>
      </c>
      <c r="E31" s="130" t="s">
        <v>54</v>
      </c>
      <c r="F31" s="131" t="s">
        <v>306</v>
      </c>
      <c r="G31" s="132" t="str">
        <f t="shared" si="0"/>
        <v>Ver</v>
      </c>
      <c r="H31" s="128"/>
      <c r="I31" s="133"/>
    </row>
    <row r="32" spans="2:9" ht="45.6" x14ac:dyDescent="0.3">
      <c r="B32" s="127" t="s">
        <v>140</v>
      </c>
      <c r="C32" s="128" t="s">
        <v>142</v>
      </c>
      <c r="D32" s="130">
        <f>((D10*D11)+D10*(D24+D24))-D30</f>
        <v>1402.2</v>
      </c>
      <c r="E32" s="130" t="s">
        <v>54</v>
      </c>
      <c r="F32" s="131" t="s">
        <v>306</v>
      </c>
      <c r="G32" s="132" t="str">
        <f t="shared" si="0"/>
        <v>Ver</v>
      </c>
      <c r="H32" s="128"/>
      <c r="I32" s="133"/>
    </row>
    <row r="33" spans="2:9" ht="22.8" x14ac:dyDescent="0.3">
      <c r="B33" s="127" t="s">
        <v>77</v>
      </c>
      <c r="C33" s="128" t="s">
        <v>123</v>
      </c>
      <c r="D33" s="129">
        <v>10</v>
      </c>
      <c r="E33" s="130" t="s">
        <v>53</v>
      </c>
      <c r="F33" s="131" t="s">
        <v>330</v>
      </c>
      <c r="G33" s="132" t="str">
        <f t="shared" si="0"/>
        <v>Ver</v>
      </c>
      <c r="H33" s="128"/>
      <c r="I33" s="133"/>
    </row>
    <row r="34" spans="2:9" ht="45.6" x14ac:dyDescent="0.3">
      <c r="B34" s="127" t="s">
        <v>78</v>
      </c>
      <c r="C34" s="128" t="s">
        <v>143</v>
      </c>
      <c r="D34" s="130">
        <f>EVEN(D31/(D33*D33))</f>
        <v>14</v>
      </c>
      <c r="E34" s="130" t="s">
        <v>115</v>
      </c>
      <c r="F34" s="131" t="s">
        <v>330</v>
      </c>
      <c r="G34" s="132" t="str">
        <f t="shared" si="0"/>
        <v>Ver</v>
      </c>
      <c r="H34" s="128"/>
      <c r="I34" s="133"/>
    </row>
    <row r="35" spans="2:9" ht="22.8" x14ac:dyDescent="0.3">
      <c r="B35" s="127" t="s">
        <v>79</v>
      </c>
      <c r="C35" s="128" t="s">
        <v>62</v>
      </c>
      <c r="D35" s="129">
        <v>1200</v>
      </c>
      <c r="E35" s="130" t="s">
        <v>63</v>
      </c>
      <c r="F35" s="131" t="s">
        <v>330</v>
      </c>
      <c r="G35" s="132" t="str">
        <f t="shared" si="0"/>
        <v>Ver</v>
      </c>
      <c r="H35" s="128"/>
      <c r="I35" s="133"/>
    </row>
    <row r="36" spans="2:9" ht="34.200000000000003" x14ac:dyDescent="0.3">
      <c r="B36" s="127" t="s">
        <v>80</v>
      </c>
      <c r="C36" s="128" t="s">
        <v>338</v>
      </c>
      <c r="D36" s="130">
        <f>D35*D35/(1000*1000)</f>
        <v>1.44</v>
      </c>
      <c r="E36" s="130" t="s">
        <v>54</v>
      </c>
      <c r="F36" s="131" t="s">
        <v>330</v>
      </c>
      <c r="G36" s="132" t="str">
        <f t="shared" si="0"/>
        <v>Ver</v>
      </c>
      <c r="H36" s="128"/>
      <c r="I36" s="133"/>
    </row>
    <row r="37" spans="2:9" ht="33.6" x14ac:dyDescent="0.3">
      <c r="B37" s="127" t="s">
        <v>81</v>
      </c>
      <c r="C37" s="128" t="s">
        <v>144</v>
      </c>
      <c r="D37" s="130">
        <f>D34*D36</f>
        <v>20.16</v>
      </c>
      <c r="E37" s="130" t="s">
        <v>54</v>
      </c>
      <c r="F37" s="131" t="s">
        <v>330</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339</v>
      </c>
      <c r="C39" s="147"/>
      <c r="D39" s="148"/>
      <c r="E39" s="148"/>
      <c r="F39" s="149"/>
      <c r="G39" s="148"/>
      <c r="H39" s="150"/>
      <c r="I39" s="151"/>
    </row>
    <row r="40" spans="2:9" x14ac:dyDescent="0.3">
      <c r="B40" s="127" t="s">
        <v>340</v>
      </c>
      <c r="C40" s="128" t="s">
        <v>86</v>
      </c>
      <c r="D40" s="129">
        <v>1</v>
      </c>
      <c r="E40" s="130" t="s">
        <v>53</v>
      </c>
      <c r="F40" s="131" t="s">
        <v>306</v>
      </c>
      <c r="G40" s="132" t="str">
        <f t="shared" si="0"/>
        <v>Ver</v>
      </c>
      <c r="H40" s="128"/>
      <c r="I40" s="133">
        <v>5</v>
      </c>
    </row>
    <row r="41" spans="2:9" ht="22.8" x14ac:dyDescent="0.3">
      <c r="B41" s="127" t="s">
        <v>83</v>
      </c>
      <c r="C41" s="128" t="s">
        <v>87</v>
      </c>
      <c r="D41" s="129">
        <v>15</v>
      </c>
      <c r="E41" s="130" t="s">
        <v>53</v>
      </c>
      <c r="F41" s="131" t="s">
        <v>306</v>
      </c>
      <c r="G41" s="132" t="str">
        <f t="shared" si="0"/>
        <v>Ver</v>
      </c>
      <c r="H41" s="128"/>
      <c r="I41" s="133"/>
    </row>
    <row r="42" spans="2:9" ht="22.8" x14ac:dyDescent="0.3">
      <c r="B42" s="127" t="s">
        <v>84</v>
      </c>
      <c r="C42" s="128" t="s">
        <v>341</v>
      </c>
      <c r="D42" s="130">
        <f>D11+(INT(D11/D41)*D10)</f>
        <v>107</v>
      </c>
      <c r="E42" s="130" t="s">
        <v>53</v>
      </c>
      <c r="F42" s="131" t="s">
        <v>306</v>
      </c>
      <c r="G42" s="132" t="str">
        <f t="shared" si="0"/>
        <v>Ver</v>
      </c>
      <c r="H42" s="128"/>
      <c r="I42" s="133"/>
    </row>
    <row r="43" spans="2:9" x14ac:dyDescent="0.3">
      <c r="B43" s="127" t="s">
        <v>85</v>
      </c>
      <c r="C43" s="128" t="s">
        <v>88</v>
      </c>
      <c r="D43" s="130">
        <f>D42*D40</f>
        <v>107</v>
      </c>
      <c r="E43" s="130" t="s">
        <v>54</v>
      </c>
      <c r="F43" s="131" t="s">
        <v>306</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320</v>
      </c>
      <c r="C45" s="147"/>
      <c r="D45" s="148"/>
      <c r="E45" s="148"/>
      <c r="F45" s="149"/>
      <c r="G45" s="148"/>
      <c r="H45" s="150"/>
      <c r="I45" s="151"/>
    </row>
    <row r="46" spans="2:9" ht="34.200000000000003" x14ac:dyDescent="0.3">
      <c r="B46" s="127" t="s">
        <v>41</v>
      </c>
      <c r="C46" s="128" t="s">
        <v>321</v>
      </c>
      <c r="D46" s="129">
        <v>60</v>
      </c>
      <c r="E46" s="130" t="s">
        <v>54</v>
      </c>
      <c r="F46" s="131" t="s">
        <v>306</v>
      </c>
      <c r="G46" s="132" t="str">
        <f t="shared" si="0"/>
        <v>Ver</v>
      </c>
      <c r="H46" s="128"/>
      <c r="I46" s="133">
        <v>5</v>
      </c>
    </row>
    <row r="47" spans="2:9" ht="34.200000000000003" x14ac:dyDescent="0.3">
      <c r="B47" s="127" t="s">
        <v>42</v>
      </c>
      <c r="C47" s="128" t="s">
        <v>43</v>
      </c>
      <c r="D47" s="129">
        <v>24</v>
      </c>
      <c r="E47" s="130" t="s">
        <v>54</v>
      </c>
      <c r="F47" s="131" t="s">
        <v>306</v>
      </c>
      <c r="G47" s="132" t="str">
        <f t="shared" si="0"/>
        <v>Ver</v>
      </c>
      <c r="H47" s="128"/>
      <c r="I47" s="133"/>
    </row>
    <row r="48" spans="2:9" ht="22.8" x14ac:dyDescent="0.3">
      <c r="B48" s="127" t="s">
        <v>89</v>
      </c>
      <c r="C48" s="128" t="s">
        <v>124</v>
      </c>
      <c r="D48" s="129">
        <v>3.9900000000000007</v>
      </c>
      <c r="E48" s="130" t="s">
        <v>53</v>
      </c>
      <c r="F48" s="131" t="s">
        <v>306</v>
      </c>
      <c r="G48" s="132" t="str">
        <f t="shared" si="0"/>
        <v>Ver</v>
      </c>
      <c r="H48" s="128"/>
      <c r="I48" s="133"/>
    </row>
    <row r="49" spans="2:9" ht="22.8" x14ac:dyDescent="0.3">
      <c r="B49" s="127" t="s">
        <v>90</v>
      </c>
      <c r="C49" s="128" t="s">
        <v>145</v>
      </c>
      <c r="D49" s="130">
        <f>D46-D54</f>
        <v>52.943999999999996</v>
      </c>
      <c r="E49" s="130" t="s">
        <v>54</v>
      </c>
      <c r="F49" s="131" t="s">
        <v>306</v>
      </c>
      <c r="G49" s="132" t="str">
        <f t="shared" si="0"/>
        <v>Ver</v>
      </c>
      <c r="H49" s="128"/>
      <c r="I49" s="133"/>
    </row>
    <row r="50" spans="2:9" ht="22.8" x14ac:dyDescent="0.3">
      <c r="B50" s="127" t="s">
        <v>57</v>
      </c>
      <c r="C50" s="128" t="s">
        <v>56</v>
      </c>
      <c r="D50" s="129">
        <v>28</v>
      </c>
      <c r="E50" s="130" t="s">
        <v>55</v>
      </c>
      <c r="F50" s="131" t="s">
        <v>306</v>
      </c>
      <c r="G50" s="132" t="str">
        <f t="shared" si="0"/>
        <v>Ver</v>
      </c>
      <c r="H50" s="128"/>
      <c r="I50" s="133"/>
    </row>
    <row r="51" spans="2:9" ht="22.8" x14ac:dyDescent="0.3">
      <c r="B51" s="127" t="s">
        <v>93</v>
      </c>
      <c r="C51" s="128" t="s">
        <v>58</v>
      </c>
      <c r="D51" s="129">
        <v>19</v>
      </c>
      <c r="E51" s="130" t="s">
        <v>55</v>
      </c>
      <c r="F51" s="131" t="s">
        <v>306</v>
      </c>
      <c r="G51" s="132" t="str">
        <f t="shared" si="0"/>
        <v>Ver</v>
      </c>
      <c r="H51" s="128"/>
      <c r="I51" s="133"/>
    </row>
    <row r="52" spans="2:9" x14ac:dyDescent="0.3">
      <c r="B52" s="127" t="s">
        <v>91</v>
      </c>
      <c r="C52" s="128" t="s">
        <v>92</v>
      </c>
      <c r="D52" s="130">
        <f>D48/(D51/100)</f>
        <v>21.000000000000004</v>
      </c>
      <c r="E52" s="130" t="s">
        <v>49</v>
      </c>
      <c r="F52" s="131" t="s">
        <v>306</v>
      </c>
      <c r="G52" s="132" t="str">
        <f t="shared" si="0"/>
        <v>Ver</v>
      </c>
      <c r="H52" s="128"/>
      <c r="I52" s="133"/>
    </row>
    <row r="53" spans="2:9" x14ac:dyDescent="0.3">
      <c r="B53" s="127" t="s">
        <v>94</v>
      </c>
      <c r="C53" s="128" t="s">
        <v>95</v>
      </c>
      <c r="D53" s="129">
        <v>1.2</v>
      </c>
      <c r="E53" s="130" t="s">
        <v>53</v>
      </c>
      <c r="F53" s="131" t="s">
        <v>306</v>
      </c>
      <c r="G53" s="132" t="str">
        <f t="shared" si="0"/>
        <v>Ver</v>
      </c>
      <c r="H53" s="128"/>
      <c r="I53" s="133"/>
    </row>
    <row r="54" spans="2:9" ht="22.8" x14ac:dyDescent="0.3">
      <c r="B54" s="127" t="s">
        <v>96</v>
      </c>
      <c r="C54" s="128" t="s">
        <v>97</v>
      </c>
      <c r="D54" s="157">
        <f>D53*D52*(D50/100)</f>
        <v>7.0560000000000018</v>
      </c>
      <c r="E54" s="130" t="s">
        <v>54</v>
      </c>
      <c r="F54" s="131" t="s">
        <v>306</v>
      </c>
      <c r="G54" s="132" t="str">
        <f t="shared" si="0"/>
        <v>Ver</v>
      </c>
      <c r="H54" s="128"/>
      <c r="I54" s="133"/>
    </row>
    <row r="55" spans="2:9" ht="68.400000000000006" x14ac:dyDescent="0.3">
      <c r="B55" s="127" t="s">
        <v>125</v>
      </c>
      <c r="C55" s="128" t="s">
        <v>184</v>
      </c>
      <c r="D55" s="129">
        <v>6</v>
      </c>
      <c r="E55" s="130" t="s">
        <v>53</v>
      </c>
      <c r="F55" s="131" t="s">
        <v>309</v>
      </c>
      <c r="G55" s="132" t="str">
        <f t="shared" si="0"/>
        <v>Ver</v>
      </c>
      <c r="H55" s="128"/>
      <c r="I55" s="133"/>
    </row>
    <row r="56" spans="2:9" ht="68.400000000000006" x14ac:dyDescent="0.3">
      <c r="B56" s="127" t="s">
        <v>126</v>
      </c>
      <c r="C56" s="128" t="s">
        <v>185</v>
      </c>
      <c r="D56" s="129">
        <v>4.5</v>
      </c>
      <c r="E56" s="130" t="s">
        <v>53</v>
      </c>
      <c r="F56" s="131" t="s">
        <v>309</v>
      </c>
      <c r="G56" s="132" t="str">
        <f t="shared" si="0"/>
        <v>Ver</v>
      </c>
      <c r="H56" s="128"/>
      <c r="I56" s="133"/>
    </row>
    <row r="57" spans="2:9" x14ac:dyDescent="0.3">
      <c r="B57" s="127" t="s">
        <v>128</v>
      </c>
      <c r="C57" s="128" t="s">
        <v>127</v>
      </c>
      <c r="D57" s="129">
        <v>1.2</v>
      </c>
      <c r="E57" s="130" t="s">
        <v>53</v>
      </c>
      <c r="F57" s="131" t="s">
        <v>309</v>
      </c>
      <c r="G57" s="132" t="str">
        <f t="shared" si="0"/>
        <v>Ver</v>
      </c>
      <c r="H57" s="128"/>
      <c r="I57" s="133"/>
    </row>
    <row r="58" spans="2:9" x14ac:dyDescent="0.3">
      <c r="B58" s="127" t="s">
        <v>182</v>
      </c>
      <c r="C58" s="128" t="s">
        <v>183</v>
      </c>
      <c r="D58" s="129">
        <v>2.2999999999999998</v>
      </c>
      <c r="E58" s="130" t="s">
        <v>53</v>
      </c>
      <c r="F58" s="131" t="s">
        <v>309</v>
      </c>
      <c r="G58" s="132" t="str">
        <f t="shared" si="0"/>
        <v>Ver</v>
      </c>
      <c r="H58" s="128"/>
      <c r="I58" s="133"/>
    </row>
    <row r="59" spans="2:9" ht="22.8" x14ac:dyDescent="0.3">
      <c r="B59" s="127" t="s">
        <v>129</v>
      </c>
      <c r="C59" s="128" t="s">
        <v>186</v>
      </c>
      <c r="D59" s="129">
        <v>3</v>
      </c>
      <c r="E59" s="130" t="s">
        <v>53</v>
      </c>
      <c r="F59" s="131" t="s">
        <v>309</v>
      </c>
      <c r="G59" s="132" t="str">
        <f t="shared" si="0"/>
        <v>Ver</v>
      </c>
      <c r="H59" s="128"/>
      <c r="I59" s="133"/>
    </row>
    <row r="60" spans="2:9" ht="22.8" x14ac:dyDescent="0.3">
      <c r="B60" s="127" t="s">
        <v>181</v>
      </c>
      <c r="C60" s="128" t="s">
        <v>187</v>
      </c>
      <c r="D60" s="129">
        <v>2</v>
      </c>
      <c r="E60" s="130" t="s">
        <v>53</v>
      </c>
      <c r="F60" s="131" t="s">
        <v>309</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322</v>
      </c>
      <c r="C62" s="159"/>
      <c r="D62" s="160"/>
      <c r="E62" s="160"/>
      <c r="F62" s="161"/>
      <c r="G62" s="160"/>
      <c r="H62" s="162"/>
      <c r="I62" s="163"/>
    </row>
    <row r="63" spans="2:9" ht="22.8" x14ac:dyDescent="0.3">
      <c r="B63" s="127" t="s">
        <v>165</v>
      </c>
      <c r="C63" s="128" t="s">
        <v>103</v>
      </c>
      <c r="D63" s="129">
        <v>40</v>
      </c>
      <c r="E63" s="130" t="s">
        <v>55</v>
      </c>
      <c r="F63" s="131" t="s">
        <v>330</v>
      </c>
      <c r="G63" s="132" t="str">
        <f t="shared" si="0"/>
        <v>Ver</v>
      </c>
      <c r="H63" s="128"/>
      <c r="I63" s="133">
        <v>5</v>
      </c>
    </row>
    <row r="64" spans="2:9" x14ac:dyDescent="0.3">
      <c r="B64" s="127" t="s">
        <v>346</v>
      </c>
      <c r="C64" s="128" t="s">
        <v>166</v>
      </c>
      <c r="D64" s="157">
        <f>D18</f>
        <v>1435</v>
      </c>
      <c r="E64" s="130" t="s">
        <v>54</v>
      </c>
      <c r="F64" s="131" t="s">
        <v>330</v>
      </c>
      <c r="G64" s="132" t="str">
        <f t="shared" si="0"/>
        <v>Ver</v>
      </c>
      <c r="H64" s="128"/>
      <c r="I64" s="133"/>
    </row>
    <row r="65" spans="2:9" ht="22.8" x14ac:dyDescent="0.3">
      <c r="B65" s="127" t="s">
        <v>102</v>
      </c>
      <c r="C65" s="128" t="s">
        <v>104</v>
      </c>
      <c r="D65" s="129">
        <v>20</v>
      </c>
      <c r="E65" s="130" t="s">
        <v>55</v>
      </c>
      <c r="F65" s="131" t="s">
        <v>330</v>
      </c>
      <c r="G65" s="132" t="str">
        <f t="shared" si="0"/>
        <v>Ver</v>
      </c>
      <c r="H65" s="128"/>
      <c r="I65" s="133"/>
    </row>
    <row r="66" spans="2:9" ht="33.6" x14ac:dyDescent="0.3">
      <c r="B66" s="127" t="s">
        <v>113</v>
      </c>
      <c r="C66" s="128" t="s">
        <v>106</v>
      </c>
      <c r="D66" s="129">
        <v>6</v>
      </c>
      <c r="E66" s="130" t="s">
        <v>53</v>
      </c>
      <c r="F66" s="131" t="s">
        <v>330</v>
      </c>
      <c r="G66" s="132" t="str">
        <f t="shared" si="0"/>
        <v>Ver</v>
      </c>
      <c r="H66" s="128"/>
      <c r="I66" s="133"/>
    </row>
    <row r="67" spans="2:9" ht="33.6" x14ac:dyDescent="0.3">
      <c r="B67" s="127" t="s">
        <v>114</v>
      </c>
      <c r="C67" s="128" t="s">
        <v>146</v>
      </c>
      <c r="D67" s="157">
        <f>ROUND(D10/D66,0)</f>
        <v>6</v>
      </c>
      <c r="E67" s="130" t="s">
        <v>115</v>
      </c>
      <c r="F67" s="131" t="s">
        <v>330</v>
      </c>
      <c r="G67" s="132" t="str">
        <f t="shared" si="0"/>
        <v>Ver</v>
      </c>
      <c r="H67" s="128"/>
      <c r="I67" s="133"/>
    </row>
    <row r="68" spans="2:9" ht="33.6" x14ac:dyDescent="0.3">
      <c r="B68" s="127" t="s">
        <v>116</v>
      </c>
      <c r="C68" s="128" t="s">
        <v>147</v>
      </c>
      <c r="D68" s="157">
        <f>ROUND(D11/D66,0)</f>
        <v>6</v>
      </c>
      <c r="E68" s="130" t="s">
        <v>115</v>
      </c>
      <c r="F68" s="131" t="s">
        <v>330</v>
      </c>
      <c r="G68" s="132" t="str">
        <f t="shared" si="0"/>
        <v>Ver</v>
      </c>
      <c r="H68" s="128"/>
      <c r="I68" s="133"/>
    </row>
    <row r="69" spans="2:9" x14ac:dyDescent="0.3">
      <c r="B69" s="127" t="s">
        <v>117</v>
      </c>
      <c r="C69" s="128" t="s">
        <v>118</v>
      </c>
      <c r="D69" s="157">
        <f>D68*D67</f>
        <v>36</v>
      </c>
      <c r="E69" s="130" t="s">
        <v>115</v>
      </c>
      <c r="F69" s="131" t="s">
        <v>330</v>
      </c>
      <c r="G69" s="132" t="str">
        <f t="shared" si="0"/>
        <v>Ver</v>
      </c>
      <c r="H69" s="128"/>
      <c r="I69" s="133"/>
    </row>
    <row r="70" spans="2:9" ht="34.200000000000003" x14ac:dyDescent="0.3">
      <c r="B70" s="127" t="s">
        <v>105</v>
      </c>
      <c r="C70" s="128" t="s">
        <v>337</v>
      </c>
      <c r="D70" s="129">
        <v>0.25</v>
      </c>
      <c r="E70" s="130" t="s">
        <v>53</v>
      </c>
      <c r="F70" s="131" t="s">
        <v>330</v>
      </c>
      <c r="G70" s="132" t="str">
        <f t="shared" si="0"/>
        <v>Ver</v>
      </c>
      <c r="H70" s="128"/>
      <c r="I70" s="133"/>
    </row>
    <row r="71" spans="2:9" ht="34.200000000000003" x14ac:dyDescent="0.3">
      <c r="B71" s="127" t="s">
        <v>107</v>
      </c>
      <c r="C71" s="128" t="s">
        <v>148</v>
      </c>
      <c r="D71" s="129">
        <v>0.4</v>
      </c>
      <c r="E71" s="130" t="s">
        <v>53</v>
      </c>
      <c r="F71" s="131" t="s">
        <v>330</v>
      </c>
      <c r="G71" s="132" t="str">
        <f t="shared" si="0"/>
        <v>Ver</v>
      </c>
      <c r="H71" s="128"/>
      <c r="I71" s="133"/>
    </row>
    <row r="72" spans="2:9" ht="34.200000000000003" x14ac:dyDescent="0.3">
      <c r="B72" s="127" t="s">
        <v>109</v>
      </c>
      <c r="C72" s="128" t="s">
        <v>111</v>
      </c>
      <c r="D72" s="129">
        <v>0.15</v>
      </c>
      <c r="E72" s="130" t="s">
        <v>53</v>
      </c>
      <c r="F72" s="131" t="s">
        <v>330</v>
      </c>
      <c r="G72" s="132" t="str">
        <f t="shared" si="0"/>
        <v>Ver</v>
      </c>
      <c r="H72" s="128"/>
      <c r="I72" s="133"/>
    </row>
    <row r="73" spans="2:9" ht="34.200000000000003" x14ac:dyDescent="0.3">
      <c r="B73" s="127" t="s">
        <v>110</v>
      </c>
      <c r="C73" s="128" t="s">
        <v>112</v>
      </c>
      <c r="D73" s="129">
        <v>0.4</v>
      </c>
      <c r="E73" s="130" t="s">
        <v>53</v>
      </c>
      <c r="F73" s="131" t="s">
        <v>330</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330</v>
      </c>
      <c r="G74" s="132" t="str">
        <f t="shared" si="1"/>
        <v>Ver</v>
      </c>
      <c r="H74" s="128"/>
      <c r="I74" s="133"/>
    </row>
    <row r="75" spans="2:9" ht="34.200000000000003" x14ac:dyDescent="0.3">
      <c r="B75" s="127" t="s">
        <v>120</v>
      </c>
      <c r="C75" s="128" t="s">
        <v>122</v>
      </c>
      <c r="D75" s="157">
        <f>(D11-D71)/D68</f>
        <v>6.1000000000000005</v>
      </c>
      <c r="E75" s="130" t="s">
        <v>53</v>
      </c>
      <c r="F75" s="131" t="s">
        <v>330</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323</v>
      </c>
      <c r="C77" s="159"/>
      <c r="D77" s="160"/>
      <c r="E77" s="160"/>
      <c r="F77" s="161"/>
      <c r="G77" s="160"/>
      <c r="H77" s="162"/>
      <c r="I77" s="163"/>
    </row>
    <row r="78" spans="2:9" x14ac:dyDescent="0.3">
      <c r="B78" s="127" t="s">
        <v>168</v>
      </c>
      <c r="C78" s="177" t="s">
        <v>167</v>
      </c>
      <c r="D78" s="178">
        <f>D64</f>
        <v>1435</v>
      </c>
      <c r="E78" s="178" t="s">
        <v>54</v>
      </c>
      <c r="F78" s="131" t="s">
        <v>330</v>
      </c>
      <c r="G78" s="132" t="str">
        <f t="shared" ref="G78:G88" si="2">HYPERLINK(_xlfn.CONCAT("https://github.com/rcfdtools/R.DAPC/blob/main/activity/",F78,"/Readme.md"),"Ver")</f>
        <v>Ver</v>
      </c>
      <c r="H78" s="128"/>
      <c r="I78" s="133"/>
    </row>
    <row r="79" spans="2:9" ht="33.6" x14ac:dyDescent="0.3">
      <c r="B79" s="127" t="s">
        <v>169</v>
      </c>
      <c r="C79" s="177" t="s">
        <v>170</v>
      </c>
      <c r="D79" s="178">
        <f>D78*D63</f>
        <v>57400</v>
      </c>
      <c r="E79" s="178" t="s">
        <v>171</v>
      </c>
      <c r="F79" s="131" t="s">
        <v>330</v>
      </c>
      <c r="G79" s="132" t="str">
        <f t="shared" si="2"/>
        <v>Ver</v>
      </c>
      <c r="H79" s="128"/>
      <c r="I79" s="133"/>
    </row>
    <row r="80" spans="2:9" x14ac:dyDescent="0.3">
      <c r="B80" s="127" t="s">
        <v>180</v>
      </c>
      <c r="C80" s="177" t="s">
        <v>179</v>
      </c>
      <c r="D80" s="178">
        <f>D49</f>
        <v>52.943999999999996</v>
      </c>
      <c r="E80" s="178" t="s">
        <v>54</v>
      </c>
      <c r="F80" s="131" t="s">
        <v>330</v>
      </c>
      <c r="G80" s="132" t="str">
        <f t="shared" si="2"/>
        <v>Ver</v>
      </c>
      <c r="H80" s="179"/>
      <c r="I80" s="114"/>
    </row>
    <row r="81" spans="2:9" x14ac:dyDescent="0.3">
      <c r="B81" s="127" t="s">
        <v>173</v>
      </c>
      <c r="C81" s="177" t="s">
        <v>174</v>
      </c>
      <c r="D81" s="178">
        <f>D69</f>
        <v>36</v>
      </c>
      <c r="E81" s="178" t="s">
        <v>115</v>
      </c>
      <c r="F81" s="131" t="s">
        <v>330</v>
      </c>
      <c r="G81" s="132" t="str">
        <f t="shared" si="2"/>
        <v>Ver</v>
      </c>
      <c r="H81" s="179"/>
      <c r="I81" s="114"/>
    </row>
    <row r="82" spans="2:9" ht="33.6" x14ac:dyDescent="0.3">
      <c r="B82" s="127" t="s">
        <v>175</v>
      </c>
      <c r="C82" s="177" t="s">
        <v>176</v>
      </c>
      <c r="D82" s="178">
        <f>D81*D12</f>
        <v>432</v>
      </c>
      <c r="E82" s="178" t="s">
        <v>53</v>
      </c>
      <c r="F82" s="131" t="s">
        <v>330</v>
      </c>
      <c r="G82" s="132" t="str">
        <f t="shared" si="2"/>
        <v>Ver</v>
      </c>
      <c r="H82" s="179"/>
      <c r="I82" s="114"/>
    </row>
    <row r="83" spans="2:9" ht="33.6" x14ac:dyDescent="0.3">
      <c r="B83" s="127" t="s">
        <v>177</v>
      </c>
      <c r="C83" s="177" t="s">
        <v>178</v>
      </c>
      <c r="D83" s="178">
        <f>((D67*D9)+(D68*D8))*INT(D12/D48)</f>
        <v>324</v>
      </c>
      <c r="E83" s="178" t="s">
        <v>53</v>
      </c>
      <c r="F83" s="131" t="s">
        <v>330</v>
      </c>
      <c r="G83" s="132" t="str">
        <f t="shared" si="2"/>
        <v>Ver</v>
      </c>
      <c r="H83" s="179"/>
      <c r="I83" s="114"/>
    </row>
    <row r="84" spans="2:9" ht="33.6" x14ac:dyDescent="0.3">
      <c r="B84" s="127" t="s">
        <v>188</v>
      </c>
      <c r="C84" s="177" t="s">
        <v>191</v>
      </c>
      <c r="D84" s="180" t="s">
        <v>190</v>
      </c>
      <c r="E84" s="178" t="s">
        <v>54</v>
      </c>
      <c r="F84" s="131" t="s">
        <v>330</v>
      </c>
      <c r="G84" s="132" t="str">
        <f t="shared" si="2"/>
        <v>Ver</v>
      </c>
      <c r="H84" s="179"/>
      <c r="I84" s="114">
        <v>5</v>
      </c>
    </row>
    <row r="85" spans="2:9" x14ac:dyDescent="0.3">
      <c r="B85" s="127" t="s">
        <v>189</v>
      </c>
      <c r="C85" s="177" t="s">
        <v>192</v>
      </c>
      <c r="D85" s="180">
        <v>2</v>
      </c>
      <c r="E85" s="178" t="s">
        <v>115</v>
      </c>
      <c r="F85" s="131" t="s">
        <v>330</v>
      </c>
      <c r="G85" s="132" t="str">
        <f t="shared" si="2"/>
        <v>Ver</v>
      </c>
      <c r="H85" s="179"/>
      <c r="I85" s="114"/>
    </row>
    <row r="86" spans="2:9" ht="50.4" x14ac:dyDescent="0.3">
      <c r="B86" s="127" t="s">
        <v>46</v>
      </c>
      <c r="C86" s="177" t="s">
        <v>193</v>
      </c>
      <c r="D86" s="180" t="s">
        <v>190</v>
      </c>
      <c r="E86" s="178" t="s">
        <v>115</v>
      </c>
      <c r="F86" s="131" t="s">
        <v>330</v>
      </c>
      <c r="G86" s="132" t="str">
        <f t="shared" si="2"/>
        <v>Ver</v>
      </c>
      <c r="H86" s="179"/>
      <c r="I86" s="114"/>
    </row>
    <row r="87" spans="2:9" ht="33.6" x14ac:dyDescent="0.3">
      <c r="B87" s="127" t="s">
        <v>47</v>
      </c>
      <c r="C87" s="177" t="s">
        <v>194</v>
      </c>
      <c r="D87" s="180" t="s">
        <v>190</v>
      </c>
      <c r="E87" s="178" t="s">
        <v>115</v>
      </c>
      <c r="F87" s="131" t="s">
        <v>330</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270</v>
      </c>
      <c r="I90" s="120">
        <f>AVERAGE(I7:I88)</f>
        <v>5</v>
      </c>
    </row>
    <row r="91" spans="2:9" x14ac:dyDescent="0.3">
      <c r="B91" s="47" t="s">
        <v>333</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F20" sqref="F20"/>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222</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324</v>
      </c>
      <c r="C7" s="17"/>
      <c r="D7" s="18"/>
      <c r="E7" s="18"/>
      <c r="F7" s="89"/>
      <c r="G7" s="18"/>
      <c r="H7" s="54"/>
      <c r="I7" s="42"/>
    </row>
    <row r="8" spans="2:9" ht="57" x14ac:dyDescent="0.3">
      <c r="B8" s="16" t="s">
        <v>210</v>
      </c>
      <c r="C8" s="19" t="s">
        <v>293</v>
      </c>
      <c r="D8" s="15">
        <v>1</v>
      </c>
      <c r="E8" s="15" t="s">
        <v>115</v>
      </c>
      <c r="F8" s="87" t="s">
        <v>330</v>
      </c>
      <c r="G8" s="81" t="str">
        <f t="shared" ref="G8:G21" si="0">HYPERLINK(_xlfn.CONCAT("https://github.com/rcfdtools/R.DAPC/blob/main/activity/",F8,"/Readme.md"),"Ver")</f>
        <v>Ver</v>
      </c>
      <c r="H8" s="19"/>
      <c r="I8" s="43">
        <v>5</v>
      </c>
    </row>
    <row r="9" spans="2:9" ht="16.8" x14ac:dyDescent="0.3">
      <c r="B9" s="16" t="s">
        <v>212</v>
      </c>
      <c r="C9" s="19" t="s">
        <v>215</v>
      </c>
      <c r="D9" s="15">
        <v>1</v>
      </c>
      <c r="E9" s="15" t="s">
        <v>115</v>
      </c>
      <c r="F9" s="87" t="s">
        <v>330</v>
      </c>
      <c r="G9" s="81" t="str">
        <f t="shared" si="0"/>
        <v>Ver</v>
      </c>
      <c r="H9" s="19"/>
      <c r="I9" s="43"/>
    </row>
    <row r="10" spans="2:9" ht="16.8" x14ac:dyDescent="0.3">
      <c r="B10" s="16" t="s">
        <v>211</v>
      </c>
      <c r="C10" s="19" t="s">
        <v>215</v>
      </c>
      <c r="D10" s="15">
        <v>1</v>
      </c>
      <c r="E10" s="15" t="s">
        <v>115</v>
      </c>
      <c r="F10" s="87" t="s">
        <v>330</v>
      </c>
      <c r="G10" s="81" t="str">
        <f t="shared" si="0"/>
        <v>Ver</v>
      </c>
      <c r="H10" s="19"/>
      <c r="I10" s="43"/>
    </row>
    <row r="11" spans="2:9" ht="22.8" x14ac:dyDescent="0.3">
      <c r="B11" s="16" t="s">
        <v>213</v>
      </c>
      <c r="C11" s="19" t="s">
        <v>218</v>
      </c>
      <c r="D11" s="15">
        <v>1</v>
      </c>
      <c r="E11" s="15" t="s">
        <v>115</v>
      </c>
      <c r="F11" s="87" t="s">
        <v>330</v>
      </c>
      <c r="G11" s="81" t="str">
        <f t="shared" si="0"/>
        <v>Ver</v>
      </c>
      <c r="H11" s="19"/>
      <c r="I11" s="43"/>
    </row>
    <row r="12" spans="2:9" ht="22.8" x14ac:dyDescent="0.3">
      <c r="B12" s="27" t="s">
        <v>200</v>
      </c>
      <c r="C12" s="19" t="s">
        <v>216</v>
      </c>
      <c r="D12" s="15">
        <v>1</v>
      </c>
      <c r="E12" s="15" t="s">
        <v>115</v>
      </c>
      <c r="F12" s="87" t="s">
        <v>330</v>
      </c>
      <c r="G12" s="81" t="str">
        <f t="shared" si="0"/>
        <v>Ver</v>
      </c>
      <c r="H12" s="28"/>
      <c r="I12" s="44"/>
    </row>
    <row r="13" spans="2:9" ht="16.8" x14ac:dyDescent="0.3">
      <c r="B13" s="27" t="s">
        <v>214</v>
      </c>
      <c r="C13" s="19" t="s">
        <v>217</v>
      </c>
      <c r="D13" s="15">
        <v>1</v>
      </c>
      <c r="E13" s="15" t="s">
        <v>115</v>
      </c>
      <c r="F13" s="87" t="s">
        <v>330</v>
      </c>
      <c r="G13" s="81" t="str">
        <f t="shared" si="0"/>
        <v>Ver</v>
      </c>
      <c r="H13" s="28"/>
      <c r="I13" s="44"/>
    </row>
    <row r="14" spans="2:9" ht="16.8" x14ac:dyDescent="0.3">
      <c r="B14" s="16" t="s">
        <v>195</v>
      </c>
      <c r="C14" s="19" t="s">
        <v>199</v>
      </c>
      <c r="D14" s="15">
        <v>1</v>
      </c>
      <c r="E14" s="15" t="s">
        <v>115</v>
      </c>
      <c r="F14" s="87" t="s">
        <v>309</v>
      </c>
      <c r="G14" s="81" t="str">
        <f t="shared" si="0"/>
        <v>Ver</v>
      </c>
      <c r="H14" s="19"/>
      <c r="I14" s="43"/>
    </row>
    <row r="15" spans="2:9" ht="16.8" x14ac:dyDescent="0.3">
      <c r="B15" s="16" t="s">
        <v>196</v>
      </c>
      <c r="C15" s="19" t="s">
        <v>199</v>
      </c>
      <c r="D15" s="15">
        <v>1</v>
      </c>
      <c r="E15" s="15" t="s">
        <v>115</v>
      </c>
      <c r="F15" s="87" t="s">
        <v>309</v>
      </c>
      <c r="G15" s="81" t="str">
        <f t="shared" si="0"/>
        <v>Ver</v>
      </c>
      <c r="H15" s="19"/>
      <c r="I15" s="43"/>
    </row>
    <row r="16" spans="2:9" ht="16.8" x14ac:dyDescent="0.3">
      <c r="B16" s="27" t="s">
        <v>197</v>
      </c>
      <c r="C16" s="19" t="s">
        <v>199</v>
      </c>
      <c r="D16" s="15">
        <v>1</v>
      </c>
      <c r="E16" s="15" t="s">
        <v>115</v>
      </c>
      <c r="F16" s="87" t="s">
        <v>309</v>
      </c>
      <c r="G16" s="81" t="str">
        <f t="shared" si="0"/>
        <v>Ver</v>
      </c>
      <c r="H16" s="28"/>
      <c r="I16" s="44"/>
    </row>
    <row r="17" spans="2:9" ht="16.8" x14ac:dyDescent="0.3">
      <c r="B17" s="27" t="s">
        <v>259</v>
      </c>
      <c r="C17" s="19" t="s">
        <v>199</v>
      </c>
      <c r="D17" s="15">
        <v>1</v>
      </c>
      <c r="E17" s="15" t="s">
        <v>115</v>
      </c>
      <c r="F17" s="87" t="s">
        <v>309</v>
      </c>
      <c r="G17" s="81" t="str">
        <f t="shared" si="0"/>
        <v>Ver</v>
      </c>
      <c r="H17" s="28"/>
      <c r="I17" s="44"/>
    </row>
    <row r="18" spans="2:9" ht="16.8" x14ac:dyDescent="0.3">
      <c r="B18" s="27" t="s">
        <v>198</v>
      </c>
      <c r="C18" s="19" t="s">
        <v>199</v>
      </c>
      <c r="D18" s="15">
        <v>1</v>
      </c>
      <c r="E18" s="15" t="s">
        <v>115</v>
      </c>
      <c r="F18" s="87" t="s">
        <v>309</v>
      </c>
      <c r="G18" s="81" t="str">
        <f t="shared" si="0"/>
        <v>Ver</v>
      </c>
      <c r="H18" s="28"/>
      <c r="I18" s="44"/>
    </row>
    <row r="19" spans="2:9" ht="16.8" x14ac:dyDescent="0.3">
      <c r="B19" s="27" t="s">
        <v>342</v>
      </c>
      <c r="C19" s="19" t="s">
        <v>199</v>
      </c>
      <c r="D19" s="29">
        <v>1</v>
      </c>
      <c r="E19" s="15" t="s">
        <v>115</v>
      </c>
      <c r="F19" s="87" t="s">
        <v>330</v>
      </c>
      <c r="G19" s="81" t="str">
        <f t="shared" si="0"/>
        <v>Ver</v>
      </c>
      <c r="H19" s="28"/>
      <c r="I19" s="44"/>
    </row>
    <row r="20" spans="2:9" ht="16.8" x14ac:dyDescent="0.3">
      <c r="B20" s="27" t="s">
        <v>209</v>
      </c>
      <c r="C20" s="19" t="s">
        <v>199</v>
      </c>
      <c r="D20" s="29">
        <v>1</v>
      </c>
      <c r="E20" s="15" t="s">
        <v>115</v>
      </c>
      <c r="F20" s="87" t="s">
        <v>330</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325</v>
      </c>
      <c r="C22" s="17"/>
      <c r="D22" s="18"/>
      <c r="E22" s="18"/>
      <c r="F22" s="89"/>
      <c r="G22" s="18"/>
      <c r="H22" s="54"/>
      <c r="I22" s="42"/>
    </row>
    <row r="23" spans="2:9" ht="34.200000000000003" x14ac:dyDescent="0.3">
      <c r="B23" s="16" t="s">
        <v>201</v>
      </c>
      <c r="C23" s="19" t="s">
        <v>204</v>
      </c>
      <c r="D23" s="30">
        <f>'2.ArquitectonicaEstructural'!D31-'2.ArquitectonicaEstructural'!D37-'2.ArquitectonicaEstructural'!D43</f>
        <v>1135.04</v>
      </c>
      <c r="E23" s="15" t="s">
        <v>54</v>
      </c>
      <c r="F23" s="87" t="s">
        <v>306</v>
      </c>
      <c r="G23" s="81" t="str">
        <f>HYPERLINK(_xlfn.CONCAT("https://github.com/rcfdtools/R.DAPC/blob/main/activity/",F23,"/Readme.md"),"Ver")</f>
        <v>Ver</v>
      </c>
      <c r="H23" s="19"/>
      <c r="I23" s="43">
        <v>5</v>
      </c>
    </row>
    <row r="24" spans="2:9" ht="16.8" x14ac:dyDescent="0.3">
      <c r="B24" s="16" t="s">
        <v>203</v>
      </c>
      <c r="C24" s="19" t="s">
        <v>206</v>
      </c>
      <c r="D24" s="20">
        <v>992</v>
      </c>
      <c r="E24" s="15" t="s">
        <v>63</v>
      </c>
      <c r="F24" s="87" t="s">
        <v>306</v>
      </c>
      <c r="G24" s="81" t="str">
        <f t="shared" ref="G24:G27" si="1">HYPERLINK(_xlfn.CONCAT("https://github.com/rcfdtools/R.DAPC/blob/main/activity/",F24,"/Readme.md"),"Ver")</f>
        <v>Ver</v>
      </c>
      <c r="H24" s="19"/>
      <c r="I24" s="43"/>
    </row>
    <row r="25" spans="2:9" ht="16.8" x14ac:dyDescent="0.3">
      <c r="B25" s="16" t="s">
        <v>202</v>
      </c>
      <c r="C25" s="19" t="s">
        <v>207</v>
      </c>
      <c r="D25" s="20">
        <v>1950</v>
      </c>
      <c r="E25" s="15" t="s">
        <v>63</v>
      </c>
      <c r="F25" s="87" t="s">
        <v>306</v>
      </c>
      <c r="G25" s="81" t="str">
        <f t="shared" si="1"/>
        <v>Ver</v>
      </c>
      <c r="H25" s="19"/>
      <c r="I25" s="43"/>
    </row>
    <row r="26" spans="2:9" ht="45.6" x14ac:dyDescent="0.3">
      <c r="B26" s="16" t="s">
        <v>205</v>
      </c>
      <c r="C26" s="19" t="s">
        <v>208</v>
      </c>
      <c r="D26" s="15">
        <f>INT(D23/(D24/1000*D25/1000))</f>
        <v>586</v>
      </c>
      <c r="E26" s="15" t="s">
        <v>115</v>
      </c>
      <c r="F26" s="87" t="s">
        <v>306</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270</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tabSelected="1" zoomScale="130" zoomScaleNormal="130" workbookViewId="0">
      <pane ySplit="6" topLeftCell="A7" activePane="bottomLeft" state="frozen"/>
      <selection pane="bottomLeft" activeCell="B8" sqref="B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220</v>
      </c>
    </row>
    <row r="4" spans="2:9" ht="14.25" customHeight="1" x14ac:dyDescent="0.4">
      <c r="B4" s="74" t="s">
        <v>219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348</v>
      </c>
      <c r="C7" s="17"/>
      <c r="D7" s="18"/>
      <c r="E7" s="18"/>
      <c r="F7" s="89"/>
      <c r="G7" s="18"/>
      <c r="H7" s="54"/>
      <c r="I7" s="42"/>
    </row>
    <row r="8" spans="2:9" ht="22.8" x14ac:dyDescent="0.4">
      <c r="B8" s="16" t="s">
        <v>223</v>
      </c>
      <c r="C8" s="19" t="s">
        <v>229</v>
      </c>
      <c r="D8" s="20">
        <v>3</v>
      </c>
      <c r="E8" s="15" t="s">
        <v>53</v>
      </c>
      <c r="F8" s="87" t="s">
        <v>330</v>
      </c>
      <c r="G8" s="81" t="str">
        <f t="shared" ref="G8:G21" si="0">HYPERLINK(_xlfn.CONCAT("https://github.com/rcfdtools/R.DAPC/blob/main/activity/",F8,"/Readme.md"),"Ver")</f>
        <v>Ver</v>
      </c>
      <c r="H8" s="19"/>
      <c r="I8" s="43">
        <v>5</v>
      </c>
    </row>
    <row r="9" spans="2:9" ht="22.8" x14ac:dyDescent="0.4">
      <c r="B9" s="16" t="s">
        <v>227</v>
      </c>
      <c r="C9" s="19" t="s">
        <v>230</v>
      </c>
      <c r="D9" s="20">
        <v>2.5</v>
      </c>
      <c r="E9" s="15" t="s">
        <v>53</v>
      </c>
      <c r="F9" s="87" t="s">
        <v>330</v>
      </c>
      <c r="G9" s="81" t="str">
        <f t="shared" si="0"/>
        <v>Ver</v>
      </c>
      <c r="H9" s="19"/>
      <c r="I9" s="43"/>
    </row>
    <row r="10" spans="2:9" ht="22.8" x14ac:dyDescent="0.4">
      <c r="B10" s="16" t="s">
        <v>225</v>
      </c>
      <c r="C10" s="19" t="s">
        <v>236</v>
      </c>
      <c r="D10" s="20">
        <v>4</v>
      </c>
      <c r="E10" s="15" t="s">
        <v>226</v>
      </c>
      <c r="F10" s="87" t="s">
        <v>330</v>
      </c>
      <c r="G10" s="81" t="str">
        <f t="shared" si="0"/>
        <v>Ver</v>
      </c>
      <c r="H10" s="19"/>
      <c r="I10" s="43"/>
    </row>
    <row r="11" spans="2:9" x14ac:dyDescent="0.4">
      <c r="B11" s="16" t="s">
        <v>228</v>
      </c>
      <c r="C11" s="19" t="s">
        <v>231</v>
      </c>
      <c r="D11" s="20">
        <v>2</v>
      </c>
      <c r="E11" s="15" t="s">
        <v>53</v>
      </c>
      <c r="F11" s="87" t="s">
        <v>330</v>
      </c>
      <c r="G11" s="81" t="str">
        <f t="shared" si="0"/>
        <v>Ver</v>
      </c>
      <c r="H11" s="19"/>
      <c r="I11" s="43"/>
    </row>
    <row r="12" spans="2:9" ht="33.6" x14ac:dyDescent="0.4">
      <c r="B12" s="16" t="s">
        <v>233</v>
      </c>
      <c r="C12" s="19" t="s">
        <v>237</v>
      </c>
      <c r="D12" s="15">
        <f>D10*D11</f>
        <v>8</v>
      </c>
      <c r="E12" s="15" t="s">
        <v>53</v>
      </c>
      <c r="F12" s="87" t="s">
        <v>330</v>
      </c>
      <c r="G12" s="81" t="str">
        <f t="shared" si="0"/>
        <v>Ver</v>
      </c>
      <c r="H12" s="19"/>
      <c r="I12" s="43"/>
    </row>
    <row r="13" spans="2:9" ht="22.8" x14ac:dyDescent="0.4">
      <c r="B13" s="16" t="s">
        <v>224</v>
      </c>
      <c r="C13" s="19" t="s">
        <v>232</v>
      </c>
      <c r="D13" s="20">
        <v>8</v>
      </c>
      <c r="E13" s="15" t="s">
        <v>53</v>
      </c>
      <c r="F13" s="87" t="s">
        <v>330</v>
      </c>
      <c r="G13" s="81" t="str">
        <f t="shared" si="0"/>
        <v>Ver</v>
      </c>
      <c r="H13" s="19"/>
      <c r="I13" s="43"/>
    </row>
    <row r="14" spans="2:9" x14ac:dyDescent="0.4">
      <c r="B14" s="16" t="s">
        <v>238</v>
      </c>
      <c r="C14" s="19" t="s">
        <v>240</v>
      </c>
      <c r="D14" s="15" t="str">
        <f>IF(D12&lt;=D13, "Cumple","No cumple")</f>
        <v>Cumple</v>
      </c>
      <c r="E14" s="15" t="s">
        <v>239</v>
      </c>
      <c r="F14" s="87" t="s">
        <v>330</v>
      </c>
      <c r="G14" s="81" t="str">
        <f t="shared" si="0"/>
        <v>Ver</v>
      </c>
      <c r="H14" s="19"/>
      <c r="I14" s="43"/>
    </row>
    <row r="15" spans="2:9" ht="33.6" x14ac:dyDescent="0.4">
      <c r="B15" s="16" t="s">
        <v>241</v>
      </c>
      <c r="C15" s="19" t="s">
        <v>242</v>
      </c>
      <c r="D15" s="20">
        <v>60</v>
      </c>
      <c r="E15" s="15" t="s">
        <v>53</v>
      </c>
      <c r="F15" s="87" t="s">
        <v>330</v>
      </c>
      <c r="G15" s="81" t="str">
        <f t="shared" si="0"/>
        <v>Ver</v>
      </c>
      <c r="H15" s="19"/>
      <c r="I15" s="43"/>
    </row>
    <row r="16" spans="2:9" ht="33.6" x14ac:dyDescent="0.4">
      <c r="B16" s="16" t="s">
        <v>243</v>
      </c>
      <c r="C16" s="19" t="s">
        <v>244</v>
      </c>
      <c r="D16" s="15">
        <f>D15*D10</f>
        <v>240</v>
      </c>
      <c r="E16" s="15" t="s">
        <v>53</v>
      </c>
      <c r="F16" s="87" t="s">
        <v>330</v>
      </c>
      <c r="G16" s="81" t="str">
        <f t="shared" si="0"/>
        <v>Ver</v>
      </c>
      <c r="H16" s="19"/>
      <c r="I16" s="43"/>
    </row>
    <row r="17" spans="2:9" x14ac:dyDescent="0.4">
      <c r="B17" s="16"/>
      <c r="C17" s="19"/>
      <c r="D17" s="15"/>
      <c r="E17" s="15"/>
      <c r="F17" s="87"/>
      <c r="G17" s="82" t="str">
        <f t="shared" si="0"/>
        <v>Ver</v>
      </c>
      <c r="H17" s="19"/>
      <c r="I17" s="43"/>
    </row>
    <row r="18" spans="2:9" x14ac:dyDescent="0.4">
      <c r="B18" s="5" t="s">
        <v>347</v>
      </c>
      <c r="C18" s="17"/>
      <c r="D18" s="18"/>
      <c r="E18" s="18"/>
      <c r="F18" s="89"/>
      <c r="G18" s="18"/>
      <c r="H18" s="54"/>
      <c r="I18" s="42"/>
    </row>
    <row r="19" spans="2:9" ht="45.6" x14ac:dyDescent="0.4">
      <c r="B19" s="16" t="s">
        <v>245</v>
      </c>
      <c r="C19" s="19" t="s">
        <v>234</v>
      </c>
      <c r="D19" s="20" t="s">
        <v>235</v>
      </c>
      <c r="E19" s="15" t="s">
        <v>115</v>
      </c>
      <c r="F19" s="87" t="s">
        <v>330</v>
      </c>
      <c r="G19" s="81" t="str">
        <f t="shared" si="0"/>
        <v>Ver</v>
      </c>
      <c r="H19" s="19"/>
      <c r="I19" s="43">
        <v>5</v>
      </c>
    </row>
    <row r="20" spans="2:9" ht="45.6" x14ac:dyDescent="0.4">
      <c r="B20" s="16" t="s">
        <v>246</v>
      </c>
      <c r="C20" s="19" t="s">
        <v>234</v>
      </c>
      <c r="D20" s="20" t="s">
        <v>235</v>
      </c>
      <c r="E20" s="15" t="s">
        <v>115</v>
      </c>
      <c r="F20" s="87" t="s">
        <v>330</v>
      </c>
      <c r="G20" s="81" t="str">
        <f t="shared" si="0"/>
        <v>Ver</v>
      </c>
      <c r="H20" s="19"/>
      <c r="I20" s="43"/>
    </row>
    <row r="21" spans="2:9" ht="45.6" x14ac:dyDescent="0.4">
      <c r="B21" s="16" t="s">
        <v>247</v>
      </c>
      <c r="C21" s="19" t="s">
        <v>234</v>
      </c>
      <c r="D21" s="20" t="s">
        <v>235</v>
      </c>
      <c r="E21" s="15" t="s">
        <v>115</v>
      </c>
      <c r="F21" s="87" t="s">
        <v>330</v>
      </c>
      <c r="G21" s="81" t="str">
        <f t="shared" si="0"/>
        <v>Ver</v>
      </c>
      <c r="H21" s="19"/>
      <c r="I21" s="43"/>
    </row>
    <row r="22" spans="2:9" x14ac:dyDescent="0.4">
      <c r="B22" s="24"/>
      <c r="C22" s="25"/>
      <c r="D22" s="26"/>
      <c r="E22" s="26"/>
      <c r="F22" s="88"/>
      <c r="G22" s="26"/>
      <c r="H22" s="25"/>
      <c r="I22" s="45"/>
    </row>
    <row r="23" spans="2:9" x14ac:dyDescent="0.4">
      <c r="H23" s="46" t="s">
        <v>270</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326</v>
      </c>
    </row>
    <row r="4" spans="2:9" x14ac:dyDescent="0.4">
      <c r="B4" s="74" t="s">
        <v>253</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248</v>
      </c>
      <c r="C7" s="19" t="s">
        <v>249</v>
      </c>
      <c r="D7" s="20">
        <v>1</v>
      </c>
      <c r="E7" s="15" t="s">
        <v>115</v>
      </c>
      <c r="F7" s="87" t="s">
        <v>305</v>
      </c>
      <c r="G7" s="81" t="str">
        <f t="shared" ref="G7:G16" si="0">HYPERLINK(_xlfn.CONCAT("https://github.com/rcfdtools/R.DAPC/blob/main/activity/",F7,"/Readme.md"),"Ver")</f>
        <v>Ver</v>
      </c>
      <c r="H7" s="19"/>
      <c r="I7" s="43">
        <v>5</v>
      </c>
    </row>
    <row r="8" spans="2:9" ht="22.8" x14ac:dyDescent="0.4">
      <c r="B8" s="16" t="s">
        <v>250</v>
      </c>
      <c r="C8" s="19" t="s">
        <v>260</v>
      </c>
      <c r="D8" s="20">
        <v>1</v>
      </c>
      <c r="E8" s="15" t="s">
        <v>115</v>
      </c>
      <c r="F8" s="87" t="s">
        <v>305</v>
      </c>
      <c r="G8" s="81" t="str">
        <f t="shared" si="0"/>
        <v>Ver</v>
      </c>
      <c r="H8" s="19"/>
      <c r="I8" s="43"/>
    </row>
    <row r="9" spans="2:9" ht="22.8" x14ac:dyDescent="0.4">
      <c r="B9" s="16" t="s">
        <v>251</v>
      </c>
      <c r="C9" s="19" t="s">
        <v>261</v>
      </c>
      <c r="D9" s="20">
        <v>1</v>
      </c>
      <c r="E9" s="15" t="s">
        <v>115</v>
      </c>
      <c r="F9" s="87" t="s">
        <v>305</v>
      </c>
      <c r="G9" s="81" t="str">
        <f t="shared" si="0"/>
        <v>Ver</v>
      </c>
      <c r="H9" s="19"/>
      <c r="I9" s="43"/>
    </row>
    <row r="10" spans="2:9" ht="22.8" x14ac:dyDescent="0.4">
      <c r="B10" s="16" t="s">
        <v>252</v>
      </c>
      <c r="C10" s="19" t="s">
        <v>262</v>
      </c>
      <c r="D10" s="20">
        <v>1</v>
      </c>
      <c r="E10" s="15" t="s">
        <v>115</v>
      </c>
      <c r="F10" s="87" t="s">
        <v>305</v>
      </c>
      <c r="G10" s="81" t="str">
        <f t="shared" si="0"/>
        <v>Ver</v>
      </c>
      <c r="H10" s="19"/>
      <c r="I10" s="43"/>
    </row>
    <row r="11" spans="2:9" x14ac:dyDescent="0.4">
      <c r="B11" s="16" t="s">
        <v>254</v>
      </c>
      <c r="C11" s="19" t="s">
        <v>215</v>
      </c>
      <c r="D11" s="20">
        <v>1</v>
      </c>
      <c r="E11" s="15" t="s">
        <v>115</v>
      </c>
      <c r="F11" s="87" t="s">
        <v>305</v>
      </c>
      <c r="G11" s="81" t="str">
        <f t="shared" si="0"/>
        <v>Ver</v>
      </c>
      <c r="H11" s="19"/>
      <c r="I11" s="43"/>
    </row>
    <row r="12" spans="2:9" x14ac:dyDescent="0.4">
      <c r="B12" s="16" t="s">
        <v>255</v>
      </c>
      <c r="C12" s="19" t="s">
        <v>215</v>
      </c>
      <c r="D12" s="20">
        <v>1</v>
      </c>
      <c r="E12" s="15" t="s">
        <v>115</v>
      </c>
      <c r="F12" s="87" t="s">
        <v>305</v>
      </c>
      <c r="G12" s="81" t="str">
        <f t="shared" si="0"/>
        <v>Ver</v>
      </c>
      <c r="H12" s="19"/>
      <c r="I12" s="43"/>
    </row>
    <row r="13" spans="2:9" ht="33.6" x14ac:dyDescent="0.4">
      <c r="B13" s="16" t="s">
        <v>256</v>
      </c>
      <c r="C13" s="19" t="s">
        <v>218</v>
      </c>
      <c r="D13" s="20">
        <v>1</v>
      </c>
      <c r="E13" s="15" t="s">
        <v>115</v>
      </c>
      <c r="F13" s="87" t="s">
        <v>305</v>
      </c>
      <c r="G13" s="81" t="str">
        <f t="shared" si="0"/>
        <v>Ver</v>
      </c>
      <c r="H13" s="19"/>
      <c r="I13" s="43"/>
    </row>
    <row r="14" spans="2:9" ht="22.8" x14ac:dyDescent="0.4">
      <c r="B14" s="16" t="s">
        <v>257</v>
      </c>
      <c r="C14" s="19" t="s">
        <v>216</v>
      </c>
      <c r="D14" s="20">
        <v>1</v>
      </c>
      <c r="E14" s="15" t="s">
        <v>115</v>
      </c>
      <c r="F14" s="87" t="s">
        <v>305</v>
      </c>
      <c r="G14" s="81" t="str">
        <f t="shared" si="0"/>
        <v>Ver</v>
      </c>
      <c r="H14" s="19"/>
      <c r="I14" s="43"/>
    </row>
    <row r="15" spans="2:9" x14ac:dyDescent="0.4">
      <c r="B15" s="16" t="s">
        <v>258</v>
      </c>
      <c r="C15" s="19" t="s">
        <v>217</v>
      </c>
      <c r="D15" s="20">
        <v>1</v>
      </c>
      <c r="E15" s="15" t="s">
        <v>115</v>
      </c>
      <c r="F15" s="87" t="s">
        <v>305</v>
      </c>
      <c r="G15" s="81" t="str">
        <f t="shared" si="0"/>
        <v>Ver</v>
      </c>
      <c r="H15" s="19"/>
      <c r="I15" s="43"/>
    </row>
    <row r="16" spans="2:9" x14ac:dyDescent="0.4">
      <c r="B16" s="24"/>
      <c r="C16" s="25"/>
      <c r="D16" s="40"/>
      <c r="E16" s="26"/>
      <c r="F16" s="88"/>
      <c r="G16" s="82" t="str">
        <f t="shared" si="0"/>
        <v>Ver</v>
      </c>
      <c r="H16" s="25"/>
      <c r="I16" s="45"/>
    </row>
    <row r="17" spans="8:9" x14ac:dyDescent="0.4">
      <c r="H17" s="46" t="s">
        <v>270</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327</v>
      </c>
      <c r="C3" s="80"/>
      <c r="D3" s="80"/>
      <c r="E3" s="80"/>
      <c r="F3" s="80"/>
      <c r="G3" s="80"/>
      <c r="H3" s="80"/>
    </row>
    <row r="4" spans="2:8" s="36" customFormat="1" ht="16.8" customHeight="1" x14ac:dyDescent="0.3">
      <c r="B4" s="74" t="s">
        <v>328</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271</v>
      </c>
      <c r="C7" s="19" t="s">
        <v>272</v>
      </c>
      <c r="D7" s="3" t="s">
        <v>34</v>
      </c>
      <c r="E7" s="131" t="s">
        <v>304</v>
      </c>
      <c r="F7" s="81" t="str">
        <f t="shared" ref="F7:F17" si="0">HYPERLINK(_xlfn.CONCAT("https://github.com/rcfdtools/R.DAPC/blob/main/activity/",E7,"/Readme.md"),"Ver")</f>
        <v>Ver</v>
      </c>
      <c r="G7" s="55"/>
      <c r="H7" s="8">
        <v>5</v>
      </c>
    </row>
    <row r="8" spans="2:8" x14ac:dyDescent="0.3">
      <c r="B8" s="16" t="s">
        <v>19</v>
      </c>
      <c r="C8" s="19" t="s">
        <v>296</v>
      </c>
      <c r="D8" s="3" t="s">
        <v>30</v>
      </c>
      <c r="E8" s="131" t="s">
        <v>304</v>
      </c>
      <c r="F8" s="81" t="str">
        <f t="shared" si="0"/>
        <v>Ver</v>
      </c>
      <c r="G8" s="55"/>
      <c r="H8" s="8"/>
    </row>
    <row r="9" spans="2:8" ht="91.2" x14ac:dyDescent="0.3">
      <c r="B9" s="16" t="s">
        <v>297</v>
      </c>
      <c r="C9" s="19" t="s">
        <v>298</v>
      </c>
      <c r="D9" s="3" t="s">
        <v>15</v>
      </c>
      <c r="E9" s="131" t="s">
        <v>305</v>
      </c>
      <c r="F9" s="81" t="str">
        <f t="shared" si="0"/>
        <v>Ver</v>
      </c>
      <c r="G9" s="55"/>
      <c r="H9" s="8"/>
    </row>
    <row r="10" spans="2:8" ht="22.8" x14ac:dyDescent="0.3">
      <c r="B10" s="16" t="s">
        <v>281</v>
      </c>
      <c r="C10" s="19" t="s">
        <v>310</v>
      </c>
      <c r="D10" s="3" t="s">
        <v>31</v>
      </c>
      <c r="E10" s="131" t="s">
        <v>309</v>
      </c>
      <c r="F10" s="81" t="str">
        <f t="shared" si="0"/>
        <v>Ver</v>
      </c>
      <c r="G10" s="55"/>
      <c r="H10" s="8"/>
    </row>
    <row r="11" spans="2:8" ht="34.200000000000003" x14ac:dyDescent="0.3">
      <c r="B11" s="16" t="s">
        <v>282</v>
      </c>
      <c r="C11" s="19" t="s">
        <v>311</v>
      </c>
      <c r="D11" s="3" t="s">
        <v>32</v>
      </c>
      <c r="E11" s="131" t="s">
        <v>309</v>
      </c>
      <c r="F11" s="81" t="str">
        <f t="shared" si="0"/>
        <v>Ver</v>
      </c>
      <c r="G11" s="55"/>
      <c r="H11" s="8"/>
    </row>
    <row r="12" spans="2:8" ht="22.8" x14ac:dyDescent="0.3">
      <c r="B12" s="16" t="s">
        <v>283</v>
      </c>
      <c r="C12" s="19" t="s">
        <v>312</v>
      </c>
      <c r="D12" s="3" t="s">
        <v>33</v>
      </c>
      <c r="E12" s="131" t="s">
        <v>309</v>
      </c>
      <c r="F12" s="81" t="str">
        <f t="shared" si="0"/>
        <v>Ver</v>
      </c>
      <c r="G12" s="55"/>
      <c r="H12" s="8"/>
    </row>
    <row r="13" spans="2:8" ht="22.8" x14ac:dyDescent="0.3">
      <c r="B13" s="16" t="s">
        <v>290</v>
      </c>
      <c r="C13" s="19" t="s">
        <v>313</v>
      </c>
      <c r="D13" s="3" t="s">
        <v>294</v>
      </c>
      <c r="E13" s="131" t="s">
        <v>306</v>
      </c>
      <c r="F13" s="81" t="str">
        <f t="shared" si="0"/>
        <v>Ver</v>
      </c>
      <c r="G13" s="55"/>
      <c r="H13" s="8"/>
    </row>
    <row r="14" spans="2:8" ht="79.8" x14ac:dyDescent="0.3">
      <c r="B14" s="16" t="s">
        <v>331</v>
      </c>
      <c r="C14" s="19" t="s">
        <v>332</v>
      </c>
      <c r="D14" s="3" t="s">
        <v>295</v>
      </c>
      <c r="E14" s="131" t="s">
        <v>305</v>
      </c>
      <c r="F14" s="81" t="str">
        <f t="shared" si="0"/>
        <v>Ver</v>
      </c>
      <c r="G14" s="55"/>
      <c r="H14" s="8"/>
    </row>
    <row r="15" spans="2:8" x14ac:dyDescent="0.3">
      <c r="B15" s="16" t="s">
        <v>299</v>
      </c>
      <c r="C15" s="19" t="s">
        <v>300</v>
      </c>
      <c r="D15" s="3" t="s">
        <v>301</v>
      </c>
      <c r="E15" s="55"/>
      <c r="F15" s="81" t="str">
        <f t="shared" si="0"/>
        <v>Ver</v>
      </c>
      <c r="G15" s="55"/>
      <c r="H15" s="8"/>
    </row>
    <row r="16" spans="2:8" s="36" customFormat="1" ht="34.200000000000003" x14ac:dyDescent="0.3">
      <c r="B16" s="27" t="s">
        <v>344</v>
      </c>
      <c r="C16" s="28" t="s">
        <v>345</v>
      </c>
      <c r="D16" s="183" t="s">
        <v>343</v>
      </c>
      <c r="E16" s="131" t="s">
        <v>307</v>
      </c>
      <c r="F16" s="81" t="str">
        <f t="shared" si="0"/>
        <v>Ver</v>
      </c>
      <c r="G16" s="184"/>
      <c r="H16" s="185"/>
    </row>
    <row r="17" spans="2:8" x14ac:dyDescent="0.3">
      <c r="B17" s="24"/>
      <c r="C17" s="25"/>
      <c r="D17" s="4"/>
      <c r="E17" s="33"/>
      <c r="F17" s="82" t="str">
        <f t="shared" si="0"/>
        <v>Ver</v>
      </c>
      <c r="G17" s="33"/>
      <c r="H17" s="6"/>
    </row>
    <row r="18" spans="2:8" x14ac:dyDescent="0.3">
      <c r="G18" s="46" t="s">
        <v>270</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2025-07-25T17:43:30Z</dcterms:modified>
</cp:coreProperties>
</file>