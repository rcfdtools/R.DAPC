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emp\"/>
    </mc:Choice>
  </mc:AlternateContent>
  <xr:revisionPtr revIDLastSave="0" documentId="13_ncr:1_{2CAB57FC-828B-4930-8719-B97AB315AA06}" xr6:coauthVersionLast="47" xr6:coauthVersionMax="47" xr10:uidLastSave="{00000000-0000-0000-0000-000000000000}"/>
  <bookViews>
    <workbookView xWindow="-28898" yWindow="6562" windowWidth="28996" windowHeight="15675" xr2:uid="{57EBF3CA-F4B8-4FD2-936E-633642D9EA06}"/>
  </bookViews>
  <sheets>
    <sheet name="Actividades" sheetId="1" r:id="rId1"/>
  </sheets>
  <definedNames>
    <definedName name="_xlnm._FilterDatabase" localSheetId="0" hidden="1">Actividades!$B$2:$I$19</definedName>
    <definedName name="HorasSemana">Actividades!$D$2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l="1"/>
  <c r="C4" i="1"/>
  <c r="D4" i="1" s="1"/>
  <c r="C11" i="1"/>
  <c r="C15" i="1"/>
  <c r="C2" i="1" l="1"/>
  <c r="D1" i="1" s="1"/>
  <c r="D11" i="1"/>
  <c r="D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I16" authorId="0" shapeId="0" xr:uid="{9E64E0C2-FD21-4C6D-8A01-50EF3E0B2827}">
      <text>
        <r>
          <rPr>
            <sz val="9"/>
            <color indexed="81"/>
            <rFont val="Tahoma"/>
            <family val="2"/>
          </rPr>
          <t>Valor ajustado para obtener 72 horas totales en aula</t>
        </r>
      </text>
    </comment>
  </commentList>
</comments>
</file>

<file path=xl/sharedStrings.xml><?xml version="1.0" encoding="utf-8"?>
<sst xmlns="http://schemas.openxmlformats.org/spreadsheetml/2006/main" count="67" uniqueCount="62">
  <si>
    <t>Módulo</t>
  </si>
  <si>
    <t>Actividad</t>
  </si>
  <si>
    <t>Objetivo específico</t>
  </si>
  <si>
    <t>Duración</t>
  </si>
  <si>
    <t xml:space="preserve">Al finalizar esta unidad el estudiante: Realiza ejercicios de práctica en los que demuestra que puede iniciar un dibujo nuevo, realizar configuraciones básicas, identificar comandos y utilizar cuadros de diálogo en CAD. </t>
  </si>
  <si>
    <t xml:space="preserve">1.2. Elementos básicos </t>
  </si>
  <si>
    <t>Al finalizar esta semana el estudiante: Realiza ejercicios de práctica en los que dibuja, traza y edita líneas, polilíneas, arcos, chaflanes, cortes transversales y figuras geométricas en AutoCAD.</t>
  </si>
  <si>
    <t>1.3. Bloques - Achurados- Viewports</t>
  </si>
  <si>
    <t>Diseño de bloques. Achurados. Sombra. Figuras rellenas. Mosaico de vistas. Vistas fijas — espacio modelo. Vistas flotantes — espacio papel. Comandos BLOCK, HATCHT, SOLIDS, VPORTS, MVIEW, PSPACE, VPLAYER.</t>
  </si>
  <si>
    <t xml:space="preserve">Al finalizar esta semana el estudiante:
Realiza ejercicios prácticos en los que crea, usa y fragmenta bloques de dibujo, usando achurados en AutoCAD.
Crea mosaicos de vistas fijas y flotantes en el espacio modelo de CAD.
Aplica adecuadamente las escalas a los dibujos realizados en CAD. </t>
  </si>
  <si>
    <t xml:space="preserve">1.4. Dimensionamiento </t>
  </si>
  <si>
    <t>Dimensionamiento. Estilo de la dimensión. Acotado de líneas rectas, círculos, arcos y ángulos. Editar dimensiones. Superficies normales, inclinadas y oblicuas. Visibilidad de aristas.</t>
  </si>
  <si>
    <t xml:space="preserve">Al finalizar esta semana el estudiante: Crea, edita e interpreta apropiadamente elementos dimensionales aplicando comandos en CAD. </t>
  </si>
  <si>
    <t>1.5. Impresión</t>
  </si>
  <si>
    <t xml:space="preserve">Espacio papel y espacio modelo. Asignación de escala. Configuración de impresora y trazadores (plotter). Configuración del trazado. Impresión. Comandos MVSETUP, PRINT, ZOOM – Scale. </t>
  </si>
  <si>
    <t>Al finalizar esta semana el estudiante: Diferencia y configura apropiadamente los parámetros para la impresión de planos realizados en CAD.</t>
  </si>
  <si>
    <t xml:space="preserve">Layers, papel. Texto menor, texto mayor. Planos de referencia para posiciones espaciales. Limits. Coordenadas cartesianas X, Y, Z. Coordenadas relativas posicionales. Coordenadas geográficas. </t>
  </si>
  <si>
    <t xml:space="preserve">Al finalizar esta unidad el estudiante: 
Realiza un proyecto con elementos eléctricos configurando apropiadamente el plano de proyecto en CAD.
Imprime la planta, el perfil o la sección transversal del proyecto con una configuración adecuada. </t>
  </si>
  <si>
    <t>Semanas</t>
  </si>
  <si>
    <t>horas semana</t>
  </si>
  <si>
    <t>Horas total</t>
  </si>
  <si>
    <t>2.1. Introducción</t>
  </si>
  <si>
    <t>Sistemas de información geográfica. Fundamentos. Proyecciones y origen de coordenadas. Simbología, y estadísticas generales. Tablas relacionales.</t>
  </si>
  <si>
    <t>Al finalizar esta unidad el estudiante: Comprende los conceptos y fundamentos básicos de los sistemas de información geográfica.</t>
  </si>
  <si>
    <t>2.2 Definición y edición de elementos</t>
  </si>
  <si>
    <t>Bases de datos y su manejo en SIG. Definición de elementos de un SIG (shapes, raster, vectores, etc.). Edición de elementos. Digitalización y entrada de entidades. Creación y edición de tablas relacionales. Ejercicio de aplicación (proyecto aplicado en ingeniería eléctrica).</t>
  </si>
  <si>
    <t>Al finalizar esta unidad el estudiante: 
Comprende el uso de las bases de datos en SIG.
Realiza ejercicios prácticos en los que define y edita elementos de un SIG.</t>
  </si>
  <si>
    <t xml:space="preserve">2.3. Mapas e imágenes (QGIS, ArcGIS y otras herramientas) </t>
  </si>
  <si>
    <t>Mapas y cartografía. Elaboración de planos. Imágenes en SIG. Manejo y manipulación de imágenes. Ejercicio de aplicación (proyecto aplicado en ingeniería eléctrica).</t>
  </si>
  <si>
    <t xml:space="preserve">3.1. Introducción </t>
  </si>
  <si>
    <t>Conceptos de la metodología BIM. Generalidades del trabajo colaborativo. Taller conceptual.</t>
  </si>
  <si>
    <t>3.2 Herramientas para la aplicación de la metodología BIM. Introducción al software Revit</t>
  </si>
  <si>
    <t xml:space="preserve">Uso de plantillas (templates). Fundamentos del software Revit. Configuración de Revit (Options).    </t>
  </si>
  <si>
    <t>Al finalizar esta unidad el estudiante: Conoce la configuración básica del software Revit.</t>
  </si>
  <si>
    <t xml:space="preserve">3.3. Creación y manipulación de elementos en Revit </t>
  </si>
  <si>
    <t>Creación de vista de plantas (Plan views), Niveles de fondo (Underlay). Control de visualización (Visibility graphics). Láminas de ploteo (Sheets). Creación de WorkSets, Creación de un archivo local y Relinquish all mine. Ejercicio de aplicación (proyecto aplicado en ingeniería eléctrica).</t>
  </si>
  <si>
    <t xml:space="preserve">Al finalizar esta unidad el estudiante: Crea modelos de construcción básicos de BIM con información del sistema eléctrico. </t>
  </si>
  <si>
    <t xml:space="preserve">3.4. Familias de Revit </t>
  </si>
  <si>
    <t>Concepto de familias de Revit. Creación de perfiles. Creación de planos de trabajo. Convertir líneas en símbolos (Convert lines) y Controles de visibilidad. Ejercicio de aplicación (proyecto aplicado en ingeniería eléctrica).</t>
  </si>
  <si>
    <t>DAPC</t>
  </si>
  <si>
    <t>Σ</t>
  </si>
  <si>
    <t xml:space="preserve">1.1. Conceptos básicos de diseño asistido por computador - CAD </t>
  </si>
  <si>
    <t xml:space="preserve">1.6. Proyecto de dibujo asistido por computadora con AutoCAD </t>
  </si>
  <si>
    <t xml:space="preserve">Al finalizar esta unidad el estudiante: 
Elabora mapas y planos 
Manipula imágenes </t>
  </si>
  <si>
    <t>Al finalizar esta unidad el estudiante: Comprende los conceptos y fundamentos básicos de la metodología BIM.</t>
  </si>
  <si>
    <t xml:space="preserve">Al finalizar esta unidad el estudiante: 
Conoce los fundamentos de las familias de Revit. 
Crea planos de trabajo en Revit. </t>
  </si>
  <si>
    <t>Proyecto</t>
  </si>
  <si>
    <r>
      <rPr>
        <b/>
        <sz val="11"/>
        <color theme="1"/>
        <rFont val="Segoe UI Light"/>
        <family val="2"/>
      </rPr>
      <t xml:space="preserve">Módulo 1: Dibujo asistido por computadora con AutoCAD.
</t>
    </r>
    <r>
      <rPr>
        <sz val="11"/>
        <color theme="1"/>
        <rFont val="Segoe UI Light"/>
        <family val="2"/>
      </rPr>
      <t>Conceptos básicos. Usos y aplicaciones de AutoCAD. Entorno gráfico e interfaz de AutoCAD. Comandos básicos. Dibujo de elementos básicos. Presentación de elementos básicos. Achurado y sombreado. Dimensionamiento de elementos. Herramientas de acotado. Rotulado. Herramientas de edición y dibujo en 3D. Creación y estructurado de un plano. Manejo de ventanas de impresión. Capas Viewports: manejo de escalas, plantas, perfiles y secciones transversales.</t>
    </r>
  </si>
  <si>
    <t>CURSO: Dibujo asistido por computador</t>
  </si>
  <si>
    <r>
      <rPr>
        <b/>
        <sz val="11"/>
        <color theme="1"/>
        <rFont val="Segoe UI Light"/>
        <family val="2"/>
      </rPr>
      <t xml:space="preserve">Módulo 2: Sistemas de información geográfica.
</t>
    </r>
    <r>
      <rPr>
        <sz val="11"/>
        <color theme="1"/>
        <rFont val="Segoe UI Light"/>
        <family val="2"/>
      </rPr>
      <t>Fundamentos de los sistemas de información geográfica. Definición y edición de elementos de un SIG. Digitalización y entrada de entidades. Creación y edición de tablas relacionales. Mapas y cartografía. Elaboración de planos. Imágenes en SIG. Manejo y manipulación.</t>
    </r>
  </si>
  <si>
    <r>
      <rPr>
        <b/>
        <sz val="11"/>
        <color theme="1"/>
        <rFont val="Segoe UI Light"/>
        <family val="2"/>
      </rPr>
      <t>Módulo 3: Metodología de modelado de información para la construcción (BIM) con REVIT.</t>
    </r>
    <r>
      <rPr>
        <sz val="11"/>
        <color theme="1"/>
        <rFont val="Segoe UI Light"/>
        <family val="2"/>
      </rPr>
      <t xml:space="preserve">
Introducción a los conceptos BIM. Uso de plantillas. Manejo básico del software REVIT. Configuración. Creación de vista de plantas, niveles de fondo, filtros y manipulación de elementos. Control de visualización. Láminas de ploteo. Metrados. Creación de WorkSets. Creación de un archivo local y Relinquish all mine. Introducción a Revit familias. Creación de perfiles y Concepto de familias Revit. Creación de planos de trabajo. Convertir líneas en símbolos y Controles de visibilidad. </t>
    </r>
  </si>
  <si>
    <t xml:space="preserve">Coordenadas de usuario UCS. Barra de herramientas de puntos de convergencia. Comandos POLYLINE, ARC, FILLET, CHAMFER, POINT. Comandos ARRAY, MIRROR, OFFSET, DONUT, TRIM. Dibujo de la elipse, la parábola y la hipérbola. </t>
  </si>
  <si>
    <t>Referencias</t>
  </si>
  <si>
    <t>Autocad - Rotate the UCS coordinates
https://www.youtube.com/watch?v=lpfawa4QVfU&amp;t=110s</t>
  </si>
  <si>
    <t>Revit - Complete Tutorial for Beginners - Learn to use Revit in 60 minutes - Part 1
https://www.youtube.com/watch?v=Nd6U2KgHI6k</t>
  </si>
  <si>
    <t>CAD in black
https://www.youtube.com/@CADinblack
Autocad - Complete course for beginners
https://www.youtube.com/watch?v=2LumoE9KjoY</t>
  </si>
  <si>
    <t>Estudiantes segundo semestre.</t>
  </si>
  <si>
    <t>ZWCAD</t>
  </si>
  <si>
    <t>E-314</t>
  </si>
  <si>
    <t>Usos y aplicaciones de herramientas computacionales. Barra de menús. Comandos LINE, GRID y SNAP.</t>
  </si>
  <si>
    <t>Descripción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</si>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</sst>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6"/>
      <color theme="1"/>
      <name val="Segoe UI Light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4.9989318521683403E-2"/>
      </right>
      <top/>
      <bottom/>
      <diagonal/>
    </border>
    <border>
      <left style="thin">
        <color indexed="64"/>
      </left>
      <right style="thin">
        <color theme="0" tint="-4.9989318521683403E-2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1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BE4D-668B-4D0E-B65B-7A27B2E0EDBD}">
  <dimension ref="B1:K27"/>
  <sheetViews>
    <sheetView showGridLines="0"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C2" sqref="C2"/>
    </sheetView>
  </sheetViews>
  <sheetFormatPr defaultColWidth="9.1328125" defaultRowHeight="16.5" x14ac:dyDescent="0.45"/>
  <cols>
    <col min="1" max="1" width="2.53125" style="1" customWidth="1"/>
    <col min="2" max="2" width="49.796875" style="1" customWidth="1"/>
    <col min="3" max="3" width="10.6640625" style="3" customWidth="1"/>
    <col min="4" max="4" width="9.86328125" style="3" customWidth="1"/>
    <col min="5" max="5" width="30.19921875" style="1" customWidth="1"/>
    <col min="6" max="7" width="46.46484375" style="1" customWidth="1"/>
    <col min="8" max="8" width="9.19921875" style="3" customWidth="1"/>
    <col min="9" max="9" width="9.1328125" style="3"/>
    <col min="10" max="10" width="2.53125" style="1" customWidth="1"/>
    <col min="11" max="11" width="68.53125" style="1" customWidth="1"/>
    <col min="12" max="12" width="2.53125" style="1" customWidth="1"/>
    <col min="13" max="16384" width="9.1328125" style="1"/>
  </cols>
  <sheetData>
    <row r="1" spans="2:11" ht="24" x14ac:dyDescent="0.45">
      <c r="B1" s="20" t="s">
        <v>39</v>
      </c>
      <c r="C1" s="3" t="s">
        <v>58</v>
      </c>
      <c r="D1" s="5">
        <f>C2/HorasSemana</f>
        <v>16</v>
      </c>
      <c r="E1" s="1" t="s">
        <v>18</v>
      </c>
      <c r="F1" s="1" t="s">
        <v>56</v>
      </c>
      <c r="G1" s="1" t="s">
        <v>57</v>
      </c>
    </row>
    <row r="2" spans="2:11" x14ac:dyDescent="0.45">
      <c r="B2" s="1" t="s">
        <v>48</v>
      </c>
      <c r="C2" s="5">
        <f>C4+C11+C15</f>
        <v>72</v>
      </c>
      <c r="D2" s="5">
        <v>4.5</v>
      </c>
      <c r="E2" s="2" t="s">
        <v>19</v>
      </c>
      <c r="G2" s="21" t="s">
        <v>40</v>
      </c>
      <c r="H2" s="3">
        <f>SUM(H4:H19)</f>
        <v>0</v>
      </c>
      <c r="I2" s="3">
        <f>SUM(I4:I19)</f>
        <v>72</v>
      </c>
    </row>
    <row r="3" spans="2:11" x14ac:dyDescent="0.45">
      <c r="B3" s="15" t="s">
        <v>0</v>
      </c>
      <c r="C3" s="16" t="s">
        <v>20</v>
      </c>
      <c r="D3" s="16" t="s">
        <v>18</v>
      </c>
      <c r="E3" s="17" t="s">
        <v>1</v>
      </c>
      <c r="F3" s="17" t="s">
        <v>60</v>
      </c>
      <c r="G3" s="17" t="s">
        <v>2</v>
      </c>
      <c r="H3" s="16" t="s">
        <v>46</v>
      </c>
      <c r="I3" s="18" t="s">
        <v>3</v>
      </c>
      <c r="K3" s="1" t="s">
        <v>52</v>
      </c>
    </row>
    <row r="4" spans="2:11" ht="82.5" x14ac:dyDescent="0.45">
      <c r="B4" s="22" t="s">
        <v>47</v>
      </c>
      <c r="C4" s="19">
        <f>SUM(I4:I10)</f>
        <v>28.5</v>
      </c>
      <c r="D4" s="19">
        <f>C4/HorasSemana</f>
        <v>6.333333333333333</v>
      </c>
      <c r="E4" s="9" t="s">
        <v>41</v>
      </c>
      <c r="F4" s="9" t="s">
        <v>59</v>
      </c>
      <c r="G4" s="9" t="s">
        <v>4</v>
      </c>
      <c r="H4" s="8"/>
      <c r="I4" s="10">
        <v>4.5</v>
      </c>
      <c r="K4" s="2" t="s">
        <v>55</v>
      </c>
    </row>
    <row r="5" spans="2:11" ht="82.5" x14ac:dyDescent="0.45">
      <c r="B5" s="23"/>
      <c r="C5" s="7"/>
      <c r="D5" s="7"/>
      <c r="E5" s="6" t="s">
        <v>5</v>
      </c>
      <c r="F5" s="6" t="s">
        <v>51</v>
      </c>
      <c r="G5" s="6" t="s">
        <v>6</v>
      </c>
      <c r="H5" s="7"/>
      <c r="I5" s="11">
        <v>4.5</v>
      </c>
      <c r="K5" s="2" t="s">
        <v>53</v>
      </c>
    </row>
    <row r="6" spans="2:11" ht="181.5" x14ac:dyDescent="0.45">
      <c r="B6" s="23"/>
      <c r="C6" s="7"/>
      <c r="D6" s="7"/>
      <c r="E6" s="6" t="s">
        <v>7</v>
      </c>
      <c r="F6" s="6" t="s">
        <v>8</v>
      </c>
      <c r="G6" s="6" t="s">
        <v>9</v>
      </c>
      <c r="H6" s="7"/>
      <c r="I6" s="11">
        <v>4.5</v>
      </c>
    </row>
    <row r="7" spans="2:11" ht="66" x14ac:dyDescent="0.45">
      <c r="B7" s="23"/>
      <c r="C7" s="7"/>
      <c r="D7" s="7"/>
      <c r="E7" s="6" t="s">
        <v>10</v>
      </c>
      <c r="F7" s="6" t="s">
        <v>11</v>
      </c>
      <c r="G7" s="6" t="s">
        <v>12</v>
      </c>
      <c r="H7" s="7"/>
      <c r="I7" s="11">
        <v>4.5</v>
      </c>
    </row>
    <row r="8" spans="2:11" ht="66" x14ac:dyDescent="0.45">
      <c r="B8" s="23"/>
      <c r="C8" s="7"/>
      <c r="D8" s="7"/>
      <c r="E8" s="6" t="s">
        <v>13</v>
      </c>
      <c r="F8" s="6" t="s">
        <v>14</v>
      </c>
      <c r="G8" s="6" t="s">
        <v>15</v>
      </c>
      <c r="H8" s="7"/>
      <c r="I8" s="11">
        <v>4.5</v>
      </c>
    </row>
    <row r="9" spans="2:11" ht="132" x14ac:dyDescent="0.45">
      <c r="B9" s="23"/>
      <c r="C9" s="7"/>
      <c r="D9" s="7"/>
      <c r="E9" s="6" t="s">
        <v>42</v>
      </c>
      <c r="F9" s="6" t="s">
        <v>16</v>
      </c>
      <c r="G9" s="6" t="s">
        <v>17</v>
      </c>
      <c r="H9" s="7" t="s">
        <v>61</v>
      </c>
      <c r="I9" s="11">
        <v>6</v>
      </c>
    </row>
    <row r="10" spans="2:11" x14ac:dyDescent="0.45">
      <c r="B10" s="24"/>
      <c r="C10" s="12"/>
      <c r="D10" s="12"/>
      <c r="E10" s="13"/>
      <c r="F10" s="13"/>
      <c r="G10" s="13"/>
      <c r="H10" s="12"/>
      <c r="I10" s="14"/>
    </row>
    <row r="11" spans="2:11" ht="49.5" x14ac:dyDescent="0.45">
      <c r="B11" s="22" t="s">
        <v>49</v>
      </c>
      <c r="C11" s="19">
        <f>SUM(I11:I14)</f>
        <v>22.5</v>
      </c>
      <c r="D11" s="19">
        <f>C11/HorasSemana</f>
        <v>5</v>
      </c>
      <c r="E11" s="9" t="s">
        <v>21</v>
      </c>
      <c r="F11" s="9" t="s">
        <v>22</v>
      </c>
      <c r="G11" s="9" t="s">
        <v>23</v>
      </c>
      <c r="H11" s="8"/>
      <c r="I11" s="10">
        <v>4.5</v>
      </c>
    </row>
    <row r="12" spans="2:11" ht="99" x14ac:dyDescent="0.45">
      <c r="B12" s="23"/>
      <c r="C12" s="7"/>
      <c r="D12" s="7"/>
      <c r="E12" s="6" t="s">
        <v>24</v>
      </c>
      <c r="F12" s="6" t="s">
        <v>25</v>
      </c>
      <c r="G12" s="6" t="s">
        <v>26</v>
      </c>
      <c r="H12" s="7" t="s">
        <v>61</v>
      </c>
      <c r="I12" s="11">
        <v>9</v>
      </c>
    </row>
    <row r="13" spans="2:11" ht="66" x14ac:dyDescent="0.45">
      <c r="B13" s="23"/>
      <c r="C13" s="7"/>
      <c r="D13" s="7"/>
      <c r="E13" s="6" t="s">
        <v>27</v>
      </c>
      <c r="F13" s="6" t="s">
        <v>28</v>
      </c>
      <c r="G13" s="6" t="s">
        <v>43</v>
      </c>
      <c r="H13" s="7" t="s">
        <v>61</v>
      </c>
      <c r="I13" s="11">
        <v>9</v>
      </c>
    </row>
    <row r="14" spans="2:11" x14ac:dyDescent="0.45">
      <c r="B14" s="24"/>
      <c r="C14" s="12"/>
      <c r="D14" s="12"/>
      <c r="E14" s="13"/>
      <c r="F14" s="13"/>
      <c r="G14" s="13"/>
      <c r="H14" s="12"/>
      <c r="I14" s="14"/>
    </row>
    <row r="15" spans="2:11" ht="49.5" x14ac:dyDescent="0.45">
      <c r="B15" s="22" t="s">
        <v>50</v>
      </c>
      <c r="C15" s="19">
        <f>SUM(I15:I19)</f>
        <v>21</v>
      </c>
      <c r="D15" s="19">
        <f>C15/HorasSemana</f>
        <v>4.666666666666667</v>
      </c>
      <c r="E15" s="9" t="s">
        <v>29</v>
      </c>
      <c r="F15" s="9" t="s">
        <v>30</v>
      </c>
      <c r="G15" s="9" t="s">
        <v>44</v>
      </c>
      <c r="H15" s="8"/>
      <c r="I15" s="10">
        <v>4.5</v>
      </c>
      <c r="K15" s="2" t="s">
        <v>54</v>
      </c>
    </row>
    <row r="16" spans="2:11" ht="49.5" x14ac:dyDescent="0.45">
      <c r="B16" s="23"/>
      <c r="C16" s="7"/>
      <c r="D16" s="7"/>
      <c r="E16" s="6" t="s">
        <v>31</v>
      </c>
      <c r="F16" s="6" t="s">
        <v>32</v>
      </c>
      <c r="G16" s="6" t="s">
        <v>33</v>
      </c>
      <c r="H16" s="7"/>
      <c r="I16" s="11">
        <v>1.5</v>
      </c>
    </row>
    <row r="17" spans="2:9" ht="99" x14ac:dyDescent="0.45">
      <c r="B17" s="23"/>
      <c r="C17" s="7"/>
      <c r="D17" s="7"/>
      <c r="E17" s="6" t="s">
        <v>34</v>
      </c>
      <c r="F17" s="6" t="s">
        <v>35</v>
      </c>
      <c r="G17" s="6" t="s">
        <v>36</v>
      </c>
      <c r="H17" s="7" t="s">
        <v>61</v>
      </c>
      <c r="I17" s="11">
        <v>9</v>
      </c>
    </row>
    <row r="18" spans="2:9" ht="82.5" x14ac:dyDescent="0.45">
      <c r="B18" s="23"/>
      <c r="C18" s="7"/>
      <c r="D18" s="7"/>
      <c r="E18" s="6" t="s">
        <v>37</v>
      </c>
      <c r="F18" s="6" t="s">
        <v>38</v>
      </c>
      <c r="G18" s="6" t="s">
        <v>45</v>
      </c>
      <c r="H18" s="7" t="s">
        <v>61</v>
      </c>
      <c r="I18" s="11">
        <v>6</v>
      </c>
    </row>
    <row r="19" spans="2:9" x14ac:dyDescent="0.45">
      <c r="B19" s="24"/>
      <c r="C19" s="12"/>
      <c r="D19" s="12"/>
      <c r="E19" s="13"/>
      <c r="F19" s="13"/>
      <c r="G19" s="13"/>
      <c r="H19" s="12"/>
      <c r="I19" s="14"/>
    </row>
    <row r="20" spans="2:9" x14ac:dyDescent="0.45">
      <c r="B20" s="2"/>
      <c r="C20" s="4"/>
      <c r="D20" s="4"/>
      <c r="E20" s="2"/>
      <c r="F20" s="2"/>
      <c r="G20" s="2"/>
      <c r="H20" s="4"/>
      <c r="I20" s="4"/>
    </row>
    <row r="21" spans="2:9" x14ac:dyDescent="0.45">
      <c r="B21" s="2"/>
      <c r="C21" s="4"/>
      <c r="D21" s="4"/>
      <c r="E21" s="2"/>
      <c r="F21" s="2"/>
      <c r="G21" s="2"/>
      <c r="H21" s="4"/>
      <c r="I21" s="4"/>
    </row>
    <row r="22" spans="2:9" x14ac:dyDescent="0.45">
      <c r="B22" s="2"/>
      <c r="C22" s="4"/>
      <c r="D22" s="4"/>
      <c r="E22" s="2"/>
      <c r="F22" s="2"/>
      <c r="G22" s="2"/>
      <c r="H22" s="4"/>
      <c r="I22" s="4"/>
    </row>
    <row r="23" spans="2:9" x14ac:dyDescent="0.45">
      <c r="B23" s="2"/>
      <c r="C23" s="4"/>
      <c r="D23" s="4"/>
      <c r="E23" s="2"/>
      <c r="F23" s="2"/>
      <c r="G23" s="2"/>
      <c r="H23" s="4"/>
      <c r="I23" s="4"/>
    </row>
    <row r="24" spans="2:9" x14ac:dyDescent="0.45">
      <c r="B24" s="2"/>
      <c r="C24" s="4"/>
      <c r="D24" s="4"/>
      <c r="E24" s="2"/>
      <c r="F24" s="2"/>
      <c r="G24" s="2"/>
      <c r="H24" s="4"/>
      <c r="I24" s="4"/>
    </row>
    <row r="25" spans="2:9" x14ac:dyDescent="0.45">
      <c r="B25" s="2"/>
      <c r="C25" s="4"/>
      <c r="D25" s="4"/>
      <c r="E25" s="2"/>
      <c r="F25" s="2"/>
      <c r="G25" s="2"/>
      <c r="H25" s="4"/>
      <c r="I25" s="4"/>
    </row>
    <row r="26" spans="2:9" x14ac:dyDescent="0.45">
      <c r="B26" s="2"/>
      <c r="C26" s="4"/>
      <c r="D26" s="4"/>
      <c r="E26" s="2"/>
      <c r="F26" s="2"/>
      <c r="G26" s="2"/>
      <c r="H26" s="4"/>
      <c r="I26" s="4"/>
    </row>
    <row r="27" spans="2:9" x14ac:dyDescent="0.45">
      <c r="B27" s="2"/>
      <c r="C27" s="4"/>
      <c r="D27" s="4"/>
      <c r="E27" s="2"/>
      <c r="F27" s="2"/>
      <c r="G27" s="2"/>
      <c r="H27" s="4"/>
      <c r="I27" s="4"/>
    </row>
  </sheetData>
  <autoFilter ref="B2:I19" xr:uid="{5C1ABE4D-668B-4D0E-B65B-7A27B2E0EDBD}"/>
  <mergeCells count="3">
    <mergeCell ref="B4:B10"/>
    <mergeCell ref="B11:B14"/>
    <mergeCell ref="B15:B1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Actividades</vt:lpstr>
      <vt:lpstr>HorasSemana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2025-06-19T13:30:11Z</dcterms:created>
  <dcterms:modified xsi:type="dcterms:W3CDTF">2025-07-26T20:35:30Z</dcterms:modified>
</cp:coreProperties>
</file>