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SSD2TB\R.DAPC\file\temp\"/>
    </mc:Choice>
  </mc:AlternateContent>
  <xr:revisionPtr revIDLastSave="0" documentId="13_ncr:1_{F5053FB6-8D5B-4459-B422-BBFD9341C2DC}" xr6:coauthVersionLast="47" xr6:coauthVersionMax="47" xr10:uidLastSave="{00000000-0000-0000-0000-000000000000}"/>
  <bookViews>
    <workbookView xWindow="-98" yWindow="-98" windowWidth="19396" windowHeight="11475" activeTab="2" xr2:uid="{D94F812B-BC61-4A22-9692-634766FE0D40}"/>
  </bookViews>
  <sheets>
    <sheet name="Sample" sheetId="1" r:id="rId1"/>
    <sheet name="LayerL1" sheetId="6" r:id="rId2"/>
    <sheet name="LayerL2" sheetId="7" r:id="rId3"/>
  </sheets>
  <definedNames>
    <definedName name="_Toc107986980" localSheetId="1">LayerL1!$B$9</definedName>
    <definedName name="_Toc107986980" localSheetId="2">LayerL2!$B$9</definedName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103" i="7" l="1"/>
  <c r="T103" i="7"/>
  <c r="S103" i="7"/>
  <c r="R103" i="7"/>
  <c r="Q103" i="7"/>
  <c r="P103" i="7"/>
  <c r="V102" i="7"/>
  <c r="T102" i="7"/>
  <c r="S102" i="7"/>
  <c r="R102" i="7"/>
  <c r="Q102" i="7"/>
  <c r="P102" i="7"/>
  <c r="V101" i="7"/>
  <c r="T101" i="7"/>
  <c r="S101" i="7"/>
  <c r="R101" i="7"/>
  <c r="Q101" i="7"/>
  <c r="P101" i="7"/>
  <c r="V100" i="7"/>
  <c r="T100" i="7"/>
  <c r="S100" i="7"/>
  <c r="R100" i="7"/>
  <c r="Q100" i="7"/>
  <c r="P100" i="7"/>
  <c r="V99" i="7"/>
  <c r="T99" i="7"/>
  <c r="S99" i="7"/>
  <c r="R99" i="7"/>
  <c r="Q99" i="7"/>
  <c r="P99" i="7"/>
  <c r="V98" i="7"/>
  <c r="T98" i="7"/>
  <c r="S98" i="7"/>
  <c r="R98" i="7"/>
  <c r="Q98" i="7"/>
  <c r="P98" i="7"/>
  <c r="V97" i="7"/>
  <c r="T97" i="7"/>
  <c r="S97" i="7"/>
  <c r="R97" i="7"/>
  <c r="Q97" i="7"/>
  <c r="P97" i="7"/>
  <c r="V96" i="7"/>
  <c r="T96" i="7"/>
  <c r="S96" i="7"/>
  <c r="R96" i="7"/>
  <c r="Q96" i="7"/>
  <c r="P96" i="7"/>
  <c r="V95" i="7"/>
  <c r="T95" i="7"/>
  <c r="S95" i="7"/>
  <c r="R95" i="7"/>
  <c r="Q95" i="7"/>
  <c r="P95" i="7"/>
  <c r="V94" i="7"/>
  <c r="T94" i="7"/>
  <c r="S94" i="7"/>
  <c r="R94" i="7"/>
  <c r="Q94" i="7"/>
  <c r="P94" i="7"/>
  <c r="V93" i="7"/>
  <c r="T93" i="7"/>
  <c r="S93" i="7"/>
  <c r="R93" i="7"/>
  <c r="Q93" i="7"/>
  <c r="P93" i="7"/>
  <c r="V92" i="7"/>
  <c r="T92" i="7"/>
  <c r="S92" i="7"/>
  <c r="R92" i="7"/>
  <c r="Q92" i="7"/>
  <c r="P92" i="7"/>
  <c r="V91" i="7"/>
  <c r="T91" i="7"/>
  <c r="S91" i="7"/>
  <c r="R91" i="7"/>
  <c r="Q91" i="7"/>
  <c r="P91" i="7"/>
  <c r="V90" i="7"/>
  <c r="T90" i="7"/>
  <c r="S90" i="7"/>
  <c r="R90" i="7"/>
  <c r="Q90" i="7"/>
  <c r="P90" i="7"/>
  <c r="V89" i="7"/>
  <c r="T89" i="7"/>
  <c r="S89" i="7"/>
  <c r="R89" i="7"/>
  <c r="Q89" i="7"/>
  <c r="P89" i="7"/>
  <c r="V88" i="7"/>
  <c r="T88" i="7"/>
  <c r="S88" i="7"/>
  <c r="R88" i="7"/>
  <c r="Q88" i="7"/>
  <c r="P88" i="7"/>
  <c r="V87" i="7"/>
  <c r="T87" i="7"/>
  <c r="S87" i="7"/>
  <c r="R87" i="7"/>
  <c r="Q87" i="7"/>
  <c r="P87" i="7"/>
  <c r="V86" i="7"/>
  <c r="T86" i="7"/>
  <c r="S86" i="7"/>
  <c r="R86" i="7"/>
  <c r="Q86" i="7"/>
  <c r="P86" i="7"/>
  <c r="V85" i="7"/>
  <c r="T85" i="7"/>
  <c r="S85" i="7"/>
  <c r="R85" i="7"/>
  <c r="Q85" i="7"/>
  <c r="P85" i="7"/>
  <c r="V84" i="7"/>
  <c r="T84" i="7"/>
  <c r="S84" i="7"/>
  <c r="R84" i="7"/>
  <c r="Q84" i="7"/>
  <c r="P84" i="7"/>
  <c r="V83" i="7"/>
  <c r="T83" i="7"/>
  <c r="S83" i="7"/>
  <c r="R83" i="7"/>
  <c r="Q83" i="7"/>
  <c r="P83" i="7"/>
  <c r="V82" i="7"/>
  <c r="T82" i="7"/>
  <c r="S82" i="7"/>
  <c r="R82" i="7"/>
  <c r="Q82" i="7"/>
  <c r="P82" i="7"/>
  <c r="V81" i="7"/>
  <c r="T81" i="7"/>
  <c r="S81" i="7"/>
  <c r="R81" i="7"/>
  <c r="Q81" i="7"/>
  <c r="P81" i="7"/>
  <c r="V80" i="7"/>
  <c r="T80" i="7"/>
  <c r="S80" i="7"/>
  <c r="R80" i="7"/>
  <c r="Q80" i="7"/>
  <c r="P80" i="7"/>
  <c r="V79" i="7"/>
  <c r="T79" i="7"/>
  <c r="S79" i="7"/>
  <c r="R79" i="7"/>
  <c r="Q79" i="7"/>
  <c r="P79" i="7"/>
  <c r="V78" i="7"/>
  <c r="T78" i="7"/>
  <c r="S78" i="7"/>
  <c r="R78" i="7"/>
  <c r="Q78" i="7"/>
  <c r="P78" i="7"/>
  <c r="V77" i="7"/>
  <c r="T77" i="7"/>
  <c r="S77" i="7"/>
  <c r="R77" i="7"/>
  <c r="Q77" i="7"/>
  <c r="P77" i="7"/>
  <c r="V76" i="7"/>
  <c r="T76" i="7"/>
  <c r="S76" i="7"/>
  <c r="R76" i="7"/>
  <c r="Q76" i="7"/>
  <c r="P76" i="7"/>
  <c r="V75" i="7"/>
  <c r="T75" i="7"/>
  <c r="S75" i="7"/>
  <c r="R75" i="7"/>
  <c r="Q75" i="7"/>
  <c r="P75" i="7"/>
  <c r="V74" i="7"/>
  <c r="T74" i="7"/>
  <c r="S74" i="7"/>
  <c r="R74" i="7"/>
  <c r="Q74" i="7"/>
  <c r="P74" i="7"/>
  <c r="V73" i="7"/>
  <c r="T73" i="7"/>
  <c r="S73" i="7"/>
  <c r="R73" i="7"/>
  <c r="Q73" i="7"/>
  <c r="P73" i="7"/>
  <c r="V72" i="7"/>
  <c r="T72" i="7"/>
  <c r="S72" i="7"/>
  <c r="R72" i="7"/>
  <c r="Q72" i="7"/>
  <c r="P72" i="7"/>
  <c r="V71" i="7"/>
  <c r="T71" i="7"/>
  <c r="S71" i="7"/>
  <c r="R71" i="7"/>
  <c r="Q71" i="7"/>
  <c r="P71" i="7"/>
  <c r="V70" i="7"/>
  <c r="T70" i="7"/>
  <c r="S70" i="7"/>
  <c r="R70" i="7"/>
  <c r="Q70" i="7"/>
  <c r="P70" i="7"/>
  <c r="V69" i="7"/>
  <c r="T69" i="7"/>
  <c r="S69" i="7"/>
  <c r="R69" i="7"/>
  <c r="Q69" i="7"/>
  <c r="P69" i="7"/>
  <c r="V68" i="7"/>
  <c r="T68" i="7"/>
  <c r="S68" i="7"/>
  <c r="R68" i="7"/>
  <c r="Q68" i="7"/>
  <c r="P68" i="7"/>
  <c r="V67" i="7"/>
  <c r="T67" i="7"/>
  <c r="S67" i="7"/>
  <c r="R67" i="7"/>
  <c r="Q67" i="7"/>
  <c r="P67" i="7"/>
  <c r="V66" i="7"/>
  <c r="T66" i="7"/>
  <c r="S66" i="7"/>
  <c r="R66" i="7"/>
  <c r="Q66" i="7"/>
  <c r="P66" i="7"/>
  <c r="V65" i="7"/>
  <c r="T65" i="7"/>
  <c r="S65" i="7"/>
  <c r="R65" i="7"/>
  <c r="Q65" i="7"/>
  <c r="P65" i="7"/>
  <c r="V64" i="7"/>
  <c r="T64" i="7"/>
  <c r="S64" i="7"/>
  <c r="R64" i="7"/>
  <c r="Q64" i="7"/>
  <c r="P64" i="7"/>
  <c r="V63" i="7"/>
  <c r="T63" i="7"/>
  <c r="S63" i="7"/>
  <c r="R63" i="7"/>
  <c r="Q63" i="7"/>
  <c r="P63" i="7"/>
  <c r="V62" i="7"/>
  <c r="T62" i="7"/>
  <c r="S62" i="7"/>
  <c r="R62" i="7"/>
  <c r="Q62" i="7"/>
  <c r="P62" i="7"/>
  <c r="V61" i="7"/>
  <c r="T61" i="7"/>
  <c r="S61" i="7"/>
  <c r="R61" i="7"/>
  <c r="Q61" i="7"/>
  <c r="P61" i="7"/>
  <c r="V60" i="7"/>
  <c r="T60" i="7"/>
  <c r="S60" i="7"/>
  <c r="R60" i="7"/>
  <c r="Q60" i="7"/>
  <c r="P60" i="7"/>
  <c r="V59" i="7"/>
  <c r="T59" i="7"/>
  <c r="S59" i="7"/>
  <c r="R59" i="7"/>
  <c r="Q59" i="7"/>
  <c r="P59" i="7"/>
  <c r="V58" i="7"/>
  <c r="T58" i="7"/>
  <c r="S58" i="7"/>
  <c r="R58" i="7"/>
  <c r="Q58" i="7"/>
  <c r="P58" i="7"/>
  <c r="V57" i="7"/>
  <c r="T57" i="7"/>
  <c r="S57" i="7"/>
  <c r="R57" i="7"/>
  <c r="Q57" i="7"/>
  <c r="P57" i="7"/>
  <c r="V56" i="7"/>
  <c r="T56" i="7"/>
  <c r="S56" i="7"/>
  <c r="R56" i="7"/>
  <c r="Q56" i="7"/>
  <c r="P56" i="7"/>
  <c r="V55" i="7"/>
  <c r="T55" i="7"/>
  <c r="S55" i="7"/>
  <c r="R55" i="7"/>
  <c r="Q55" i="7"/>
  <c r="P55" i="7"/>
  <c r="V54" i="7"/>
  <c r="T54" i="7"/>
  <c r="S54" i="7"/>
  <c r="R54" i="7"/>
  <c r="Q54" i="7"/>
  <c r="P54" i="7"/>
  <c r="V53" i="7"/>
  <c r="T53" i="7"/>
  <c r="S53" i="7"/>
  <c r="R53" i="7"/>
  <c r="Q53" i="7"/>
  <c r="P53" i="7"/>
  <c r="V52" i="7"/>
  <c r="T52" i="7"/>
  <c r="S52" i="7"/>
  <c r="R52" i="7"/>
  <c r="Q52" i="7"/>
  <c r="P52" i="7"/>
  <c r="V51" i="7"/>
  <c r="T51" i="7"/>
  <c r="S51" i="7"/>
  <c r="R51" i="7"/>
  <c r="Q51" i="7"/>
  <c r="P51" i="7"/>
  <c r="V50" i="7"/>
  <c r="T50" i="7"/>
  <c r="S50" i="7"/>
  <c r="R50" i="7"/>
  <c r="Q50" i="7"/>
  <c r="P50" i="7"/>
  <c r="V49" i="7"/>
  <c r="T49" i="7"/>
  <c r="S49" i="7"/>
  <c r="R49" i="7"/>
  <c r="Q49" i="7"/>
  <c r="P49" i="7"/>
  <c r="V48" i="7"/>
  <c r="T48" i="7"/>
  <c r="S48" i="7"/>
  <c r="R48" i="7"/>
  <c r="Q48" i="7"/>
  <c r="P48" i="7"/>
  <c r="V47" i="7"/>
  <c r="T47" i="7"/>
  <c r="S47" i="7"/>
  <c r="R47" i="7"/>
  <c r="Q47" i="7"/>
  <c r="P47" i="7"/>
  <c r="V46" i="7"/>
  <c r="T46" i="7"/>
  <c r="S46" i="7"/>
  <c r="R46" i="7"/>
  <c r="Q46" i="7"/>
  <c r="P46" i="7"/>
  <c r="V45" i="7"/>
  <c r="T45" i="7"/>
  <c r="S45" i="7"/>
  <c r="R45" i="7"/>
  <c r="Q45" i="7"/>
  <c r="P45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V14" i="7"/>
  <c r="T14" i="7"/>
  <c r="S14" i="7"/>
  <c r="R14" i="7"/>
  <c r="Q14" i="7"/>
  <c r="P14" i="7"/>
  <c r="V13" i="7"/>
  <c r="T13" i="7"/>
  <c r="S13" i="7"/>
  <c r="R13" i="7"/>
  <c r="Q13" i="7"/>
  <c r="P13" i="7"/>
  <c r="V12" i="7"/>
  <c r="T12" i="7"/>
  <c r="S12" i="7"/>
  <c r="R12" i="7"/>
  <c r="Q12" i="7"/>
  <c r="P12" i="7"/>
  <c r="V11" i="7"/>
  <c r="U11" i="7"/>
  <c r="T11" i="7"/>
  <c r="S11" i="7"/>
  <c r="R11" i="7"/>
  <c r="Q11" i="7"/>
  <c r="P11" i="7"/>
  <c r="V10" i="7"/>
  <c r="U10" i="7"/>
  <c r="T10" i="7"/>
  <c r="S10" i="7"/>
  <c r="R10" i="7"/>
  <c r="Q10" i="7"/>
  <c r="P10" i="7"/>
  <c r="V9" i="7"/>
  <c r="U9" i="7"/>
  <c r="T9" i="7"/>
  <c r="S9" i="7"/>
  <c r="R9" i="7"/>
  <c r="Q9" i="7"/>
  <c r="P9" i="7"/>
  <c r="V8" i="7"/>
  <c r="U8" i="7"/>
  <c r="T8" i="7"/>
  <c r="S8" i="7"/>
  <c r="R8" i="7"/>
  <c r="Q8" i="7"/>
  <c r="P8" i="7"/>
  <c r="V7" i="7"/>
  <c r="U7" i="7"/>
  <c r="T7" i="7"/>
  <c r="S7" i="7"/>
  <c r="R7" i="7"/>
  <c r="Q7" i="7"/>
  <c r="P7" i="7"/>
  <c r="V6" i="7"/>
  <c r="U6" i="7"/>
  <c r="T6" i="7"/>
  <c r="S6" i="7"/>
  <c r="R6" i="7"/>
  <c r="Q6" i="7"/>
  <c r="P6" i="7"/>
  <c r="V5" i="7"/>
  <c r="U5" i="7"/>
  <c r="T5" i="7"/>
  <c r="S5" i="7"/>
  <c r="R5" i="7"/>
  <c r="Q5" i="7"/>
  <c r="P5" i="7"/>
  <c r="V4" i="7"/>
  <c r="U4" i="7"/>
  <c r="T4" i="7"/>
  <c r="S4" i="7"/>
  <c r="R4" i="7"/>
  <c r="Q4" i="7"/>
  <c r="P4" i="7"/>
  <c r="V3" i="7"/>
  <c r="U3" i="7"/>
  <c r="T3" i="7"/>
  <c r="S3" i="7"/>
  <c r="R3" i="7"/>
  <c r="Q3" i="7"/>
  <c r="P3" i="7"/>
  <c r="V103" i="6"/>
  <c r="T103" i="6"/>
  <c r="S103" i="6"/>
  <c r="R103" i="6"/>
  <c r="Q103" i="6"/>
  <c r="P103" i="6"/>
  <c r="V102" i="6"/>
  <c r="T102" i="6"/>
  <c r="S102" i="6"/>
  <c r="R102" i="6"/>
  <c r="Q102" i="6"/>
  <c r="P102" i="6"/>
  <c r="V101" i="6"/>
  <c r="T101" i="6"/>
  <c r="S101" i="6"/>
  <c r="R101" i="6"/>
  <c r="Q101" i="6"/>
  <c r="P101" i="6"/>
  <c r="V100" i="6"/>
  <c r="T100" i="6"/>
  <c r="S100" i="6"/>
  <c r="R100" i="6"/>
  <c r="Q100" i="6"/>
  <c r="P100" i="6"/>
  <c r="V99" i="6"/>
  <c r="T99" i="6"/>
  <c r="S99" i="6"/>
  <c r="R99" i="6"/>
  <c r="Q99" i="6"/>
  <c r="P99" i="6"/>
  <c r="V98" i="6"/>
  <c r="T98" i="6"/>
  <c r="S98" i="6"/>
  <c r="R98" i="6"/>
  <c r="Q98" i="6"/>
  <c r="P98" i="6"/>
  <c r="V97" i="6"/>
  <c r="T97" i="6"/>
  <c r="S97" i="6"/>
  <c r="R97" i="6"/>
  <c r="Q97" i="6"/>
  <c r="P97" i="6"/>
  <c r="V96" i="6"/>
  <c r="T96" i="6"/>
  <c r="S96" i="6"/>
  <c r="R96" i="6"/>
  <c r="Q96" i="6"/>
  <c r="P96" i="6"/>
  <c r="V95" i="6"/>
  <c r="T95" i="6"/>
  <c r="S95" i="6"/>
  <c r="R95" i="6"/>
  <c r="Q95" i="6"/>
  <c r="P95" i="6"/>
  <c r="V94" i="6"/>
  <c r="T94" i="6"/>
  <c r="S94" i="6"/>
  <c r="R94" i="6"/>
  <c r="Q94" i="6"/>
  <c r="P94" i="6"/>
  <c r="V93" i="6"/>
  <c r="T93" i="6"/>
  <c r="S93" i="6"/>
  <c r="R93" i="6"/>
  <c r="Q93" i="6"/>
  <c r="P93" i="6"/>
  <c r="V92" i="6"/>
  <c r="T92" i="6"/>
  <c r="S92" i="6"/>
  <c r="R92" i="6"/>
  <c r="Q92" i="6"/>
  <c r="P92" i="6"/>
  <c r="V91" i="6"/>
  <c r="T91" i="6"/>
  <c r="S91" i="6"/>
  <c r="R91" i="6"/>
  <c r="Q91" i="6"/>
  <c r="P91" i="6"/>
  <c r="V90" i="6"/>
  <c r="T90" i="6"/>
  <c r="S90" i="6"/>
  <c r="R90" i="6"/>
  <c r="Q90" i="6"/>
  <c r="P90" i="6"/>
  <c r="V89" i="6"/>
  <c r="T89" i="6"/>
  <c r="S89" i="6"/>
  <c r="R89" i="6"/>
  <c r="Q89" i="6"/>
  <c r="P89" i="6"/>
  <c r="V88" i="6"/>
  <c r="T88" i="6"/>
  <c r="S88" i="6"/>
  <c r="R88" i="6"/>
  <c r="Q88" i="6"/>
  <c r="P88" i="6"/>
  <c r="V87" i="6"/>
  <c r="T87" i="6"/>
  <c r="S87" i="6"/>
  <c r="R87" i="6"/>
  <c r="Q87" i="6"/>
  <c r="P87" i="6"/>
  <c r="V86" i="6"/>
  <c r="T86" i="6"/>
  <c r="S86" i="6"/>
  <c r="R86" i="6"/>
  <c r="Q86" i="6"/>
  <c r="P86" i="6"/>
  <c r="V85" i="6"/>
  <c r="T85" i="6"/>
  <c r="S85" i="6"/>
  <c r="R85" i="6"/>
  <c r="Q85" i="6"/>
  <c r="P85" i="6"/>
  <c r="V84" i="6"/>
  <c r="T84" i="6"/>
  <c r="S84" i="6"/>
  <c r="R84" i="6"/>
  <c r="Q84" i="6"/>
  <c r="P84" i="6"/>
  <c r="V83" i="6"/>
  <c r="T83" i="6"/>
  <c r="S83" i="6"/>
  <c r="R83" i="6"/>
  <c r="Q83" i="6"/>
  <c r="P83" i="6"/>
  <c r="V82" i="6"/>
  <c r="T82" i="6"/>
  <c r="S82" i="6"/>
  <c r="R82" i="6"/>
  <c r="Q82" i="6"/>
  <c r="P82" i="6"/>
  <c r="V81" i="6"/>
  <c r="T81" i="6"/>
  <c r="S81" i="6"/>
  <c r="R81" i="6"/>
  <c r="Q81" i="6"/>
  <c r="P81" i="6"/>
  <c r="V80" i="6"/>
  <c r="T80" i="6"/>
  <c r="S80" i="6"/>
  <c r="R80" i="6"/>
  <c r="Q80" i="6"/>
  <c r="P80" i="6"/>
  <c r="V79" i="6"/>
  <c r="T79" i="6"/>
  <c r="S79" i="6"/>
  <c r="R79" i="6"/>
  <c r="Q79" i="6"/>
  <c r="P79" i="6"/>
  <c r="V78" i="6"/>
  <c r="T78" i="6"/>
  <c r="S78" i="6"/>
  <c r="R78" i="6"/>
  <c r="Q78" i="6"/>
  <c r="P78" i="6"/>
  <c r="V77" i="6"/>
  <c r="T77" i="6"/>
  <c r="S77" i="6"/>
  <c r="R77" i="6"/>
  <c r="Q77" i="6"/>
  <c r="P77" i="6"/>
  <c r="V76" i="6"/>
  <c r="T76" i="6"/>
  <c r="S76" i="6"/>
  <c r="R76" i="6"/>
  <c r="Q76" i="6"/>
  <c r="P76" i="6"/>
  <c r="V75" i="6"/>
  <c r="T75" i="6"/>
  <c r="S75" i="6"/>
  <c r="R75" i="6"/>
  <c r="Q75" i="6"/>
  <c r="P75" i="6"/>
  <c r="V74" i="6"/>
  <c r="T74" i="6"/>
  <c r="S74" i="6"/>
  <c r="R74" i="6"/>
  <c r="Q74" i="6"/>
  <c r="P74" i="6"/>
  <c r="V73" i="6"/>
  <c r="T73" i="6"/>
  <c r="S73" i="6"/>
  <c r="R73" i="6"/>
  <c r="Q73" i="6"/>
  <c r="P73" i="6"/>
  <c r="V72" i="6"/>
  <c r="T72" i="6"/>
  <c r="S72" i="6"/>
  <c r="R72" i="6"/>
  <c r="Q72" i="6"/>
  <c r="P72" i="6"/>
  <c r="V71" i="6"/>
  <c r="T71" i="6"/>
  <c r="S71" i="6"/>
  <c r="R71" i="6"/>
  <c r="Q71" i="6"/>
  <c r="P71" i="6"/>
  <c r="V70" i="6"/>
  <c r="T70" i="6"/>
  <c r="S70" i="6"/>
  <c r="R70" i="6"/>
  <c r="Q70" i="6"/>
  <c r="P70" i="6"/>
  <c r="V69" i="6"/>
  <c r="T69" i="6"/>
  <c r="S69" i="6"/>
  <c r="R69" i="6"/>
  <c r="Q69" i="6"/>
  <c r="P69" i="6"/>
  <c r="V68" i="6"/>
  <c r="T68" i="6"/>
  <c r="S68" i="6"/>
  <c r="R68" i="6"/>
  <c r="Q68" i="6"/>
  <c r="P68" i="6"/>
  <c r="V67" i="6"/>
  <c r="T67" i="6"/>
  <c r="S67" i="6"/>
  <c r="R67" i="6"/>
  <c r="Q67" i="6"/>
  <c r="P67" i="6"/>
  <c r="V66" i="6"/>
  <c r="T66" i="6"/>
  <c r="S66" i="6"/>
  <c r="R66" i="6"/>
  <c r="Q66" i="6"/>
  <c r="P66" i="6"/>
  <c r="V65" i="6"/>
  <c r="T65" i="6"/>
  <c r="S65" i="6"/>
  <c r="R65" i="6"/>
  <c r="Q65" i="6"/>
  <c r="P65" i="6"/>
  <c r="V64" i="6"/>
  <c r="T64" i="6"/>
  <c r="S64" i="6"/>
  <c r="R64" i="6"/>
  <c r="Q64" i="6"/>
  <c r="P64" i="6"/>
  <c r="V63" i="6"/>
  <c r="T63" i="6"/>
  <c r="S63" i="6"/>
  <c r="R63" i="6"/>
  <c r="Q63" i="6"/>
  <c r="P63" i="6"/>
  <c r="V62" i="6"/>
  <c r="T62" i="6"/>
  <c r="S62" i="6"/>
  <c r="R62" i="6"/>
  <c r="Q62" i="6"/>
  <c r="P62" i="6"/>
  <c r="V61" i="6"/>
  <c r="T61" i="6"/>
  <c r="S61" i="6"/>
  <c r="R61" i="6"/>
  <c r="Q61" i="6"/>
  <c r="P61" i="6"/>
  <c r="V60" i="6"/>
  <c r="T60" i="6"/>
  <c r="S60" i="6"/>
  <c r="R60" i="6"/>
  <c r="Q60" i="6"/>
  <c r="P60" i="6"/>
  <c r="V59" i="6"/>
  <c r="T59" i="6"/>
  <c r="S59" i="6"/>
  <c r="R59" i="6"/>
  <c r="Q59" i="6"/>
  <c r="P59" i="6"/>
  <c r="V58" i="6"/>
  <c r="T58" i="6"/>
  <c r="S58" i="6"/>
  <c r="R58" i="6"/>
  <c r="Q58" i="6"/>
  <c r="P58" i="6"/>
  <c r="V57" i="6"/>
  <c r="T57" i="6"/>
  <c r="S57" i="6"/>
  <c r="R57" i="6"/>
  <c r="Q57" i="6"/>
  <c r="P57" i="6"/>
  <c r="V56" i="6"/>
  <c r="T56" i="6"/>
  <c r="S56" i="6"/>
  <c r="R56" i="6"/>
  <c r="Q56" i="6"/>
  <c r="P56" i="6"/>
  <c r="V55" i="6"/>
  <c r="T55" i="6"/>
  <c r="S55" i="6"/>
  <c r="R55" i="6"/>
  <c r="Q55" i="6"/>
  <c r="P55" i="6"/>
  <c r="V54" i="6"/>
  <c r="T54" i="6"/>
  <c r="S54" i="6"/>
  <c r="R54" i="6"/>
  <c r="Q54" i="6"/>
  <c r="P54" i="6"/>
  <c r="V53" i="6"/>
  <c r="T53" i="6"/>
  <c r="S53" i="6"/>
  <c r="R53" i="6"/>
  <c r="Q53" i="6"/>
  <c r="P53" i="6"/>
  <c r="V52" i="6"/>
  <c r="T52" i="6"/>
  <c r="S52" i="6"/>
  <c r="R52" i="6"/>
  <c r="Q52" i="6"/>
  <c r="P52" i="6"/>
  <c r="V51" i="6"/>
  <c r="T51" i="6"/>
  <c r="S51" i="6"/>
  <c r="R51" i="6"/>
  <c r="Q51" i="6"/>
  <c r="P51" i="6"/>
  <c r="V50" i="6"/>
  <c r="T50" i="6"/>
  <c r="S50" i="6"/>
  <c r="R50" i="6"/>
  <c r="Q50" i="6"/>
  <c r="P50" i="6"/>
  <c r="V49" i="6"/>
  <c r="T49" i="6"/>
  <c r="S49" i="6"/>
  <c r="R49" i="6"/>
  <c r="Q49" i="6"/>
  <c r="P49" i="6"/>
  <c r="V48" i="6"/>
  <c r="T48" i="6"/>
  <c r="S48" i="6"/>
  <c r="R48" i="6"/>
  <c r="Q48" i="6"/>
  <c r="P48" i="6"/>
  <c r="V47" i="6"/>
  <c r="T47" i="6"/>
  <c r="S47" i="6"/>
  <c r="R47" i="6"/>
  <c r="Q47" i="6"/>
  <c r="P47" i="6"/>
  <c r="V46" i="6"/>
  <c r="T46" i="6"/>
  <c r="S46" i="6"/>
  <c r="R46" i="6"/>
  <c r="Q46" i="6"/>
  <c r="P46" i="6"/>
  <c r="V45" i="6"/>
  <c r="T45" i="6"/>
  <c r="S45" i="6"/>
  <c r="R45" i="6"/>
  <c r="Q45" i="6"/>
  <c r="P45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V14" i="6"/>
  <c r="T14" i="6"/>
  <c r="S14" i="6"/>
  <c r="R14" i="6"/>
  <c r="Q14" i="6"/>
  <c r="P14" i="6"/>
  <c r="V13" i="6"/>
  <c r="T13" i="6"/>
  <c r="S13" i="6"/>
  <c r="R13" i="6"/>
  <c r="Q13" i="6"/>
  <c r="P13" i="6"/>
  <c r="V12" i="6"/>
  <c r="T12" i="6"/>
  <c r="S12" i="6"/>
  <c r="R12" i="6"/>
  <c r="Q12" i="6"/>
  <c r="P12" i="6"/>
  <c r="V11" i="6"/>
  <c r="U11" i="6"/>
  <c r="T11" i="6"/>
  <c r="S11" i="6"/>
  <c r="R11" i="6"/>
  <c r="Q11" i="6"/>
  <c r="P11" i="6"/>
  <c r="V10" i="6"/>
  <c r="U10" i="6"/>
  <c r="T10" i="6"/>
  <c r="S10" i="6"/>
  <c r="R10" i="6"/>
  <c r="Q10" i="6"/>
  <c r="P10" i="6"/>
  <c r="V9" i="6"/>
  <c r="U9" i="6"/>
  <c r="T9" i="6"/>
  <c r="S9" i="6"/>
  <c r="R9" i="6"/>
  <c r="Q9" i="6"/>
  <c r="P9" i="6"/>
  <c r="V8" i="6"/>
  <c r="U8" i="6"/>
  <c r="T8" i="6"/>
  <c r="S8" i="6"/>
  <c r="R8" i="6"/>
  <c r="Q8" i="6"/>
  <c r="P8" i="6"/>
  <c r="V7" i="6"/>
  <c r="U7" i="6"/>
  <c r="T7" i="6"/>
  <c r="S7" i="6"/>
  <c r="R7" i="6"/>
  <c r="Q7" i="6"/>
  <c r="P7" i="6"/>
  <c r="V6" i="6"/>
  <c r="U6" i="6"/>
  <c r="T6" i="6"/>
  <c r="S6" i="6"/>
  <c r="R6" i="6"/>
  <c r="Q6" i="6"/>
  <c r="P6" i="6"/>
  <c r="V5" i="6"/>
  <c r="U5" i="6"/>
  <c r="T5" i="6"/>
  <c r="S5" i="6"/>
  <c r="R5" i="6"/>
  <c r="Q5" i="6"/>
  <c r="P5" i="6"/>
  <c r="V4" i="6"/>
  <c r="U4" i="6"/>
  <c r="T4" i="6"/>
  <c r="S4" i="6"/>
  <c r="R4" i="6"/>
  <c r="Q4" i="6"/>
  <c r="P4" i="6"/>
  <c r="V3" i="6"/>
  <c r="U3" i="6"/>
  <c r="T3" i="6"/>
  <c r="S3" i="6"/>
  <c r="R3" i="6"/>
  <c r="Q3" i="6"/>
  <c r="P3" i="6"/>
  <c r="Q3" i="1"/>
  <c r="Q29" i="1"/>
  <c r="Q30" i="1"/>
  <c r="Q31" i="1"/>
  <c r="Q32" i="1"/>
  <c r="Q33" i="1"/>
  <c r="Q34" i="1"/>
  <c r="Q35" i="1"/>
  <c r="Q36" i="1"/>
  <c r="Q37" i="1"/>
  <c r="Q38" i="1"/>
  <c r="Q17" i="1"/>
  <c r="Q18" i="1"/>
  <c r="Q19" i="1"/>
  <c r="Q20" i="1"/>
  <c r="Q21" i="1"/>
  <c r="Q22" i="1"/>
  <c r="Q23" i="1"/>
  <c r="Q24" i="1"/>
  <c r="Q25" i="1"/>
  <c r="Q26" i="1"/>
  <c r="Q27" i="1"/>
  <c r="Q28" i="1"/>
  <c r="Q15" i="1"/>
  <c r="Q16" i="1"/>
  <c r="U4" i="1"/>
  <c r="U5" i="1"/>
  <c r="U6" i="1"/>
  <c r="U7" i="1"/>
  <c r="U8" i="1"/>
  <c r="U9" i="1"/>
  <c r="U10" i="1"/>
  <c r="U11" i="1"/>
  <c r="U3" i="1"/>
  <c r="T4" i="1"/>
  <c r="T5" i="1"/>
  <c r="T6" i="1"/>
  <c r="T7" i="1"/>
  <c r="T8" i="1"/>
  <c r="T9" i="1"/>
  <c r="T10" i="1"/>
  <c r="T11" i="1"/>
  <c r="T12" i="1"/>
  <c r="T13" i="1"/>
  <c r="T1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3" i="1"/>
  <c r="V4" i="1"/>
  <c r="V3" i="1"/>
  <c r="V6" i="1"/>
  <c r="V7" i="1"/>
  <c r="V8" i="1"/>
  <c r="V9" i="1"/>
  <c r="V10" i="1"/>
  <c r="V11" i="1"/>
  <c r="V12" i="1"/>
  <c r="V13" i="1"/>
  <c r="V1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P5" i="1"/>
  <c r="P7" i="1"/>
  <c r="Q7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P8" i="1"/>
  <c r="P9" i="1"/>
  <c r="P10" i="1"/>
  <c r="P11" i="1"/>
  <c r="P12" i="1"/>
  <c r="P13" i="1"/>
  <c r="P14" i="1"/>
  <c r="P6" i="1"/>
  <c r="P3" i="1"/>
</calcChain>
</file>

<file path=xl/sharedStrings.xml><?xml version="1.0" encoding="utf-8"?>
<sst xmlns="http://schemas.openxmlformats.org/spreadsheetml/2006/main" count="283" uniqueCount="104">
  <si>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</si>
  <si>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</si>
  <si>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</si>
  <si>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</si>
  <si>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</si>
  <si>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</si>
  <si>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✓</t>
  </si>
  <si>
    <t>Texto para 13 columnas</t>
  </si>
  <si>
    <t>Texto para seis columnas</t>
  </si>
  <si>
    <t>✕</t>
  </si>
  <si>
    <t>Texto para siete columnas</t>
  </si>
  <si>
    <t>A</t>
  </si>
  <si>
    <t>B</t>
  </si>
  <si>
    <t>C</t>
  </si>
  <si>
    <t>D</t>
  </si>
  <si>
    <t>Actividad</t>
  </si>
  <si>
    <t>Descripción</t>
  </si>
  <si>
    <t xml:space="preserve">1.1. Conceptos básicos de diseño asistido por computador - CAD </t>
  </si>
  <si>
    <t>Usos y aplicaciones de herramientas computacionales. Barra de menús. Comandos LINE, GRID y SNAP.</t>
  </si>
  <si>
    <t xml:space="preserve">1.2. Elementos básicos </t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</si>
  <si>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</si>
  <si>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</si>
  <si>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</si>
  <si>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</si>
  <si>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</si>
  <si>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</si>
  <si>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</si>
  <si>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 xml:space="preserve">1.6. Proyecto de dibujo asistido por computadora con AutoCAD </t>
  </si>
  <si>
    <t xml:space="preserve">Layers, papel. Texto menor, texto mayor. Planos de referencia para posiciones espaciales. Limits. Coordenadas cartesianas X, Y, Z. Coordenadas relativas posicionales. Coordenadas geográficas. </t>
  </si>
  <si>
    <t>2.1. Introducción</t>
  </si>
  <si>
    <t>Sistemas de información geográfica. Fundamentos. Proyecciones y origen de coordenadas. Simbología, y estadísticas generales. Tablas relacionales.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</si>
  <si>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</si>
  <si>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</si>
  <si>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</si>
  <si>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</si>
  <si>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</si>
  <si>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</si>
  <si>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</si>
  <si>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</si>
  <si>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</si>
  <si>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</si>
  <si>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</si>
  <si>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</si>
  <si>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Proyecto</t>
  </si>
  <si>
    <t>Prefijo</t>
  </si>
  <si>
    <t>Disciplina (en)</t>
  </si>
  <si>
    <t>Disciplina (es)</t>
  </si>
  <si>
    <t>Architectural</t>
  </si>
  <si>
    <t>Arquitectura</t>
  </si>
  <si>
    <t>Geotechnical</t>
  </si>
  <si>
    <t>Geotecnia</t>
  </si>
  <si>
    <t>Civil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</si>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</sst>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1:V103"/>
  <sheetViews>
    <sheetView showGridLines="0" zoomScale="115" zoomScaleNormal="115" workbookViewId="0">
      <pane ySplit="4" topLeftCell="A5" activePane="bottomLeft" state="frozen"/>
      <selection pane="bottomLeft" activeCell="B20" sqref="B20:D39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0.640625" style="1" customWidth="1"/>
    <col min="5" max="6" width="6.640625" style="1" customWidth="1"/>
    <col min="7" max="7" width="37.42578125" style="1" customWidth="1"/>
    <col min="8" max="8" width="78.925781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</v>
      </c>
      <c r="C3" s="4" t="s">
        <v>16</v>
      </c>
      <c r="D3" s="4" t="s">
        <v>43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Actividad | Descripción |</v>
      </c>
      <c r="Q3" s="5" t="str">
        <f>_xlfn.CONCAT("| ",B3," | ",C3," | ",D3," |")</f>
        <v>| Actividad | Descripción | Proyecto |</v>
      </c>
      <c r="R3" s="5" t="str">
        <f>_xlfn.CONCAT("| ",B3," | ",C3," | ",D3," | ",E3," |")</f>
        <v>| Actividad | Descripción | Proyecto | A |</v>
      </c>
      <c r="S3" s="5" t="str">
        <f>_xlfn.CONCAT("| ",B3," | ",C3," | ",D3," | ",E3," |",F3," |")</f>
        <v>| Actividad | Descripción | Proyecto | A |B |</v>
      </c>
      <c r="T3" s="5" t="str">
        <f>_xlfn.CONCAT("| ",B3," | ",C3," | ",D3," | ",E3," |",F3," |",G3," |")</f>
        <v>| Actividad | Descripción | Proyecto | A |B |C |</v>
      </c>
      <c r="U3" s="5" t="str">
        <f>_xlfn.CONCAT("| ",B3," | ",C3," | ",D3," | ",E3," | ",F3," | ",G3," | ",H3," |")</f>
        <v>| Actividad | Descripción | Proyecto | A | B | C | D |</v>
      </c>
      <c r="V3" s="5" t="str">
        <f t="shared" ref="V3:V14" si="0">_xlfn.CONCAT("| ",B3," | ",C3," | ",D3," | ",E3," |",F3," |",G3," |",H3," |",I3," |",J3," |",K3," |",L3," |",M3," |",N3," |")</f>
        <v>| Actividad | Descripción | Proyecto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46.15" x14ac:dyDescent="0.55000000000000004">
      <c r="B5" s="5" t="s">
        <v>17</v>
      </c>
      <c r="C5" s="5" t="s">
        <v>18</v>
      </c>
      <c r="D5" s="5"/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1.1. Conceptos básicos de diseño asistido por computador - CAD  | Usos y aplicaciones de herramientas computacionales. Barra de menús. Comandos LINE, GRID y SNAP. |</v>
      </c>
      <c r="Q5" s="5" t="str">
        <f t="shared" ref="Q5:Q38" si="3">_xlfn.CONCAT("| ",B5," | ",C5," | ",D5," |")</f>
        <v>| 1.1. Conceptos básicos de diseño asistido por computador - CAD  | Usos y aplicaciones de herramientas computacionales. Barra de menús. Comandos LINE, GRID y SNAP. |  |</v>
      </c>
      <c r="R5" s="5" t="str">
        <f>_xlfn.CONCAT("| ",B5," | ",C5," | ",D5," | ",E5," |")</f>
        <v>| 1.1. Conceptos básicos de diseño asistido por computador - CAD  | Usos y aplicaciones de herramientas computacionales. Barra de menús. Comandos LINE, GRID y SNAP. |  | ✓ |</v>
      </c>
      <c r="S5" s="5" t="str">
        <f>_xlfn.CONCAT("| ",B5," | ",C5," | ",D5," | ",E5," |",F5," |")</f>
        <v>| 1.1. Conceptos básicos de diseño asistido por computador - CAD  | Usos y aplicaciones de herramientas computacionales. Barra de menús. Comandos LINE, GRID y SNAP. |  | ✓ |✓ |</v>
      </c>
      <c r="T5" s="5" t="str">
        <f t="shared" si="1"/>
        <v>| 1.1. Conceptos básicos de diseño asistido por computador - CAD  | Usos y aplicaciones de herramientas computacionales. Barra de menús. Comandos LINE, GRID y SNAP. |  | ✓ |✓ | |</v>
      </c>
      <c r="U5" s="5" t="str">
        <f t="shared" si="2"/>
        <v>| 1.1. Conceptos básicos de diseño asistido por computador - CAD  | Usos y aplicaciones de herramientas computacionales. Barra de menús. Comandos LINE, GRID y SNAP. |  | ✓ | ✓ |  |  |</v>
      </c>
      <c r="V5" s="5" t="str">
        <f t="shared" si="0"/>
        <v>| 1.1. Conceptos básicos de diseño asistido por computador - CAD  | Usos y aplicaciones de herramientas computacionales. Barra de menús. Comandos LINE, GRID y SNAP. |  | ✓ |✓ | | | | | | | | |</v>
      </c>
    </row>
    <row r="6" spans="2:22" ht="76.900000000000006" x14ac:dyDescent="0.55000000000000004">
      <c r="B6" s="5" t="s">
        <v>19</v>
      </c>
      <c r="C6" s="5" t="s">
        <v>20</v>
      </c>
      <c r="D6" s="5"/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1.2. Elementos básicos  | Coordenadas de usuario UCS. Barra de herramientas de puntos de convergencia. Comandos POLYLINE, ARC, FILLET, CHAMFER, POINT. Comandos ARRAY, MIRROR, OFFSET, DONUT, TRIM. Dibujo de la elipse, la parábola y la hipérbola.  |</v>
      </c>
      <c r="Q6" s="5" t="str">
        <f t="shared" si="3"/>
        <v>| 1.2. Elementos básicos  | Coordenadas de usuario UCS. Barra de herramientas de puntos de convergencia. Comandos POLYLINE, ARC, FILLET, CHAMFER, POINT. Comandos ARRAY, MIRROR, OFFSET, DONUT, TRIM. Dibujo de la elipse, la parábola y la hipérbola.  |  |</v>
      </c>
      <c r="R6" s="5" t="str">
        <f t="shared" ref="R6:R67" si="5">_xlfn.CONCAT("| ",B6," | ",C6," | ",D6," | ",E6,"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</v>
      </c>
      <c r="S6" s="5" t="str">
        <f t="shared" ref="S6:S69" si="6">_xlfn.CONCAT("| ",B6," | ",C6," | ",D6," | ",E6," |",F6,"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|✕ |</v>
      </c>
      <c r="T6" s="5" t="str">
        <f t="shared" si="1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</v>
      </c>
      <c r="U6" s="5" t="str">
        <f t="shared" si="2"/>
        <v>| 1.2. Elementos básicos  | Coordenadas de usuario UCS. Barra de herramientas de puntos de convergencia. Comandos POLYLINE, ARC, FILLET, CHAMFER, POINT. Comandos ARRAY, MIRROR, OFFSET, DONUT, TRIM. Dibujo de la elipse, la parábola y la hipérbola.  |  | ✓ | ✕ |  |  |</v>
      </c>
      <c r="V6" s="5" t="str">
        <f t="shared" si="0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 | | | | | | |</v>
      </c>
    </row>
    <row r="7" spans="2:22" ht="76.900000000000006" x14ac:dyDescent="0.55000000000000004">
      <c r="B7" s="5" t="s">
        <v>21</v>
      </c>
      <c r="C7" s="5" t="s">
        <v>22</v>
      </c>
      <c r="D7" s="5"/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1.3. Bloques - Achurados- Viewports | Diseño de bloques. Achurados. Sombra. Figuras rellenas. Mosaico de vistas. Vistas fijas — espacio modelo. Vistas flotantes — espacio papel. Comandos BLOCK, HATCHT, SOLIDS, VPORTS, MVIEW, PSPACE, VPLAYER. |</v>
      </c>
      <c r="Q7" s="5" t="str">
        <f t="shared" si="3"/>
        <v>| 1.3. Bloques - Achurados- Viewports | Diseño de bloques. Achurados. Sombra. Figuras rellenas. Mosaico de vistas. Vistas fijas — espacio modelo. Vistas flotantes — espacio papel. Comandos BLOCK, HATCHT, SOLIDS, VPORTS, MVIEW, PSPACE, VPLAYER. |  |</v>
      </c>
      <c r="R7" s="5" t="str">
        <f t="shared" si="5"/>
        <v>| 1.3. Bloques - Achurados- Viewports | Diseño de bloques. Achurados. Sombra. Figuras rellenas. Mosaico de vistas. Vistas fijas — espacio modelo. Vistas flotantes — espacio papel. Comandos BLOCK, HATCHT, SOLIDS, VPORTS, MVIEW, PSPACE, VPLAYER. |  | ✓ |</v>
      </c>
      <c r="S7" s="5" t="str">
        <f t="shared" si="6"/>
        <v>| 1.3. Bloques - Achurados- Viewports | Diseño de bloques. Achurados. Sombra. Figuras rellenas. Mosaico de vistas. Vistas fijas — espacio modelo. Vistas flotantes — espacio papel. Comandos BLOCK, HATCHT, SOLIDS, VPORTS, MVIEW, PSPACE, VPLAYER. |  | ✓ |✓ |</v>
      </c>
      <c r="T7" s="5" t="str">
        <f t="shared" si="1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</v>
      </c>
      <c r="U7" s="5" t="str">
        <f t="shared" si="2"/>
        <v>| 1.3. Bloques - Achurados- Viewports | Diseño de bloques. Achurados. Sombra. Figuras rellenas. Mosaico de vistas. Vistas fijas — espacio modelo. Vistas flotantes — espacio papel. Comandos BLOCK, HATCHT, SOLIDS, VPORTS, MVIEW, PSPACE, VPLAYER. |  | ✓ | ✓ |  |  |</v>
      </c>
      <c r="V7" s="5" t="str">
        <f t="shared" si="0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 | | | | | | |</v>
      </c>
    </row>
    <row r="8" spans="2:22" ht="61.5" x14ac:dyDescent="0.55000000000000004">
      <c r="B8" s="5" t="s">
        <v>23</v>
      </c>
      <c r="C8" s="5" t="s">
        <v>24</v>
      </c>
      <c r="D8" s="5"/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1.4. Dimensionamiento  | Dimensionamiento. Estilo de la dimensión. Acotado de líneas rectas, círculos, arcos y ángulos. Editar dimensiones. Superficies normales, inclinadas y oblicuas. Visibilidad de aristas. |</v>
      </c>
      <c r="Q8" s="5" t="str">
        <f t="shared" si="3"/>
        <v>| 1.4. Dimensionamiento  | Dimensionamiento. Estilo de la dimensión. Acotado de líneas rectas, círculos, arcos y ángulos. Editar dimensiones. Superficies normales, inclinadas y oblicuas. Visibilidad de aristas. |  |</v>
      </c>
      <c r="R8" s="5" t="str">
        <f t="shared" si="5"/>
        <v>| 1.4. Dimensionamiento  | Dimensionamiento. Estilo de la dimensión. Acotado de líneas rectas, círculos, arcos y ángulos. Editar dimensiones. Superficies normales, inclinadas y oblicuas. Visibilidad de aristas. |  | ✓ |</v>
      </c>
      <c r="S8" s="5" t="str">
        <f t="shared" si="6"/>
        <v>| 1.4. Dimensionamiento  | Dimensionamiento. Estilo de la dimensión. Acotado de líneas rectas, círculos, arcos y ángulos. Editar dimensiones. Superficies normales, inclinadas y oblicuas. Visibilidad de aristas. |  | ✓ |✕ |</v>
      </c>
      <c r="T8" s="5" t="str">
        <f t="shared" si="1"/>
        <v>| 1.4. Dimensionamiento  | Dimensionamiento. Estilo de la dimensión. Acotado de líneas rectas, círculos, arcos y ángulos. Editar dimensiones. Superficies normales, inclinadas y oblicuas. Visibilidad de aristas. |  | ✓ |✕ | |</v>
      </c>
      <c r="U8" s="5" t="str">
        <f t="shared" si="2"/>
        <v>| 1.4. Dimensionamiento  | Dimensionamiento. Estilo de la dimensión. Acotado de líneas rectas, círculos, arcos y ángulos. Editar dimensiones. Superficies normales, inclinadas y oblicuas. Visibilidad de aristas. |  | ✓ | ✕ |  |  |</v>
      </c>
      <c r="V8" s="5" t="str">
        <f t="shared" si="0"/>
        <v>| 1.4. Dimensionamiento  | Dimensionamiento. Estilo de la dimensión. Acotado de líneas rectas, círculos, arcos y ángulos. Editar dimensiones. Superficies normales, inclinadas y oblicuas. Visibilidad de aristas. |  | ✓ |✕ | | | | | | | | |</v>
      </c>
    </row>
    <row r="9" spans="2:22" ht="61.5" x14ac:dyDescent="0.55000000000000004">
      <c r="B9" s="5" t="s">
        <v>25</v>
      </c>
      <c r="C9" s="5" t="s">
        <v>26</v>
      </c>
      <c r="D9" s="5"/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1.5. Impresión | Espacio papel y espacio modelo. Asignación de escala. Configuración de impresora y trazadores (plotter). Configuración del trazado. Impresión. Comandos MVSETUP, PRINT, ZOOM – Scale.  |</v>
      </c>
      <c r="Q9" s="5" t="str">
        <f t="shared" si="3"/>
        <v>| 1.5. Impresión | Espacio papel y espacio modelo. Asignación de escala. Configuración de impresora y trazadores (plotter). Configuración del trazado. Impresión. Comandos MVSETUP, PRINT, ZOOM – Scale.  |  |</v>
      </c>
      <c r="R9" s="5" t="str">
        <f t="shared" si="5"/>
        <v>| 1.5. Impresión | Espacio papel y espacio modelo. Asignación de escala. Configuración de impresora y trazadores (plotter). Configuración del trazado. Impresión. Comandos MVSETUP, PRINT, ZOOM – Scale.  |  | ✓ |</v>
      </c>
      <c r="S9" s="5" t="str">
        <f t="shared" si="6"/>
        <v>| 1.5. Impresión | Espacio papel y espacio modelo. Asignación de escala. Configuración de impresora y trazadores (plotter). Configuración del trazado. Impresión. Comandos MVSETUP, PRINT, ZOOM – Scale.  |  | ✓ |✕ |</v>
      </c>
      <c r="T9" s="5" t="str">
        <f t="shared" si="1"/>
        <v>| 1.5. Impresión | Espacio papel y espacio modelo. Asignación de escala. Configuración de impresora y trazadores (plotter). Configuración del trazado. Impresión. Comandos MVSETUP, PRINT, ZOOM – Scale.  |  | ✓ |✕ | |</v>
      </c>
      <c r="U9" s="5" t="str">
        <f t="shared" si="2"/>
        <v>| 1.5. Impresión | Espacio papel y espacio modelo. Asignación de escala. Configuración de impresora y trazadores (plotter). Configuración del trazado. Impresión. Comandos MVSETUP, PRINT, ZOOM – Scale.  |  | ✓ | ✕ |  |  |</v>
      </c>
      <c r="V9" s="5" t="str">
        <f t="shared" si="0"/>
        <v>| 1.5. Impresión | Espacio papel y espacio modelo. Asignación de escala. Configuración de impresora y trazadores (plotter). Configuración del trazado. Impresión. Comandos MVSETUP, PRINT, ZOOM – Scale.  |  | ✓ |✕ | | | | | | | | |</v>
      </c>
    </row>
    <row r="10" spans="2:22" ht="76.900000000000006" x14ac:dyDescent="0.55000000000000004">
      <c r="B10" s="5" t="s">
        <v>27</v>
      </c>
      <c r="C10" s="5" t="s">
        <v>28</v>
      </c>
      <c r="D10" s="5" t="s">
        <v>6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1.6. Proyecto de dibujo asistido por computadora con AutoCAD  | Layers, papel. Texto menor, texto mayor. Planos de referencia para posiciones espaciales. Limits. Coordenadas cartesianas X, Y, Z. Coordenadas relativas posicionales. Coordenadas geográficas.  |</v>
      </c>
      <c r="Q10" s="5" t="str">
        <f t="shared" si="3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</v>
      </c>
      <c r="R10" s="5" t="str">
        <f t="shared" si="5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</v>
      </c>
      <c r="S10" s="5" t="str">
        <f t="shared" si="6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</v>
      </c>
      <c r="T10" s="5" t="str">
        <f t="shared" si="1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</v>
      </c>
      <c r="U10" s="5" t="str">
        <f t="shared" si="2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 ✕ |  |  |</v>
      </c>
      <c r="V10" s="5" t="str">
        <f t="shared" si="0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 | | | | | | |</v>
      </c>
    </row>
    <row r="11" spans="2:22" x14ac:dyDescent="0.55000000000000004">
      <c r="B11" s="5"/>
      <c r="C11" s="5"/>
      <c r="D11" s="5"/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 |  |</v>
      </c>
      <c r="Q11" s="5" t="str">
        <f t="shared" si="3"/>
        <v>|  |  |  |</v>
      </c>
      <c r="R11" s="5" t="str">
        <f t="shared" si="5"/>
        <v>|  |  |  | ✓ |</v>
      </c>
      <c r="S11" s="5" t="str">
        <f t="shared" si="6"/>
        <v>|  |  |  | ✓ |✓ |</v>
      </c>
      <c r="T11" s="5" t="str">
        <f t="shared" si="1"/>
        <v>|  |  |  | ✓ |✓ | |</v>
      </c>
      <c r="U11" s="5" t="str">
        <f t="shared" si="2"/>
        <v>|  |  |  | ✓ | ✓ |  |  |</v>
      </c>
      <c r="V11" s="5" t="str">
        <f t="shared" si="0"/>
        <v>|  |  |  | ✓ |✓ | | | | | | | | |</v>
      </c>
    </row>
    <row r="12" spans="2:22" ht="46.15" x14ac:dyDescent="0.55000000000000004">
      <c r="B12" s="5" t="s">
        <v>29</v>
      </c>
      <c r="C12" s="5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2.1. Introducción | Sistemas de información geográfica. Fundamentos. Proyecciones y origen de coordenadas. Simbología, y estadísticas generales. Tablas relacionales. |</v>
      </c>
      <c r="Q12" s="5" t="str">
        <f t="shared" si="3"/>
        <v>| 2.1. Introducción | Sistemas de información geográfica. Fundamentos. Proyecciones y origen de coordenadas. Simbología, y estadísticas generales. Tablas relacionales. |  |</v>
      </c>
      <c r="R12" s="5" t="str">
        <f t="shared" si="5"/>
        <v>| 2.1. Introducción | Sistemas de información geográfica. Fundamentos. Proyecciones y origen de coordenadas. Simbología, y estadísticas generales. Tablas relacionales. |  |  |</v>
      </c>
      <c r="S12" s="5" t="str">
        <f t="shared" si="6"/>
        <v>| 2.1. Introducción | Sistemas de información geográfica. Fundamentos. Proyecciones y origen de coordenadas. Simbología, y estadísticas generales. Tablas relacionales. |  |  | |</v>
      </c>
      <c r="T12" s="5" t="str">
        <f t="shared" si="1"/>
        <v>| 2.1. Introducción | Sistemas de información geográfica. Fundamentos. Proyecciones y origen de coordenadas. Simbología, y estadísticas generales. Tablas relacionales. |  |  | | |</v>
      </c>
      <c r="U12" s="5"/>
      <c r="V12" s="5" t="str">
        <f t="shared" si="0"/>
        <v>| 2.1. Introducción | Sistemas de información geográfica. Fundamentos. Proyecciones y origen de coordenadas. Simbología, y estadísticas generales. Tablas relacionales. |  |  | | | | | | | | | |</v>
      </c>
    </row>
    <row r="13" spans="2:22" ht="92.25" x14ac:dyDescent="0.55000000000000004">
      <c r="B13" s="5" t="s">
        <v>31</v>
      </c>
      <c r="C13" s="5" t="s">
        <v>32</v>
      </c>
      <c r="D13" s="5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</v>
      </c>
      <c r="Q13" s="5" t="str">
        <f t="shared" si="3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</v>
      </c>
      <c r="R13" s="5" t="str">
        <f t="shared" si="5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</v>
      </c>
      <c r="S13" s="5" t="str">
        <f t="shared" si="6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</v>
      </c>
      <c r="T13" s="5" t="str">
        <f t="shared" si="1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</v>
      </c>
      <c r="U13" s="5"/>
      <c r="V13" s="5" t="str">
        <f t="shared" si="0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 | | | | | | |</v>
      </c>
    </row>
    <row r="14" spans="2:22" ht="61.5" x14ac:dyDescent="0.55000000000000004">
      <c r="B14" s="5" t="s">
        <v>33</v>
      </c>
      <c r="C14" s="5" t="s">
        <v>34</v>
      </c>
      <c r="D14" s="5" t="s">
        <v>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2.3. Mapas e imágenes (QGIS, ArcGIS y otras herramientas)  | Mapas y cartografía. Elaboración de planos. Imágenes en SIG. Manejo y manipulación de imágenes. Ejercicio de aplicación (proyecto aplicado en ingeniería eléctrica). |</v>
      </c>
      <c r="Q14" s="5" t="str">
        <f t="shared" si="3"/>
        <v>| 2.3. Mapas e imágenes (QGIS, ArcGIS y otras herramientas)  | Mapas y cartografía. Elaboración de planos. Imágenes en SIG. Manejo y manipulación de imágenes. Ejercicio de aplicación (proyecto aplicado en ingeniería eléctrica). | ✓ |</v>
      </c>
      <c r="R14" s="5" t="str">
        <f t="shared" si="5"/>
        <v>| 2.3. Mapas e imágenes (QGIS, ArcGIS y otras herramientas)  | Mapas y cartografía. Elaboración de planos. Imágenes en SIG. Manejo y manipulación de imágenes. Ejercicio de aplicación (proyecto aplicado en ingeniería eléctrica). | ✓ |  |</v>
      </c>
      <c r="S14" s="5" t="str">
        <f t="shared" si="6"/>
        <v>| 2.3. Mapas e imágenes (QGIS, ArcGIS y otras herramientas)  | Mapas y cartografía. Elaboración de planos. Imágenes en SIG. Manejo y manipulación de imágenes. Ejercicio de aplicación (proyecto aplicado en ingeniería eléctrica). | ✓ |  | |</v>
      </c>
      <c r="T14" s="5" t="str">
        <f t="shared" si="1"/>
        <v>| 2.3. Mapas e imágenes (QGIS, ArcGIS y otras herramientas)  | Mapas y cartografía. Elaboración de planos. Imágenes en SIG. Manejo y manipulación de imágenes. Ejercicio de aplicación (proyecto aplicado en ingeniería eléctrica). | ✓ |  | | |</v>
      </c>
      <c r="U14" s="5"/>
      <c r="V14" s="5" t="str">
        <f t="shared" si="0"/>
        <v>| 2.3. Mapas e imágenes (QGIS, ArcGIS y otras herramientas)  | Mapas y cartografía. Elaboración de planos. Imágenes en SIG. Manejo y manipulación de imágenes. Ejercicio de aplicación (proyecto aplicado en ingeniería eléctrica). | ✓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ht="30.75" x14ac:dyDescent="0.55000000000000004">
      <c r="B16" s="5" t="s">
        <v>35</v>
      </c>
      <c r="C16" s="5" t="s">
        <v>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3.1. Introducción  | Conceptos de la metodología BIM. Generalidades del trabajo colaborativo. Taller conceptual. |  |</v>
      </c>
      <c r="R16" s="5"/>
      <c r="S16" s="5"/>
      <c r="T16" s="5"/>
      <c r="U16" s="5"/>
      <c r="V16" s="5"/>
    </row>
    <row r="17" spans="2:22" ht="46.15" x14ac:dyDescent="0.55000000000000004">
      <c r="B17" s="5" t="s">
        <v>37</v>
      </c>
      <c r="C17" s="5" t="s">
        <v>38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3.2 Herramientas para la aplicación de la metodología BIM. Introducción al software Revit | Uso de plantillas (templates). Fundamentos del software Revit. Configuración de Revit (Options).     |  |</v>
      </c>
      <c r="R17" s="5"/>
      <c r="S17" s="5"/>
      <c r="T17" s="5"/>
      <c r="U17" s="5"/>
      <c r="V17" s="5"/>
    </row>
    <row r="18" spans="2:22" ht="92.25" x14ac:dyDescent="0.55000000000000004">
      <c r="B18" s="5" t="s">
        <v>39</v>
      </c>
      <c r="C18" s="5" t="s">
        <v>40</v>
      </c>
      <c r="D18" s="5" t="s">
        <v>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3.3. Creación y manipulación de elementos en Revit  | 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 | ✓ |</v>
      </c>
      <c r="R18" s="5"/>
      <c r="S18" s="5"/>
      <c r="T18" s="5"/>
      <c r="U18" s="5"/>
      <c r="V18" s="5"/>
    </row>
    <row r="19" spans="2:22" ht="76.900000000000006" x14ac:dyDescent="0.55000000000000004">
      <c r="B19" s="5" t="s">
        <v>41</v>
      </c>
      <c r="C19" s="5" t="s">
        <v>42</v>
      </c>
      <c r="D19" s="5" t="s">
        <v>6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3.4. Familias de Revit  | Concepto de familias de Revit. Creación de perfiles. Creación de planos de trabajo. Convertir líneas en símbolos (Convert lines) y Controles de visibilidad. Ejercicio de aplicación (proyecto aplicado en ingeniería eléctrica). | ✓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88" si="7">_xlfn.CONCAT("| ",B45," | ",C45," |")</f>
        <v>|  |  |</v>
      </c>
      <c r="Q45" s="5" t="str">
        <f t="shared" ref="Q45:Q88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69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ref="R68:R103" si="10">_xlfn.CONCAT("| ",B68," | ",C68," | ",D68," | ",E68," |")</f>
        <v>|  |  |  |  |</v>
      </c>
      <c r="S68" s="5" t="str">
        <f t="shared" si="6"/>
        <v>|  |  |  |  | |</v>
      </c>
      <c r="T68" s="5" t="str">
        <f t="shared" ref="T68:T103" si="11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10"/>
        <v>|  |  |  |  |</v>
      </c>
      <c r="S69" s="5" t="str">
        <f t="shared" si="6"/>
        <v>|  |  |  |  | |</v>
      </c>
      <c r="T69" s="5" t="str">
        <f t="shared" si="11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si="10"/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1"/>
        <v>|  |  |  |  | | |</v>
      </c>
      <c r="U70" s="5"/>
      <c r="V70" s="5" t="str">
        <f t="shared" ref="V70:V103" si="13">_xlfn.CONCAT("| ",B70," | ",C70," | ",D70," | ",E70," |",F70," |",G70," |",H70," |",I70," |",J70," |",K70," |",L70," |",M70," |",N70," |")</f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0"/>
        <v>|  |  |  |  |</v>
      </c>
      <c r="S71" s="5" t="str">
        <f t="shared" si="12"/>
        <v>|  |  |  |  | |</v>
      </c>
      <c r="T71" s="5" t="str">
        <f t="shared" si="11"/>
        <v>|  |  |  |  | | |</v>
      </c>
      <c r="U71" s="5"/>
      <c r="V71" s="5" t="str">
        <f t="shared" si="13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0"/>
        <v>|  |  |  |  |</v>
      </c>
      <c r="S72" s="5" t="str">
        <f t="shared" si="12"/>
        <v>|  |  |  |  | |</v>
      </c>
      <c r="T72" s="5" t="str">
        <f t="shared" si="11"/>
        <v>|  |  |  |  | | |</v>
      </c>
      <c r="U72" s="5"/>
      <c r="V72" s="5" t="str">
        <f t="shared" si="13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0"/>
        <v>|  |  |  |  |</v>
      </c>
      <c r="S73" s="5" t="str">
        <f t="shared" si="12"/>
        <v>|  |  |  |  | |</v>
      </c>
      <c r="T73" s="5" t="str">
        <f t="shared" si="11"/>
        <v>|  |  |  |  | | |</v>
      </c>
      <c r="U73" s="5"/>
      <c r="V73" s="5" t="str">
        <f t="shared" si="13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0"/>
        <v>|  |  |  |  |</v>
      </c>
      <c r="S74" s="5" t="str">
        <f t="shared" si="12"/>
        <v>|  |  |  |  | |</v>
      </c>
      <c r="T74" s="5" t="str">
        <f t="shared" si="11"/>
        <v>|  |  |  |  | | |</v>
      </c>
      <c r="U74" s="5"/>
      <c r="V74" s="5" t="str">
        <f t="shared" si="13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0"/>
        <v>|  |  |  |  |</v>
      </c>
      <c r="S75" s="5" t="str">
        <f t="shared" si="12"/>
        <v>|  |  |  |  | |</v>
      </c>
      <c r="T75" s="5" t="str">
        <f t="shared" si="11"/>
        <v>|  |  |  |  | | |</v>
      </c>
      <c r="U75" s="5"/>
      <c r="V75" s="5" t="str">
        <f t="shared" si="13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0"/>
        <v>|  |  |  |  |</v>
      </c>
      <c r="S76" s="5" t="str">
        <f t="shared" si="12"/>
        <v>|  |  |  |  | |</v>
      </c>
      <c r="T76" s="5" t="str">
        <f t="shared" si="11"/>
        <v>|  |  |  |  | | |</v>
      </c>
      <c r="U76" s="5"/>
      <c r="V76" s="5" t="str">
        <f t="shared" si="13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0"/>
        <v>|  |  |  |  |</v>
      </c>
      <c r="S77" s="5" t="str">
        <f t="shared" si="12"/>
        <v>|  |  |  |  | |</v>
      </c>
      <c r="T77" s="5" t="str">
        <f t="shared" si="11"/>
        <v>|  |  |  |  | | |</v>
      </c>
      <c r="U77" s="5"/>
      <c r="V77" s="5" t="str">
        <f t="shared" si="13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0"/>
        <v>|  |  |  |  |</v>
      </c>
      <c r="S78" s="5" t="str">
        <f t="shared" si="12"/>
        <v>|  |  |  |  | |</v>
      </c>
      <c r="T78" s="5" t="str">
        <f t="shared" si="11"/>
        <v>|  |  |  |  | | |</v>
      </c>
      <c r="U78" s="5"/>
      <c r="V78" s="5" t="str">
        <f t="shared" si="13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0"/>
        <v>|  |  |  |  |</v>
      </c>
      <c r="S79" s="5" t="str">
        <f t="shared" si="12"/>
        <v>|  |  |  |  | |</v>
      </c>
      <c r="T79" s="5" t="str">
        <f t="shared" si="11"/>
        <v>|  |  |  |  | | |</v>
      </c>
      <c r="U79" s="5"/>
      <c r="V79" s="5" t="str">
        <f t="shared" si="13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0"/>
        <v>|  |  |  |  |</v>
      </c>
      <c r="S80" s="5" t="str">
        <f t="shared" si="12"/>
        <v>|  |  |  |  | |</v>
      </c>
      <c r="T80" s="5" t="str">
        <f t="shared" si="11"/>
        <v>|  |  |  |  | | |</v>
      </c>
      <c r="U80" s="5"/>
      <c r="V80" s="5" t="str">
        <f t="shared" si="13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0"/>
        <v>|  |  |  |  |</v>
      </c>
      <c r="S81" s="5" t="str">
        <f t="shared" si="12"/>
        <v>|  |  |  |  | |</v>
      </c>
      <c r="T81" s="5" t="str">
        <f t="shared" si="11"/>
        <v>|  |  |  |  | | |</v>
      </c>
      <c r="U81" s="5"/>
      <c r="V81" s="5" t="str">
        <f t="shared" si="13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0"/>
        <v>|  |  |  |  |</v>
      </c>
      <c r="S82" s="5" t="str">
        <f t="shared" si="12"/>
        <v>|  |  |  |  | |</v>
      </c>
      <c r="T82" s="5" t="str">
        <f t="shared" si="11"/>
        <v>|  |  |  |  | | |</v>
      </c>
      <c r="U82" s="5"/>
      <c r="V82" s="5" t="str">
        <f t="shared" si="13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0"/>
        <v>|  |  |  |  |</v>
      </c>
      <c r="S83" s="5" t="str">
        <f t="shared" si="12"/>
        <v>|  |  |  |  | |</v>
      </c>
      <c r="T83" s="5" t="str">
        <f t="shared" si="11"/>
        <v>|  |  |  |  | | |</v>
      </c>
      <c r="U83" s="5"/>
      <c r="V83" s="5" t="str">
        <f t="shared" si="13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0"/>
        <v>|  |  |  |  |</v>
      </c>
      <c r="S84" s="5" t="str">
        <f t="shared" si="12"/>
        <v>|  |  |  |  | |</v>
      </c>
      <c r="T84" s="5" t="str">
        <f t="shared" si="11"/>
        <v>|  |  |  |  | | |</v>
      </c>
      <c r="U84" s="5"/>
      <c r="V84" s="5" t="str">
        <f t="shared" si="13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0"/>
        <v>|  |  |  |  |</v>
      </c>
      <c r="S85" s="5" t="str">
        <f t="shared" si="12"/>
        <v>|  |  |  |  | |</v>
      </c>
      <c r="T85" s="5" t="str">
        <f t="shared" si="11"/>
        <v>|  |  |  |  | | |</v>
      </c>
      <c r="U85" s="5"/>
      <c r="V85" s="5" t="str">
        <f t="shared" si="13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0"/>
        <v>|  |  |  |  |</v>
      </c>
      <c r="S86" s="5" t="str">
        <f t="shared" si="12"/>
        <v>|  |  |  |  | |</v>
      </c>
      <c r="T86" s="5" t="str">
        <f t="shared" si="11"/>
        <v>|  |  |  |  | | |</v>
      </c>
      <c r="U86" s="5"/>
      <c r="V86" s="5" t="str">
        <f t="shared" si="13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0"/>
        <v>|  |  |  |  |</v>
      </c>
      <c r="S87" s="5" t="str">
        <f t="shared" si="12"/>
        <v>|  |  |  |  | |</v>
      </c>
      <c r="T87" s="5" t="str">
        <f t="shared" si="11"/>
        <v>|  |  |  |  | | |</v>
      </c>
      <c r="U87" s="5"/>
      <c r="V87" s="5" t="str">
        <f t="shared" si="13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0"/>
        <v>|  |  |  |  |</v>
      </c>
      <c r="S88" s="5" t="str">
        <f t="shared" si="12"/>
        <v>|  |  |  |  | |</v>
      </c>
      <c r="T88" s="5" t="str">
        <f t="shared" si="11"/>
        <v>|  |  |  |  | | |</v>
      </c>
      <c r="U88" s="5"/>
      <c r="V88" s="5" t="str">
        <f t="shared" si="13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4">_xlfn.CONCAT("| ",B89," | ",C89," |")</f>
        <v>|  |  |</v>
      </c>
      <c r="Q89" s="5" t="str">
        <f t="shared" ref="Q89:Q103" si="15">_xlfn.CONCAT("| ",B89," | ",C89," | ",D89," |")</f>
        <v>|  |  |  |</v>
      </c>
      <c r="R89" s="5" t="str">
        <f t="shared" si="10"/>
        <v>|  |  |  |  |</v>
      </c>
      <c r="S89" s="5" t="str">
        <f t="shared" si="12"/>
        <v>|  |  |  |  | |</v>
      </c>
      <c r="T89" s="5" t="str">
        <f t="shared" si="11"/>
        <v>|  |  |  |  | | |</v>
      </c>
      <c r="U89" s="5"/>
      <c r="V89" s="5" t="str">
        <f t="shared" si="13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4"/>
        <v>|  |  |</v>
      </c>
      <c r="Q90" s="5" t="str">
        <f t="shared" si="15"/>
        <v>|  |  |  |</v>
      </c>
      <c r="R90" s="5" t="str">
        <f t="shared" si="10"/>
        <v>|  |  |  |  |</v>
      </c>
      <c r="S90" s="5" t="str">
        <f t="shared" si="12"/>
        <v>|  |  |  |  | |</v>
      </c>
      <c r="T90" s="5" t="str">
        <f t="shared" si="11"/>
        <v>|  |  |  |  | | |</v>
      </c>
      <c r="U90" s="5"/>
      <c r="V90" s="5" t="str">
        <f t="shared" si="13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4"/>
        <v>|  |  |</v>
      </c>
      <c r="Q91" s="5" t="str">
        <f t="shared" si="15"/>
        <v>|  |  |  |</v>
      </c>
      <c r="R91" s="5" t="str">
        <f t="shared" si="10"/>
        <v>|  |  |  |  |</v>
      </c>
      <c r="S91" s="5" t="str">
        <f t="shared" si="12"/>
        <v>|  |  |  |  | |</v>
      </c>
      <c r="T91" s="5" t="str">
        <f t="shared" si="11"/>
        <v>|  |  |  |  | | |</v>
      </c>
      <c r="U91" s="5"/>
      <c r="V91" s="5" t="str">
        <f t="shared" si="13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4"/>
        <v>|  |  |</v>
      </c>
      <c r="Q92" s="5" t="str">
        <f t="shared" si="15"/>
        <v>|  |  |  |</v>
      </c>
      <c r="R92" s="5" t="str">
        <f t="shared" si="10"/>
        <v>|  |  |  |  |</v>
      </c>
      <c r="S92" s="5" t="str">
        <f t="shared" si="12"/>
        <v>|  |  |  |  | |</v>
      </c>
      <c r="T92" s="5" t="str">
        <f t="shared" si="11"/>
        <v>|  |  |  |  | | |</v>
      </c>
      <c r="U92" s="5"/>
      <c r="V92" s="5" t="str">
        <f t="shared" si="13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4"/>
        <v>|  |  |</v>
      </c>
      <c r="Q93" s="5" t="str">
        <f t="shared" si="15"/>
        <v>|  |  |  |</v>
      </c>
      <c r="R93" s="5" t="str">
        <f t="shared" si="10"/>
        <v>|  |  |  |  |</v>
      </c>
      <c r="S93" s="5" t="str">
        <f t="shared" si="12"/>
        <v>|  |  |  |  | |</v>
      </c>
      <c r="T93" s="5" t="str">
        <f t="shared" si="11"/>
        <v>|  |  |  |  | | |</v>
      </c>
      <c r="U93" s="5"/>
      <c r="V93" s="5" t="str">
        <f t="shared" si="13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4"/>
        <v>|  |  |</v>
      </c>
      <c r="Q94" s="5" t="str">
        <f t="shared" si="15"/>
        <v>|  |  |  |</v>
      </c>
      <c r="R94" s="5" t="str">
        <f t="shared" si="10"/>
        <v>|  |  |  |  |</v>
      </c>
      <c r="S94" s="5" t="str">
        <f t="shared" si="12"/>
        <v>|  |  |  |  | |</v>
      </c>
      <c r="T94" s="5" t="str">
        <f t="shared" si="11"/>
        <v>|  |  |  |  | | |</v>
      </c>
      <c r="U94" s="5"/>
      <c r="V94" s="5" t="str">
        <f t="shared" si="13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4"/>
        <v>|  |  |</v>
      </c>
      <c r="Q95" s="5" t="str">
        <f t="shared" si="15"/>
        <v>|  |  |  |</v>
      </c>
      <c r="R95" s="5" t="str">
        <f t="shared" si="10"/>
        <v>|  |  |  |  |</v>
      </c>
      <c r="S95" s="5" t="str">
        <f t="shared" si="12"/>
        <v>|  |  |  |  | |</v>
      </c>
      <c r="T95" s="5" t="str">
        <f t="shared" si="11"/>
        <v>|  |  |  |  | | |</v>
      </c>
      <c r="U95" s="5"/>
      <c r="V95" s="5" t="str">
        <f t="shared" si="13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4"/>
        <v>|  |  |</v>
      </c>
      <c r="Q96" s="5" t="str">
        <f t="shared" si="15"/>
        <v>|  |  |  |</v>
      </c>
      <c r="R96" s="5" t="str">
        <f t="shared" si="10"/>
        <v>|  |  |  |  |</v>
      </c>
      <c r="S96" s="5" t="str">
        <f t="shared" si="12"/>
        <v>|  |  |  |  | |</v>
      </c>
      <c r="T96" s="5" t="str">
        <f t="shared" si="11"/>
        <v>|  |  |  |  | | |</v>
      </c>
      <c r="U96" s="5"/>
      <c r="V96" s="5" t="str">
        <f t="shared" si="13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4"/>
        <v>|  |  |</v>
      </c>
      <c r="Q97" s="5" t="str">
        <f t="shared" si="15"/>
        <v>|  |  |  |</v>
      </c>
      <c r="R97" s="5" t="str">
        <f t="shared" si="10"/>
        <v>|  |  |  |  |</v>
      </c>
      <c r="S97" s="5" t="str">
        <f t="shared" si="12"/>
        <v>|  |  |  |  | |</v>
      </c>
      <c r="T97" s="5" t="str">
        <f t="shared" si="11"/>
        <v>|  |  |  |  | | |</v>
      </c>
      <c r="U97" s="5"/>
      <c r="V97" s="5" t="str">
        <f t="shared" si="13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4"/>
        <v>|  |  |</v>
      </c>
      <c r="Q98" s="5" t="str">
        <f t="shared" si="15"/>
        <v>|  |  |  |</v>
      </c>
      <c r="R98" s="5" t="str">
        <f t="shared" si="10"/>
        <v>|  |  |  |  |</v>
      </c>
      <c r="S98" s="5" t="str">
        <f t="shared" si="12"/>
        <v>|  |  |  |  | |</v>
      </c>
      <c r="T98" s="5" t="str">
        <f t="shared" si="11"/>
        <v>|  |  |  |  | | |</v>
      </c>
      <c r="U98" s="5"/>
      <c r="V98" s="5" t="str">
        <f t="shared" si="13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4"/>
        <v>|  |  |</v>
      </c>
      <c r="Q99" s="5" t="str">
        <f t="shared" si="15"/>
        <v>|  |  |  |</v>
      </c>
      <c r="R99" s="5" t="str">
        <f t="shared" si="10"/>
        <v>|  |  |  |  |</v>
      </c>
      <c r="S99" s="5" t="str">
        <f t="shared" si="12"/>
        <v>|  |  |  |  | |</v>
      </c>
      <c r="T99" s="5" t="str">
        <f t="shared" si="11"/>
        <v>|  |  |  |  | | |</v>
      </c>
      <c r="U99" s="5"/>
      <c r="V99" s="5" t="str">
        <f t="shared" si="13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4"/>
        <v>|  |  |</v>
      </c>
      <c r="Q100" s="5" t="str">
        <f t="shared" si="15"/>
        <v>|  |  |  |</v>
      </c>
      <c r="R100" s="5" t="str">
        <f t="shared" si="10"/>
        <v>|  |  |  |  |</v>
      </c>
      <c r="S100" s="5" t="str">
        <f t="shared" si="12"/>
        <v>|  |  |  |  | |</v>
      </c>
      <c r="T100" s="5" t="str">
        <f t="shared" si="11"/>
        <v>|  |  |  |  | | |</v>
      </c>
      <c r="U100" s="5"/>
      <c r="V100" s="5" t="str">
        <f t="shared" si="13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4"/>
        <v>|  |  |</v>
      </c>
      <c r="Q101" s="5" t="str">
        <f t="shared" si="15"/>
        <v>|  |  |  |</v>
      </c>
      <c r="R101" s="5" t="str">
        <f t="shared" si="10"/>
        <v>|  |  |  |  |</v>
      </c>
      <c r="S101" s="5" t="str">
        <f t="shared" si="12"/>
        <v>|  |  |  |  | |</v>
      </c>
      <c r="T101" s="5" t="str">
        <f t="shared" si="11"/>
        <v>|  |  |  |  | | |</v>
      </c>
      <c r="U101" s="5"/>
      <c r="V101" s="5" t="str">
        <f t="shared" si="13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4"/>
        <v>|  |  |</v>
      </c>
      <c r="Q102" s="5" t="str">
        <f t="shared" si="15"/>
        <v>|  |  |  |</v>
      </c>
      <c r="R102" s="5" t="str">
        <f t="shared" si="10"/>
        <v>|  |  |  |  |</v>
      </c>
      <c r="S102" s="5" t="str">
        <f t="shared" si="12"/>
        <v>|  |  |  |  | |</v>
      </c>
      <c r="T102" s="5" t="str">
        <f t="shared" si="11"/>
        <v>|  |  |  |  | | |</v>
      </c>
      <c r="U102" s="5"/>
      <c r="V102" s="5" t="str">
        <f t="shared" si="13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4"/>
        <v>|  |  |</v>
      </c>
      <c r="Q103" s="5" t="str">
        <f t="shared" si="15"/>
        <v>|  |  |  |</v>
      </c>
      <c r="R103" s="5" t="str">
        <f t="shared" si="10"/>
        <v>|  |  |  |  |</v>
      </c>
      <c r="S103" s="5" t="str">
        <f t="shared" si="12"/>
        <v>|  |  |  |  | |</v>
      </c>
      <c r="T103" s="5" t="str">
        <f t="shared" si="11"/>
        <v>|  |  |  |  | | |</v>
      </c>
      <c r="U103" s="5"/>
      <c r="V103" s="5" t="str">
        <f t="shared" si="13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A72B-2DA7-462B-9A66-410D881B305C}">
  <dimension ref="B1:V103"/>
  <sheetViews>
    <sheetView showGridLines="0" topLeftCell="P1" zoomScale="115" zoomScaleNormal="115" workbookViewId="0">
      <pane ySplit="4" topLeftCell="A15" activePane="bottomLeft" state="frozen"/>
      <selection pane="bottomLeft" activeCell="Q3" sqref="Q3:Q25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44</v>
      </c>
      <c r="C3" s="4" t="s">
        <v>45</v>
      </c>
      <c r="D3" s="4" t="s">
        <v>46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Prefijo | Disciplina (en) |</v>
      </c>
      <c r="Q3" s="5" t="str">
        <f>_xlfn.CONCAT("| ",B3," | ",C3," | ",D3," |")</f>
        <v>| Prefijo | Disciplina (en) | Disciplina (es) |</v>
      </c>
      <c r="R3" s="5" t="str">
        <f>_xlfn.CONCAT("| ",B3," | ",C3," | ",D3," | ",E3," |")</f>
        <v>| Prefijo | Disciplina (en) | Disciplina (es) | A |</v>
      </c>
      <c r="S3" s="5" t="str">
        <f>_xlfn.CONCAT("| ",B3," | ",C3," | ",D3," | ",E3," |",F3," |")</f>
        <v>| Prefijo | Disciplina (en) | Disciplina (es) | A |B |</v>
      </c>
      <c r="T3" s="5" t="str">
        <f>_xlfn.CONCAT("| ",B3," | ",C3," | ",D3," | ",E3," |",F3," |",G3," |")</f>
        <v>| Prefijo | Disciplina (en) | Disciplina (es) | A |B |C |</v>
      </c>
      <c r="U3" s="5" t="str">
        <f>_xlfn.CONCAT("| ",B3," | ",C3," | ",D3," | ",E3," | ",F3," | ",G3," | ",H3," |")</f>
        <v>| Prefijo | Disciplina (en) | Disciplina (es) | A | B | C | D |</v>
      </c>
      <c r="V3" s="5" t="str">
        <f t="shared" ref="V3:V14" si="0">_xlfn.CONCAT("| ",B3," | ",C3," | ",D3," | ",E3," |",F3," |",G3," |",H3," |",I3," |",J3," |",K3," |",L3," |",M3," |",N3," |")</f>
        <v>| Prefijo | Disciplina (en) | Disciplina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x14ac:dyDescent="0.55000000000000004">
      <c r="B6" s="5" t="s">
        <v>12</v>
      </c>
      <c r="C6" s="5" t="s">
        <v>49</v>
      </c>
      <c r="D6" s="5" t="s">
        <v>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B | Geotechnical |</v>
      </c>
      <c r="Q6" s="5" t="str">
        <f t="shared" si="3"/>
        <v>| B | Geotechnical | Geotecnia |</v>
      </c>
      <c r="R6" s="5" t="str">
        <f t="shared" ref="R6:R69" si="5">_xlfn.CONCAT("| ",B6," | ",C6," | ",D6," | ",E6," |")</f>
        <v>| B | Geotechnical | Geotecnia | ✓ |</v>
      </c>
      <c r="S6" s="5" t="str">
        <f t="shared" ref="S6:S69" si="6">_xlfn.CONCAT("| ",B6," | ",C6," | ",D6," | ",E6," |",F6," |")</f>
        <v>| B | Geotechnical | Geotecnia | ✓ |✕ |</v>
      </c>
      <c r="T6" s="5" t="str">
        <f t="shared" si="1"/>
        <v>| B | Geotechnical | Geotecnia | ✓ |✕ | |</v>
      </c>
      <c r="U6" s="5" t="str">
        <f t="shared" si="2"/>
        <v>| B | Geotechnical | Geotecnia | ✓ | ✕ |  |  |</v>
      </c>
      <c r="V6" s="5" t="str">
        <f t="shared" si="0"/>
        <v>| B | Geotechnical | Geotecnia | ✓ |✕ | | | | | | | | |</v>
      </c>
    </row>
    <row r="7" spans="2:22" x14ac:dyDescent="0.55000000000000004">
      <c r="B7" s="5" t="s">
        <v>13</v>
      </c>
      <c r="C7" s="5" t="s">
        <v>51</v>
      </c>
      <c r="D7" s="5" t="s">
        <v>51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 | Civil |</v>
      </c>
      <c r="Q7" s="5" t="str">
        <f t="shared" si="3"/>
        <v>| C | Civil | Civil |</v>
      </c>
      <c r="R7" s="5" t="str">
        <f t="shared" si="5"/>
        <v>| C | Civil | Civil | ✓ |</v>
      </c>
      <c r="S7" s="5" t="str">
        <f t="shared" si="6"/>
        <v>| C | Civil | Civil | ✓ |✓ |</v>
      </c>
      <c r="T7" s="5" t="str">
        <f t="shared" si="1"/>
        <v>| C | Civil | Civil | ✓ |✓ | |</v>
      </c>
      <c r="U7" s="5" t="str">
        <f t="shared" si="2"/>
        <v>| C | Civil | Civil | ✓ | ✓ |  |  |</v>
      </c>
      <c r="V7" s="5" t="str">
        <f t="shared" si="0"/>
        <v>| C | Civil | Civil | ✓ |✓ | | | | | | | | |</v>
      </c>
    </row>
    <row r="8" spans="2:22" x14ac:dyDescent="0.55000000000000004">
      <c r="B8" s="5" t="s">
        <v>14</v>
      </c>
      <c r="C8" s="5" t="s">
        <v>52</v>
      </c>
      <c r="D8" s="5" t="s">
        <v>53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D | Process |</v>
      </c>
      <c r="Q8" s="5" t="str">
        <f t="shared" si="3"/>
        <v>| D | Process | Procesos |</v>
      </c>
      <c r="R8" s="5" t="str">
        <f t="shared" si="5"/>
        <v>| D | Process | Procesos | ✓ |</v>
      </c>
      <c r="S8" s="5" t="str">
        <f t="shared" si="6"/>
        <v>| D | Process | Procesos | ✓ |✕ |</v>
      </c>
      <c r="T8" s="5" t="str">
        <f t="shared" si="1"/>
        <v>| D | Process | Procesos | ✓ |✕ | |</v>
      </c>
      <c r="U8" s="5" t="str">
        <f t="shared" si="2"/>
        <v>| D | Process | Procesos | ✓ | ✕ |  |  |</v>
      </c>
      <c r="V8" s="5" t="str">
        <f t="shared" si="0"/>
        <v>| D | Process | Procesos | ✓ |✕ | | | | | | | | |</v>
      </c>
    </row>
    <row r="9" spans="2:22" x14ac:dyDescent="0.55000000000000004">
      <c r="B9" s="5" t="s">
        <v>54</v>
      </c>
      <c r="C9" s="5" t="s">
        <v>55</v>
      </c>
      <c r="D9" s="5" t="s">
        <v>56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E | Electrical |</v>
      </c>
      <c r="Q9" s="5" t="str">
        <f t="shared" si="3"/>
        <v>| E | Electrical | Electricidad |</v>
      </c>
      <c r="R9" s="5" t="str">
        <f t="shared" si="5"/>
        <v>| E | Electrical | Electricidad | ✓ |</v>
      </c>
      <c r="S9" s="5" t="str">
        <f t="shared" si="6"/>
        <v>| E | Electrical | Electricidad | ✓ |✕ |</v>
      </c>
      <c r="T9" s="5" t="str">
        <f t="shared" si="1"/>
        <v>| E | Electrical | Electricidad | ✓ |✕ | |</v>
      </c>
      <c r="U9" s="5" t="str">
        <f t="shared" si="2"/>
        <v>| E | Electrical | Electricidad | ✓ | ✕ |  |  |</v>
      </c>
      <c r="V9" s="5" t="str">
        <f t="shared" si="0"/>
        <v>| E | Electrical | Electricidad | ✓ |✕ | | | | | | | | |</v>
      </c>
    </row>
    <row r="10" spans="2:22" x14ac:dyDescent="0.55000000000000004">
      <c r="B10" s="5" t="s">
        <v>57</v>
      </c>
      <c r="C10" s="5" t="s">
        <v>58</v>
      </c>
      <c r="D10" s="5" t="s">
        <v>59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F | Fire Protection |</v>
      </c>
      <c r="Q10" s="5" t="str">
        <f t="shared" si="3"/>
        <v>| F | Fire Protection | Protección contra incendios |</v>
      </c>
      <c r="R10" s="5" t="str">
        <f t="shared" si="5"/>
        <v>| F | Fire Protection | Protección contra incendios | ✓ |</v>
      </c>
      <c r="S10" s="5" t="str">
        <f t="shared" si="6"/>
        <v>| F | Fire Protection | Protección contra incendios | ✓ |✕ |</v>
      </c>
      <c r="T10" s="5" t="str">
        <f t="shared" si="1"/>
        <v>| F | Fire Protection | Protección contra incendios | ✓ |✕ | |</v>
      </c>
      <c r="U10" s="5" t="str">
        <f t="shared" si="2"/>
        <v>| F | Fire Protection | Protección contra incendios | ✓ | ✕ |  |  |</v>
      </c>
      <c r="V10" s="5" t="str">
        <f t="shared" si="0"/>
        <v>| F | Fire Protection | Protección contra incendios | ✓ |✕ | | | | | | | | |</v>
      </c>
    </row>
    <row r="11" spans="2:22" x14ac:dyDescent="0.55000000000000004">
      <c r="B11" s="5" t="s">
        <v>60</v>
      </c>
      <c r="C11" s="5" t="s">
        <v>61</v>
      </c>
      <c r="D11" s="5" t="s">
        <v>61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G | General |</v>
      </c>
      <c r="Q11" s="5" t="str">
        <f t="shared" si="3"/>
        <v>| G | General | General |</v>
      </c>
      <c r="R11" s="5" t="str">
        <f t="shared" si="5"/>
        <v>| G | General | General | ✓ |</v>
      </c>
      <c r="S11" s="5" t="str">
        <f t="shared" si="6"/>
        <v>| G | General | General | ✓ |✓ |</v>
      </c>
      <c r="T11" s="5" t="str">
        <f t="shared" si="1"/>
        <v>| G | General | General | ✓ |✓ | |</v>
      </c>
      <c r="U11" s="5" t="str">
        <f t="shared" si="2"/>
        <v>| G | General | General | ✓ | ✓ |  |  |</v>
      </c>
      <c r="V11" s="5" t="str">
        <f t="shared" si="0"/>
        <v>| G | General | General | ✓ |✓ | | | | | | | | |</v>
      </c>
    </row>
    <row r="12" spans="2:22" x14ac:dyDescent="0.55000000000000004">
      <c r="B12" s="5" t="s">
        <v>62</v>
      </c>
      <c r="C12" s="5" t="s">
        <v>63</v>
      </c>
      <c r="D12" s="5" t="s">
        <v>64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H | Hazardous Materials |</v>
      </c>
      <c r="Q12" s="5" t="str">
        <f t="shared" si="3"/>
        <v>| H | Hazardous Materials | Materiales peligrosos |</v>
      </c>
      <c r="R12" s="5" t="str">
        <f t="shared" si="5"/>
        <v>| H | Hazardous Materials | Materiales peligrosos |  |</v>
      </c>
      <c r="S12" s="5" t="str">
        <f t="shared" si="6"/>
        <v>| H | Hazardous Materials | Materiales peligrosos |  | |</v>
      </c>
      <c r="T12" s="5" t="str">
        <f t="shared" si="1"/>
        <v>| H | Hazardous Materials | Materiales peligrosos |  | | |</v>
      </c>
      <c r="U12" s="5"/>
      <c r="V12" s="5" t="str">
        <f t="shared" si="0"/>
        <v>| H | Hazardous Materials | Materiales peligrosos |  | | | | | | | | | |</v>
      </c>
    </row>
    <row r="13" spans="2:22" x14ac:dyDescent="0.55000000000000004">
      <c r="B13" s="5" t="s">
        <v>65</v>
      </c>
      <c r="C13" s="5" t="s">
        <v>66</v>
      </c>
      <c r="D13" s="5" t="s">
        <v>67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I | Interiors |</v>
      </c>
      <c r="Q13" s="5" t="str">
        <f t="shared" si="3"/>
        <v>| I | Interiors | Interiores |</v>
      </c>
      <c r="R13" s="5" t="str">
        <f t="shared" si="5"/>
        <v>| I | Interiors | Interiores |  |</v>
      </c>
      <c r="S13" s="5" t="str">
        <f t="shared" si="6"/>
        <v>| I | Interiors | Interiores |  | |</v>
      </c>
      <c r="T13" s="5" t="str">
        <f t="shared" si="1"/>
        <v>| I | Interiors | Interiores |  | | |</v>
      </c>
      <c r="U13" s="5"/>
      <c r="V13" s="5" t="str">
        <f t="shared" si="0"/>
        <v>| I | Interiors | Interiores |  | | | | | | | | | |</v>
      </c>
    </row>
    <row r="14" spans="2:22" x14ac:dyDescent="0.55000000000000004">
      <c r="B14" s="5" t="s">
        <v>68</v>
      </c>
      <c r="C14" s="5" t="s">
        <v>69</v>
      </c>
      <c r="D14" s="5" t="s">
        <v>70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L | Landscape |</v>
      </c>
      <c r="Q14" s="5" t="str">
        <f t="shared" si="3"/>
        <v>| L | Landscape | Paisajismo |</v>
      </c>
      <c r="R14" s="5" t="str">
        <f t="shared" si="5"/>
        <v>| L | Landscape | Paisajismo |  |</v>
      </c>
      <c r="S14" s="5" t="str">
        <f t="shared" si="6"/>
        <v>| L | Landscape | Paisajismo |  | |</v>
      </c>
      <c r="T14" s="5" t="str">
        <f t="shared" si="1"/>
        <v>| L | Landscape | Paisajismo |  | | |</v>
      </c>
      <c r="U14" s="5"/>
      <c r="V14" s="5" t="str">
        <f t="shared" si="0"/>
        <v>| L | Landscape | Paisajismo |  | | | | | | | | | |</v>
      </c>
    </row>
    <row r="15" spans="2:22" x14ac:dyDescent="0.55000000000000004">
      <c r="B15" s="5" t="s">
        <v>71</v>
      </c>
      <c r="C15" s="5" t="s">
        <v>72</v>
      </c>
      <c r="D15" s="5" t="s">
        <v>73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M | Mechanical | Mecánica |</v>
      </c>
      <c r="R15" s="5"/>
      <c r="S15" s="5"/>
      <c r="T15" s="5"/>
      <c r="U15" s="5"/>
      <c r="V15" s="5"/>
    </row>
    <row r="16" spans="2:22" x14ac:dyDescent="0.55000000000000004">
      <c r="B16" s="5" t="s">
        <v>74</v>
      </c>
      <c r="C16" s="5" t="s">
        <v>75</v>
      </c>
      <c r="D16" s="5" t="s">
        <v>76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O | Operations | Operaciones |</v>
      </c>
      <c r="R16" s="5"/>
      <c r="S16" s="5"/>
      <c r="T16" s="5"/>
      <c r="U16" s="5"/>
      <c r="V16" s="5"/>
    </row>
    <row r="17" spans="2:22" x14ac:dyDescent="0.55000000000000004">
      <c r="B17" s="5" t="s">
        <v>77</v>
      </c>
      <c r="C17" s="5" t="s">
        <v>78</v>
      </c>
      <c r="D17" s="5" t="s">
        <v>79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P | Plumbing | Fontanería |</v>
      </c>
      <c r="R17" s="5"/>
      <c r="S17" s="5"/>
      <c r="T17" s="5"/>
      <c r="U17" s="5"/>
      <c r="V17" s="5"/>
    </row>
    <row r="18" spans="2:22" x14ac:dyDescent="0.55000000000000004">
      <c r="B18" s="5" t="s">
        <v>80</v>
      </c>
      <c r="C18" s="5" t="s">
        <v>81</v>
      </c>
      <c r="D18" s="5" t="s">
        <v>82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Q | Equipment | Equipos |</v>
      </c>
      <c r="R18" s="5"/>
      <c r="S18" s="5"/>
      <c r="T18" s="5"/>
      <c r="U18" s="5"/>
      <c r="V18" s="5"/>
    </row>
    <row r="19" spans="2:22" x14ac:dyDescent="0.55000000000000004">
      <c r="B19" s="5" t="s">
        <v>83</v>
      </c>
      <c r="C19" s="5" t="s">
        <v>84</v>
      </c>
      <c r="D19" s="5" t="s">
        <v>85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R | Resource | Recursos |</v>
      </c>
      <c r="R19" s="5"/>
      <c r="S19" s="5"/>
      <c r="T19" s="5"/>
      <c r="U19" s="5"/>
      <c r="V19" s="5"/>
    </row>
    <row r="20" spans="2:22" x14ac:dyDescent="0.55000000000000004">
      <c r="B20" s="5" t="s">
        <v>86</v>
      </c>
      <c r="C20" s="5" t="s">
        <v>87</v>
      </c>
      <c r="D20" s="5" t="s">
        <v>88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S | Structural | Estructura |</v>
      </c>
      <c r="R20" s="5"/>
      <c r="S20" s="5"/>
      <c r="T20" s="5"/>
      <c r="U20" s="5"/>
      <c r="V20" s="5"/>
    </row>
    <row r="21" spans="2:22" x14ac:dyDescent="0.55000000000000004">
      <c r="B21" s="5" t="s">
        <v>89</v>
      </c>
      <c r="C21" s="5" t="s">
        <v>90</v>
      </c>
      <c r="D21" s="5" t="s">
        <v>91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T | Telecommunications | Telecomunicaciones |</v>
      </c>
      <c r="R21" s="5"/>
      <c r="S21" s="5"/>
      <c r="T21" s="5"/>
      <c r="U21" s="5"/>
      <c r="V21" s="5"/>
    </row>
    <row r="22" spans="2:22" x14ac:dyDescent="0.55000000000000004">
      <c r="B22" s="5" t="s">
        <v>92</v>
      </c>
      <c r="C22" s="5" t="s">
        <v>93</v>
      </c>
      <c r="D22" s="5" t="s">
        <v>94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V | Survey / Mapping | Topografía / Cartografía |</v>
      </c>
      <c r="R22" s="5"/>
      <c r="S22" s="5"/>
      <c r="T22" s="5"/>
      <c r="U22" s="5"/>
      <c r="V22" s="5"/>
    </row>
    <row r="23" spans="2:22" x14ac:dyDescent="0.55000000000000004">
      <c r="B23" s="5" t="s">
        <v>95</v>
      </c>
      <c r="C23" s="5" t="s">
        <v>96</v>
      </c>
      <c r="D23" s="5" t="s">
        <v>97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W | Distributed Energy | Energía distribuida |</v>
      </c>
      <c r="R23" s="5"/>
      <c r="S23" s="5"/>
      <c r="T23" s="5"/>
      <c r="U23" s="5"/>
      <c r="V23" s="5"/>
    </row>
    <row r="24" spans="2:22" x14ac:dyDescent="0.55000000000000004">
      <c r="B24" s="5" t="s">
        <v>98</v>
      </c>
      <c r="C24" s="5" t="s">
        <v>99</v>
      </c>
      <c r="D24" s="5" t="s">
        <v>100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X | Other Disciplines | Otras disciplinas |</v>
      </c>
      <c r="R24" s="5"/>
      <c r="S24" s="5"/>
      <c r="T24" s="5"/>
      <c r="U24" s="5"/>
      <c r="V24" s="5"/>
    </row>
    <row r="25" spans="2:22" x14ac:dyDescent="0.55000000000000004">
      <c r="B25" s="5" t="s">
        <v>101</v>
      </c>
      <c r="C25" s="5" t="s">
        <v>102</v>
      </c>
      <c r="D25" s="5" t="s">
        <v>103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Z | Contractor / Shop Drawings | Contratista / Planos de taller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5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59B0-A9F3-4AC9-9B5A-B5DFBED78A41}">
  <dimension ref="B1:V103"/>
  <sheetViews>
    <sheetView showGridLines="0" tabSelected="1" zoomScaleNormal="100" workbookViewId="0">
      <pane ySplit="4" topLeftCell="A5" activePane="bottomLeft" state="frozen"/>
      <selection pane="bottomLeft" activeCell="C13" sqref="C13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44</v>
      </c>
      <c r="C3" s="4" t="s">
        <v>45</v>
      </c>
      <c r="D3" s="4" t="s">
        <v>46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Prefijo | Disciplina (en) |</v>
      </c>
      <c r="Q3" s="5" t="str">
        <f>_xlfn.CONCAT("| ",B3," | ",C3," | ",D3," |")</f>
        <v>| Prefijo | Disciplina (en) | Disciplina (es) |</v>
      </c>
      <c r="R3" s="5" t="str">
        <f>_xlfn.CONCAT("| ",B3," | ",C3," | ",D3," | ",E3," |")</f>
        <v>| Prefijo | Disciplina (en) | Disciplina (es) | A |</v>
      </c>
      <c r="S3" s="5" t="str">
        <f>_xlfn.CONCAT("| ",B3," | ",C3," | ",D3," | ",E3," |",F3," |")</f>
        <v>| Prefijo | Disciplina (en) | Disciplina (es) | A |B |</v>
      </c>
      <c r="T3" s="5" t="str">
        <f>_xlfn.CONCAT("| ",B3," | ",C3," | ",D3," | ",E3," |",F3," |",G3," |")</f>
        <v>| Prefijo | Disciplina (en) | Disciplina (es) | A |B |C |</v>
      </c>
      <c r="U3" s="5" t="str">
        <f>_xlfn.CONCAT("| ",B3," | ",C3," | ",D3," | ",E3," | ",F3," | ",G3," | ",H3," |")</f>
        <v>| Prefijo | Disciplina (en) | Disciplina (es) | A | B | C | D |</v>
      </c>
      <c r="V3" s="5" t="str">
        <f t="shared" ref="V3:V14" si="0">_xlfn.CONCAT("| ",B3," | ",C3," | ",D3," | ",E3," |",F3," |",G3," |",H3," |",I3," |",J3," |",K3," |",L3," |",M3," |",N3," |")</f>
        <v>| Prefijo | Disciplina (en) | Disciplina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x14ac:dyDescent="0.55000000000000004">
      <c r="B6" s="5" t="s">
        <v>12</v>
      </c>
      <c r="C6" s="5" t="s">
        <v>49</v>
      </c>
      <c r="D6" s="5" t="s">
        <v>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B | Geotechnical |</v>
      </c>
      <c r="Q6" s="5" t="str">
        <f t="shared" si="3"/>
        <v>| B | Geotechnical | Geotecnia |</v>
      </c>
      <c r="R6" s="5" t="str">
        <f t="shared" ref="R6:R69" si="5">_xlfn.CONCAT("| ",B6," | ",C6," | ",D6," | ",E6," |")</f>
        <v>| B | Geotechnical | Geotecnia | ✓ |</v>
      </c>
      <c r="S6" s="5" t="str">
        <f t="shared" ref="S6:S69" si="6">_xlfn.CONCAT("| ",B6," | ",C6," | ",D6," | ",E6," |",F6," |")</f>
        <v>| B | Geotechnical | Geotecnia | ✓ |✕ |</v>
      </c>
      <c r="T6" s="5" t="str">
        <f t="shared" si="1"/>
        <v>| B | Geotechnical | Geotecnia | ✓ |✕ | |</v>
      </c>
      <c r="U6" s="5" t="str">
        <f t="shared" si="2"/>
        <v>| B | Geotechnical | Geotecnia | ✓ | ✕ |  |  |</v>
      </c>
      <c r="V6" s="5" t="str">
        <f t="shared" si="0"/>
        <v>| B | Geotechnical | Geotecnia | ✓ |✕ | | | | | | | | |</v>
      </c>
    </row>
    <row r="7" spans="2:22" x14ac:dyDescent="0.55000000000000004">
      <c r="B7" s="5" t="s">
        <v>13</v>
      </c>
      <c r="C7" s="5" t="s">
        <v>51</v>
      </c>
      <c r="D7" s="5" t="s">
        <v>51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 | Civil |</v>
      </c>
      <c r="Q7" s="5" t="str">
        <f t="shared" si="3"/>
        <v>| C | Civil | Civil |</v>
      </c>
      <c r="R7" s="5" t="str">
        <f t="shared" si="5"/>
        <v>| C | Civil | Civil | ✓ |</v>
      </c>
      <c r="S7" s="5" t="str">
        <f t="shared" si="6"/>
        <v>| C | Civil | Civil | ✓ |✓ |</v>
      </c>
      <c r="T7" s="5" t="str">
        <f t="shared" si="1"/>
        <v>| C | Civil | Civil | ✓ |✓ | |</v>
      </c>
      <c r="U7" s="5" t="str">
        <f t="shared" si="2"/>
        <v>| C | Civil | Civil | ✓ | ✓ |  |  |</v>
      </c>
      <c r="V7" s="5" t="str">
        <f t="shared" si="0"/>
        <v>| C | Civil | Civil | ✓ |✓ | | | | | | | | |</v>
      </c>
    </row>
    <row r="8" spans="2:22" x14ac:dyDescent="0.55000000000000004">
      <c r="B8" s="5" t="s">
        <v>14</v>
      </c>
      <c r="C8" s="5" t="s">
        <v>52</v>
      </c>
      <c r="D8" s="5" t="s">
        <v>53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D | Process |</v>
      </c>
      <c r="Q8" s="5" t="str">
        <f t="shared" si="3"/>
        <v>| D | Process | Procesos |</v>
      </c>
      <c r="R8" s="5" t="str">
        <f t="shared" si="5"/>
        <v>| D | Process | Procesos | ✓ |</v>
      </c>
      <c r="S8" s="5" t="str">
        <f t="shared" si="6"/>
        <v>| D | Process | Procesos | ✓ |✕ |</v>
      </c>
      <c r="T8" s="5" t="str">
        <f t="shared" si="1"/>
        <v>| D | Process | Procesos | ✓ |✕ | |</v>
      </c>
      <c r="U8" s="5" t="str">
        <f t="shared" si="2"/>
        <v>| D | Process | Procesos | ✓ | ✕ |  |  |</v>
      </c>
      <c r="V8" s="5" t="str">
        <f t="shared" si="0"/>
        <v>| D | Process | Procesos | ✓ |✕ | | | | | | | | |</v>
      </c>
    </row>
    <row r="9" spans="2:22" x14ac:dyDescent="0.55000000000000004">
      <c r="B9" s="5" t="s">
        <v>54</v>
      </c>
      <c r="C9" s="5" t="s">
        <v>55</v>
      </c>
      <c r="D9" s="5" t="s">
        <v>56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E | Electrical |</v>
      </c>
      <c r="Q9" s="5" t="str">
        <f t="shared" si="3"/>
        <v>| E | Electrical | Electricidad |</v>
      </c>
      <c r="R9" s="5" t="str">
        <f t="shared" si="5"/>
        <v>| E | Electrical | Electricidad | ✓ |</v>
      </c>
      <c r="S9" s="5" t="str">
        <f t="shared" si="6"/>
        <v>| E | Electrical | Electricidad | ✓ |✕ |</v>
      </c>
      <c r="T9" s="5" t="str">
        <f t="shared" si="1"/>
        <v>| E | Electrical | Electricidad | ✓ |✕ | |</v>
      </c>
      <c r="U9" s="5" t="str">
        <f t="shared" si="2"/>
        <v>| E | Electrical | Electricidad | ✓ | ✕ |  |  |</v>
      </c>
      <c r="V9" s="5" t="str">
        <f t="shared" si="0"/>
        <v>| E | Electrical | Electricidad | ✓ |✕ | | | | | | | | |</v>
      </c>
    </row>
    <row r="10" spans="2:22" x14ac:dyDescent="0.55000000000000004">
      <c r="B10" s="5" t="s">
        <v>57</v>
      </c>
      <c r="C10" s="5" t="s">
        <v>58</v>
      </c>
      <c r="D10" s="5" t="s">
        <v>59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F | Fire Protection |</v>
      </c>
      <c r="Q10" s="5" t="str">
        <f t="shared" si="3"/>
        <v>| F | Fire Protection | Protección contra incendios |</v>
      </c>
      <c r="R10" s="5" t="str">
        <f t="shared" si="5"/>
        <v>| F | Fire Protection | Protección contra incendios | ✓ |</v>
      </c>
      <c r="S10" s="5" t="str">
        <f t="shared" si="6"/>
        <v>| F | Fire Protection | Protección contra incendios | ✓ |✕ |</v>
      </c>
      <c r="T10" s="5" t="str">
        <f t="shared" si="1"/>
        <v>| F | Fire Protection | Protección contra incendios | ✓ |✕ | |</v>
      </c>
      <c r="U10" s="5" t="str">
        <f t="shared" si="2"/>
        <v>| F | Fire Protection | Protección contra incendios | ✓ | ✕ |  |  |</v>
      </c>
      <c r="V10" s="5" t="str">
        <f t="shared" si="0"/>
        <v>| F | Fire Protection | Protección contra incendios | ✓ |✕ | | | | | | | | |</v>
      </c>
    </row>
    <row r="11" spans="2:22" x14ac:dyDescent="0.55000000000000004">
      <c r="B11" s="5" t="s">
        <v>60</v>
      </c>
      <c r="C11" s="5" t="s">
        <v>61</v>
      </c>
      <c r="D11" s="5" t="s">
        <v>61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G | General |</v>
      </c>
      <c r="Q11" s="5" t="str">
        <f t="shared" si="3"/>
        <v>| G | General | General |</v>
      </c>
      <c r="R11" s="5" t="str">
        <f t="shared" si="5"/>
        <v>| G | General | General | ✓ |</v>
      </c>
      <c r="S11" s="5" t="str">
        <f t="shared" si="6"/>
        <v>| G | General | General | ✓ |✓ |</v>
      </c>
      <c r="T11" s="5" t="str">
        <f t="shared" si="1"/>
        <v>| G | General | General | ✓ |✓ | |</v>
      </c>
      <c r="U11" s="5" t="str">
        <f t="shared" si="2"/>
        <v>| G | General | General | ✓ | ✓ |  |  |</v>
      </c>
      <c r="V11" s="5" t="str">
        <f t="shared" si="0"/>
        <v>| G | General | General | ✓ |✓ | | | | | | | | |</v>
      </c>
    </row>
    <row r="12" spans="2:22" x14ac:dyDescent="0.55000000000000004">
      <c r="B12" s="5" t="s">
        <v>62</v>
      </c>
      <c r="C12" s="5" t="s">
        <v>63</v>
      </c>
      <c r="D12" s="5" t="s">
        <v>64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H | Hazardous Materials |</v>
      </c>
      <c r="Q12" s="5" t="str">
        <f t="shared" si="3"/>
        <v>| H | Hazardous Materials | Materiales peligrosos |</v>
      </c>
      <c r="R12" s="5" t="str">
        <f t="shared" si="5"/>
        <v>| H | Hazardous Materials | Materiales peligrosos |  |</v>
      </c>
      <c r="S12" s="5" t="str">
        <f t="shared" si="6"/>
        <v>| H | Hazardous Materials | Materiales peligrosos |  | |</v>
      </c>
      <c r="T12" s="5" t="str">
        <f t="shared" si="1"/>
        <v>| H | Hazardous Materials | Materiales peligrosos |  | | |</v>
      </c>
      <c r="U12" s="5"/>
      <c r="V12" s="5" t="str">
        <f t="shared" si="0"/>
        <v>| H | Hazardous Materials | Materiales peligrosos |  | | | | | | | | | |</v>
      </c>
    </row>
    <row r="13" spans="2:22" x14ac:dyDescent="0.55000000000000004">
      <c r="B13" s="5" t="s">
        <v>65</v>
      </c>
      <c r="C13" s="5" t="s">
        <v>66</v>
      </c>
      <c r="D13" s="5" t="s">
        <v>67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I | Interiors |</v>
      </c>
      <c r="Q13" s="5" t="str">
        <f t="shared" si="3"/>
        <v>| I | Interiors | Interiores |</v>
      </c>
      <c r="R13" s="5" t="str">
        <f t="shared" si="5"/>
        <v>| I | Interiors | Interiores |  |</v>
      </c>
      <c r="S13" s="5" t="str">
        <f t="shared" si="6"/>
        <v>| I | Interiors | Interiores |  | |</v>
      </c>
      <c r="T13" s="5" t="str">
        <f t="shared" si="1"/>
        <v>| I | Interiors | Interiores |  | | |</v>
      </c>
      <c r="U13" s="5"/>
      <c r="V13" s="5" t="str">
        <f t="shared" si="0"/>
        <v>| I | Interiors | Interiores |  | | | | | | | | | |</v>
      </c>
    </row>
    <row r="14" spans="2:22" x14ac:dyDescent="0.55000000000000004">
      <c r="B14" s="5" t="s">
        <v>68</v>
      </c>
      <c r="C14" s="5" t="s">
        <v>69</v>
      </c>
      <c r="D14" s="5" t="s">
        <v>70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L | Landscape |</v>
      </c>
      <c r="Q14" s="5" t="str">
        <f t="shared" si="3"/>
        <v>| L | Landscape | Paisajismo |</v>
      </c>
      <c r="R14" s="5" t="str">
        <f t="shared" si="5"/>
        <v>| L | Landscape | Paisajismo |  |</v>
      </c>
      <c r="S14" s="5" t="str">
        <f t="shared" si="6"/>
        <v>| L | Landscape | Paisajismo |  | |</v>
      </c>
      <c r="T14" s="5" t="str">
        <f t="shared" si="1"/>
        <v>| L | Landscape | Paisajismo |  | | |</v>
      </c>
      <c r="U14" s="5"/>
      <c r="V14" s="5" t="str">
        <f t="shared" si="0"/>
        <v>| L | Landscape | Paisajismo |  | | | | | | | | | |</v>
      </c>
    </row>
    <row r="15" spans="2:22" x14ac:dyDescent="0.55000000000000004">
      <c r="B15" s="5" t="s">
        <v>71</v>
      </c>
      <c r="C15" s="5" t="s">
        <v>72</v>
      </c>
      <c r="D15" s="5" t="s">
        <v>73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M | Mechanical | Mecánica |</v>
      </c>
      <c r="R15" s="5"/>
      <c r="S15" s="5"/>
      <c r="T15" s="5"/>
      <c r="U15" s="5"/>
      <c r="V15" s="5"/>
    </row>
    <row r="16" spans="2:22" x14ac:dyDescent="0.55000000000000004">
      <c r="B16" s="5" t="s">
        <v>74</v>
      </c>
      <c r="C16" s="5" t="s">
        <v>75</v>
      </c>
      <c r="D16" s="5" t="s">
        <v>76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O | Operations | Operaciones |</v>
      </c>
      <c r="R16" s="5"/>
      <c r="S16" s="5"/>
      <c r="T16" s="5"/>
      <c r="U16" s="5"/>
      <c r="V16" s="5"/>
    </row>
    <row r="17" spans="2:22" x14ac:dyDescent="0.55000000000000004">
      <c r="B17" s="5" t="s">
        <v>77</v>
      </c>
      <c r="C17" s="5" t="s">
        <v>78</v>
      </c>
      <c r="D17" s="5" t="s">
        <v>79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P | Plumbing | Fontanería |</v>
      </c>
      <c r="R17" s="5"/>
      <c r="S17" s="5"/>
      <c r="T17" s="5"/>
      <c r="U17" s="5"/>
      <c r="V17" s="5"/>
    </row>
    <row r="18" spans="2:22" x14ac:dyDescent="0.55000000000000004">
      <c r="B18" s="5" t="s">
        <v>80</v>
      </c>
      <c r="C18" s="5" t="s">
        <v>81</v>
      </c>
      <c r="D18" s="5" t="s">
        <v>82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Q | Equipment | Equipos |</v>
      </c>
      <c r="R18" s="5"/>
      <c r="S18" s="5"/>
      <c r="T18" s="5"/>
      <c r="U18" s="5"/>
      <c r="V18" s="5"/>
    </row>
    <row r="19" spans="2:22" x14ac:dyDescent="0.55000000000000004">
      <c r="B19" s="5" t="s">
        <v>83</v>
      </c>
      <c r="C19" s="5" t="s">
        <v>84</v>
      </c>
      <c r="D19" s="5" t="s">
        <v>85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R | Resource | Recursos |</v>
      </c>
      <c r="R19" s="5"/>
      <c r="S19" s="5"/>
      <c r="T19" s="5"/>
      <c r="U19" s="5"/>
      <c r="V19" s="5"/>
    </row>
    <row r="20" spans="2:22" x14ac:dyDescent="0.55000000000000004">
      <c r="B20" s="5" t="s">
        <v>86</v>
      </c>
      <c r="C20" s="5" t="s">
        <v>87</v>
      </c>
      <c r="D20" s="5" t="s">
        <v>88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S | Structural | Estructura |</v>
      </c>
      <c r="R20" s="5"/>
      <c r="S20" s="5"/>
      <c r="T20" s="5"/>
      <c r="U20" s="5"/>
      <c r="V20" s="5"/>
    </row>
    <row r="21" spans="2:22" x14ac:dyDescent="0.55000000000000004">
      <c r="B21" s="5" t="s">
        <v>89</v>
      </c>
      <c r="C21" s="5" t="s">
        <v>90</v>
      </c>
      <c r="D21" s="5" t="s">
        <v>91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T | Telecommunications | Telecomunicaciones |</v>
      </c>
      <c r="R21" s="5"/>
      <c r="S21" s="5"/>
      <c r="T21" s="5"/>
      <c r="U21" s="5"/>
      <c r="V21" s="5"/>
    </row>
    <row r="22" spans="2:22" x14ac:dyDescent="0.55000000000000004">
      <c r="B22" s="5" t="s">
        <v>92</v>
      </c>
      <c r="C22" s="5" t="s">
        <v>93</v>
      </c>
      <c r="D22" s="5" t="s">
        <v>94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V | Survey / Mapping | Topografía / Cartografía |</v>
      </c>
      <c r="R22" s="5"/>
      <c r="S22" s="5"/>
      <c r="T22" s="5"/>
      <c r="U22" s="5"/>
      <c r="V22" s="5"/>
    </row>
    <row r="23" spans="2:22" x14ac:dyDescent="0.55000000000000004">
      <c r="B23" s="5" t="s">
        <v>95</v>
      </c>
      <c r="C23" s="5" t="s">
        <v>96</v>
      </c>
      <c r="D23" s="5" t="s">
        <v>97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W | Distributed Energy | Energía distribuida |</v>
      </c>
      <c r="R23" s="5"/>
      <c r="S23" s="5"/>
      <c r="T23" s="5"/>
      <c r="U23" s="5"/>
      <c r="V23" s="5"/>
    </row>
    <row r="24" spans="2:22" x14ac:dyDescent="0.55000000000000004">
      <c r="B24" s="5" t="s">
        <v>98</v>
      </c>
      <c r="C24" s="5" t="s">
        <v>99</v>
      </c>
      <c r="D24" s="5" t="s">
        <v>100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X | Other Disciplines | Otras disciplinas |</v>
      </c>
      <c r="R24" s="5"/>
      <c r="S24" s="5"/>
      <c r="T24" s="5"/>
      <c r="U24" s="5"/>
      <c r="V24" s="5"/>
    </row>
    <row r="25" spans="2:22" x14ac:dyDescent="0.55000000000000004">
      <c r="B25" s="5" t="s">
        <v>101</v>
      </c>
      <c r="C25" s="5" t="s">
        <v>102</v>
      </c>
      <c r="D25" s="5" t="s">
        <v>103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Z | Contractor / Shop Drawings | Contratista / Planos de taller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5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Sample</vt:lpstr>
      <vt:lpstr>LayerL1</vt:lpstr>
      <vt:lpstr>LayerL2</vt:lpstr>
      <vt:lpstr>LayerL1!_Toc107986980</vt:lpstr>
      <vt:lpstr>LayerL2!_Toc107986980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2025-06-23T20:50:28Z</dcterms:modified>
</cp:coreProperties>
</file>