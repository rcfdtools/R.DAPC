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SSD2TB\R.DAPC\file\temp\"/>
    </mc:Choice>
  </mc:AlternateContent>
  <xr:revisionPtr revIDLastSave="0" documentId="13_ncr:1_{B9846886-9F23-4908-903C-71AF614000DB}" xr6:coauthVersionLast="47" xr6:coauthVersionMax="47" xr10:uidLastSave="{00000000-0000-0000-0000-000000000000}"/>
  <bookViews>
    <workbookView xWindow="-98" yWindow="-98" windowWidth="19396" windowHeight="11475" activeTab="3" xr2:uid="{D94F812B-BC61-4A22-9692-634766FE0D40}"/>
  </bookViews>
  <sheets>
    <sheet name="Sample" sheetId="1" r:id="rId1"/>
    <sheet name="LayerL1" sheetId="6" r:id="rId2"/>
    <sheet name="LayerL2" sheetId="7" r:id="rId3"/>
    <sheet name="Group" sheetId="9" r:id="rId4"/>
    <sheet name="Estado" sheetId="8" r:id="rId5"/>
  </sheets>
  <definedNames>
    <definedName name="_Toc107986980" localSheetId="4">Estado!$B$9</definedName>
    <definedName name="_Toc107986980" localSheetId="3">Group!$B$9</definedName>
    <definedName name="_Toc107986980" localSheetId="1">LayerL1!$B$9</definedName>
    <definedName name="_Toc107986980" localSheetId="2">LayerL2!$B$9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85" i="9" l="1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V103" i="9"/>
  <c r="T103" i="9"/>
  <c r="S103" i="9"/>
  <c r="R103" i="9"/>
  <c r="P103" i="9"/>
  <c r="V102" i="9"/>
  <c r="T102" i="9"/>
  <c r="S102" i="9"/>
  <c r="R102" i="9"/>
  <c r="P102" i="9"/>
  <c r="V101" i="9"/>
  <c r="T101" i="9"/>
  <c r="S101" i="9"/>
  <c r="R101" i="9"/>
  <c r="P101" i="9"/>
  <c r="V100" i="9"/>
  <c r="T100" i="9"/>
  <c r="S100" i="9"/>
  <c r="R100" i="9"/>
  <c r="P100" i="9"/>
  <c r="V99" i="9"/>
  <c r="T99" i="9"/>
  <c r="S99" i="9"/>
  <c r="R99" i="9"/>
  <c r="P99" i="9"/>
  <c r="V98" i="9"/>
  <c r="T98" i="9"/>
  <c r="S98" i="9"/>
  <c r="R98" i="9"/>
  <c r="P98" i="9"/>
  <c r="V97" i="9"/>
  <c r="T97" i="9"/>
  <c r="S97" i="9"/>
  <c r="R97" i="9"/>
  <c r="P97" i="9"/>
  <c r="V96" i="9"/>
  <c r="T96" i="9"/>
  <c r="S96" i="9"/>
  <c r="R96" i="9"/>
  <c r="P96" i="9"/>
  <c r="V95" i="9"/>
  <c r="T95" i="9"/>
  <c r="S95" i="9"/>
  <c r="R95" i="9"/>
  <c r="P95" i="9"/>
  <c r="V94" i="9"/>
  <c r="T94" i="9"/>
  <c r="S94" i="9"/>
  <c r="R94" i="9"/>
  <c r="P94" i="9"/>
  <c r="V93" i="9"/>
  <c r="T93" i="9"/>
  <c r="S93" i="9"/>
  <c r="R93" i="9"/>
  <c r="P93" i="9"/>
  <c r="V92" i="9"/>
  <c r="T92" i="9"/>
  <c r="S92" i="9"/>
  <c r="R92" i="9"/>
  <c r="P92" i="9"/>
  <c r="V91" i="9"/>
  <c r="T91" i="9"/>
  <c r="S91" i="9"/>
  <c r="R91" i="9"/>
  <c r="P91" i="9"/>
  <c r="V90" i="9"/>
  <c r="T90" i="9"/>
  <c r="S90" i="9"/>
  <c r="R90" i="9"/>
  <c r="P90" i="9"/>
  <c r="V89" i="9"/>
  <c r="T89" i="9"/>
  <c r="S89" i="9"/>
  <c r="R89" i="9"/>
  <c r="P89" i="9"/>
  <c r="V88" i="9"/>
  <c r="T88" i="9"/>
  <c r="S88" i="9"/>
  <c r="R88" i="9"/>
  <c r="P88" i="9"/>
  <c r="V87" i="9"/>
  <c r="T87" i="9"/>
  <c r="S87" i="9"/>
  <c r="R87" i="9"/>
  <c r="P87" i="9"/>
  <c r="V86" i="9"/>
  <c r="T86" i="9"/>
  <c r="S86" i="9"/>
  <c r="R86" i="9"/>
  <c r="P86" i="9"/>
  <c r="V85" i="9"/>
  <c r="T85" i="9"/>
  <c r="S85" i="9"/>
  <c r="R85" i="9"/>
  <c r="P85" i="9"/>
  <c r="V84" i="9"/>
  <c r="T84" i="9"/>
  <c r="S84" i="9"/>
  <c r="R84" i="9"/>
  <c r="P84" i="9"/>
  <c r="V83" i="9"/>
  <c r="T83" i="9"/>
  <c r="S83" i="9"/>
  <c r="R83" i="9"/>
  <c r="P83" i="9"/>
  <c r="V82" i="9"/>
  <c r="T82" i="9"/>
  <c r="S82" i="9"/>
  <c r="R82" i="9"/>
  <c r="P82" i="9"/>
  <c r="V81" i="9"/>
  <c r="T81" i="9"/>
  <c r="S81" i="9"/>
  <c r="R81" i="9"/>
  <c r="P81" i="9"/>
  <c r="V80" i="9"/>
  <c r="T80" i="9"/>
  <c r="S80" i="9"/>
  <c r="R80" i="9"/>
  <c r="P80" i="9"/>
  <c r="V79" i="9"/>
  <c r="T79" i="9"/>
  <c r="S79" i="9"/>
  <c r="R79" i="9"/>
  <c r="P79" i="9"/>
  <c r="V78" i="9"/>
  <c r="T78" i="9"/>
  <c r="S78" i="9"/>
  <c r="R78" i="9"/>
  <c r="P78" i="9"/>
  <c r="V77" i="9"/>
  <c r="T77" i="9"/>
  <c r="S77" i="9"/>
  <c r="R77" i="9"/>
  <c r="P77" i="9"/>
  <c r="V76" i="9"/>
  <c r="T76" i="9"/>
  <c r="S76" i="9"/>
  <c r="R76" i="9"/>
  <c r="P76" i="9"/>
  <c r="V75" i="9"/>
  <c r="T75" i="9"/>
  <c r="S75" i="9"/>
  <c r="R75" i="9"/>
  <c r="P75" i="9"/>
  <c r="V74" i="9"/>
  <c r="T74" i="9"/>
  <c r="S74" i="9"/>
  <c r="R74" i="9"/>
  <c r="P74" i="9"/>
  <c r="V73" i="9"/>
  <c r="T73" i="9"/>
  <c r="S73" i="9"/>
  <c r="R73" i="9"/>
  <c r="P73" i="9"/>
  <c r="V72" i="9"/>
  <c r="T72" i="9"/>
  <c r="S72" i="9"/>
  <c r="R72" i="9"/>
  <c r="P72" i="9"/>
  <c r="V71" i="9"/>
  <c r="T71" i="9"/>
  <c r="S71" i="9"/>
  <c r="R71" i="9"/>
  <c r="P71" i="9"/>
  <c r="V70" i="9"/>
  <c r="T70" i="9"/>
  <c r="S70" i="9"/>
  <c r="R70" i="9"/>
  <c r="P70" i="9"/>
  <c r="V69" i="9"/>
  <c r="T69" i="9"/>
  <c r="S69" i="9"/>
  <c r="R69" i="9"/>
  <c r="P69" i="9"/>
  <c r="V68" i="9"/>
  <c r="T68" i="9"/>
  <c r="S68" i="9"/>
  <c r="R68" i="9"/>
  <c r="P68" i="9"/>
  <c r="V67" i="9"/>
  <c r="T67" i="9"/>
  <c r="S67" i="9"/>
  <c r="R67" i="9"/>
  <c r="P67" i="9"/>
  <c r="V66" i="9"/>
  <c r="T66" i="9"/>
  <c r="S66" i="9"/>
  <c r="R66" i="9"/>
  <c r="P66" i="9"/>
  <c r="V65" i="9"/>
  <c r="T65" i="9"/>
  <c r="S65" i="9"/>
  <c r="R65" i="9"/>
  <c r="P65" i="9"/>
  <c r="V64" i="9"/>
  <c r="T64" i="9"/>
  <c r="S64" i="9"/>
  <c r="R64" i="9"/>
  <c r="P64" i="9"/>
  <c r="V63" i="9"/>
  <c r="T63" i="9"/>
  <c r="S63" i="9"/>
  <c r="R63" i="9"/>
  <c r="P63" i="9"/>
  <c r="V62" i="9"/>
  <c r="T62" i="9"/>
  <c r="S62" i="9"/>
  <c r="R62" i="9"/>
  <c r="P62" i="9"/>
  <c r="V61" i="9"/>
  <c r="T61" i="9"/>
  <c r="S61" i="9"/>
  <c r="R61" i="9"/>
  <c r="P61" i="9"/>
  <c r="V60" i="9"/>
  <c r="T60" i="9"/>
  <c r="S60" i="9"/>
  <c r="R60" i="9"/>
  <c r="P60" i="9"/>
  <c r="V59" i="9"/>
  <c r="T59" i="9"/>
  <c r="S59" i="9"/>
  <c r="R59" i="9"/>
  <c r="P59" i="9"/>
  <c r="V58" i="9"/>
  <c r="T58" i="9"/>
  <c r="S58" i="9"/>
  <c r="R58" i="9"/>
  <c r="P58" i="9"/>
  <c r="V57" i="9"/>
  <c r="T57" i="9"/>
  <c r="S57" i="9"/>
  <c r="R57" i="9"/>
  <c r="P57" i="9"/>
  <c r="V56" i="9"/>
  <c r="T56" i="9"/>
  <c r="S56" i="9"/>
  <c r="R56" i="9"/>
  <c r="P56" i="9"/>
  <c r="V55" i="9"/>
  <c r="T55" i="9"/>
  <c r="S55" i="9"/>
  <c r="R55" i="9"/>
  <c r="P55" i="9"/>
  <c r="V54" i="9"/>
  <c r="T54" i="9"/>
  <c r="S54" i="9"/>
  <c r="R54" i="9"/>
  <c r="P54" i="9"/>
  <c r="V53" i="9"/>
  <c r="T53" i="9"/>
  <c r="S53" i="9"/>
  <c r="R53" i="9"/>
  <c r="P53" i="9"/>
  <c r="V52" i="9"/>
  <c r="T52" i="9"/>
  <c r="S52" i="9"/>
  <c r="R52" i="9"/>
  <c r="P52" i="9"/>
  <c r="V51" i="9"/>
  <c r="T51" i="9"/>
  <c r="S51" i="9"/>
  <c r="R51" i="9"/>
  <c r="P51" i="9"/>
  <c r="V50" i="9"/>
  <c r="T50" i="9"/>
  <c r="S50" i="9"/>
  <c r="R50" i="9"/>
  <c r="P50" i="9"/>
  <c r="V49" i="9"/>
  <c r="T49" i="9"/>
  <c r="S49" i="9"/>
  <c r="R49" i="9"/>
  <c r="P49" i="9"/>
  <c r="V48" i="9"/>
  <c r="T48" i="9"/>
  <c r="S48" i="9"/>
  <c r="R48" i="9"/>
  <c r="P48" i="9"/>
  <c r="V47" i="9"/>
  <c r="T47" i="9"/>
  <c r="S47" i="9"/>
  <c r="R47" i="9"/>
  <c r="P47" i="9"/>
  <c r="V46" i="9"/>
  <c r="T46" i="9"/>
  <c r="S46" i="9"/>
  <c r="R46" i="9"/>
  <c r="P46" i="9"/>
  <c r="V45" i="9"/>
  <c r="T45" i="9"/>
  <c r="S45" i="9"/>
  <c r="R45" i="9"/>
  <c r="P45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V14" i="9"/>
  <c r="T14" i="9"/>
  <c r="S14" i="9"/>
  <c r="R14" i="9"/>
  <c r="Q14" i="9"/>
  <c r="P14" i="9"/>
  <c r="V13" i="9"/>
  <c r="T13" i="9"/>
  <c r="S13" i="9"/>
  <c r="R13" i="9"/>
  <c r="Q13" i="9"/>
  <c r="P13" i="9"/>
  <c r="V12" i="9"/>
  <c r="T12" i="9"/>
  <c r="S12" i="9"/>
  <c r="R12" i="9"/>
  <c r="Q12" i="9"/>
  <c r="P12" i="9"/>
  <c r="V11" i="9"/>
  <c r="U11" i="9"/>
  <c r="T11" i="9"/>
  <c r="S11" i="9"/>
  <c r="R11" i="9"/>
  <c r="Q11" i="9"/>
  <c r="P11" i="9"/>
  <c r="V10" i="9"/>
  <c r="U10" i="9"/>
  <c r="T10" i="9"/>
  <c r="S10" i="9"/>
  <c r="R10" i="9"/>
  <c r="Q10" i="9"/>
  <c r="P10" i="9"/>
  <c r="V9" i="9"/>
  <c r="U9" i="9"/>
  <c r="T9" i="9"/>
  <c r="S9" i="9"/>
  <c r="R9" i="9"/>
  <c r="Q9" i="9"/>
  <c r="P9" i="9"/>
  <c r="V8" i="9"/>
  <c r="U8" i="9"/>
  <c r="T8" i="9"/>
  <c r="S8" i="9"/>
  <c r="R8" i="9"/>
  <c r="Q8" i="9"/>
  <c r="P8" i="9"/>
  <c r="V7" i="9"/>
  <c r="U7" i="9"/>
  <c r="T7" i="9"/>
  <c r="S7" i="9"/>
  <c r="R7" i="9"/>
  <c r="Q7" i="9"/>
  <c r="P7" i="9"/>
  <c r="V6" i="9"/>
  <c r="U6" i="9"/>
  <c r="T6" i="9"/>
  <c r="S6" i="9"/>
  <c r="R6" i="9"/>
  <c r="Q6" i="9"/>
  <c r="P6" i="9"/>
  <c r="V5" i="9"/>
  <c r="U5" i="9"/>
  <c r="T5" i="9"/>
  <c r="S5" i="9"/>
  <c r="R5" i="9"/>
  <c r="Q5" i="9"/>
  <c r="P5" i="9"/>
  <c r="V4" i="9"/>
  <c r="U4" i="9"/>
  <c r="T4" i="9"/>
  <c r="S4" i="9"/>
  <c r="R4" i="9"/>
  <c r="Q4" i="9"/>
  <c r="P4" i="9"/>
  <c r="V3" i="9"/>
  <c r="U3" i="9"/>
  <c r="T3" i="9"/>
  <c r="S3" i="9"/>
  <c r="R3" i="9"/>
  <c r="Q3" i="9"/>
  <c r="P3" i="9"/>
  <c r="V103" i="8"/>
  <c r="T103" i="8"/>
  <c r="S103" i="8"/>
  <c r="R103" i="8"/>
  <c r="Q103" i="8"/>
  <c r="P103" i="8"/>
  <c r="V102" i="8"/>
  <c r="T102" i="8"/>
  <c r="S102" i="8"/>
  <c r="R102" i="8"/>
  <c r="Q102" i="8"/>
  <c r="P102" i="8"/>
  <c r="V101" i="8"/>
  <c r="T101" i="8"/>
  <c r="S101" i="8"/>
  <c r="R101" i="8"/>
  <c r="Q101" i="8"/>
  <c r="P101" i="8"/>
  <c r="V100" i="8"/>
  <c r="T100" i="8"/>
  <c r="S100" i="8"/>
  <c r="R100" i="8"/>
  <c r="Q100" i="8"/>
  <c r="P100" i="8"/>
  <c r="V99" i="8"/>
  <c r="T99" i="8"/>
  <c r="S99" i="8"/>
  <c r="R99" i="8"/>
  <c r="Q99" i="8"/>
  <c r="P99" i="8"/>
  <c r="V98" i="8"/>
  <c r="T98" i="8"/>
  <c r="S98" i="8"/>
  <c r="R98" i="8"/>
  <c r="Q98" i="8"/>
  <c r="P98" i="8"/>
  <c r="V97" i="8"/>
  <c r="T97" i="8"/>
  <c r="S97" i="8"/>
  <c r="R97" i="8"/>
  <c r="Q97" i="8"/>
  <c r="P97" i="8"/>
  <c r="V96" i="8"/>
  <c r="T96" i="8"/>
  <c r="S96" i="8"/>
  <c r="R96" i="8"/>
  <c r="Q96" i="8"/>
  <c r="P96" i="8"/>
  <c r="V95" i="8"/>
  <c r="T95" i="8"/>
  <c r="S95" i="8"/>
  <c r="R95" i="8"/>
  <c r="Q95" i="8"/>
  <c r="P95" i="8"/>
  <c r="V94" i="8"/>
  <c r="T94" i="8"/>
  <c r="S94" i="8"/>
  <c r="R94" i="8"/>
  <c r="Q94" i="8"/>
  <c r="P94" i="8"/>
  <c r="V93" i="8"/>
  <c r="T93" i="8"/>
  <c r="S93" i="8"/>
  <c r="R93" i="8"/>
  <c r="Q93" i="8"/>
  <c r="P93" i="8"/>
  <c r="V92" i="8"/>
  <c r="T92" i="8"/>
  <c r="S92" i="8"/>
  <c r="R92" i="8"/>
  <c r="Q92" i="8"/>
  <c r="P92" i="8"/>
  <c r="V91" i="8"/>
  <c r="T91" i="8"/>
  <c r="S91" i="8"/>
  <c r="R91" i="8"/>
  <c r="Q91" i="8"/>
  <c r="P91" i="8"/>
  <c r="V90" i="8"/>
  <c r="T90" i="8"/>
  <c r="S90" i="8"/>
  <c r="R90" i="8"/>
  <c r="Q90" i="8"/>
  <c r="P90" i="8"/>
  <c r="V89" i="8"/>
  <c r="T89" i="8"/>
  <c r="S89" i="8"/>
  <c r="R89" i="8"/>
  <c r="Q89" i="8"/>
  <c r="P89" i="8"/>
  <c r="V88" i="8"/>
  <c r="T88" i="8"/>
  <c r="S88" i="8"/>
  <c r="R88" i="8"/>
  <c r="Q88" i="8"/>
  <c r="P88" i="8"/>
  <c r="V87" i="8"/>
  <c r="T87" i="8"/>
  <c r="S87" i="8"/>
  <c r="R87" i="8"/>
  <c r="Q87" i="8"/>
  <c r="P87" i="8"/>
  <c r="V86" i="8"/>
  <c r="T86" i="8"/>
  <c r="S86" i="8"/>
  <c r="R86" i="8"/>
  <c r="Q86" i="8"/>
  <c r="P86" i="8"/>
  <c r="V85" i="8"/>
  <c r="T85" i="8"/>
  <c r="S85" i="8"/>
  <c r="R85" i="8"/>
  <c r="Q85" i="8"/>
  <c r="P85" i="8"/>
  <c r="V84" i="8"/>
  <c r="T84" i="8"/>
  <c r="S84" i="8"/>
  <c r="R84" i="8"/>
  <c r="Q84" i="8"/>
  <c r="P84" i="8"/>
  <c r="V83" i="8"/>
  <c r="T83" i="8"/>
  <c r="S83" i="8"/>
  <c r="R83" i="8"/>
  <c r="Q83" i="8"/>
  <c r="P83" i="8"/>
  <c r="V82" i="8"/>
  <c r="T82" i="8"/>
  <c r="S82" i="8"/>
  <c r="R82" i="8"/>
  <c r="Q82" i="8"/>
  <c r="P82" i="8"/>
  <c r="V81" i="8"/>
  <c r="T81" i="8"/>
  <c r="S81" i="8"/>
  <c r="R81" i="8"/>
  <c r="Q81" i="8"/>
  <c r="P81" i="8"/>
  <c r="V80" i="8"/>
  <c r="T80" i="8"/>
  <c r="S80" i="8"/>
  <c r="R80" i="8"/>
  <c r="Q80" i="8"/>
  <c r="P80" i="8"/>
  <c r="V79" i="8"/>
  <c r="T79" i="8"/>
  <c r="S79" i="8"/>
  <c r="R79" i="8"/>
  <c r="Q79" i="8"/>
  <c r="P79" i="8"/>
  <c r="V78" i="8"/>
  <c r="T78" i="8"/>
  <c r="S78" i="8"/>
  <c r="R78" i="8"/>
  <c r="Q78" i="8"/>
  <c r="P78" i="8"/>
  <c r="V77" i="8"/>
  <c r="T77" i="8"/>
  <c r="S77" i="8"/>
  <c r="R77" i="8"/>
  <c r="Q77" i="8"/>
  <c r="P77" i="8"/>
  <c r="V76" i="8"/>
  <c r="T76" i="8"/>
  <c r="S76" i="8"/>
  <c r="R76" i="8"/>
  <c r="Q76" i="8"/>
  <c r="P76" i="8"/>
  <c r="V75" i="8"/>
  <c r="T75" i="8"/>
  <c r="S75" i="8"/>
  <c r="R75" i="8"/>
  <c r="Q75" i="8"/>
  <c r="P75" i="8"/>
  <c r="V74" i="8"/>
  <c r="T74" i="8"/>
  <c r="S74" i="8"/>
  <c r="R74" i="8"/>
  <c r="Q74" i="8"/>
  <c r="P74" i="8"/>
  <c r="V73" i="8"/>
  <c r="T73" i="8"/>
  <c r="S73" i="8"/>
  <c r="R73" i="8"/>
  <c r="Q73" i="8"/>
  <c r="P73" i="8"/>
  <c r="V72" i="8"/>
  <c r="T72" i="8"/>
  <c r="S72" i="8"/>
  <c r="R72" i="8"/>
  <c r="Q72" i="8"/>
  <c r="P72" i="8"/>
  <c r="V71" i="8"/>
  <c r="T71" i="8"/>
  <c r="S71" i="8"/>
  <c r="R71" i="8"/>
  <c r="Q71" i="8"/>
  <c r="P71" i="8"/>
  <c r="V70" i="8"/>
  <c r="T70" i="8"/>
  <c r="S70" i="8"/>
  <c r="R70" i="8"/>
  <c r="Q70" i="8"/>
  <c r="P70" i="8"/>
  <c r="V69" i="8"/>
  <c r="T69" i="8"/>
  <c r="S69" i="8"/>
  <c r="R69" i="8"/>
  <c r="Q69" i="8"/>
  <c r="P69" i="8"/>
  <c r="V68" i="8"/>
  <c r="T68" i="8"/>
  <c r="S68" i="8"/>
  <c r="R68" i="8"/>
  <c r="Q68" i="8"/>
  <c r="P68" i="8"/>
  <c r="V67" i="8"/>
  <c r="T67" i="8"/>
  <c r="S67" i="8"/>
  <c r="R67" i="8"/>
  <c r="Q67" i="8"/>
  <c r="P67" i="8"/>
  <c r="V66" i="8"/>
  <c r="T66" i="8"/>
  <c r="S66" i="8"/>
  <c r="R66" i="8"/>
  <c r="Q66" i="8"/>
  <c r="P66" i="8"/>
  <c r="V65" i="8"/>
  <c r="T65" i="8"/>
  <c r="S65" i="8"/>
  <c r="R65" i="8"/>
  <c r="Q65" i="8"/>
  <c r="P65" i="8"/>
  <c r="V64" i="8"/>
  <c r="T64" i="8"/>
  <c r="S64" i="8"/>
  <c r="R64" i="8"/>
  <c r="Q64" i="8"/>
  <c r="P64" i="8"/>
  <c r="V63" i="8"/>
  <c r="T63" i="8"/>
  <c r="S63" i="8"/>
  <c r="R63" i="8"/>
  <c r="Q63" i="8"/>
  <c r="P63" i="8"/>
  <c r="V62" i="8"/>
  <c r="T62" i="8"/>
  <c r="S62" i="8"/>
  <c r="R62" i="8"/>
  <c r="Q62" i="8"/>
  <c r="P62" i="8"/>
  <c r="V61" i="8"/>
  <c r="T61" i="8"/>
  <c r="S61" i="8"/>
  <c r="R61" i="8"/>
  <c r="Q61" i="8"/>
  <c r="P61" i="8"/>
  <c r="V60" i="8"/>
  <c r="T60" i="8"/>
  <c r="S60" i="8"/>
  <c r="R60" i="8"/>
  <c r="Q60" i="8"/>
  <c r="P60" i="8"/>
  <c r="V59" i="8"/>
  <c r="T59" i="8"/>
  <c r="S59" i="8"/>
  <c r="R59" i="8"/>
  <c r="Q59" i="8"/>
  <c r="P59" i="8"/>
  <c r="V58" i="8"/>
  <c r="T58" i="8"/>
  <c r="S58" i="8"/>
  <c r="R58" i="8"/>
  <c r="Q58" i="8"/>
  <c r="P58" i="8"/>
  <c r="V57" i="8"/>
  <c r="T57" i="8"/>
  <c r="S57" i="8"/>
  <c r="R57" i="8"/>
  <c r="Q57" i="8"/>
  <c r="P57" i="8"/>
  <c r="V56" i="8"/>
  <c r="T56" i="8"/>
  <c r="S56" i="8"/>
  <c r="R56" i="8"/>
  <c r="Q56" i="8"/>
  <c r="P56" i="8"/>
  <c r="V55" i="8"/>
  <c r="T55" i="8"/>
  <c r="S55" i="8"/>
  <c r="R55" i="8"/>
  <c r="Q55" i="8"/>
  <c r="P55" i="8"/>
  <c r="V54" i="8"/>
  <c r="T54" i="8"/>
  <c r="S54" i="8"/>
  <c r="R54" i="8"/>
  <c r="Q54" i="8"/>
  <c r="P54" i="8"/>
  <c r="V53" i="8"/>
  <c r="T53" i="8"/>
  <c r="S53" i="8"/>
  <c r="R53" i="8"/>
  <c r="Q53" i="8"/>
  <c r="P53" i="8"/>
  <c r="V52" i="8"/>
  <c r="T52" i="8"/>
  <c r="S52" i="8"/>
  <c r="R52" i="8"/>
  <c r="Q52" i="8"/>
  <c r="P52" i="8"/>
  <c r="V51" i="8"/>
  <c r="T51" i="8"/>
  <c r="S51" i="8"/>
  <c r="R51" i="8"/>
  <c r="Q51" i="8"/>
  <c r="P51" i="8"/>
  <c r="V50" i="8"/>
  <c r="T50" i="8"/>
  <c r="S50" i="8"/>
  <c r="R50" i="8"/>
  <c r="Q50" i="8"/>
  <c r="P50" i="8"/>
  <c r="V49" i="8"/>
  <c r="T49" i="8"/>
  <c r="S49" i="8"/>
  <c r="R49" i="8"/>
  <c r="Q49" i="8"/>
  <c r="P49" i="8"/>
  <c r="V48" i="8"/>
  <c r="T48" i="8"/>
  <c r="S48" i="8"/>
  <c r="R48" i="8"/>
  <c r="Q48" i="8"/>
  <c r="P48" i="8"/>
  <c r="V47" i="8"/>
  <c r="T47" i="8"/>
  <c r="S47" i="8"/>
  <c r="R47" i="8"/>
  <c r="Q47" i="8"/>
  <c r="P47" i="8"/>
  <c r="V46" i="8"/>
  <c r="T46" i="8"/>
  <c r="S46" i="8"/>
  <c r="R46" i="8"/>
  <c r="Q46" i="8"/>
  <c r="P46" i="8"/>
  <c r="V45" i="8"/>
  <c r="T45" i="8"/>
  <c r="S45" i="8"/>
  <c r="R45" i="8"/>
  <c r="Q45" i="8"/>
  <c r="P45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V14" i="8"/>
  <c r="T14" i="8"/>
  <c r="S14" i="8"/>
  <c r="R14" i="8"/>
  <c r="Q14" i="8"/>
  <c r="P14" i="8"/>
  <c r="V13" i="8"/>
  <c r="T13" i="8"/>
  <c r="S13" i="8"/>
  <c r="R13" i="8"/>
  <c r="Q13" i="8"/>
  <c r="P13" i="8"/>
  <c r="V12" i="8"/>
  <c r="T12" i="8"/>
  <c r="S12" i="8"/>
  <c r="R12" i="8"/>
  <c r="Q12" i="8"/>
  <c r="P12" i="8"/>
  <c r="V11" i="8"/>
  <c r="U11" i="8"/>
  <c r="T11" i="8"/>
  <c r="S11" i="8"/>
  <c r="R11" i="8"/>
  <c r="Q11" i="8"/>
  <c r="P11" i="8"/>
  <c r="V10" i="8"/>
  <c r="U10" i="8"/>
  <c r="T10" i="8"/>
  <c r="S10" i="8"/>
  <c r="R10" i="8"/>
  <c r="Q10" i="8"/>
  <c r="P10" i="8"/>
  <c r="V9" i="8"/>
  <c r="U9" i="8"/>
  <c r="T9" i="8"/>
  <c r="S9" i="8"/>
  <c r="R9" i="8"/>
  <c r="Q9" i="8"/>
  <c r="P9" i="8"/>
  <c r="V8" i="8"/>
  <c r="U8" i="8"/>
  <c r="T8" i="8"/>
  <c r="S8" i="8"/>
  <c r="R8" i="8"/>
  <c r="Q8" i="8"/>
  <c r="P8" i="8"/>
  <c r="V7" i="8"/>
  <c r="U7" i="8"/>
  <c r="T7" i="8"/>
  <c r="S7" i="8"/>
  <c r="R7" i="8"/>
  <c r="Q7" i="8"/>
  <c r="P7" i="8"/>
  <c r="V6" i="8"/>
  <c r="U6" i="8"/>
  <c r="T6" i="8"/>
  <c r="S6" i="8"/>
  <c r="R6" i="8"/>
  <c r="Q6" i="8"/>
  <c r="P6" i="8"/>
  <c r="V5" i="8"/>
  <c r="U5" i="8"/>
  <c r="T5" i="8"/>
  <c r="S5" i="8"/>
  <c r="R5" i="8"/>
  <c r="Q5" i="8"/>
  <c r="P5" i="8"/>
  <c r="V4" i="8"/>
  <c r="U4" i="8"/>
  <c r="T4" i="8"/>
  <c r="S4" i="8"/>
  <c r="R4" i="8"/>
  <c r="Q4" i="8"/>
  <c r="P4" i="8"/>
  <c r="V3" i="8"/>
  <c r="U3" i="8"/>
  <c r="T3" i="8"/>
  <c r="S3" i="8"/>
  <c r="R3" i="8"/>
  <c r="Q3" i="8"/>
  <c r="P3" i="8"/>
  <c r="V103" i="7"/>
  <c r="T103" i="7"/>
  <c r="S103" i="7"/>
  <c r="R103" i="7"/>
  <c r="Q103" i="7"/>
  <c r="P103" i="7"/>
  <c r="V102" i="7"/>
  <c r="T102" i="7"/>
  <c r="S102" i="7"/>
  <c r="R102" i="7"/>
  <c r="Q102" i="7"/>
  <c r="P102" i="7"/>
  <c r="V101" i="7"/>
  <c r="T101" i="7"/>
  <c r="S101" i="7"/>
  <c r="R101" i="7"/>
  <c r="Q101" i="7"/>
  <c r="P101" i="7"/>
  <c r="V100" i="7"/>
  <c r="T100" i="7"/>
  <c r="S100" i="7"/>
  <c r="R100" i="7"/>
  <c r="Q100" i="7"/>
  <c r="P100" i="7"/>
  <c r="V99" i="7"/>
  <c r="T99" i="7"/>
  <c r="S99" i="7"/>
  <c r="R99" i="7"/>
  <c r="Q99" i="7"/>
  <c r="P99" i="7"/>
  <c r="V98" i="7"/>
  <c r="T98" i="7"/>
  <c r="S98" i="7"/>
  <c r="R98" i="7"/>
  <c r="Q98" i="7"/>
  <c r="P98" i="7"/>
  <c r="V97" i="7"/>
  <c r="T97" i="7"/>
  <c r="S97" i="7"/>
  <c r="R97" i="7"/>
  <c r="Q97" i="7"/>
  <c r="P97" i="7"/>
  <c r="V96" i="7"/>
  <c r="T96" i="7"/>
  <c r="S96" i="7"/>
  <c r="R96" i="7"/>
  <c r="Q96" i="7"/>
  <c r="P96" i="7"/>
  <c r="V95" i="7"/>
  <c r="T95" i="7"/>
  <c r="S95" i="7"/>
  <c r="R95" i="7"/>
  <c r="Q95" i="7"/>
  <c r="P95" i="7"/>
  <c r="V94" i="7"/>
  <c r="T94" i="7"/>
  <c r="S94" i="7"/>
  <c r="R94" i="7"/>
  <c r="Q94" i="7"/>
  <c r="P94" i="7"/>
  <c r="V93" i="7"/>
  <c r="T93" i="7"/>
  <c r="S93" i="7"/>
  <c r="R93" i="7"/>
  <c r="Q93" i="7"/>
  <c r="P93" i="7"/>
  <c r="V92" i="7"/>
  <c r="T92" i="7"/>
  <c r="S92" i="7"/>
  <c r="R92" i="7"/>
  <c r="Q92" i="7"/>
  <c r="P92" i="7"/>
  <c r="V91" i="7"/>
  <c r="T91" i="7"/>
  <c r="S91" i="7"/>
  <c r="R91" i="7"/>
  <c r="Q91" i="7"/>
  <c r="P91" i="7"/>
  <c r="V90" i="7"/>
  <c r="T90" i="7"/>
  <c r="S90" i="7"/>
  <c r="R90" i="7"/>
  <c r="Q90" i="7"/>
  <c r="P90" i="7"/>
  <c r="V89" i="7"/>
  <c r="T89" i="7"/>
  <c r="S89" i="7"/>
  <c r="R89" i="7"/>
  <c r="Q89" i="7"/>
  <c r="P89" i="7"/>
  <c r="V88" i="7"/>
  <c r="T88" i="7"/>
  <c r="S88" i="7"/>
  <c r="R88" i="7"/>
  <c r="Q88" i="7"/>
  <c r="P88" i="7"/>
  <c r="V87" i="7"/>
  <c r="T87" i="7"/>
  <c r="S87" i="7"/>
  <c r="R87" i="7"/>
  <c r="Q87" i="7"/>
  <c r="P87" i="7"/>
  <c r="V86" i="7"/>
  <c r="T86" i="7"/>
  <c r="S86" i="7"/>
  <c r="R86" i="7"/>
  <c r="Q86" i="7"/>
  <c r="P86" i="7"/>
  <c r="V85" i="7"/>
  <c r="T85" i="7"/>
  <c r="S85" i="7"/>
  <c r="R85" i="7"/>
  <c r="Q85" i="7"/>
  <c r="P85" i="7"/>
  <c r="V84" i="7"/>
  <c r="T84" i="7"/>
  <c r="S84" i="7"/>
  <c r="R84" i="7"/>
  <c r="Q84" i="7"/>
  <c r="P84" i="7"/>
  <c r="V83" i="7"/>
  <c r="T83" i="7"/>
  <c r="S83" i="7"/>
  <c r="R83" i="7"/>
  <c r="Q83" i="7"/>
  <c r="P83" i="7"/>
  <c r="V82" i="7"/>
  <c r="T82" i="7"/>
  <c r="S82" i="7"/>
  <c r="R82" i="7"/>
  <c r="Q82" i="7"/>
  <c r="P82" i="7"/>
  <c r="V81" i="7"/>
  <c r="T81" i="7"/>
  <c r="S81" i="7"/>
  <c r="R81" i="7"/>
  <c r="Q81" i="7"/>
  <c r="P81" i="7"/>
  <c r="V80" i="7"/>
  <c r="T80" i="7"/>
  <c r="S80" i="7"/>
  <c r="R80" i="7"/>
  <c r="Q80" i="7"/>
  <c r="P80" i="7"/>
  <c r="V79" i="7"/>
  <c r="T79" i="7"/>
  <c r="S79" i="7"/>
  <c r="R79" i="7"/>
  <c r="Q79" i="7"/>
  <c r="P79" i="7"/>
  <c r="V78" i="7"/>
  <c r="T78" i="7"/>
  <c r="S78" i="7"/>
  <c r="R78" i="7"/>
  <c r="Q78" i="7"/>
  <c r="P78" i="7"/>
  <c r="V77" i="7"/>
  <c r="T77" i="7"/>
  <c r="S77" i="7"/>
  <c r="R77" i="7"/>
  <c r="Q77" i="7"/>
  <c r="P77" i="7"/>
  <c r="V76" i="7"/>
  <c r="T76" i="7"/>
  <c r="S76" i="7"/>
  <c r="R76" i="7"/>
  <c r="Q76" i="7"/>
  <c r="P76" i="7"/>
  <c r="V75" i="7"/>
  <c r="T75" i="7"/>
  <c r="S75" i="7"/>
  <c r="R75" i="7"/>
  <c r="Q75" i="7"/>
  <c r="P75" i="7"/>
  <c r="V74" i="7"/>
  <c r="T74" i="7"/>
  <c r="S74" i="7"/>
  <c r="R74" i="7"/>
  <c r="Q74" i="7"/>
  <c r="P74" i="7"/>
  <c r="V73" i="7"/>
  <c r="T73" i="7"/>
  <c r="S73" i="7"/>
  <c r="R73" i="7"/>
  <c r="Q73" i="7"/>
  <c r="P73" i="7"/>
  <c r="V72" i="7"/>
  <c r="T72" i="7"/>
  <c r="S72" i="7"/>
  <c r="R72" i="7"/>
  <c r="Q72" i="7"/>
  <c r="P72" i="7"/>
  <c r="V71" i="7"/>
  <c r="T71" i="7"/>
  <c r="S71" i="7"/>
  <c r="R71" i="7"/>
  <c r="Q71" i="7"/>
  <c r="P71" i="7"/>
  <c r="V70" i="7"/>
  <c r="T70" i="7"/>
  <c r="S70" i="7"/>
  <c r="R70" i="7"/>
  <c r="Q70" i="7"/>
  <c r="P70" i="7"/>
  <c r="V69" i="7"/>
  <c r="T69" i="7"/>
  <c r="S69" i="7"/>
  <c r="R69" i="7"/>
  <c r="Q69" i="7"/>
  <c r="P69" i="7"/>
  <c r="V68" i="7"/>
  <c r="T68" i="7"/>
  <c r="S68" i="7"/>
  <c r="R68" i="7"/>
  <c r="Q68" i="7"/>
  <c r="P68" i="7"/>
  <c r="V67" i="7"/>
  <c r="T67" i="7"/>
  <c r="S67" i="7"/>
  <c r="R67" i="7"/>
  <c r="Q67" i="7"/>
  <c r="P67" i="7"/>
  <c r="V66" i="7"/>
  <c r="T66" i="7"/>
  <c r="S66" i="7"/>
  <c r="R66" i="7"/>
  <c r="Q66" i="7"/>
  <c r="P66" i="7"/>
  <c r="V65" i="7"/>
  <c r="T65" i="7"/>
  <c r="S65" i="7"/>
  <c r="R65" i="7"/>
  <c r="Q65" i="7"/>
  <c r="P65" i="7"/>
  <c r="V64" i="7"/>
  <c r="T64" i="7"/>
  <c r="S64" i="7"/>
  <c r="R64" i="7"/>
  <c r="Q64" i="7"/>
  <c r="P64" i="7"/>
  <c r="V63" i="7"/>
  <c r="T63" i="7"/>
  <c r="S63" i="7"/>
  <c r="R63" i="7"/>
  <c r="Q63" i="7"/>
  <c r="P63" i="7"/>
  <c r="V62" i="7"/>
  <c r="T62" i="7"/>
  <c r="S62" i="7"/>
  <c r="R62" i="7"/>
  <c r="Q62" i="7"/>
  <c r="P62" i="7"/>
  <c r="V61" i="7"/>
  <c r="T61" i="7"/>
  <c r="S61" i="7"/>
  <c r="R61" i="7"/>
  <c r="Q61" i="7"/>
  <c r="P61" i="7"/>
  <c r="V60" i="7"/>
  <c r="T60" i="7"/>
  <c r="S60" i="7"/>
  <c r="R60" i="7"/>
  <c r="Q60" i="7"/>
  <c r="P60" i="7"/>
  <c r="V59" i="7"/>
  <c r="T59" i="7"/>
  <c r="S59" i="7"/>
  <c r="R59" i="7"/>
  <c r="Q59" i="7"/>
  <c r="P59" i="7"/>
  <c r="V58" i="7"/>
  <c r="T58" i="7"/>
  <c r="S58" i="7"/>
  <c r="R58" i="7"/>
  <c r="Q58" i="7"/>
  <c r="P58" i="7"/>
  <c r="V57" i="7"/>
  <c r="T57" i="7"/>
  <c r="S57" i="7"/>
  <c r="R57" i="7"/>
  <c r="Q57" i="7"/>
  <c r="P57" i="7"/>
  <c r="V56" i="7"/>
  <c r="T56" i="7"/>
  <c r="S56" i="7"/>
  <c r="R56" i="7"/>
  <c r="Q56" i="7"/>
  <c r="P56" i="7"/>
  <c r="V55" i="7"/>
  <c r="T55" i="7"/>
  <c r="S55" i="7"/>
  <c r="R55" i="7"/>
  <c r="Q55" i="7"/>
  <c r="P55" i="7"/>
  <c r="V54" i="7"/>
  <c r="T54" i="7"/>
  <c r="S54" i="7"/>
  <c r="R54" i="7"/>
  <c r="Q54" i="7"/>
  <c r="P54" i="7"/>
  <c r="V53" i="7"/>
  <c r="T53" i="7"/>
  <c r="S53" i="7"/>
  <c r="R53" i="7"/>
  <c r="Q53" i="7"/>
  <c r="P53" i="7"/>
  <c r="V52" i="7"/>
  <c r="T52" i="7"/>
  <c r="S52" i="7"/>
  <c r="R52" i="7"/>
  <c r="Q52" i="7"/>
  <c r="P52" i="7"/>
  <c r="V51" i="7"/>
  <c r="T51" i="7"/>
  <c r="S51" i="7"/>
  <c r="R51" i="7"/>
  <c r="Q51" i="7"/>
  <c r="P51" i="7"/>
  <c r="V50" i="7"/>
  <c r="T50" i="7"/>
  <c r="S50" i="7"/>
  <c r="R50" i="7"/>
  <c r="Q50" i="7"/>
  <c r="P50" i="7"/>
  <c r="V49" i="7"/>
  <c r="T49" i="7"/>
  <c r="S49" i="7"/>
  <c r="R49" i="7"/>
  <c r="Q49" i="7"/>
  <c r="P49" i="7"/>
  <c r="V48" i="7"/>
  <c r="T48" i="7"/>
  <c r="S48" i="7"/>
  <c r="R48" i="7"/>
  <c r="Q48" i="7"/>
  <c r="P48" i="7"/>
  <c r="V47" i="7"/>
  <c r="T47" i="7"/>
  <c r="S47" i="7"/>
  <c r="R47" i="7"/>
  <c r="Q47" i="7"/>
  <c r="P47" i="7"/>
  <c r="V46" i="7"/>
  <c r="T46" i="7"/>
  <c r="S46" i="7"/>
  <c r="R46" i="7"/>
  <c r="Q46" i="7"/>
  <c r="P46" i="7"/>
  <c r="V45" i="7"/>
  <c r="T45" i="7"/>
  <c r="S45" i="7"/>
  <c r="R45" i="7"/>
  <c r="Q45" i="7"/>
  <c r="P45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V14" i="7"/>
  <c r="T14" i="7"/>
  <c r="S14" i="7"/>
  <c r="R14" i="7"/>
  <c r="Q14" i="7"/>
  <c r="P14" i="7"/>
  <c r="V13" i="7"/>
  <c r="T13" i="7"/>
  <c r="S13" i="7"/>
  <c r="R13" i="7"/>
  <c r="Q13" i="7"/>
  <c r="P13" i="7"/>
  <c r="V12" i="7"/>
  <c r="T12" i="7"/>
  <c r="S12" i="7"/>
  <c r="R12" i="7"/>
  <c r="Q12" i="7"/>
  <c r="P12" i="7"/>
  <c r="V11" i="7"/>
  <c r="U11" i="7"/>
  <c r="T11" i="7"/>
  <c r="S11" i="7"/>
  <c r="R11" i="7"/>
  <c r="Q11" i="7"/>
  <c r="P11" i="7"/>
  <c r="V10" i="7"/>
  <c r="U10" i="7"/>
  <c r="T10" i="7"/>
  <c r="S10" i="7"/>
  <c r="R10" i="7"/>
  <c r="Q10" i="7"/>
  <c r="P10" i="7"/>
  <c r="V9" i="7"/>
  <c r="U9" i="7"/>
  <c r="T9" i="7"/>
  <c r="S9" i="7"/>
  <c r="R9" i="7"/>
  <c r="Q9" i="7"/>
  <c r="P9" i="7"/>
  <c r="V8" i="7"/>
  <c r="U8" i="7"/>
  <c r="T8" i="7"/>
  <c r="S8" i="7"/>
  <c r="R8" i="7"/>
  <c r="Q8" i="7"/>
  <c r="P8" i="7"/>
  <c r="V7" i="7"/>
  <c r="U7" i="7"/>
  <c r="T7" i="7"/>
  <c r="S7" i="7"/>
  <c r="R7" i="7"/>
  <c r="Q7" i="7"/>
  <c r="P7" i="7"/>
  <c r="V6" i="7"/>
  <c r="U6" i="7"/>
  <c r="T6" i="7"/>
  <c r="S6" i="7"/>
  <c r="R6" i="7"/>
  <c r="Q6" i="7"/>
  <c r="P6" i="7"/>
  <c r="V5" i="7"/>
  <c r="U5" i="7"/>
  <c r="T5" i="7"/>
  <c r="S5" i="7"/>
  <c r="R5" i="7"/>
  <c r="Q5" i="7"/>
  <c r="P5" i="7"/>
  <c r="V4" i="7"/>
  <c r="U4" i="7"/>
  <c r="T4" i="7"/>
  <c r="S4" i="7"/>
  <c r="R4" i="7"/>
  <c r="Q4" i="7"/>
  <c r="P4" i="7"/>
  <c r="V3" i="7"/>
  <c r="U3" i="7"/>
  <c r="T3" i="7"/>
  <c r="S3" i="7"/>
  <c r="R3" i="7"/>
  <c r="Q3" i="7"/>
  <c r="P3" i="7"/>
  <c r="V103" i="6"/>
  <c r="T103" i="6"/>
  <c r="S103" i="6"/>
  <c r="R103" i="6"/>
  <c r="Q103" i="6"/>
  <c r="P103" i="6"/>
  <c r="V102" i="6"/>
  <c r="T102" i="6"/>
  <c r="S102" i="6"/>
  <c r="R102" i="6"/>
  <c r="Q102" i="6"/>
  <c r="P102" i="6"/>
  <c r="V101" i="6"/>
  <c r="T101" i="6"/>
  <c r="S101" i="6"/>
  <c r="R101" i="6"/>
  <c r="Q101" i="6"/>
  <c r="P101" i="6"/>
  <c r="V100" i="6"/>
  <c r="T100" i="6"/>
  <c r="S100" i="6"/>
  <c r="R100" i="6"/>
  <c r="Q100" i="6"/>
  <c r="P100" i="6"/>
  <c r="V99" i="6"/>
  <c r="T99" i="6"/>
  <c r="S99" i="6"/>
  <c r="R99" i="6"/>
  <c r="Q99" i="6"/>
  <c r="P99" i="6"/>
  <c r="V98" i="6"/>
  <c r="T98" i="6"/>
  <c r="S98" i="6"/>
  <c r="R98" i="6"/>
  <c r="Q98" i="6"/>
  <c r="P98" i="6"/>
  <c r="V97" i="6"/>
  <c r="T97" i="6"/>
  <c r="S97" i="6"/>
  <c r="R97" i="6"/>
  <c r="Q97" i="6"/>
  <c r="P97" i="6"/>
  <c r="V96" i="6"/>
  <c r="T96" i="6"/>
  <c r="S96" i="6"/>
  <c r="R96" i="6"/>
  <c r="Q96" i="6"/>
  <c r="P96" i="6"/>
  <c r="V95" i="6"/>
  <c r="T95" i="6"/>
  <c r="S95" i="6"/>
  <c r="R95" i="6"/>
  <c r="Q95" i="6"/>
  <c r="P95" i="6"/>
  <c r="V94" i="6"/>
  <c r="T94" i="6"/>
  <c r="S94" i="6"/>
  <c r="R94" i="6"/>
  <c r="Q94" i="6"/>
  <c r="P94" i="6"/>
  <c r="V93" i="6"/>
  <c r="T93" i="6"/>
  <c r="S93" i="6"/>
  <c r="R93" i="6"/>
  <c r="Q93" i="6"/>
  <c r="P93" i="6"/>
  <c r="V92" i="6"/>
  <c r="T92" i="6"/>
  <c r="S92" i="6"/>
  <c r="R92" i="6"/>
  <c r="Q92" i="6"/>
  <c r="P92" i="6"/>
  <c r="V91" i="6"/>
  <c r="T91" i="6"/>
  <c r="S91" i="6"/>
  <c r="R91" i="6"/>
  <c r="Q91" i="6"/>
  <c r="P91" i="6"/>
  <c r="V90" i="6"/>
  <c r="T90" i="6"/>
  <c r="S90" i="6"/>
  <c r="R90" i="6"/>
  <c r="Q90" i="6"/>
  <c r="P90" i="6"/>
  <c r="V89" i="6"/>
  <c r="T89" i="6"/>
  <c r="S89" i="6"/>
  <c r="R89" i="6"/>
  <c r="Q89" i="6"/>
  <c r="P89" i="6"/>
  <c r="V88" i="6"/>
  <c r="T88" i="6"/>
  <c r="S88" i="6"/>
  <c r="R88" i="6"/>
  <c r="Q88" i="6"/>
  <c r="P88" i="6"/>
  <c r="V87" i="6"/>
  <c r="T87" i="6"/>
  <c r="S87" i="6"/>
  <c r="R87" i="6"/>
  <c r="Q87" i="6"/>
  <c r="P87" i="6"/>
  <c r="V86" i="6"/>
  <c r="T86" i="6"/>
  <c r="S86" i="6"/>
  <c r="R86" i="6"/>
  <c r="Q86" i="6"/>
  <c r="P86" i="6"/>
  <c r="V85" i="6"/>
  <c r="T85" i="6"/>
  <c r="S85" i="6"/>
  <c r="R85" i="6"/>
  <c r="Q85" i="6"/>
  <c r="P85" i="6"/>
  <c r="V84" i="6"/>
  <c r="T84" i="6"/>
  <c r="S84" i="6"/>
  <c r="R84" i="6"/>
  <c r="Q84" i="6"/>
  <c r="P84" i="6"/>
  <c r="V83" i="6"/>
  <c r="T83" i="6"/>
  <c r="S83" i="6"/>
  <c r="R83" i="6"/>
  <c r="Q83" i="6"/>
  <c r="P83" i="6"/>
  <c r="V82" i="6"/>
  <c r="T82" i="6"/>
  <c r="S82" i="6"/>
  <c r="R82" i="6"/>
  <c r="Q82" i="6"/>
  <c r="P82" i="6"/>
  <c r="V81" i="6"/>
  <c r="T81" i="6"/>
  <c r="S81" i="6"/>
  <c r="R81" i="6"/>
  <c r="Q81" i="6"/>
  <c r="P81" i="6"/>
  <c r="V80" i="6"/>
  <c r="T80" i="6"/>
  <c r="S80" i="6"/>
  <c r="R80" i="6"/>
  <c r="Q80" i="6"/>
  <c r="P80" i="6"/>
  <c r="V79" i="6"/>
  <c r="T79" i="6"/>
  <c r="S79" i="6"/>
  <c r="R79" i="6"/>
  <c r="Q79" i="6"/>
  <c r="P79" i="6"/>
  <c r="V78" i="6"/>
  <c r="T78" i="6"/>
  <c r="S78" i="6"/>
  <c r="R78" i="6"/>
  <c r="Q78" i="6"/>
  <c r="P78" i="6"/>
  <c r="V77" i="6"/>
  <c r="T77" i="6"/>
  <c r="S77" i="6"/>
  <c r="R77" i="6"/>
  <c r="Q77" i="6"/>
  <c r="P77" i="6"/>
  <c r="V76" i="6"/>
  <c r="T76" i="6"/>
  <c r="S76" i="6"/>
  <c r="R76" i="6"/>
  <c r="Q76" i="6"/>
  <c r="P76" i="6"/>
  <c r="V75" i="6"/>
  <c r="T75" i="6"/>
  <c r="S75" i="6"/>
  <c r="R75" i="6"/>
  <c r="Q75" i="6"/>
  <c r="P75" i="6"/>
  <c r="V74" i="6"/>
  <c r="T74" i="6"/>
  <c r="S74" i="6"/>
  <c r="R74" i="6"/>
  <c r="Q74" i="6"/>
  <c r="P74" i="6"/>
  <c r="V73" i="6"/>
  <c r="T73" i="6"/>
  <c r="S73" i="6"/>
  <c r="R73" i="6"/>
  <c r="Q73" i="6"/>
  <c r="P73" i="6"/>
  <c r="V72" i="6"/>
  <c r="T72" i="6"/>
  <c r="S72" i="6"/>
  <c r="R72" i="6"/>
  <c r="Q72" i="6"/>
  <c r="P72" i="6"/>
  <c r="V71" i="6"/>
  <c r="T71" i="6"/>
  <c r="S71" i="6"/>
  <c r="R71" i="6"/>
  <c r="Q71" i="6"/>
  <c r="P71" i="6"/>
  <c r="V70" i="6"/>
  <c r="T70" i="6"/>
  <c r="S70" i="6"/>
  <c r="R70" i="6"/>
  <c r="Q70" i="6"/>
  <c r="P70" i="6"/>
  <c r="V69" i="6"/>
  <c r="T69" i="6"/>
  <c r="S69" i="6"/>
  <c r="R69" i="6"/>
  <c r="Q69" i="6"/>
  <c r="P69" i="6"/>
  <c r="V68" i="6"/>
  <c r="T68" i="6"/>
  <c r="S68" i="6"/>
  <c r="R68" i="6"/>
  <c r="Q68" i="6"/>
  <c r="P68" i="6"/>
  <c r="V67" i="6"/>
  <c r="T67" i="6"/>
  <c r="S67" i="6"/>
  <c r="R67" i="6"/>
  <c r="Q67" i="6"/>
  <c r="P67" i="6"/>
  <c r="V66" i="6"/>
  <c r="T66" i="6"/>
  <c r="S66" i="6"/>
  <c r="R66" i="6"/>
  <c r="Q66" i="6"/>
  <c r="P66" i="6"/>
  <c r="V65" i="6"/>
  <c r="T65" i="6"/>
  <c r="S65" i="6"/>
  <c r="R65" i="6"/>
  <c r="Q65" i="6"/>
  <c r="P65" i="6"/>
  <c r="V64" i="6"/>
  <c r="T64" i="6"/>
  <c r="S64" i="6"/>
  <c r="R64" i="6"/>
  <c r="Q64" i="6"/>
  <c r="P64" i="6"/>
  <c r="V63" i="6"/>
  <c r="T63" i="6"/>
  <c r="S63" i="6"/>
  <c r="R63" i="6"/>
  <c r="Q63" i="6"/>
  <c r="P63" i="6"/>
  <c r="V62" i="6"/>
  <c r="T62" i="6"/>
  <c r="S62" i="6"/>
  <c r="R62" i="6"/>
  <c r="Q62" i="6"/>
  <c r="P62" i="6"/>
  <c r="V61" i="6"/>
  <c r="T61" i="6"/>
  <c r="S61" i="6"/>
  <c r="R61" i="6"/>
  <c r="Q61" i="6"/>
  <c r="P61" i="6"/>
  <c r="V60" i="6"/>
  <c r="T60" i="6"/>
  <c r="S60" i="6"/>
  <c r="R60" i="6"/>
  <c r="Q60" i="6"/>
  <c r="P60" i="6"/>
  <c r="V59" i="6"/>
  <c r="T59" i="6"/>
  <c r="S59" i="6"/>
  <c r="R59" i="6"/>
  <c r="Q59" i="6"/>
  <c r="P59" i="6"/>
  <c r="V58" i="6"/>
  <c r="T58" i="6"/>
  <c r="S58" i="6"/>
  <c r="R58" i="6"/>
  <c r="Q58" i="6"/>
  <c r="P58" i="6"/>
  <c r="V57" i="6"/>
  <c r="T57" i="6"/>
  <c r="S57" i="6"/>
  <c r="R57" i="6"/>
  <c r="Q57" i="6"/>
  <c r="P57" i="6"/>
  <c r="V56" i="6"/>
  <c r="T56" i="6"/>
  <c r="S56" i="6"/>
  <c r="R56" i="6"/>
  <c r="Q56" i="6"/>
  <c r="P56" i="6"/>
  <c r="V55" i="6"/>
  <c r="T55" i="6"/>
  <c r="S55" i="6"/>
  <c r="R55" i="6"/>
  <c r="Q55" i="6"/>
  <c r="P55" i="6"/>
  <c r="V54" i="6"/>
  <c r="T54" i="6"/>
  <c r="S54" i="6"/>
  <c r="R54" i="6"/>
  <c r="Q54" i="6"/>
  <c r="P54" i="6"/>
  <c r="V53" i="6"/>
  <c r="T53" i="6"/>
  <c r="S53" i="6"/>
  <c r="R53" i="6"/>
  <c r="Q53" i="6"/>
  <c r="P53" i="6"/>
  <c r="V52" i="6"/>
  <c r="T52" i="6"/>
  <c r="S52" i="6"/>
  <c r="R52" i="6"/>
  <c r="Q52" i="6"/>
  <c r="P52" i="6"/>
  <c r="V51" i="6"/>
  <c r="T51" i="6"/>
  <c r="S51" i="6"/>
  <c r="R51" i="6"/>
  <c r="Q51" i="6"/>
  <c r="P51" i="6"/>
  <c r="V50" i="6"/>
  <c r="T50" i="6"/>
  <c r="S50" i="6"/>
  <c r="R50" i="6"/>
  <c r="Q50" i="6"/>
  <c r="P50" i="6"/>
  <c r="V49" i="6"/>
  <c r="T49" i="6"/>
  <c r="S49" i="6"/>
  <c r="R49" i="6"/>
  <c r="Q49" i="6"/>
  <c r="P49" i="6"/>
  <c r="V48" i="6"/>
  <c r="T48" i="6"/>
  <c r="S48" i="6"/>
  <c r="R48" i="6"/>
  <c r="Q48" i="6"/>
  <c r="P48" i="6"/>
  <c r="V47" i="6"/>
  <c r="T47" i="6"/>
  <c r="S47" i="6"/>
  <c r="R47" i="6"/>
  <c r="Q47" i="6"/>
  <c r="P47" i="6"/>
  <c r="V46" i="6"/>
  <c r="T46" i="6"/>
  <c r="S46" i="6"/>
  <c r="R46" i="6"/>
  <c r="Q46" i="6"/>
  <c r="P46" i="6"/>
  <c r="V45" i="6"/>
  <c r="T45" i="6"/>
  <c r="S45" i="6"/>
  <c r="R45" i="6"/>
  <c r="Q45" i="6"/>
  <c r="P45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V14" i="6"/>
  <c r="T14" i="6"/>
  <c r="S14" i="6"/>
  <c r="R14" i="6"/>
  <c r="Q14" i="6"/>
  <c r="P14" i="6"/>
  <c r="V13" i="6"/>
  <c r="T13" i="6"/>
  <c r="S13" i="6"/>
  <c r="R13" i="6"/>
  <c r="Q13" i="6"/>
  <c r="P13" i="6"/>
  <c r="V12" i="6"/>
  <c r="T12" i="6"/>
  <c r="S12" i="6"/>
  <c r="R12" i="6"/>
  <c r="Q12" i="6"/>
  <c r="P12" i="6"/>
  <c r="V11" i="6"/>
  <c r="U11" i="6"/>
  <c r="T11" i="6"/>
  <c r="S11" i="6"/>
  <c r="R11" i="6"/>
  <c r="Q11" i="6"/>
  <c r="P11" i="6"/>
  <c r="V10" i="6"/>
  <c r="U10" i="6"/>
  <c r="T10" i="6"/>
  <c r="S10" i="6"/>
  <c r="R10" i="6"/>
  <c r="Q10" i="6"/>
  <c r="P10" i="6"/>
  <c r="V9" i="6"/>
  <c r="U9" i="6"/>
  <c r="T9" i="6"/>
  <c r="S9" i="6"/>
  <c r="R9" i="6"/>
  <c r="Q9" i="6"/>
  <c r="P9" i="6"/>
  <c r="V8" i="6"/>
  <c r="U8" i="6"/>
  <c r="T8" i="6"/>
  <c r="S8" i="6"/>
  <c r="R8" i="6"/>
  <c r="Q8" i="6"/>
  <c r="P8" i="6"/>
  <c r="V7" i="6"/>
  <c r="U7" i="6"/>
  <c r="T7" i="6"/>
  <c r="S7" i="6"/>
  <c r="R7" i="6"/>
  <c r="Q7" i="6"/>
  <c r="P7" i="6"/>
  <c r="V6" i="6"/>
  <c r="U6" i="6"/>
  <c r="T6" i="6"/>
  <c r="S6" i="6"/>
  <c r="R6" i="6"/>
  <c r="Q6" i="6"/>
  <c r="P6" i="6"/>
  <c r="V5" i="6"/>
  <c r="U5" i="6"/>
  <c r="T5" i="6"/>
  <c r="S5" i="6"/>
  <c r="R5" i="6"/>
  <c r="Q5" i="6"/>
  <c r="P5" i="6"/>
  <c r="V4" i="6"/>
  <c r="U4" i="6"/>
  <c r="T4" i="6"/>
  <c r="S4" i="6"/>
  <c r="R4" i="6"/>
  <c r="Q4" i="6"/>
  <c r="P4" i="6"/>
  <c r="V3" i="6"/>
  <c r="U3" i="6"/>
  <c r="T3" i="6"/>
  <c r="S3" i="6"/>
  <c r="R3" i="6"/>
  <c r="Q3" i="6"/>
  <c r="P3" i="6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<sst xmlns="http://schemas.openxmlformats.org/spreadsheetml/2006/main" count="991" uniqueCount="767">
  <si>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</si>
  <si>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</si>
  <si>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</si>
  <si>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</si>
  <si>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</si>
  <si>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</si>
  <si>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</si>
  <si>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</si>
  <si>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</si>
  <si>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</si>
  <si>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</si>
  <si>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</si>
  <si>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</si>
  <si>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</si>
  <si>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</si>
  <si>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</si>
  <si>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</si>
  <si>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</si>
  <si>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</si>
  <si>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</si>
  <si>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</si>
  <si>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</si>
  <si>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</si>
  <si>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</si>
  <si>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</si>
  <si>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</si>
  <si>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</si>
  <si>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</si>
  <si>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</si>
  <si>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</si>
  <si>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</si>
  <si>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</si>
  <si>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</si>
  <si>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</si>
  <si>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</si>
  <si>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</si>
  <si>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</si>
  <si>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</si>
  <si>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</si>
  <si>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</si>
  <si>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</si>
  <si>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</si>
  <si>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</si>
  <si>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</si>
  <si>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Prefijo</t>
  </si>
  <si>
    <t>Disciplina (en)</t>
  </si>
  <si>
    <t>Disciplina (es)</t>
  </si>
  <si>
    <t>Architectural</t>
  </si>
  <si>
    <t>Arquitectura</t>
  </si>
  <si>
    <t>Geotechnical</t>
  </si>
  <si>
    <t>Geotecnia</t>
  </si>
  <si>
    <t>Civil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</si>
  <si>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</si>
  <si>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</si>
  <si>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</si>
  <si>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</si>
  <si>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</si>
  <si>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</si>
  <si>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</si>
  <si>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</si>
  <si>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</si>
  <si>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</si>
  <si>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</si>
  <si>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</si>
  <si>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</si>
  <si>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</si>
  <si>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</si>
  <si>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</si>
  <si>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</si>
  <si>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</si>
  <si>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</si>
  <si>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</si>
  <si>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</si>
  <si>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</si>
  <si>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</si>
  <si>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</si>
  <si>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</si>
  <si>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</si>
  <si>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</si>
  <si>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</si>
  <si>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</si>
  <si>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</si>
  <si>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</si>
  <si>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</si>
  <si>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</si>
  <si>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</si>
  <si>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</si>
  <si>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</si>
  <si>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</si>
  <si>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</si>
  <si>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</si>
  <si>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</si>
  <si>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</si>
  <si>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</si>
  <si>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</si>
  <si>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</si>
  <si>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</si>
  <si>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</si>
  <si>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</si>
  <si>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</si>
  <si>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</si>
  <si>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</si>
  <si>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</si>
  <si>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</si>
  <si>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</si>
  <si>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</si>
  <si>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AE</t>
  </si>
  <si>
    <t>Architectural Elements</t>
  </si>
  <si>
    <t>AF</t>
  </si>
  <si>
    <t>Architectural Finishes</t>
  </si>
  <si>
    <t>AG</t>
  </si>
  <si>
    <t>Architectural Graphics</t>
  </si>
  <si>
    <t>AI</t>
  </si>
  <si>
    <t>Architectural Interiors</t>
  </si>
  <si>
    <t>AJ</t>
  </si>
  <si>
    <t>User Defined</t>
  </si>
  <si>
    <t>AK</t>
  </si>
  <si>
    <t>AS</t>
  </si>
  <si>
    <t>Architectural Site</t>
  </si>
  <si>
    <t>Designador</t>
  </si>
  <si>
    <t>Demolición arquitectónica</t>
  </si>
  <si>
    <t>Elementos arquitectónicos</t>
  </si>
  <si>
    <t>Acabados arquitectónicos</t>
  </si>
  <si>
    <t>Gráficos arquitectónicos</t>
  </si>
  <si>
    <t>Interiores arquitectónicos</t>
  </si>
  <si>
    <t>Definido por el usuario</t>
  </si>
  <si>
    <t>Sitio arquitectónico</t>
  </si>
  <si>
    <t>Descripción (en)</t>
  </si>
  <si>
    <t>Descripción (es)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</si>
  <si>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</si>
  <si>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</si>
  <si>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</si>
  <si>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</si>
  <si>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</si>
  <si>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</si>
  <si>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</si>
  <si>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</si>
  <si>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</si>
  <si>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</si>
  <si>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</si>
  <si>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</si>
  <si>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</si>
  <si>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</si>
  <si>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</si>
  <si>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</si>
  <si>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</si>
  <si>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1a9</t>
  </si>
  <si>
    <t>Phase numbers</t>
  </si>
  <si>
    <t>Número de fases</t>
  </si>
  <si>
    <t>ß</t>
  </si>
  <si>
    <t>Estado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</si>
  <si>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</si>
  <si>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</si>
  <si>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</si>
  <si>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</si>
  <si>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</si>
  <si>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</si>
  <si>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</si>
  <si>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</si>
  <si>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</si>
  <si>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</si>
  <si>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</si>
  <si>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</si>
  <si>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</si>
  <si>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</si>
  <si>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</si>
  <si>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</si>
  <si>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</si>
  <si>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</si>
  <si>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</si>
  <si>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</si>
  <si>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</si>
  <si>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</si>
  <si>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</si>
  <si>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</si>
  <si>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</si>
  <si>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</si>
  <si>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</si>
  <si>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</si>
  <si>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</si>
  <si>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</si>
  <si>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</si>
  <si>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</si>
  <si>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</si>
  <si>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</si>
  <si>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</si>
  <si>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</si>
  <si>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</si>
  <si>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</si>
  <si>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</si>
  <si>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</si>
  <si>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</si>
  <si>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</si>
  <si>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</si>
  <si>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</si>
  <si>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</si>
  <si>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</si>
  <si>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</si>
  <si>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</si>
  <si>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</si>
  <si>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</si>
  <si>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</si>
  <si>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</si>
  <si>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</si>
  <si>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</si>
  <si>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</si>
  <si>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</si>
  <si>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</si>
  <si>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</si>
  <si>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</si>
  <si>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</si>
  <si>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</si>
  <si>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</si>
  <si>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</si>
  <si>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</si>
  <si>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</si>
  <si>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</si>
  <si>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</si>
  <si>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</si>
  <si>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</si>
  <si>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</si>
  <si>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</si>
  <si>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</si>
  <si>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</si>
  <si>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</si>
  <si>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</si>
  <si>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</si>
  <si>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</si>
  <si>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</si>
  <si>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</si>
  <si>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</si>
  <si>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</si>
  <si>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</si>
  <si>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</si>
  <si>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</si>
  <si>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</si>
  <si>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</si>
  <si>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</si>
  <si>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</si>
  <si>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</si>
  <si>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</si>
  <si>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</si>
  <si>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</si>
  <si>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</si>
  <si>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</si>
  <si>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</si>
  <si>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</si>
  <si>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</si>
  <si>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</si>
  <si>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</si>
  <si>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</si>
  <si>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</si>
  <si>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</si>
  <si>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</si>
  <si>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</si>
  <si>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</si>
  <si>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</si>
  <si>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</si>
  <si>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</si>
  <si>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</si>
  <si>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</si>
  <si>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</si>
  <si>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</si>
  <si>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</si>
  <si>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</si>
  <si>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</si>
  <si>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</si>
  <si>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</si>
  <si>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</si>
  <si>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</si>
  <si>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</si>
  <si>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</si>
  <si>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</si>
  <si>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</si>
  <si>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</si>
  <si>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</si>
  <si>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</si>
  <si>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</si>
  <si>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</si>
  <si>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</si>
  <si>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</si>
  <si>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</si>
  <si>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</si>
  <si>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</si>
  <si>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</si>
  <si>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</si>
  <si>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</si>
  <si>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</si>
  <si>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</si>
  <si>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</si>
  <si>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</si>
  <si>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</si>
  <si>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</si>
  <si>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</si>
  <si>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</si>
  <si>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</si>
  <si>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</si>
  <si>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</si>
  <si>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</si>
  <si>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</si>
  <si>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</si>
  <si>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</si>
  <si>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</si>
  <si>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</si>
  <si>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</si>
  <si>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</si>
  <si>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</si>
  <si>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</si>
  <si>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</si>
  <si>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</si>
  <si>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</si>
  <si>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</si>
  <si>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</si>
  <si>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</si>
  <si>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</si>
  <si>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</si>
  <si>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</si>
  <si>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</si>
  <si>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</si>
  <si>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</si>
  <si>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</si>
  <si>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</si>
  <si>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</si>
  <si>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</si>
  <si>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</si>
  <si>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</si>
  <si>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</si>
  <si>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</si>
  <si>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</si>
  <si>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</si>
  <si>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</si>
  <si>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</si>
  <si>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</si>
  <si>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</si>
  <si>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</si>
  <si>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</si>
  <si>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</si>
  <si>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</si>
  <si>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</si>
  <si>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</si>
  <si>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</si>
  <si>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</si>
  <si>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</si>
  <si>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</si>
  <si>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</si>
  <si>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</si>
  <si>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</si>
  <si>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</si>
  <si>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</si>
  <si>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</si>
  <si>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</si>
  <si>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</si>
  <si>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</si>
  <si>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</si>
  <si>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</si>
  <si>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</si>
  <si>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</si>
  <si>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</si>
  <si>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</si>
  <si>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</si>
  <si>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</si>
  <si>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</si>
  <si>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</si>
  <si>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</si>
  <si>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</si>
  <si>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</si>
  <si>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</si>
  <si>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</si>
  <si>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</si>
  <si>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</si>
  <si>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</si>
  <si>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</si>
  <si>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</si>
  <si>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</si>
  <si>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</si>
  <si>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</si>
  <si>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</si>
  <si>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</si>
  <si>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</si>
  <si>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</si>
  <si>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</si>
  <si>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</si>
  <si>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</si>
  <si>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</si>
  <si>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</si>
  <si>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</si>
  <si>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</si>
  <si>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</si>
  <si>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</si>
  <si>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</si>
  <si>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</si>
  <si>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</si>
  <si>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</si>
  <si>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</si>
  <si>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</si>
  <si>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</si>
  <si>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</si>
  <si>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</si>
  <si>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</si>
  <si>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</si>
  <si>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</si>
  <si>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</si>
  <si>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</si>
  <si>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</si>
  <si>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</si>
  <si>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</si>
  <si>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</si>
  <si>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</si>
  <si>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</si>
  <si>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</si>
  <si>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</si>
  <si>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</si>
  <si>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</si>
  <si>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</si>
  <si>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</si>
  <si>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</si>
  <si>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</si>
  <si>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</si>
  <si>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</si>
  <si>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</si>
  <si>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</si>
  <si>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</si>
  <si>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</si>
  <si>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</si>
  <si>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</si>
  <si>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</si>
  <si>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</si>
  <si>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</si>
  <si>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</si>
  <si>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</si>
  <si>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</si>
  <si>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</si>
  <si>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</si>
  <si>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</si>
  <si>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</si>
  <si>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</si>
  <si>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</si>
  <si>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</si>
  <si>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</si>
  <si>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</si>
  <si>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</si>
  <si>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</si>
  <si>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</si>
  <si>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</si>
  <si>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</si>
  <si>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</si>
  <si>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</si>
  <si>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</si>
  <si>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</si>
  <si>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</si>
  <si>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</si>
  <si>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</si>
  <si>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</si>
  <si>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</si>
  <si>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</si>
  <si>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</si>
  <si>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</si>
  <si>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</si>
  <si>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</si>
  <si>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</si>
  <si>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</si>
  <si>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</si>
  <si>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</si>
  <si>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</si>
  <si>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</si>
  <si>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</si>
  <si>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</si>
  <si>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</si>
  <si>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</si>
  <si>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</si>
  <si>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</si>
  <si>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</si>
  <si>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</si>
  <si>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</si>
  <si>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</si>
  <si>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</si>
  <si>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</si>
  <si>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</si>
  <si>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</si>
  <si>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</si>
  <si>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</si>
  <si>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</si>
  <si>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</si>
  <si>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</si>
  <si>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</si>
  <si>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</si>
  <si>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</si>
  <si>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</si>
  <si>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</si>
  <si>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</si>
  <si>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</si>
  <si>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</si>
  <si>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</si>
  <si>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</si>
  <si>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</si>
  <si>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</si>
  <si>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</si>
  <si>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</si>
  <si>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</si>
  <si>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</si>
  <si>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</si>
  <si>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</si>
  <si>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</si>
  <si>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</si>
  <si>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</si>
  <si>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</si>
  <si>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</si>
  <si>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</si>
  <si>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</si>
  <si>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</si>
  <si>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</si>
  <si>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</si>
  <si>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</si>
  <si>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</si>
  <si>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</si>
  <si>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</si>
  <si>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</si>
  <si>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</si>
  <si>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</si>
  <si>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</si>
  <si>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</si>
  <si>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</si>
  <si>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</si>
  <si>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</si>
  <si>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</si>
  <si>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</si>
  <si>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</si>
  <si>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</si>
  <si>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</si>
  <si>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</si>
  <si>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</si>
  <si>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</si>
  <si>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</si>
  <si>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</si>
  <si>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</si>
  <si>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</si>
  <si>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</si>
  <si>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</si>
  <si>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</si>
  <si>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</si>
  <si>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</si>
  <si>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</si>
  <si>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</si>
  <si>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</si>
  <si>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</si>
  <si>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</si>
  <si>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</si>
  <si>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</si>
  <si>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</si>
  <si>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</si>
  <si>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</si>
  <si>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</si>
  <si>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</si>
  <si>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</si>
  <si>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</si>
  <si>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</si>
  <si>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</si>
  <si>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</si>
  <si>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</si>
  <si>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</si>
  <si>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</si>
  <si>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</si>
  <si>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</si>
  <si>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</si>
  <si>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</si>
  <si>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</si>
  <si>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</si>
  <si>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</si>
  <si>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</si>
  <si>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</si>
  <si>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</si>
  <si>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</si>
  <si>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</si>
  <si>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</si>
  <si>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</si>
  <si>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</si>
  <si>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</si>
  <si>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</si>
  <si>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</si>
  <si>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</si>
  <si>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</si>
  <si>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</si>
  <si>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</si>
  <si>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</si>
  <si>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</si>
  <si>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</si>
  <si>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</si>
  <si>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</si>
  <si>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</si>
  <si>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</si>
  <si>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</si>
  <si>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</si>
  <si>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</si>
  <si>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</si>
  <si>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</si>
  <si>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</si>
  <si>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</si>
  <si>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</si>
  <si>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</si>
  <si>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</si>
  <si>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</si>
  <si>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</si>
  <si>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</si>
  <si>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</si>
  <si>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</si>
  <si>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</si>
  <si>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</si>
  <si>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</si>
  <si>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</si>
  <si>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</si>
  <si>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</si>
  <si>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</si>
  <si>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</si>
  <si>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</si>
  <si>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</si>
  <si>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</si>
  <si>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</si>
  <si>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</si>
  <si>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</si>
  <si>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</si>
  <si>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</si>
  <si>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</si>
  <si>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</si>
  <si>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</si>
  <si>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</si>
  <si>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</si>
  <si>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</si>
  <si>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</si>
  <si>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</si>
  <si>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</si>
  <si>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</si>
  <si>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</si>
  <si>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</si>
  <si>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</si>
  <si>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</si>
  <si>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</si>
  <si>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</si>
  <si>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</si>
  <si>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</si>
  <si>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</si>
  <si>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</si>
  <si>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</si>
  <si>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</si>
  <si>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</si>
  <si>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</si>
  <si>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</si>
  <si>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</si>
  <si>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</si>
  <si>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</si>
  <si>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</si>
  <si>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</si>
  <si>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</si>
  <si>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</si>
  <si>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</si>
  <si>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</si>
  <si>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</si>
  <si>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</si>
  <si>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</si>
  <si>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</si>
  <si>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</si>
  <si>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</si>
  <si>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</si>
  <si>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</si>
  <si>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</si>
  <si>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</si>
  <si>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</si>
  <si>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</si>
  <si>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</si>
  <si>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</si>
  <si>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</si>
  <si>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</si>
  <si>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</si>
  <si>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</si>
  <si>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</si>
  <si>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</si>
  <si>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</si>
  <si>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</si>
  <si>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</si>
  <si>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</si>
  <si>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</si>
  <si>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</si>
  <si>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</si>
  <si>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</si>
  <si>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</si>
  <si>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</si>
  <si>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</si>
  <si>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</si>
  <si>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</si>
  <si>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</si>
  <si>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</si>
  <si>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</si>
  <si>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</si>
  <si>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</si>
  <si>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</si>
  <si>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</si>
  <si>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</si>
  <si>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</si>
  <si>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</si>
  <si>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</si>
  <si>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</si>
  <si>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</si>
  <si>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</si>
  <si>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</si>
  <si>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</si>
  <si>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</si>
  <si>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</si>
  <si>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</si>
  <si>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</si>
  <si>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</si>
  <si>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</si>
  <si>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</si>
  <si>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</si>
  <si>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</si>
  <si>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</si>
  <si>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</si>
  <si>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</si>
  <si>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</si>
  <si>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</si>
  <si>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</si>
  <si>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</si>
  <si>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</si>
  <si>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</si>
  <si>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</si>
  <si>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</si>
  <si>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</si>
  <si>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</si>
  <si>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</si>
  <si>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</si>
  <si>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</si>
  <si>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</si>
  <si>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</si>
  <si>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</si>
  <si>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</si>
  <si>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</si>
  <si>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</si>
  <si>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</si>
  <si>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</si>
  <si>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</si>
  <si>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</si>
  <si>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</si>
  <si>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</si>
  <si>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</si>
  <si>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</si>
  <si>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</si>
  <si>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</si>
  <si>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</si>
  <si>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</si>
  <si>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</si>
  <si>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</si>
  <si>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</si>
  <si>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</si>
  <si>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</si>
  <si>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</si>
  <si>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</si>
  <si>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</si>
  <si>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</si>
  <si>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</si>
  <si>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</si>
  <si>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</si>
  <si>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</si>
  <si>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</si>
  <si>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</si>
  <si>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</si>
  <si>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</si>
  <si>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</si>
  <si>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</si>
  <si>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Grupo mayor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</si>
</sst>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A72B-2DA7-462B-9A66-410D881B305C}">
  <dimension ref="B1:V103"/>
  <sheetViews>
    <sheetView showGridLines="0" topLeftCell="P1" zoomScale="115" zoomScaleNormal="115" workbookViewId="0">
      <pane ySplit="4" topLeftCell="A15" activePane="bottomLeft" state="frozen"/>
      <selection pane="bottomLeft" activeCell="Q3" sqref="Q3:Q25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44</v>
      </c>
      <c r="C3" s="4" t="s">
        <v>45</v>
      </c>
      <c r="D3" s="4" t="s">
        <v>46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Prefijo | Disciplina (en) |</v>
      </c>
      <c r="Q3" s="5" t="str">
        <f>_xlfn.CONCAT("| ",B3," | ",C3," | ",D3," |")</f>
        <v>| Prefijo | Disciplina (en) | Disciplina (es) |</v>
      </c>
      <c r="R3" s="5" t="str">
        <f>_xlfn.CONCAT("| ",B3," | ",C3," | ",D3," | ",E3," |")</f>
        <v>| Prefijo | Disciplina (en) | Disciplina (es) | A |</v>
      </c>
      <c r="S3" s="5" t="str">
        <f>_xlfn.CONCAT("| ",B3," | ",C3," | ",D3," | ",E3," |",F3," |")</f>
        <v>| Prefijo | Disciplina (en) | Disciplina (es) | A |B |</v>
      </c>
      <c r="T3" s="5" t="str">
        <f>_xlfn.CONCAT("| ",B3," | ",C3," | ",D3," | ",E3," |",F3," |",G3," |")</f>
        <v>| Prefijo | Disciplina (en) | Disciplina (es) | A |B |C |</v>
      </c>
      <c r="U3" s="5" t="str">
        <f>_xlfn.CONCAT("| ",B3," | ",C3," | ",D3," | ",E3," | ",F3," | ",G3," | ",H3," |")</f>
        <v>| Prefijo | Disciplina (en) | Disciplina (es) | A | B | C | D |</v>
      </c>
      <c r="V3" s="5" t="str">
        <f t="shared" ref="V3:V14" si="0">_xlfn.CONCAT("| ",B3," | ",C3," | ",D3," | ",E3," |",F3," |",G3," |",H3," |",I3," |",J3," |",K3," |",L3," |",M3," |",N3," |")</f>
        <v>| Prefijo | Disciplina (en) | Disciplina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12</v>
      </c>
      <c r="C6" s="5" t="s">
        <v>49</v>
      </c>
      <c r="D6" s="5" t="s">
        <v>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B | Geotechnical |</v>
      </c>
      <c r="Q6" s="5" t="str">
        <f t="shared" si="3"/>
        <v>| B | Geotechnical | Geotecnia |</v>
      </c>
      <c r="R6" s="5" t="str">
        <f t="shared" ref="R6:R69" si="5">_xlfn.CONCAT("| ",B6," | ",C6," | ",D6," | ",E6," |")</f>
        <v>| B | Geotechnical | Geotecnia | ✓ |</v>
      </c>
      <c r="S6" s="5" t="str">
        <f t="shared" ref="S6:S69" si="6">_xlfn.CONCAT("| ",B6," | ",C6," | ",D6," | ",E6," |",F6," |")</f>
        <v>| B | Geotechnical | Geotecnia | ✓ |✕ |</v>
      </c>
      <c r="T6" s="5" t="str">
        <f t="shared" si="1"/>
        <v>| B | Geotechnical | Geotecnia | ✓ |✕ | |</v>
      </c>
      <c r="U6" s="5" t="str">
        <f t="shared" si="2"/>
        <v>| B | Geotechnical | Geotecnia | ✓ | ✕ |  |  |</v>
      </c>
      <c r="V6" s="5" t="str">
        <f t="shared" si="0"/>
        <v>| B | Geotechnical | Geotecnia | ✓ |✕ | | | | | | | | |</v>
      </c>
    </row>
    <row r="7" spans="2:22" x14ac:dyDescent="0.55000000000000004">
      <c r="B7" s="5" t="s">
        <v>13</v>
      </c>
      <c r="C7" s="5" t="s">
        <v>51</v>
      </c>
      <c r="D7" s="5" t="s">
        <v>51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 | Civil |</v>
      </c>
      <c r="Q7" s="5" t="str">
        <f t="shared" si="3"/>
        <v>| C | Civil | Civil |</v>
      </c>
      <c r="R7" s="5" t="str">
        <f t="shared" si="5"/>
        <v>| C | Civil | Civil | ✓ |</v>
      </c>
      <c r="S7" s="5" t="str">
        <f t="shared" si="6"/>
        <v>| C | Civil | Civil | ✓ |✓ |</v>
      </c>
      <c r="T7" s="5" t="str">
        <f t="shared" si="1"/>
        <v>| C | Civil | Civil | ✓ |✓ | |</v>
      </c>
      <c r="U7" s="5" t="str">
        <f t="shared" si="2"/>
        <v>| C | Civil | Civil | ✓ | ✓ |  |  |</v>
      </c>
      <c r="V7" s="5" t="str">
        <f t="shared" si="0"/>
        <v>| C | Civil | Civil | ✓ |✓ | | | | | | | | |</v>
      </c>
    </row>
    <row r="8" spans="2:22" x14ac:dyDescent="0.55000000000000004">
      <c r="B8" s="5" t="s">
        <v>14</v>
      </c>
      <c r="C8" s="5" t="s">
        <v>52</v>
      </c>
      <c r="D8" s="5" t="s">
        <v>53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D | Process |</v>
      </c>
      <c r="Q8" s="5" t="str">
        <f t="shared" si="3"/>
        <v>| D | Process | Procesos |</v>
      </c>
      <c r="R8" s="5" t="str">
        <f t="shared" si="5"/>
        <v>| D | Process | Procesos | ✓ |</v>
      </c>
      <c r="S8" s="5" t="str">
        <f t="shared" si="6"/>
        <v>| D | Process | Procesos | ✓ |✕ |</v>
      </c>
      <c r="T8" s="5" t="str">
        <f t="shared" si="1"/>
        <v>| D | Process | Procesos | ✓ |✕ | |</v>
      </c>
      <c r="U8" s="5" t="str">
        <f t="shared" si="2"/>
        <v>| D | Process | Procesos | ✓ | ✕ |  |  |</v>
      </c>
      <c r="V8" s="5" t="str">
        <f t="shared" si="0"/>
        <v>| D | Process | Procesos | ✓ |✕ | | | | | | | | |</v>
      </c>
    </row>
    <row r="9" spans="2:22" x14ac:dyDescent="0.55000000000000004">
      <c r="B9" s="5" t="s">
        <v>54</v>
      </c>
      <c r="C9" s="5" t="s">
        <v>55</v>
      </c>
      <c r="D9" s="5" t="s">
        <v>56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E | Electrical |</v>
      </c>
      <c r="Q9" s="5" t="str">
        <f t="shared" si="3"/>
        <v>| E | Electrical | Electricidad |</v>
      </c>
      <c r="R9" s="5" t="str">
        <f t="shared" si="5"/>
        <v>| E | Electrical | Electricidad | ✓ |</v>
      </c>
      <c r="S9" s="5" t="str">
        <f t="shared" si="6"/>
        <v>| E | Electrical | Electricidad | ✓ |✕ |</v>
      </c>
      <c r="T9" s="5" t="str">
        <f t="shared" si="1"/>
        <v>| E | Electrical | Electricidad | ✓ |✕ | |</v>
      </c>
      <c r="U9" s="5" t="str">
        <f t="shared" si="2"/>
        <v>| E | Electrical | Electricidad | ✓ | ✕ |  |  |</v>
      </c>
      <c r="V9" s="5" t="str">
        <f t="shared" si="0"/>
        <v>| E | Electrical | Electricidad | ✓ |✕ | | | | | | | | |</v>
      </c>
    </row>
    <row r="10" spans="2:22" x14ac:dyDescent="0.55000000000000004">
      <c r="B10" s="5" t="s">
        <v>57</v>
      </c>
      <c r="C10" s="5" t="s">
        <v>58</v>
      </c>
      <c r="D10" s="5" t="s">
        <v>59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F | Fire Protection |</v>
      </c>
      <c r="Q10" s="5" t="str">
        <f t="shared" si="3"/>
        <v>| F | Fire Protection | Protección contra incendios |</v>
      </c>
      <c r="R10" s="5" t="str">
        <f t="shared" si="5"/>
        <v>| F | Fire Protection | Protección contra incendios | ✓ |</v>
      </c>
      <c r="S10" s="5" t="str">
        <f t="shared" si="6"/>
        <v>| F | Fire Protection | Protección contra incendios | ✓ |✕ |</v>
      </c>
      <c r="T10" s="5" t="str">
        <f t="shared" si="1"/>
        <v>| F | Fire Protection | Protección contra incendios | ✓ |✕ | |</v>
      </c>
      <c r="U10" s="5" t="str">
        <f t="shared" si="2"/>
        <v>| F | Fire Protection | Protección contra incendios | ✓ | ✕ |  |  |</v>
      </c>
      <c r="V10" s="5" t="str">
        <f t="shared" si="0"/>
        <v>| F | Fire Protection | Protección contra incendios | ✓ |✕ | | | | | | | | |</v>
      </c>
    </row>
    <row r="11" spans="2:22" x14ac:dyDescent="0.55000000000000004">
      <c r="B11" s="5" t="s">
        <v>60</v>
      </c>
      <c r="C11" s="5" t="s">
        <v>61</v>
      </c>
      <c r="D11" s="5" t="s">
        <v>61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G | General |</v>
      </c>
      <c r="Q11" s="5" t="str">
        <f t="shared" si="3"/>
        <v>| G | General | General |</v>
      </c>
      <c r="R11" s="5" t="str">
        <f t="shared" si="5"/>
        <v>| G | General | General | ✓ |</v>
      </c>
      <c r="S11" s="5" t="str">
        <f t="shared" si="6"/>
        <v>| G | General | General | ✓ |✓ |</v>
      </c>
      <c r="T11" s="5" t="str">
        <f t="shared" si="1"/>
        <v>| G | General | General | ✓ |✓ | |</v>
      </c>
      <c r="U11" s="5" t="str">
        <f t="shared" si="2"/>
        <v>| G | General | General | ✓ | ✓ |  |  |</v>
      </c>
      <c r="V11" s="5" t="str">
        <f t="shared" si="0"/>
        <v>| G | General | General | ✓ |✓ | | | | | | | | |</v>
      </c>
    </row>
    <row r="12" spans="2:22" x14ac:dyDescent="0.55000000000000004">
      <c r="B12" s="5" t="s">
        <v>62</v>
      </c>
      <c r="C12" s="5" t="s">
        <v>63</v>
      </c>
      <c r="D12" s="5" t="s">
        <v>64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H | Hazardous Materials |</v>
      </c>
      <c r="Q12" s="5" t="str">
        <f t="shared" si="3"/>
        <v>| H | Hazardous Materials | Materiales peligrosos |</v>
      </c>
      <c r="R12" s="5" t="str">
        <f t="shared" si="5"/>
        <v>| H | Hazardous Materials | Materiales peligrosos |  |</v>
      </c>
      <c r="S12" s="5" t="str">
        <f t="shared" si="6"/>
        <v>| H | Hazardous Materials | Materiales peligrosos |  | |</v>
      </c>
      <c r="T12" s="5" t="str">
        <f t="shared" si="1"/>
        <v>| H | Hazardous Materials | Materiales peligrosos |  | | |</v>
      </c>
      <c r="U12" s="5"/>
      <c r="V12" s="5" t="str">
        <f t="shared" si="0"/>
        <v>| H | Hazardous Materials | Materiales peligrosos |  | | | | | | | | | |</v>
      </c>
    </row>
    <row r="13" spans="2:22" x14ac:dyDescent="0.55000000000000004">
      <c r="B13" s="5" t="s">
        <v>65</v>
      </c>
      <c r="C13" s="5" t="s">
        <v>66</v>
      </c>
      <c r="D13" s="5" t="s">
        <v>67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I | Interiors |</v>
      </c>
      <c r="Q13" s="5" t="str">
        <f t="shared" si="3"/>
        <v>| I | Interiors | Interiores |</v>
      </c>
      <c r="R13" s="5" t="str">
        <f t="shared" si="5"/>
        <v>| I | Interiors | Interiores |  |</v>
      </c>
      <c r="S13" s="5" t="str">
        <f t="shared" si="6"/>
        <v>| I | Interiors | Interiores |  | |</v>
      </c>
      <c r="T13" s="5" t="str">
        <f t="shared" si="1"/>
        <v>| I | Interiors | Interiores |  | | |</v>
      </c>
      <c r="U13" s="5"/>
      <c r="V13" s="5" t="str">
        <f t="shared" si="0"/>
        <v>| I | Interiors | Interiores |  | | | | | | | | | |</v>
      </c>
    </row>
    <row r="14" spans="2:22" x14ac:dyDescent="0.55000000000000004">
      <c r="B14" s="5" t="s">
        <v>68</v>
      </c>
      <c r="C14" s="5" t="s">
        <v>69</v>
      </c>
      <c r="D14" s="5" t="s">
        <v>70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L | Landscape |</v>
      </c>
      <c r="Q14" s="5" t="str">
        <f t="shared" si="3"/>
        <v>| L | Landscape | Paisajismo |</v>
      </c>
      <c r="R14" s="5" t="str">
        <f t="shared" si="5"/>
        <v>| L | Landscape | Paisajismo |  |</v>
      </c>
      <c r="S14" s="5" t="str">
        <f t="shared" si="6"/>
        <v>| L | Landscape | Paisajismo |  | |</v>
      </c>
      <c r="T14" s="5" t="str">
        <f t="shared" si="1"/>
        <v>| L | Landscape | Paisajismo |  | | |</v>
      </c>
      <c r="U14" s="5"/>
      <c r="V14" s="5" t="str">
        <f t="shared" si="0"/>
        <v>| L | Landscape | Paisajismo |  | | | | | | | | | |</v>
      </c>
    </row>
    <row r="15" spans="2:22" x14ac:dyDescent="0.55000000000000004">
      <c r="B15" s="5" t="s">
        <v>71</v>
      </c>
      <c r="C15" s="5" t="s">
        <v>72</v>
      </c>
      <c r="D15" s="5" t="s">
        <v>73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M | Mechanical | Mecánica |</v>
      </c>
      <c r="R15" s="5"/>
      <c r="S15" s="5"/>
      <c r="T15" s="5"/>
      <c r="U15" s="5"/>
      <c r="V15" s="5"/>
    </row>
    <row r="16" spans="2:22" x14ac:dyDescent="0.55000000000000004">
      <c r="B16" s="5" t="s">
        <v>74</v>
      </c>
      <c r="C16" s="5" t="s">
        <v>75</v>
      </c>
      <c r="D16" s="5" t="s">
        <v>76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O | Operations | Operaciones |</v>
      </c>
      <c r="R16" s="5"/>
      <c r="S16" s="5"/>
      <c r="T16" s="5"/>
      <c r="U16" s="5"/>
      <c r="V16" s="5"/>
    </row>
    <row r="17" spans="2:22" x14ac:dyDescent="0.55000000000000004">
      <c r="B17" s="5" t="s">
        <v>77</v>
      </c>
      <c r="C17" s="5" t="s">
        <v>78</v>
      </c>
      <c r="D17" s="5" t="s">
        <v>79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P | Plumbing | Fontanería |</v>
      </c>
      <c r="R17" s="5"/>
      <c r="S17" s="5"/>
      <c r="T17" s="5"/>
      <c r="U17" s="5"/>
      <c r="V17" s="5"/>
    </row>
    <row r="18" spans="2:22" x14ac:dyDescent="0.55000000000000004">
      <c r="B18" s="5" t="s">
        <v>80</v>
      </c>
      <c r="C18" s="5" t="s">
        <v>81</v>
      </c>
      <c r="D18" s="5" t="s">
        <v>82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Q | Equipment | Equipos |</v>
      </c>
      <c r="R18" s="5"/>
      <c r="S18" s="5"/>
      <c r="T18" s="5"/>
      <c r="U18" s="5"/>
      <c r="V18" s="5"/>
    </row>
    <row r="19" spans="2:22" x14ac:dyDescent="0.55000000000000004">
      <c r="B19" s="5" t="s">
        <v>83</v>
      </c>
      <c r="C19" s="5" t="s">
        <v>84</v>
      </c>
      <c r="D19" s="5" t="s">
        <v>85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R | Resource | Recursos |</v>
      </c>
      <c r="R19" s="5"/>
      <c r="S19" s="5"/>
      <c r="T19" s="5"/>
      <c r="U19" s="5"/>
      <c r="V19" s="5"/>
    </row>
    <row r="20" spans="2:22" x14ac:dyDescent="0.55000000000000004">
      <c r="B20" s="5" t="s">
        <v>86</v>
      </c>
      <c r="C20" s="5" t="s">
        <v>87</v>
      </c>
      <c r="D20" s="5" t="s">
        <v>88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S | Structural | Estructura |</v>
      </c>
      <c r="R20" s="5"/>
      <c r="S20" s="5"/>
      <c r="T20" s="5"/>
      <c r="U20" s="5"/>
      <c r="V20" s="5"/>
    </row>
    <row r="21" spans="2:22" x14ac:dyDescent="0.55000000000000004">
      <c r="B21" s="5" t="s">
        <v>89</v>
      </c>
      <c r="C21" s="5" t="s">
        <v>90</v>
      </c>
      <c r="D21" s="5" t="s">
        <v>91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T | Telecommunications | Telecomunicaciones |</v>
      </c>
      <c r="R21" s="5"/>
      <c r="S21" s="5"/>
      <c r="T21" s="5"/>
      <c r="U21" s="5"/>
      <c r="V21" s="5"/>
    </row>
    <row r="22" spans="2:22" x14ac:dyDescent="0.55000000000000004">
      <c r="B22" s="5" t="s">
        <v>92</v>
      </c>
      <c r="C22" s="5" t="s">
        <v>93</v>
      </c>
      <c r="D22" s="5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V | Survey / Mapping | Topografía / Cartografía |</v>
      </c>
      <c r="R22" s="5"/>
      <c r="S22" s="5"/>
      <c r="T22" s="5"/>
      <c r="U22" s="5"/>
      <c r="V22" s="5"/>
    </row>
    <row r="23" spans="2:22" x14ac:dyDescent="0.55000000000000004">
      <c r="B23" s="5" t="s">
        <v>95</v>
      </c>
      <c r="C23" s="5" t="s">
        <v>96</v>
      </c>
      <c r="D23" s="5" t="s">
        <v>97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W | Distributed Energy | Energía distribuida |</v>
      </c>
      <c r="R23" s="5"/>
      <c r="S23" s="5"/>
      <c r="T23" s="5"/>
      <c r="U23" s="5"/>
      <c r="V23" s="5"/>
    </row>
    <row r="24" spans="2:22" x14ac:dyDescent="0.55000000000000004">
      <c r="B24" s="5" t="s">
        <v>98</v>
      </c>
      <c r="C24" s="5" t="s">
        <v>99</v>
      </c>
      <c r="D24" s="5" t="s">
        <v>100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X | Other Disciplines | Otras disciplinas |</v>
      </c>
      <c r="R24" s="5"/>
      <c r="S24" s="5"/>
      <c r="T24" s="5"/>
      <c r="U24" s="5"/>
      <c r="V24" s="5"/>
    </row>
    <row r="25" spans="2:22" x14ac:dyDescent="0.55000000000000004">
      <c r="B25" s="5" t="s">
        <v>101</v>
      </c>
      <c r="C25" s="5" t="s">
        <v>102</v>
      </c>
      <c r="D25" s="5" t="s">
        <v>103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Z | Contractor / Shop Drawings | Contratista / Planos de taller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59B0-A9F3-4AC9-9B5A-B5DFBED78A41}">
  <dimension ref="B1:V103"/>
  <sheetViews>
    <sheetView showGridLines="0" topLeftCell="L1" zoomScale="115" zoomScaleNormal="115" workbookViewId="0">
      <pane ySplit="4" topLeftCell="A23" activePane="bottomLeft" state="frozen"/>
      <selection pane="bottomLeft" activeCell="Q24" sqref="Q24:Q34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119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Designador | Descripción (en) |</v>
      </c>
      <c r="Q3" s="5" t="str">
        <f>_xlfn.CONCAT("| ",B3," | ",C3," | ",D3," |")</f>
        <v>| Designador | Descripción (en) | Descripción (es) |</v>
      </c>
      <c r="R3" s="5" t="str">
        <f>_xlfn.CONCAT("| ",B3," | ",C3," | ",D3," | ",E3," |")</f>
        <v>| Designador | Descripción (en) | Descripción (es) | A |</v>
      </c>
      <c r="S3" s="5" t="str">
        <f>_xlfn.CONCAT("| ",B3," | ",C3," | ",D3," | ",E3," |",F3," |")</f>
        <v>| Designador | Descripción (en) | Descripción (es) | A |B |</v>
      </c>
      <c r="T3" s="5" t="str">
        <f>_xlfn.CONCAT("| ",B3," | ",C3," | ",D3," | ",E3," |",F3," |",G3," |")</f>
        <v>| Designador | Descripción (en) | Descripción (es) | A |B |C |</v>
      </c>
      <c r="U3" s="5" t="str">
        <f>_xlfn.CONCAT("| ",B3," | ",C3," | ",D3," | ",E3," | ",F3," | ",G3," | ",H3," |")</f>
        <v>| Designador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Designador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ht="30.75" x14ac:dyDescent="0.55000000000000004">
      <c r="B6" s="5" t="s">
        <v>104</v>
      </c>
      <c r="C6" s="5" t="s">
        <v>105</v>
      </c>
      <c r="D6" s="5" t="s">
        <v>120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AD | Architectural Demolition |</v>
      </c>
      <c r="Q6" s="5" t="str">
        <f t="shared" si="3"/>
        <v>| AD | Architectural Demolition | Demolición arquitectónica |</v>
      </c>
      <c r="R6" s="5" t="str">
        <f t="shared" ref="R6:R69" si="5">_xlfn.CONCAT("| ",B6," | ",C6," | ",D6," | ",E6," |")</f>
        <v>| AD | Architectural Demolition | Demolición arquitectónica | ✓ |</v>
      </c>
      <c r="S6" s="5" t="str">
        <f t="shared" ref="S6:S69" si="6">_xlfn.CONCAT("| ",B6," | ",C6," | ",D6," | ",E6," |",F6," |")</f>
        <v>| AD | Architectural Demolition | Demolición arquitectónica | ✓ |✕ |</v>
      </c>
      <c r="T6" s="5" t="str">
        <f t="shared" si="1"/>
        <v>| AD | Architectural Demolition | Demolición arquitectónica | ✓ |✕ | |</v>
      </c>
      <c r="U6" s="5" t="str">
        <f t="shared" si="2"/>
        <v>| AD | Architectural Demolition | Demolición arquitectónica | ✓ | ✕ |  |  |</v>
      </c>
      <c r="V6" s="5" t="str">
        <f t="shared" si="0"/>
        <v>| AD | Architectural Demolition | Demolición arquitectónica | ✓ |✕ | | | | | | | | |</v>
      </c>
    </row>
    <row r="7" spans="2:22" ht="30.75" x14ac:dyDescent="0.55000000000000004">
      <c r="B7" s="5" t="s">
        <v>106</v>
      </c>
      <c r="C7" s="5" t="s">
        <v>107</v>
      </c>
      <c r="D7" s="5" t="s">
        <v>121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 | Architectural Elements |</v>
      </c>
      <c r="Q7" s="5" t="str">
        <f t="shared" si="3"/>
        <v>| AE | Architectural Elements | Elementos arquitectónicos |</v>
      </c>
      <c r="R7" s="5" t="str">
        <f t="shared" si="5"/>
        <v>| AE | Architectural Elements | Elementos arquitectónicos | ✓ |</v>
      </c>
      <c r="S7" s="5" t="str">
        <f t="shared" si="6"/>
        <v>| AE | Architectural Elements | Elementos arquitectónicos | ✓ |✓ |</v>
      </c>
      <c r="T7" s="5" t="str">
        <f t="shared" si="1"/>
        <v>| AE | Architectural Elements | Elementos arquitectónicos | ✓ |✓ | |</v>
      </c>
      <c r="U7" s="5" t="str">
        <f t="shared" si="2"/>
        <v>| AE | Architectural Elements | Elementos arquitectónicos | ✓ | ✓ |  |  |</v>
      </c>
      <c r="V7" s="5" t="str">
        <f t="shared" si="0"/>
        <v>| AE | Architectural Elements | Elementos arquitectónicos | ✓ |✓ | | | | | | | | |</v>
      </c>
    </row>
    <row r="8" spans="2:22" x14ac:dyDescent="0.55000000000000004">
      <c r="B8" s="5" t="s">
        <v>108</v>
      </c>
      <c r="C8" s="5" t="s">
        <v>109</v>
      </c>
      <c r="D8" s="5" t="s">
        <v>122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 | Architectural Finishes |</v>
      </c>
      <c r="Q8" s="5" t="str">
        <f t="shared" si="3"/>
        <v>| AF | Architectural Finishes | Acabados arquitectónicos |</v>
      </c>
      <c r="R8" s="5" t="str">
        <f t="shared" si="5"/>
        <v>| AF | Architectural Finishes | Acabados arquitectónicos | ✓ |</v>
      </c>
      <c r="S8" s="5" t="str">
        <f t="shared" si="6"/>
        <v>| AF | Architectural Finishes | Acabados arquitectónicos | ✓ |✕ |</v>
      </c>
      <c r="T8" s="5" t="str">
        <f t="shared" si="1"/>
        <v>| AF | Architectural Finishes | Acabados arquitectónicos | ✓ |✕ | |</v>
      </c>
      <c r="U8" s="5" t="str">
        <f t="shared" si="2"/>
        <v>| AF | Architectural Finishes | Acabados arquitectónicos | ✓ | ✕ |  |  |</v>
      </c>
      <c r="V8" s="5" t="str">
        <f t="shared" si="0"/>
        <v>| AF | Architectural Finishes | Acabados arquitectónicos | ✓ |✕ | | | | | | | | |</v>
      </c>
    </row>
    <row r="9" spans="2:22" x14ac:dyDescent="0.55000000000000004">
      <c r="B9" s="5" t="s">
        <v>110</v>
      </c>
      <c r="C9" s="5" t="s">
        <v>111</v>
      </c>
      <c r="D9" s="5" t="s">
        <v>123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AG | Architectural Graphics |</v>
      </c>
      <c r="Q9" s="5" t="str">
        <f t="shared" si="3"/>
        <v>| AG | Architectural Graphics | Gráficos arquitectónicos |</v>
      </c>
      <c r="R9" s="5" t="str">
        <f t="shared" si="5"/>
        <v>| AG | Architectural Graphics | Gráficos arquitectónicos | ✓ |</v>
      </c>
      <c r="S9" s="5" t="str">
        <f t="shared" si="6"/>
        <v>| AG | Architectural Graphics | Gráficos arquitectónicos | ✓ |✕ |</v>
      </c>
      <c r="T9" s="5" t="str">
        <f t="shared" si="1"/>
        <v>| AG | Architectural Graphics | Gráficos arquitectónicos | ✓ |✕ | |</v>
      </c>
      <c r="U9" s="5" t="str">
        <f t="shared" si="2"/>
        <v>| AG | Architectural Graphics | Gráficos arquitectónicos | ✓ | ✕ |  |  |</v>
      </c>
      <c r="V9" s="5" t="str">
        <f t="shared" si="0"/>
        <v>| AG | Architectural Graphics | Gráficos arquitectónicos | ✓ |✕ | | | | | | | | |</v>
      </c>
    </row>
    <row r="10" spans="2:22" x14ac:dyDescent="0.55000000000000004">
      <c r="B10" s="5" t="s">
        <v>112</v>
      </c>
      <c r="C10" s="5" t="s">
        <v>113</v>
      </c>
      <c r="D10" s="5" t="s">
        <v>124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 | Architectural Interiors |</v>
      </c>
      <c r="Q10" s="5" t="str">
        <f t="shared" si="3"/>
        <v>| AI | Architectural Interiors | Interiores arquitectónicos |</v>
      </c>
      <c r="R10" s="5" t="str">
        <f t="shared" si="5"/>
        <v>| AI | Architectural Interiors | Interiores arquitectónicos | ✓ |</v>
      </c>
      <c r="S10" s="5" t="str">
        <f t="shared" si="6"/>
        <v>| AI | Architectural Interiors | Interiores arquitectónicos | ✓ |✕ |</v>
      </c>
      <c r="T10" s="5" t="str">
        <f t="shared" si="1"/>
        <v>| AI | Architectural Interiors | Interiores arquitectónicos | ✓ |✕ | |</v>
      </c>
      <c r="U10" s="5" t="str">
        <f t="shared" si="2"/>
        <v>| AI | Architectural Interiors | Interiores arquitectónicos | ✓ | ✕ |  |  |</v>
      </c>
      <c r="V10" s="5" t="str">
        <f t="shared" si="0"/>
        <v>| AI | Architectural Interiors | Interiores arquitectónicos | ✓ |✕ | | | | | | | | |</v>
      </c>
    </row>
    <row r="11" spans="2:22" x14ac:dyDescent="0.55000000000000004">
      <c r="B11" s="5" t="s">
        <v>114</v>
      </c>
      <c r="C11" s="5" t="s">
        <v>115</v>
      </c>
      <c r="D11" s="5" t="s">
        <v>125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AJ | User Defined |</v>
      </c>
      <c r="Q11" s="5" t="str">
        <f t="shared" si="3"/>
        <v>| AJ | User Defined | Definido por el usuario |</v>
      </c>
      <c r="R11" s="5" t="str">
        <f t="shared" si="5"/>
        <v>| AJ | User Defined | Definido por el usuario | ✓ |</v>
      </c>
      <c r="S11" s="5" t="str">
        <f t="shared" si="6"/>
        <v>| AJ | User Defined | Definido por el usuario | ✓ |✓ |</v>
      </c>
      <c r="T11" s="5" t="str">
        <f t="shared" si="1"/>
        <v>| AJ | User Defined | Definido por el usuario | ✓ |✓ | |</v>
      </c>
      <c r="U11" s="5" t="str">
        <f t="shared" si="2"/>
        <v>| AJ | User Defined | Definido por el usuario | ✓ | ✓ |  |  |</v>
      </c>
      <c r="V11" s="5" t="str">
        <f t="shared" si="0"/>
        <v>| AJ | User Defined | Definido por el usuario | ✓ |✓ | | | | | | | | |</v>
      </c>
    </row>
    <row r="12" spans="2:22" x14ac:dyDescent="0.55000000000000004">
      <c r="B12" s="5" t="s">
        <v>116</v>
      </c>
      <c r="C12" s="5" t="s">
        <v>115</v>
      </c>
      <c r="D12" s="5" t="s">
        <v>125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AK | User Defined |</v>
      </c>
      <c r="Q12" s="5" t="str">
        <f t="shared" si="3"/>
        <v>| AK | User Defined | Definido por el usuario |</v>
      </c>
      <c r="R12" s="5" t="str">
        <f t="shared" si="5"/>
        <v>| AK | User Defined | Definido por el usuario |  |</v>
      </c>
      <c r="S12" s="5" t="str">
        <f t="shared" si="6"/>
        <v>| AK | User Defined | Definido por el usuario |  | |</v>
      </c>
      <c r="T12" s="5" t="str">
        <f t="shared" si="1"/>
        <v>| AK | User Defined | Definido por el usuario |  | | |</v>
      </c>
      <c r="U12" s="5"/>
      <c r="V12" s="5" t="str">
        <f t="shared" si="0"/>
        <v>| AK | User Defined | Definido por el usuario |  | | | | | | | | | |</v>
      </c>
    </row>
    <row r="13" spans="2:22" x14ac:dyDescent="0.55000000000000004">
      <c r="B13" s="5" t="s">
        <v>117</v>
      </c>
      <c r="C13" s="5" t="s">
        <v>118</v>
      </c>
      <c r="D13" s="5" t="s">
        <v>126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AS | Architectural Site |</v>
      </c>
      <c r="Q13" s="5" t="str">
        <f t="shared" si="3"/>
        <v>| AS | Architectural Site | Sitio arquitectónico |</v>
      </c>
      <c r="R13" s="5" t="str">
        <f t="shared" si="5"/>
        <v>| AS | Architectural Site | Sitio arquitectónico |  |</v>
      </c>
      <c r="S13" s="5" t="str">
        <f t="shared" si="6"/>
        <v>| AS | Architectural Site | Sitio arquitectónico |  | |</v>
      </c>
      <c r="T13" s="5" t="str">
        <f t="shared" si="1"/>
        <v>| AS | Architectural Site | Sitio arquitectónico |  | | |</v>
      </c>
      <c r="U13" s="5"/>
      <c r="V13" s="5" t="str">
        <f t="shared" si="0"/>
        <v>| AS | Architectural Site | Sitio arquitectónico |  | | | | | | | | | |</v>
      </c>
    </row>
    <row r="14" spans="2:22" x14ac:dyDescent="0.55000000000000004">
      <c r="B14" s="5" t="s">
        <v>54</v>
      </c>
      <c r="C14" s="5" t="s">
        <v>55</v>
      </c>
      <c r="D14" s="5" t="s">
        <v>56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E | Electrical |</v>
      </c>
      <c r="Q14" s="5" t="str">
        <f t="shared" si="3"/>
        <v>| E | Electrical | Electricidad |</v>
      </c>
      <c r="R14" s="5" t="str">
        <f t="shared" si="5"/>
        <v>| E | Electrical | Electricidad |  |</v>
      </c>
      <c r="S14" s="5" t="str">
        <f t="shared" si="6"/>
        <v>| E | Electrical | Electricidad |  | |</v>
      </c>
      <c r="T14" s="5" t="str">
        <f t="shared" si="1"/>
        <v>| E | Electrical | Electricidad |  | | |</v>
      </c>
      <c r="U14" s="5"/>
      <c r="V14" s="5" t="str">
        <f t="shared" si="0"/>
        <v>| E | Electrical | Electricidad |  | | | | | | | | | |</v>
      </c>
    </row>
    <row r="15" spans="2:22" x14ac:dyDescent="0.55000000000000004">
      <c r="B15" s="5" t="s">
        <v>151</v>
      </c>
      <c r="C15" s="5" t="s">
        <v>152</v>
      </c>
      <c r="D15" s="5" t="s">
        <v>153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ED | Electrical Demolition | Demolición eléctrica |</v>
      </c>
      <c r="R15" s="5"/>
      <c r="S15" s="5"/>
      <c r="T15" s="5"/>
      <c r="U15" s="5"/>
      <c r="V15" s="5"/>
    </row>
    <row r="16" spans="2:22" x14ac:dyDescent="0.55000000000000004">
      <c r="B16" s="5" t="s">
        <v>154</v>
      </c>
      <c r="C16" s="5" t="s">
        <v>155</v>
      </c>
      <c r="D16" s="5" t="s">
        <v>156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EI | Electrical Instrumentation | Instrumentación eléctrica |</v>
      </c>
      <c r="R16" s="5"/>
      <c r="S16" s="5"/>
      <c r="T16" s="5"/>
      <c r="U16" s="5"/>
      <c r="V16" s="5"/>
    </row>
    <row r="17" spans="2:22" x14ac:dyDescent="0.55000000000000004">
      <c r="B17" s="5" t="s">
        <v>157</v>
      </c>
      <c r="C17" s="5" t="s">
        <v>115</v>
      </c>
      <c r="D17" s="5" t="s">
        <v>125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EJ | User Defined | Definido por el usuario |</v>
      </c>
      <c r="R17" s="5"/>
      <c r="S17" s="5"/>
      <c r="T17" s="5"/>
      <c r="U17" s="5"/>
      <c r="V17" s="5"/>
    </row>
    <row r="18" spans="2:22" x14ac:dyDescent="0.55000000000000004">
      <c r="B18" s="5" t="s">
        <v>158</v>
      </c>
      <c r="C18" s="5" t="s">
        <v>115</v>
      </c>
      <c r="D18" s="5" t="s">
        <v>125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EK | User Defined | Definido por el usuario |</v>
      </c>
      <c r="R18" s="5"/>
      <c r="S18" s="5"/>
      <c r="T18" s="5"/>
      <c r="U18" s="5"/>
      <c r="V18" s="5"/>
    </row>
    <row r="19" spans="2:22" x14ac:dyDescent="0.55000000000000004">
      <c r="B19" s="5" t="s">
        <v>159</v>
      </c>
      <c r="C19" s="5" t="s">
        <v>160</v>
      </c>
      <c r="D19" s="5" t="s">
        <v>161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EL | Electrical Lighting | Iluminación eléctrica |</v>
      </c>
      <c r="R19" s="5"/>
      <c r="S19" s="5"/>
      <c r="T19" s="5"/>
      <c r="U19" s="5"/>
      <c r="V19" s="5"/>
    </row>
    <row r="20" spans="2:22" x14ac:dyDescent="0.55000000000000004">
      <c r="B20" s="5" t="s">
        <v>162</v>
      </c>
      <c r="C20" s="5" t="s">
        <v>163</v>
      </c>
      <c r="D20" s="5" t="s">
        <v>164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EP | Electrical Power | Energía eléctrica |</v>
      </c>
      <c r="R20" s="5"/>
      <c r="S20" s="5"/>
      <c r="T20" s="5"/>
      <c r="U20" s="5"/>
      <c r="V20" s="5"/>
    </row>
    <row r="21" spans="2:22" x14ac:dyDescent="0.55000000000000004">
      <c r="B21" s="5" t="s">
        <v>165</v>
      </c>
      <c r="C21" s="5" t="s">
        <v>166</v>
      </c>
      <c r="D21" s="5" t="s">
        <v>167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ES | Electrical Site | Sitio eléctrico |</v>
      </c>
      <c r="R21" s="5"/>
      <c r="S21" s="5"/>
      <c r="T21" s="5"/>
      <c r="U21" s="5"/>
      <c r="V21" s="5"/>
    </row>
    <row r="22" spans="2:22" x14ac:dyDescent="0.55000000000000004">
      <c r="B22" s="5" t="s">
        <v>168</v>
      </c>
      <c r="C22" s="5" t="s">
        <v>169</v>
      </c>
      <c r="D22" s="5" t="s">
        <v>170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ET | Electrical Telecommunications | Telecomunicaciones eléctricas |</v>
      </c>
      <c r="R22" s="5"/>
      <c r="S22" s="5"/>
      <c r="T22" s="5"/>
      <c r="U22" s="5"/>
      <c r="V22" s="5"/>
    </row>
    <row r="23" spans="2:22" x14ac:dyDescent="0.55000000000000004">
      <c r="B23" s="5" t="s">
        <v>171</v>
      </c>
      <c r="C23" s="5" t="s">
        <v>172</v>
      </c>
      <c r="D23" s="5" t="s">
        <v>173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EY | Electrical Auxiliary Systems | Sistemas auxiliares eléctricos |</v>
      </c>
      <c r="R23" s="5"/>
      <c r="S23" s="5"/>
      <c r="T23" s="5"/>
      <c r="U23" s="5"/>
      <c r="V23" s="5"/>
    </row>
    <row r="24" spans="2:22" x14ac:dyDescent="0.55000000000000004">
      <c r="B24" s="5" t="s">
        <v>13</v>
      </c>
      <c r="C24" s="5" t="s">
        <v>51</v>
      </c>
      <c r="D24" s="5" t="s">
        <v>51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C | Civil | Civil |</v>
      </c>
      <c r="R24" s="5"/>
      <c r="S24" s="5"/>
      <c r="T24" s="5"/>
      <c r="U24" s="5"/>
      <c r="V24" s="5"/>
    </row>
    <row r="25" spans="2:22" x14ac:dyDescent="0.55000000000000004">
      <c r="B25" s="5" t="s">
        <v>174</v>
      </c>
      <c r="C25" s="5" t="s">
        <v>175</v>
      </c>
      <c r="D25" s="5" t="s">
        <v>176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CD | Civil Demolition | Demolición Civil |</v>
      </c>
      <c r="R25" s="5"/>
      <c r="S25" s="5"/>
      <c r="T25" s="5"/>
      <c r="U25" s="5"/>
      <c r="V25" s="5"/>
    </row>
    <row r="26" spans="2:22" x14ac:dyDescent="0.55000000000000004">
      <c r="B26" s="4" t="s">
        <v>177</v>
      </c>
      <c r="C26" s="4" t="s">
        <v>178</v>
      </c>
      <c r="D26" s="4" t="s">
        <v>179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CG | Civil Grading | Nivelación Civil |</v>
      </c>
      <c r="R26" s="5"/>
      <c r="S26" s="5"/>
      <c r="T26" s="5"/>
      <c r="U26" s="5"/>
      <c r="V26" s="5"/>
    </row>
    <row r="27" spans="2:22" x14ac:dyDescent="0.55000000000000004">
      <c r="B27" s="4" t="s">
        <v>180</v>
      </c>
      <c r="C27" s="4" t="s">
        <v>181</v>
      </c>
      <c r="D27" s="4" t="s">
        <v>182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CI | Civil Improvements | Mejoras Civiles |</v>
      </c>
      <c r="R27" s="5"/>
      <c r="S27" s="5"/>
      <c r="T27" s="5"/>
      <c r="U27" s="5"/>
      <c r="V27" s="5"/>
    </row>
    <row r="28" spans="2:22" x14ac:dyDescent="0.55000000000000004">
      <c r="B28" s="4" t="s">
        <v>183</v>
      </c>
      <c r="C28" s="4" t="s">
        <v>115</v>
      </c>
      <c r="D28" s="4" t="s">
        <v>184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CJ | User Defined | Definido por el Usuario |</v>
      </c>
      <c r="R28" s="5"/>
      <c r="S28" s="5"/>
      <c r="T28" s="5"/>
      <c r="U28" s="5"/>
      <c r="V28" s="5"/>
    </row>
    <row r="29" spans="2:22" x14ac:dyDescent="0.55000000000000004">
      <c r="B29" s="4" t="s">
        <v>185</v>
      </c>
      <c r="C29" s="4" t="s">
        <v>115</v>
      </c>
      <c r="D29" s="4" t="s">
        <v>184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CK | User Defined | Definido por el Usuario |</v>
      </c>
      <c r="R29" s="5"/>
      <c r="S29" s="5"/>
      <c r="T29" s="5"/>
      <c r="U29" s="5"/>
      <c r="V29" s="5"/>
    </row>
    <row r="30" spans="2:22" x14ac:dyDescent="0.55000000000000004">
      <c r="B30" s="4" t="s">
        <v>186</v>
      </c>
      <c r="C30" s="4" t="s">
        <v>187</v>
      </c>
      <c r="D30" s="4" t="s">
        <v>188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CN | Civil Nodes | Nudos Civiles |</v>
      </c>
      <c r="R30" s="5"/>
      <c r="S30" s="5"/>
      <c r="T30" s="5"/>
      <c r="U30" s="5"/>
      <c r="V30" s="5"/>
    </row>
    <row r="31" spans="2:22" x14ac:dyDescent="0.55000000000000004">
      <c r="B31" s="4" t="s">
        <v>189</v>
      </c>
      <c r="C31" s="4" t="s">
        <v>190</v>
      </c>
      <c r="D31" s="4" t="s">
        <v>191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CP | Civil Paving | Pavimentación Civil |</v>
      </c>
      <c r="R31" s="5"/>
      <c r="S31" s="5"/>
      <c r="T31" s="5"/>
      <c r="U31" s="5"/>
      <c r="V31" s="5"/>
    </row>
    <row r="32" spans="2:22" x14ac:dyDescent="0.55000000000000004">
      <c r="B32" s="5" t="s">
        <v>192</v>
      </c>
      <c r="C32" s="4" t="s">
        <v>193</v>
      </c>
      <c r="D32" s="4" t="s">
        <v>194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CS | Civil Site | Sitio Civil |</v>
      </c>
      <c r="R32" s="5"/>
      <c r="S32" s="5"/>
      <c r="T32" s="5"/>
      <c r="U32" s="5"/>
      <c r="V32" s="5"/>
    </row>
    <row r="33" spans="2:22" x14ac:dyDescent="0.55000000000000004">
      <c r="B33" s="5" t="s">
        <v>195</v>
      </c>
      <c r="C33" s="4" t="s">
        <v>196</v>
      </c>
      <c r="D33" s="4" t="s">
        <v>197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CT | Civil Transportation | Transporte Civil |</v>
      </c>
      <c r="R33" s="5"/>
      <c r="S33" s="5"/>
      <c r="T33" s="5"/>
      <c r="U33" s="5"/>
      <c r="V33" s="5"/>
    </row>
    <row r="34" spans="2:22" x14ac:dyDescent="0.55000000000000004">
      <c r="B34" s="4" t="s">
        <v>198</v>
      </c>
      <c r="C34" s="4" t="s">
        <v>199</v>
      </c>
      <c r="D34" s="4" t="s">
        <v>200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CU | Civil Utilities | Servicios Civiles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3ECC1-3B1D-4C8A-92C3-A53ACBB569A1}">
  <dimension ref="B1:V215"/>
  <sheetViews>
    <sheetView showGridLines="0" tabSelected="1" topLeftCell="P1" zoomScale="115" zoomScaleNormal="115" workbookViewId="0">
      <pane ySplit="4" topLeftCell="A187" activePane="bottomLeft" state="frozen"/>
      <selection pane="bottomLeft" activeCell="Q200" sqref="Q200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766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Grupo mayor | Descripción (en) |</v>
      </c>
      <c r="Q3" s="5" t="str">
        <f>_xlfn.CONCAT("| ",B3," | ",C3," | ",D3," |")</f>
        <v>| Grupo mayor | Descripción (en) | Descripción (es) |</v>
      </c>
      <c r="R3" s="5" t="str">
        <f>_xlfn.CONCAT("| ",B3," | ",C3," | ",D3," | ",E3," |")</f>
        <v>| Grupo mayor | Descripción (en) | Descripción (es) | A |</v>
      </c>
      <c r="S3" s="5" t="str">
        <f>_xlfn.CONCAT("| ",B3," | ",C3," | ",D3," | ",E3," |",F3," |")</f>
        <v>| Grupo mayor | Descripción (en) | Descripción (es) | A |B |</v>
      </c>
      <c r="T3" s="5" t="str">
        <f>_xlfn.CONCAT("| ",B3," | ",C3," | ",D3," | ",E3," |",F3," |",G3," |")</f>
        <v>| Grupo mayor | Descripción (en) | Descripción (es) | A |B |C |</v>
      </c>
      <c r="U3" s="5" t="str">
        <f>_xlfn.CONCAT("| ",B3," | ",C3," | ",D3," | ",E3," | ",F3," | ",G3," | ",H3," |")</f>
        <v>| Grupo mayor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Grupo mayor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201</v>
      </c>
      <c r="C5" s="5" t="s">
        <v>202</v>
      </c>
      <c r="D5" s="5" t="s">
        <v>203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ACCS | Access |</v>
      </c>
      <c r="Q5" s="5" t="str">
        <f t="shared" ref="Q5:Q68" si="3">_xlfn.CONCAT("| ",B5," | ",C5," | ",D5," |")</f>
        <v>| ACCS | Access | Acceso |</v>
      </c>
      <c r="R5" s="5" t="str">
        <f>_xlfn.CONCAT("| ",B5," | ",C5," | ",D5," | ",E5," |")</f>
        <v>| ACCS | Access | Acceso | ✓ |</v>
      </c>
      <c r="S5" s="5" t="str">
        <f>_xlfn.CONCAT("| ",B5," | ",C5," | ",D5," | ",E5," |",F5," |")</f>
        <v>| ACCS | Access | Acceso | ✓ |✓ |</v>
      </c>
      <c r="T5" s="5" t="str">
        <f t="shared" si="1"/>
        <v>| ACCS | Access | Acceso | ✓ |✓ | |</v>
      </c>
      <c r="U5" s="5" t="str">
        <f t="shared" si="2"/>
        <v>| ACCS | Access | Acceso | ✓ | ✓ |  |  |</v>
      </c>
      <c r="V5" s="5" t="str">
        <f t="shared" si="0"/>
        <v>| ACCS | Access | Acceso | ✓ |✓ | | | | | | | | |</v>
      </c>
    </row>
    <row r="6" spans="2:22" ht="30.75" x14ac:dyDescent="0.55000000000000004">
      <c r="B6" s="5" t="s">
        <v>204</v>
      </c>
      <c r="C6" s="5" t="s">
        <v>205</v>
      </c>
      <c r="D6" s="5" t="s">
        <v>206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ACID | Acid waste systems |</v>
      </c>
      <c r="Q6" s="5" t="str">
        <f t="shared" si="3"/>
        <v>| ACID | Acid waste systems | Sistemas de residuos ácidos |</v>
      </c>
      <c r="R6" s="5" t="str">
        <f t="shared" ref="R6:R69" si="5">_xlfn.CONCAT("| ",B6," | ",C6," | ",D6," | ",E6," |")</f>
        <v>| ACID | Acid waste systems | Sistemas de residuos ácidos | ✓ |</v>
      </c>
      <c r="S6" s="5" t="str">
        <f t="shared" ref="S6:S69" si="6">_xlfn.CONCAT("| ",B6," | ",C6," | ",D6," | ",E6," |",F6," |")</f>
        <v>| ACID | Acid waste systems | Sistemas de residuos ácidos | ✓ |✕ |</v>
      </c>
      <c r="T6" s="5" t="str">
        <f t="shared" si="1"/>
        <v>| ACID | Acid waste systems | Sistemas de residuos ácidos | ✓ |✕ | |</v>
      </c>
      <c r="U6" s="5" t="str">
        <f t="shared" si="2"/>
        <v>| ACID | Acid waste systems | Sistemas de residuos ácidos | ✓ | ✕ |  |  |</v>
      </c>
      <c r="V6" s="5" t="str">
        <f t="shared" si="0"/>
        <v>| ACID | Acid waste systems | Sistemas de residuos ácidos | ✓ |✕ | | | | | | | | |</v>
      </c>
    </row>
    <row r="7" spans="2:22" x14ac:dyDescent="0.55000000000000004">
      <c r="B7" s="5" t="s">
        <v>207</v>
      </c>
      <c r="C7" s="5" t="s">
        <v>208</v>
      </c>
      <c r="D7" s="5" t="s">
        <v>209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AERI | Aerial Survey |</v>
      </c>
      <c r="Q7" s="5" t="str">
        <f t="shared" si="3"/>
        <v>| AERI | Aerial Survey | Levantamiento aéreo |</v>
      </c>
      <c r="R7" s="5" t="str">
        <f t="shared" si="5"/>
        <v>| AERI | Aerial Survey | Levantamiento aéreo | ✓ |</v>
      </c>
      <c r="S7" s="5" t="str">
        <f t="shared" si="6"/>
        <v>| AERI | Aerial Survey | Levantamiento aéreo | ✓ |✓ |</v>
      </c>
      <c r="T7" s="5" t="str">
        <f t="shared" si="1"/>
        <v>| AERI | Aerial Survey | Levantamiento aéreo | ✓ |✓ | |</v>
      </c>
      <c r="U7" s="5" t="str">
        <f t="shared" si="2"/>
        <v>| AERI | Aerial Survey | Levantamiento aéreo | ✓ | ✓ |  |  |</v>
      </c>
      <c r="V7" s="5" t="str">
        <f t="shared" si="0"/>
        <v>| AERI | Aerial Survey | Levantamiento aéreo | ✓ |✓ | | | | | | | | |</v>
      </c>
    </row>
    <row r="8" spans="2:22" ht="30.75" x14ac:dyDescent="0.55000000000000004">
      <c r="B8" s="5" t="s">
        <v>210</v>
      </c>
      <c r="C8" s="5" t="s">
        <v>211</v>
      </c>
      <c r="D8" s="5" t="s">
        <v>212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AFFF | Aqueous film-forming foam system |</v>
      </c>
      <c r="Q8" s="5" t="str">
        <f t="shared" si="3"/>
        <v>| AFFF | Aqueous film-forming foam system | Sistema de espuma formadora de película acuosa |</v>
      </c>
      <c r="R8" s="5" t="str">
        <f t="shared" si="5"/>
        <v>| AFFF | Aqueous film-forming foam system | Sistema de espuma formadora de película acuosa | ✓ |</v>
      </c>
      <c r="S8" s="5" t="str">
        <f t="shared" si="6"/>
        <v>| AFFF | Aqueous film-forming foam system | Sistema de espuma formadora de película acuosa | ✓ |✕ |</v>
      </c>
      <c r="T8" s="5" t="str">
        <f t="shared" si="1"/>
        <v>| AFFF | Aqueous film-forming foam system | Sistema de espuma formadora de película acuosa | ✓ |✕ | |</v>
      </c>
      <c r="U8" s="5" t="str">
        <f t="shared" si="2"/>
        <v>| AFFF | Aqueous film-forming foam system | Sistema de espuma formadora de película acuosa | ✓ | ✕ |  |  |</v>
      </c>
      <c r="V8" s="5" t="str">
        <f t="shared" si="0"/>
        <v>| AFFF | Aqueous film-forming foam system | Sistema de espuma formadora de película acuosa | ✓ |✕ | | | | | | | | |</v>
      </c>
    </row>
    <row r="9" spans="2:22" x14ac:dyDescent="0.55000000000000004">
      <c r="B9" s="5" t="s">
        <v>213</v>
      </c>
      <c r="C9" s="5" t="s">
        <v>214</v>
      </c>
      <c r="D9" s="5" t="s">
        <v>215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AFLD | Airfields |</v>
      </c>
      <c r="Q9" s="5" t="str">
        <f t="shared" si="3"/>
        <v>| AFLD | Airfields | Aeródromos |</v>
      </c>
      <c r="R9" s="5" t="str">
        <f t="shared" si="5"/>
        <v>| AFLD | Airfields | Aeródromos | ✓ |</v>
      </c>
      <c r="S9" s="5" t="str">
        <f t="shared" si="6"/>
        <v>| AFLD | Airfields | Aeródromos | ✓ |✕ |</v>
      </c>
      <c r="T9" s="5" t="str">
        <f t="shared" si="1"/>
        <v>| AFLD | Airfields | Aeródromos | ✓ |✕ | |</v>
      </c>
      <c r="U9" s="5" t="str">
        <f t="shared" si="2"/>
        <v>| AFLD | Airfields | Aeródromos | ✓ | ✕ |  |  |</v>
      </c>
      <c r="V9" s="5" t="str">
        <f t="shared" si="0"/>
        <v>| AFLD | Airfields | Aeródromos | ✓ |✕ | | | | | | | | |</v>
      </c>
    </row>
    <row r="10" spans="2:22" x14ac:dyDescent="0.55000000000000004">
      <c r="B10" s="5" t="s">
        <v>216</v>
      </c>
      <c r="C10" s="5" t="s">
        <v>217</v>
      </c>
      <c r="D10" s="5" t="s">
        <v>218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AIR~ | Air |</v>
      </c>
      <c r="Q10" s="5" t="str">
        <f t="shared" si="3"/>
        <v>| AIR~ | Air | Aire |</v>
      </c>
      <c r="R10" s="5" t="str">
        <f t="shared" si="5"/>
        <v>| AIR~ | Air | Aire | ✓ |</v>
      </c>
      <c r="S10" s="5" t="str">
        <f t="shared" si="6"/>
        <v>| AIR~ | Air | Aire | ✓ |✕ |</v>
      </c>
      <c r="T10" s="5" t="str">
        <f t="shared" si="1"/>
        <v>| AIR~ | Air | Aire | ✓ |✕ | |</v>
      </c>
      <c r="U10" s="5" t="str">
        <f t="shared" si="2"/>
        <v>| AIR~ | Air | Aire | ✓ | ✕ |  |  |</v>
      </c>
      <c r="V10" s="5" t="str">
        <f t="shared" si="0"/>
        <v>| AIR~ | Air | Aire | ✓ |✕ | | | | | | | | |</v>
      </c>
    </row>
    <row r="11" spans="2:22" x14ac:dyDescent="0.55000000000000004">
      <c r="B11" s="5" t="s">
        <v>219</v>
      </c>
      <c r="C11" s="5" t="s">
        <v>220</v>
      </c>
      <c r="D11" s="5" t="s">
        <v>221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ALGN | Alignment |</v>
      </c>
      <c r="Q11" s="5" t="str">
        <f t="shared" si="3"/>
        <v>| ALGN | Alignment | Alineación |</v>
      </c>
      <c r="R11" s="5" t="str">
        <f t="shared" si="5"/>
        <v>| ALGN | Alignment | Alineación | ✓ |</v>
      </c>
      <c r="S11" s="5" t="str">
        <f t="shared" si="6"/>
        <v>| ALGN | Alignment | Alineación | ✓ |✓ |</v>
      </c>
      <c r="T11" s="5" t="str">
        <f t="shared" si="1"/>
        <v>| ALGN | Alignment | Alineación | ✓ |✓ | |</v>
      </c>
      <c r="U11" s="5" t="str">
        <f t="shared" si="2"/>
        <v>| ALGN | Alignment | Alineación | ✓ | ✓ |  |  |</v>
      </c>
      <c r="V11" s="5" t="str">
        <f t="shared" si="0"/>
        <v>| ALGN | Alignment | Alineación | ✓ |✓ | | | | | | | | |</v>
      </c>
    </row>
    <row r="12" spans="2:22" x14ac:dyDescent="0.55000000000000004">
      <c r="B12" s="5" t="s">
        <v>222</v>
      </c>
      <c r="C12" s="5" t="s">
        <v>223</v>
      </c>
      <c r="D12" s="5" t="s">
        <v>224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ALRM | Alarm system |</v>
      </c>
      <c r="Q12" s="5" t="str">
        <f t="shared" si="3"/>
        <v>| ALRM | Alarm system | Sistema de alarma |</v>
      </c>
      <c r="R12" s="5" t="str">
        <f t="shared" si="5"/>
        <v>| ALRM | Alarm system | Sistema de alarma |  |</v>
      </c>
      <c r="S12" s="5" t="str">
        <f t="shared" si="6"/>
        <v>| ALRM | Alarm system | Sistema de alarma |  | |</v>
      </c>
      <c r="T12" s="5" t="str">
        <f t="shared" si="1"/>
        <v>| ALRM | Alarm system | Sistema de alarma |  | | |</v>
      </c>
      <c r="U12" s="5"/>
      <c r="V12" s="5" t="str">
        <f t="shared" si="0"/>
        <v>| ALRM | Alarm system | Sistema de alarma |  | | | | | | | | | |</v>
      </c>
    </row>
    <row r="13" spans="2:22" x14ac:dyDescent="0.55000000000000004">
      <c r="B13" s="5" t="s">
        <v>225</v>
      </c>
      <c r="C13" s="5" t="s">
        <v>226</v>
      </c>
      <c r="D13" s="5" t="s">
        <v>227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ANNO | Annotation |</v>
      </c>
      <c r="Q13" s="5" t="str">
        <f t="shared" si="3"/>
        <v>| ANNO | Annotation | Anotación |</v>
      </c>
      <c r="R13" s="5" t="str">
        <f t="shared" si="5"/>
        <v>| ANNO | Annotation | Anotación |  |</v>
      </c>
      <c r="S13" s="5" t="str">
        <f t="shared" si="6"/>
        <v>| ANNO | Annotation | Anotación |  | |</v>
      </c>
      <c r="T13" s="5" t="str">
        <f t="shared" si="1"/>
        <v>| ANNO | Annotation | Anotación |  | | |</v>
      </c>
      <c r="U13" s="5"/>
      <c r="V13" s="5" t="str">
        <f t="shared" si="0"/>
        <v>| ANNO | Annotation | Anotación |  | | | | | | | | | |</v>
      </c>
    </row>
    <row r="14" spans="2:22" x14ac:dyDescent="0.55000000000000004">
      <c r="B14" s="5" t="s">
        <v>228</v>
      </c>
      <c r="C14" s="5" t="s">
        <v>229</v>
      </c>
      <c r="D14" s="5" t="s">
        <v>230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AREA | Area |</v>
      </c>
      <c r="Q14" s="5" t="str">
        <f t="shared" si="3"/>
        <v>| AREA | Area | Área |</v>
      </c>
      <c r="R14" s="5" t="str">
        <f t="shared" si="5"/>
        <v>| AREA | Area | Área |  |</v>
      </c>
      <c r="S14" s="5" t="str">
        <f t="shared" si="6"/>
        <v>| AREA | Area | Área |  | |</v>
      </c>
      <c r="T14" s="5" t="str">
        <f t="shared" si="1"/>
        <v>| AREA | Area | Área |  | | |</v>
      </c>
      <c r="U14" s="5"/>
      <c r="V14" s="5" t="str">
        <f t="shared" si="0"/>
        <v>| AREA | Area | Área |  | | | | | | | | | |</v>
      </c>
    </row>
    <row r="15" spans="2:22" x14ac:dyDescent="0.55000000000000004">
      <c r="B15" s="5" t="s">
        <v>231</v>
      </c>
      <c r="C15" s="5" t="s">
        <v>232</v>
      </c>
      <c r="D15" s="5" t="s">
        <v>233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AUXL | Auxiliary systems | Sistemas auxiliares |</v>
      </c>
      <c r="R15" s="5"/>
      <c r="S15" s="5"/>
      <c r="T15" s="5"/>
      <c r="U15" s="5"/>
      <c r="V15" s="5"/>
    </row>
    <row r="16" spans="2:22" x14ac:dyDescent="0.55000000000000004">
      <c r="B16" s="5" t="s">
        <v>234</v>
      </c>
      <c r="C16" s="5" t="s">
        <v>235</v>
      </c>
      <c r="D16" s="5" t="s">
        <v>236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BARR | Barrier | Barrera |</v>
      </c>
      <c r="R16" s="5"/>
      <c r="S16" s="5"/>
      <c r="T16" s="5"/>
      <c r="U16" s="5"/>
      <c r="V16" s="5"/>
    </row>
    <row r="17" spans="2:22" ht="30.75" x14ac:dyDescent="0.55000000000000004">
      <c r="B17" s="5" t="s">
        <v>237</v>
      </c>
      <c r="C17" s="5" t="s">
        <v>238</v>
      </c>
      <c r="D17" s="5" t="s">
        <v>239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BCST | Broadcast related system (radio or TV) | Sistema de radiodifusión (radio o TV) |</v>
      </c>
      <c r="R17" s="5"/>
      <c r="S17" s="5"/>
      <c r="T17" s="5"/>
      <c r="U17" s="5"/>
      <c r="V17" s="5"/>
    </row>
    <row r="18" spans="2:22" x14ac:dyDescent="0.55000000000000004">
      <c r="B18" s="5" t="s">
        <v>240</v>
      </c>
      <c r="C18" s="5" t="s">
        <v>241</v>
      </c>
      <c r="D18" s="5" t="s">
        <v>242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BEAM | Beams | Vigas |</v>
      </c>
      <c r="R18" s="5"/>
      <c r="S18" s="5"/>
      <c r="T18" s="5"/>
      <c r="U18" s="5"/>
      <c r="V18" s="5"/>
    </row>
    <row r="19" spans="2:22" x14ac:dyDescent="0.55000000000000004">
      <c r="B19" s="5" t="s">
        <v>243</v>
      </c>
      <c r="C19" s="5" t="s">
        <v>244</v>
      </c>
      <c r="D19" s="5" t="s">
        <v>245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BELL | Bell system | Sistema de timbres |</v>
      </c>
      <c r="R19" s="5"/>
      <c r="S19" s="5"/>
      <c r="T19" s="5"/>
      <c r="U19" s="5"/>
      <c r="V19" s="5"/>
    </row>
    <row r="20" spans="2:22" x14ac:dyDescent="0.55000000000000004">
      <c r="B20" s="5" t="s">
        <v>246</v>
      </c>
      <c r="C20" s="5" t="s">
        <v>247</v>
      </c>
      <c r="D20" s="5" t="s">
        <v>248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BLDG | Buildings and primary structures | Edificios y estructuras primarias |</v>
      </c>
      <c r="R20" s="5"/>
      <c r="S20" s="5"/>
      <c r="T20" s="5"/>
      <c r="U20" s="5"/>
      <c r="V20" s="5"/>
    </row>
    <row r="21" spans="2:22" x14ac:dyDescent="0.55000000000000004">
      <c r="B21" s="5" t="s">
        <v>249</v>
      </c>
      <c r="C21" s="5" t="s">
        <v>250</v>
      </c>
      <c r="D21" s="5" t="s">
        <v>251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BLIN | Baseline | Línea base |</v>
      </c>
      <c r="R21" s="5"/>
      <c r="S21" s="5"/>
      <c r="T21" s="5"/>
      <c r="U21" s="5"/>
      <c r="V21" s="5"/>
    </row>
    <row r="22" spans="2:22" x14ac:dyDescent="0.55000000000000004">
      <c r="B22" s="5" t="s">
        <v>252</v>
      </c>
      <c r="C22" s="5" t="s">
        <v>253</v>
      </c>
      <c r="D22" s="5" t="s">
        <v>254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BNDY | Political boundaries | Límites políticos |</v>
      </c>
      <c r="R22" s="5"/>
      <c r="S22" s="5"/>
      <c r="T22" s="5"/>
      <c r="U22" s="5"/>
      <c r="V22" s="5"/>
    </row>
    <row r="23" spans="2:22" x14ac:dyDescent="0.55000000000000004">
      <c r="B23" s="5" t="s">
        <v>255</v>
      </c>
      <c r="C23" s="5" t="s">
        <v>256</v>
      </c>
      <c r="D23" s="5" t="s">
        <v>257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BORE | Borings | Perforaciones |</v>
      </c>
      <c r="R23" s="5"/>
      <c r="S23" s="5"/>
      <c r="T23" s="5"/>
      <c r="U23" s="5"/>
      <c r="V23" s="5"/>
    </row>
    <row r="24" spans="2:22" x14ac:dyDescent="0.55000000000000004">
      <c r="B24" s="5" t="s">
        <v>258</v>
      </c>
      <c r="C24" s="5" t="s">
        <v>259</v>
      </c>
      <c r="D24" s="5" t="s">
        <v>260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BRCG | Bracing | Arriostramiento |</v>
      </c>
      <c r="R24" s="5"/>
      <c r="S24" s="5"/>
      <c r="T24" s="5"/>
      <c r="U24" s="5"/>
      <c r="V24" s="5"/>
    </row>
    <row r="25" spans="2:22" x14ac:dyDescent="0.55000000000000004">
      <c r="B25" s="5" t="s">
        <v>261</v>
      </c>
      <c r="C25" s="5" t="s">
        <v>262</v>
      </c>
      <c r="D25" s="5" t="s">
        <v>263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BRDG | Bridge | Puente |</v>
      </c>
      <c r="R25" s="5"/>
      <c r="S25" s="5"/>
      <c r="T25" s="5"/>
      <c r="U25" s="5"/>
      <c r="V25" s="5"/>
    </row>
    <row r="26" spans="2:22" x14ac:dyDescent="0.55000000000000004">
      <c r="B26" s="4" t="s">
        <v>264</v>
      </c>
      <c r="C26" s="4" t="s">
        <v>265</v>
      </c>
      <c r="D26" s="4" t="s">
        <v>266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BRIN | Brine systems | Sistemas de salmuera |</v>
      </c>
      <c r="R26" s="5"/>
      <c r="S26" s="5"/>
      <c r="T26" s="5"/>
      <c r="U26" s="5"/>
      <c r="V26" s="5"/>
    </row>
    <row r="27" spans="2:22" x14ac:dyDescent="0.55000000000000004">
      <c r="B27" s="4" t="s">
        <v>267</v>
      </c>
      <c r="C27" s="4" t="s">
        <v>268</v>
      </c>
      <c r="D27" s="4" t="s">
        <v>269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BRKL | Break / fault lines | Líneas de rotura/falla |</v>
      </c>
      <c r="R27" s="5"/>
      <c r="S27" s="5"/>
      <c r="T27" s="5"/>
      <c r="U27" s="5"/>
      <c r="V27" s="5"/>
    </row>
    <row r="28" spans="2:22" x14ac:dyDescent="0.55000000000000004">
      <c r="B28" s="4" t="s">
        <v>270</v>
      </c>
      <c r="C28" s="4" t="s">
        <v>271</v>
      </c>
      <c r="D28" s="4" t="s">
        <v>272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BRLN | Building restriction line | Línea de restricción de edificaciones |</v>
      </c>
      <c r="R28" s="5"/>
      <c r="S28" s="5"/>
      <c r="T28" s="5"/>
      <c r="U28" s="5"/>
      <c r="V28" s="5"/>
    </row>
    <row r="29" spans="2:22" x14ac:dyDescent="0.55000000000000004">
      <c r="B29" s="4" t="s">
        <v>273</v>
      </c>
      <c r="C29" s="4" t="s">
        <v>274</v>
      </c>
      <c r="D29" s="4" t="s">
        <v>275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BZNA | Buffer zone area | Zona de amortiguamiento |</v>
      </c>
      <c r="R29" s="5"/>
      <c r="S29" s="5"/>
      <c r="T29" s="5"/>
      <c r="U29" s="5"/>
      <c r="V29" s="5"/>
    </row>
    <row r="30" spans="2:22" x14ac:dyDescent="0.55000000000000004">
      <c r="B30" s="4" t="s">
        <v>276</v>
      </c>
      <c r="C30" s="4" t="s">
        <v>277</v>
      </c>
      <c r="D30" s="4" t="s">
        <v>278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CABL | Cable systems | Sistemas de cable |</v>
      </c>
      <c r="R30" s="5"/>
      <c r="S30" s="5"/>
      <c r="T30" s="5"/>
      <c r="U30" s="5"/>
      <c r="V30" s="5"/>
    </row>
    <row r="31" spans="2:22" x14ac:dyDescent="0.55000000000000004">
      <c r="B31" s="4" t="s">
        <v>279</v>
      </c>
      <c r="C31" s="4" t="s">
        <v>280</v>
      </c>
      <c r="D31" s="4" t="s">
        <v>281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CATH | Cathodic Protection System | Sistema de protección catódica |</v>
      </c>
      <c r="R31" s="5"/>
      <c r="S31" s="5"/>
      <c r="T31" s="5"/>
      <c r="U31" s="5"/>
      <c r="V31" s="5"/>
    </row>
    <row r="32" spans="2:22" x14ac:dyDescent="0.55000000000000004">
      <c r="B32" s="5" t="s">
        <v>282</v>
      </c>
      <c r="C32" s="4" t="s">
        <v>283</v>
      </c>
      <c r="D32" s="4" t="s">
        <v>284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CATV | Cable television system | Sistema de televisión por cable |</v>
      </c>
      <c r="R32" s="5"/>
      <c r="S32" s="5"/>
      <c r="T32" s="5"/>
      <c r="U32" s="5"/>
      <c r="V32" s="5"/>
    </row>
    <row r="33" spans="2:22" x14ac:dyDescent="0.55000000000000004">
      <c r="B33" s="5" t="s">
        <v>285</v>
      </c>
      <c r="C33" s="4" t="s">
        <v>286</v>
      </c>
      <c r="D33" s="4" t="s">
        <v>287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CCTV | Closed-circuit television system | Sistema de circuito cerrado de televisión |</v>
      </c>
      <c r="R33" s="5"/>
      <c r="S33" s="5"/>
      <c r="T33" s="5"/>
      <c r="U33" s="5"/>
      <c r="V33" s="5"/>
    </row>
    <row r="34" spans="2:22" x14ac:dyDescent="0.55000000000000004">
      <c r="B34" s="4" t="s">
        <v>288</v>
      </c>
      <c r="C34" s="4" t="s">
        <v>289</v>
      </c>
      <c r="D34" s="4" t="s">
        <v>290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CEME | Cemetery | Cementerio |</v>
      </c>
      <c r="R34" s="5"/>
      <c r="S34" s="5"/>
      <c r="T34" s="5"/>
      <c r="U34" s="5"/>
      <c r="V34" s="5"/>
    </row>
    <row r="35" spans="2:22" x14ac:dyDescent="0.55000000000000004">
      <c r="B35" s="4" t="s">
        <v>291</v>
      </c>
      <c r="C35" s="4" t="s">
        <v>292</v>
      </c>
      <c r="D35" s="4" t="s">
        <v>293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CHAN | Navigable channels | Canales navegables |</v>
      </c>
      <c r="R35" s="5"/>
      <c r="S35" s="5"/>
      <c r="T35" s="5"/>
      <c r="U35" s="5"/>
      <c r="V35" s="5"/>
    </row>
    <row r="36" spans="2:22" x14ac:dyDescent="0.55000000000000004">
      <c r="B36" s="4" t="s">
        <v>294</v>
      </c>
      <c r="C36" s="4" t="s">
        <v>295</v>
      </c>
      <c r="D36" s="4" t="s">
        <v>296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CHEM | Chemical | Productos químicos |</v>
      </c>
      <c r="R36" s="5"/>
      <c r="S36" s="5"/>
      <c r="T36" s="5"/>
      <c r="U36" s="5"/>
      <c r="V36" s="5"/>
    </row>
    <row r="37" spans="2:22" x14ac:dyDescent="0.55000000000000004">
      <c r="B37" s="5" t="s">
        <v>297</v>
      </c>
      <c r="C37" s="4" t="s">
        <v>298</v>
      </c>
      <c r="D37" s="4" t="s">
        <v>299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CHIM | Chimneys and stacks | Chimeneas y conductos |</v>
      </c>
      <c r="R37" s="5"/>
      <c r="S37" s="5"/>
      <c r="T37" s="5"/>
      <c r="U37" s="5"/>
      <c r="V37" s="5"/>
    </row>
    <row r="38" spans="2:22" x14ac:dyDescent="0.55000000000000004">
      <c r="B38" s="5" t="s">
        <v>300</v>
      </c>
      <c r="C38" s="5" t="s">
        <v>301</v>
      </c>
      <c r="D38" s="4" t="s">
        <v>302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CLNG | Ceiling | Techo |</v>
      </c>
      <c r="R38" s="5"/>
      <c r="S38" s="5"/>
      <c r="T38" s="5"/>
      <c r="U38" s="5"/>
      <c r="V38" s="5"/>
    </row>
    <row r="39" spans="2:22" x14ac:dyDescent="0.55000000000000004">
      <c r="B39" s="4" t="s">
        <v>303</v>
      </c>
      <c r="C39" s="4" t="s">
        <v>304</v>
      </c>
      <c r="D39" s="4" t="s">
        <v>305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CLOK | Clock system | Sistema de relojería |</v>
      </c>
      <c r="R39" s="5"/>
      <c r="S39" s="5"/>
      <c r="T39" s="5"/>
      <c r="U39" s="5"/>
      <c r="V39" s="5"/>
    </row>
    <row r="40" spans="2:22" x14ac:dyDescent="0.55000000000000004">
      <c r="B40" s="4" t="s">
        <v>306</v>
      </c>
      <c r="C40" s="4" t="s">
        <v>307</v>
      </c>
      <c r="D40" s="4" t="s">
        <v>308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CMPA | Compressed / processed air systems | Sistemas de aire comprimido/procesado |</v>
      </c>
      <c r="R40" s="5"/>
      <c r="S40" s="5"/>
      <c r="T40" s="5"/>
      <c r="U40" s="5"/>
      <c r="V40" s="5"/>
    </row>
    <row r="41" spans="2:22" x14ac:dyDescent="0.55000000000000004">
      <c r="B41" s="4" t="s">
        <v>309</v>
      </c>
      <c r="C41" s="4" t="s">
        <v>310</v>
      </c>
      <c r="D41" s="4" t="s">
        <v>311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CMPR | Computer | Ordenador |</v>
      </c>
      <c r="R41" s="5"/>
      <c r="S41" s="5"/>
      <c r="T41" s="5"/>
      <c r="U41" s="5"/>
      <c r="V41" s="5"/>
    </row>
    <row r="42" spans="2:22" x14ac:dyDescent="0.55000000000000004">
      <c r="B42" s="4" t="s">
        <v>312</v>
      </c>
      <c r="C42" s="4" t="s">
        <v>313</v>
      </c>
      <c r="D42" s="4" t="s">
        <v>314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CNDW | Condenser water systems | Sistemas de agua del condensador |</v>
      </c>
      <c r="R42" s="5"/>
      <c r="S42" s="5"/>
      <c r="T42" s="5"/>
      <c r="U42" s="5"/>
      <c r="V42" s="5"/>
    </row>
    <row r="43" spans="2:22" x14ac:dyDescent="0.55000000000000004">
      <c r="B43" s="4" t="s">
        <v>315</v>
      </c>
      <c r="C43" s="4" t="s">
        <v>316</v>
      </c>
      <c r="D43" s="4" t="s">
        <v>317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CO2S | CO2 system | Sistema de CO2 |</v>
      </c>
      <c r="R43" s="5"/>
      <c r="S43" s="5"/>
      <c r="T43" s="5"/>
      <c r="U43" s="5"/>
      <c r="V43" s="5"/>
    </row>
    <row r="44" spans="2:22" x14ac:dyDescent="0.55000000000000004">
      <c r="B44" s="4" t="s">
        <v>318</v>
      </c>
      <c r="C44" s="4" t="s">
        <v>319</v>
      </c>
      <c r="D44" s="4" t="s">
        <v>320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CODE | Code compliance plan | Plan de cumplimiento normativo |</v>
      </c>
      <c r="R44" s="5"/>
      <c r="S44" s="5"/>
      <c r="T44" s="5"/>
      <c r="U44" s="5"/>
      <c r="V44" s="5"/>
    </row>
    <row r="45" spans="2:22" x14ac:dyDescent="0.55000000000000004">
      <c r="B45" s="4" t="s">
        <v>321</v>
      </c>
      <c r="C45" s="4" t="s">
        <v>322</v>
      </c>
      <c r="D45" s="4" t="s">
        <v>323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COLS | Columns |</v>
      </c>
      <c r="Q45" s="5" t="str">
        <f t="shared" si="3"/>
        <v>| COLS | Columns | Columnas |</v>
      </c>
      <c r="R45" s="5" t="str">
        <f t="shared" si="5"/>
        <v>| COLS | Columns | Columnas |  |</v>
      </c>
      <c r="S45" s="5" t="str">
        <f t="shared" si="6"/>
        <v>| COLS | Columns | Columnas |  | |</v>
      </c>
      <c r="T45" s="5" t="str">
        <f t="shared" si="1"/>
        <v>| COLS | Columns | Columnas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COLS | Columns | Columnas |  | | | | | | | | | |</v>
      </c>
    </row>
    <row r="46" spans="2:22" x14ac:dyDescent="0.55000000000000004">
      <c r="B46" s="4" t="s">
        <v>324</v>
      </c>
      <c r="C46" s="4" t="s">
        <v>325</v>
      </c>
      <c r="D46" s="4" t="s">
        <v>326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COMM | Communications |</v>
      </c>
      <c r="Q46" s="5" t="str">
        <f t="shared" si="3"/>
        <v>| COMM | Communications | Comunicaciones |</v>
      </c>
      <c r="R46" s="5" t="str">
        <f t="shared" si="5"/>
        <v>| COMM | Communications | Comunicaciones |  |</v>
      </c>
      <c r="S46" s="5" t="str">
        <f t="shared" si="6"/>
        <v>| COMM | Communications | Comunicaciones |  | |</v>
      </c>
      <c r="T46" s="5" t="str">
        <f t="shared" si="1"/>
        <v>| COMM | Communications | Comunicaciones |  | | |</v>
      </c>
      <c r="U46" s="5"/>
      <c r="V46" s="5" t="str">
        <f t="shared" si="8"/>
        <v>| COMM | Communications | Comunicaciones |  | | | | | | | | | |</v>
      </c>
    </row>
    <row r="47" spans="2:22" x14ac:dyDescent="0.55000000000000004">
      <c r="B47" s="4" t="s">
        <v>327</v>
      </c>
      <c r="C47" s="4" t="s">
        <v>328</v>
      </c>
      <c r="D47" s="4" t="s">
        <v>329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CONT | Controls and instrumentation |</v>
      </c>
      <c r="Q47" s="5" t="str">
        <f t="shared" si="3"/>
        <v>| CONT | Controls and instrumentation | Controles e instrumentación |</v>
      </c>
      <c r="R47" s="5" t="str">
        <f t="shared" si="5"/>
        <v>| CONT | Controls and instrumentation | Controles e instrumentación |  |</v>
      </c>
      <c r="S47" s="5" t="str">
        <f t="shared" si="6"/>
        <v>| CONT | Controls and instrumentation | Controles e instrumentación |  | |</v>
      </c>
      <c r="T47" s="5" t="str">
        <f t="shared" si="1"/>
        <v>| CONT | Controls and instrumentation | Controles e instrumentación |  | | |</v>
      </c>
      <c r="U47" s="5"/>
      <c r="V47" s="5" t="str">
        <f t="shared" si="8"/>
        <v>| CONT | Controls and instrumentation | Controles e instrumentación |  | | | | | | | | | |</v>
      </c>
    </row>
    <row r="48" spans="2:22" x14ac:dyDescent="0.55000000000000004">
      <c r="B48" s="4" t="s">
        <v>330</v>
      </c>
      <c r="C48" s="4" t="s">
        <v>331</v>
      </c>
      <c r="D48" s="4" t="s">
        <v>332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CONV | Conveying systems |</v>
      </c>
      <c r="Q48" s="5" t="str">
        <f t="shared" si="3"/>
        <v>| CONV | Conveying systems | Sistemas de transporte |</v>
      </c>
      <c r="R48" s="5" t="str">
        <f t="shared" si="5"/>
        <v>| CONV | Conveying systems | Sistemas de transporte |  |</v>
      </c>
      <c r="S48" s="5" t="str">
        <f t="shared" si="6"/>
        <v>| CONV | Conveying systems | Sistemas de transporte |  | |</v>
      </c>
      <c r="T48" s="5" t="str">
        <f t="shared" si="1"/>
        <v>| CONV | Conveying systems | Sistemas de transporte |  | | |</v>
      </c>
      <c r="U48" s="5"/>
      <c r="V48" s="5" t="str">
        <f t="shared" si="8"/>
        <v>| CONV | Conveying systems | Sistemas de transporte |  | | | | | | | | | |</v>
      </c>
    </row>
    <row r="49" spans="2:22" x14ac:dyDescent="0.55000000000000004">
      <c r="B49" s="4" t="s">
        <v>333</v>
      </c>
      <c r="C49" s="4" t="s">
        <v>334</v>
      </c>
      <c r="D49" s="4" t="s">
        <v>335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CRPT | Carpet / carpet tiles |</v>
      </c>
      <c r="Q49" s="5" t="str">
        <f t="shared" si="3"/>
        <v>| CRPT | Carpet / carpet tiles | Alfombra/losetas de moqueta |</v>
      </c>
      <c r="R49" s="5" t="str">
        <f t="shared" si="5"/>
        <v>| CRPT | Carpet / carpet tiles | Alfombra/losetas de moqueta |  |</v>
      </c>
      <c r="S49" s="5" t="str">
        <f t="shared" si="6"/>
        <v>| CRPT | Carpet / carpet tiles | Alfombra/losetas de moqueta |  | |</v>
      </c>
      <c r="T49" s="5" t="str">
        <f t="shared" si="1"/>
        <v>| CRPT | Carpet / carpet tiles | Alfombra/losetas de moqueta |  | | |</v>
      </c>
      <c r="U49" s="5"/>
      <c r="V49" s="5" t="str">
        <f t="shared" si="8"/>
        <v>| CRPT | Carpet / carpet tiles | Alfombra/losetas de moqueta |  | | | | | | | | | |</v>
      </c>
    </row>
    <row r="50" spans="2:22" x14ac:dyDescent="0.55000000000000004">
      <c r="B50" s="4" t="s">
        <v>336</v>
      </c>
      <c r="C50" s="4" t="s">
        <v>337</v>
      </c>
      <c r="D50" s="4" t="s">
        <v>338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CSWK | Casework |</v>
      </c>
      <c r="Q50" s="5" t="str">
        <f t="shared" si="3"/>
        <v>| CSWK | Casework | Carpintería |</v>
      </c>
      <c r="R50" s="5" t="str">
        <f t="shared" si="5"/>
        <v>| CSWK | Casework | Carpintería |  |</v>
      </c>
      <c r="S50" s="5" t="str">
        <f t="shared" si="6"/>
        <v>| CSWK | Casework | Carpintería |  | |</v>
      </c>
      <c r="T50" s="5" t="str">
        <f t="shared" si="1"/>
        <v>| CSWK | Casework | Carpintería |  | | |</v>
      </c>
      <c r="U50" s="5"/>
      <c r="V50" s="5" t="str">
        <f t="shared" si="8"/>
        <v>| CSWK | Casework | Carpintería |  | | | | | | | | | |</v>
      </c>
    </row>
    <row r="51" spans="2:22" x14ac:dyDescent="0.55000000000000004">
      <c r="B51" s="4" t="s">
        <v>339</v>
      </c>
      <c r="C51" s="4" t="s">
        <v>340</v>
      </c>
      <c r="D51" s="4" t="s">
        <v>341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CTRL | Control points |</v>
      </c>
      <c r="Q51" s="5" t="str">
        <f t="shared" si="3"/>
        <v>| CTRL | Control points | Puntos de control |</v>
      </c>
      <c r="R51" s="5" t="str">
        <f t="shared" si="5"/>
        <v>| CTRL | Control points | Puntos de control |  |</v>
      </c>
      <c r="S51" s="5" t="str">
        <f t="shared" si="6"/>
        <v>| CTRL | Control points | Puntos de control |  | |</v>
      </c>
      <c r="T51" s="5" t="str">
        <f t="shared" si="1"/>
        <v>| CTRL | Control points | Puntos de control |  | | |</v>
      </c>
      <c r="U51" s="5"/>
      <c r="V51" s="5" t="str">
        <f t="shared" si="8"/>
        <v>| CTRL | Control points | Puntos de control |  | | | | | | | | | |</v>
      </c>
    </row>
    <row r="52" spans="2:22" x14ac:dyDescent="0.55000000000000004">
      <c r="B52" s="4" t="s">
        <v>342</v>
      </c>
      <c r="C52" s="4" t="s">
        <v>343</v>
      </c>
      <c r="D52" s="4" t="s">
        <v>344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CWTR | Chilled water systems |</v>
      </c>
      <c r="Q52" s="5" t="str">
        <f t="shared" si="3"/>
        <v>| CWTR | Chilled water systems | Sistemas de agua refrigerada |</v>
      </c>
      <c r="R52" s="5" t="str">
        <f t="shared" si="5"/>
        <v>| CWTR | Chilled water systems | Sistemas de agua refrigerada |  |</v>
      </c>
      <c r="S52" s="5" t="str">
        <f t="shared" si="6"/>
        <v>| CWTR | Chilled water systems | Sistemas de agua refrigerada |  | |</v>
      </c>
      <c r="T52" s="5" t="str">
        <f t="shared" si="1"/>
        <v>| CWTR | Chilled water systems | Sistemas de agua refrigerada |  | | |</v>
      </c>
      <c r="U52" s="5"/>
      <c r="V52" s="5" t="str">
        <f t="shared" si="8"/>
        <v>| CWTR | Chilled water systems | Sistemas de agua refrigerada |  | | | | | | | | | |</v>
      </c>
    </row>
    <row r="53" spans="2:22" x14ac:dyDescent="0.55000000000000004">
      <c r="B53" s="4" t="s">
        <v>345</v>
      </c>
      <c r="C53" s="4" t="s">
        <v>346</v>
      </c>
      <c r="D53" s="4" t="s">
        <v>347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DATA | Data / LAN system |</v>
      </c>
      <c r="Q53" s="5" t="str">
        <f t="shared" si="3"/>
        <v>| DATA | Data / LAN system | Datos/LAN Sistema |</v>
      </c>
      <c r="R53" s="5" t="str">
        <f t="shared" si="5"/>
        <v>| DATA | Data / LAN system | Datos/LAN Sistema |  |</v>
      </c>
      <c r="S53" s="5" t="str">
        <f t="shared" si="6"/>
        <v>| DATA | Data / LAN system | Datos/LAN Sistema |  | |</v>
      </c>
      <c r="T53" s="5" t="str">
        <f t="shared" si="1"/>
        <v>| DATA | Data / LAN system | Datos/LAN Sistema |  | | |</v>
      </c>
      <c r="U53" s="5"/>
      <c r="V53" s="5" t="str">
        <f t="shared" si="8"/>
        <v>| DATA | Data / LAN system | Datos/LAN Sistema |  | | | | | | | | | |</v>
      </c>
    </row>
    <row r="54" spans="2:22" x14ac:dyDescent="0.55000000000000004">
      <c r="B54" s="4" t="s">
        <v>348</v>
      </c>
      <c r="C54" s="4" t="s">
        <v>349</v>
      </c>
      <c r="D54" s="4" t="s">
        <v>350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DECK | Deck |</v>
      </c>
      <c r="Q54" s="5" t="str">
        <f t="shared" si="3"/>
        <v>| DECK | Deck | Cubierta |</v>
      </c>
      <c r="R54" s="5" t="str">
        <f t="shared" si="5"/>
        <v>| DECK | Deck | Cubierta |  |</v>
      </c>
      <c r="S54" s="5" t="str">
        <f t="shared" si="6"/>
        <v>| DECK | Deck | Cubierta |  | |</v>
      </c>
      <c r="T54" s="5" t="str">
        <f t="shared" si="1"/>
        <v>| DECK | Deck | Cubierta |  | | |</v>
      </c>
      <c r="U54" s="5"/>
      <c r="V54" s="5" t="str">
        <f t="shared" si="8"/>
        <v>| DECK | Deck | Cubierta |  | | | | | | | | | |</v>
      </c>
    </row>
    <row r="55" spans="2:22" x14ac:dyDescent="0.55000000000000004">
      <c r="B55" s="4" t="s">
        <v>351</v>
      </c>
      <c r="C55" s="4" t="s">
        <v>352</v>
      </c>
      <c r="D55" s="4" t="s">
        <v>353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DETL | Detail |</v>
      </c>
      <c r="Q55" s="5" t="str">
        <f t="shared" si="3"/>
        <v>| DETL | Detail | Detalle |</v>
      </c>
      <c r="R55" s="5" t="str">
        <f t="shared" si="5"/>
        <v>| DETL | Detail | Detalle |  |</v>
      </c>
      <c r="S55" s="5" t="str">
        <f t="shared" si="6"/>
        <v>| DETL | Detail | Detalle |  | |</v>
      </c>
      <c r="T55" s="5" t="str">
        <f t="shared" si="1"/>
        <v>| DETL | Detail | Detalle |  | | |</v>
      </c>
      <c r="U55" s="5"/>
      <c r="V55" s="5" t="str">
        <f t="shared" si="8"/>
        <v>| DETL | Detail | Detalle |  | | | | | | | | | |</v>
      </c>
    </row>
    <row r="56" spans="2:22" x14ac:dyDescent="0.55000000000000004">
      <c r="B56" s="4" t="s">
        <v>354</v>
      </c>
      <c r="C56" s="4" t="s">
        <v>355</v>
      </c>
      <c r="D56" s="4" t="s">
        <v>356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DFLD | Drain fields |</v>
      </c>
      <c r="Q56" s="5" t="str">
        <f t="shared" si="3"/>
        <v>| DFLD | Drain fields | Campos de drenaje |</v>
      </c>
      <c r="R56" s="5" t="str">
        <f t="shared" si="5"/>
        <v>| DFLD | Drain fields | Campos de drenaje |  |</v>
      </c>
      <c r="S56" s="5" t="str">
        <f t="shared" si="6"/>
        <v>| DFLD | Drain fields | Campos de drenaje |  | |</v>
      </c>
      <c r="T56" s="5" t="str">
        <f t="shared" si="1"/>
        <v>| DFLD | Drain fields | Campos de drenaje |  | | |</v>
      </c>
      <c r="U56" s="5"/>
      <c r="V56" s="5" t="str">
        <f t="shared" si="8"/>
        <v>| DFLD | Drain fields | Campos de drenaje |  | | | | | | | | | |</v>
      </c>
    </row>
    <row r="57" spans="2:22" x14ac:dyDescent="0.55000000000000004">
      <c r="B57" s="4" t="s">
        <v>357</v>
      </c>
      <c r="C57" s="4" t="s">
        <v>358</v>
      </c>
      <c r="D57" s="4" t="s">
        <v>359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DIAG | Diagrams |</v>
      </c>
      <c r="Q57" s="5" t="str">
        <f t="shared" si="3"/>
        <v>| DIAG | Diagrams | Diagramas |</v>
      </c>
      <c r="R57" s="5" t="str">
        <f t="shared" si="5"/>
        <v>| DIAG | Diagrams | Diagramas |  |</v>
      </c>
      <c r="S57" s="5" t="str">
        <f t="shared" si="6"/>
        <v>| DIAG | Diagrams | Diagramas |  | |</v>
      </c>
      <c r="T57" s="5" t="str">
        <f t="shared" si="1"/>
        <v>| DIAG | Diagrams | Diagramas |  | | |</v>
      </c>
      <c r="U57" s="5"/>
      <c r="V57" s="5" t="str">
        <f t="shared" si="8"/>
        <v>| DIAG | Diagrams | Diagramas |  | | | | | | | | | |</v>
      </c>
    </row>
    <row r="58" spans="2:22" x14ac:dyDescent="0.55000000000000004">
      <c r="B58" s="4" t="s">
        <v>360</v>
      </c>
      <c r="C58" s="4" t="s">
        <v>361</v>
      </c>
      <c r="D58" s="4" t="s">
        <v>362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DICT | Dictation system |</v>
      </c>
      <c r="Q58" s="5" t="str">
        <f t="shared" si="3"/>
        <v>| DICT | Dictation system | Sistema de dictado |</v>
      </c>
      <c r="R58" s="5" t="str">
        <f t="shared" si="5"/>
        <v>| DICT | Dictation system | Sistema de dictado |  |</v>
      </c>
      <c r="S58" s="5" t="str">
        <f t="shared" si="6"/>
        <v>| DICT | Dictation system | Sistema de dictado |  | |</v>
      </c>
      <c r="T58" s="5" t="str">
        <f t="shared" si="1"/>
        <v>| DICT | Dictation system | Sistema de dictado |  | | |</v>
      </c>
      <c r="U58" s="5"/>
      <c r="V58" s="5" t="str">
        <f t="shared" si="8"/>
        <v>| DICT | Dictation system | Sistema de dictado |  | | | | | | | | | |</v>
      </c>
    </row>
    <row r="59" spans="2:22" x14ac:dyDescent="0.55000000000000004">
      <c r="B59" s="4" t="s">
        <v>363</v>
      </c>
      <c r="C59" s="4" t="s">
        <v>364</v>
      </c>
      <c r="D59" s="4" t="s">
        <v>365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DOMW | Domestic water systems |</v>
      </c>
      <c r="Q59" s="5" t="str">
        <f t="shared" si="3"/>
        <v>| DOMW | Domestic water systems | Sistemas de agua potable |</v>
      </c>
      <c r="R59" s="5" t="str">
        <f t="shared" si="5"/>
        <v>| DOMW | Domestic water systems | Sistemas de agua potable |  |</v>
      </c>
      <c r="S59" s="5" t="str">
        <f t="shared" si="6"/>
        <v>| DOMW | Domestic water systems | Sistemas de agua potable |  | |</v>
      </c>
      <c r="T59" s="5" t="str">
        <f t="shared" si="1"/>
        <v>| DOMW | Domestic water systems | Sistemas de agua potable |  | | |</v>
      </c>
      <c r="U59" s="5"/>
      <c r="V59" s="5" t="str">
        <f t="shared" si="8"/>
        <v>| DOMW | Domestic water systems | Sistemas de agua potable |  | | | | | | | | | |</v>
      </c>
    </row>
    <row r="60" spans="2:22" x14ac:dyDescent="0.55000000000000004">
      <c r="B60" s="4" t="s">
        <v>366</v>
      </c>
      <c r="C60" s="4" t="s">
        <v>367</v>
      </c>
      <c r="D60" s="4" t="s">
        <v>368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DOOR | Doors |</v>
      </c>
      <c r="Q60" s="5" t="str">
        <f t="shared" si="3"/>
        <v>| DOOR | Doors | Puertas |</v>
      </c>
      <c r="R60" s="5" t="str">
        <f t="shared" si="5"/>
        <v>| DOOR | Doors | Puertas |  |</v>
      </c>
      <c r="S60" s="5" t="str">
        <f t="shared" si="6"/>
        <v>| DOOR | Doors | Puertas |  | |</v>
      </c>
      <c r="T60" s="5" t="str">
        <f t="shared" si="1"/>
        <v>| DOOR | Doors | Puertas |  | | |</v>
      </c>
      <c r="U60" s="5"/>
      <c r="V60" s="5" t="str">
        <f t="shared" si="8"/>
        <v>| DOOR | Doors | Puertas |  | | | | | | | | | |</v>
      </c>
    </row>
    <row r="61" spans="2:22" x14ac:dyDescent="0.55000000000000004">
      <c r="B61" s="4" t="s">
        <v>369</v>
      </c>
      <c r="C61" s="4" t="s">
        <v>370</v>
      </c>
      <c r="D61" s="4" t="s">
        <v>371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DRAN | Drains |</v>
      </c>
      <c r="Q61" s="5" t="str">
        <f t="shared" si="3"/>
        <v>| DRAN | Drains | Desagües |</v>
      </c>
      <c r="R61" s="5" t="str">
        <f t="shared" si="5"/>
        <v>| DRAN | Drains | Desagües |  |</v>
      </c>
      <c r="S61" s="5" t="str">
        <f t="shared" si="6"/>
        <v>| DRAN | Drains | Desagües |  | |</v>
      </c>
      <c r="T61" s="5" t="str">
        <f t="shared" si="1"/>
        <v>| DRAN | Drains | Desagües |  | | |</v>
      </c>
      <c r="U61" s="5"/>
      <c r="V61" s="5" t="str">
        <f t="shared" si="8"/>
        <v>| DRAN | Drains | Desagües |  | | | | | | | | | |</v>
      </c>
    </row>
    <row r="62" spans="2:22" x14ac:dyDescent="0.55000000000000004">
      <c r="B62" s="4" t="s">
        <v>372</v>
      </c>
      <c r="C62" s="4" t="s">
        <v>373</v>
      </c>
      <c r="D62" s="4" t="s">
        <v>374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DRIV | Driveways |</v>
      </c>
      <c r="Q62" s="5" t="str">
        <f t="shared" si="3"/>
        <v>| DRIV | Driveways | Entradas de vehículos |</v>
      </c>
      <c r="R62" s="5" t="str">
        <f t="shared" si="5"/>
        <v>| DRIV | Driveways | Entradas de vehículos |  |</v>
      </c>
      <c r="S62" s="5" t="str">
        <f t="shared" si="6"/>
        <v>| DRIV | Driveways | Entradas de vehículos |  | |</v>
      </c>
      <c r="T62" s="5" t="str">
        <f t="shared" si="1"/>
        <v>| DRIV | Driveways | Entradas de vehículos |  | | |</v>
      </c>
      <c r="U62" s="5"/>
      <c r="V62" s="5" t="str">
        <f t="shared" si="8"/>
        <v>| DRIV | Driveways | Entradas de vehículos |  | | | | | | | | | |</v>
      </c>
    </row>
    <row r="63" spans="2:22" x14ac:dyDescent="0.55000000000000004">
      <c r="B63" s="4" t="s">
        <v>375</v>
      </c>
      <c r="C63" s="4" t="s">
        <v>376</v>
      </c>
      <c r="D63" s="4" t="s">
        <v>377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DTCH | Ditches or washes |</v>
      </c>
      <c r="Q63" s="5" t="str">
        <f t="shared" si="3"/>
        <v>| DTCH | Ditches or washes | Cunetas o lavaderos |</v>
      </c>
      <c r="R63" s="5" t="str">
        <f t="shared" si="5"/>
        <v>| DTCH | Ditches or washes | Cunetas o lavaderos |  |</v>
      </c>
      <c r="S63" s="5" t="str">
        <f t="shared" si="6"/>
        <v>| DTCH | Ditches or washes | Cunetas o lavaderos |  | |</v>
      </c>
      <c r="T63" s="5" t="str">
        <f t="shared" si="1"/>
        <v>| DTCH | Ditches or washes | Cunetas o lavaderos |  | | |</v>
      </c>
      <c r="U63" s="5"/>
      <c r="V63" s="5" t="str">
        <f t="shared" si="8"/>
        <v>| DTCH | Ditches or washes | Cunetas o lavaderos |  | | | | | | | | | |</v>
      </c>
    </row>
    <row r="64" spans="2:22" x14ac:dyDescent="0.55000000000000004">
      <c r="B64" s="4" t="s">
        <v>378</v>
      </c>
      <c r="C64" s="4" t="s">
        <v>379</v>
      </c>
      <c r="D64" s="4" t="s">
        <v>380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DUAL | Dual temperature systems |</v>
      </c>
      <c r="Q64" s="5" t="str">
        <f t="shared" si="3"/>
        <v>| DUAL | Dual temperature systems | Sistemas de doble temperatura |</v>
      </c>
      <c r="R64" s="5" t="str">
        <f t="shared" si="5"/>
        <v>| DUAL | Dual temperature systems | Sistemas de doble temperatura |  |</v>
      </c>
      <c r="S64" s="5" t="str">
        <f t="shared" si="6"/>
        <v>| DUAL | Dual temperature systems | Sistemas de doble temperatura |  | |</v>
      </c>
      <c r="T64" s="5" t="str">
        <f t="shared" si="1"/>
        <v>| DUAL | Dual temperature systems | Sistemas de doble temperatura |  | | |</v>
      </c>
      <c r="U64" s="5"/>
      <c r="V64" s="5" t="str">
        <f t="shared" si="8"/>
        <v>| DUAL | Dual temperature systems | Sistemas de doble temperatura |  | | | | | | | | | |</v>
      </c>
    </row>
    <row r="65" spans="2:22" ht="30.75" x14ac:dyDescent="0.55000000000000004">
      <c r="B65" s="4" t="s">
        <v>381</v>
      </c>
      <c r="C65" s="4" t="s">
        <v>382</v>
      </c>
      <c r="D65" s="4" t="s">
        <v>383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DUST | Dust and fume collection systems |</v>
      </c>
      <c r="Q65" s="5" t="str">
        <f t="shared" si="3"/>
        <v>| DUST | Dust and fume collection systems | Sistemas de recolección de polvo y humos |</v>
      </c>
      <c r="R65" s="5" t="str">
        <f t="shared" si="5"/>
        <v>| DUST | Dust and fume collection systems | Sistemas de recolección de polvo y humos |  |</v>
      </c>
      <c r="S65" s="5" t="str">
        <f t="shared" si="6"/>
        <v>| DUST | Dust and fume collection systems | Sistemas de recolección de polvo y humos |  | |</v>
      </c>
      <c r="T65" s="5" t="str">
        <f t="shared" si="1"/>
        <v>| DUST | Dust and fume collection systems | Sistemas de recolección de polvo y humos |  | | |</v>
      </c>
      <c r="U65" s="5"/>
      <c r="V65" s="5" t="str">
        <f t="shared" si="8"/>
        <v>| DUST | Dust and fume collection systems | Sistemas de recolección de polvo y humos |  | | | | | | | | | |</v>
      </c>
    </row>
    <row r="66" spans="2:22" ht="30.75" x14ac:dyDescent="0.55000000000000004">
      <c r="B66" s="4" t="s">
        <v>384</v>
      </c>
      <c r="C66" s="4" t="s">
        <v>385</v>
      </c>
      <c r="D66" s="4" t="s">
        <v>386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ELEC | Electrical system, telecom plan |</v>
      </c>
      <c r="Q66" s="5" t="str">
        <f t="shared" si="3"/>
        <v>| ELEC | Electrical system, telecom plan | Sistema eléctrico, plano de telecomunicaciones |</v>
      </c>
      <c r="R66" s="5" t="str">
        <f t="shared" si="5"/>
        <v>| ELEC | Electrical system, telecom plan | Sistema eléctrico, plano de telecomunicaciones |  |</v>
      </c>
      <c r="S66" s="5" t="str">
        <f t="shared" si="6"/>
        <v>| ELEC | Electrical system, telecom plan | Sistema eléctrico, plano de telecomunicaciones |  | |</v>
      </c>
      <c r="T66" s="5" t="str">
        <f t="shared" si="1"/>
        <v>| ELEC | Electrical system, telecom plan | Sistema eléctrico, plano de telecomunicaciones |  | | |</v>
      </c>
      <c r="U66" s="5"/>
      <c r="V66" s="5" t="str">
        <f t="shared" si="8"/>
        <v>| ELEC | Electrical system, telecom plan | Sistema eléctrico, plano de telecomunicaciones |  | | | | | | | | | |</v>
      </c>
    </row>
    <row r="67" spans="2:22" x14ac:dyDescent="0.55000000000000004">
      <c r="B67" s="4" t="s">
        <v>387</v>
      </c>
      <c r="C67" s="4" t="s">
        <v>388</v>
      </c>
      <c r="D67" s="4" t="s">
        <v>389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ELEV | Elevation |</v>
      </c>
      <c r="Q67" s="5" t="str">
        <f t="shared" si="3"/>
        <v>| ELEV | Elevation | Elevación |</v>
      </c>
      <c r="R67" s="5" t="str">
        <f t="shared" si="5"/>
        <v>| ELEV | Elevation | Elevación |  |</v>
      </c>
      <c r="S67" s="5" t="str">
        <f t="shared" si="6"/>
        <v>| ELEV | Elevation | Elevación |  | |</v>
      </c>
      <c r="T67" s="5" t="str">
        <f t="shared" si="1"/>
        <v>| ELEV | Elevation | Elevación |  | | |</v>
      </c>
      <c r="U67" s="5"/>
      <c r="V67" s="5" t="str">
        <f t="shared" si="8"/>
        <v>| ELEV | Elevation | Elevación |  | | | | | | | | | |</v>
      </c>
    </row>
    <row r="68" spans="2:22" x14ac:dyDescent="0.55000000000000004">
      <c r="B68" s="4" t="s">
        <v>390</v>
      </c>
      <c r="C68" s="4" t="s">
        <v>391</v>
      </c>
      <c r="D68" s="4" t="s">
        <v>392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ELHT | Electric heat |</v>
      </c>
      <c r="Q68" s="5" t="str">
        <f t="shared" si="3"/>
        <v>| ELHT | Electric heat | Calefacción eléctrica |</v>
      </c>
      <c r="R68" s="5" t="str">
        <f t="shared" si="5"/>
        <v>| ELHT | Electric heat | Calefacción eléctrica |  |</v>
      </c>
      <c r="S68" s="5" t="str">
        <f t="shared" si="6"/>
        <v>| ELHT | Electric heat | Calefacción eléctrica |  | |</v>
      </c>
      <c r="T68" s="5" t="str">
        <f t="shared" ref="T68:T103" si="9">_xlfn.CONCAT("| ",B68," | ",C68," | ",D68," | ",E68," |",F68," |",G68," |")</f>
        <v>| ELHT | Electric heat | Calefacción eléctrica |  | | |</v>
      </c>
      <c r="U68" s="5"/>
      <c r="V68" s="5" t="str">
        <f t="shared" si="8"/>
        <v>| ELHT | Electric heat | Calefacción eléctrica |  | | | | | | | | | |</v>
      </c>
    </row>
    <row r="69" spans="2:22" ht="30.75" x14ac:dyDescent="0.55000000000000004">
      <c r="B69" s="4" t="s">
        <v>393</v>
      </c>
      <c r="C69" s="4" t="s">
        <v>394</v>
      </c>
      <c r="D69" s="4" t="s">
        <v>395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EMCS | Energy monitoring control system |</v>
      </c>
      <c r="Q69" s="5" t="str">
        <f t="shared" ref="Q69:Q132" si="10">_xlfn.CONCAT("| ",B69," | ",C69," | ",D69," |")</f>
        <v>| EMCS | Energy monitoring control system | Sistema de control de monitoreo de energía |</v>
      </c>
      <c r="R69" s="5" t="str">
        <f t="shared" si="5"/>
        <v>| EMCS | Energy monitoring control system | Sistema de control de monitoreo de energía |  |</v>
      </c>
      <c r="S69" s="5" t="str">
        <f t="shared" si="6"/>
        <v>| EMCS | Energy monitoring control system | Sistema de control de monitoreo de energía |  | |</v>
      </c>
      <c r="T69" s="5" t="str">
        <f t="shared" si="9"/>
        <v>| EMCS | Energy monitoring control system | Sistema de control de monitoreo de energía |  | | |</v>
      </c>
      <c r="U69" s="5"/>
      <c r="V69" s="5" t="str">
        <f t="shared" si="8"/>
        <v>| EMCS | Energy monitoring control system | Sistema de control de monitoreo de energía |  | | | | | | | | | |</v>
      </c>
    </row>
    <row r="70" spans="2:22" x14ac:dyDescent="0.55000000000000004">
      <c r="B70" s="4" t="s">
        <v>396</v>
      </c>
      <c r="C70" s="4" t="s">
        <v>397</v>
      </c>
      <c r="D70" s="4" t="s">
        <v>398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ENER | Energy management systems |</v>
      </c>
      <c r="Q70" s="5" t="str">
        <f t="shared" si="10"/>
        <v>| ENER | Energy management systems | Sistemas de gestión de energía |</v>
      </c>
      <c r="R70" s="5" t="str">
        <f t="shared" ref="R70:R103" si="11">_xlfn.CONCAT("| ",B70," | ",C70," | ",D70," | ",E70," |")</f>
        <v>| ENER | Energy management systems | Sistemas de gestión de energía |  |</v>
      </c>
      <c r="S70" s="5" t="str">
        <f t="shared" ref="S70:S103" si="12">_xlfn.CONCAT("| ",B70," | ",C70," | ",D70," | ",E70," |",F70," |")</f>
        <v>| ENER | Energy management systems | Sistemas de gestión de energía |  | |</v>
      </c>
      <c r="T70" s="5" t="str">
        <f t="shared" si="9"/>
        <v>| ENER | Energy management systems | Sistemas de gestión de energía |  | | |</v>
      </c>
      <c r="U70" s="5"/>
      <c r="V70" s="5" t="str">
        <f t="shared" si="8"/>
        <v>| ENER | Energy management systems | Sistemas de gestión de energía |  | | | | | | | | | |</v>
      </c>
    </row>
    <row r="71" spans="2:22" x14ac:dyDescent="0.55000000000000004">
      <c r="B71" s="4" t="s">
        <v>399</v>
      </c>
      <c r="C71" s="4" t="s">
        <v>81</v>
      </c>
      <c r="D71" s="4" t="s">
        <v>400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EQPM | Equipment |</v>
      </c>
      <c r="Q71" s="5" t="str">
        <f t="shared" si="10"/>
        <v>| EQPM | Equipment | Equipo |</v>
      </c>
      <c r="R71" s="5" t="str">
        <f t="shared" si="11"/>
        <v>| EQPM | Equipment | Equipo |  |</v>
      </c>
      <c r="S71" s="5" t="str">
        <f t="shared" si="12"/>
        <v>| EQPM | Equipment | Equipo |  | |</v>
      </c>
      <c r="T71" s="5" t="str">
        <f t="shared" si="9"/>
        <v>| EQPM | Equipment | Equipo |  | | |</v>
      </c>
      <c r="U71" s="5"/>
      <c r="V71" s="5" t="str">
        <f t="shared" si="8"/>
        <v>| EQPM | Equipment | Equipo |  | | | | | | | | | |</v>
      </c>
    </row>
    <row r="72" spans="2:22" x14ac:dyDescent="0.55000000000000004">
      <c r="B72" s="4" t="s">
        <v>401</v>
      </c>
      <c r="C72" s="4" t="s">
        <v>402</v>
      </c>
      <c r="D72" s="4" t="s">
        <v>403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EROS | Erosion and sediment control |</v>
      </c>
      <c r="Q72" s="5" t="str">
        <f t="shared" si="10"/>
        <v>| EROS | Erosion and sediment control | Control de erosión y sedimentos |</v>
      </c>
      <c r="R72" s="5" t="str">
        <f t="shared" si="11"/>
        <v>| EROS | Erosion and sediment control | Control de erosión y sedimentos |  |</v>
      </c>
      <c r="S72" s="5" t="str">
        <f t="shared" si="12"/>
        <v>| EROS | Erosion and sediment control | Control de erosión y sedimentos |  | |</v>
      </c>
      <c r="T72" s="5" t="str">
        <f t="shared" si="9"/>
        <v>| EROS | Erosion and sediment control | Control de erosión y sedimentos |  | | |</v>
      </c>
      <c r="U72" s="5"/>
      <c r="V72" s="5" t="str">
        <f t="shared" si="8"/>
        <v>| EROS | Erosion and sediment control | Control de erosión y sedimentos |  | | | | | | | | | |</v>
      </c>
    </row>
    <row r="73" spans="2:22" x14ac:dyDescent="0.55000000000000004">
      <c r="B73" s="4" t="s">
        <v>404</v>
      </c>
      <c r="C73" s="4" t="s">
        <v>405</v>
      </c>
      <c r="D73" s="4" t="s">
        <v>406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ESMT | Easements |</v>
      </c>
      <c r="Q73" s="5" t="str">
        <f t="shared" si="10"/>
        <v>| ESMT | Easements | Servidumbres |</v>
      </c>
      <c r="R73" s="5" t="str">
        <f t="shared" si="11"/>
        <v>| ESMT | Easements | Servidumbres |  |</v>
      </c>
      <c r="S73" s="5" t="str">
        <f t="shared" si="12"/>
        <v>| ESMT | Easements | Servidumbres |  | |</v>
      </c>
      <c r="T73" s="5" t="str">
        <f t="shared" si="9"/>
        <v>| ESMT | Easements | Servidumbres |  | | |</v>
      </c>
      <c r="U73" s="5"/>
      <c r="V73" s="5" t="str">
        <f t="shared" si="8"/>
        <v>| ESMT | Easements | Servidumbres |  | | | | | | | | | |</v>
      </c>
    </row>
    <row r="74" spans="2:22" x14ac:dyDescent="0.55000000000000004">
      <c r="B74" s="4" t="s">
        <v>407</v>
      </c>
      <c r="C74" s="4" t="s">
        <v>408</v>
      </c>
      <c r="D74" s="4" t="s">
        <v>409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EVAC | Evacuation plan |</v>
      </c>
      <c r="Q74" s="5" t="str">
        <f t="shared" si="10"/>
        <v>| EVAC | Evacuation plan | Plan de evacuación |</v>
      </c>
      <c r="R74" s="5" t="str">
        <f t="shared" si="11"/>
        <v>| EVAC | Evacuation plan | Plan de evacuación |  |</v>
      </c>
      <c r="S74" s="5" t="str">
        <f t="shared" si="12"/>
        <v>| EVAC | Evacuation plan | Plan de evacuación |  | |</v>
      </c>
      <c r="T74" s="5" t="str">
        <f t="shared" si="9"/>
        <v>| EVAC | Evacuation plan | Plan de evacuación |  | | |</v>
      </c>
      <c r="U74" s="5"/>
      <c r="V74" s="5" t="str">
        <f t="shared" si="8"/>
        <v>| EVAC | Evacuation plan | Plan de evacuación |  | | | | | | | | | |</v>
      </c>
    </row>
    <row r="75" spans="2:22" x14ac:dyDescent="0.55000000000000004">
      <c r="B75" s="4" t="s">
        <v>410</v>
      </c>
      <c r="C75" s="4" t="s">
        <v>411</v>
      </c>
      <c r="D75" s="4" t="s">
        <v>412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EXHS | Exhaust system |</v>
      </c>
      <c r="Q75" s="5" t="str">
        <f t="shared" si="10"/>
        <v>| EXHS | Exhaust system | Sistema de extracción |</v>
      </c>
      <c r="R75" s="5" t="str">
        <f t="shared" si="11"/>
        <v>| EXHS | Exhaust system | Sistema de extracción |  |</v>
      </c>
      <c r="S75" s="5" t="str">
        <f t="shared" si="12"/>
        <v>| EXHS | Exhaust system | Sistema de extracción |  | |</v>
      </c>
      <c r="T75" s="5" t="str">
        <f t="shared" si="9"/>
        <v>| EXHS | Exhaust system | Sistema de extracción |  | | |</v>
      </c>
      <c r="U75" s="5"/>
      <c r="V75" s="5" t="str">
        <f t="shared" si="8"/>
        <v>| EXHS | Exhaust system | Sistema de extracción |  | | | | | | | | | |</v>
      </c>
    </row>
    <row r="76" spans="2:22" x14ac:dyDescent="0.55000000000000004">
      <c r="B76" s="4" t="s">
        <v>413</v>
      </c>
      <c r="C76" s="4" t="s">
        <v>414</v>
      </c>
      <c r="D76" s="4" t="s">
        <v>415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FENC | Fences |</v>
      </c>
      <c r="Q76" s="5" t="str">
        <f t="shared" si="10"/>
        <v>| FENC | Fences | Cercas |</v>
      </c>
      <c r="R76" s="5" t="str">
        <f t="shared" si="11"/>
        <v>| FENC | Fences | Cercas |  |</v>
      </c>
      <c r="S76" s="5" t="str">
        <f t="shared" si="12"/>
        <v>| FENC | Fences | Cercas |  | |</v>
      </c>
      <c r="T76" s="5" t="str">
        <f t="shared" si="9"/>
        <v>| FENC | Fences | Cercas |  | | |</v>
      </c>
      <c r="U76" s="5"/>
      <c r="V76" s="5" t="str">
        <f t="shared" si="8"/>
        <v>| FENC | Fences | Cercas |  | | | | | | | | | |</v>
      </c>
    </row>
    <row r="77" spans="2:22" x14ac:dyDescent="0.55000000000000004">
      <c r="B77" s="4" t="s">
        <v>416</v>
      </c>
      <c r="C77" s="4" t="s">
        <v>417</v>
      </c>
      <c r="D77" s="4" t="s">
        <v>59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FIRE | Fire protection |</v>
      </c>
      <c r="Q77" s="5" t="str">
        <f t="shared" si="10"/>
        <v>| FIRE | Fire protection | Protección contra incendios |</v>
      </c>
      <c r="R77" s="5" t="str">
        <f t="shared" si="11"/>
        <v>| FIRE | Fire protection | Protección contra incendios |  |</v>
      </c>
      <c r="S77" s="5" t="str">
        <f t="shared" si="12"/>
        <v>| FIRE | Fire protection | Protección contra incendios |  | |</v>
      </c>
      <c r="T77" s="5" t="str">
        <f t="shared" si="9"/>
        <v>| FIRE | Fire protection | Protección contra incendios |  | | |</v>
      </c>
      <c r="U77" s="5"/>
      <c r="V77" s="5" t="str">
        <f t="shared" si="8"/>
        <v>| FIRE | Fire protection | Protección contra incendios |  | | | | | | | | | |</v>
      </c>
    </row>
    <row r="78" spans="2:22" x14ac:dyDescent="0.55000000000000004">
      <c r="B78" s="4" t="s">
        <v>418</v>
      </c>
      <c r="C78" s="4" t="s">
        <v>419</v>
      </c>
      <c r="D78" s="4" t="s">
        <v>420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FLHA | Flood hazard area |</v>
      </c>
      <c r="Q78" s="5" t="str">
        <f t="shared" si="10"/>
        <v>| FLHA | Flood hazard area | Zona con riesgo de inundación |</v>
      </c>
      <c r="R78" s="5" t="str">
        <f t="shared" si="11"/>
        <v>| FLHA | Flood hazard area | Zona con riesgo de inundación |  |</v>
      </c>
      <c r="S78" s="5" t="str">
        <f t="shared" si="12"/>
        <v>| FLHA | Flood hazard area | Zona con riesgo de inundación |  | |</v>
      </c>
      <c r="T78" s="5" t="str">
        <f t="shared" si="9"/>
        <v>| FLHA | Flood hazard area | Zona con riesgo de inundación |  | | |</v>
      </c>
      <c r="U78" s="5"/>
      <c r="V78" s="5" t="str">
        <f t="shared" si="8"/>
        <v>| FLHA | Flood hazard area | Zona con riesgo de inundación |  | | | | | | | | | |</v>
      </c>
    </row>
    <row r="79" spans="2:22" x14ac:dyDescent="0.55000000000000004">
      <c r="B79" s="4" t="s">
        <v>421</v>
      </c>
      <c r="C79" s="4" t="s">
        <v>422</v>
      </c>
      <c r="D79" s="4" t="s">
        <v>423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FLOR | Floor |</v>
      </c>
      <c r="Q79" s="5" t="str">
        <f t="shared" si="10"/>
        <v>| FLOR | Floor | Piso |</v>
      </c>
      <c r="R79" s="5" t="str">
        <f t="shared" si="11"/>
        <v>| FLOR | Floor | Piso |  |</v>
      </c>
      <c r="S79" s="5" t="str">
        <f t="shared" si="12"/>
        <v>| FLOR | Floor | Piso |  | |</v>
      </c>
      <c r="T79" s="5" t="str">
        <f t="shared" si="9"/>
        <v>| FLOR | Floor | Piso |  | | |</v>
      </c>
      <c r="U79" s="5"/>
      <c r="V79" s="5" t="str">
        <f t="shared" si="8"/>
        <v>| FLOR | Floor | Piso |  | | | | | | | | | |</v>
      </c>
    </row>
    <row r="80" spans="2:22" x14ac:dyDescent="0.55000000000000004">
      <c r="B80" s="4" t="s">
        <v>424</v>
      </c>
      <c r="C80" s="4" t="s">
        <v>425</v>
      </c>
      <c r="D80" s="4" t="s">
        <v>426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FNDN | Foundation |</v>
      </c>
      <c r="Q80" s="5" t="str">
        <f t="shared" si="10"/>
        <v>| FNDN | Foundation | Cimentación |</v>
      </c>
      <c r="R80" s="5" t="str">
        <f t="shared" si="11"/>
        <v>| FNDN | Foundation | Cimentación |  |</v>
      </c>
      <c r="S80" s="5" t="str">
        <f t="shared" si="12"/>
        <v>| FNDN | Foundation | Cimentación |  | |</v>
      </c>
      <c r="T80" s="5" t="str">
        <f t="shared" si="9"/>
        <v>| FNDN | Foundation | Cimentación |  | | |</v>
      </c>
      <c r="U80" s="5"/>
      <c r="V80" s="5" t="str">
        <f t="shared" si="8"/>
        <v>| FNDN | Foundation | Cimentación |  | | | | | | | | | |</v>
      </c>
    </row>
    <row r="81" spans="2:22" x14ac:dyDescent="0.55000000000000004">
      <c r="B81" s="4" t="s">
        <v>427</v>
      </c>
      <c r="C81" s="4" t="s">
        <v>428</v>
      </c>
      <c r="D81" s="4" t="s">
        <v>429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FNSH | Finishes |</v>
      </c>
      <c r="Q81" s="5" t="str">
        <f t="shared" si="10"/>
        <v>| FNSH | Finishes | Acabados |</v>
      </c>
      <c r="R81" s="5" t="str">
        <f t="shared" si="11"/>
        <v>| FNSH | Finishes | Acabados |  |</v>
      </c>
      <c r="S81" s="5" t="str">
        <f t="shared" si="12"/>
        <v>| FNSH | Finishes | Acabados |  | |</v>
      </c>
      <c r="T81" s="5" t="str">
        <f t="shared" si="9"/>
        <v>| FNSH | Finishes | Acabados |  | | |</v>
      </c>
      <c r="U81" s="5"/>
      <c r="V81" s="5" t="str">
        <f t="shared" si="8"/>
        <v>| FNSH | Finishes | Acabados |  | | | | | | | | | |</v>
      </c>
    </row>
    <row r="82" spans="2:22" ht="30.75" x14ac:dyDescent="0.55000000000000004">
      <c r="B82" s="4" t="s">
        <v>430</v>
      </c>
      <c r="C82" s="4" t="s">
        <v>431</v>
      </c>
      <c r="D82" s="4" t="s">
        <v>432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FRAM | Braced frame or moment frame |</v>
      </c>
      <c r="Q82" s="5" t="str">
        <f t="shared" si="10"/>
        <v>| FRAM | Braced frame or moment frame | Marco arriostrado o marco de momento |</v>
      </c>
      <c r="R82" s="5" t="str">
        <f t="shared" si="11"/>
        <v>| FRAM | Braced frame or moment frame | Marco arriostrado o marco de momento |  |</v>
      </c>
      <c r="S82" s="5" t="str">
        <f t="shared" si="12"/>
        <v>| FRAM | Braced frame or moment frame | Marco arriostrado o marco de momento |  | |</v>
      </c>
      <c r="T82" s="5" t="str">
        <f t="shared" si="9"/>
        <v>| FRAM | Braced frame or moment frame | Marco arriostrado o marco de momento |  | | |</v>
      </c>
      <c r="U82" s="5"/>
      <c r="V82" s="5" t="str">
        <f t="shared" si="8"/>
        <v>| FRAM | Braced frame or moment frame | Marco arriostrado o marco de momento |  | | | | | | | | | |</v>
      </c>
    </row>
    <row r="83" spans="2:22" x14ac:dyDescent="0.55000000000000004">
      <c r="B83" s="4" t="s">
        <v>433</v>
      </c>
      <c r="C83" s="4" t="s">
        <v>434</v>
      </c>
      <c r="D83" s="4" t="s">
        <v>435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FSTN | Fasteners and connections |</v>
      </c>
      <c r="Q83" s="5" t="str">
        <f t="shared" si="10"/>
        <v>| FSTN | Fasteners and connections | Sujeciones y conexiones |</v>
      </c>
      <c r="R83" s="5" t="str">
        <f t="shared" si="11"/>
        <v>| FSTN | Fasteners and connections | Sujeciones y conexiones |  |</v>
      </c>
      <c r="S83" s="5" t="str">
        <f t="shared" si="12"/>
        <v>| FSTN | Fasteners and connections | Sujeciones y conexiones |  | |</v>
      </c>
      <c r="T83" s="5" t="str">
        <f t="shared" si="9"/>
        <v>| FSTN | Fasteners and connections | Sujeciones y conexiones |  | | |</v>
      </c>
      <c r="U83" s="5"/>
      <c r="V83" s="5" t="str">
        <f t="shared" si="8"/>
        <v>| FSTN | Fasteners and connections | Sujeciones y conexiones |  | | | | | | | | | |</v>
      </c>
    </row>
    <row r="84" spans="2:22" x14ac:dyDescent="0.55000000000000004">
      <c r="B84" s="4" t="s">
        <v>436</v>
      </c>
      <c r="C84" s="4" t="s">
        <v>437</v>
      </c>
      <c r="D84" s="4" t="s">
        <v>438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FUEL | Fuel systems |</v>
      </c>
      <c r="Q84" s="5" t="str">
        <f t="shared" si="10"/>
        <v>| FUEL | Fuel systems | Sistemas de combustible |</v>
      </c>
      <c r="R84" s="5" t="str">
        <f t="shared" si="11"/>
        <v>| FUEL | Fuel systems | Sistemas de combustible |  |</v>
      </c>
      <c r="S84" s="5" t="str">
        <f t="shared" si="12"/>
        <v>| FUEL | Fuel systems | Sistemas de combustible |  | |</v>
      </c>
      <c r="T84" s="5" t="str">
        <f t="shared" si="9"/>
        <v>| FUEL | Fuel systems | Sistemas de combustible |  | | |</v>
      </c>
      <c r="U84" s="5"/>
      <c r="V84" s="5" t="str">
        <f t="shared" si="8"/>
        <v>| FUEL | Fuel systems | Sistemas de combustible |  | | | | | | | | | |</v>
      </c>
    </row>
    <row r="85" spans="2:22" x14ac:dyDescent="0.55000000000000004">
      <c r="B85" s="4" t="s">
        <v>439</v>
      </c>
      <c r="C85" s="4" t="s">
        <v>440</v>
      </c>
      <c r="D85" s="4" t="s">
        <v>441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FUME | Fume hood |</v>
      </c>
      <c r="Q85" s="5" t="str">
        <f t="shared" si="10"/>
        <v>| FUME | Fume hood | Campana de extracción de gases |</v>
      </c>
      <c r="R85" s="5" t="str">
        <f t="shared" si="11"/>
        <v>| FUME | Fume hood | Campana de extracción de gases |  |</v>
      </c>
      <c r="S85" s="5" t="str">
        <f t="shared" si="12"/>
        <v>| FUME | Fume hood | Campana de extracción de gases |  | |</v>
      </c>
      <c r="T85" s="5" t="str">
        <f t="shared" si="9"/>
        <v>| FUME | Fume hood | Campana de extracción de gases |  | | |</v>
      </c>
      <c r="U85" s="5"/>
      <c r="V85" s="5" t="str">
        <f t="shared" si="8"/>
        <v>| FUME | Fume hood | Campana de extracción de gases |  | | | | | | | | | |</v>
      </c>
    </row>
    <row r="86" spans="2:22" x14ac:dyDescent="0.55000000000000004">
      <c r="B86" s="4" t="s">
        <v>442</v>
      </c>
      <c r="C86" s="4" t="s">
        <v>443</v>
      </c>
      <c r="D86" s="4" t="s">
        <v>444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FURN | Furnishings |</v>
      </c>
      <c r="Q86" s="5" t="str">
        <f t="shared" si="10"/>
        <v>| FURN | Furnishings | Mobiliario |</v>
      </c>
      <c r="R86" s="5" t="str">
        <f t="shared" si="11"/>
        <v>| FURN | Furnishings | Mobiliario |  |</v>
      </c>
      <c r="S86" s="5" t="str">
        <f t="shared" si="12"/>
        <v>| FURN | Furnishings | Mobiliario |  | |</v>
      </c>
      <c r="T86" s="5" t="str">
        <f t="shared" si="9"/>
        <v>| FURN | Furnishings | Mobiliario |  | | |</v>
      </c>
      <c r="U86" s="5"/>
      <c r="V86" s="5" t="str">
        <f t="shared" si="8"/>
        <v>| FURN | Furnishings | Mobiliario |  | | | | | | | | | |</v>
      </c>
    </row>
    <row r="87" spans="2:22" x14ac:dyDescent="0.55000000000000004">
      <c r="B87" s="4" t="s">
        <v>445</v>
      </c>
      <c r="C87" s="4" t="s">
        <v>446</v>
      </c>
      <c r="D87" s="4" t="s">
        <v>446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GAS~ | Gas |</v>
      </c>
      <c r="Q87" s="5" t="str">
        <f t="shared" si="10"/>
        <v>| GAS~ | Gas | Gas |</v>
      </c>
      <c r="R87" s="5" t="str">
        <f t="shared" si="11"/>
        <v>| GAS~ | Gas | Gas |  |</v>
      </c>
      <c r="S87" s="5" t="str">
        <f t="shared" si="12"/>
        <v>| GAS~ | Gas | Gas |  | |</v>
      </c>
      <c r="T87" s="5" t="str">
        <f t="shared" si="9"/>
        <v>| GAS~ | Gas | Gas |  | | |</v>
      </c>
      <c r="U87" s="5"/>
      <c r="V87" s="5" t="str">
        <f t="shared" si="8"/>
        <v>| GAS~ | Gas | Gas |  | | | | | | | | | |</v>
      </c>
    </row>
    <row r="88" spans="2:22" x14ac:dyDescent="0.55000000000000004">
      <c r="B88" s="4" t="s">
        <v>447</v>
      </c>
      <c r="C88" s="4" t="s">
        <v>448</v>
      </c>
      <c r="D88" s="4" t="s">
        <v>449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GATE | Gate |</v>
      </c>
      <c r="Q88" s="5" t="str">
        <f t="shared" si="10"/>
        <v>| GATE | Gate | Portón |</v>
      </c>
      <c r="R88" s="5" t="str">
        <f t="shared" si="11"/>
        <v>| GATE | Gate | Portón |  |</v>
      </c>
      <c r="S88" s="5" t="str">
        <f t="shared" si="12"/>
        <v>| GATE | Gate | Portón |  | |</v>
      </c>
      <c r="T88" s="5" t="str">
        <f t="shared" si="9"/>
        <v>| GATE | Gate | Portón |  | | |</v>
      </c>
      <c r="U88" s="5"/>
      <c r="V88" s="5" t="str">
        <f t="shared" si="8"/>
        <v>| GATE | Gate | Portón |  | | | | | | | | | |</v>
      </c>
    </row>
    <row r="89" spans="2:22" x14ac:dyDescent="0.55000000000000004">
      <c r="B89" s="4" t="s">
        <v>450</v>
      </c>
      <c r="C89" s="4" t="s">
        <v>451</v>
      </c>
      <c r="D89" s="4" t="s">
        <v>452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GLAZ | Glazing |</v>
      </c>
      <c r="Q89" s="5" t="str">
        <f t="shared" si="10"/>
        <v>| GLAZ | Glazing | Acristalamiento |</v>
      </c>
      <c r="R89" s="5" t="str">
        <f t="shared" si="11"/>
        <v>| GLAZ | Glazing | Acristalamiento |  |</v>
      </c>
      <c r="S89" s="5" t="str">
        <f t="shared" si="12"/>
        <v>| GLAZ | Glazing | Acristalamiento |  | |</v>
      </c>
      <c r="T89" s="5" t="str">
        <f t="shared" si="9"/>
        <v>| GLAZ | Glazing | Acristalamiento |  | | |</v>
      </c>
      <c r="U89" s="5"/>
      <c r="V89" s="5" t="str">
        <f t="shared" si="8"/>
        <v>| GLAZ | Glazing | Acristalamiento |  | | | | | | | | | |</v>
      </c>
    </row>
    <row r="90" spans="2:22" x14ac:dyDescent="0.55000000000000004">
      <c r="B90" s="4" t="s">
        <v>453</v>
      </c>
      <c r="C90" s="4" t="s">
        <v>454</v>
      </c>
      <c r="D90" s="4" t="s">
        <v>455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GLYC | Glycol systems |</v>
      </c>
      <c r="Q90" s="5" t="str">
        <f t="shared" si="10"/>
        <v>| GLYC | Glycol systems | Sistemas de glicol |</v>
      </c>
      <c r="R90" s="5" t="str">
        <f t="shared" si="11"/>
        <v>| GLYC | Glycol systems | Sistemas de glicol |  |</v>
      </c>
      <c r="S90" s="5" t="str">
        <f t="shared" si="12"/>
        <v>| GLYC | Glycol systems | Sistemas de glicol |  | |</v>
      </c>
      <c r="T90" s="5" t="str">
        <f t="shared" si="9"/>
        <v>| GLYC | Glycol systems | Sistemas de glicol |  | | |</v>
      </c>
      <c r="U90" s="5"/>
      <c r="V90" s="5" t="str">
        <f t="shared" si="8"/>
        <v>| GLYC | Glycol systems | Sistemas de glicol |  | | | | | | | | | |</v>
      </c>
    </row>
    <row r="91" spans="2:22" x14ac:dyDescent="0.55000000000000004">
      <c r="B91" s="4" t="s">
        <v>456</v>
      </c>
      <c r="C91" s="4" t="s">
        <v>457</v>
      </c>
      <c r="D91" s="4" t="s">
        <v>458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GRID | Grids |</v>
      </c>
      <c r="Q91" s="5" t="str">
        <f t="shared" si="10"/>
        <v>| GRID | Grids | Rejillas |</v>
      </c>
      <c r="R91" s="5" t="str">
        <f t="shared" si="11"/>
        <v>| GRID | Grids | Rejillas |  |</v>
      </c>
      <c r="S91" s="5" t="str">
        <f t="shared" si="12"/>
        <v>| GRID | Grids | Rejillas |  | |</v>
      </c>
      <c r="T91" s="5" t="str">
        <f t="shared" si="9"/>
        <v>| GRID | Grids | Rejillas |  | | |</v>
      </c>
      <c r="U91" s="5"/>
      <c r="V91" s="5" t="str">
        <f t="shared" si="8"/>
        <v>| GRID | Grids | Rejillas |  | | | | | | | | | |</v>
      </c>
    </row>
    <row r="92" spans="2:22" x14ac:dyDescent="0.55000000000000004">
      <c r="B92" s="4" t="s">
        <v>459</v>
      </c>
      <c r="C92" s="4" t="s">
        <v>460</v>
      </c>
      <c r="D92" s="4" t="s">
        <v>461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GRLN | Grade line |</v>
      </c>
      <c r="Q92" s="5" t="str">
        <f t="shared" si="10"/>
        <v>| GRLN | Grade line | Línea de rasante |</v>
      </c>
      <c r="R92" s="5" t="str">
        <f t="shared" si="11"/>
        <v>| GRLN | Grade line | Línea de rasante |  |</v>
      </c>
      <c r="S92" s="5" t="str">
        <f t="shared" si="12"/>
        <v>| GRLN | Grade line | Línea de rasante |  | |</v>
      </c>
      <c r="T92" s="5" t="str">
        <f t="shared" si="9"/>
        <v>| GRLN | Grade line | Línea de rasante |  | | |</v>
      </c>
      <c r="U92" s="5"/>
      <c r="V92" s="5" t="str">
        <f t="shared" si="8"/>
        <v>| GRLN | Grade line | Línea de rasante |  | | | | | | | | | |</v>
      </c>
    </row>
    <row r="93" spans="2:22" x14ac:dyDescent="0.55000000000000004">
      <c r="B93" s="4" t="s">
        <v>462</v>
      </c>
      <c r="C93" s="4" t="s">
        <v>463</v>
      </c>
      <c r="D93" s="4" t="s">
        <v>464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GRND | Ground system |</v>
      </c>
      <c r="Q93" s="5" t="str">
        <f t="shared" si="10"/>
        <v>| GRND | Ground system | Sistema de puesta a tierra |</v>
      </c>
      <c r="R93" s="5" t="str">
        <f t="shared" si="11"/>
        <v>| GRND | Ground system | Sistema de puesta a tierra |  |</v>
      </c>
      <c r="S93" s="5" t="str">
        <f t="shared" si="12"/>
        <v>| GRND | Ground system | Sistema de puesta a tierra |  | |</v>
      </c>
      <c r="T93" s="5" t="str">
        <f t="shared" si="9"/>
        <v>| GRND | Ground system | Sistema de puesta a tierra |  | | |</v>
      </c>
      <c r="U93" s="5"/>
      <c r="V93" s="5" t="str">
        <f t="shared" si="8"/>
        <v>| GRND | Ground system | Sistema de puesta a tierra |  | | | | | | | | | |</v>
      </c>
    </row>
    <row r="94" spans="2:22" x14ac:dyDescent="0.55000000000000004">
      <c r="B94" s="4" t="s">
        <v>465</v>
      </c>
      <c r="C94" s="4" t="s">
        <v>466</v>
      </c>
      <c r="D94" s="4" t="s">
        <v>467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HALN | Halon |</v>
      </c>
      <c r="Q94" s="5" t="str">
        <f t="shared" si="10"/>
        <v>| HALN | Halon | Halón |</v>
      </c>
      <c r="R94" s="5" t="str">
        <f t="shared" si="11"/>
        <v>| HALN | Halon | Halón |  |</v>
      </c>
      <c r="S94" s="5" t="str">
        <f t="shared" si="12"/>
        <v>| HALN | Halon | Halón |  | |</v>
      </c>
      <c r="T94" s="5" t="str">
        <f t="shared" si="9"/>
        <v>| HALN | Halon | Halón |  | | |</v>
      </c>
      <c r="U94" s="5"/>
      <c r="V94" s="5" t="str">
        <f t="shared" si="8"/>
        <v>| HALN | Halon | Halón |  | | | | | | | | | |</v>
      </c>
    </row>
    <row r="95" spans="2:22" x14ac:dyDescent="0.55000000000000004">
      <c r="B95" s="4" t="s">
        <v>468</v>
      </c>
      <c r="C95" s="4" t="s">
        <v>469</v>
      </c>
      <c r="D95" s="4" t="s">
        <v>470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HVAC | HVAC systems |</v>
      </c>
      <c r="Q95" s="5" t="str">
        <f t="shared" si="10"/>
        <v>| HVAC | HVAC systems | Sistemas de climatización (HVAC) |</v>
      </c>
      <c r="R95" s="5" t="str">
        <f t="shared" si="11"/>
        <v>| HVAC | HVAC systems | Sistemas de climatización (HVAC) |  |</v>
      </c>
      <c r="S95" s="5" t="str">
        <f t="shared" si="12"/>
        <v>| HVAC | HVAC systems | Sistemas de climatización (HVAC) |  | |</v>
      </c>
      <c r="T95" s="5" t="str">
        <f t="shared" si="9"/>
        <v>| HVAC | HVAC systems | Sistemas de climatización (HVAC) |  | | |</v>
      </c>
      <c r="U95" s="5"/>
      <c r="V95" s="5" t="str">
        <f t="shared" si="8"/>
        <v>| HVAC | HVAC systems | Sistemas de climatización (HVAC) |  | | | | | | | | | |</v>
      </c>
    </row>
    <row r="96" spans="2:22" ht="30.75" x14ac:dyDescent="0.55000000000000004">
      <c r="B96" s="4" t="s">
        <v>471</v>
      </c>
      <c r="C96" s="4" t="s">
        <v>472</v>
      </c>
      <c r="D96" s="4" t="s">
        <v>473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HWTR | Hot water heating system |</v>
      </c>
      <c r="Q96" s="5" t="str">
        <f t="shared" si="10"/>
        <v>| HWTR | Hot water heating system | Sistema de calentamiento de agua caliente |</v>
      </c>
      <c r="R96" s="5" t="str">
        <f t="shared" si="11"/>
        <v>| HWTR | Hot water heating system | Sistema de calentamiento de agua caliente |  |</v>
      </c>
      <c r="S96" s="5" t="str">
        <f t="shared" si="12"/>
        <v>| HWTR | Hot water heating system | Sistema de calentamiento de agua caliente |  | |</v>
      </c>
      <c r="T96" s="5" t="str">
        <f t="shared" si="9"/>
        <v>| HWTR | Hot water heating system | Sistema de calentamiento de agua caliente |  | | |</v>
      </c>
      <c r="U96" s="5"/>
      <c r="V96" s="5" t="str">
        <f t="shared" si="8"/>
        <v>| HWTR | Hot water heating system | Sistema de calentamiento de agua caliente |  | | | | | | | | | |</v>
      </c>
    </row>
    <row r="97" spans="2:22" x14ac:dyDescent="0.55000000000000004">
      <c r="B97" s="4" t="s">
        <v>474</v>
      </c>
      <c r="C97" s="4" t="s">
        <v>475</v>
      </c>
      <c r="D97" s="4" t="s">
        <v>476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HYDR | Hydraulic structure |</v>
      </c>
      <c r="Q97" s="5" t="str">
        <f t="shared" si="10"/>
        <v>| HYDR | Hydraulic structure | Estructura hidráulica |</v>
      </c>
      <c r="R97" s="5" t="str">
        <f t="shared" si="11"/>
        <v>| HYDR | Hydraulic structure | Estructura hidráulica |  |</v>
      </c>
      <c r="S97" s="5" t="str">
        <f t="shared" si="12"/>
        <v>| HYDR | Hydraulic structure | Estructura hidráulica |  | |</v>
      </c>
      <c r="T97" s="5" t="str">
        <f t="shared" si="9"/>
        <v>| HYDR | Hydraulic structure | Estructura hidráulica |  | | |</v>
      </c>
      <c r="U97" s="5"/>
      <c r="V97" s="5" t="str">
        <f t="shared" si="8"/>
        <v>| HYDR | Hydraulic structure | Estructura hidráulica |  | | | | | | | | | |</v>
      </c>
    </row>
    <row r="98" spans="2:22" x14ac:dyDescent="0.55000000000000004">
      <c r="B98" s="4" t="s">
        <v>477</v>
      </c>
      <c r="C98" s="4" t="s">
        <v>478</v>
      </c>
      <c r="D98" s="4" t="s">
        <v>479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IGAS | Inert gas |</v>
      </c>
      <c r="Q98" s="5" t="str">
        <f t="shared" si="10"/>
        <v>| IGAS | Inert gas | Gas inerte |</v>
      </c>
      <c r="R98" s="5" t="str">
        <f t="shared" si="11"/>
        <v>| IGAS | Inert gas | Gas inerte |  |</v>
      </c>
      <c r="S98" s="5" t="str">
        <f t="shared" si="12"/>
        <v>| IGAS | Inert gas | Gas inerte |  | |</v>
      </c>
      <c r="T98" s="5" t="str">
        <f t="shared" si="9"/>
        <v>| IGAS | Inert gas | Gas inerte |  | | |</v>
      </c>
      <c r="U98" s="5"/>
      <c r="V98" s="5" t="str">
        <f t="shared" si="8"/>
        <v>| IGAS | Inert gas | Gas inerte |  | | | | | | | | | |</v>
      </c>
    </row>
    <row r="99" spans="2:22" x14ac:dyDescent="0.55000000000000004">
      <c r="B99" s="4" t="s">
        <v>480</v>
      </c>
      <c r="C99" s="4" t="s">
        <v>481</v>
      </c>
      <c r="D99" s="4" t="s">
        <v>482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INGR | Ingrants |</v>
      </c>
      <c r="Q99" s="5" t="str">
        <f t="shared" si="10"/>
        <v>| INGR | Ingrants | Concesiones |</v>
      </c>
      <c r="R99" s="5" t="str">
        <f t="shared" si="11"/>
        <v>| INGR | Ingrants | Concesiones |  |</v>
      </c>
      <c r="S99" s="5" t="str">
        <f t="shared" si="12"/>
        <v>| INGR | Ingrants | Concesiones |  | |</v>
      </c>
      <c r="T99" s="5" t="str">
        <f t="shared" si="9"/>
        <v>| INGR | Ingrants | Concesiones |  | | |</v>
      </c>
      <c r="U99" s="5"/>
      <c r="V99" s="5" t="str">
        <f t="shared" si="8"/>
        <v>| INGR | Ingrants | Concesiones |  | | | | | | | | | |</v>
      </c>
    </row>
    <row r="100" spans="2:22" x14ac:dyDescent="0.55000000000000004">
      <c r="B100" s="4" t="s">
        <v>483</v>
      </c>
      <c r="C100" s="4" t="s">
        <v>484</v>
      </c>
      <c r="D100" s="4" t="s">
        <v>485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INST | Instrumentation system |</v>
      </c>
      <c r="Q100" s="5" t="str">
        <f t="shared" si="10"/>
        <v>| INST | Instrumentation system | Sistema de instrumentación |</v>
      </c>
      <c r="R100" s="5" t="str">
        <f t="shared" si="11"/>
        <v>| INST | Instrumentation system | Sistema de instrumentación |  |</v>
      </c>
      <c r="S100" s="5" t="str">
        <f t="shared" si="12"/>
        <v>| INST | Instrumentation system | Sistema de instrumentación |  | |</v>
      </c>
      <c r="T100" s="5" t="str">
        <f t="shared" si="9"/>
        <v>| INST | Instrumentation system | Sistema de instrumentación |  | | |</v>
      </c>
      <c r="U100" s="5"/>
      <c r="V100" s="5" t="str">
        <f t="shared" si="8"/>
        <v>| INST | Instrumentation system | Sistema de instrumentación |  | | | | | | | | | |</v>
      </c>
    </row>
    <row r="101" spans="2:22" x14ac:dyDescent="0.55000000000000004">
      <c r="B101" s="4" t="s">
        <v>486</v>
      </c>
      <c r="C101" s="4" t="s">
        <v>487</v>
      </c>
      <c r="D101" s="4" t="s">
        <v>488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INTC | Intercom / PA systems |</v>
      </c>
      <c r="Q101" s="5" t="str">
        <f t="shared" si="10"/>
        <v>| INTC | Intercom / PA systems | Intercomunicador/PA Sistemas |</v>
      </c>
      <c r="R101" s="5" t="str">
        <f t="shared" si="11"/>
        <v>| INTC | Intercom / PA systems | Intercomunicador/PA Sistemas |  |</v>
      </c>
      <c r="S101" s="5" t="str">
        <f t="shared" si="12"/>
        <v>| INTC | Intercom / PA systems | Intercomunicador/PA Sistemas |  | |</v>
      </c>
      <c r="T101" s="5" t="str">
        <f t="shared" si="9"/>
        <v>| INTC | Intercom / PA systems | Intercomunicador/PA Sistemas |  | | |</v>
      </c>
      <c r="U101" s="5"/>
      <c r="V101" s="5" t="str">
        <f t="shared" si="8"/>
        <v>| INTC | Intercom / PA systems | Intercomunicador/PA Sistemas |  | | | | | | | | | |</v>
      </c>
    </row>
    <row r="102" spans="2:22" x14ac:dyDescent="0.55000000000000004">
      <c r="B102" s="4" t="s">
        <v>489</v>
      </c>
      <c r="C102" s="4" t="s">
        <v>490</v>
      </c>
      <c r="D102" s="4" t="s">
        <v>491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IRRG | Irrigation |</v>
      </c>
      <c r="Q102" s="5" t="str">
        <f t="shared" si="10"/>
        <v>| IRRG | Irrigation | Riego |</v>
      </c>
      <c r="R102" s="5" t="str">
        <f t="shared" si="11"/>
        <v>| IRRG | Irrigation | Riego |  |</v>
      </c>
      <c r="S102" s="5" t="str">
        <f t="shared" si="12"/>
        <v>| IRRG | Irrigation | Riego |  | |</v>
      </c>
      <c r="T102" s="5" t="str">
        <f t="shared" si="9"/>
        <v>| IRRG | Irrigation | Riego |  | | |</v>
      </c>
      <c r="U102" s="5"/>
      <c r="V102" s="5" t="str">
        <f t="shared" si="8"/>
        <v>| IRRG | Irrigation | Riego |  | | | | | | | | | |</v>
      </c>
    </row>
    <row r="103" spans="2:22" x14ac:dyDescent="0.55000000000000004">
      <c r="B103" s="4" t="s">
        <v>492</v>
      </c>
      <c r="C103" s="4" t="s">
        <v>493</v>
      </c>
      <c r="D103" s="4" t="s">
        <v>494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JNTS | Joints |</v>
      </c>
      <c r="Q103" s="5" t="str">
        <f t="shared" si="10"/>
        <v>| JNTS | Joints | Juntas |</v>
      </c>
      <c r="R103" s="5" t="str">
        <f t="shared" si="11"/>
        <v>| JNTS | Joints | Juntas |  |</v>
      </c>
      <c r="S103" s="5" t="str">
        <f t="shared" si="12"/>
        <v>| JNTS | Joints | Juntas |  | |</v>
      </c>
      <c r="T103" s="5" t="str">
        <f t="shared" si="9"/>
        <v>| JNTS | Joints | Juntas |  | | |</v>
      </c>
      <c r="U103" s="5"/>
      <c r="V103" s="5" t="str">
        <f t="shared" si="8"/>
        <v>| JNTS | Joints | Juntas |  | | | | | | | | | |</v>
      </c>
    </row>
    <row r="104" spans="2:22" x14ac:dyDescent="0.55000000000000004">
      <c r="B104" s="1" t="s">
        <v>495</v>
      </c>
      <c r="C104" s="1" t="s">
        <v>496</v>
      </c>
      <c r="D104" s="1" t="s">
        <v>497</v>
      </c>
      <c r="Q104" s="5" t="str">
        <f t="shared" si="10"/>
        <v>| JOIS | Joists | Viguetas |</v>
      </c>
    </row>
    <row r="105" spans="2:22" x14ac:dyDescent="0.55000000000000004">
      <c r="B105" s="1" t="s">
        <v>498</v>
      </c>
      <c r="C105" s="1" t="s">
        <v>499</v>
      </c>
      <c r="D105" s="1" t="s">
        <v>500</v>
      </c>
      <c r="Q105" s="5" t="str">
        <f t="shared" si="10"/>
        <v>| LAND | Land | Terreno |</v>
      </c>
    </row>
    <row r="106" spans="2:22" x14ac:dyDescent="0.55000000000000004">
      <c r="B106" s="1" t="s">
        <v>501</v>
      </c>
      <c r="C106" s="1" t="s">
        <v>502</v>
      </c>
      <c r="D106" s="1" t="s">
        <v>503</v>
      </c>
      <c r="Q106" s="5" t="str">
        <f t="shared" si="10"/>
        <v>| LEGN | Legend, symbols keys | Leyenda, símbolos y claves |</v>
      </c>
    </row>
    <row r="107" spans="2:22" x14ac:dyDescent="0.55000000000000004">
      <c r="B107" s="1" t="s">
        <v>504</v>
      </c>
      <c r="C107" s="1" t="s">
        <v>505</v>
      </c>
      <c r="D107" s="1" t="s">
        <v>506</v>
      </c>
      <c r="Q107" s="5" t="str">
        <f t="shared" si="10"/>
        <v>| LEVE | Levee | Dique |</v>
      </c>
    </row>
    <row r="108" spans="2:22" x14ac:dyDescent="0.55000000000000004">
      <c r="B108" s="1" t="s">
        <v>507</v>
      </c>
      <c r="C108" s="1" t="s">
        <v>508</v>
      </c>
      <c r="D108" s="1" t="s">
        <v>509</v>
      </c>
      <c r="Q108" s="5" t="str">
        <f t="shared" si="10"/>
        <v>| LGAS | Laboratory gas systems | Sistemas de gases de laboratorio |</v>
      </c>
    </row>
    <row r="109" spans="2:22" x14ac:dyDescent="0.55000000000000004">
      <c r="B109" s="1" t="s">
        <v>510</v>
      </c>
      <c r="C109" s="1" t="s">
        <v>511</v>
      </c>
      <c r="D109" s="1" t="s">
        <v>512</v>
      </c>
      <c r="Q109" s="5" t="str">
        <f t="shared" si="10"/>
        <v>| LIQD | Liquid | Líquido |</v>
      </c>
    </row>
    <row r="110" spans="2:22" x14ac:dyDescent="0.55000000000000004">
      <c r="B110" s="1" t="s">
        <v>513</v>
      </c>
      <c r="C110" s="1" t="s">
        <v>514</v>
      </c>
      <c r="D110" s="1" t="s">
        <v>515</v>
      </c>
      <c r="Q110" s="5" t="str">
        <f t="shared" si="10"/>
        <v>| LITE | Lighting | Iluminación |</v>
      </c>
    </row>
    <row r="111" spans="2:22" x14ac:dyDescent="0.55000000000000004">
      <c r="B111" s="1" t="s">
        <v>516</v>
      </c>
      <c r="C111" s="1" t="s">
        <v>517</v>
      </c>
      <c r="D111" s="1" t="s">
        <v>518</v>
      </c>
      <c r="Q111" s="5" t="str">
        <f t="shared" si="10"/>
        <v>| LNTL | Lintels | Dinteles |</v>
      </c>
    </row>
    <row r="112" spans="2:22" x14ac:dyDescent="0.55000000000000004">
      <c r="B112" s="1" t="s">
        <v>519</v>
      </c>
      <c r="C112" s="1" t="s">
        <v>520</v>
      </c>
      <c r="D112" s="1" t="s">
        <v>521</v>
      </c>
      <c r="Q112" s="5" t="str">
        <f t="shared" si="10"/>
        <v>| LOCN | Limits of construction | Límites de construcción |</v>
      </c>
    </row>
    <row r="113" spans="2:17" x14ac:dyDescent="0.55000000000000004">
      <c r="B113" s="1" t="s">
        <v>522</v>
      </c>
      <c r="C113" s="1" t="s">
        <v>523</v>
      </c>
      <c r="D113" s="1" t="s">
        <v>524</v>
      </c>
      <c r="Q113" s="5" t="str">
        <f t="shared" si="10"/>
        <v>| LTNG | Lightning protection system | Sistema de protección contra rayos |</v>
      </c>
    </row>
    <row r="114" spans="2:17" x14ac:dyDescent="0.55000000000000004">
      <c r="B114" s="1" t="s">
        <v>525</v>
      </c>
      <c r="C114" s="1" t="s">
        <v>526</v>
      </c>
      <c r="D114" s="1" t="s">
        <v>527</v>
      </c>
      <c r="Q114" s="5" t="str">
        <f t="shared" si="10"/>
        <v>| MACH | Machine shop | Taller de maquinaria |</v>
      </c>
    </row>
    <row r="115" spans="2:17" x14ac:dyDescent="0.55000000000000004">
      <c r="B115" s="1" t="s">
        <v>528</v>
      </c>
      <c r="C115" s="1" t="s">
        <v>529</v>
      </c>
      <c r="D115" s="1" t="s">
        <v>530</v>
      </c>
      <c r="Q115" s="5" t="str">
        <f t="shared" si="10"/>
        <v>| MAJQ | Major equipment | Equipo principal |</v>
      </c>
    </row>
    <row r="116" spans="2:17" x14ac:dyDescent="0.55000000000000004">
      <c r="B116" s="1" t="s">
        <v>531</v>
      </c>
      <c r="C116" s="1" t="s">
        <v>532</v>
      </c>
      <c r="D116" s="1" t="s">
        <v>533</v>
      </c>
      <c r="Q116" s="5" t="str">
        <f t="shared" si="10"/>
        <v>| MDGS | Medical gas systems | Sistemas de gases medicinales |</v>
      </c>
    </row>
    <row r="117" spans="2:17" x14ac:dyDescent="0.55000000000000004">
      <c r="B117" s="1" t="s">
        <v>534</v>
      </c>
      <c r="C117" s="1" t="s">
        <v>535</v>
      </c>
      <c r="D117" s="1" t="s">
        <v>338</v>
      </c>
      <c r="Q117" s="5" t="str">
        <f t="shared" si="10"/>
        <v>| MILL | Millwork | Carpintería |</v>
      </c>
    </row>
    <row r="118" spans="2:17" x14ac:dyDescent="0.55000000000000004">
      <c r="B118" s="1" t="s">
        <v>536</v>
      </c>
      <c r="C118" s="1" t="s">
        <v>537</v>
      </c>
      <c r="D118" s="1" t="s">
        <v>538</v>
      </c>
      <c r="Q118" s="5" t="str">
        <f t="shared" si="10"/>
        <v>| MINQ | Minor equipment | Equipo menor |</v>
      </c>
    </row>
    <row r="119" spans="2:17" x14ac:dyDescent="0.55000000000000004">
      <c r="B119" s="1" t="s">
        <v>539</v>
      </c>
      <c r="C119" s="1" t="s">
        <v>540</v>
      </c>
      <c r="D119" s="1" t="s">
        <v>541</v>
      </c>
      <c r="Q119" s="5" t="str">
        <f t="shared" si="10"/>
        <v>| MKUP | Make-up air systems | Sistemas de aire de reposición |</v>
      </c>
    </row>
    <row r="120" spans="2:17" x14ac:dyDescent="0.55000000000000004">
      <c r="B120" s="1" t="s">
        <v>542</v>
      </c>
      <c r="C120" s="1" t="s">
        <v>543</v>
      </c>
      <c r="D120" s="1" t="s">
        <v>544</v>
      </c>
      <c r="Q120" s="5" t="str">
        <f t="shared" si="10"/>
        <v>| MNTG | Mounting system | Sistema de montaje |</v>
      </c>
    </row>
    <row r="121" spans="2:17" x14ac:dyDescent="0.55000000000000004">
      <c r="B121" s="1" t="s">
        <v>545</v>
      </c>
      <c r="C121" s="1" t="s">
        <v>546</v>
      </c>
      <c r="D121" s="1" t="s">
        <v>547</v>
      </c>
      <c r="Q121" s="5" t="str">
        <f t="shared" si="10"/>
        <v>| MPIP | Miscellaneous piping systems | Sistemas de tuberías misceláneos |</v>
      </c>
    </row>
    <row r="122" spans="2:17" x14ac:dyDescent="0.55000000000000004">
      <c r="B122" s="1" t="s">
        <v>548</v>
      </c>
      <c r="C122" s="1" t="s">
        <v>549</v>
      </c>
      <c r="D122" s="1" t="s">
        <v>550</v>
      </c>
      <c r="Q122" s="5" t="str">
        <f t="shared" si="10"/>
        <v>| NGAS | Natural gas systems | Sistemas de gas natural |</v>
      </c>
    </row>
    <row r="123" spans="2:17" x14ac:dyDescent="0.55000000000000004">
      <c r="B123" s="1" t="s">
        <v>551</v>
      </c>
      <c r="C123" s="1" t="s">
        <v>552</v>
      </c>
      <c r="D123" s="1" t="s">
        <v>553</v>
      </c>
      <c r="Q123" s="5" t="str">
        <f t="shared" si="10"/>
        <v>| NODE | Node | Nodo |</v>
      </c>
    </row>
    <row r="124" spans="2:17" x14ac:dyDescent="0.55000000000000004">
      <c r="B124" s="1" t="s">
        <v>554</v>
      </c>
      <c r="C124" s="1" t="s">
        <v>555</v>
      </c>
      <c r="D124" s="1" t="s">
        <v>556</v>
      </c>
      <c r="Q124" s="5" t="str">
        <f t="shared" si="10"/>
        <v>| NURS | Nurse call system | Sistema de llamada a enfermeras |</v>
      </c>
    </row>
    <row r="125" spans="2:17" x14ac:dyDescent="0.55000000000000004">
      <c r="B125" s="1" t="s">
        <v>557</v>
      </c>
      <c r="C125" s="1" t="s">
        <v>558</v>
      </c>
      <c r="D125" s="1" t="s">
        <v>559</v>
      </c>
      <c r="Q125" s="5" t="str">
        <f t="shared" si="10"/>
        <v>| OBST | Obstructions | Obstrucciones |</v>
      </c>
    </row>
    <row r="126" spans="2:17" x14ac:dyDescent="0.55000000000000004">
      <c r="B126" s="1" t="s">
        <v>560</v>
      </c>
      <c r="C126" s="1" t="s">
        <v>561</v>
      </c>
      <c r="D126" s="1" t="s">
        <v>562</v>
      </c>
      <c r="Q126" s="5" t="str">
        <f t="shared" si="10"/>
        <v>| OIL~ | Oil | Petróleo |</v>
      </c>
    </row>
    <row r="127" spans="2:17" x14ac:dyDescent="0.55000000000000004">
      <c r="B127" s="1" t="s">
        <v>563</v>
      </c>
      <c r="C127" s="1" t="s">
        <v>564</v>
      </c>
      <c r="D127" s="1" t="s">
        <v>565</v>
      </c>
      <c r="Q127" s="5" t="str">
        <f t="shared" si="10"/>
        <v>| OTGR | Outgrants | Conducciones de salida |</v>
      </c>
    </row>
    <row r="128" spans="2:17" x14ac:dyDescent="0.55000000000000004">
      <c r="B128" s="1" t="s">
        <v>566</v>
      </c>
      <c r="C128" s="1" t="s">
        <v>567</v>
      </c>
      <c r="D128" s="1" t="s">
        <v>568</v>
      </c>
      <c r="Q128" s="5" t="str">
        <f t="shared" si="10"/>
        <v>| PADS | Pads | Almohadillas |</v>
      </c>
    </row>
    <row r="129" spans="2:17" x14ac:dyDescent="0.55000000000000004">
      <c r="B129" s="1" t="s">
        <v>569</v>
      </c>
      <c r="C129" s="1" t="s">
        <v>570</v>
      </c>
      <c r="D129" s="1" t="s">
        <v>571</v>
      </c>
      <c r="Q129" s="5" t="str">
        <f t="shared" si="10"/>
        <v>| PERC | Perc testing | Prueba de percolación |</v>
      </c>
    </row>
    <row r="130" spans="2:17" x14ac:dyDescent="0.55000000000000004">
      <c r="B130" s="1" t="s">
        <v>572</v>
      </c>
      <c r="C130" s="1" t="s">
        <v>573</v>
      </c>
      <c r="D130" s="1" t="s">
        <v>574</v>
      </c>
      <c r="Q130" s="5" t="str">
        <f t="shared" si="10"/>
        <v>| PGNG | Paging system | Sistema de buscapersonas |</v>
      </c>
    </row>
    <row r="131" spans="2:17" x14ac:dyDescent="0.55000000000000004">
      <c r="B131" s="1" t="s">
        <v>575</v>
      </c>
      <c r="C131" s="1" t="s">
        <v>576</v>
      </c>
      <c r="D131" s="1" t="s">
        <v>577</v>
      </c>
      <c r="Q131" s="5" t="str">
        <f t="shared" si="10"/>
        <v>| PHON | Telephone system | Sistema telefónico |</v>
      </c>
    </row>
    <row r="132" spans="2:17" x14ac:dyDescent="0.55000000000000004">
      <c r="B132" s="1" t="s">
        <v>578</v>
      </c>
      <c r="C132" s="1" t="s">
        <v>579</v>
      </c>
      <c r="D132" s="1" t="s">
        <v>580</v>
      </c>
      <c r="Q132" s="5" t="str">
        <f t="shared" si="10"/>
        <v>| PIPE | Piping | Tuberías |</v>
      </c>
    </row>
    <row r="133" spans="2:17" x14ac:dyDescent="0.55000000000000004">
      <c r="B133" s="1" t="s">
        <v>581</v>
      </c>
      <c r="C133" s="1" t="s">
        <v>582</v>
      </c>
      <c r="D133" s="1" t="s">
        <v>583</v>
      </c>
      <c r="Q133" s="5" t="str">
        <f t="shared" ref="Q133:Q196" si="13">_xlfn.CONCAT("| ",B133," | ",C133," | ",D133," |")</f>
        <v>| PLAN | Key Plan (Floor Plan) | Plano clave (Plano de planta) |</v>
      </c>
    </row>
    <row r="134" spans="2:17" x14ac:dyDescent="0.55000000000000004">
      <c r="B134" s="1" t="s">
        <v>584</v>
      </c>
      <c r="C134" s="1" t="s">
        <v>585</v>
      </c>
      <c r="D134" s="1" t="s">
        <v>586</v>
      </c>
      <c r="Q134" s="5" t="str">
        <f t="shared" si="13"/>
        <v>| PLAT | Platform | Andén |</v>
      </c>
    </row>
    <row r="135" spans="2:17" x14ac:dyDescent="0.55000000000000004">
      <c r="B135" s="1" t="s">
        <v>587</v>
      </c>
      <c r="C135" s="1" t="s">
        <v>588</v>
      </c>
      <c r="D135" s="1" t="s">
        <v>589</v>
      </c>
      <c r="Q135" s="5" t="str">
        <f t="shared" si="13"/>
        <v>| PLNT | Plant and landscape material | Planta y material de jardinería |</v>
      </c>
    </row>
    <row r="136" spans="2:17" x14ac:dyDescent="0.55000000000000004">
      <c r="B136" s="1" t="s">
        <v>590</v>
      </c>
      <c r="C136" s="1" t="s">
        <v>591</v>
      </c>
      <c r="D136" s="1" t="s">
        <v>592</v>
      </c>
      <c r="Q136" s="5" t="str">
        <f t="shared" si="13"/>
        <v>| POND | Ponds | Estanques |</v>
      </c>
    </row>
    <row r="137" spans="2:17" x14ac:dyDescent="0.55000000000000004">
      <c r="B137" s="1" t="s">
        <v>593</v>
      </c>
      <c r="C137" s="1" t="s">
        <v>594</v>
      </c>
      <c r="D137" s="1" t="s">
        <v>595</v>
      </c>
      <c r="Q137" s="5" t="str">
        <f t="shared" si="13"/>
        <v>| POWR | Power | Energía |</v>
      </c>
    </row>
    <row r="138" spans="2:17" x14ac:dyDescent="0.55000000000000004">
      <c r="B138" s="1" t="s">
        <v>596</v>
      </c>
      <c r="C138" s="1" t="s">
        <v>597</v>
      </c>
      <c r="D138" s="1" t="s">
        <v>598</v>
      </c>
      <c r="Q138" s="5" t="str">
        <f t="shared" si="13"/>
        <v>| PRKG | Parking lots | Estacionamientos |</v>
      </c>
    </row>
    <row r="139" spans="2:17" x14ac:dyDescent="0.55000000000000004">
      <c r="B139" s="1" t="s">
        <v>599</v>
      </c>
      <c r="C139" s="1" t="s">
        <v>600</v>
      </c>
      <c r="D139" s="1" t="s">
        <v>601</v>
      </c>
      <c r="Q139" s="5" t="str">
        <f t="shared" si="13"/>
        <v>| PROC | Process systems | Sistemas de proceso |</v>
      </c>
    </row>
    <row r="140" spans="2:17" x14ac:dyDescent="0.55000000000000004">
      <c r="B140" s="1" t="s">
        <v>602</v>
      </c>
      <c r="C140" s="1" t="s">
        <v>603</v>
      </c>
      <c r="D140" s="1" t="s">
        <v>604</v>
      </c>
      <c r="Q140" s="5" t="str">
        <f t="shared" si="13"/>
        <v>| PROJ | Projector system | Sistema de proyectores |</v>
      </c>
    </row>
    <row r="141" spans="2:17" x14ac:dyDescent="0.55000000000000004">
      <c r="B141" s="1" t="s">
        <v>605</v>
      </c>
      <c r="C141" s="1" t="s">
        <v>606</v>
      </c>
      <c r="D141" s="1" t="s">
        <v>607</v>
      </c>
      <c r="Q141" s="5" t="str">
        <f t="shared" si="13"/>
        <v>| PROP | Property | Propiedad |</v>
      </c>
    </row>
    <row r="142" spans="2:17" x14ac:dyDescent="0.55000000000000004">
      <c r="B142" s="1" t="s">
        <v>608</v>
      </c>
      <c r="C142" s="1" t="s">
        <v>609</v>
      </c>
      <c r="D142" s="1" t="s">
        <v>610</v>
      </c>
      <c r="Q142" s="5" t="str">
        <f t="shared" si="13"/>
        <v>| PROT | Fire protection system | Sistema de protección contra incendios |</v>
      </c>
    </row>
    <row r="143" spans="2:17" x14ac:dyDescent="0.55000000000000004">
      <c r="B143" s="1" t="s">
        <v>611</v>
      </c>
      <c r="C143" s="1" t="s">
        <v>612</v>
      </c>
      <c r="D143" s="1" t="s">
        <v>613</v>
      </c>
      <c r="Q143" s="5" t="str">
        <f t="shared" si="13"/>
        <v>| PRTN | Partitions | Tabiques |</v>
      </c>
    </row>
    <row r="144" spans="2:17" x14ac:dyDescent="0.55000000000000004">
      <c r="B144" s="1" t="s">
        <v>614</v>
      </c>
      <c r="C144" s="1" t="s">
        <v>615</v>
      </c>
      <c r="D144" s="1" t="s">
        <v>616</v>
      </c>
      <c r="Q144" s="5" t="str">
        <f t="shared" si="13"/>
        <v>| PVMD | Photovoltaic modules | Módulos fotovoltaicos |</v>
      </c>
    </row>
    <row r="145" spans="2:17" x14ac:dyDescent="0.55000000000000004">
      <c r="B145" s="1" t="s">
        <v>617</v>
      </c>
      <c r="C145" s="1" t="s">
        <v>618</v>
      </c>
      <c r="D145" s="1" t="s">
        <v>619</v>
      </c>
      <c r="Q145" s="5" t="str">
        <f t="shared" si="13"/>
        <v>| PVMT | Pavement | Pavimento |</v>
      </c>
    </row>
    <row r="146" spans="2:17" x14ac:dyDescent="0.55000000000000004">
      <c r="B146" s="1" t="s">
        <v>620</v>
      </c>
      <c r="C146" s="1" t="s">
        <v>621</v>
      </c>
      <c r="D146" s="1" t="s">
        <v>622</v>
      </c>
      <c r="Q146" s="5" t="str">
        <f t="shared" si="13"/>
        <v>| RAIL | Railroad | Ferrocarril |</v>
      </c>
    </row>
    <row r="147" spans="2:17" x14ac:dyDescent="0.55000000000000004">
      <c r="B147" s="1" t="s">
        <v>623</v>
      </c>
      <c r="C147" s="1" t="s">
        <v>624</v>
      </c>
      <c r="D147" s="1" t="s">
        <v>625</v>
      </c>
      <c r="Q147" s="5" t="str">
        <f t="shared" si="13"/>
        <v>| RAIR | Relief air systems | Sistemas de aire de alivio |</v>
      </c>
    </row>
    <row r="148" spans="2:17" x14ac:dyDescent="0.55000000000000004">
      <c r="B148" s="1" t="s">
        <v>626</v>
      </c>
      <c r="C148" s="1" t="s">
        <v>627</v>
      </c>
      <c r="D148" s="1" t="s">
        <v>628</v>
      </c>
      <c r="Q148" s="5" t="str">
        <f t="shared" si="13"/>
        <v>| RCOV | Energy recovery systems | Sistemas de recuperación de energía |</v>
      </c>
    </row>
    <row r="149" spans="2:17" x14ac:dyDescent="0.55000000000000004">
      <c r="B149" s="1" t="s">
        <v>629</v>
      </c>
      <c r="C149" s="1" t="s">
        <v>630</v>
      </c>
      <c r="D149" s="1" t="s">
        <v>631</v>
      </c>
      <c r="Q149" s="5" t="str">
        <f t="shared" si="13"/>
        <v>| REFG | Refrigeration systems | Sistemas de refrigeración |</v>
      </c>
    </row>
    <row r="150" spans="2:17" x14ac:dyDescent="0.55000000000000004">
      <c r="B150" s="1" t="s">
        <v>632</v>
      </c>
      <c r="C150" s="1" t="s">
        <v>633</v>
      </c>
      <c r="D150" s="1" t="s">
        <v>634</v>
      </c>
      <c r="Q150" s="5" t="str">
        <f t="shared" si="13"/>
        <v>| RIGG | Rigging / automation systems | Aparejos/automatización Sistemas |</v>
      </c>
    </row>
    <row r="151" spans="2:17" x14ac:dyDescent="0.55000000000000004">
      <c r="B151" s="1" t="s">
        <v>635</v>
      </c>
      <c r="C151" s="1" t="s">
        <v>636</v>
      </c>
      <c r="D151" s="1" t="s">
        <v>637</v>
      </c>
      <c r="Q151" s="5" t="str">
        <f t="shared" si="13"/>
        <v>| RIVR | River | Río |</v>
      </c>
    </row>
    <row r="152" spans="2:17" x14ac:dyDescent="0.55000000000000004">
      <c r="B152" s="1" t="s">
        <v>638</v>
      </c>
      <c r="C152" s="1" t="s">
        <v>639</v>
      </c>
      <c r="D152" s="1" t="s">
        <v>640</v>
      </c>
      <c r="Q152" s="5" t="str">
        <f t="shared" si="13"/>
        <v>| ROAD | Roadways | Carreteras |</v>
      </c>
    </row>
    <row r="153" spans="2:17" x14ac:dyDescent="0.55000000000000004">
      <c r="B153" s="1" t="s">
        <v>641</v>
      </c>
      <c r="C153" s="1" t="s">
        <v>642</v>
      </c>
      <c r="D153" s="1" t="s">
        <v>302</v>
      </c>
      <c r="Q153" s="5" t="str">
        <f t="shared" si="13"/>
        <v>| ROOF | Roof | Techo |</v>
      </c>
    </row>
    <row r="154" spans="2:17" x14ac:dyDescent="0.55000000000000004">
      <c r="B154" s="1" t="s">
        <v>643</v>
      </c>
      <c r="C154" s="1" t="s">
        <v>644</v>
      </c>
      <c r="D154" s="1" t="s">
        <v>645</v>
      </c>
      <c r="Q154" s="5" t="str">
        <f t="shared" si="13"/>
        <v>| RRAP | Riprap | Escalones |</v>
      </c>
    </row>
    <row r="155" spans="2:17" x14ac:dyDescent="0.55000000000000004">
      <c r="B155" s="1" t="s">
        <v>646</v>
      </c>
      <c r="C155" s="1" t="s">
        <v>647</v>
      </c>
      <c r="D155" s="1" t="s">
        <v>648</v>
      </c>
      <c r="Q155" s="5" t="str">
        <f t="shared" si="13"/>
        <v>| RUNW | Runway | Pista |</v>
      </c>
    </row>
    <row r="156" spans="2:17" x14ac:dyDescent="0.55000000000000004">
      <c r="B156" s="1" t="s">
        <v>649</v>
      </c>
      <c r="C156" s="1" t="s">
        <v>650</v>
      </c>
      <c r="D156" s="1" t="s">
        <v>651</v>
      </c>
      <c r="Q156" s="5" t="str">
        <f t="shared" si="13"/>
        <v>| RWAY | Right-of-way | Derecho de paso |</v>
      </c>
    </row>
    <row r="157" spans="2:17" x14ac:dyDescent="0.55000000000000004">
      <c r="B157" s="1" t="s">
        <v>652</v>
      </c>
      <c r="C157" s="1" t="s">
        <v>653</v>
      </c>
      <c r="D157" s="1" t="s">
        <v>654</v>
      </c>
      <c r="Q157" s="5" t="str">
        <f t="shared" si="13"/>
        <v>| SECT | Section | Sección |</v>
      </c>
    </row>
    <row r="158" spans="2:17" x14ac:dyDescent="0.55000000000000004">
      <c r="B158" s="1" t="s">
        <v>655</v>
      </c>
      <c r="C158" s="1" t="s">
        <v>656</v>
      </c>
      <c r="D158" s="1" t="s">
        <v>657</v>
      </c>
      <c r="Q158" s="5" t="str">
        <f t="shared" si="13"/>
        <v>| SERT | Security system | Sistema de seguridad |</v>
      </c>
    </row>
    <row r="159" spans="2:17" x14ac:dyDescent="0.55000000000000004">
      <c r="B159" s="1" t="s">
        <v>658</v>
      </c>
      <c r="C159" s="1" t="s">
        <v>659</v>
      </c>
      <c r="D159" s="1" t="s">
        <v>660</v>
      </c>
      <c r="Q159" s="5" t="str">
        <f t="shared" si="13"/>
        <v>| SGHT | Sight distance | Distancia visual |</v>
      </c>
    </row>
    <row r="160" spans="2:17" x14ac:dyDescent="0.55000000000000004">
      <c r="B160" s="1" t="s">
        <v>661</v>
      </c>
      <c r="C160" s="1" t="s">
        <v>662</v>
      </c>
      <c r="D160" s="1" t="s">
        <v>663</v>
      </c>
      <c r="Q160" s="5" t="str">
        <f t="shared" si="13"/>
        <v>| SIGN | Sign | Señal |</v>
      </c>
    </row>
    <row r="161" spans="2:17" x14ac:dyDescent="0.55000000000000004">
      <c r="B161" s="1" t="s">
        <v>664</v>
      </c>
      <c r="C161" s="1" t="s">
        <v>665</v>
      </c>
      <c r="D161" s="1" t="s">
        <v>666</v>
      </c>
      <c r="Q161" s="5" t="str">
        <f t="shared" si="13"/>
        <v>| SITE | Site features | Características del sitio |</v>
      </c>
    </row>
    <row r="162" spans="2:17" x14ac:dyDescent="0.55000000000000004">
      <c r="B162" s="1" t="s">
        <v>667</v>
      </c>
      <c r="C162" s="1" t="s">
        <v>668</v>
      </c>
      <c r="D162" s="1" t="s">
        <v>669</v>
      </c>
      <c r="Q162" s="5" t="str">
        <f t="shared" si="13"/>
        <v>| SLAB | Slab | Losa |</v>
      </c>
    </row>
    <row r="163" spans="2:17" x14ac:dyDescent="0.55000000000000004">
      <c r="B163" s="1" t="s">
        <v>670</v>
      </c>
      <c r="C163" s="1" t="s">
        <v>671</v>
      </c>
      <c r="D163" s="1" t="s">
        <v>672</v>
      </c>
      <c r="Q163" s="5" t="str">
        <f t="shared" si="13"/>
        <v>| SLUR | Slurry | Lodo |</v>
      </c>
    </row>
    <row r="164" spans="2:17" x14ac:dyDescent="0.55000000000000004">
      <c r="B164" s="1" t="s">
        <v>673</v>
      </c>
      <c r="C164" s="1" t="s">
        <v>674</v>
      </c>
      <c r="D164" s="1" t="s">
        <v>675</v>
      </c>
      <c r="Q164" s="5" t="str">
        <f t="shared" si="13"/>
        <v>| SMOK | Smoke extraction systems | Sistemas de extracción de humos |</v>
      </c>
    </row>
    <row r="165" spans="2:17" x14ac:dyDescent="0.55000000000000004">
      <c r="B165" s="1" t="s">
        <v>676</v>
      </c>
      <c r="C165" s="1" t="s">
        <v>677</v>
      </c>
      <c r="D165" s="1" t="s">
        <v>678</v>
      </c>
      <c r="Q165" s="5" t="str">
        <f t="shared" si="13"/>
        <v>| SOIL | Soils | Suelos |</v>
      </c>
    </row>
    <row r="166" spans="2:17" x14ac:dyDescent="0.55000000000000004">
      <c r="B166" s="1" t="s">
        <v>679</v>
      </c>
      <c r="C166" s="1" t="s">
        <v>680</v>
      </c>
      <c r="D166" s="1" t="s">
        <v>681</v>
      </c>
      <c r="Q166" s="5" t="str">
        <f t="shared" si="13"/>
        <v>| SOUN | Sound system | Sistema de sonido |</v>
      </c>
    </row>
    <row r="167" spans="2:17" x14ac:dyDescent="0.55000000000000004">
      <c r="B167" s="1" t="s">
        <v>682</v>
      </c>
      <c r="C167" s="1" t="s">
        <v>683</v>
      </c>
      <c r="D167" s="1" t="s">
        <v>684</v>
      </c>
      <c r="Q167" s="5" t="str">
        <f t="shared" si="13"/>
        <v>| SPCL | Special systems | Sistemas especiales |</v>
      </c>
    </row>
    <row r="168" spans="2:17" x14ac:dyDescent="0.55000000000000004">
      <c r="B168" s="1" t="s">
        <v>685</v>
      </c>
      <c r="C168" s="1" t="s">
        <v>686</v>
      </c>
      <c r="D168" s="1" t="s">
        <v>687</v>
      </c>
      <c r="Q168" s="5" t="str">
        <f t="shared" si="13"/>
        <v>| SPFX | Entertainment special effects system | Sistema de efectos especiales para entretenimiento |</v>
      </c>
    </row>
    <row r="169" spans="2:17" x14ac:dyDescent="0.55000000000000004">
      <c r="B169" s="1" t="s">
        <v>688</v>
      </c>
      <c r="C169" s="1" t="s">
        <v>689</v>
      </c>
      <c r="D169" s="1" t="s">
        <v>690</v>
      </c>
      <c r="Q169" s="5" t="str">
        <f t="shared" si="13"/>
        <v>| SPKL | Sprinkler | Rociadores |</v>
      </c>
    </row>
    <row r="170" spans="2:17" x14ac:dyDescent="0.55000000000000004">
      <c r="B170" s="1" t="s">
        <v>691</v>
      </c>
      <c r="C170" s="1" t="s">
        <v>692</v>
      </c>
      <c r="D170" s="1" t="s">
        <v>693</v>
      </c>
      <c r="Q170" s="5" t="str">
        <f t="shared" si="13"/>
        <v>| SSWR | Sanitary sewer | Alcantarillado sanitario |</v>
      </c>
    </row>
    <row r="171" spans="2:17" x14ac:dyDescent="0.55000000000000004">
      <c r="B171" s="1" t="s">
        <v>694</v>
      </c>
      <c r="C171" s="1" t="s">
        <v>695</v>
      </c>
      <c r="D171" s="1" t="s">
        <v>696</v>
      </c>
      <c r="Q171" s="5" t="str">
        <f t="shared" si="13"/>
        <v>| STEM | Steam system | Sistema de vapor |</v>
      </c>
    </row>
    <row r="172" spans="2:17" x14ac:dyDescent="0.55000000000000004">
      <c r="B172" s="1" t="s">
        <v>697</v>
      </c>
      <c r="C172" s="1" t="s">
        <v>698</v>
      </c>
      <c r="D172" s="1" t="s">
        <v>699</v>
      </c>
      <c r="Q172" s="5" t="str">
        <f t="shared" si="13"/>
        <v>| STIF | Stiffener | Refuerzo |</v>
      </c>
    </row>
    <row r="173" spans="2:17" x14ac:dyDescent="0.55000000000000004">
      <c r="B173" s="1" t="s">
        <v>700</v>
      </c>
      <c r="C173" s="1" t="s">
        <v>701</v>
      </c>
      <c r="D173" s="1" t="s">
        <v>702</v>
      </c>
      <c r="Q173" s="5" t="str">
        <f t="shared" si="13"/>
        <v>| STRM | Storm sewer | Alcantarillado pluvial |</v>
      </c>
    </row>
    <row r="174" spans="2:17" x14ac:dyDescent="0.55000000000000004">
      <c r="B174" s="1" t="s">
        <v>703</v>
      </c>
      <c r="C174" s="1" t="s">
        <v>704</v>
      </c>
      <c r="D174" s="1" t="s">
        <v>705</v>
      </c>
      <c r="Q174" s="5" t="str">
        <f t="shared" si="13"/>
        <v>| STRS | Stairs | Escaleras |</v>
      </c>
    </row>
    <row r="175" spans="2:17" x14ac:dyDescent="0.55000000000000004">
      <c r="B175" s="1" t="s">
        <v>706</v>
      </c>
      <c r="C175" s="1" t="s">
        <v>707</v>
      </c>
      <c r="D175" s="1" t="s">
        <v>708</v>
      </c>
      <c r="Q175" s="5" t="str">
        <f t="shared" si="13"/>
        <v>| SURV | Survey | Topografía |</v>
      </c>
    </row>
    <row r="176" spans="2:17" x14ac:dyDescent="0.55000000000000004">
      <c r="B176" s="1" t="s">
        <v>709</v>
      </c>
      <c r="C176" s="1" t="s">
        <v>710</v>
      </c>
      <c r="D176" s="1" t="s">
        <v>711</v>
      </c>
      <c r="Q176" s="5" t="str">
        <f t="shared" si="13"/>
        <v>| SWLK | Sidewalks | Aceras |</v>
      </c>
    </row>
    <row r="177" spans="2:17" x14ac:dyDescent="0.55000000000000004">
      <c r="B177" s="1" t="s">
        <v>712</v>
      </c>
      <c r="C177" s="1" t="s">
        <v>713</v>
      </c>
      <c r="D177" s="1" t="s">
        <v>714</v>
      </c>
      <c r="Q177" s="5" t="str">
        <f t="shared" si="13"/>
        <v>| TEST | Test equipment | Equipo de prueba |</v>
      </c>
    </row>
    <row r="178" spans="2:17" x14ac:dyDescent="0.55000000000000004">
      <c r="B178" s="1" t="s">
        <v>715</v>
      </c>
      <c r="C178" s="1" t="s">
        <v>716</v>
      </c>
      <c r="D178" s="1" t="s">
        <v>717</v>
      </c>
      <c r="Q178" s="5" t="str">
        <f t="shared" si="13"/>
        <v>| TILE | Tile | Tejas |</v>
      </c>
    </row>
    <row r="179" spans="2:17" x14ac:dyDescent="0.55000000000000004">
      <c r="B179" s="1" t="s">
        <v>718</v>
      </c>
      <c r="C179" s="1" t="s">
        <v>719</v>
      </c>
      <c r="D179" s="1" t="s">
        <v>720</v>
      </c>
      <c r="Q179" s="5" t="str">
        <f t="shared" si="13"/>
        <v>| TINN | Triangulated irregular network | Red irregular triangular |</v>
      </c>
    </row>
    <row r="180" spans="2:17" x14ac:dyDescent="0.55000000000000004">
      <c r="B180" s="1" t="s">
        <v>721</v>
      </c>
      <c r="C180" s="1" t="s">
        <v>722</v>
      </c>
      <c r="D180" s="1" t="s">
        <v>723</v>
      </c>
      <c r="Q180" s="5" t="str">
        <f t="shared" si="13"/>
        <v>| TOPO | Topographic feature | Característica topográfica |</v>
      </c>
    </row>
    <row r="181" spans="2:17" x14ac:dyDescent="0.55000000000000004">
      <c r="B181" s="1" t="s">
        <v>724</v>
      </c>
      <c r="C181" s="1" t="s">
        <v>725</v>
      </c>
      <c r="D181" s="1" t="s">
        <v>726</v>
      </c>
      <c r="Q181" s="5" t="str">
        <f t="shared" si="13"/>
        <v>| TRAL | Trails or paths | Senderos o caminos |</v>
      </c>
    </row>
    <row r="182" spans="2:17" x14ac:dyDescent="0.55000000000000004">
      <c r="B182" s="1" t="s">
        <v>727</v>
      </c>
      <c r="C182" s="1" t="s">
        <v>728</v>
      </c>
      <c r="D182" s="1" t="s">
        <v>729</v>
      </c>
      <c r="Q182" s="5" t="str">
        <f t="shared" si="13"/>
        <v>| TRAN | Transmission system | Sistema de transmisión |</v>
      </c>
    </row>
    <row r="183" spans="2:17" x14ac:dyDescent="0.55000000000000004">
      <c r="B183" s="1" t="s">
        <v>730</v>
      </c>
      <c r="C183" s="1" t="s">
        <v>731</v>
      </c>
      <c r="D183" s="1" t="s">
        <v>732</v>
      </c>
      <c r="Q183" s="5" t="str">
        <f t="shared" si="13"/>
        <v>| TRUS | Trusses | Cerchas |</v>
      </c>
    </row>
    <row r="184" spans="2:17" x14ac:dyDescent="0.55000000000000004">
      <c r="B184" s="1" t="s">
        <v>733</v>
      </c>
      <c r="C184" s="1" t="s">
        <v>734</v>
      </c>
      <c r="D184" s="1" t="s">
        <v>735</v>
      </c>
      <c r="Q184" s="5" t="str">
        <f t="shared" si="13"/>
        <v>| TVAN | Television antenna system | Sistema de antena de televisión |</v>
      </c>
    </row>
    <row r="185" spans="2:17" x14ac:dyDescent="0.55000000000000004">
      <c r="B185" s="1" t="s">
        <v>736</v>
      </c>
      <c r="C185" s="1" t="s">
        <v>737</v>
      </c>
      <c r="D185" s="1" t="s">
        <v>738</v>
      </c>
      <c r="Q185" s="5" t="str">
        <f t="shared" si="13"/>
        <v>| TVVS | Television and video system | Sistema de televisión y video |</v>
      </c>
    </row>
    <row r="186" spans="2:17" x14ac:dyDescent="0.55000000000000004">
      <c r="B186" s="1" t="s">
        <v>739</v>
      </c>
      <c r="C186" s="1" t="s">
        <v>740</v>
      </c>
      <c r="D186" s="1" t="s">
        <v>741</v>
      </c>
      <c r="Q186" s="5" t="str">
        <f t="shared" si="13"/>
        <v>| UNID | Unidentified site objects | Objetos no identificados del sitio |</v>
      </c>
    </row>
    <row r="187" spans="2:17" x14ac:dyDescent="0.55000000000000004">
      <c r="B187" s="1" t="s">
        <v>742</v>
      </c>
      <c r="C187" s="1" t="s">
        <v>743</v>
      </c>
      <c r="D187" s="1" t="s">
        <v>744</v>
      </c>
      <c r="Q187" s="5" t="str">
        <f t="shared" si="13"/>
        <v>| UTIL | Utilities | Servicios públicos |</v>
      </c>
    </row>
    <row r="188" spans="2:17" x14ac:dyDescent="0.55000000000000004">
      <c r="B188" s="1" t="s">
        <v>745</v>
      </c>
      <c r="C188" s="1" t="s">
        <v>746</v>
      </c>
      <c r="D188" s="1" t="s">
        <v>747</v>
      </c>
      <c r="Q188" s="5" t="str">
        <f t="shared" si="13"/>
        <v>| VACU | Vacuum | Aspiradora |</v>
      </c>
    </row>
    <row r="189" spans="2:17" x14ac:dyDescent="0.55000000000000004">
      <c r="B189" s="1" t="s">
        <v>748</v>
      </c>
      <c r="C189" s="1" t="s">
        <v>749</v>
      </c>
      <c r="D189" s="1" t="s">
        <v>750</v>
      </c>
      <c r="Q189" s="5" t="str">
        <f t="shared" si="13"/>
        <v>| VIDO | Entertainment projection systems | Sistemas de proyección de entretenimiento |</v>
      </c>
    </row>
    <row r="190" spans="2:17" x14ac:dyDescent="0.55000000000000004">
      <c r="B190" s="1" t="s">
        <v>751</v>
      </c>
      <c r="C190" s="1" t="s">
        <v>752</v>
      </c>
      <c r="D190" s="1" t="s">
        <v>753</v>
      </c>
      <c r="Q190" s="5" t="str">
        <f t="shared" si="13"/>
        <v>| WALL | Walls | Muros |</v>
      </c>
    </row>
    <row r="191" spans="2:17" x14ac:dyDescent="0.55000000000000004">
      <c r="B191" s="1" t="s">
        <v>754</v>
      </c>
      <c r="C191" s="1" t="s">
        <v>755</v>
      </c>
      <c r="D191" s="1" t="s">
        <v>756</v>
      </c>
      <c r="Q191" s="5" t="str">
        <f t="shared" si="13"/>
        <v>| WATR | Water supply | Suministro de agua |</v>
      </c>
    </row>
    <row r="192" spans="2:17" x14ac:dyDescent="0.55000000000000004">
      <c r="B192" s="1" t="s">
        <v>757</v>
      </c>
      <c r="C192" s="1" t="s">
        <v>758</v>
      </c>
      <c r="D192" s="1" t="s">
        <v>759</v>
      </c>
      <c r="Q192" s="5" t="str">
        <f t="shared" si="13"/>
        <v>| WETL | Wetlands | Humedales |</v>
      </c>
    </row>
    <row r="193" spans="2:17" x14ac:dyDescent="0.55000000000000004">
      <c r="B193" s="1" t="s">
        <v>760</v>
      </c>
      <c r="C193" s="1" t="s">
        <v>761</v>
      </c>
      <c r="D193" s="1" t="s">
        <v>762</v>
      </c>
      <c r="Q193" s="5" t="str">
        <f t="shared" si="13"/>
        <v>| WIND | Wind powered | Energía eólica |</v>
      </c>
    </row>
    <row r="194" spans="2:17" x14ac:dyDescent="0.55000000000000004">
      <c r="B194" s="1" t="s">
        <v>763</v>
      </c>
      <c r="C194" s="1" t="s">
        <v>764</v>
      </c>
      <c r="D194" s="1" t="s">
        <v>765</v>
      </c>
      <c r="Q194" s="5" t="str">
        <f t="shared" si="13"/>
        <v>| WWAY | Waterway | Vía fluvial |</v>
      </c>
    </row>
    <row r="195" spans="2:17" x14ac:dyDescent="0.55000000000000004">
      <c r="Q195" s="5" t="str">
        <f t="shared" si="13"/>
        <v>|  |  |  |</v>
      </c>
    </row>
    <row r="196" spans="2:17" x14ac:dyDescent="0.55000000000000004">
      <c r="Q196" s="5" t="str">
        <f t="shared" si="13"/>
        <v>|  |  |  |</v>
      </c>
    </row>
    <row r="197" spans="2:17" x14ac:dyDescent="0.55000000000000004">
      <c r="Q197" s="5" t="str">
        <f t="shared" ref="Q197:Q215" si="14">_xlfn.CONCAT("| ",B197," | ",C197," | ",D197," |")</f>
        <v>|  |  |  |</v>
      </c>
    </row>
    <row r="198" spans="2:17" x14ac:dyDescent="0.55000000000000004">
      <c r="Q198" s="5" t="str">
        <f t="shared" si="14"/>
        <v>|  |  |  |</v>
      </c>
    </row>
    <row r="199" spans="2:17" x14ac:dyDescent="0.55000000000000004">
      <c r="Q199" s="5" t="str">
        <f t="shared" si="14"/>
        <v>|  |  |  |</v>
      </c>
    </row>
    <row r="200" spans="2:17" x14ac:dyDescent="0.55000000000000004">
      <c r="Q200" s="5" t="str">
        <f t="shared" si="14"/>
        <v>|  |  |  |</v>
      </c>
    </row>
    <row r="201" spans="2:17" x14ac:dyDescent="0.55000000000000004">
      <c r="Q201" s="5" t="str">
        <f t="shared" si="14"/>
        <v>|  |  |  |</v>
      </c>
    </row>
    <row r="202" spans="2:17" x14ac:dyDescent="0.55000000000000004">
      <c r="Q202" s="5" t="str">
        <f t="shared" si="14"/>
        <v>|  |  |  |</v>
      </c>
    </row>
    <row r="203" spans="2:17" x14ac:dyDescent="0.55000000000000004">
      <c r="Q203" s="5" t="str">
        <f t="shared" si="14"/>
        <v>|  |  |  |</v>
      </c>
    </row>
    <row r="204" spans="2:17" x14ac:dyDescent="0.55000000000000004">
      <c r="Q204" s="5" t="str">
        <f t="shared" si="14"/>
        <v>|  |  |  |</v>
      </c>
    </row>
    <row r="205" spans="2:17" x14ac:dyDescent="0.55000000000000004">
      <c r="Q205" s="5" t="str">
        <f t="shared" si="14"/>
        <v>|  |  |  |</v>
      </c>
    </row>
    <row r="206" spans="2:17" x14ac:dyDescent="0.55000000000000004">
      <c r="Q206" s="5" t="str">
        <f t="shared" si="14"/>
        <v>|  |  |  |</v>
      </c>
    </row>
    <row r="207" spans="2:17" x14ac:dyDescent="0.55000000000000004">
      <c r="Q207" s="5" t="str">
        <f t="shared" si="14"/>
        <v>|  |  |  |</v>
      </c>
    </row>
    <row r="208" spans="2:17" x14ac:dyDescent="0.55000000000000004">
      <c r="Q208" s="5" t="str">
        <f t="shared" si="14"/>
        <v>|  |  |  |</v>
      </c>
    </row>
    <row r="209" spans="17:17" x14ac:dyDescent="0.55000000000000004">
      <c r="Q209" s="5" t="str">
        <f t="shared" si="14"/>
        <v>|  |  |  |</v>
      </c>
    </row>
    <row r="210" spans="17:17" x14ac:dyDescent="0.55000000000000004">
      <c r="Q210" s="5" t="str">
        <f t="shared" si="14"/>
        <v>|  |  |  |</v>
      </c>
    </row>
    <row r="211" spans="17:17" x14ac:dyDescent="0.55000000000000004">
      <c r="Q211" s="5" t="str">
        <f t="shared" si="14"/>
        <v>|  |  |  |</v>
      </c>
    </row>
    <row r="212" spans="17:17" x14ac:dyDescent="0.55000000000000004">
      <c r="Q212" s="5" t="str">
        <f t="shared" si="14"/>
        <v>|  |  |  |</v>
      </c>
    </row>
    <row r="213" spans="17:17" x14ac:dyDescent="0.55000000000000004">
      <c r="Q213" s="5" t="str">
        <f t="shared" si="14"/>
        <v>|  |  |  |</v>
      </c>
    </row>
    <row r="214" spans="17:17" x14ac:dyDescent="0.55000000000000004">
      <c r="Q214" s="5" t="str">
        <f t="shared" si="14"/>
        <v>|  |  |  |</v>
      </c>
    </row>
    <row r="215" spans="17:17" x14ac:dyDescent="0.55000000000000004">
      <c r="Q215" s="5" t="str">
        <f t="shared" si="14"/>
        <v>|  |  |  |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73F0-A81A-4218-A9EB-3B3DC641466C}">
  <dimension ref="B1:V103"/>
  <sheetViews>
    <sheetView showGridLines="0" topLeftCell="M1" zoomScale="115" zoomScaleNormal="115" workbookViewId="0">
      <pane ySplit="4" topLeftCell="A5" activePane="bottomLeft" state="frozen"/>
      <selection pane="bottomLeft" activeCell="Q3" sqref="Q3:Q13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150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Estado | Descripción (en) |</v>
      </c>
      <c r="Q3" s="5" t="str">
        <f>_xlfn.CONCAT("| ",B3," | ",C3," | ",D3," |")</f>
        <v>| Estado | Descripción (en) | Descripción (es) |</v>
      </c>
      <c r="R3" s="5" t="str">
        <f>_xlfn.CONCAT("| ",B3," | ",C3," | ",D3," | ",E3," |")</f>
        <v>| Estado | Descripción (en) | Descripción (es) | A |</v>
      </c>
      <c r="S3" s="5" t="str">
        <f>_xlfn.CONCAT("| ",B3," | ",C3," | ",D3," | ",E3," |",F3," |")</f>
        <v>| Estado | Descripción (en) | Descripción (es) | A |B |</v>
      </c>
      <c r="T3" s="5" t="str">
        <f>_xlfn.CONCAT("| ",B3," | ",C3," | ",D3," | ",E3," |",F3," |",G3," |")</f>
        <v>| Estado | Descripción (en) | Descripción (es) | A |B |C |</v>
      </c>
      <c r="U3" s="5" t="str">
        <f>_xlfn.CONCAT("| ",B3," | ",C3," | ",D3," | ",E3," | ",F3," | ",G3," | ",H3," |")</f>
        <v>| Estado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Estado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129</v>
      </c>
      <c r="D5" s="5" t="s">
        <v>130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Abandoned |</v>
      </c>
      <c r="Q5" s="5" t="str">
        <f t="shared" ref="Q5:Q38" si="3">_xlfn.CONCAT("| ",B5," | ",C5," | ",D5," |")</f>
        <v>| A | Abandoned | Abandonado |</v>
      </c>
      <c r="R5" s="5" t="str">
        <f>_xlfn.CONCAT("| ",B5," | ",C5," | ",D5," | ",E5," |")</f>
        <v>| A | Abandoned | Abandonado | ✓ |</v>
      </c>
      <c r="S5" s="5" t="str">
        <f>_xlfn.CONCAT("| ",B5," | ",C5," | ",D5," | ",E5," |",F5," |")</f>
        <v>| A | Abandoned | Abandonado | ✓ |✓ |</v>
      </c>
      <c r="T5" s="5" t="str">
        <f t="shared" si="1"/>
        <v>| A | Abandoned | Abandonado | ✓ |✓ | |</v>
      </c>
      <c r="U5" s="5" t="str">
        <f t="shared" si="2"/>
        <v>| A | Abandoned | Abandonado | ✓ | ✓ |  |  |</v>
      </c>
      <c r="V5" s="5" t="str">
        <f t="shared" si="0"/>
        <v>| A | Abandoned | Abandonado | ✓ |✓ | | | | | | | | |</v>
      </c>
    </row>
    <row r="6" spans="2:22" x14ac:dyDescent="0.55000000000000004">
      <c r="B6" s="5" t="s">
        <v>14</v>
      </c>
      <c r="C6" s="5" t="s">
        <v>131</v>
      </c>
      <c r="D6" s="5" t="s">
        <v>132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D | Existing to demolish |</v>
      </c>
      <c r="Q6" s="5" t="str">
        <f t="shared" si="3"/>
        <v>| D | Existing to demolish | Existente para demoler |</v>
      </c>
      <c r="R6" s="5" t="str">
        <f t="shared" ref="R6:R69" si="5">_xlfn.CONCAT("| ",B6," | ",C6," | ",D6," | ",E6," |")</f>
        <v>| D | Existing to demolish | Existente para demoler | ✓ |</v>
      </c>
      <c r="S6" s="5" t="str">
        <f t="shared" ref="S6:S69" si="6">_xlfn.CONCAT("| ",B6," | ",C6," | ",D6," | ",E6," |",F6," |")</f>
        <v>| D | Existing to demolish | Existente para demoler | ✓ |✕ |</v>
      </c>
      <c r="T6" s="5" t="str">
        <f t="shared" si="1"/>
        <v>| D | Existing to demolish | Existente para demoler | ✓ |✕ | |</v>
      </c>
      <c r="U6" s="5" t="str">
        <f t="shared" si="2"/>
        <v>| D | Existing to demolish | Existente para demoler | ✓ | ✕ |  |  |</v>
      </c>
      <c r="V6" s="5" t="str">
        <f t="shared" si="0"/>
        <v>| D | Existing to demolish | Existente para demoler | ✓ |✕ | | | | | | | | |</v>
      </c>
    </row>
    <row r="7" spans="2:22" x14ac:dyDescent="0.55000000000000004">
      <c r="B7" s="5" t="s">
        <v>54</v>
      </c>
      <c r="C7" s="5" t="s">
        <v>133</v>
      </c>
      <c r="D7" s="5" t="s">
        <v>134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E | Existing to remain |</v>
      </c>
      <c r="Q7" s="5" t="str">
        <f t="shared" si="3"/>
        <v>| E | Existing to remain | Existente para conservar |</v>
      </c>
      <c r="R7" s="5" t="str">
        <f t="shared" si="5"/>
        <v>| E | Existing to remain | Existente para conservar | ✓ |</v>
      </c>
      <c r="S7" s="5" t="str">
        <f t="shared" si="6"/>
        <v>| E | Existing to remain | Existente para conservar | ✓ |✓ |</v>
      </c>
      <c r="T7" s="5" t="str">
        <f t="shared" si="1"/>
        <v>| E | Existing to remain | Existente para conservar | ✓ |✓ | |</v>
      </c>
      <c r="U7" s="5" t="str">
        <f t="shared" si="2"/>
        <v>| E | Existing to remain | Existente para conservar | ✓ | ✓ |  |  |</v>
      </c>
      <c r="V7" s="5" t="str">
        <f t="shared" si="0"/>
        <v>| E | Existing to remain | Existente para conservar | ✓ |✓ | | | | | | | | |</v>
      </c>
    </row>
    <row r="8" spans="2:22" x14ac:dyDescent="0.55000000000000004">
      <c r="B8" s="5" t="s">
        <v>149</v>
      </c>
      <c r="C8" s="5" t="s">
        <v>135</v>
      </c>
      <c r="D8" s="5" t="s">
        <v>136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ß | Future work |</v>
      </c>
      <c r="Q8" s="5" t="str">
        <f t="shared" si="3"/>
        <v>| ß | Future work | Trabajo futuro |</v>
      </c>
      <c r="R8" s="5" t="str">
        <f t="shared" si="5"/>
        <v>| ß | Future work | Trabajo futuro | ✓ |</v>
      </c>
      <c r="S8" s="5" t="str">
        <f t="shared" si="6"/>
        <v>| ß | Future work | Trabajo futuro | ✓ |✕ |</v>
      </c>
      <c r="T8" s="5" t="str">
        <f t="shared" si="1"/>
        <v>| ß | Future work | Trabajo futuro | ✓ |✕ | |</v>
      </c>
      <c r="U8" s="5" t="str">
        <f t="shared" si="2"/>
        <v>| ß | Future work | Trabajo futuro | ✓ | ✕ |  |  |</v>
      </c>
      <c r="V8" s="5" t="str">
        <f t="shared" si="0"/>
        <v>| ß | Future work | Trabajo futuro | ✓ |✕ | | | | | | | | |</v>
      </c>
    </row>
    <row r="9" spans="2:22" x14ac:dyDescent="0.55000000000000004">
      <c r="B9" s="5" t="s">
        <v>71</v>
      </c>
      <c r="C9" s="5" t="s">
        <v>137</v>
      </c>
      <c r="D9" s="5" t="s">
        <v>138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M | Items to be moved |</v>
      </c>
      <c r="Q9" s="5" t="str">
        <f t="shared" si="3"/>
        <v>| M | Items to be moved | Artículos a trasladar |</v>
      </c>
      <c r="R9" s="5" t="str">
        <f t="shared" si="5"/>
        <v>| M | Items to be moved | Artículos a trasladar | ✓ |</v>
      </c>
      <c r="S9" s="5" t="str">
        <f t="shared" si="6"/>
        <v>| M | Items to be moved | Artículos a trasladar | ✓ |✕ |</v>
      </c>
      <c r="T9" s="5" t="str">
        <f t="shared" si="1"/>
        <v>| M | Items to be moved | Artículos a trasladar | ✓ |✕ | |</v>
      </c>
      <c r="U9" s="5" t="str">
        <f t="shared" si="2"/>
        <v>| M | Items to be moved | Artículos a trasladar | ✓ | ✕ |  |  |</v>
      </c>
      <c r="V9" s="5" t="str">
        <f t="shared" si="0"/>
        <v>| M | Items to be moved | Artículos a trasladar | ✓ |✕ | | | | | | | | |</v>
      </c>
    </row>
    <row r="10" spans="2:22" x14ac:dyDescent="0.55000000000000004">
      <c r="B10" s="5" t="s">
        <v>139</v>
      </c>
      <c r="C10" s="5" t="s">
        <v>140</v>
      </c>
      <c r="D10" s="5" t="s">
        <v>141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N | New work |</v>
      </c>
      <c r="Q10" s="5" t="str">
        <f t="shared" si="3"/>
        <v>| N | New work | Trabajo nuevo |</v>
      </c>
      <c r="R10" s="5" t="str">
        <f t="shared" si="5"/>
        <v>| N | New work | Trabajo nuevo | ✓ |</v>
      </c>
      <c r="S10" s="5" t="str">
        <f t="shared" si="6"/>
        <v>| N | New work | Trabajo nuevo | ✓ |✕ |</v>
      </c>
      <c r="T10" s="5" t="str">
        <f t="shared" si="1"/>
        <v>| N | New work | Trabajo nuevo | ✓ |✕ | |</v>
      </c>
      <c r="U10" s="5" t="str">
        <f t="shared" si="2"/>
        <v>| N | New work | Trabajo nuevo | ✓ | ✕ |  |  |</v>
      </c>
      <c r="V10" s="5" t="str">
        <f t="shared" si="0"/>
        <v>| N | New work | Trabajo nuevo | ✓ |✕ | | | | | | | | |</v>
      </c>
    </row>
    <row r="11" spans="2:22" x14ac:dyDescent="0.55000000000000004">
      <c r="B11" s="5" t="s">
        <v>89</v>
      </c>
      <c r="C11" s="5" t="s">
        <v>142</v>
      </c>
      <c r="D11" s="5" t="s">
        <v>143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T | Temporary work |</v>
      </c>
      <c r="Q11" s="5" t="str">
        <f t="shared" si="3"/>
        <v>| T | Temporary work | Trabajo temporal |</v>
      </c>
      <c r="R11" s="5" t="str">
        <f t="shared" si="5"/>
        <v>| T | Temporary work | Trabajo temporal | ✓ |</v>
      </c>
      <c r="S11" s="5" t="str">
        <f t="shared" si="6"/>
        <v>| T | Temporary work | Trabajo temporal | ✓ |✓ |</v>
      </c>
      <c r="T11" s="5" t="str">
        <f t="shared" si="1"/>
        <v>| T | Temporary work | Trabajo temporal | ✓ |✓ | |</v>
      </c>
      <c r="U11" s="5" t="str">
        <f t="shared" si="2"/>
        <v>| T | Temporary work | Trabajo temporal | ✓ | ✓ |  |  |</v>
      </c>
      <c r="V11" s="5" t="str">
        <f t="shared" si="0"/>
        <v>| T | Temporary work | Trabajo temporal | ✓ |✓ | | | | | | | | |</v>
      </c>
    </row>
    <row r="12" spans="2:22" x14ac:dyDescent="0.55000000000000004">
      <c r="B12" s="5" t="s">
        <v>98</v>
      </c>
      <c r="C12" s="5" t="s">
        <v>144</v>
      </c>
      <c r="D12" s="5" t="s">
        <v>145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X | Not in contract |</v>
      </c>
      <c r="Q12" s="5" t="str">
        <f t="shared" si="3"/>
        <v>| X | Not in contract | Sin contrato |</v>
      </c>
      <c r="R12" s="5" t="str">
        <f t="shared" si="5"/>
        <v>| X | Not in contract | Sin contrato |  |</v>
      </c>
      <c r="S12" s="5" t="str">
        <f t="shared" si="6"/>
        <v>| X | Not in contract | Sin contrato |  | |</v>
      </c>
      <c r="T12" s="5" t="str">
        <f t="shared" si="1"/>
        <v>| X | Not in contract | Sin contrato |  | | |</v>
      </c>
      <c r="U12" s="5"/>
      <c r="V12" s="5" t="str">
        <f t="shared" si="0"/>
        <v>| X | Not in contract | Sin contrato |  | | | | | | | | | |</v>
      </c>
    </row>
    <row r="13" spans="2:22" x14ac:dyDescent="0.55000000000000004">
      <c r="B13" s="5" t="s">
        <v>146</v>
      </c>
      <c r="C13" s="5" t="s">
        <v>147</v>
      </c>
      <c r="D13" s="5" t="s">
        <v>148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1a9 | Phase numbers |</v>
      </c>
      <c r="Q13" s="5" t="str">
        <f t="shared" si="3"/>
        <v>| 1a9 | Phase numbers | Número de fases |</v>
      </c>
      <c r="R13" s="5" t="str">
        <f t="shared" si="5"/>
        <v>| 1a9 | Phase numbers | Número de fases |  |</v>
      </c>
      <c r="S13" s="5" t="str">
        <f t="shared" si="6"/>
        <v>| 1a9 | Phase numbers | Número de fases |  | |</v>
      </c>
      <c r="T13" s="5" t="str">
        <f t="shared" si="1"/>
        <v>| 1a9 | Phase numbers | Número de fases |  | | |</v>
      </c>
      <c r="U13" s="5"/>
      <c r="V13" s="5" t="str">
        <f t="shared" si="0"/>
        <v>| 1a9 | Phase numbers | Número de fases |  | | | | | | | | | |</v>
      </c>
    </row>
    <row r="14" spans="2:22" x14ac:dyDescent="0.55000000000000004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 |  |</v>
      </c>
      <c r="Q14" s="5" t="str">
        <f t="shared" si="3"/>
        <v>|  |  |  |</v>
      </c>
      <c r="R14" s="5" t="str">
        <f t="shared" si="5"/>
        <v>|  |  |  |  |</v>
      </c>
      <c r="S14" s="5" t="str">
        <f t="shared" si="6"/>
        <v>|  |  |  |  | |</v>
      </c>
      <c r="T14" s="5" t="str">
        <f t="shared" si="1"/>
        <v>|  |  |  |  | | |</v>
      </c>
      <c r="U14" s="5"/>
      <c r="V14" s="5" t="str">
        <f t="shared" si="0"/>
        <v>|  |  | 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x14ac:dyDescent="0.55000000000000004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 |  |  |</v>
      </c>
      <c r="R16" s="5"/>
      <c r="S16" s="5"/>
      <c r="T16" s="5"/>
      <c r="U16" s="5"/>
      <c r="V16" s="5"/>
    </row>
    <row r="17" spans="2:22" x14ac:dyDescent="0.55000000000000004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 |  |  |</v>
      </c>
      <c r="R17" s="5"/>
      <c r="S17" s="5"/>
      <c r="T17" s="5"/>
      <c r="U17" s="5"/>
      <c r="V17" s="5"/>
    </row>
    <row r="18" spans="2:22" x14ac:dyDescent="0.55000000000000004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|  |  |</v>
      </c>
      <c r="R18" s="5"/>
      <c r="S18" s="5"/>
      <c r="T18" s="5"/>
      <c r="U18" s="5"/>
      <c r="V18" s="5"/>
    </row>
    <row r="19" spans="2:22" x14ac:dyDescent="0.55000000000000004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 |  | 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LayerL1</vt:lpstr>
      <vt:lpstr>LayerL2</vt:lpstr>
      <vt:lpstr>Group</vt:lpstr>
      <vt:lpstr>Estado</vt:lpstr>
      <vt:lpstr>Estado!_Toc107986980</vt:lpstr>
      <vt:lpstr>Group!_Toc107986980</vt:lpstr>
      <vt:lpstr>LayerL1!_Toc107986980</vt:lpstr>
      <vt:lpstr>LayerL2!_Toc107986980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2025-06-23T21:31:22Z</dcterms:modified>
</cp:coreProperties>
</file>