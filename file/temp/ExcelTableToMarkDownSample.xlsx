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SSD2TB\R.DAPC\file\temp\"/>
    </mc:Choice>
  </mc:AlternateContent>
  <xr:revisionPtr revIDLastSave="0" documentId="13_ncr:1_{BFB54205-E7CF-4344-B881-D8FF61F340BF}" xr6:coauthVersionLast="47" xr6:coauthVersionMax="47" xr10:uidLastSave="{00000000-0000-0000-0000-000000000000}"/>
  <bookViews>
    <workbookView xWindow="-98" yWindow="-98" windowWidth="19396" windowHeight="11475" activeTab="6" xr2:uid="{D94F812B-BC61-4A22-9692-634766FE0D40}"/>
  </bookViews>
  <sheets>
    <sheet name="Sample" sheetId="1" r:id="rId1"/>
    <sheet name="LayerL1" sheetId="6" r:id="rId2"/>
    <sheet name="LayerL2" sheetId="7" r:id="rId3"/>
    <sheet name="Group" sheetId="9" r:id="rId4"/>
    <sheet name="Estado" sheetId="8" r:id="rId5"/>
    <sheet name="Arch" sheetId="10" r:id="rId6"/>
    <sheet name="Civil" sheetId="12" r:id="rId7"/>
  </sheets>
  <definedNames>
    <definedName name="_Toc107986980" localSheetId="5">Arch!$B$9</definedName>
    <definedName name="_Toc107986980" localSheetId="6">Civil!$B$9</definedName>
    <definedName name="_Toc107986980" localSheetId="4">Estado!$B$9</definedName>
    <definedName name="_Toc107986980" localSheetId="3">Group!$B$9</definedName>
    <definedName name="_Toc107986980" localSheetId="1">LayerL1!$B$9</definedName>
    <definedName name="_Toc107986980" localSheetId="2">LayerL2!$B$9</definedName>
    <definedName name="_Toc107986980" localSheetId="0">Sample!$B$9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04" i="12" l="1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V103" i="12"/>
  <c r="T103" i="12"/>
  <c r="S103" i="12"/>
  <c r="R103" i="12"/>
  <c r="Q103" i="12"/>
  <c r="P103" i="12"/>
  <c r="V102" i="12"/>
  <c r="T102" i="12"/>
  <c r="S102" i="12"/>
  <c r="R102" i="12"/>
  <c r="Q102" i="12"/>
  <c r="P102" i="12"/>
  <c r="V101" i="12"/>
  <c r="T101" i="12"/>
  <c r="S101" i="12"/>
  <c r="R101" i="12"/>
  <c r="Q101" i="12"/>
  <c r="P101" i="12"/>
  <c r="V100" i="12"/>
  <c r="T100" i="12"/>
  <c r="S100" i="12"/>
  <c r="R100" i="12"/>
  <c r="Q100" i="12"/>
  <c r="P100" i="12"/>
  <c r="V99" i="12"/>
  <c r="T99" i="12"/>
  <c r="S99" i="12"/>
  <c r="R99" i="12"/>
  <c r="Q99" i="12"/>
  <c r="P99" i="12"/>
  <c r="V98" i="12"/>
  <c r="T98" i="12"/>
  <c r="S98" i="12"/>
  <c r="R98" i="12"/>
  <c r="Q98" i="12"/>
  <c r="P98" i="12"/>
  <c r="V97" i="12"/>
  <c r="T97" i="12"/>
  <c r="S97" i="12"/>
  <c r="R97" i="12"/>
  <c r="Q97" i="12"/>
  <c r="P97" i="12"/>
  <c r="V96" i="12"/>
  <c r="T96" i="12"/>
  <c r="S96" i="12"/>
  <c r="R96" i="12"/>
  <c r="Q96" i="12"/>
  <c r="P96" i="12"/>
  <c r="V95" i="12"/>
  <c r="T95" i="12"/>
  <c r="S95" i="12"/>
  <c r="R95" i="12"/>
  <c r="Q95" i="12"/>
  <c r="P95" i="12"/>
  <c r="V94" i="12"/>
  <c r="T94" i="12"/>
  <c r="S94" i="12"/>
  <c r="R94" i="12"/>
  <c r="Q94" i="12"/>
  <c r="P94" i="12"/>
  <c r="V93" i="12"/>
  <c r="T93" i="12"/>
  <c r="S93" i="12"/>
  <c r="R93" i="12"/>
  <c r="Q93" i="12"/>
  <c r="P93" i="12"/>
  <c r="V92" i="12"/>
  <c r="T92" i="12"/>
  <c r="S92" i="12"/>
  <c r="R92" i="12"/>
  <c r="Q92" i="12"/>
  <c r="P92" i="12"/>
  <c r="V91" i="12"/>
  <c r="T91" i="12"/>
  <c r="S91" i="12"/>
  <c r="R91" i="12"/>
  <c r="Q91" i="12"/>
  <c r="P91" i="12"/>
  <c r="V90" i="12"/>
  <c r="T90" i="12"/>
  <c r="S90" i="12"/>
  <c r="R90" i="12"/>
  <c r="Q90" i="12"/>
  <c r="P90" i="12"/>
  <c r="V89" i="12"/>
  <c r="T89" i="12"/>
  <c r="S89" i="12"/>
  <c r="R89" i="12"/>
  <c r="Q89" i="12"/>
  <c r="P89" i="12"/>
  <c r="V88" i="12"/>
  <c r="T88" i="12"/>
  <c r="S88" i="12"/>
  <c r="R88" i="12"/>
  <c r="Q88" i="12"/>
  <c r="P88" i="12"/>
  <c r="V87" i="12"/>
  <c r="T87" i="12"/>
  <c r="S87" i="12"/>
  <c r="R87" i="12"/>
  <c r="Q87" i="12"/>
  <c r="P87" i="12"/>
  <c r="V86" i="12"/>
  <c r="T86" i="12"/>
  <c r="S86" i="12"/>
  <c r="R86" i="12"/>
  <c r="Q86" i="12"/>
  <c r="P86" i="12"/>
  <c r="V85" i="12"/>
  <c r="T85" i="12"/>
  <c r="S85" i="12"/>
  <c r="R85" i="12"/>
  <c r="Q85" i="12"/>
  <c r="P85" i="12"/>
  <c r="V84" i="12"/>
  <c r="T84" i="12"/>
  <c r="S84" i="12"/>
  <c r="R84" i="12"/>
  <c r="Q84" i="12"/>
  <c r="P84" i="12"/>
  <c r="V83" i="12"/>
  <c r="T83" i="12"/>
  <c r="S83" i="12"/>
  <c r="R83" i="12"/>
  <c r="Q83" i="12"/>
  <c r="P83" i="12"/>
  <c r="V82" i="12"/>
  <c r="T82" i="12"/>
  <c r="S82" i="12"/>
  <c r="R82" i="12"/>
  <c r="Q82" i="12"/>
  <c r="P82" i="12"/>
  <c r="V81" i="12"/>
  <c r="T81" i="12"/>
  <c r="S81" i="12"/>
  <c r="R81" i="12"/>
  <c r="Q81" i="12"/>
  <c r="P81" i="12"/>
  <c r="V80" i="12"/>
  <c r="T80" i="12"/>
  <c r="S80" i="12"/>
  <c r="R80" i="12"/>
  <c r="Q80" i="12"/>
  <c r="P80" i="12"/>
  <c r="V79" i="12"/>
  <c r="T79" i="12"/>
  <c r="S79" i="12"/>
  <c r="R79" i="12"/>
  <c r="Q79" i="12"/>
  <c r="P79" i="12"/>
  <c r="V78" i="12"/>
  <c r="T78" i="12"/>
  <c r="S78" i="12"/>
  <c r="R78" i="12"/>
  <c r="Q78" i="12"/>
  <c r="P78" i="12"/>
  <c r="V77" i="12"/>
  <c r="T77" i="12"/>
  <c r="S77" i="12"/>
  <c r="R77" i="12"/>
  <c r="Q77" i="12"/>
  <c r="P77" i="12"/>
  <c r="V76" i="12"/>
  <c r="T76" i="12"/>
  <c r="S76" i="12"/>
  <c r="R76" i="12"/>
  <c r="Q76" i="12"/>
  <c r="P76" i="12"/>
  <c r="V75" i="12"/>
  <c r="T75" i="12"/>
  <c r="S75" i="12"/>
  <c r="R75" i="12"/>
  <c r="Q75" i="12"/>
  <c r="P75" i="12"/>
  <c r="V74" i="12"/>
  <c r="T74" i="12"/>
  <c r="S74" i="12"/>
  <c r="R74" i="12"/>
  <c r="Q74" i="12"/>
  <c r="P74" i="12"/>
  <c r="V73" i="12"/>
  <c r="T73" i="12"/>
  <c r="S73" i="12"/>
  <c r="R73" i="12"/>
  <c r="Q73" i="12"/>
  <c r="P73" i="12"/>
  <c r="V72" i="12"/>
  <c r="T72" i="12"/>
  <c r="S72" i="12"/>
  <c r="R72" i="12"/>
  <c r="Q72" i="12"/>
  <c r="P72" i="12"/>
  <c r="V71" i="12"/>
  <c r="T71" i="12"/>
  <c r="S71" i="12"/>
  <c r="R71" i="12"/>
  <c r="Q71" i="12"/>
  <c r="P71" i="12"/>
  <c r="V70" i="12"/>
  <c r="T70" i="12"/>
  <c r="S70" i="12"/>
  <c r="R70" i="12"/>
  <c r="Q70" i="12"/>
  <c r="P70" i="12"/>
  <c r="V69" i="12"/>
  <c r="T69" i="12"/>
  <c r="S69" i="12"/>
  <c r="R69" i="12"/>
  <c r="Q69" i="12"/>
  <c r="P69" i="12"/>
  <c r="V68" i="12"/>
  <c r="T68" i="12"/>
  <c r="S68" i="12"/>
  <c r="R68" i="12"/>
  <c r="Q68" i="12"/>
  <c r="P68" i="12"/>
  <c r="V67" i="12"/>
  <c r="T67" i="12"/>
  <c r="S67" i="12"/>
  <c r="R67" i="12"/>
  <c r="Q67" i="12"/>
  <c r="P67" i="12"/>
  <c r="V66" i="12"/>
  <c r="T66" i="12"/>
  <c r="S66" i="12"/>
  <c r="R66" i="12"/>
  <c r="Q66" i="12"/>
  <c r="P66" i="12"/>
  <c r="V65" i="12"/>
  <c r="T65" i="12"/>
  <c r="S65" i="12"/>
  <c r="R65" i="12"/>
  <c r="Q65" i="12"/>
  <c r="P65" i="12"/>
  <c r="V64" i="12"/>
  <c r="T64" i="12"/>
  <c r="S64" i="12"/>
  <c r="R64" i="12"/>
  <c r="Q64" i="12"/>
  <c r="P64" i="12"/>
  <c r="V63" i="12"/>
  <c r="T63" i="12"/>
  <c r="S63" i="12"/>
  <c r="R63" i="12"/>
  <c r="Q63" i="12"/>
  <c r="P63" i="12"/>
  <c r="V62" i="12"/>
  <c r="T62" i="12"/>
  <c r="S62" i="12"/>
  <c r="R62" i="12"/>
  <c r="Q62" i="12"/>
  <c r="P62" i="12"/>
  <c r="V61" i="12"/>
  <c r="T61" i="12"/>
  <c r="S61" i="12"/>
  <c r="R61" i="12"/>
  <c r="Q61" i="12"/>
  <c r="P61" i="12"/>
  <c r="V60" i="12"/>
  <c r="T60" i="12"/>
  <c r="S60" i="12"/>
  <c r="R60" i="12"/>
  <c r="Q60" i="12"/>
  <c r="P60" i="12"/>
  <c r="V59" i="12"/>
  <c r="T59" i="12"/>
  <c r="S59" i="12"/>
  <c r="R59" i="12"/>
  <c r="Q59" i="12"/>
  <c r="P59" i="12"/>
  <c r="V58" i="12"/>
  <c r="T58" i="12"/>
  <c r="S58" i="12"/>
  <c r="R58" i="12"/>
  <c r="Q58" i="12"/>
  <c r="P58" i="12"/>
  <c r="V57" i="12"/>
  <c r="T57" i="12"/>
  <c r="S57" i="12"/>
  <c r="R57" i="12"/>
  <c r="Q57" i="12"/>
  <c r="P57" i="12"/>
  <c r="V56" i="12"/>
  <c r="T56" i="12"/>
  <c r="S56" i="12"/>
  <c r="R56" i="12"/>
  <c r="Q56" i="12"/>
  <c r="P56" i="12"/>
  <c r="V55" i="12"/>
  <c r="T55" i="12"/>
  <c r="S55" i="12"/>
  <c r="R55" i="12"/>
  <c r="Q55" i="12"/>
  <c r="P55" i="12"/>
  <c r="V54" i="12"/>
  <c r="T54" i="12"/>
  <c r="S54" i="12"/>
  <c r="R54" i="12"/>
  <c r="Q54" i="12"/>
  <c r="P54" i="12"/>
  <c r="V53" i="12"/>
  <c r="T53" i="12"/>
  <c r="S53" i="12"/>
  <c r="R53" i="12"/>
  <c r="Q53" i="12"/>
  <c r="P53" i="12"/>
  <c r="V52" i="12"/>
  <c r="T52" i="12"/>
  <c r="S52" i="12"/>
  <c r="R52" i="12"/>
  <c r="Q52" i="12"/>
  <c r="P52" i="12"/>
  <c r="V51" i="12"/>
  <c r="T51" i="12"/>
  <c r="S51" i="12"/>
  <c r="R51" i="12"/>
  <c r="Q51" i="12"/>
  <c r="P51" i="12"/>
  <c r="V50" i="12"/>
  <c r="T50" i="12"/>
  <c r="S50" i="12"/>
  <c r="R50" i="12"/>
  <c r="Q50" i="12"/>
  <c r="P50" i="12"/>
  <c r="V49" i="12"/>
  <c r="T49" i="12"/>
  <c r="S49" i="12"/>
  <c r="R49" i="12"/>
  <c r="Q49" i="12"/>
  <c r="P49" i="12"/>
  <c r="V48" i="12"/>
  <c r="T48" i="12"/>
  <c r="S48" i="12"/>
  <c r="R48" i="12"/>
  <c r="Q48" i="12"/>
  <c r="P48" i="12"/>
  <c r="V47" i="12"/>
  <c r="T47" i="12"/>
  <c r="S47" i="12"/>
  <c r="R47" i="12"/>
  <c r="Q47" i="12"/>
  <c r="P47" i="12"/>
  <c r="V46" i="12"/>
  <c r="T46" i="12"/>
  <c r="S46" i="12"/>
  <c r="R46" i="12"/>
  <c r="Q46" i="12"/>
  <c r="P46" i="12"/>
  <c r="V45" i="12"/>
  <c r="T45" i="12"/>
  <c r="S45" i="12"/>
  <c r="R45" i="12"/>
  <c r="Q45" i="12"/>
  <c r="P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V14" i="12"/>
  <c r="T14" i="12"/>
  <c r="S14" i="12"/>
  <c r="R14" i="12"/>
  <c r="Q14" i="12"/>
  <c r="P14" i="12"/>
  <c r="V13" i="12"/>
  <c r="T13" i="12"/>
  <c r="S13" i="12"/>
  <c r="R13" i="12"/>
  <c r="Q13" i="12"/>
  <c r="P13" i="12"/>
  <c r="V12" i="12"/>
  <c r="T12" i="12"/>
  <c r="S12" i="12"/>
  <c r="R12" i="12"/>
  <c r="Q12" i="12"/>
  <c r="P12" i="12"/>
  <c r="V11" i="12"/>
  <c r="U11" i="12"/>
  <c r="T11" i="12"/>
  <c r="S11" i="12"/>
  <c r="R11" i="12"/>
  <c r="Q11" i="12"/>
  <c r="P11" i="12"/>
  <c r="V10" i="12"/>
  <c r="U10" i="12"/>
  <c r="T10" i="12"/>
  <c r="S10" i="12"/>
  <c r="R10" i="12"/>
  <c r="Q10" i="12"/>
  <c r="P10" i="12"/>
  <c r="V9" i="12"/>
  <c r="U9" i="12"/>
  <c r="T9" i="12"/>
  <c r="S9" i="12"/>
  <c r="R9" i="12"/>
  <c r="Q9" i="12"/>
  <c r="P9" i="12"/>
  <c r="V8" i="12"/>
  <c r="U8" i="12"/>
  <c r="T8" i="12"/>
  <c r="S8" i="12"/>
  <c r="R8" i="12"/>
  <c r="Q8" i="12"/>
  <c r="P8" i="12"/>
  <c r="V7" i="12"/>
  <c r="U7" i="12"/>
  <c r="T7" i="12"/>
  <c r="S7" i="12"/>
  <c r="R7" i="12"/>
  <c r="Q7" i="12"/>
  <c r="P7" i="12"/>
  <c r="V6" i="12"/>
  <c r="U6" i="12"/>
  <c r="T6" i="12"/>
  <c r="S6" i="12"/>
  <c r="R6" i="12"/>
  <c r="Q6" i="12"/>
  <c r="P6" i="12"/>
  <c r="V5" i="12"/>
  <c r="U5" i="12"/>
  <c r="T5" i="12"/>
  <c r="S5" i="12"/>
  <c r="R5" i="12"/>
  <c r="Q5" i="12"/>
  <c r="P5" i="12"/>
  <c r="V4" i="12"/>
  <c r="U4" i="12"/>
  <c r="T4" i="12"/>
  <c r="S4" i="12"/>
  <c r="R4" i="12"/>
  <c r="Q4" i="12"/>
  <c r="P4" i="12"/>
  <c r="V3" i="12"/>
  <c r="U3" i="12"/>
  <c r="T3" i="12"/>
  <c r="S3" i="12"/>
  <c r="R3" i="12"/>
  <c r="Q3" i="12"/>
  <c r="P3" i="12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V103" i="10"/>
  <c r="T103" i="10"/>
  <c r="S103" i="10"/>
  <c r="R103" i="10"/>
  <c r="Q103" i="10"/>
  <c r="P103" i="10"/>
  <c r="V102" i="10"/>
  <c r="T102" i="10"/>
  <c r="S102" i="10"/>
  <c r="R102" i="10"/>
  <c r="Q102" i="10"/>
  <c r="P102" i="10"/>
  <c r="V101" i="10"/>
  <c r="T101" i="10"/>
  <c r="S101" i="10"/>
  <c r="R101" i="10"/>
  <c r="Q101" i="10"/>
  <c r="P101" i="10"/>
  <c r="V100" i="10"/>
  <c r="T100" i="10"/>
  <c r="S100" i="10"/>
  <c r="R100" i="10"/>
  <c r="Q100" i="10"/>
  <c r="P100" i="10"/>
  <c r="V99" i="10"/>
  <c r="T99" i="10"/>
  <c r="S99" i="10"/>
  <c r="R99" i="10"/>
  <c r="Q99" i="10"/>
  <c r="P99" i="10"/>
  <c r="V98" i="10"/>
  <c r="T98" i="10"/>
  <c r="S98" i="10"/>
  <c r="R98" i="10"/>
  <c r="Q98" i="10"/>
  <c r="P98" i="10"/>
  <c r="V97" i="10"/>
  <c r="T97" i="10"/>
  <c r="S97" i="10"/>
  <c r="R97" i="10"/>
  <c r="Q97" i="10"/>
  <c r="P97" i="10"/>
  <c r="V96" i="10"/>
  <c r="T96" i="10"/>
  <c r="S96" i="10"/>
  <c r="R96" i="10"/>
  <c r="Q96" i="10"/>
  <c r="P96" i="10"/>
  <c r="V95" i="10"/>
  <c r="T95" i="10"/>
  <c r="S95" i="10"/>
  <c r="R95" i="10"/>
  <c r="Q95" i="10"/>
  <c r="P95" i="10"/>
  <c r="V94" i="10"/>
  <c r="T94" i="10"/>
  <c r="S94" i="10"/>
  <c r="R94" i="10"/>
  <c r="Q94" i="10"/>
  <c r="P94" i="10"/>
  <c r="V93" i="10"/>
  <c r="T93" i="10"/>
  <c r="S93" i="10"/>
  <c r="R93" i="10"/>
  <c r="Q93" i="10"/>
  <c r="P93" i="10"/>
  <c r="V92" i="10"/>
  <c r="T92" i="10"/>
  <c r="S92" i="10"/>
  <c r="R92" i="10"/>
  <c r="Q92" i="10"/>
  <c r="P92" i="10"/>
  <c r="V91" i="10"/>
  <c r="T91" i="10"/>
  <c r="S91" i="10"/>
  <c r="R91" i="10"/>
  <c r="P91" i="10"/>
  <c r="V90" i="10"/>
  <c r="T90" i="10"/>
  <c r="S90" i="10"/>
  <c r="R90" i="10"/>
  <c r="P90" i="10"/>
  <c r="V89" i="10"/>
  <c r="T89" i="10"/>
  <c r="S89" i="10"/>
  <c r="R89" i="10"/>
  <c r="P89" i="10"/>
  <c r="V88" i="10"/>
  <c r="T88" i="10"/>
  <c r="S88" i="10"/>
  <c r="R88" i="10"/>
  <c r="P88" i="10"/>
  <c r="V87" i="10"/>
  <c r="T87" i="10"/>
  <c r="S87" i="10"/>
  <c r="R87" i="10"/>
  <c r="P87" i="10"/>
  <c r="V86" i="10"/>
  <c r="T86" i="10"/>
  <c r="S86" i="10"/>
  <c r="R86" i="10"/>
  <c r="P86" i="10"/>
  <c r="V85" i="10"/>
  <c r="T85" i="10"/>
  <c r="S85" i="10"/>
  <c r="R85" i="10"/>
  <c r="P85" i="10"/>
  <c r="V84" i="10"/>
  <c r="T84" i="10"/>
  <c r="S84" i="10"/>
  <c r="R84" i="10"/>
  <c r="P84" i="10"/>
  <c r="V83" i="10"/>
  <c r="T83" i="10"/>
  <c r="S83" i="10"/>
  <c r="R83" i="10"/>
  <c r="P83" i="10"/>
  <c r="V82" i="10"/>
  <c r="T82" i="10"/>
  <c r="S82" i="10"/>
  <c r="R82" i="10"/>
  <c r="P82" i="10"/>
  <c r="V81" i="10"/>
  <c r="T81" i="10"/>
  <c r="S81" i="10"/>
  <c r="R81" i="10"/>
  <c r="P81" i="10"/>
  <c r="V80" i="10"/>
  <c r="T80" i="10"/>
  <c r="S80" i="10"/>
  <c r="R80" i="10"/>
  <c r="P80" i="10"/>
  <c r="V79" i="10"/>
  <c r="T79" i="10"/>
  <c r="S79" i="10"/>
  <c r="R79" i="10"/>
  <c r="P79" i="10"/>
  <c r="V78" i="10"/>
  <c r="T78" i="10"/>
  <c r="S78" i="10"/>
  <c r="R78" i="10"/>
  <c r="P78" i="10"/>
  <c r="V77" i="10"/>
  <c r="T77" i="10"/>
  <c r="S77" i="10"/>
  <c r="R77" i="10"/>
  <c r="P77" i="10"/>
  <c r="V76" i="10"/>
  <c r="T76" i="10"/>
  <c r="S76" i="10"/>
  <c r="R76" i="10"/>
  <c r="P76" i="10"/>
  <c r="V75" i="10"/>
  <c r="T75" i="10"/>
  <c r="S75" i="10"/>
  <c r="R75" i="10"/>
  <c r="P75" i="10"/>
  <c r="V74" i="10"/>
  <c r="T74" i="10"/>
  <c r="S74" i="10"/>
  <c r="R74" i="10"/>
  <c r="P74" i="10"/>
  <c r="V73" i="10"/>
  <c r="T73" i="10"/>
  <c r="S73" i="10"/>
  <c r="R73" i="10"/>
  <c r="P73" i="10"/>
  <c r="V72" i="10"/>
  <c r="T72" i="10"/>
  <c r="S72" i="10"/>
  <c r="R72" i="10"/>
  <c r="P72" i="10"/>
  <c r="V71" i="10"/>
  <c r="T71" i="10"/>
  <c r="S71" i="10"/>
  <c r="R71" i="10"/>
  <c r="P71" i="10"/>
  <c r="V70" i="10"/>
  <c r="T70" i="10"/>
  <c r="S70" i="10"/>
  <c r="R70" i="10"/>
  <c r="P70" i="10"/>
  <c r="V69" i="10"/>
  <c r="T69" i="10"/>
  <c r="S69" i="10"/>
  <c r="R69" i="10"/>
  <c r="P69" i="10"/>
  <c r="V68" i="10"/>
  <c r="T68" i="10"/>
  <c r="S68" i="10"/>
  <c r="R68" i="10"/>
  <c r="P68" i="10"/>
  <c r="V67" i="10"/>
  <c r="T67" i="10"/>
  <c r="S67" i="10"/>
  <c r="R67" i="10"/>
  <c r="P67" i="10"/>
  <c r="V66" i="10"/>
  <c r="T66" i="10"/>
  <c r="S66" i="10"/>
  <c r="R66" i="10"/>
  <c r="P66" i="10"/>
  <c r="V65" i="10"/>
  <c r="T65" i="10"/>
  <c r="S65" i="10"/>
  <c r="R65" i="10"/>
  <c r="P65" i="10"/>
  <c r="V64" i="10"/>
  <c r="T64" i="10"/>
  <c r="S64" i="10"/>
  <c r="R64" i="10"/>
  <c r="P64" i="10"/>
  <c r="V63" i="10"/>
  <c r="T63" i="10"/>
  <c r="S63" i="10"/>
  <c r="R63" i="10"/>
  <c r="P63" i="10"/>
  <c r="V62" i="10"/>
  <c r="T62" i="10"/>
  <c r="S62" i="10"/>
  <c r="R62" i="10"/>
  <c r="P62" i="10"/>
  <c r="V61" i="10"/>
  <c r="T61" i="10"/>
  <c r="S61" i="10"/>
  <c r="R61" i="10"/>
  <c r="P61" i="10"/>
  <c r="V60" i="10"/>
  <c r="T60" i="10"/>
  <c r="S60" i="10"/>
  <c r="R60" i="10"/>
  <c r="P60" i="10"/>
  <c r="V59" i="10"/>
  <c r="T59" i="10"/>
  <c r="S59" i="10"/>
  <c r="R59" i="10"/>
  <c r="P59" i="10"/>
  <c r="V58" i="10"/>
  <c r="T58" i="10"/>
  <c r="S58" i="10"/>
  <c r="R58" i="10"/>
  <c r="P58" i="10"/>
  <c r="V57" i="10"/>
  <c r="T57" i="10"/>
  <c r="S57" i="10"/>
  <c r="R57" i="10"/>
  <c r="P57" i="10"/>
  <c r="V56" i="10"/>
  <c r="T56" i="10"/>
  <c r="S56" i="10"/>
  <c r="R56" i="10"/>
  <c r="P56" i="10"/>
  <c r="V55" i="10"/>
  <c r="T55" i="10"/>
  <c r="S55" i="10"/>
  <c r="R55" i="10"/>
  <c r="P55" i="10"/>
  <c r="V54" i="10"/>
  <c r="T54" i="10"/>
  <c r="S54" i="10"/>
  <c r="R54" i="10"/>
  <c r="P54" i="10"/>
  <c r="V53" i="10"/>
  <c r="T53" i="10"/>
  <c r="S53" i="10"/>
  <c r="R53" i="10"/>
  <c r="P53" i="10"/>
  <c r="V52" i="10"/>
  <c r="T52" i="10"/>
  <c r="S52" i="10"/>
  <c r="R52" i="10"/>
  <c r="P52" i="10"/>
  <c r="V51" i="10"/>
  <c r="T51" i="10"/>
  <c r="S51" i="10"/>
  <c r="R51" i="10"/>
  <c r="P51" i="10"/>
  <c r="V50" i="10"/>
  <c r="T50" i="10"/>
  <c r="S50" i="10"/>
  <c r="R50" i="10"/>
  <c r="P50" i="10"/>
  <c r="V49" i="10"/>
  <c r="T49" i="10"/>
  <c r="S49" i="10"/>
  <c r="R49" i="10"/>
  <c r="P49" i="10"/>
  <c r="V48" i="10"/>
  <c r="T48" i="10"/>
  <c r="S48" i="10"/>
  <c r="R48" i="10"/>
  <c r="P48" i="10"/>
  <c r="V47" i="10"/>
  <c r="T47" i="10"/>
  <c r="S47" i="10"/>
  <c r="R47" i="10"/>
  <c r="P47" i="10"/>
  <c r="V46" i="10"/>
  <c r="T46" i="10"/>
  <c r="S46" i="10"/>
  <c r="R46" i="10"/>
  <c r="P46" i="10"/>
  <c r="V45" i="10"/>
  <c r="T45" i="10"/>
  <c r="S45" i="10"/>
  <c r="R45" i="10"/>
  <c r="P45" i="10"/>
  <c r="V14" i="10"/>
  <c r="T14" i="10"/>
  <c r="S14" i="10"/>
  <c r="R14" i="10"/>
  <c r="P14" i="10"/>
  <c r="V13" i="10"/>
  <c r="T13" i="10"/>
  <c r="S13" i="10"/>
  <c r="R13" i="10"/>
  <c r="P13" i="10"/>
  <c r="V12" i="10"/>
  <c r="T12" i="10"/>
  <c r="S12" i="10"/>
  <c r="R12" i="10"/>
  <c r="P12" i="10"/>
  <c r="V11" i="10"/>
  <c r="U11" i="10"/>
  <c r="T11" i="10"/>
  <c r="S11" i="10"/>
  <c r="R11" i="10"/>
  <c r="P11" i="10"/>
  <c r="V10" i="10"/>
  <c r="U10" i="10"/>
  <c r="T10" i="10"/>
  <c r="S10" i="10"/>
  <c r="R10" i="10"/>
  <c r="P10" i="10"/>
  <c r="V9" i="10"/>
  <c r="U9" i="10"/>
  <c r="T9" i="10"/>
  <c r="S9" i="10"/>
  <c r="R9" i="10"/>
  <c r="P9" i="10"/>
  <c r="V8" i="10"/>
  <c r="U8" i="10"/>
  <c r="T8" i="10"/>
  <c r="S8" i="10"/>
  <c r="R8" i="10"/>
  <c r="P8" i="10"/>
  <c r="V7" i="10"/>
  <c r="U7" i="10"/>
  <c r="T7" i="10"/>
  <c r="S7" i="10"/>
  <c r="R7" i="10"/>
  <c r="P7" i="10"/>
  <c r="V6" i="10"/>
  <c r="U6" i="10"/>
  <c r="T6" i="10"/>
  <c r="S6" i="10"/>
  <c r="R6" i="10"/>
  <c r="P6" i="10"/>
  <c r="V5" i="10"/>
  <c r="U5" i="10"/>
  <c r="T5" i="10"/>
  <c r="S5" i="10"/>
  <c r="R5" i="10"/>
  <c r="Q5" i="10"/>
  <c r="P5" i="10"/>
  <c r="V4" i="10"/>
  <c r="U4" i="10"/>
  <c r="T4" i="10"/>
  <c r="S4" i="10"/>
  <c r="R4" i="10"/>
  <c r="Q4" i="10"/>
  <c r="P4" i="10"/>
  <c r="V3" i="10"/>
  <c r="U3" i="10"/>
  <c r="T3" i="10"/>
  <c r="S3" i="10"/>
  <c r="R3" i="10"/>
  <c r="Q3" i="10"/>
  <c r="P3" i="10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V103" i="9"/>
  <c r="T103" i="9"/>
  <c r="S103" i="9"/>
  <c r="R103" i="9"/>
  <c r="P103" i="9"/>
  <c r="V102" i="9"/>
  <c r="T102" i="9"/>
  <c r="S102" i="9"/>
  <c r="R102" i="9"/>
  <c r="P102" i="9"/>
  <c r="V101" i="9"/>
  <c r="T101" i="9"/>
  <c r="S101" i="9"/>
  <c r="R101" i="9"/>
  <c r="P101" i="9"/>
  <c r="V100" i="9"/>
  <c r="T100" i="9"/>
  <c r="S100" i="9"/>
  <c r="R100" i="9"/>
  <c r="P100" i="9"/>
  <c r="V99" i="9"/>
  <c r="T99" i="9"/>
  <c r="S99" i="9"/>
  <c r="R99" i="9"/>
  <c r="P99" i="9"/>
  <c r="V98" i="9"/>
  <c r="T98" i="9"/>
  <c r="S98" i="9"/>
  <c r="R98" i="9"/>
  <c r="P98" i="9"/>
  <c r="V97" i="9"/>
  <c r="T97" i="9"/>
  <c r="S97" i="9"/>
  <c r="R97" i="9"/>
  <c r="P97" i="9"/>
  <c r="V96" i="9"/>
  <c r="T96" i="9"/>
  <c r="S96" i="9"/>
  <c r="R96" i="9"/>
  <c r="P96" i="9"/>
  <c r="V95" i="9"/>
  <c r="T95" i="9"/>
  <c r="S95" i="9"/>
  <c r="R95" i="9"/>
  <c r="P95" i="9"/>
  <c r="V94" i="9"/>
  <c r="T94" i="9"/>
  <c r="S94" i="9"/>
  <c r="R94" i="9"/>
  <c r="P94" i="9"/>
  <c r="V93" i="9"/>
  <c r="T93" i="9"/>
  <c r="S93" i="9"/>
  <c r="R93" i="9"/>
  <c r="P93" i="9"/>
  <c r="V92" i="9"/>
  <c r="T92" i="9"/>
  <c r="S92" i="9"/>
  <c r="R92" i="9"/>
  <c r="P92" i="9"/>
  <c r="V91" i="9"/>
  <c r="T91" i="9"/>
  <c r="S91" i="9"/>
  <c r="R91" i="9"/>
  <c r="P91" i="9"/>
  <c r="V90" i="9"/>
  <c r="T90" i="9"/>
  <c r="S90" i="9"/>
  <c r="R90" i="9"/>
  <c r="P90" i="9"/>
  <c r="V89" i="9"/>
  <c r="T89" i="9"/>
  <c r="S89" i="9"/>
  <c r="R89" i="9"/>
  <c r="P89" i="9"/>
  <c r="V88" i="9"/>
  <c r="T88" i="9"/>
  <c r="S88" i="9"/>
  <c r="R88" i="9"/>
  <c r="P88" i="9"/>
  <c r="V87" i="9"/>
  <c r="T87" i="9"/>
  <c r="S87" i="9"/>
  <c r="R87" i="9"/>
  <c r="P87" i="9"/>
  <c r="V86" i="9"/>
  <c r="T86" i="9"/>
  <c r="S86" i="9"/>
  <c r="R86" i="9"/>
  <c r="P86" i="9"/>
  <c r="V85" i="9"/>
  <c r="T85" i="9"/>
  <c r="S85" i="9"/>
  <c r="R85" i="9"/>
  <c r="P85" i="9"/>
  <c r="V84" i="9"/>
  <c r="T84" i="9"/>
  <c r="S84" i="9"/>
  <c r="R84" i="9"/>
  <c r="P84" i="9"/>
  <c r="V83" i="9"/>
  <c r="T83" i="9"/>
  <c r="S83" i="9"/>
  <c r="R83" i="9"/>
  <c r="P83" i="9"/>
  <c r="V82" i="9"/>
  <c r="T82" i="9"/>
  <c r="S82" i="9"/>
  <c r="R82" i="9"/>
  <c r="P82" i="9"/>
  <c r="V81" i="9"/>
  <c r="T81" i="9"/>
  <c r="S81" i="9"/>
  <c r="R81" i="9"/>
  <c r="P81" i="9"/>
  <c r="V80" i="9"/>
  <c r="T80" i="9"/>
  <c r="S80" i="9"/>
  <c r="R80" i="9"/>
  <c r="P80" i="9"/>
  <c r="V79" i="9"/>
  <c r="T79" i="9"/>
  <c r="S79" i="9"/>
  <c r="R79" i="9"/>
  <c r="P79" i="9"/>
  <c r="V78" i="9"/>
  <c r="T78" i="9"/>
  <c r="S78" i="9"/>
  <c r="R78" i="9"/>
  <c r="P78" i="9"/>
  <c r="V77" i="9"/>
  <c r="T77" i="9"/>
  <c r="S77" i="9"/>
  <c r="R77" i="9"/>
  <c r="P77" i="9"/>
  <c r="V76" i="9"/>
  <c r="T76" i="9"/>
  <c r="S76" i="9"/>
  <c r="R76" i="9"/>
  <c r="P76" i="9"/>
  <c r="V75" i="9"/>
  <c r="T75" i="9"/>
  <c r="S75" i="9"/>
  <c r="R75" i="9"/>
  <c r="P75" i="9"/>
  <c r="V74" i="9"/>
  <c r="T74" i="9"/>
  <c r="S74" i="9"/>
  <c r="R74" i="9"/>
  <c r="P74" i="9"/>
  <c r="V73" i="9"/>
  <c r="T73" i="9"/>
  <c r="S73" i="9"/>
  <c r="R73" i="9"/>
  <c r="P73" i="9"/>
  <c r="V72" i="9"/>
  <c r="T72" i="9"/>
  <c r="S72" i="9"/>
  <c r="R72" i="9"/>
  <c r="P72" i="9"/>
  <c r="V71" i="9"/>
  <c r="T71" i="9"/>
  <c r="S71" i="9"/>
  <c r="R71" i="9"/>
  <c r="P71" i="9"/>
  <c r="V70" i="9"/>
  <c r="T70" i="9"/>
  <c r="S70" i="9"/>
  <c r="R70" i="9"/>
  <c r="P70" i="9"/>
  <c r="V69" i="9"/>
  <c r="T69" i="9"/>
  <c r="S69" i="9"/>
  <c r="R69" i="9"/>
  <c r="P69" i="9"/>
  <c r="V68" i="9"/>
  <c r="T68" i="9"/>
  <c r="S68" i="9"/>
  <c r="R68" i="9"/>
  <c r="P68" i="9"/>
  <c r="V67" i="9"/>
  <c r="T67" i="9"/>
  <c r="S67" i="9"/>
  <c r="R67" i="9"/>
  <c r="P67" i="9"/>
  <c r="V66" i="9"/>
  <c r="T66" i="9"/>
  <c r="S66" i="9"/>
  <c r="R66" i="9"/>
  <c r="P66" i="9"/>
  <c r="V65" i="9"/>
  <c r="T65" i="9"/>
  <c r="S65" i="9"/>
  <c r="R65" i="9"/>
  <c r="P65" i="9"/>
  <c r="V64" i="9"/>
  <c r="T64" i="9"/>
  <c r="S64" i="9"/>
  <c r="R64" i="9"/>
  <c r="P64" i="9"/>
  <c r="V63" i="9"/>
  <c r="T63" i="9"/>
  <c r="S63" i="9"/>
  <c r="R63" i="9"/>
  <c r="P63" i="9"/>
  <c r="V62" i="9"/>
  <c r="T62" i="9"/>
  <c r="S62" i="9"/>
  <c r="R62" i="9"/>
  <c r="P62" i="9"/>
  <c r="V61" i="9"/>
  <c r="T61" i="9"/>
  <c r="S61" i="9"/>
  <c r="R61" i="9"/>
  <c r="P61" i="9"/>
  <c r="V60" i="9"/>
  <c r="T60" i="9"/>
  <c r="S60" i="9"/>
  <c r="R60" i="9"/>
  <c r="P60" i="9"/>
  <c r="V59" i="9"/>
  <c r="T59" i="9"/>
  <c r="S59" i="9"/>
  <c r="R59" i="9"/>
  <c r="P59" i="9"/>
  <c r="V58" i="9"/>
  <c r="T58" i="9"/>
  <c r="S58" i="9"/>
  <c r="R58" i="9"/>
  <c r="P58" i="9"/>
  <c r="V57" i="9"/>
  <c r="T57" i="9"/>
  <c r="S57" i="9"/>
  <c r="R57" i="9"/>
  <c r="P57" i="9"/>
  <c r="V56" i="9"/>
  <c r="T56" i="9"/>
  <c r="S56" i="9"/>
  <c r="R56" i="9"/>
  <c r="P56" i="9"/>
  <c r="V55" i="9"/>
  <c r="T55" i="9"/>
  <c r="S55" i="9"/>
  <c r="R55" i="9"/>
  <c r="P55" i="9"/>
  <c r="V54" i="9"/>
  <c r="T54" i="9"/>
  <c r="S54" i="9"/>
  <c r="R54" i="9"/>
  <c r="P54" i="9"/>
  <c r="V53" i="9"/>
  <c r="T53" i="9"/>
  <c r="S53" i="9"/>
  <c r="R53" i="9"/>
  <c r="P53" i="9"/>
  <c r="V52" i="9"/>
  <c r="T52" i="9"/>
  <c r="S52" i="9"/>
  <c r="R52" i="9"/>
  <c r="P52" i="9"/>
  <c r="V51" i="9"/>
  <c r="T51" i="9"/>
  <c r="S51" i="9"/>
  <c r="R51" i="9"/>
  <c r="P51" i="9"/>
  <c r="V50" i="9"/>
  <c r="T50" i="9"/>
  <c r="S50" i="9"/>
  <c r="R50" i="9"/>
  <c r="P50" i="9"/>
  <c r="V49" i="9"/>
  <c r="T49" i="9"/>
  <c r="S49" i="9"/>
  <c r="R49" i="9"/>
  <c r="P49" i="9"/>
  <c r="V48" i="9"/>
  <c r="T48" i="9"/>
  <c r="S48" i="9"/>
  <c r="R48" i="9"/>
  <c r="P48" i="9"/>
  <c r="V47" i="9"/>
  <c r="T47" i="9"/>
  <c r="S47" i="9"/>
  <c r="R47" i="9"/>
  <c r="P47" i="9"/>
  <c r="V46" i="9"/>
  <c r="T46" i="9"/>
  <c r="S46" i="9"/>
  <c r="R46" i="9"/>
  <c r="P46" i="9"/>
  <c r="V45" i="9"/>
  <c r="T45" i="9"/>
  <c r="S45" i="9"/>
  <c r="R45" i="9"/>
  <c r="P45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V14" i="9"/>
  <c r="T14" i="9"/>
  <c r="S14" i="9"/>
  <c r="R14" i="9"/>
  <c r="Q14" i="9"/>
  <c r="P14" i="9"/>
  <c r="V13" i="9"/>
  <c r="T13" i="9"/>
  <c r="S13" i="9"/>
  <c r="R13" i="9"/>
  <c r="Q13" i="9"/>
  <c r="P13" i="9"/>
  <c r="V12" i="9"/>
  <c r="T12" i="9"/>
  <c r="S12" i="9"/>
  <c r="R12" i="9"/>
  <c r="Q12" i="9"/>
  <c r="P12" i="9"/>
  <c r="V11" i="9"/>
  <c r="U11" i="9"/>
  <c r="T11" i="9"/>
  <c r="S11" i="9"/>
  <c r="R11" i="9"/>
  <c r="Q11" i="9"/>
  <c r="P11" i="9"/>
  <c r="V10" i="9"/>
  <c r="U10" i="9"/>
  <c r="T10" i="9"/>
  <c r="S10" i="9"/>
  <c r="R10" i="9"/>
  <c r="Q10" i="9"/>
  <c r="P10" i="9"/>
  <c r="V9" i="9"/>
  <c r="U9" i="9"/>
  <c r="T9" i="9"/>
  <c r="S9" i="9"/>
  <c r="R9" i="9"/>
  <c r="Q9" i="9"/>
  <c r="P9" i="9"/>
  <c r="V8" i="9"/>
  <c r="U8" i="9"/>
  <c r="T8" i="9"/>
  <c r="S8" i="9"/>
  <c r="R8" i="9"/>
  <c r="Q8" i="9"/>
  <c r="P8" i="9"/>
  <c r="V7" i="9"/>
  <c r="U7" i="9"/>
  <c r="T7" i="9"/>
  <c r="S7" i="9"/>
  <c r="R7" i="9"/>
  <c r="Q7" i="9"/>
  <c r="P7" i="9"/>
  <c r="V6" i="9"/>
  <c r="U6" i="9"/>
  <c r="T6" i="9"/>
  <c r="S6" i="9"/>
  <c r="R6" i="9"/>
  <c r="Q6" i="9"/>
  <c r="P6" i="9"/>
  <c r="V5" i="9"/>
  <c r="U5" i="9"/>
  <c r="T5" i="9"/>
  <c r="S5" i="9"/>
  <c r="R5" i="9"/>
  <c r="Q5" i="9"/>
  <c r="P5" i="9"/>
  <c r="V4" i="9"/>
  <c r="U4" i="9"/>
  <c r="T4" i="9"/>
  <c r="S4" i="9"/>
  <c r="R4" i="9"/>
  <c r="Q4" i="9"/>
  <c r="P4" i="9"/>
  <c r="V3" i="9"/>
  <c r="U3" i="9"/>
  <c r="T3" i="9"/>
  <c r="S3" i="9"/>
  <c r="R3" i="9"/>
  <c r="Q3" i="9"/>
  <c r="P3" i="9"/>
  <c r="V103" i="8"/>
  <c r="T103" i="8"/>
  <c r="S103" i="8"/>
  <c r="R103" i="8"/>
  <c r="Q103" i="8"/>
  <c r="P103" i="8"/>
  <c r="V102" i="8"/>
  <c r="T102" i="8"/>
  <c r="S102" i="8"/>
  <c r="R102" i="8"/>
  <c r="Q102" i="8"/>
  <c r="P102" i="8"/>
  <c r="V101" i="8"/>
  <c r="T101" i="8"/>
  <c r="S101" i="8"/>
  <c r="R101" i="8"/>
  <c r="Q101" i="8"/>
  <c r="P101" i="8"/>
  <c r="V100" i="8"/>
  <c r="T100" i="8"/>
  <c r="S100" i="8"/>
  <c r="R100" i="8"/>
  <c r="Q100" i="8"/>
  <c r="P100" i="8"/>
  <c r="V99" i="8"/>
  <c r="T99" i="8"/>
  <c r="S99" i="8"/>
  <c r="R99" i="8"/>
  <c r="Q99" i="8"/>
  <c r="P99" i="8"/>
  <c r="V98" i="8"/>
  <c r="T98" i="8"/>
  <c r="S98" i="8"/>
  <c r="R98" i="8"/>
  <c r="Q98" i="8"/>
  <c r="P98" i="8"/>
  <c r="V97" i="8"/>
  <c r="T97" i="8"/>
  <c r="S97" i="8"/>
  <c r="R97" i="8"/>
  <c r="Q97" i="8"/>
  <c r="P97" i="8"/>
  <c r="V96" i="8"/>
  <c r="T96" i="8"/>
  <c r="S96" i="8"/>
  <c r="R96" i="8"/>
  <c r="Q96" i="8"/>
  <c r="P96" i="8"/>
  <c r="V95" i="8"/>
  <c r="T95" i="8"/>
  <c r="S95" i="8"/>
  <c r="R95" i="8"/>
  <c r="Q95" i="8"/>
  <c r="P95" i="8"/>
  <c r="V94" i="8"/>
  <c r="T94" i="8"/>
  <c r="S94" i="8"/>
  <c r="R94" i="8"/>
  <c r="Q94" i="8"/>
  <c r="P94" i="8"/>
  <c r="V93" i="8"/>
  <c r="T93" i="8"/>
  <c r="S93" i="8"/>
  <c r="R93" i="8"/>
  <c r="Q93" i="8"/>
  <c r="P93" i="8"/>
  <c r="V92" i="8"/>
  <c r="T92" i="8"/>
  <c r="S92" i="8"/>
  <c r="R92" i="8"/>
  <c r="Q92" i="8"/>
  <c r="P92" i="8"/>
  <c r="V91" i="8"/>
  <c r="T91" i="8"/>
  <c r="S91" i="8"/>
  <c r="R91" i="8"/>
  <c r="Q91" i="8"/>
  <c r="P91" i="8"/>
  <c r="V90" i="8"/>
  <c r="T90" i="8"/>
  <c r="S90" i="8"/>
  <c r="R90" i="8"/>
  <c r="Q90" i="8"/>
  <c r="P90" i="8"/>
  <c r="V89" i="8"/>
  <c r="T89" i="8"/>
  <c r="S89" i="8"/>
  <c r="R89" i="8"/>
  <c r="Q89" i="8"/>
  <c r="P89" i="8"/>
  <c r="V88" i="8"/>
  <c r="T88" i="8"/>
  <c r="S88" i="8"/>
  <c r="R88" i="8"/>
  <c r="Q88" i="8"/>
  <c r="P88" i="8"/>
  <c r="V87" i="8"/>
  <c r="T87" i="8"/>
  <c r="S87" i="8"/>
  <c r="R87" i="8"/>
  <c r="Q87" i="8"/>
  <c r="P87" i="8"/>
  <c r="V86" i="8"/>
  <c r="T86" i="8"/>
  <c r="S86" i="8"/>
  <c r="R86" i="8"/>
  <c r="Q86" i="8"/>
  <c r="P86" i="8"/>
  <c r="V85" i="8"/>
  <c r="T85" i="8"/>
  <c r="S85" i="8"/>
  <c r="R85" i="8"/>
  <c r="Q85" i="8"/>
  <c r="P85" i="8"/>
  <c r="V84" i="8"/>
  <c r="T84" i="8"/>
  <c r="S84" i="8"/>
  <c r="R84" i="8"/>
  <c r="Q84" i="8"/>
  <c r="P84" i="8"/>
  <c r="V83" i="8"/>
  <c r="T83" i="8"/>
  <c r="S83" i="8"/>
  <c r="R83" i="8"/>
  <c r="Q83" i="8"/>
  <c r="P83" i="8"/>
  <c r="V82" i="8"/>
  <c r="T82" i="8"/>
  <c r="S82" i="8"/>
  <c r="R82" i="8"/>
  <c r="Q82" i="8"/>
  <c r="P82" i="8"/>
  <c r="V81" i="8"/>
  <c r="T81" i="8"/>
  <c r="S81" i="8"/>
  <c r="R81" i="8"/>
  <c r="Q81" i="8"/>
  <c r="P81" i="8"/>
  <c r="V80" i="8"/>
  <c r="T80" i="8"/>
  <c r="S80" i="8"/>
  <c r="R80" i="8"/>
  <c r="Q80" i="8"/>
  <c r="P80" i="8"/>
  <c r="V79" i="8"/>
  <c r="T79" i="8"/>
  <c r="S79" i="8"/>
  <c r="R79" i="8"/>
  <c r="Q79" i="8"/>
  <c r="P79" i="8"/>
  <c r="V78" i="8"/>
  <c r="T78" i="8"/>
  <c r="S78" i="8"/>
  <c r="R78" i="8"/>
  <c r="Q78" i="8"/>
  <c r="P78" i="8"/>
  <c r="V77" i="8"/>
  <c r="T77" i="8"/>
  <c r="S77" i="8"/>
  <c r="R77" i="8"/>
  <c r="Q77" i="8"/>
  <c r="P77" i="8"/>
  <c r="V76" i="8"/>
  <c r="T76" i="8"/>
  <c r="S76" i="8"/>
  <c r="R76" i="8"/>
  <c r="Q76" i="8"/>
  <c r="P76" i="8"/>
  <c r="V75" i="8"/>
  <c r="T75" i="8"/>
  <c r="S75" i="8"/>
  <c r="R75" i="8"/>
  <c r="Q75" i="8"/>
  <c r="P75" i="8"/>
  <c r="V74" i="8"/>
  <c r="T74" i="8"/>
  <c r="S74" i="8"/>
  <c r="R74" i="8"/>
  <c r="Q74" i="8"/>
  <c r="P74" i="8"/>
  <c r="V73" i="8"/>
  <c r="T73" i="8"/>
  <c r="S73" i="8"/>
  <c r="R73" i="8"/>
  <c r="Q73" i="8"/>
  <c r="P73" i="8"/>
  <c r="V72" i="8"/>
  <c r="T72" i="8"/>
  <c r="S72" i="8"/>
  <c r="R72" i="8"/>
  <c r="Q72" i="8"/>
  <c r="P72" i="8"/>
  <c r="V71" i="8"/>
  <c r="T71" i="8"/>
  <c r="S71" i="8"/>
  <c r="R71" i="8"/>
  <c r="Q71" i="8"/>
  <c r="P71" i="8"/>
  <c r="V70" i="8"/>
  <c r="T70" i="8"/>
  <c r="S70" i="8"/>
  <c r="R70" i="8"/>
  <c r="Q70" i="8"/>
  <c r="P70" i="8"/>
  <c r="V69" i="8"/>
  <c r="T69" i="8"/>
  <c r="S69" i="8"/>
  <c r="R69" i="8"/>
  <c r="Q69" i="8"/>
  <c r="P69" i="8"/>
  <c r="V68" i="8"/>
  <c r="T68" i="8"/>
  <c r="S68" i="8"/>
  <c r="R68" i="8"/>
  <c r="Q68" i="8"/>
  <c r="P68" i="8"/>
  <c r="V67" i="8"/>
  <c r="T67" i="8"/>
  <c r="S67" i="8"/>
  <c r="R67" i="8"/>
  <c r="Q67" i="8"/>
  <c r="P67" i="8"/>
  <c r="V66" i="8"/>
  <c r="T66" i="8"/>
  <c r="S66" i="8"/>
  <c r="R66" i="8"/>
  <c r="Q66" i="8"/>
  <c r="P66" i="8"/>
  <c r="V65" i="8"/>
  <c r="T65" i="8"/>
  <c r="S65" i="8"/>
  <c r="R65" i="8"/>
  <c r="Q65" i="8"/>
  <c r="P65" i="8"/>
  <c r="V64" i="8"/>
  <c r="T64" i="8"/>
  <c r="S64" i="8"/>
  <c r="R64" i="8"/>
  <c r="Q64" i="8"/>
  <c r="P64" i="8"/>
  <c r="V63" i="8"/>
  <c r="T63" i="8"/>
  <c r="S63" i="8"/>
  <c r="R63" i="8"/>
  <c r="Q63" i="8"/>
  <c r="P63" i="8"/>
  <c r="V62" i="8"/>
  <c r="T62" i="8"/>
  <c r="S62" i="8"/>
  <c r="R62" i="8"/>
  <c r="Q62" i="8"/>
  <c r="P62" i="8"/>
  <c r="V61" i="8"/>
  <c r="T61" i="8"/>
  <c r="S61" i="8"/>
  <c r="R61" i="8"/>
  <c r="Q61" i="8"/>
  <c r="P61" i="8"/>
  <c r="V60" i="8"/>
  <c r="T60" i="8"/>
  <c r="S60" i="8"/>
  <c r="R60" i="8"/>
  <c r="Q60" i="8"/>
  <c r="P60" i="8"/>
  <c r="V59" i="8"/>
  <c r="T59" i="8"/>
  <c r="S59" i="8"/>
  <c r="R59" i="8"/>
  <c r="Q59" i="8"/>
  <c r="P59" i="8"/>
  <c r="V58" i="8"/>
  <c r="T58" i="8"/>
  <c r="S58" i="8"/>
  <c r="R58" i="8"/>
  <c r="Q58" i="8"/>
  <c r="P58" i="8"/>
  <c r="V57" i="8"/>
  <c r="T57" i="8"/>
  <c r="S57" i="8"/>
  <c r="R57" i="8"/>
  <c r="Q57" i="8"/>
  <c r="P57" i="8"/>
  <c r="V56" i="8"/>
  <c r="T56" i="8"/>
  <c r="S56" i="8"/>
  <c r="R56" i="8"/>
  <c r="Q56" i="8"/>
  <c r="P56" i="8"/>
  <c r="V55" i="8"/>
  <c r="T55" i="8"/>
  <c r="S55" i="8"/>
  <c r="R55" i="8"/>
  <c r="Q55" i="8"/>
  <c r="P55" i="8"/>
  <c r="V54" i="8"/>
  <c r="T54" i="8"/>
  <c r="S54" i="8"/>
  <c r="R54" i="8"/>
  <c r="Q54" i="8"/>
  <c r="P54" i="8"/>
  <c r="V53" i="8"/>
  <c r="T53" i="8"/>
  <c r="S53" i="8"/>
  <c r="R53" i="8"/>
  <c r="Q53" i="8"/>
  <c r="P53" i="8"/>
  <c r="V52" i="8"/>
  <c r="T52" i="8"/>
  <c r="S52" i="8"/>
  <c r="R52" i="8"/>
  <c r="Q52" i="8"/>
  <c r="P52" i="8"/>
  <c r="V51" i="8"/>
  <c r="T51" i="8"/>
  <c r="S51" i="8"/>
  <c r="R51" i="8"/>
  <c r="Q51" i="8"/>
  <c r="P51" i="8"/>
  <c r="V50" i="8"/>
  <c r="T50" i="8"/>
  <c r="S50" i="8"/>
  <c r="R50" i="8"/>
  <c r="Q50" i="8"/>
  <c r="P50" i="8"/>
  <c r="V49" i="8"/>
  <c r="T49" i="8"/>
  <c r="S49" i="8"/>
  <c r="R49" i="8"/>
  <c r="Q49" i="8"/>
  <c r="P49" i="8"/>
  <c r="V48" i="8"/>
  <c r="T48" i="8"/>
  <c r="S48" i="8"/>
  <c r="R48" i="8"/>
  <c r="Q48" i="8"/>
  <c r="P48" i="8"/>
  <c r="V47" i="8"/>
  <c r="T47" i="8"/>
  <c r="S47" i="8"/>
  <c r="R47" i="8"/>
  <c r="Q47" i="8"/>
  <c r="P47" i="8"/>
  <c r="V46" i="8"/>
  <c r="T46" i="8"/>
  <c r="S46" i="8"/>
  <c r="R46" i="8"/>
  <c r="Q46" i="8"/>
  <c r="P46" i="8"/>
  <c r="V45" i="8"/>
  <c r="T45" i="8"/>
  <c r="S45" i="8"/>
  <c r="R45" i="8"/>
  <c r="Q45" i="8"/>
  <c r="P45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V14" i="8"/>
  <c r="T14" i="8"/>
  <c r="S14" i="8"/>
  <c r="R14" i="8"/>
  <c r="Q14" i="8"/>
  <c r="P14" i="8"/>
  <c r="V13" i="8"/>
  <c r="T13" i="8"/>
  <c r="S13" i="8"/>
  <c r="R13" i="8"/>
  <c r="Q13" i="8"/>
  <c r="P13" i="8"/>
  <c r="V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V7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4" i="8"/>
  <c r="U4" i="8"/>
  <c r="T4" i="8"/>
  <c r="S4" i="8"/>
  <c r="R4" i="8"/>
  <c r="Q4" i="8"/>
  <c r="P4" i="8"/>
  <c r="V3" i="8"/>
  <c r="U3" i="8"/>
  <c r="T3" i="8"/>
  <c r="S3" i="8"/>
  <c r="R3" i="8"/>
  <c r="Q3" i="8"/>
  <c r="P3" i="8"/>
  <c r="V103" i="7"/>
  <c r="T103" i="7"/>
  <c r="S103" i="7"/>
  <c r="R103" i="7"/>
  <c r="Q103" i="7"/>
  <c r="P103" i="7"/>
  <c r="V102" i="7"/>
  <c r="T102" i="7"/>
  <c r="S102" i="7"/>
  <c r="R102" i="7"/>
  <c r="Q102" i="7"/>
  <c r="P102" i="7"/>
  <c r="V101" i="7"/>
  <c r="T101" i="7"/>
  <c r="S101" i="7"/>
  <c r="R101" i="7"/>
  <c r="Q101" i="7"/>
  <c r="P101" i="7"/>
  <c r="V100" i="7"/>
  <c r="T100" i="7"/>
  <c r="S100" i="7"/>
  <c r="R100" i="7"/>
  <c r="Q100" i="7"/>
  <c r="P100" i="7"/>
  <c r="V99" i="7"/>
  <c r="T99" i="7"/>
  <c r="S99" i="7"/>
  <c r="R99" i="7"/>
  <c r="Q99" i="7"/>
  <c r="P99" i="7"/>
  <c r="V98" i="7"/>
  <c r="T98" i="7"/>
  <c r="S98" i="7"/>
  <c r="R98" i="7"/>
  <c r="Q98" i="7"/>
  <c r="P98" i="7"/>
  <c r="V97" i="7"/>
  <c r="T97" i="7"/>
  <c r="S97" i="7"/>
  <c r="R97" i="7"/>
  <c r="Q97" i="7"/>
  <c r="P97" i="7"/>
  <c r="V96" i="7"/>
  <c r="T96" i="7"/>
  <c r="S96" i="7"/>
  <c r="R96" i="7"/>
  <c r="Q96" i="7"/>
  <c r="P96" i="7"/>
  <c r="V95" i="7"/>
  <c r="T95" i="7"/>
  <c r="S95" i="7"/>
  <c r="R95" i="7"/>
  <c r="Q95" i="7"/>
  <c r="P95" i="7"/>
  <c r="V94" i="7"/>
  <c r="T94" i="7"/>
  <c r="S94" i="7"/>
  <c r="R94" i="7"/>
  <c r="Q94" i="7"/>
  <c r="P94" i="7"/>
  <c r="V93" i="7"/>
  <c r="T93" i="7"/>
  <c r="S93" i="7"/>
  <c r="R93" i="7"/>
  <c r="Q93" i="7"/>
  <c r="P93" i="7"/>
  <c r="V92" i="7"/>
  <c r="T92" i="7"/>
  <c r="S92" i="7"/>
  <c r="R92" i="7"/>
  <c r="Q92" i="7"/>
  <c r="P92" i="7"/>
  <c r="V91" i="7"/>
  <c r="T91" i="7"/>
  <c r="S91" i="7"/>
  <c r="R91" i="7"/>
  <c r="Q91" i="7"/>
  <c r="P91" i="7"/>
  <c r="V90" i="7"/>
  <c r="T90" i="7"/>
  <c r="S90" i="7"/>
  <c r="R90" i="7"/>
  <c r="Q90" i="7"/>
  <c r="P90" i="7"/>
  <c r="V89" i="7"/>
  <c r="T89" i="7"/>
  <c r="S89" i="7"/>
  <c r="R89" i="7"/>
  <c r="Q89" i="7"/>
  <c r="P89" i="7"/>
  <c r="V88" i="7"/>
  <c r="T88" i="7"/>
  <c r="S88" i="7"/>
  <c r="R88" i="7"/>
  <c r="Q88" i="7"/>
  <c r="P88" i="7"/>
  <c r="V87" i="7"/>
  <c r="T87" i="7"/>
  <c r="S87" i="7"/>
  <c r="R87" i="7"/>
  <c r="Q87" i="7"/>
  <c r="P87" i="7"/>
  <c r="V86" i="7"/>
  <c r="T86" i="7"/>
  <c r="S86" i="7"/>
  <c r="R86" i="7"/>
  <c r="Q86" i="7"/>
  <c r="P86" i="7"/>
  <c r="V85" i="7"/>
  <c r="T85" i="7"/>
  <c r="S85" i="7"/>
  <c r="R85" i="7"/>
  <c r="Q85" i="7"/>
  <c r="P85" i="7"/>
  <c r="V84" i="7"/>
  <c r="T84" i="7"/>
  <c r="S84" i="7"/>
  <c r="R84" i="7"/>
  <c r="Q84" i="7"/>
  <c r="P84" i="7"/>
  <c r="V83" i="7"/>
  <c r="T83" i="7"/>
  <c r="S83" i="7"/>
  <c r="R83" i="7"/>
  <c r="Q83" i="7"/>
  <c r="P83" i="7"/>
  <c r="V82" i="7"/>
  <c r="T82" i="7"/>
  <c r="S82" i="7"/>
  <c r="R82" i="7"/>
  <c r="Q82" i="7"/>
  <c r="P82" i="7"/>
  <c r="V81" i="7"/>
  <c r="T81" i="7"/>
  <c r="S81" i="7"/>
  <c r="R81" i="7"/>
  <c r="Q81" i="7"/>
  <c r="P81" i="7"/>
  <c r="V80" i="7"/>
  <c r="T80" i="7"/>
  <c r="S80" i="7"/>
  <c r="R80" i="7"/>
  <c r="Q80" i="7"/>
  <c r="P80" i="7"/>
  <c r="V79" i="7"/>
  <c r="T79" i="7"/>
  <c r="S79" i="7"/>
  <c r="R79" i="7"/>
  <c r="Q79" i="7"/>
  <c r="P79" i="7"/>
  <c r="V78" i="7"/>
  <c r="T78" i="7"/>
  <c r="S78" i="7"/>
  <c r="R78" i="7"/>
  <c r="Q78" i="7"/>
  <c r="P78" i="7"/>
  <c r="V77" i="7"/>
  <c r="T77" i="7"/>
  <c r="S77" i="7"/>
  <c r="R77" i="7"/>
  <c r="Q77" i="7"/>
  <c r="P77" i="7"/>
  <c r="V76" i="7"/>
  <c r="T76" i="7"/>
  <c r="S76" i="7"/>
  <c r="R76" i="7"/>
  <c r="Q76" i="7"/>
  <c r="P76" i="7"/>
  <c r="V75" i="7"/>
  <c r="T75" i="7"/>
  <c r="S75" i="7"/>
  <c r="R75" i="7"/>
  <c r="Q75" i="7"/>
  <c r="P75" i="7"/>
  <c r="V74" i="7"/>
  <c r="T74" i="7"/>
  <c r="S74" i="7"/>
  <c r="R74" i="7"/>
  <c r="Q74" i="7"/>
  <c r="P74" i="7"/>
  <c r="V73" i="7"/>
  <c r="T73" i="7"/>
  <c r="S73" i="7"/>
  <c r="R73" i="7"/>
  <c r="Q73" i="7"/>
  <c r="P73" i="7"/>
  <c r="V72" i="7"/>
  <c r="T72" i="7"/>
  <c r="S72" i="7"/>
  <c r="R72" i="7"/>
  <c r="Q72" i="7"/>
  <c r="P72" i="7"/>
  <c r="V71" i="7"/>
  <c r="T71" i="7"/>
  <c r="S71" i="7"/>
  <c r="R71" i="7"/>
  <c r="Q71" i="7"/>
  <c r="P71" i="7"/>
  <c r="V70" i="7"/>
  <c r="T70" i="7"/>
  <c r="S70" i="7"/>
  <c r="R70" i="7"/>
  <c r="Q70" i="7"/>
  <c r="P70" i="7"/>
  <c r="V69" i="7"/>
  <c r="T69" i="7"/>
  <c r="S69" i="7"/>
  <c r="R69" i="7"/>
  <c r="Q69" i="7"/>
  <c r="P69" i="7"/>
  <c r="V68" i="7"/>
  <c r="T68" i="7"/>
  <c r="S68" i="7"/>
  <c r="R68" i="7"/>
  <c r="Q68" i="7"/>
  <c r="P68" i="7"/>
  <c r="V67" i="7"/>
  <c r="T67" i="7"/>
  <c r="S67" i="7"/>
  <c r="R67" i="7"/>
  <c r="Q67" i="7"/>
  <c r="P67" i="7"/>
  <c r="V66" i="7"/>
  <c r="T66" i="7"/>
  <c r="S66" i="7"/>
  <c r="R66" i="7"/>
  <c r="Q66" i="7"/>
  <c r="P66" i="7"/>
  <c r="V65" i="7"/>
  <c r="T65" i="7"/>
  <c r="S65" i="7"/>
  <c r="R65" i="7"/>
  <c r="Q65" i="7"/>
  <c r="P65" i="7"/>
  <c r="V64" i="7"/>
  <c r="T64" i="7"/>
  <c r="S64" i="7"/>
  <c r="R64" i="7"/>
  <c r="Q64" i="7"/>
  <c r="P64" i="7"/>
  <c r="V63" i="7"/>
  <c r="T63" i="7"/>
  <c r="S63" i="7"/>
  <c r="R63" i="7"/>
  <c r="Q63" i="7"/>
  <c r="P63" i="7"/>
  <c r="V62" i="7"/>
  <c r="T62" i="7"/>
  <c r="S62" i="7"/>
  <c r="R62" i="7"/>
  <c r="Q62" i="7"/>
  <c r="P62" i="7"/>
  <c r="V61" i="7"/>
  <c r="T61" i="7"/>
  <c r="S61" i="7"/>
  <c r="R61" i="7"/>
  <c r="Q61" i="7"/>
  <c r="P61" i="7"/>
  <c r="V60" i="7"/>
  <c r="T60" i="7"/>
  <c r="S60" i="7"/>
  <c r="R60" i="7"/>
  <c r="Q60" i="7"/>
  <c r="P60" i="7"/>
  <c r="V59" i="7"/>
  <c r="T59" i="7"/>
  <c r="S59" i="7"/>
  <c r="R59" i="7"/>
  <c r="Q59" i="7"/>
  <c r="P59" i="7"/>
  <c r="V58" i="7"/>
  <c r="T58" i="7"/>
  <c r="S58" i="7"/>
  <c r="R58" i="7"/>
  <c r="Q58" i="7"/>
  <c r="P58" i="7"/>
  <c r="V57" i="7"/>
  <c r="T57" i="7"/>
  <c r="S57" i="7"/>
  <c r="R57" i="7"/>
  <c r="Q57" i="7"/>
  <c r="P57" i="7"/>
  <c r="V56" i="7"/>
  <c r="T56" i="7"/>
  <c r="S56" i="7"/>
  <c r="R56" i="7"/>
  <c r="Q56" i="7"/>
  <c r="P56" i="7"/>
  <c r="V55" i="7"/>
  <c r="T55" i="7"/>
  <c r="S55" i="7"/>
  <c r="R55" i="7"/>
  <c r="Q55" i="7"/>
  <c r="P55" i="7"/>
  <c r="V54" i="7"/>
  <c r="T54" i="7"/>
  <c r="S54" i="7"/>
  <c r="R54" i="7"/>
  <c r="Q54" i="7"/>
  <c r="P54" i="7"/>
  <c r="V53" i="7"/>
  <c r="T53" i="7"/>
  <c r="S53" i="7"/>
  <c r="R53" i="7"/>
  <c r="Q53" i="7"/>
  <c r="P53" i="7"/>
  <c r="V52" i="7"/>
  <c r="T52" i="7"/>
  <c r="S52" i="7"/>
  <c r="R52" i="7"/>
  <c r="Q52" i="7"/>
  <c r="P52" i="7"/>
  <c r="V51" i="7"/>
  <c r="T51" i="7"/>
  <c r="S51" i="7"/>
  <c r="R51" i="7"/>
  <c r="Q51" i="7"/>
  <c r="P51" i="7"/>
  <c r="V50" i="7"/>
  <c r="T50" i="7"/>
  <c r="S50" i="7"/>
  <c r="R50" i="7"/>
  <c r="Q50" i="7"/>
  <c r="P50" i="7"/>
  <c r="V49" i="7"/>
  <c r="T49" i="7"/>
  <c r="S49" i="7"/>
  <c r="R49" i="7"/>
  <c r="Q49" i="7"/>
  <c r="P49" i="7"/>
  <c r="V48" i="7"/>
  <c r="T48" i="7"/>
  <c r="S48" i="7"/>
  <c r="R48" i="7"/>
  <c r="Q48" i="7"/>
  <c r="P48" i="7"/>
  <c r="V47" i="7"/>
  <c r="T47" i="7"/>
  <c r="S47" i="7"/>
  <c r="R47" i="7"/>
  <c r="Q47" i="7"/>
  <c r="P47" i="7"/>
  <c r="V46" i="7"/>
  <c r="T46" i="7"/>
  <c r="S46" i="7"/>
  <c r="R46" i="7"/>
  <c r="Q46" i="7"/>
  <c r="P46" i="7"/>
  <c r="V45" i="7"/>
  <c r="T45" i="7"/>
  <c r="S45" i="7"/>
  <c r="R45" i="7"/>
  <c r="Q45" i="7"/>
  <c r="P45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V14" i="7"/>
  <c r="T14" i="7"/>
  <c r="S14" i="7"/>
  <c r="R14" i="7"/>
  <c r="Q14" i="7"/>
  <c r="P14" i="7"/>
  <c r="V13" i="7"/>
  <c r="T13" i="7"/>
  <c r="S13" i="7"/>
  <c r="R13" i="7"/>
  <c r="Q13" i="7"/>
  <c r="P13" i="7"/>
  <c r="V12" i="7"/>
  <c r="T12" i="7"/>
  <c r="S12" i="7"/>
  <c r="R12" i="7"/>
  <c r="Q12" i="7"/>
  <c r="P12" i="7"/>
  <c r="V11" i="7"/>
  <c r="U11" i="7"/>
  <c r="T11" i="7"/>
  <c r="S11" i="7"/>
  <c r="R11" i="7"/>
  <c r="Q11" i="7"/>
  <c r="P11" i="7"/>
  <c r="V10" i="7"/>
  <c r="U10" i="7"/>
  <c r="T10" i="7"/>
  <c r="S10" i="7"/>
  <c r="R10" i="7"/>
  <c r="Q10" i="7"/>
  <c r="P10" i="7"/>
  <c r="V9" i="7"/>
  <c r="U9" i="7"/>
  <c r="T9" i="7"/>
  <c r="S9" i="7"/>
  <c r="R9" i="7"/>
  <c r="Q9" i="7"/>
  <c r="P9" i="7"/>
  <c r="V8" i="7"/>
  <c r="U8" i="7"/>
  <c r="T8" i="7"/>
  <c r="S8" i="7"/>
  <c r="R8" i="7"/>
  <c r="Q8" i="7"/>
  <c r="P8" i="7"/>
  <c r="V7" i="7"/>
  <c r="U7" i="7"/>
  <c r="T7" i="7"/>
  <c r="S7" i="7"/>
  <c r="R7" i="7"/>
  <c r="Q7" i="7"/>
  <c r="P7" i="7"/>
  <c r="V6" i="7"/>
  <c r="U6" i="7"/>
  <c r="T6" i="7"/>
  <c r="S6" i="7"/>
  <c r="R6" i="7"/>
  <c r="Q6" i="7"/>
  <c r="P6" i="7"/>
  <c r="V5" i="7"/>
  <c r="U5" i="7"/>
  <c r="T5" i="7"/>
  <c r="S5" i="7"/>
  <c r="R5" i="7"/>
  <c r="Q5" i="7"/>
  <c r="P5" i="7"/>
  <c r="V4" i="7"/>
  <c r="U4" i="7"/>
  <c r="T4" i="7"/>
  <c r="S4" i="7"/>
  <c r="R4" i="7"/>
  <c r="Q4" i="7"/>
  <c r="P4" i="7"/>
  <c r="V3" i="7"/>
  <c r="U3" i="7"/>
  <c r="T3" i="7"/>
  <c r="S3" i="7"/>
  <c r="R3" i="7"/>
  <c r="Q3" i="7"/>
  <c r="P3" i="7"/>
  <c r="V103" i="6"/>
  <c r="T103" i="6"/>
  <c r="S103" i="6"/>
  <c r="R103" i="6"/>
  <c r="Q103" i="6"/>
  <c r="P103" i="6"/>
  <c r="V102" i="6"/>
  <c r="T102" i="6"/>
  <c r="S102" i="6"/>
  <c r="R102" i="6"/>
  <c r="Q102" i="6"/>
  <c r="P102" i="6"/>
  <c r="V101" i="6"/>
  <c r="T101" i="6"/>
  <c r="S101" i="6"/>
  <c r="R101" i="6"/>
  <c r="Q101" i="6"/>
  <c r="P101" i="6"/>
  <c r="V100" i="6"/>
  <c r="T100" i="6"/>
  <c r="S100" i="6"/>
  <c r="R100" i="6"/>
  <c r="Q100" i="6"/>
  <c r="P100" i="6"/>
  <c r="V99" i="6"/>
  <c r="T99" i="6"/>
  <c r="S99" i="6"/>
  <c r="R99" i="6"/>
  <c r="Q99" i="6"/>
  <c r="P99" i="6"/>
  <c r="V98" i="6"/>
  <c r="T98" i="6"/>
  <c r="S98" i="6"/>
  <c r="R98" i="6"/>
  <c r="Q98" i="6"/>
  <c r="P98" i="6"/>
  <c r="V97" i="6"/>
  <c r="T97" i="6"/>
  <c r="S97" i="6"/>
  <c r="R97" i="6"/>
  <c r="Q97" i="6"/>
  <c r="P97" i="6"/>
  <c r="V96" i="6"/>
  <c r="T96" i="6"/>
  <c r="S96" i="6"/>
  <c r="R96" i="6"/>
  <c r="Q96" i="6"/>
  <c r="P96" i="6"/>
  <c r="V95" i="6"/>
  <c r="T95" i="6"/>
  <c r="S95" i="6"/>
  <c r="R95" i="6"/>
  <c r="Q95" i="6"/>
  <c r="P95" i="6"/>
  <c r="V94" i="6"/>
  <c r="T94" i="6"/>
  <c r="S94" i="6"/>
  <c r="R94" i="6"/>
  <c r="Q94" i="6"/>
  <c r="P94" i="6"/>
  <c r="V93" i="6"/>
  <c r="T93" i="6"/>
  <c r="S93" i="6"/>
  <c r="R93" i="6"/>
  <c r="Q93" i="6"/>
  <c r="P93" i="6"/>
  <c r="V92" i="6"/>
  <c r="T92" i="6"/>
  <c r="S92" i="6"/>
  <c r="R92" i="6"/>
  <c r="Q92" i="6"/>
  <c r="P92" i="6"/>
  <c r="V91" i="6"/>
  <c r="T91" i="6"/>
  <c r="S91" i="6"/>
  <c r="R91" i="6"/>
  <c r="Q91" i="6"/>
  <c r="P91" i="6"/>
  <c r="V90" i="6"/>
  <c r="T90" i="6"/>
  <c r="S90" i="6"/>
  <c r="R90" i="6"/>
  <c r="Q90" i="6"/>
  <c r="P90" i="6"/>
  <c r="V89" i="6"/>
  <c r="T89" i="6"/>
  <c r="S89" i="6"/>
  <c r="R89" i="6"/>
  <c r="Q89" i="6"/>
  <c r="P89" i="6"/>
  <c r="V88" i="6"/>
  <c r="T88" i="6"/>
  <c r="S88" i="6"/>
  <c r="R88" i="6"/>
  <c r="Q88" i="6"/>
  <c r="P88" i="6"/>
  <c r="V87" i="6"/>
  <c r="T87" i="6"/>
  <c r="S87" i="6"/>
  <c r="R87" i="6"/>
  <c r="Q87" i="6"/>
  <c r="P87" i="6"/>
  <c r="V86" i="6"/>
  <c r="T86" i="6"/>
  <c r="S86" i="6"/>
  <c r="R86" i="6"/>
  <c r="Q86" i="6"/>
  <c r="P86" i="6"/>
  <c r="V85" i="6"/>
  <c r="T85" i="6"/>
  <c r="S85" i="6"/>
  <c r="R85" i="6"/>
  <c r="Q85" i="6"/>
  <c r="P85" i="6"/>
  <c r="V84" i="6"/>
  <c r="T84" i="6"/>
  <c r="S84" i="6"/>
  <c r="R84" i="6"/>
  <c r="Q84" i="6"/>
  <c r="P84" i="6"/>
  <c r="V83" i="6"/>
  <c r="T83" i="6"/>
  <c r="S83" i="6"/>
  <c r="R83" i="6"/>
  <c r="Q83" i="6"/>
  <c r="P83" i="6"/>
  <c r="V82" i="6"/>
  <c r="T82" i="6"/>
  <c r="S82" i="6"/>
  <c r="R82" i="6"/>
  <c r="Q82" i="6"/>
  <c r="P82" i="6"/>
  <c r="V81" i="6"/>
  <c r="T81" i="6"/>
  <c r="S81" i="6"/>
  <c r="R81" i="6"/>
  <c r="Q81" i="6"/>
  <c r="P81" i="6"/>
  <c r="V80" i="6"/>
  <c r="T80" i="6"/>
  <c r="S80" i="6"/>
  <c r="R80" i="6"/>
  <c r="Q80" i="6"/>
  <c r="P80" i="6"/>
  <c r="V79" i="6"/>
  <c r="T79" i="6"/>
  <c r="S79" i="6"/>
  <c r="R79" i="6"/>
  <c r="Q79" i="6"/>
  <c r="P79" i="6"/>
  <c r="V78" i="6"/>
  <c r="T78" i="6"/>
  <c r="S78" i="6"/>
  <c r="R78" i="6"/>
  <c r="Q78" i="6"/>
  <c r="P78" i="6"/>
  <c r="V77" i="6"/>
  <c r="T77" i="6"/>
  <c r="S77" i="6"/>
  <c r="R77" i="6"/>
  <c r="Q77" i="6"/>
  <c r="P77" i="6"/>
  <c r="V76" i="6"/>
  <c r="T76" i="6"/>
  <c r="S76" i="6"/>
  <c r="R76" i="6"/>
  <c r="Q76" i="6"/>
  <c r="P76" i="6"/>
  <c r="V75" i="6"/>
  <c r="T75" i="6"/>
  <c r="S75" i="6"/>
  <c r="R75" i="6"/>
  <c r="Q75" i="6"/>
  <c r="P75" i="6"/>
  <c r="V74" i="6"/>
  <c r="T74" i="6"/>
  <c r="S74" i="6"/>
  <c r="R74" i="6"/>
  <c r="Q74" i="6"/>
  <c r="P74" i="6"/>
  <c r="V73" i="6"/>
  <c r="T73" i="6"/>
  <c r="S73" i="6"/>
  <c r="R73" i="6"/>
  <c r="Q73" i="6"/>
  <c r="P73" i="6"/>
  <c r="V72" i="6"/>
  <c r="T72" i="6"/>
  <c r="S72" i="6"/>
  <c r="R72" i="6"/>
  <c r="Q72" i="6"/>
  <c r="P72" i="6"/>
  <c r="V71" i="6"/>
  <c r="T71" i="6"/>
  <c r="S71" i="6"/>
  <c r="R71" i="6"/>
  <c r="Q71" i="6"/>
  <c r="P71" i="6"/>
  <c r="V70" i="6"/>
  <c r="T70" i="6"/>
  <c r="S70" i="6"/>
  <c r="R70" i="6"/>
  <c r="Q70" i="6"/>
  <c r="P70" i="6"/>
  <c r="V69" i="6"/>
  <c r="T69" i="6"/>
  <c r="S69" i="6"/>
  <c r="R69" i="6"/>
  <c r="Q69" i="6"/>
  <c r="P69" i="6"/>
  <c r="V68" i="6"/>
  <c r="T68" i="6"/>
  <c r="S68" i="6"/>
  <c r="R68" i="6"/>
  <c r="Q68" i="6"/>
  <c r="P68" i="6"/>
  <c r="V67" i="6"/>
  <c r="T67" i="6"/>
  <c r="S67" i="6"/>
  <c r="R67" i="6"/>
  <c r="Q67" i="6"/>
  <c r="P67" i="6"/>
  <c r="V66" i="6"/>
  <c r="T66" i="6"/>
  <c r="S66" i="6"/>
  <c r="R66" i="6"/>
  <c r="Q66" i="6"/>
  <c r="P66" i="6"/>
  <c r="V65" i="6"/>
  <c r="T65" i="6"/>
  <c r="S65" i="6"/>
  <c r="R65" i="6"/>
  <c r="Q65" i="6"/>
  <c r="P65" i="6"/>
  <c r="V64" i="6"/>
  <c r="T64" i="6"/>
  <c r="S64" i="6"/>
  <c r="R64" i="6"/>
  <c r="Q64" i="6"/>
  <c r="P64" i="6"/>
  <c r="V63" i="6"/>
  <c r="T63" i="6"/>
  <c r="S63" i="6"/>
  <c r="R63" i="6"/>
  <c r="Q63" i="6"/>
  <c r="P63" i="6"/>
  <c r="V62" i="6"/>
  <c r="T62" i="6"/>
  <c r="S62" i="6"/>
  <c r="R62" i="6"/>
  <c r="Q62" i="6"/>
  <c r="P62" i="6"/>
  <c r="V61" i="6"/>
  <c r="T61" i="6"/>
  <c r="S61" i="6"/>
  <c r="R61" i="6"/>
  <c r="Q61" i="6"/>
  <c r="P61" i="6"/>
  <c r="V60" i="6"/>
  <c r="T60" i="6"/>
  <c r="S60" i="6"/>
  <c r="R60" i="6"/>
  <c r="Q60" i="6"/>
  <c r="P60" i="6"/>
  <c r="V59" i="6"/>
  <c r="T59" i="6"/>
  <c r="S59" i="6"/>
  <c r="R59" i="6"/>
  <c r="Q59" i="6"/>
  <c r="P59" i="6"/>
  <c r="V58" i="6"/>
  <c r="T58" i="6"/>
  <c r="S58" i="6"/>
  <c r="R58" i="6"/>
  <c r="Q58" i="6"/>
  <c r="P58" i="6"/>
  <c r="V57" i="6"/>
  <c r="T57" i="6"/>
  <c r="S57" i="6"/>
  <c r="R57" i="6"/>
  <c r="Q57" i="6"/>
  <c r="P57" i="6"/>
  <c r="V56" i="6"/>
  <c r="T56" i="6"/>
  <c r="S56" i="6"/>
  <c r="R56" i="6"/>
  <c r="Q56" i="6"/>
  <c r="P56" i="6"/>
  <c r="V55" i="6"/>
  <c r="T55" i="6"/>
  <c r="S55" i="6"/>
  <c r="R55" i="6"/>
  <c r="Q55" i="6"/>
  <c r="P55" i="6"/>
  <c r="V54" i="6"/>
  <c r="T54" i="6"/>
  <c r="S54" i="6"/>
  <c r="R54" i="6"/>
  <c r="Q54" i="6"/>
  <c r="P54" i="6"/>
  <c r="V53" i="6"/>
  <c r="T53" i="6"/>
  <c r="S53" i="6"/>
  <c r="R53" i="6"/>
  <c r="Q53" i="6"/>
  <c r="P53" i="6"/>
  <c r="V52" i="6"/>
  <c r="T52" i="6"/>
  <c r="S52" i="6"/>
  <c r="R52" i="6"/>
  <c r="Q52" i="6"/>
  <c r="P52" i="6"/>
  <c r="V51" i="6"/>
  <c r="T51" i="6"/>
  <c r="S51" i="6"/>
  <c r="R51" i="6"/>
  <c r="Q51" i="6"/>
  <c r="P51" i="6"/>
  <c r="V50" i="6"/>
  <c r="T50" i="6"/>
  <c r="S50" i="6"/>
  <c r="R50" i="6"/>
  <c r="Q50" i="6"/>
  <c r="P50" i="6"/>
  <c r="V49" i="6"/>
  <c r="T49" i="6"/>
  <c r="S49" i="6"/>
  <c r="R49" i="6"/>
  <c r="Q49" i="6"/>
  <c r="P49" i="6"/>
  <c r="V48" i="6"/>
  <c r="T48" i="6"/>
  <c r="S48" i="6"/>
  <c r="R48" i="6"/>
  <c r="Q48" i="6"/>
  <c r="P48" i="6"/>
  <c r="V47" i="6"/>
  <c r="T47" i="6"/>
  <c r="S47" i="6"/>
  <c r="R47" i="6"/>
  <c r="Q47" i="6"/>
  <c r="P47" i="6"/>
  <c r="V46" i="6"/>
  <c r="T46" i="6"/>
  <c r="S46" i="6"/>
  <c r="R46" i="6"/>
  <c r="Q46" i="6"/>
  <c r="P46" i="6"/>
  <c r="V45" i="6"/>
  <c r="T45" i="6"/>
  <c r="S45" i="6"/>
  <c r="R45" i="6"/>
  <c r="Q45" i="6"/>
  <c r="P45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V14" i="6"/>
  <c r="T14" i="6"/>
  <c r="S14" i="6"/>
  <c r="R14" i="6"/>
  <c r="Q14" i="6"/>
  <c r="P14" i="6"/>
  <c r="V13" i="6"/>
  <c r="T13" i="6"/>
  <c r="S13" i="6"/>
  <c r="R13" i="6"/>
  <c r="Q13" i="6"/>
  <c r="P13" i="6"/>
  <c r="V12" i="6"/>
  <c r="T12" i="6"/>
  <c r="S12" i="6"/>
  <c r="R12" i="6"/>
  <c r="Q12" i="6"/>
  <c r="P12" i="6"/>
  <c r="V11" i="6"/>
  <c r="U11" i="6"/>
  <c r="T11" i="6"/>
  <c r="S11" i="6"/>
  <c r="R11" i="6"/>
  <c r="Q11" i="6"/>
  <c r="P11" i="6"/>
  <c r="V10" i="6"/>
  <c r="U10" i="6"/>
  <c r="T10" i="6"/>
  <c r="S10" i="6"/>
  <c r="R10" i="6"/>
  <c r="Q10" i="6"/>
  <c r="P10" i="6"/>
  <c r="V9" i="6"/>
  <c r="U9" i="6"/>
  <c r="T9" i="6"/>
  <c r="S9" i="6"/>
  <c r="R9" i="6"/>
  <c r="Q9" i="6"/>
  <c r="P9" i="6"/>
  <c r="V8" i="6"/>
  <c r="U8" i="6"/>
  <c r="T8" i="6"/>
  <c r="S8" i="6"/>
  <c r="R8" i="6"/>
  <c r="Q8" i="6"/>
  <c r="P8" i="6"/>
  <c r="V7" i="6"/>
  <c r="U7" i="6"/>
  <c r="T7" i="6"/>
  <c r="S7" i="6"/>
  <c r="R7" i="6"/>
  <c r="Q7" i="6"/>
  <c r="P7" i="6"/>
  <c r="V6" i="6"/>
  <c r="U6" i="6"/>
  <c r="T6" i="6"/>
  <c r="S6" i="6"/>
  <c r="R6" i="6"/>
  <c r="Q6" i="6"/>
  <c r="P6" i="6"/>
  <c r="V5" i="6"/>
  <c r="U5" i="6"/>
  <c r="T5" i="6"/>
  <c r="S5" i="6"/>
  <c r="R5" i="6"/>
  <c r="Q5" i="6"/>
  <c r="P5" i="6"/>
  <c r="V4" i="6"/>
  <c r="U4" i="6"/>
  <c r="T4" i="6"/>
  <c r="S4" i="6"/>
  <c r="R4" i="6"/>
  <c r="Q4" i="6"/>
  <c r="P4" i="6"/>
  <c r="V3" i="6"/>
  <c r="U3" i="6"/>
  <c r="T3" i="6"/>
  <c r="S3" i="6"/>
  <c r="R3" i="6"/>
  <c r="Q3" i="6"/>
  <c r="P3" i="6"/>
  <c r="Q3" i="1"/>
  <c r="Q29" i="1"/>
  <c r="Q30" i="1"/>
  <c r="Q31" i="1"/>
  <c r="Q32" i="1"/>
  <c r="Q33" i="1"/>
  <c r="Q34" i="1"/>
  <c r="Q35" i="1"/>
  <c r="Q36" i="1"/>
  <c r="Q37" i="1"/>
  <c r="Q38" i="1"/>
  <c r="Q17" i="1"/>
  <c r="Q18" i="1"/>
  <c r="Q19" i="1"/>
  <c r="Q20" i="1"/>
  <c r="Q21" i="1"/>
  <c r="Q22" i="1"/>
  <c r="Q23" i="1"/>
  <c r="Q24" i="1"/>
  <c r="Q25" i="1"/>
  <c r="Q26" i="1"/>
  <c r="Q27" i="1"/>
  <c r="Q28" i="1"/>
  <c r="Q15" i="1"/>
  <c r="Q16" i="1"/>
  <c r="U4" i="1"/>
  <c r="U5" i="1"/>
  <c r="U6" i="1"/>
  <c r="U7" i="1"/>
  <c r="U8" i="1"/>
  <c r="U9" i="1"/>
  <c r="U10" i="1"/>
  <c r="U11" i="1"/>
  <c r="U3" i="1"/>
  <c r="T4" i="1"/>
  <c r="T5" i="1"/>
  <c r="T6" i="1"/>
  <c r="T7" i="1"/>
  <c r="T8" i="1"/>
  <c r="T9" i="1"/>
  <c r="T10" i="1"/>
  <c r="T11" i="1"/>
  <c r="T12" i="1"/>
  <c r="T13" i="1"/>
  <c r="T1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3" i="1"/>
  <c r="V4" i="1"/>
  <c r="V3" i="1"/>
  <c r="V6" i="1"/>
  <c r="V7" i="1"/>
  <c r="V8" i="1"/>
  <c r="V9" i="1"/>
  <c r="V10" i="1"/>
  <c r="V11" i="1"/>
  <c r="V12" i="1"/>
  <c r="V13" i="1"/>
  <c r="V1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5" i="1"/>
  <c r="P4" i="1"/>
  <c r="S3" i="1"/>
  <c r="R3" i="1"/>
  <c r="S4" i="1"/>
  <c r="R4" i="1"/>
  <c r="S6" i="1"/>
  <c r="S7" i="1"/>
  <c r="S8" i="1"/>
  <c r="S9" i="1"/>
  <c r="S10" i="1"/>
  <c r="S11" i="1"/>
  <c r="S12" i="1"/>
  <c r="S13" i="1"/>
  <c r="S1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5" i="1"/>
  <c r="R5" i="1"/>
  <c r="Q4" i="1"/>
  <c r="R6" i="1"/>
  <c r="R7" i="1"/>
  <c r="R8" i="1"/>
  <c r="R9" i="1"/>
  <c r="R10" i="1"/>
  <c r="R11" i="1"/>
  <c r="R12" i="1"/>
  <c r="R13" i="1"/>
  <c r="R1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P5" i="1"/>
  <c r="P7" i="1"/>
  <c r="Q7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Q5" i="1"/>
  <c r="Q6" i="1"/>
  <c r="Q8" i="1"/>
  <c r="Q9" i="1"/>
  <c r="Q10" i="1"/>
  <c r="Q11" i="1"/>
  <c r="Q12" i="1"/>
  <c r="Q13" i="1"/>
  <c r="Q14" i="1"/>
  <c r="P8" i="1"/>
  <c r="P9" i="1"/>
  <c r="P10" i="1"/>
  <c r="P11" i="1"/>
  <c r="P12" i="1"/>
  <c r="P13" i="1"/>
  <c r="P14" i="1"/>
  <c r="P6" i="1"/>
  <c r="P3" i="1"/>
</calcChain>
</file>

<file path=xl/sharedStrings.xml><?xml version="1.0" encoding="utf-8"?>
<sst xmlns="http://schemas.openxmlformats.org/spreadsheetml/2006/main" count="2176" uniqueCount="1761">
  <si>
    <t>Creación de tablas en formato .md</t>
  </si>
  <si>
    <t>Texto para dos columnas</t>
  </si>
  <si>
    <t>Texto para tres columnas</t>
  </si>
  <si>
    <t>Texto para cuatro columnas</t>
  </si>
  <si>
    <t>---</t>
  </si>
  <si>
    <t>Texto para cinco columnas</t>
  </si>
  <si>
    <t>✓</t>
  </si>
  <si>
    <t>Texto para 13 columnas</t>
  </si>
  <si>
    <t>Texto para seis columnas</t>
  </si>
  <si>
    <t>✕</t>
  </si>
  <si>
    <t>Texto para siete columnas</t>
  </si>
  <si>
    <t>A</t>
  </si>
  <si>
    <t>B</t>
  </si>
  <si>
    <t>C</t>
  </si>
  <si>
    <t>D</t>
  </si>
  <si>
    <t>Actividad</t>
  </si>
  <si>
    <t>Descripción</t>
  </si>
  <si>
    <t xml:space="preserve">1.1. Conceptos básicos de diseño asistido por computador - CAD </t>
  </si>
  <si>
    <t>Usos y aplicaciones de herramientas computacionales. Barra de menús. Comandos LINE, GRID y SNAP.</t>
  </si>
  <si>
    <t xml:space="preserve">1.2. Elementos básicos </t>
  </si>
  <si>
    <t xml:space="preserve">Coordenadas de usuario UCS. Barra de herramientas de puntos de convergencia. Comandos POLYLINE, ARC, FILLET, CHAMFER, POINT. Comandos ARRAY, MIRROR, OFFSET, DONUT, TRIM. Dibujo de la elipse, la parábola y la hipérbola. </t>
  </si>
  <si>
    <t>1.3. Bloques - Achurados- Viewports</t>
  </si>
  <si>
    <t>Diseño de bloques. Achurados. Sombra. Figuras rellenas. Mosaico de vistas. Vistas fijas — espacio modelo. Vistas flotantes — espacio papel. Comandos BLOCK, HATCHT, SOLIDS, VPORTS, MVIEW, PSPACE, VPLAYER.</t>
  </si>
  <si>
    <t xml:space="preserve">1.4. Dimensionamiento </t>
  </si>
  <si>
    <t>Dimensionamiento. Estilo de la dimensión. Acotado de líneas rectas, círculos, arcos y ángulos. Editar dimensiones. Superficies normales, inclinadas y oblicuas. Visibilidad de aristas.</t>
  </si>
  <si>
    <t>1.5. Impresión</t>
  </si>
  <si>
    <t xml:space="preserve">Espacio papel y espacio modelo. Asignación de escala. Configuración de impresora y trazadores (plotter). Configuración del trazado. Impresión. Comandos MVSETUP, PRINT, ZOOM – Scale. </t>
  </si>
  <si>
    <t xml:space="preserve">1.6. Proyecto de dibujo asistido por computadora con AutoCAD </t>
  </si>
  <si>
    <t xml:space="preserve">Layers, papel. Texto menor, texto mayor. Planos de referencia para posiciones espaciales. Limits. Coordenadas cartesianas X, Y, Z. Coordenadas relativas posicionales. Coordenadas geográficas. </t>
  </si>
  <si>
    <t>2.1. Introducción</t>
  </si>
  <si>
    <t>Sistemas de información geográfica. Fundamentos. Proyecciones y origen de coordenadas. Simbología, y estadísticas generales. Tablas relacionales.</t>
  </si>
  <si>
    <t>2.2 Definición y edición de elementos</t>
  </si>
  <si>
    <t>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</t>
  </si>
  <si>
    <t xml:space="preserve">2.3. Mapas e imágenes (QGIS, ArcGIS y otras herramientas) </t>
  </si>
  <si>
    <t>Mapas y cartografía. Elaboración de planos. Imágenes en SIG. Manejo y manipulación de imágenes. Ejercicio de aplicación (proyecto aplicado en ingeniería eléctrica).</t>
  </si>
  <si>
    <t xml:space="preserve">3.1. Introducción </t>
  </si>
  <si>
    <t>Conceptos de la metodología BIM. Generalidades del trabajo colaborativo. Taller conceptual.</t>
  </si>
  <si>
    <t>3.2 Herramientas para la aplicación de la metodología BIM. Introducción al software Revit</t>
  </si>
  <si>
    <t xml:space="preserve">Uso de plantillas (templates). Fundamentos del software Revit. Configuración de Revit (Options).    </t>
  </si>
  <si>
    <t xml:space="preserve">3.3. Creación y manipulación de elementos en Revit </t>
  </si>
  <si>
    <t>Creación de vista de plantas (Plan views), Niveles de fondo (Underlay). Control de visualización (Visibility graphics). Láminas de ploteo (Sheets). Creación de WorkSets, Creación de un archivo local y Relinquish all mine. Ejercicio de aplicación (proyecto aplicado en ingeniería eléctrica).</t>
  </si>
  <si>
    <t xml:space="preserve">3.4. Familias de Revit </t>
  </si>
  <si>
    <t>Concepto de familias de Revit. Creación de perfiles. Creación de planos de trabajo. Convertir líneas en símbolos (Convert lines) y Controles de visibilidad. Ejercicio de aplicación (proyecto aplicado en ingeniería eléctrica).</t>
  </si>
  <si>
    <t>Proyecto</t>
  </si>
  <si>
    <t>Prefijo</t>
  </si>
  <si>
    <t>Disciplina (en)</t>
  </si>
  <si>
    <t>Disciplina (es)</t>
  </si>
  <si>
    <t>Architectural</t>
  </si>
  <si>
    <t>Arquitectura</t>
  </si>
  <si>
    <t>Geotechnical</t>
  </si>
  <si>
    <t>Geotecnia</t>
  </si>
  <si>
    <t>Civil</t>
  </si>
  <si>
    <t>Process</t>
  </si>
  <si>
    <t>Procesos</t>
  </si>
  <si>
    <t>E</t>
  </si>
  <si>
    <t>Electrical</t>
  </si>
  <si>
    <t>Electricidad</t>
  </si>
  <si>
    <t>F</t>
  </si>
  <si>
    <t>Fire Protection</t>
  </si>
  <si>
    <t>Protección contra incendios</t>
  </si>
  <si>
    <t>G</t>
  </si>
  <si>
    <t>General</t>
  </si>
  <si>
    <t>H</t>
  </si>
  <si>
    <t>Hazardous Materials</t>
  </si>
  <si>
    <t>Materiales peligrosos</t>
  </si>
  <si>
    <t>I</t>
  </si>
  <si>
    <t>Interiors</t>
  </si>
  <si>
    <t>Interiores</t>
  </si>
  <si>
    <t>L</t>
  </si>
  <si>
    <t>Landscape</t>
  </si>
  <si>
    <t>Paisajismo</t>
  </si>
  <si>
    <t>M</t>
  </si>
  <si>
    <t>Mechanical</t>
  </si>
  <si>
    <t>Mecánica</t>
  </si>
  <si>
    <t>O</t>
  </si>
  <si>
    <t>Operations</t>
  </si>
  <si>
    <t>Operaciones</t>
  </si>
  <si>
    <t>P</t>
  </si>
  <si>
    <t>Plumbing</t>
  </si>
  <si>
    <t>Fontanería</t>
  </si>
  <si>
    <t>Q</t>
  </si>
  <si>
    <t>Equipment</t>
  </si>
  <si>
    <t>Equipos</t>
  </si>
  <si>
    <t>R</t>
  </si>
  <si>
    <t>Resource</t>
  </si>
  <si>
    <t>Recursos</t>
  </si>
  <si>
    <t>S</t>
  </si>
  <si>
    <t>Structural</t>
  </si>
  <si>
    <t>Estructura</t>
  </si>
  <si>
    <t>T</t>
  </si>
  <si>
    <t>Telecommunications</t>
  </si>
  <si>
    <t>Telecomunicaciones</t>
  </si>
  <si>
    <t>V</t>
  </si>
  <si>
    <t>Survey / Mapping</t>
  </si>
  <si>
    <t>Topografía / Cartografía</t>
  </si>
  <si>
    <t>W</t>
  </si>
  <si>
    <t>Distributed Energy</t>
  </si>
  <si>
    <t>Energía distribuida</t>
  </si>
  <si>
    <t>X</t>
  </si>
  <si>
    <t>Other Disciplines</t>
  </si>
  <si>
    <t>Otras disciplinas</t>
  </si>
  <si>
    <t>Z</t>
  </si>
  <si>
    <t>Contractor / Shop Drawings</t>
  </si>
  <si>
    <t>Contratista / Planos de taller</t>
  </si>
  <si>
    <t>AD</t>
  </si>
  <si>
    <t>Architectural Demolition</t>
  </si>
  <si>
    <t>AE</t>
  </si>
  <si>
    <t>Architectural Elements</t>
  </si>
  <si>
    <t>AF</t>
  </si>
  <si>
    <t>Architectural Finishes</t>
  </si>
  <si>
    <t>AG</t>
  </si>
  <si>
    <t>Architectural Graphics</t>
  </si>
  <si>
    <t>AI</t>
  </si>
  <si>
    <t>Architectural Interiors</t>
  </si>
  <si>
    <t>AJ</t>
  </si>
  <si>
    <t>User Defined</t>
  </si>
  <si>
    <t>AK</t>
  </si>
  <si>
    <t>AS</t>
  </si>
  <si>
    <t>Architectural Site</t>
  </si>
  <si>
    <t>Designador</t>
  </si>
  <si>
    <t>Demolición arquitectónica</t>
  </si>
  <si>
    <t>Elementos arquitectónicos</t>
  </si>
  <si>
    <t>Acabados arquitectónicos</t>
  </si>
  <si>
    <t>Gráficos arquitectónicos</t>
  </si>
  <si>
    <t>Interiores arquitectónicos</t>
  </si>
  <si>
    <t>Definido por el usuario</t>
  </si>
  <si>
    <t>Sitio arquitectónico</t>
  </si>
  <si>
    <t>Descripción (en)</t>
  </si>
  <si>
    <t>Descripción (es)</t>
  </si>
  <si>
    <t>Abandoned</t>
  </si>
  <si>
    <t>Abandonado</t>
  </si>
  <si>
    <t>Existing to demolish</t>
  </si>
  <si>
    <t>Existente para demoler</t>
  </si>
  <si>
    <t>Existing to remain</t>
  </si>
  <si>
    <t>Existente para conservar</t>
  </si>
  <si>
    <t>Future work</t>
  </si>
  <si>
    <t>Trabajo futuro</t>
  </si>
  <si>
    <t>Items to be moved</t>
  </si>
  <si>
    <t>Artículos a trasladar</t>
  </si>
  <si>
    <t>N</t>
  </si>
  <si>
    <t>New work</t>
  </si>
  <si>
    <t>Trabajo nuevo</t>
  </si>
  <si>
    <t>Temporary work</t>
  </si>
  <si>
    <t>Trabajo temporal</t>
  </si>
  <si>
    <t>Not in contract</t>
  </si>
  <si>
    <t>Sin contrato</t>
  </si>
  <si>
    <t>1a9</t>
  </si>
  <si>
    <t>Phase numbers</t>
  </si>
  <si>
    <t>Número de fases</t>
  </si>
  <si>
    <t>ß</t>
  </si>
  <si>
    <t>Estado</t>
  </si>
  <si>
    <t>ED</t>
  </si>
  <si>
    <t>Electrical Demolition</t>
  </si>
  <si>
    <t>Demolición eléctrica</t>
  </si>
  <si>
    <t>EI</t>
  </si>
  <si>
    <t>Electrical Instrumentation</t>
  </si>
  <si>
    <t>Instrumentación eléctrica</t>
  </si>
  <si>
    <t>EJ</t>
  </si>
  <si>
    <t>EK</t>
  </si>
  <si>
    <t>EL</t>
  </si>
  <si>
    <t>Electrical Lighting</t>
  </si>
  <si>
    <t>Iluminación eléctrica</t>
  </si>
  <si>
    <t>EP</t>
  </si>
  <si>
    <t>Electrical Power</t>
  </si>
  <si>
    <t>Energía eléctrica</t>
  </si>
  <si>
    <t>ES</t>
  </si>
  <si>
    <t>Electrical Site</t>
  </si>
  <si>
    <t>Sitio eléctrico</t>
  </si>
  <si>
    <t>ET</t>
  </si>
  <si>
    <t>Electrical Telecommunications</t>
  </si>
  <si>
    <t>Telecomunicaciones eléctricas</t>
  </si>
  <si>
    <t>EY</t>
  </si>
  <si>
    <t>Electrical Auxiliary Systems</t>
  </si>
  <si>
    <t>Sistemas auxiliares eléctricos</t>
  </si>
  <si>
    <t>CD</t>
  </si>
  <si>
    <t>Civil Demolition</t>
  </si>
  <si>
    <t>Demolición Civil</t>
  </si>
  <si>
    <t>CG</t>
  </si>
  <si>
    <t>Civil Grading</t>
  </si>
  <si>
    <t>Nivelación Civil</t>
  </si>
  <si>
    <t>CI</t>
  </si>
  <si>
    <t>Civil Improvements</t>
  </si>
  <si>
    <t>Mejoras Civiles</t>
  </si>
  <si>
    <t>CJ</t>
  </si>
  <si>
    <t>Definido por el Usuario</t>
  </si>
  <si>
    <t>CK</t>
  </si>
  <si>
    <t>CN</t>
  </si>
  <si>
    <t>Civil Nodes</t>
  </si>
  <si>
    <t>Nudos Civiles</t>
  </si>
  <si>
    <t>CP</t>
  </si>
  <si>
    <t>Civil Paving</t>
  </si>
  <si>
    <t>Pavimentación Civil</t>
  </si>
  <si>
    <t>CS</t>
  </si>
  <si>
    <t>Civil Site</t>
  </si>
  <si>
    <t>Sitio Civil</t>
  </si>
  <si>
    <t>CT</t>
  </si>
  <si>
    <t>Civil Transportation</t>
  </si>
  <si>
    <t>Transporte Civil</t>
  </si>
  <si>
    <t>CU</t>
  </si>
  <si>
    <t>Civil Utilities</t>
  </si>
  <si>
    <t>Servicios Civiles</t>
  </si>
  <si>
    <t>ACCS</t>
  </si>
  <si>
    <t>Access</t>
  </si>
  <si>
    <t>Acceso</t>
  </si>
  <si>
    <t>ACID</t>
  </si>
  <si>
    <t>Acid waste systems</t>
  </si>
  <si>
    <t>Sistemas de residuos ácidos</t>
  </si>
  <si>
    <t>AERI</t>
  </si>
  <si>
    <t>Aerial Survey</t>
  </si>
  <si>
    <t>Levantamiento aéreo</t>
  </si>
  <si>
    <t>AFFF</t>
  </si>
  <si>
    <t>Aqueous film-forming foam system</t>
  </si>
  <si>
    <t>Sistema de espuma formadora de película acuosa</t>
  </si>
  <si>
    <t>AFLD</t>
  </si>
  <si>
    <t>Airfields</t>
  </si>
  <si>
    <t>Aeródromos</t>
  </si>
  <si>
    <t>AIR~</t>
  </si>
  <si>
    <t>Air</t>
  </si>
  <si>
    <t>Aire</t>
  </si>
  <si>
    <t>ALGN</t>
  </si>
  <si>
    <t>Alignment</t>
  </si>
  <si>
    <t>Alineación</t>
  </si>
  <si>
    <t>ALRM</t>
  </si>
  <si>
    <t>Alarm system</t>
  </si>
  <si>
    <t>Sistema de alarma</t>
  </si>
  <si>
    <t>ANNO</t>
  </si>
  <si>
    <t>Annotation</t>
  </si>
  <si>
    <t>Anotación</t>
  </si>
  <si>
    <t>AREA</t>
  </si>
  <si>
    <t>Area</t>
  </si>
  <si>
    <t>Área</t>
  </si>
  <si>
    <t>AUXL</t>
  </si>
  <si>
    <t>Auxiliary systems</t>
  </si>
  <si>
    <t>Sistemas auxiliares</t>
  </si>
  <si>
    <t>BARR</t>
  </si>
  <si>
    <t>Barrier</t>
  </si>
  <si>
    <t>Barrera</t>
  </si>
  <si>
    <t>BCST</t>
  </si>
  <si>
    <t>Broadcast related system (radio or TV)</t>
  </si>
  <si>
    <t>Sistema de radiodifusión (radio o TV)</t>
  </si>
  <si>
    <t>BEAM</t>
  </si>
  <si>
    <t>Beams</t>
  </si>
  <si>
    <t>Vigas</t>
  </si>
  <si>
    <t>BELL</t>
  </si>
  <si>
    <t>Bell system</t>
  </si>
  <si>
    <t>Sistema de timbres</t>
  </si>
  <si>
    <t>BLDG</t>
  </si>
  <si>
    <t>Buildings and primary structures</t>
  </si>
  <si>
    <t>Edificios y estructuras primarias</t>
  </si>
  <si>
    <t>BLIN</t>
  </si>
  <si>
    <t>Baseline</t>
  </si>
  <si>
    <t>Línea base</t>
  </si>
  <si>
    <t>BNDY</t>
  </si>
  <si>
    <t>Political boundaries</t>
  </si>
  <si>
    <t>Límites políticos</t>
  </si>
  <si>
    <t>BORE</t>
  </si>
  <si>
    <t>Borings</t>
  </si>
  <si>
    <t>Perforaciones</t>
  </si>
  <si>
    <t>BRCG</t>
  </si>
  <si>
    <t>Bracing</t>
  </si>
  <si>
    <t>Arriostramiento</t>
  </si>
  <si>
    <t>BRDG</t>
  </si>
  <si>
    <t>Bridge</t>
  </si>
  <si>
    <t>Puente</t>
  </si>
  <si>
    <t>BRIN</t>
  </si>
  <si>
    <t>Brine systems</t>
  </si>
  <si>
    <t>Sistemas de salmuera</t>
  </si>
  <si>
    <t>BRKL</t>
  </si>
  <si>
    <t>Break / fault lines</t>
  </si>
  <si>
    <t>Líneas de rotura/falla</t>
  </si>
  <si>
    <t>BRLN</t>
  </si>
  <si>
    <t>Building restriction line</t>
  </si>
  <si>
    <t>Línea de restricción de edificaciones</t>
  </si>
  <si>
    <t>BZNA</t>
  </si>
  <si>
    <t>Buffer zone area</t>
  </si>
  <si>
    <t>Zona de amortiguamiento</t>
  </si>
  <si>
    <t>CABL</t>
  </si>
  <si>
    <t>Cable systems</t>
  </si>
  <si>
    <t>Sistemas de cable</t>
  </si>
  <si>
    <t>CATH</t>
  </si>
  <si>
    <t>Cathodic Protection System</t>
  </si>
  <si>
    <t>Sistema de protección catódica</t>
  </si>
  <si>
    <t>CATV</t>
  </si>
  <si>
    <t>Cable television system</t>
  </si>
  <si>
    <t>Sistema de televisión por cable</t>
  </si>
  <si>
    <t>CCTV</t>
  </si>
  <si>
    <t>Closed-circuit television system</t>
  </si>
  <si>
    <t>Sistema de circuito cerrado de televisión</t>
  </si>
  <si>
    <t>CEME</t>
  </si>
  <si>
    <t>Cemetery</t>
  </si>
  <si>
    <t>Cementerio</t>
  </si>
  <si>
    <t>CHAN</t>
  </si>
  <si>
    <t>Navigable channels</t>
  </si>
  <si>
    <t>Canales navegables</t>
  </si>
  <si>
    <t>CHEM</t>
  </si>
  <si>
    <t>Chemical</t>
  </si>
  <si>
    <t>Productos químicos</t>
  </si>
  <si>
    <t>CHIM</t>
  </si>
  <si>
    <t>Chimneys and stacks</t>
  </si>
  <si>
    <t>Chimeneas y conductos</t>
  </si>
  <si>
    <t>CLNG</t>
  </si>
  <si>
    <t>Ceiling</t>
  </si>
  <si>
    <t>Techo</t>
  </si>
  <si>
    <t>CLOK</t>
  </si>
  <si>
    <t>Clock system</t>
  </si>
  <si>
    <t>Sistema de relojería</t>
  </si>
  <si>
    <t>CMPA</t>
  </si>
  <si>
    <t>Compressed / processed air systems</t>
  </si>
  <si>
    <t>Sistemas de aire comprimido/procesado</t>
  </si>
  <si>
    <t>CMPR</t>
  </si>
  <si>
    <t>Computer</t>
  </si>
  <si>
    <t>Ordenador</t>
  </si>
  <si>
    <t>CNDW</t>
  </si>
  <si>
    <t>Condenser water systems</t>
  </si>
  <si>
    <t>Sistemas de agua del condensador</t>
  </si>
  <si>
    <t>CO2S</t>
  </si>
  <si>
    <t>CO2 system</t>
  </si>
  <si>
    <t>Sistema de CO2</t>
  </si>
  <si>
    <t>CODE</t>
  </si>
  <si>
    <t>Code compliance plan</t>
  </si>
  <si>
    <t>Plan de cumplimiento normativo</t>
  </si>
  <si>
    <t>COLS</t>
  </si>
  <si>
    <t>Columns</t>
  </si>
  <si>
    <t>Columnas</t>
  </si>
  <si>
    <t>COMM</t>
  </si>
  <si>
    <t>Communications</t>
  </si>
  <si>
    <t>Comunicaciones</t>
  </si>
  <si>
    <t>CONT</t>
  </si>
  <si>
    <t>Controls and instrumentation</t>
  </si>
  <si>
    <t>Controles e instrumentación</t>
  </si>
  <si>
    <t>CONV</t>
  </si>
  <si>
    <t>Conveying systems</t>
  </si>
  <si>
    <t>Sistemas de transporte</t>
  </si>
  <si>
    <t>CRPT</t>
  </si>
  <si>
    <t>Carpet / carpet tiles</t>
  </si>
  <si>
    <t>Alfombra/losetas de moqueta</t>
  </si>
  <si>
    <t>CSWK</t>
  </si>
  <si>
    <t>Casework</t>
  </si>
  <si>
    <t>Carpintería</t>
  </si>
  <si>
    <t>CTRL</t>
  </si>
  <si>
    <t>Control points</t>
  </si>
  <si>
    <t>Puntos de control</t>
  </si>
  <si>
    <t>CWTR</t>
  </si>
  <si>
    <t>Chilled water systems</t>
  </si>
  <si>
    <t>Sistemas de agua refrigerada</t>
  </si>
  <si>
    <t>DATA</t>
  </si>
  <si>
    <t>Data / LAN system</t>
  </si>
  <si>
    <t>Datos/LAN Sistema</t>
  </si>
  <si>
    <t>DECK</t>
  </si>
  <si>
    <t>Deck</t>
  </si>
  <si>
    <t>Cubierta</t>
  </si>
  <si>
    <t>DETL</t>
  </si>
  <si>
    <t>Detail</t>
  </si>
  <si>
    <t>Detalle</t>
  </si>
  <si>
    <t>DFLD</t>
  </si>
  <si>
    <t>Drain fields</t>
  </si>
  <si>
    <t>Campos de drenaje</t>
  </si>
  <si>
    <t>DIAG</t>
  </si>
  <si>
    <t>Diagrams</t>
  </si>
  <si>
    <t>Diagramas</t>
  </si>
  <si>
    <t>DICT</t>
  </si>
  <si>
    <t>Dictation system</t>
  </si>
  <si>
    <t>Sistema de dictado</t>
  </si>
  <si>
    <t>DOMW</t>
  </si>
  <si>
    <t>Domestic water systems</t>
  </si>
  <si>
    <t>Sistemas de agua potable</t>
  </si>
  <si>
    <t>DOOR</t>
  </si>
  <si>
    <t>Doors</t>
  </si>
  <si>
    <t>Puertas</t>
  </si>
  <si>
    <t>DRAN</t>
  </si>
  <si>
    <t>Drains</t>
  </si>
  <si>
    <t>Desagües</t>
  </si>
  <si>
    <t>DRIV</t>
  </si>
  <si>
    <t>Driveways</t>
  </si>
  <si>
    <t>Entradas de vehículos</t>
  </si>
  <si>
    <t>DTCH</t>
  </si>
  <si>
    <t>Ditches or washes</t>
  </si>
  <si>
    <t>Cunetas o lavaderos</t>
  </si>
  <si>
    <t>DUAL</t>
  </si>
  <si>
    <t>Dual temperature systems</t>
  </si>
  <si>
    <t>Sistemas de doble temperatura</t>
  </si>
  <si>
    <t>DUST</t>
  </si>
  <si>
    <t>Dust and fume collection systems</t>
  </si>
  <si>
    <t>Sistemas de recolección de polvo y humos</t>
  </si>
  <si>
    <t>ELEC</t>
  </si>
  <si>
    <t>Electrical system, telecom plan</t>
  </si>
  <si>
    <t>Sistema eléctrico, plano de telecomunicaciones</t>
  </si>
  <si>
    <t>ELEV</t>
  </si>
  <si>
    <t>Elevation</t>
  </si>
  <si>
    <t>Elevación</t>
  </si>
  <si>
    <t>ELHT</t>
  </si>
  <si>
    <t>Electric heat</t>
  </si>
  <si>
    <t>Calefacción eléctrica</t>
  </si>
  <si>
    <t>EMCS</t>
  </si>
  <si>
    <t>Energy monitoring control system</t>
  </si>
  <si>
    <t>Sistema de control de monitoreo de energía</t>
  </si>
  <si>
    <t>ENER</t>
  </si>
  <si>
    <t>Energy management systems</t>
  </si>
  <si>
    <t>Sistemas de gestión de energía</t>
  </si>
  <si>
    <t>EQPM</t>
  </si>
  <si>
    <t>Equipo</t>
  </si>
  <si>
    <t>EROS</t>
  </si>
  <si>
    <t>Erosion and sediment control</t>
  </si>
  <si>
    <t>Control de erosión y sedimentos</t>
  </si>
  <si>
    <t>ESMT</t>
  </si>
  <si>
    <t>Easements</t>
  </si>
  <si>
    <t>Servidumbres</t>
  </si>
  <si>
    <t>EVAC</t>
  </si>
  <si>
    <t>Evacuation plan</t>
  </si>
  <si>
    <t>Plan de evacuación</t>
  </si>
  <si>
    <t>EXHS</t>
  </si>
  <si>
    <t>Exhaust system</t>
  </si>
  <si>
    <t>Sistema de extracción</t>
  </si>
  <si>
    <t>FENC</t>
  </si>
  <si>
    <t>Fences</t>
  </si>
  <si>
    <t>Cercas</t>
  </si>
  <si>
    <t>FIRE</t>
  </si>
  <si>
    <t>Fire protection</t>
  </si>
  <si>
    <t>FLHA</t>
  </si>
  <si>
    <t>Flood hazard area</t>
  </si>
  <si>
    <t>Zona con riesgo de inundación</t>
  </si>
  <si>
    <t>FLOR</t>
  </si>
  <si>
    <t>Floor</t>
  </si>
  <si>
    <t>Piso</t>
  </si>
  <si>
    <t>FNDN</t>
  </si>
  <si>
    <t>Foundation</t>
  </si>
  <si>
    <t>Cimentación</t>
  </si>
  <si>
    <t>FNSH</t>
  </si>
  <si>
    <t>Finishes</t>
  </si>
  <si>
    <t>Acabados</t>
  </si>
  <si>
    <t>FRAM</t>
  </si>
  <si>
    <t>Braced frame or moment frame</t>
  </si>
  <si>
    <t>Marco arriostrado o marco de momento</t>
  </si>
  <si>
    <t>FSTN</t>
  </si>
  <si>
    <t>Fasteners and connections</t>
  </si>
  <si>
    <t>Sujeciones y conexiones</t>
  </si>
  <si>
    <t>FUEL</t>
  </si>
  <si>
    <t>Fuel systems</t>
  </si>
  <si>
    <t>Sistemas de combustible</t>
  </si>
  <si>
    <t>FUME</t>
  </si>
  <si>
    <t>Fume hood</t>
  </si>
  <si>
    <t>Campana de extracción de gases</t>
  </si>
  <si>
    <t>FURN</t>
  </si>
  <si>
    <t>Furnishings</t>
  </si>
  <si>
    <t>Mobiliario</t>
  </si>
  <si>
    <t>GAS~</t>
  </si>
  <si>
    <t>Gas</t>
  </si>
  <si>
    <t>GATE</t>
  </si>
  <si>
    <t>Gate</t>
  </si>
  <si>
    <t>Portón</t>
  </si>
  <si>
    <t>GLAZ</t>
  </si>
  <si>
    <t>Glazing</t>
  </si>
  <si>
    <t>Acristalamiento</t>
  </si>
  <si>
    <t>GLYC</t>
  </si>
  <si>
    <t>Glycol systems</t>
  </si>
  <si>
    <t>Sistemas de glicol</t>
  </si>
  <si>
    <t>GRID</t>
  </si>
  <si>
    <t>Grids</t>
  </si>
  <si>
    <t>Rejillas</t>
  </si>
  <si>
    <t>GRLN</t>
  </si>
  <si>
    <t>Grade line</t>
  </si>
  <si>
    <t>Línea de rasante</t>
  </si>
  <si>
    <t>GRND</t>
  </si>
  <si>
    <t>Ground system</t>
  </si>
  <si>
    <t>Sistema de puesta a tierra</t>
  </si>
  <si>
    <t>HALN</t>
  </si>
  <si>
    <t>Halon</t>
  </si>
  <si>
    <t>Halón</t>
  </si>
  <si>
    <t>HVAC</t>
  </si>
  <si>
    <t>HVAC systems</t>
  </si>
  <si>
    <t>Sistemas de climatización (HVAC)</t>
  </si>
  <si>
    <t>HWTR</t>
  </si>
  <si>
    <t>Hot water heating system</t>
  </si>
  <si>
    <t>Sistema de calentamiento de agua caliente</t>
  </si>
  <si>
    <t>HYDR</t>
  </si>
  <si>
    <t>Hydraulic structure</t>
  </si>
  <si>
    <t>Estructura hidráulica</t>
  </si>
  <si>
    <t>IGAS</t>
  </si>
  <si>
    <t>Inert gas</t>
  </si>
  <si>
    <t>Gas inerte</t>
  </si>
  <si>
    <t>INGR</t>
  </si>
  <si>
    <t>Ingrants</t>
  </si>
  <si>
    <t>Concesiones</t>
  </si>
  <si>
    <t>INST</t>
  </si>
  <si>
    <t>Instrumentation system</t>
  </si>
  <si>
    <t>Sistema de instrumentación</t>
  </si>
  <si>
    <t>INTC</t>
  </si>
  <si>
    <t>Intercom / PA systems</t>
  </si>
  <si>
    <t>Intercomunicador/PA Sistemas</t>
  </si>
  <si>
    <t>IRRG</t>
  </si>
  <si>
    <t>Irrigation</t>
  </si>
  <si>
    <t>Riego</t>
  </si>
  <si>
    <t>JNTS</t>
  </si>
  <si>
    <t>Joints</t>
  </si>
  <si>
    <t>Juntas</t>
  </si>
  <si>
    <t>JOIS</t>
  </si>
  <si>
    <t>Joists</t>
  </si>
  <si>
    <t>Viguetas</t>
  </si>
  <si>
    <t>LAND</t>
  </si>
  <si>
    <t>Land</t>
  </si>
  <si>
    <t>Terreno</t>
  </si>
  <si>
    <t>LEGN</t>
  </si>
  <si>
    <t>Legend, symbols keys</t>
  </si>
  <si>
    <t>Leyenda, símbolos y claves</t>
  </si>
  <si>
    <t>LEVE</t>
  </si>
  <si>
    <t>Levee</t>
  </si>
  <si>
    <t>Dique</t>
  </si>
  <si>
    <t>LGAS</t>
  </si>
  <si>
    <t>Laboratory gas systems</t>
  </si>
  <si>
    <t>Sistemas de gases de laboratorio</t>
  </si>
  <si>
    <t>LIQD</t>
  </si>
  <si>
    <t>Liquid</t>
  </si>
  <si>
    <t>Líquido</t>
  </si>
  <si>
    <t>LITE</t>
  </si>
  <si>
    <t>Lighting</t>
  </si>
  <si>
    <t>Iluminación</t>
  </si>
  <si>
    <t>LNTL</t>
  </si>
  <si>
    <t>Lintels</t>
  </si>
  <si>
    <t>Dinteles</t>
  </si>
  <si>
    <t>LOCN</t>
  </si>
  <si>
    <t>Limits of construction</t>
  </si>
  <si>
    <t>Límites de construcción</t>
  </si>
  <si>
    <t>LTNG</t>
  </si>
  <si>
    <t>Lightning protection system</t>
  </si>
  <si>
    <t>Sistema de protección contra rayos</t>
  </si>
  <si>
    <t>MACH</t>
  </si>
  <si>
    <t>Machine shop</t>
  </si>
  <si>
    <t>Taller de maquinaria</t>
  </si>
  <si>
    <t>MAJQ</t>
  </si>
  <si>
    <t>Major equipment</t>
  </si>
  <si>
    <t>Equipo principal</t>
  </si>
  <si>
    <t>MDGS</t>
  </si>
  <si>
    <t>Medical gas systems</t>
  </si>
  <si>
    <t>Sistemas de gases medicinales</t>
  </si>
  <si>
    <t>MILL</t>
  </si>
  <si>
    <t>Millwork</t>
  </si>
  <si>
    <t>MINQ</t>
  </si>
  <si>
    <t>Minor equipment</t>
  </si>
  <si>
    <t>Equipo menor</t>
  </si>
  <si>
    <t>MKUP</t>
  </si>
  <si>
    <t>Make-up air systems</t>
  </si>
  <si>
    <t>Sistemas de aire de reposición</t>
  </si>
  <si>
    <t>MNTG</t>
  </si>
  <si>
    <t>Mounting system</t>
  </si>
  <si>
    <t>Sistema de montaje</t>
  </si>
  <si>
    <t>MPIP</t>
  </si>
  <si>
    <t>Miscellaneous piping systems</t>
  </si>
  <si>
    <t>Sistemas de tuberías misceláneos</t>
  </si>
  <si>
    <t>NGAS</t>
  </si>
  <si>
    <t>Natural gas systems</t>
  </si>
  <si>
    <t>Sistemas de gas natural</t>
  </si>
  <si>
    <t>NODE</t>
  </si>
  <si>
    <t>Node</t>
  </si>
  <si>
    <t>Nodo</t>
  </si>
  <si>
    <t>NURS</t>
  </si>
  <si>
    <t>Nurse call system</t>
  </si>
  <si>
    <t>Sistema de llamada a enfermeras</t>
  </si>
  <si>
    <t>OBST</t>
  </si>
  <si>
    <t>Obstructions</t>
  </si>
  <si>
    <t>Obstrucciones</t>
  </si>
  <si>
    <t>OIL~</t>
  </si>
  <si>
    <t>Oil</t>
  </si>
  <si>
    <t>Petróleo</t>
  </si>
  <si>
    <t>OTGR</t>
  </si>
  <si>
    <t>Outgrants</t>
  </si>
  <si>
    <t>Conducciones de salida</t>
  </si>
  <si>
    <t>PADS</t>
  </si>
  <si>
    <t>Pads</t>
  </si>
  <si>
    <t>Almohadillas</t>
  </si>
  <si>
    <t>PERC</t>
  </si>
  <si>
    <t>Perc testing</t>
  </si>
  <si>
    <t>Prueba de percolación</t>
  </si>
  <si>
    <t>PGNG</t>
  </si>
  <si>
    <t>Paging system</t>
  </si>
  <si>
    <t>Sistema de buscapersonas</t>
  </si>
  <si>
    <t>PHON</t>
  </si>
  <si>
    <t>Telephone system</t>
  </si>
  <si>
    <t>Sistema telefónico</t>
  </si>
  <si>
    <t>PIPE</t>
  </si>
  <si>
    <t>Piping</t>
  </si>
  <si>
    <t>Tuberías</t>
  </si>
  <si>
    <t>PLAN</t>
  </si>
  <si>
    <t>Key Plan (Floor Plan)</t>
  </si>
  <si>
    <t>Plano clave (Plano de planta)</t>
  </si>
  <si>
    <t>PLAT</t>
  </si>
  <si>
    <t>Platform</t>
  </si>
  <si>
    <t>Andén</t>
  </si>
  <si>
    <t>PLNT</t>
  </si>
  <si>
    <t>Plant and landscape material</t>
  </si>
  <si>
    <t>Planta y material de jardinería</t>
  </si>
  <si>
    <t>POND</t>
  </si>
  <si>
    <t>Ponds</t>
  </si>
  <si>
    <t>Estanques</t>
  </si>
  <si>
    <t>POWR</t>
  </si>
  <si>
    <t>Power</t>
  </si>
  <si>
    <t>Energía</t>
  </si>
  <si>
    <t>PRKG</t>
  </si>
  <si>
    <t>Parking lots</t>
  </si>
  <si>
    <t>Estacionamientos</t>
  </si>
  <si>
    <t>PROC</t>
  </si>
  <si>
    <t>Process systems</t>
  </si>
  <si>
    <t>Sistemas de proceso</t>
  </si>
  <si>
    <t>PROJ</t>
  </si>
  <si>
    <t>Projector system</t>
  </si>
  <si>
    <t>Sistema de proyectores</t>
  </si>
  <si>
    <t>PROP</t>
  </si>
  <si>
    <t>Property</t>
  </si>
  <si>
    <t>Propiedad</t>
  </si>
  <si>
    <t>PROT</t>
  </si>
  <si>
    <t>Fire protection system</t>
  </si>
  <si>
    <t>Sistema de protección contra incendios</t>
  </si>
  <si>
    <t>PRTN</t>
  </si>
  <si>
    <t>Partitions</t>
  </si>
  <si>
    <t>Tabiques</t>
  </si>
  <si>
    <t>PVMD</t>
  </si>
  <si>
    <t>Photovoltaic modules</t>
  </si>
  <si>
    <t>Módulos fotovoltaicos</t>
  </si>
  <si>
    <t>PVMT</t>
  </si>
  <si>
    <t>Pavement</t>
  </si>
  <si>
    <t>Pavimento</t>
  </si>
  <si>
    <t>RAIL</t>
  </si>
  <si>
    <t>Railroad</t>
  </si>
  <si>
    <t>Ferrocarril</t>
  </si>
  <si>
    <t>RAIR</t>
  </si>
  <si>
    <t>Relief air systems</t>
  </si>
  <si>
    <t>Sistemas de aire de alivio</t>
  </si>
  <si>
    <t>RCOV</t>
  </si>
  <si>
    <t>Energy recovery systems</t>
  </si>
  <si>
    <t>Sistemas de recuperación de energía</t>
  </si>
  <si>
    <t>REFG</t>
  </si>
  <si>
    <t>Refrigeration systems</t>
  </si>
  <si>
    <t>Sistemas de refrigeración</t>
  </si>
  <si>
    <t>RIGG</t>
  </si>
  <si>
    <t>Rigging / automation systems</t>
  </si>
  <si>
    <t>Aparejos/automatización Sistemas</t>
  </si>
  <si>
    <t>RIVR</t>
  </si>
  <si>
    <t>River</t>
  </si>
  <si>
    <t>Río</t>
  </si>
  <si>
    <t>ROAD</t>
  </si>
  <si>
    <t>Roadways</t>
  </si>
  <si>
    <t>Carreteras</t>
  </si>
  <si>
    <t>ROOF</t>
  </si>
  <si>
    <t>Roof</t>
  </si>
  <si>
    <t>RRAP</t>
  </si>
  <si>
    <t>Riprap</t>
  </si>
  <si>
    <t>Escalones</t>
  </si>
  <si>
    <t>RUNW</t>
  </si>
  <si>
    <t>Runway</t>
  </si>
  <si>
    <t>Pista</t>
  </si>
  <si>
    <t>RWAY</t>
  </si>
  <si>
    <t>Right-of-way</t>
  </si>
  <si>
    <t>Derecho de paso</t>
  </si>
  <si>
    <t>SECT</t>
  </si>
  <si>
    <t>Section</t>
  </si>
  <si>
    <t>Sección</t>
  </si>
  <si>
    <t>SERT</t>
  </si>
  <si>
    <t>Security system</t>
  </si>
  <si>
    <t>Sistema de seguridad</t>
  </si>
  <si>
    <t>SGHT</t>
  </si>
  <si>
    <t>Sight distance</t>
  </si>
  <si>
    <t>Distancia visual</t>
  </si>
  <si>
    <t>SIGN</t>
  </si>
  <si>
    <t>Sign</t>
  </si>
  <si>
    <t>Señal</t>
  </si>
  <si>
    <t>SITE</t>
  </si>
  <si>
    <t>Site features</t>
  </si>
  <si>
    <t>Características del sitio</t>
  </si>
  <si>
    <t>SLAB</t>
  </si>
  <si>
    <t>Slab</t>
  </si>
  <si>
    <t>Losa</t>
  </si>
  <si>
    <t>SLUR</t>
  </si>
  <si>
    <t>Slurry</t>
  </si>
  <si>
    <t>Lodo</t>
  </si>
  <si>
    <t>SMOK</t>
  </si>
  <si>
    <t>Smoke extraction systems</t>
  </si>
  <si>
    <t>Sistemas de extracción de humos</t>
  </si>
  <si>
    <t>SOIL</t>
  </si>
  <si>
    <t>Soils</t>
  </si>
  <si>
    <t>Suelos</t>
  </si>
  <si>
    <t>SOUN</t>
  </si>
  <si>
    <t>Sound system</t>
  </si>
  <si>
    <t>Sistema de sonido</t>
  </si>
  <si>
    <t>SPCL</t>
  </si>
  <si>
    <t>Special systems</t>
  </si>
  <si>
    <t>Sistemas especiales</t>
  </si>
  <si>
    <t>SPFX</t>
  </si>
  <si>
    <t>Entertainment special effects system</t>
  </si>
  <si>
    <t>Sistema de efectos especiales para entretenimiento</t>
  </si>
  <si>
    <t>SPKL</t>
  </si>
  <si>
    <t>Sprinkler</t>
  </si>
  <si>
    <t>Rociadores</t>
  </si>
  <si>
    <t>SSWR</t>
  </si>
  <si>
    <t>Sanitary sewer</t>
  </si>
  <si>
    <t>Alcantarillado sanitario</t>
  </si>
  <si>
    <t>STEM</t>
  </si>
  <si>
    <t>Steam system</t>
  </si>
  <si>
    <t>Sistema de vapor</t>
  </si>
  <si>
    <t>STIF</t>
  </si>
  <si>
    <t>Stiffener</t>
  </si>
  <si>
    <t>Refuerzo</t>
  </si>
  <si>
    <t>STRM</t>
  </si>
  <si>
    <t>Storm sewer</t>
  </si>
  <si>
    <t>Alcantarillado pluvial</t>
  </si>
  <si>
    <t>STRS</t>
  </si>
  <si>
    <t>Stairs</t>
  </si>
  <si>
    <t>Escaleras</t>
  </si>
  <si>
    <t>SURV</t>
  </si>
  <si>
    <t>Survey</t>
  </si>
  <si>
    <t>Topografía</t>
  </si>
  <si>
    <t>SWLK</t>
  </si>
  <si>
    <t>Sidewalks</t>
  </si>
  <si>
    <t>Aceras</t>
  </si>
  <si>
    <t>TEST</t>
  </si>
  <si>
    <t>Test equipment</t>
  </si>
  <si>
    <t>Equipo de prueba</t>
  </si>
  <si>
    <t>TILE</t>
  </si>
  <si>
    <t>Tile</t>
  </si>
  <si>
    <t>Tejas</t>
  </si>
  <si>
    <t>TINN</t>
  </si>
  <si>
    <t>Triangulated irregular network</t>
  </si>
  <si>
    <t>Red irregular triangular</t>
  </si>
  <si>
    <t>TOPO</t>
  </si>
  <si>
    <t>Topographic feature</t>
  </si>
  <si>
    <t>Característica topográfica</t>
  </si>
  <si>
    <t>TRAL</t>
  </si>
  <si>
    <t>Trails or paths</t>
  </si>
  <si>
    <t>Senderos o caminos</t>
  </si>
  <si>
    <t>TRAN</t>
  </si>
  <si>
    <t>Transmission system</t>
  </si>
  <si>
    <t>Sistema de transmisión</t>
  </si>
  <si>
    <t>TRUS</t>
  </si>
  <si>
    <t>Trusses</t>
  </si>
  <si>
    <t>Cerchas</t>
  </si>
  <si>
    <t>TVAN</t>
  </si>
  <si>
    <t>Television antenna system</t>
  </si>
  <si>
    <t>Sistema de antena de televisión</t>
  </si>
  <si>
    <t>TVVS</t>
  </si>
  <si>
    <t>Television and video system</t>
  </si>
  <si>
    <t>Sistema de televisión y video</t>
  </si>
  <si>
    <t>UNID</t>
  </si>
  <si>
    <t>Unidentified site objects</t>
  </si>
  <si>
    <t>Objetos no identificados del sitio</t>
  </si>
  <si>
    <t>UTIL</t>
  </si>
  <si>
    <t>Utilities</t>
  </si>
  <si>
    <t>Servicios públicos</t>
  </si>
  <si>
    <t>VACU</t>
  </si>
  <si>
    <t>Vacuum</t>
  </si>
  <si>
    <t>Aspiradora</t>
  </si>
  <si>
    <t>VIDO</t>
  </si>
  <si>
    <t>Entertainment projection systems</t>
  </si>
  <si>
    <t>Sistemas de proyección de entretenimiento</t>
  </si>
  <si>
    <t>WALL</t>
  </si>
  <si>
    <t>Walls</t>
  </si>
  <si>
    <t>Muros</t>
  </si>
  <si>
    <t>WATR</t>
  </si>
  <si>
    <t>Water supply</t>
  </si>
  <si>
    <t>Suministro de agua</t>
  </si>
  <si>
    <t>WETL</t>
  </si>
  <si>
    <t>Wetlands</t>
  </si>
  <si>
    <t>Humedales</t>
  </si>
  <si>
    <t>WIND</t>
  </si>
  <si>
    <t>Wind powered</t>
  </si>
  <si>
    <t>Energía eólica</t>
  </si>
  <si>
    <t>WWAY</t>
  </si>
  <si>
    <t>Waterway</t>
  </si>
  <si>
    <t>Vía fluvial</t>
  </si>
  <si>
    <t>Grupo mayor</t>
  </si>
  <si>
    <t>Layer name</t>
  </si>
  <si>
    <t>A□-AREA</t>
  </si>
  <si>
    <t>A□-AREA-OCCP</t>
  </si>
  <si>
    <t>Area: occupant or employee names</t>
  </si>
  <si>
    <t>Área: nombres de ocupantes o empleados</t>
  </si>
  <si>
    <t>A□-BARR</t>
  </si>
  <si>
    <t>A□-BARR-AIR~</t>
  </si>
  <si>
    <t>Barrier: air</t>
  </si>
  <si>
    <t>Barrera: aire</t>
  </si>
  <si>
    <t>A□-CLNG</t>
  </si>
  <si>
    <t>A□-CLNG-ACCS</t>
  </si>
  <si>
    <t>Ceiling: access</t>
  </si>
  <si>
    <t>Techo: acceso</t>
  </si>
  <si>
    <t>A□-CLNG-GRID</t>
  </si>
  <si>
    <t>Ceiling: grid</t>
  </si>
  <si>
    <t>Techo: rejilla</t>
  </si>
  <si>
    <t>A□-CLNG-OPNG</t>
  </si>
  <si>
    <t>Ceiling: openings</t>
  </si>
  <si>
    <t>Techo: aberturas</t>
  </si>
  <si>
    <t>A□-CLNG-SUSP</t>
  </si>
  <si>
    <t>Ceiling: suspended elements</t>
  </si>
  <si>
    <t>Techo: elementos suspendidos</t>
  </si>
  <si>
    <t>A□-CLNG-TEES</t>
  </si>
  <si>
    <t>Ceiling: main tees</t>
  </si>
  <si>
    <t>Techo: tes principales</t>
  </si>
  <si>
    <t>A□-COLS</t>
  </si>
  <si>
    <t>A□-CONV</t>
  </si>
  <si>
    <t>A□-DOOR</t>
  </si>
  <si>
    <t>A□-DOOR-FULL</t>
  </si>
  <si>
    <t>Doors: full-height (swing and leaf)</t>
  </si>
  <si>
    <t>Puertas: altura completa (batientes y de hoja)</t>
  </si>
  <si>
    <t>A□-DOOR-PRHT</t>
  </si>
  <si>
    <t>Doors: partial-height (swing and leaf)</t>
  </si>
  <si>
    <t>Puertas: altura parcial (batientes y de hoja)</t>
  </si>
  <si>
    <t>A□-EQPM</t>
  </si>
  <si>
    <t>A□-EQPM-ACCS</t>
  </si>
  <si>
    <t>Equipment: access</t>
  </si>
  <si>
    <t>Equipo: acceso</t>
  </si>
  <si>
    <t>A□-EQPM-FIXD</t>
  </si>
  <si>
    <t>Equipment: fixed</t>
  </si>
  <si>
    <t>Equipo: fijo</t>
  </si>
  <si>
    <t>A□-EQPM-OVHD</t>
  </si>
  <si>
    <t>Equipment: overhead</t>
  </si>
  <si>
    <t>Equipo: suspendido</t>
  </si>
  <si>
    <t>A□-FLOR</t>
  </si>
  <si>
    <t>A□-FLOR-CSWK</t>
  </si>
  <si>
    <t>Floor: casework</t>
  </si>
  <si>
    <t>Piso: carpintería</t>
  </si>
  <si>
    <t>A□-FLOR-EVTR</t>
  </si>
  <si>
    <t>Floor: elevator cars and equipment</t>
  </si>
  <si>
    <t>Piso: cabinas y equipo de ascensor</t>
  </si>
  <si>
    <t>A□-FLOR-FIXT</t>
  </si>
  <si>
    <t>Floor: fixtures (plumbing)</t>
  </si>
  <si>
    <t>Piso: accesorios (fontanería)</t>
  </si>
  <si>
    <t>A□-FLOR-HRAL</t>
  </si>
  <si>
    <t>Floor: handrails/guard rails</t>
  </si>
  <si>
    <t>Piso: pasamanos/barandillas</t>
  </si>
  <si>
    <t>A□-FLOR-LEVL</t>
  </si>
  <si>
    <t>Floor: level changes (ramps, pits, depressions)</t>
  </si>
  <si>
    <t>Piso: cambios de nivel (rampas, fosos, depresiones)</t>
  </si>
  <si>
    <t>A□-FLOR-OTLN</t>
  </si>
  <si>
    <t>Floor: outline</t>
  </si>
  <si>
    <t>Piso: contorno</t>
  </si>
  <si>
    <t>A□-FLOR-OVHD</t>
  </si>
  <si>
    <t>Floor: overhead</t>
  </si>
  <si>
    <t>Piso: suspendido</t>
  </si>
  <si>
    <t>A□-FLOR-RAIS</t>
  </si>
  <si>
    <t>Floor: raised</t>
  </si>
  <si>
    <t>Piso: elevado</t>
  </si>
  <si>
    <t>A□-FLOR-RISR</t>
  </si>
  <si>
    <t>Floor: risers</t>
  </si>
  <si>
    <t>Piso: contrahuellas</t>
  </si>
  <si>
    <t>A□-FLOR-SIGN</t>
  </si>
  <si>
    <t>Floor: signage</t>
  </si>
  <si>
    <t>Piso: señalización</t>
  </si>
  <si>
    <t>A□-FLOR-SPCL</t>
  </si>
  <si>
    <t>Floor: specialties (toilet room accessories, display cases) A□-FLOR-STRS</t>
  </si>
  <si>
    <t>Piso: artículos especiales (accesorios para baños, vitrinas) A□-FLOR-STRS</t>
  </si>
  <si>
    <t>A□-FLOR-TPTN</t>
  </si>
  <si>
    <t>Floor: toilet partitions</t>
  </si>
  <si>
    <t>Suelo: mamparas de baño</t>
  </si>
  <si>
    <t>A□-FLOR-WDWK</t>
  </si>
  <si>
    <t>Floor: architectural woodwork</t>
  </si>
  <si>
    <t>Suelo: carpintería arquitectónica</t>
  </si>
  <si>
    <t>A□-FURN</t>
  </si>
  <si>
    <t>A□-FURN-FILE</t>
  </si>
  <si>
    <t>Furnishings: file cabinets</t>
  </si>
  <si>
    <t>Mobiliario: archivadores</t>
  </si>
  <si>
    <t>A□-FURN-FIXD</t>
  </si>
  <si>
    <t>Furnishings: fixed</t>
  </si>
  <si>
    <t>Mobiliario: fijo</t>
  </si>
  <si>
    <t>A□-FURN-FREE</t>
  </si>
  <si>
    <t>Furnishings: freestanding</t>
  </si>
  <si>
    <t>Mobiliario: independiente</t>
  </si>
  <si>
    <t>A□-FURN-PLNT</t>
  </si>
  <si>
    <t>Furnishings: plants</t>
  </si>
  <si>
    <t>Mobiliario: plantas</t>
  </si>
  <si>
    <t>A□-FURN-PNLS</t>
  </si>
  <si>
    <t>Furnishings: system panels</t>
  </si>
  <si>
    <t>Mobiliario: paneles de sistema</t>
  </si>
  <si>
    <t>A□-FURN-SEAT</t>
  </si>
  <si>
    <t>Furnishings: seating</t>
  </si>
  <si>
    <t>Mobiliario: asientos</t>
  </si>
  <si>
    <t>A□-FURN-STOR</t>
  </si>
  <si>
    <t>Furnishings: storage (component system)</t>
  </si>
  <si>
    <t>Mobiliario: almacenamiento (sistema de componentes)</t>
  </si>
  <si>
    <t>A□-FURN-WKSF</t>
  </si>
  <si>
    <t>Furnishings: work surface (component system) A□-GLAZ</t>
  </si>
  <si>
    <t>Mobiliario: superficie de trabajo (sistema de componentes) A□-GLAZ</t>
  </si>
  <si>
    <t>A□-GLAZ-FULL</t>
  </si>
  <si>
    <t>Glazing: full-height</t>
  </si>
  <si>
    <t>Acristalamiento: altura completa</t>
  </si>
  <si>
    <t>A□-GLAZ-PRHT</t>
  </si>
  <si>
    <t>Glazing: partial-height</t>
  </si>
  <si>
    <t>Acristalamiento: altura parcial</t>
  </si>
  <si>
    <t>A□-GLAZ-SILL</t>
  </si>
  <si>
    <t>Glazing: window sills</t>
  </si>
  <si>
    <t>Acristalamiento: alféizares de ventanas</t>
  </si>
  <si>
    <t>A□-HVAC</t>
  </si>
  <si>
    <t>A□-HVAC-RDFF</t>
  </si>
  <si>
    <t>HVAC systems: return air diffusers</t>
  </si>
  <si>
    <t>Sistemas de climatización (HVAC): difusores de aire de retorno</t>
  </si>
  <si>
    <t>A□-HVAC-SDFF</t>
  </si>
  <si>
    <t>HVAC systems: supply diffusers</t>
  </si>
  <si>
    <t>Sistemas de climatización (HVAC): difusores de suministro</t>
  </si>
  <si>
    <t>A□-LITE</t>
  </si>
  <si>
    <t>A□-ROOF</t>
  </si>
  <si>
    <t>A□-ROOF-HRAL</t>
  </si>
  <si>
    <t>Roof: handrails/guard rails</t>
  </si>
  <si>
    <t>Techo: pasamanos/barandillas</t>
  </si>
  <si>
    <t>A□-ROOF-LEVL</t>
  </si>
  <si>
    <t>Roof: level changes</t>
  </si>
  <si>
    <t>Techo: cambios de nivel</t>
  </si>
  <si>
    <t>A□-ROOF-OTLN</t>
  </si>
  <si>
    <t>Roof: outline</t>
  </si>
  <si>
    <t>Techo: contorno</t>
  </si>
  <si>
    <t>A□-ROOF-RISR</t>
  </si>
  <si>
    <t>Roof: risers</t>
  </si>
  <si>
    <t>Techo: contrahuellas</t>
  </si>
  <si>
    <t>A□-ROOF-STRS</t>
  </si>
  <si>
    <t>Roof: stair treads (ladders)</t>
  </si>
  <si>
    <t>Techo: peldaños de escalera</t>
  </si>
  <si>
    <t>A□-WALL</t>
  </si>
  <si>
    <t>Paredes</t>
  </si>
  <si>
    <t>A□-WALL-CAVI</t>
  </si>
  <si>
    <t>Walls: cavity</t>
  </si>
  <si>
    <t>Paredes: cámara de aire</t>
  </si>
  <si>
    <t>A□-WALL-CNTR</t>
  </si>
  <si>
    <t>Walls: center</t>
  </si>
  <si>
    <t>Paredes: centro</t>
  </si>
  <si>
    <t>A□-WALL-CURT</t>
  </si>
  <si>
    <t>Walls: curtain</t>
  </si>
  <si>
    <t>Paredes: cortina</t>
  </si>
  <si>
    <t>A□-WALL-FIRE</t>
  </si>
  <si>
    <t>Walls: fire protection</t>
  </si>
  <si>
    <t>Paredes: protección contra incendios</t>
  </si>
  <si>
    <t>A□-WALL-FULL</t>
  </si>
  <si>
    <t>Walls: full-height</t>
  </si>
  <si>
    <t>Paredes: Altura completa</t>
  </si>
  <si>
    <t>A□-WALL-FULL-EXTR</t>
  </si>
  <si>
    <t>Walls: full-height: exterior A□-WALL-FULL-INTR</t>
  </si>
  <si>
    <t>Paredes: altura completa: exterior A□-WALL-FULL-INTR</t>
  </si>
  <si>
    <t>A□-WALL-HEAD</t>
  </si>
  <si>
    <t>Walls: door and window headers</t>
  </si>
  <si>
    <t>Paredes: dintel de puertas y ventanas</t>
  </si>
  <si>
    <t>A□-WALL-JAMB</t>
  </si>
  <si>
    <t>Walls: door and window jambs</t>
  </si>
  <si>
    <t>Paredes: jambas de puertas y ventanas</t>
  </si>
  <si>
    <t>A□-WALL-MESH</t>
  </si>
  <si>
    <t>Walls: mesh or wire</t>
  </si>
  <si>
    <t>Paredes: malla o alambre</t>
  </si>
  <si>
    <t>A□-WALL-MOVE</t>
  </si>
  <si>
    <t>Walls: moveable</t>
  </si>
  <si>
    <t>Paredes: móviles</t>
  </si>
  <si>
    <t>A□-WALL-PATT</t>
  </si>
  <si>
    <t>Walls: texture and hatch patterns</t>
  </si>
  <si>
    <t>Paredes: textura y patrones de tramado</t>
  </si>
  <si>
    <t>A□-WALL-PRHT</t>
  </si>
  <si>
    <t>Walls: partial-height</t>
  </si>
  <si>
    <t>Paredes: altura parcial</t>
  </si>
  <si>
    <t>C□-AFLD</t>
  </si>
  <si>
    <t>C□-AFLD-ASPH</t>
  </si>
  <si>
    <t>Airfields: asphalt</t>
  </si>
  <si>
    <t>Aeródromos: asfalto</t>
  </si>
  <si>
    <t>C□-AFLD-CNTR</t>
  </si>
  <si>
    <t>Airfields: center</t>
  </si>
  <si>
    <t>Aeródromos: centro</t>
  </si>
  <si>
    <t>C□-AFLD-CONC</t>
  </si>
  <si>
    <t>Airfields: concrete</t>
  </si>
  <si>
    <t>Aeródromos: hormigón</t>
  </si>
  <si>
    <t>C□-AFLD-FLNE</t>
  </si>
  <si>
    <t>Airfields: fire lane</t>
  </si>
  <si>
    <t>Aeródromos: carril cortafuegos</t>
  </si>
  <si>
    <t>C□-AFLD-FLNE-MRKG</t>
  </si>
  <si>
    <t xml:space="preserve">Airfields: fire lane: pavement markings </t>
  </si>
  <si>
    <t>Aeródromos: carril cortafuegos: marcas en el pavimento</t>
  </si>
  <si>
    <t>C□-AFLD-FLNE-SIGN</t>
  </si>
  <si>
    <t xml:space="preserve"> Airfields: fire lane: signage</t>
  </si>
  <si>
    <t>Aeródromos: carril cortafuegos: señalización</t>
  </si>
  <si>
    <t>C□-AFLD-GRVL</t>
  </si>
  <si>
    <t>Airfields: gravel</t>
  </si>
  <si>
    <t>Aeródromos: grava</t>
  </si>
  <si>
    <t>C□-AFLD-MRKG</t>
  </si>
  <si>
    <t>Airfields: pavement markings</t>
  </si>
  <si>
    <t>Aeródromos: marcas en el pavimento</t>
  </si>
  <si>
    <t>C□-AFLD-SIGN</t>
  </si>
  <si>
    <t>Airfields: signage</t>
  </si>
  <si>
    <t>Aeródromos: señalización</t>
  </si>
  <si>
    <t>C□-AFLD-STAN</t>
  </si>
  <si>
    <t>Airfields: stationing</t>
  </si>
  <si>
    <t>Aeródromos: estacionamiento</t>
  </si>
  <si>
    <t>C□-AFLD-WHIT</t>
  </si>
  <si>
    <t>Airfields: white paint</t>
  </si>
  <si>
    <t>Aeródromos: pintura blanca</t>
  </si>
  <si>
    <t>C□-AFLD-WHIT-TICK</t>
  </si>
  <si>
    <t>Airfields: white paint: tick marks</t>
  </si>
  <si>
    <t>Aeródromos: pintura blanca: marcas de verificación</t>
  </si>
  <si>
    <t xml:space="preserve"> C□-AFLD-YELO</t>
  </si>
  <si>
    <t xml:space="preserve"> Airfields: yellow paint</t>
  </si>
  <si>
    <t>Aeródromos: pintura amarilla</t>
  </si>
  <si>
    <t>C□-AFLD-YELO-TICK</t>
  </si>
  <si>
    <t xml:space="preserve">Airfields: yellow paint: tick marks </t>
  </si>
  <si>
    <t>Aeródromos: pintura amarilla: marcas de verificación</t>
  </si>
  <si>
    <t>C□-BLDG</t>
  </si>
  <si>
    <t xml:space="preserve"> Buildings and primary structures</t>
  </si>
  <si>
    <t>Edificios y estructuras principales</t>
  </si>
  <si>
    <t>C□-BLDG-DECK</t>
  </si>
  <si>
    <t>Buildings and primary structures: deck (attached, no roo foverhead)</t>
  </si>
  <si>
    <t>Edificios y estructuras principales: cubierta (adosada, sin techo)</t>
  </si>
  <si>
    <t>C□-BLDG-OTLN</t>
  </si>
  <si>
    <t>Buildings and primary structures: outline</t>
  </si>
  <si>
    <t>Edificios y estructuras principales: contorno</t>
  </si>
  <si>
    <t>C□-BLDG-OVHD</t>
  </si>
  <si>
    <t>Buildings and primary structures: overhead</t>
  </si>
  <si>
    <t>Edificios y estructuras principales: cubierta</t>
  </si>
  <si>
    <t>C□-BLDG-PRCH</t>
  </si>
  <si>
    <t>Buildings and primary structures: porch (attached, roof overhead)</t>
  </si>
  <si>
    <t>Edificios y estructuras principales: pórtico (adosado, techo)</t>
  </si>
  <si>
    <t>C□-BLIN</t>
  </si>
  <si>
    <t>C□-BLIN-STAN</t>
  </si>
  <si>
    <t>Baseline: stationing</t>
  </si>
  <si>
    <t>Línea base: estacionamiento</t>
  </si>
  <si>
    <t>C□-BORE</t>
  </si>
  <si>
    <t>C□-BRDG</t>
  </si>
  <si>
    <t>C□-BRDG-CNTJ</t>
  </si>
  <si>
    <t>Bridge: construction joint</t>
  </si>
  <si>
    <t>Puente: junta de construcción</t>
  </si>
  <si>
    <t>C□-BRDG-CNTR</t>
  </si>
  <si>
    <t>Bridge: center</t>
  </si>
  <si>
    <t>Puente: centro</t>
  </si>
  <si>
    <t>C□-BRDG-DECK</t>
  </si>
  <si>
    <t>Bridge: deck</t>
  </si>
  <si>
    <t>Puente: cubierta</t>
  </si>
  <si>
    <t>C□-BRDG-EXPJ</t>
  </si>
  <si>
    <t>Bridge: expansion joint</t>
  </si>
  <si>
    <t>Puente: junta de dilatación</t>
  </si>
  <si>
    <t>C□-BRDG-FALT</t>
  </si>
  <si>
    <t>Bridge: fault/break line</t>
  </si>
  <si>
    <t>Puente: línea de falla/rotura</t>
  </si>
  <si>
    <t>C□-BRDG-HIDD</t>
  </si>
  <si>
    <t>Bridge: objects or lines hidden from view</t>
  </si>
  <si>
    <t>Puente: objetos o líneas ocultos Vista</t>
  </si>
  <si>
    <t>C□-BRDG-OBJT</t>
  </si>
  <si>
    <t>Bridge: objects</t>
  </si>
  <si>
    <t>Puente: objetos</t>
  </si>
  <si>
    <t>C□-BRDG-OBJT-PRIM</t>
  </si>
  <si>
    <t>Bridge: objects: primary</t>
  </si>
  <si>
    <t>Puente: objetos: principal</t>
  </si>
  <si>
    <t xml:space="preserve"> C□-BRDG-OBJT-SECD</t>
  </si>
  <si>
    <t xml:space="preserve"> Bridge: objects: secondary </t>
  </si>
  <si>
    <t>Puente: objetos: secundario</t>
  </si>
  <si>
    <t xml:space="preserve">C□-BRDG-RBAR </t>
  </si>
  <si>
    <t>Bridge: reinforcing bar</t>
  </si>
  <si>
    <t>Puente: barra de refuerzo</t>
  </si>
  <si>
    <t>C□-CATV</t>
  </si>
  <si>
    <t>C□-CATV-OVHD</t>
  </si>
  <si>
    <t>Cable television system: overhead</t>
  </si>
  <si>
    <t>Sistema de televisión por cable: aéreo</t>
  </si>
  <si>
    <t>C□-CATV-POLE</t>
  </si>
  <si>
    <t>Cable television system: pole</t>
  </si>
  <si>
    <t>Sistema de televisión por cable: poste</t>
  </si>
  <si>
    <t>C□-CATV-UGND</t>
  </si>
  <si>
    <t>Cable television system: underground</t>
  </si>
  <si>
    <t>Sistema de televisión por cable: subterráneo</t>
  </si>
  <si>
    <t>C□-CEME</t>
  </si>
  <si>
    <t>C□-CHAN</t>
  </si>
  <si>
    <t>C□-CHAN-BWTR</t>
  </si>
  <si>
    <t>Navigable channels: breakwater</t>
  </si>
  <si>
    <t>Canales navegables: rompeolas</t>
  </si>
  <si>
    <t>C□-CHAN-CNTR</t>
  </si>
  <si>
    <t>Navigable channels: center</t>
  </si>
  <si>
    <t>Canales navegables: centro</t>
  </si>
  <si>
    <t>C□-CHAN-DACL</t>
  </si>
  <si>
    <t>Navigable channels: de-authorized channel limits, anchorages, etc.</t>
  </si>
  <si>
    <t>Canales navegables: límites de canales no autorizados, fondeaderos, etc.</t>
  </si>
  <si>
    <t>C□-CHAN-DOCK</t>
  </si>
  <si>
    <t xml:space="preserve">Navigable channels: decks, docks, floats, piers </t>
  </si>
  <si>
    <t>Canales navegables: cubiertas, muelles, flotadores, embarcaderos</t>
  </si>
  <si>
    <t>C□-CHAN-NAID</t>
  </si>
  <si>
    <t>Navigable channels: navigation aids</t>
  </si>
  <si>
    <t>Canales navegables: ayudas a la navegación</t>
  </si>
  <si>
    <t>C□-COMM</t>
  </si>
  <si>
    <t>C□-COMM-OVHD</t>
  </si>
  <si>
    <t>Communications: overhead</t>
  </si>
  <si>
    <t>Comunicaciones: aéreas</t>
  </si>
  <si>
    <t>C□-COMM-POLE</t>
  </si>
  <si>
    <t>Communications: pole</t>
  </si>
  <si>
    <t>Comunicaciones: poste</t>
  </si>
  <si>
    <t>C□- COMM-UGND</t>
  </si>
  <si>
    <t>Communications: underground</t>
  </si>
  <si>
    <t>Comunicaciones: subterráneas</t>
  </si>
  <si>
    <t>C□-CTRL</t>
  </si>
  <si>
    <t>C□-CTR L-BMRK</t>
  </si>
  <si>
    <t>Control points: benchmarks</t>
  </si>
  <si>
    <t>Puntos de control: puntos de referencia</t>
  </si>
  <si>
    <t>C□-CTRL-FLYS</t>
  </si>
  <si>
    <t>Control points: fly station</t>
  </si>
  <si>
    <t>Puntos de control: estación de vuelo</t>
  </si>
  <si>
    <t>C□-CTRL-GRID</t>
  </si>
  <si>
    <t>Control points: grid</t>
  </si>
  <si>
    <t>Puntos de control: cuadrícula</t>
  </si>
  <si>
    <t>C□-CTRL-HORZ</t>
  </si>
  <si>
    <t>Control points: horizontal</t>
  </si>
  <si>
    <t>Puntos de control: horizontal</t>
  </si>
  <si>
    <t>C□-CTRL-HVPT</t>
  </si>
  <si>
    <t>Control points: horizontal/vertical</t>
  </si>
  <si>
    <t>Puntos de control: horizontal/vertical</t>
  </si>
  <si>
    <t>C□-CTRL-PNPT</t>
  </si>
  <si>
    <t>Control points: panel points</t>
  </si>
  <si>
    <t>Puntos de control: puntos de panel</t>
  </si>
  <si>
    <t>C□-CTRL-TRAV</t>
  </si>
  <si>
    <t>Control points: transverse</t>
  </si>
  <si>
    <t>Puntos de control: transversal</t>
  </si>
  <si>
    <t>C□-CTRL-VERT</t>
  </si>
  <si>
    <t>Control points: vertical</t>
  </si>
  <si>
    <t>Puntos de control: vertical</t>
  </si>
  <si>
    <t>C□-DFLD</t>
  </si>
  <si>
    <t>C□-DFLD-OTLN</t>
  </si>
  <si>
    <t>Drain fields: outline</t>
  </si>
  <si>
    <t>Campos de drenaje: contorno</t>
  </si>
  <si>
    <t>C□-DFLD-PROF</t>
  </si>
  <si>
    <t>Drain fields: profile</t>
  </si>
  <si>
    <t>Campos de drenaje: perfil</t>
  </si>
  <si>
    <t>C□-DRIV</t>
  </si>
  <si>
    <t>Accesos vehiculares</t>
  </si>
  <si>
    <t>C□-DRIV-ASPH</t>
  </si>
  <si>
    <t>Driveways: asphalt</t>
  </si>
  <si>
    <t>Accesos vehiculares: asfalto</t>
  </si>
  <si>
    <t>C□-DRIV-CNTR</t>
  </si>
  <si>
    <t>Driveways: center</t>
  </si>
  <si>
    <t>Accesos vehiculares: centro</t>
  </si>
  <si>
    <t>C□-DRIV-CONC</t>
  </si>
  <si>
    <t>Driveways: concrete</t>
  </si>
  <si>
    <t>Accesos vehiculares: hormigón</t>
  </si>
  <si>
    <t>C□-DRIV-CURB</t>
  </si>
  <si>
    <t>Driveways: curb</t>
  </si>
  <si>
    <t>Accesos vehiculares: Bordillo</t>
  </si>
  <si>
    <t>C□-DRIV-CURB-BACK</t>
  </si>
  <si>
    <t>Driveways: curb: back</t>
  </si>
  <si>
    <t>Entradas: Bordillo: Parte trasera</t>
  </si>
  <si>
    <t xml:space="preserve"> C□-DRIV-CURB-FACE</t>
  </si>
  <si>
    <t xml:space="preserve">Driveways: curb: face </t>
  </si>
  <si>
    <t>Entradas: Bordillo: Cara</t>
  </si>
  <si>
    <t>C□-DRIV-FLNE</t>
  </si>
  <si>
    <t>Driveways: fire lane</t>
  </si>
  <si>
    <t>Entradas: Carril contra incendios</t>
  </si>
  <si>
    <t>C□-DRIV-FLNE-MRKG</t>
  </si>
  <si>
    <t>Driveways: fire lane: pavement markings</t>
  </si>
  <si>
    <t>Entradas: Carril contra incendios: Marcas en el pavimento</t>
  </si>
  <si>
    <t>C□-DRIV-FLNE-SIGN</t>
  </si>
  <si>
    <t>Driveways: fire lane: signage</t>
  </si>
  <si>
    <t>Entradas: Carril contra incendios: Señalización</t>
  </si>
  <si>
    <t xml:space="preserve"> C□-DRIV-GRVL</t>
  </si>
  <si>
    <t>Driveways: gravel</t>
  </si>
  <si>
    <t>Entradas: Grava</t>
  </si>
  <si>
    <t>C□-DRIV-MRKG</t>
  </si>
  <si>
    <t>Driveways: pavement markings</t>
  </si>
  <si>
    <t>Entradas: Marcas en el pavimento</t>
  </si>
  <si>
    <t>C□-DRIV-SIGN</t>
  </si>
  <si>
    <t>Driveways: signage</t>
  </si>
  <si>
    <t>Entradas: Señalización</t>
  </si>
  <si>
    <t>C□-DRI V-UPVD</t>
  </si>
  <si>
    <t>Driveways: unpaved surface</t>
  </si>
  <si>
    <t>Entradas: Superficie sin pavimentar</t>
  </si>
  <si>
    <t>C□-DRIV-WHIT</t>
  </si>
  <si>
    <t>Driveways: white paint</t>
  </si>
  <si>
    <t>Entradas: Pintura blanca</t>
  </si>
  <si>
    <t>C□-DRIV-WHIT-TICK</t>
  </si>
  <si>
    <t xml:space="preserve">Driveways: white paint: tick marks </t>
  </si>
  <si>
    <t>Entradas: Pintura blanca: Marcas de verificación</t>
  </si>
  <si>
    <t>C□-DRIV-YELO</t>
  </si>
  <si>
    <t>Driveways: yellow paint</t>
  </si>
  <si>
    <t>Entradas: Pintura amarilla</t>
  </si>
  <si>
    <t>C□-DRIV-YELO-TICK</t>
  </si>
  <si>
    <t xml:space="preserve">Driveways: yellow paint: tick marks </t>
  </si>
  <si>
    <t>Entradas: Pintura amarilla: Marcas de verificación</t>
  </si>
  <si>
    <t>C□-DTCH</t>
  </si>
  <si>
    <t>Cuencas o zanjas</t>
  </si>
  <si>
    <t>C□-DTCH-BOTM</t>
  </si>
  <si>
    <t>Ditches or washes: bottom</t>
  </si>
  <si>
    <t>Cuencas o zanjas: Parte inferior</t>
  </si>
  <si>
    <t>C□-DTCH-CNTR</t>
  </si>
  <si>
    <t>Ditches or washes: center</t>
  </si>
  <si>
    <t>Cuencas o zanjas: Centro</t>
  </si>
  <si>
    <t>C□-DTCH-EWAT</t>
  </si>
  <si>
    <t>Ditches or washes: edge of water</t>
  </si>
  <si>
    <t>Cuencas o zanjas: Borde del agua</t>
  </si>
  <si>
    <t>C□-DTCH-TOP~</t>
  </si>
  <si>
    <t>Ditches or washes: top</t>
  </si>
  <si>
    <t>Cuencas o zanjas: Parte superior</t>
  </si>
  <si>
    <t>C□-EROS</t>
  </si>
  <si>
    <t>C□-EROS-CIPR</t>
  </si>
  <si>
    <t xml:space="preserve">Erosion and sediment control: culvert inlet protection </t>
  </si>
  <si>
    <t>Control de erosión y sedimentos: Protección de la entrada de la alcantarilla</t>
  </si>
  <si>
    <t>C□-EROS-CNTE</t>
  </si>
  <si>
    <t>Erosion and sediment control: construction entrance</t>
  </si>
  <si>
    <t>Control de erosión y sedimentos: Entrada de la construcción</t>
  </si>
  <si>
    <t xml:space="preserve"> C□-EROS-DDIV</t>
  </si>
  <si>
    <t>Erosion and sediment control: drainage divides</t>
  </si>
  <si>
    <t>Control de erosión y sedimentos: Divisorias de drenaje</t>
  </si>
  <si>
    <t>C□-EROS-DVDK</t>
  </si>
  <si>
    <t xml:space="preserve">Erosion and sediment control: diversion dike </t>
  </si>
  <si>
    <t>Control de erosión y sedimentos: Dique de derivación</t>
  </si>
  <si>
    <t>C□-EROS-INPR</t>
  </si>
  <si>
    <t>Erosion and sediment control: inlet protection</t>
  </si>
  <si>
    <t>Control de erosión y sedimentos: Protección de la entrada</t>
  </si>
  <si>
    <t>C□-EROS-SILT</t>
  </si>
  <si>
    <t>Erosion and sediment control: silt fence</t>
  </si>
  <si>
    <t>Control de erosión y sedimentos: Barrera de sedimentos</t>
  </si>
  <si>
    <t>C□-EROS-SSLT</t>
  </si>
  <si>
    <t>Erosion and sediment control: super silt fence</t>
  </si>
  <si>
    <t>Control de erosión y sedimentos: Superlimo Cerca</t>
  </si>
  <si>
    <t>C□-ESMT</t>
  </si>
  <si>
    <t>C□-ESMT-ACCS</t>
  </si>
  <si>
    <t xml:space="preserve">Easements: access (pedestrian only; private access) </t>
  </si>
  <si>
    <t>Servidumbres: acceso (solo para peatones; acceso privado)</t>
  </si>
  <si>
    <t>C□-ESMT-CATV</t>
  </si>
  <si>
    <t>Easements: utility - cable television system</t>
  </si>
  <si>
    <t>Servidumbres: servicios públicos - sistema de televisión por cable</t>
  </si>
  <si>
    <t>C□-ESMT-CONS</t>
  </si>
  <si>
    <t>Easements: conservation</t>
  </si>
  <si>
    <t>Servidumbres: conservación</t>
  </si>
  <si>
    <t>C□-ESMT-CSTG</t>
  </si>
  <si>
    <t>Easements: construction/grading</t>
  </si>
  <si>
    <t>Servidumbres: construcción/nivelación</t>
  </si>
  <si>
    <t>C□-ESMT-ELEC</t>
  </si>
  <si>
    <t>Easements: electrical</t>
  </si>
  <si>
    <t>Servidumbres: electricidad</t>
  </si>
  <si>
    <t>C□-ESMT-FDPL</t>
  </si>
  <si>
    <t>Easements: flood plain</t>
  </si>
  <si>
    <t>Servidumbres: llanura aluvial</t>
  </si>
  <si>
    <t>C□-ESMT-INEG</t>
  </si>
  <si>
    <t xml:space="preserve">Easements: ingress/egress (vehicles; private access) </t>
  </si>
  <si>
    <t>Servidumbres: entrada/salida (vehículos; acceso privado)</t>
  </si>
  <si>
    <t>C□-ESMT-LSCP</t>
  </si>
  <si>
    <t>Easements: landscape</t>
  </si>
  <si>
    <t>Servidumbres: paisajismo</t>
  </si>
  <si>
    <t>C□-ESMT-NGAS</t>
  </si>
  <si>
    <t>Easements: natural gas line</t>
  </si>
  <si>
    <t>Servidumbres: línea de gas natural</t>
  </si>
  <si>
    <t>C□-ESMT-PHON</t>
  </si>
  <si>
    <t>Easements: telephone line</t>
  </si>
  <si>
    <t>Servidumbres: línea telefónica</t>
  </si>
  <si>
    <t>C□-ESMT-ROAD</t>
  </si>
  <si>
    <t>Easements: roadway</t>
  </si>
  <si>
    <t>Servidumbres: carretera</t>
  </si>
  <si>
    <t>C□-ESMT-ROAD-PERM</t>
  </si>
  <si>
    <t>Easements: roadway: permanent</t>
  </si>
  <si>
    <t>Servidumbres: carretera: permanente</t>
  </si>
  <si>
    <t>C□-ESMT-ROAD-TEMP</t>
  </si>
  <si>
    <t>Easements: roadway: temporary</t>
  </si>
  <si>
    <t>Servidumbres: carretera: temporal</t>
  </si>
  <si>
    <t>C□-ESMT-RWAY</t>
  </si>
  <si>
    <t>Easements: right-of-way (public access)</t>
  </si>
  <si>
    <t>Servidumbres: derecho de paso (acceso público)</t>
  </si>
  <si>
    <t>C□-ESMT-SGHT</t>
  </si>
  <si>
    <t>Easements: sight distance</t>
  </si>
  <si>
    <t>Servidumbres: distancia de visibilidad</t>
  </si>
  <si>
    <t>C□-ESMT-SSWR</t>
  </si>
  <si>
    <t>Easements: sanitary sewer</t>
  </si>
  <si>
    <t>Servidumbres: alcantarillado sanitario</t>
  </si>
  <si>
    <t>C□-ESMT-STRM</t>
  </si>
  <si>
    <t>Easements: storm sewer</t>
  </si>
  <si>
    <t>Servidumbres: alcantarillado pluvial</t>
  </si>
  <si>
    <t>C□-ESMT-SWMT</t>
  </si>
  <si>
    <t>Easements: storm water management</t>
  </si>
  <si>
    <t>Servidumbres: gestión de aguas pluviales</t>
  </si>
  <si>
    <t>C□-ESMT-TRAL</t>
  </si>
  <si>
    <t>Easements: trail or path (public access)</t>
  </si>
  <si>
    <t>Servidumbres: sendero o camino (acceso público)</t>
  </si>
  <si>
    <t>C□-ESMT-UTIL</t>
  </si>
  <si>
    <t>Easements: utility lines</t>
  </si>
  <si>
    <t>Servidumbres: líneas de servicios públicos</t>
  </si>
  <si>
    <t>C□-ESMT-WATR</t>
  </si>
  <si>
    <t>Easements: water supply</t>
  </si>
  <si>
    <t>Servidumbres: suministro de agua</t>
  </si>
  <si>
    <t>C□-FENC</t>
  </si>
  <si>
    <t>C□-FENC-GRAL</t>
  </si>
  <si>
    <t>Fences: guard rail</t>
  </si>
  <si>
    <t>Cercas: barandilla</t>
  </si>
  <si>
    <t>C□-FENC-POST</t>
  </si>
  <si>
    <t>Fences: posts</t>
  </si>
  <si>
    <t>Cercas: postes</t>
  </si>
  <si>
    <t>C -FENC-STEL</t>
  </si>
  <si>
    <t>Fences: steel (barbed wire and/or chain link)</t>
  </si>
  <si>
    <t>Cercas: acero (alambre de púas y/o malla metálica)</t>
  </si>
  <si>
    <t>C□-FENC-WOOD</t>
  </si>
  <si>
    <t>Fences: wood</t>
  </si>
  <si>
    <t>Cercas: madera</t>
  </si>
  <si>
    <t>C□-FIRE</t>
  </si>
  <si>
    <t>C□-FIRE-HYDT</t>
  </si>
  <si>
    <t>Fire protection: hydrants and connections</t>
  </si>
  <si>
    <t>Protección contra incendios: Hidrantes y conexiones</t>
  </si>
  <si>
    <t>C□-FIRE-PIPE</t>
  </si>
  <si>
    <t>Fire protection: piping</t>
  </si>
  <si>
    <t>Protección contra incendios: tuberías</t>
  </si>
  <si>
    <t>C□-FIRE-UGND</t>
  </si>
  <si>
    <t>Fire protection: underground</t>
  </si>
  <si>
    <t>Protección contra incendios: subterránea</t>
  </si>
  <si>
    <t>C□-FLHA</t>
  </si>
  <si>
    <t>Zona de riesgo de inundación</t>
  </si>
  <si>
    <t>C□-FLHA-025Y</t>
  </si>
  <si>
    <t>Flood hazard area: 25 year mark</t>
  </si>
  <si>
    <t>Zona de riesgo de inundación: 25 años</t>
  </si>
  <si>
    <t>C□-FLHA-050Y</t>
  </si>
  <si>
    <t>Flood hazard area: 50 year mark</t>
  </si>
  <si>
    <t>Zona de riesgo de inundación: 50 años</t>
  </si>
  <si>
    <t>C□-FLHA-100Y</t>
  </si>
  <si>
    <t>Flood hazard area: 100 year mark</t>
  </si>
  <si>
    <t>Zona de riesgo de inundación: 100 años</t>
  </si>
  <si>
    <t>C□-FLHA-200Y</t>
  </si>
  <si>
    <t>Flood hazard area: 200 year mark</t>
  </si>
  <si>
    <t>Zona de riesgo de inundación: 200 años</t>
  </si>
  <si>
    <t>C□-FUEL</t>
  </si>
  <si>
    <t>C□-FUEL-EQPM</t>
  </si>
  <si>
    <t>Fuel systems: equipment (pumps, motors)</t>
  </si>
  <si>
    <t>Sistemas de combustible: equipos (bombas, motores)</t>
  </si>
  <si>
    <t>C□-FUEL-INST</t>
  </si>
  <si>
    <t>Fuel systems: instrumentation (meters, valves, etc.)</t>
  </si>
  <si>
    <t>Sistemas de combustible: instrumentación (medidores, válvulas, etc.)</t>
  </si>
  <si>
    <t>C□-FUEL-MHOL</t>
  </si>
  <si>
    <t>Fuel systems: manhole</t>
  </si>
  <si>
    <t>Sistemas de combustible: pozo de registro</t>
  </si>
  <si>
    <t>C□-FUEL-PIPE</t>
  </si>
  <si>
    <t>Fuel systems: piping</t>
  </si>
  <si>
    <t>Sistemas de combustible: tuberías</t>
  </si>
  <si>
    <t>C□-FUEL-TANK</t>
  </si>
  <si>
    <t>Fuel systems: storage tanks</t>
  </si>
  <si>
    <t>Sistemas de combustible: tanques de almacenamiento</t>
  </si>
  <si>
    <t>C□-FUEL-UGND</t>
  </si>
  <si>
    <t>Fuel systems: underground</t>
  </si>
  <si>
    <t>Sistemas de combustible: subterráneos</t>
  </si>
  <si>
    <t>C□-HYDR</t>
  </si>
  <si>
    <t>C□-HYDR-BAFL</t>
  </si>
  <si>
    <t xml:space="preserve">Hydraulic structure: baffle block and splash pad </t>
  </si>
  <si>
    <t>Estructura hidráulica: bloque deflector y plataforma antisalpicaduras</t>
  </si>
  <si>
    <t>C□-HYDR-BASN</t>
  </si>
  <si>
    <t>Hydraulic structure: stilling and settling basins</t>
  </si>
  <si>
    <t>Estructura hidráulica: estanques de amortiguación y sedimentación</t>
  </si>
  <si>
    <t>C□-HYDR-CNDT</t>
  </si>
  <si>
    <t>Hydraulic structure: diversion/bypass conduits/culvers</t>
  </si>
  <si>
    <t>Estructura hidráulica: conductos de derivación/bypass/alcantarillas</t>
  </si>
  <si>
    <t>C□-HYDR-COFF</t>
  </si>
  <si>
    <t>Hydraulic structure: coffer dam</t>
  </si>
  <si>
    <t>Estructura hidráulica: ataguía</t>
  </si>
  <si>
    <t>C□-HYDR-DAM~</t>
  </si>
  <si>
    <t>Hydraulic structure: dam</t>
  </si>
  <si>
    <t>Estructura hidráulica: presa</t>
  </si>
  <si>
    <t>C□-HYDR-FISH</t>
  </si>
  <si>
    <t>Hydraulic structure: fish ladder/passage</t>
  </si>
  <si>
    <t>Estructura hidráulica: escala/pasaje para peces</t>
  </si>
  <si>
    <t>C□-HYDR-FLUM</t>
  </si>
  <si>
    <t>Hydraulic structure: flume</t>
  </si>
  <si>
    <t>Estructura hidráulica: canal</t>
  </si>
  <si>
    <t>C□-HYDR-INTK</t>
  </si>
  <si>
    <t>Hydraulic structure: intake</t>
  </si>
  <si>
    <t>Hidráulica Estructura: Toma</t>
  </si>
  <si>
    <t>C□-HYDR-NOVR</t>
  </si>
  <si>
    <t>Hydraulic structure: non-overflow structure</t>
  </si>
  <si>
    <t>Estructura hidráulica: Estructura antidesbordamiento</t>
  </si>
  <si>
    <t xml:space="preserve"> C□-HYDR-PENS</t>
  </si>
  <si>
    <t>Hydraulic structure: penstock</t>
  </si>
  <si>
    <t>Estructura hidráulica: Tubería forzada</t>
  </si>
  <si>
    <t>C□-LOCN</t>
  </si>
  <si>
    <t>C□-NGAS</t>
  </si>
  <si>
    <t>C□-NGAS-EQPM</t>
  </si>
  <si>
    <t>Natural gas systems: equipment (pumps, motors)</t>
  </si>
  <si>
    <t>Sistemas de gas natural: Equipos (bombas, motores)</t>
  </si>
  <si>
    <t>C□-NGAS-INST</t>
  </si>
  <si>
    <t>Natural gas systems: instrumentation (meters, valves, etc.)</t>
  </si>
  <si>
    <t>Sistemas de gas natural: Instrumentación (medidores, válvulas, etc.)</t>
  </si>
  <si>
    <t>C□-NGAS-MHOL</t>
  </si>
  <si>
    <t>Natural gas systems: manhole</t>
  </si>
  <si>
    <t>Sistemas de gas natural: Pozo de registro</t>
  </si>
  <si>
    <t>C□-NGAS-PIPE</t>
  </si>
  <si>
    <t>Natural gas systems: piping</t>
  </si>
  <si>
    <t>Sistemas de gas natural: Tuberías</t>
  </si>
  <si>
    <t>C□-NGAS-TANK</t>
  </si>
  <si>
    <t>Natural gas systems: storage tanks</t>
  </si>
  <si>
    <t>Sistemas de gas natural: Tanques de almacenamiento</t>
  </si>
  <si>
    <t>C□-NGAS-UGND</t>
  </si>
  <si>
    <t>Natural gas systems: underground</t>
  </si>
  <si>
    <t>Sistemas de gas natural: Subterráneos</t>
  </si>
  <si>
    <t>C□-PERC</t>
  </si>
  <si>
    <t>Pruebas de percolación</t>
  </si>
  <si>
    <t>C□-PERC-HOLE</t>
  </si>
  <si>
    <t>Perc testing: holes</t>
  </si>
  <si>
    <t>Pruebas de percolación: Pozos</t>
  </si>
  <si>
    <t>C□-POND</t>
  </si>
  <si>
    <t>C□-POND-EDGE</t>
  </si>
  <si>
    <t>Ponds: edge</t>
  </si>
  <si>
    <t>Estanques: borde</t>
  </si>
  <si>
    <t>C□-POND-SWAY</t>
  </si>
  <si>
    <t>Ponds: spillway</t>
  </si>
  <si>
    <t>Estanques: aliviadero</t>
  </si>
  <si>
    <t>C□-POND-TOPB</t>
  </si>
  <si>
    <t>Ponds: top of bank</t>
  </si>
  <si>
    <t>Estanques: parte superior de la ribera</t>
  </si>
  <si>
    <t>C□-POWR</t>
  </si>
  <si>
    <t>C□-POWR-FENC</t>
  </si>
  <si>
    <t>Power: fences</t>
  </si>
  <si>
    <t>Energía: cercas</t>
  </si>
  <si>
    <t>C□-POWR-INST</t>
  </si>
  <si>
    <t xml:space="preserve">Power: instrumentation (meters, transformers) </t>
  </si>
  <si>
    <t>Energía: instrumentación (medidores, transformadores)</t>
  </si>
  <si>
    <t>C□-POWR-MHOL</t>
  </si>
  <si>
    <t>Power: manhole</t>
  </si>
  <si>
    <t>Energía: pozo de registro</t>
  </si>
  <si>
    <t>C□-POWR-OVHD</t>
  </si>
  <si>
    <t>Power: overhead</t>
  </si>
  <si>
    <t>Energía: aérea</t>
  </si>
  <si>
    <t>C□-POWR-POLE</t>
  </si>
  <si>
    <t>Power: pole</t>
  </si>
  <si>
    <t>Energía: poste</t>
  </si>
  <si>
    <t>C□-POWR-STRC</t>
  </si>
  <si>
    <t>Power: structures</t>
  </si>
  <si>
    <t>Energía: estructuras</t>
  </si>
  <si>
    <t>C□-POWR-UGND</t>
  </si>
  <si>
    <t>Power: underground</t>
  </si>
  <si>
    <t>Energía: subterránea</t>
  </si>
  <si>
    <t>C□-PRKG</t>
  </si>
  <si>
    <t>C□-PRKG-ASPH</t>
  </si>
  <si>
    <t>Parking lots: asphalt</t>
  </si>
  <si>
    <t>Estacionamientos: asfalto</t>
  </si>
  <si>
    <t>C□-PRKG-CARS</t>
  </si>
  <si>
    <t>Parking lots: cars and other vehicles</t>
  </si>
  <si>
    <t>Estacionamientos: automóviles y otros vehículos</t>
  </si>
  <si>
    <t>C□-PRKG-CONC</t>
  </si>
  <si>
    <t>Parking lots: concrete</t>
  </si>
  <si>
    <t>Estacionamientos: concreto</t>
  </si>
  <si>
    <t>C□-PRKG-CURB</t>
  </si>
  <si>
    <t>Parking lots: curb</t>
  </si>
  <si>
    <t>Estacionamientos: bordillo</t>
  </si>
  <si>
    <t>C□-PRKG-CURB-BACK</t>
  </si>
  <si>
    <t xml:space="preserve">Parking lots: curb: back </t>
  </si>
  <si>
    <t>Estacionamientos: bordillo: trasero</t>
  </si>
  <si>
    <t>C□-PRKG-CURB-FACE</t>
  </si>
  <si>
    <t>Parking lots: curb: face</t>
  </si>
  <si>
    <t>Estacionamientos: bordillo: frente</t>
  </si>
  <si>
    <t>C□-PRKG-DRAN</t>
  </si>
  <si>
    <t>Parking lots: drainage slope indications</t>
  </si>
  <si>
    <t>Estacionamientos: indicaciones de pendiente de drenaje</t>
  </si>
  <si>
    <t>C□-PRKG-FIXT</t>
  </si>
  <si>
    <t xml:space="preserve">Parking lots: fixtures (wheel stops, parking meters, etc.) </t>
  </si>
  <si>
    <t>Estacionamientos: accesorios (frenos de rueda, parquímetros, etc.)</t>
  </si>
  <si>
    <t>C□-PRKG-FLNE</t>
  </si>
  <si>
    <t>Parking lots: fire lane</t>
  </si>
  <si>
    <t>Estacionamientos: carril de incendios</t>
  </si>
  <si>
    <t>C□-PRKG-FLNE-MRKG</t>
  </si>
  <si>
    <t>Parking lots: fire lane: pavement markings</t>
  </si>
  <si>
    <t>Estacionamientos: carril de incendios: marcas en el pavimento</t>
  </si>
  <si>
    <t xml:space="preserve"> C□-PRKG-FLNE-SIGN</t>
  </si>
  <si>
    <t>Parking lots: fire lane: signage</t>
  </si>
  <si>
    <t>Estacionamientos: carril de incendios: señalización</t>
  </si>
  <si>
    <t>C□-PRKG-GRVL</t>
  </si>
  <si>
    <t>Parking lots: gravel</t>
  </si>
  <si>
    <t>Estacionamientos: grava</t>
  </si>
  <si>
    <t>C□-PRKG-MRKG</t>
  </si>
  <si>
    <t>Parking lots: pavement markings</t>
  </si>
  <si>
    <t>Estacionamientos: marcas en el pavimento</t>
  </si>
  <si>
    <t>C□-PRKG-SIGN</t>
  </si>
  <si>
    <t>Parking lots: signage</t>
  </si>
  <si>
    <t>Estacionamientos: señalización</t>
  </si>
  <si>
    <t>C□-PRKG-STRP</t>
  </si>
  <si>
    <t>Parking lots: striping</t>
  </si>
  <si>
    <t>Estacionamientos: líneas de señalización</t>
  </si>
  <si>
    <t>C□-PRKG-UPVD</t>
  </si>
  <si>
    <t>Parking lots: unpaved surface</t>
  </si>
  <si>
    <t>Estacionamientos: superficie sin pavimentar</t>
  </si>
  <si>
    <t>C□-PRKG-WHIT</t>
  </si>
  <si>
    <t>Parking lots: white paint</t>
  </si>
  <si>
    <t>Estacionamientos: pintura blanca</t>
  </si>
  <si>
    <t>C□-PRKG-WHIT-TICK</t>
  </si>
  <si>
    <t>Parking lots: white paint: tick marks</t>
  </si>
  <si>
    <t>Estacionamientos: pintura blanca: marcas de verificación</t>
  </si>
  <si>
    <t>C□-PRKG-YELO</t>
  </si>
  <si>
    <t>Parking lots: yellow paint</t>
  </si>
  <si>
    <t>Estacionamientos: pintura amarilla</t>
  </si>
  <si>
    <t>C□-PRKG-YELO-TICK</t>
  </si>
  <si>
    <t>Parking lots: yellow paint: tick marks</t>
  </si>
  <si>
    <t>Estacionamientos Lotes: pintura amarilla: marcas de verificación</t>
  </si>
  <si>
    <t xml:space="preserve"> C□-PROP</t>
  </si>
  <si>
    <t>C□-PROP-LINE</t>
  </si>
  <si>
    <t>Property: lines</t>
  </si>
  <si>
    <t>Propiedad: líneas</t>
  </si>
  <si>
    <t>C□-PROP-SBCK</t>
  </si>
  <si>
    <t>Property: setback lines</t>
  </si>
  <si>
    <t>Propiedad: líneas de retranqueo</t>
  </si>
  <si>
    <t>C□-PVMT</t>
  </si>
  <si>
    <t>C□-PVMT-ASPH</t>
  </si>
  <si>
    <t>Pavement: asphalt</t>
  </si>
  <si>
    <t>Pavimento: asfalto</t>
  </si>
  <si>
    <t>C□-PVMT-CONC</t>
  </si>
  <si>
    <t>Pavement: concrete</t>
  </si>
  <si>
    <t>Pavimento: concreto</t>
  </si>
  <si>
    <t>C□-PVMT-GRVL</t>
  </si>
  <si>
    <t>Pavement: gravel</t>
  </si>
  <si>
    <t>Pavimento: grava</t>
  </si>
  <si>
    <t>C□-RAIL</t>
  </si>
  <si>
    <t>C□-RAIL-CNTR</t>
  </si>
  <si>
    <t>Railroad: center</t>
  </si>
  <si>
    <t>Ferrocarril: centro</t>
  </si>
  <si>
    <t>C□-RAIL-EQPM</t>
  </si>
  <si>
    <t>Railroad: equipment (gates, signals, etc.)</t>
  </si>
  <si>
    <t>Ferrocarril: equipo (barreras, señales, etc.)</t>
  </si>
  <si>
    <t>C□-RAIL-TRAK</t>
  </si>
  <si>
    <t>Railroad: track</t>
  </si>
  <si>
    <t>Ferrocarril: vía</t>
  </si>
  <si>
    <t>C□-RIVR</t>
  </si>
  <si>
    <t>C□-RIVR-BOTM</t>
  </si>
  <si>
    <t>River: bottom</t>
  </si>
  <si>
    <t>Río: fondo</t>
  </si>
  <si>
    <t>C□-RIVR-CNTR</t>
  </si>
  <si>
    <t>River: center</t>
  </si>
  <si>
    <t>Río: centro</t>
  </si>
  <si>
    <t>C□-RIVR-EDGE</t>
  </si>
  <si>
    <t>River: edge</t>
  </si>
  <si>
    <t>Río: orilla</t>
  </si>
  <si>
    <t>C□-RIVR-TOPB</t>
  </si>
  <si>
    <t>River: top of bank</t>
  </si>
  <si>
    <t>Río: parte superior de la orilla</t>
  </si>
  <si>
    <t>C□-ROAD</t>
  </si>
  <si>
    <t>C□-ROAD-ASPH</t>
  </si>
  <si>
    <t>Roadways: asphalt</t>
  </si>
  <si>
    <t>Carreteras: asfalto</t>
  </si>
  <si>
    <t>C□-ROAD-CNTR</t>
  </si>
  <si>
    <t>Roadways: center</t>
  </si>
  <si>
    <t>Carreteras: centro</t>
  </si>
  <si>
    <t>C□-ROAD-CONC</t>
  </si>
  <si>
    <t>Roadways: concrete</t>
  </si>
  <si>
    <t>Carreteras: concreto</t>
  </si>
  <si>
    <t>C□-ROAD-CURB</t>
  </si>
  <si>
    <t>Roadways: curb</t>
  </si>
  <si>
    <t>Carreteras: bordillo</t>
  </si>
  <si>
    <t>C□-ROAD-CURB-BACK</t>
  </si>
  <si>
    <t xml:space="preserve">Roadways: curb: back </t>
  </si>
  <si>
    <t>Carreteras: bordillo: parte trasera</t>
  </si>
  <si>
    <t>C□-ROAD-CURB-FACE</t>
  </si>
  <si>
    <t>Roadways: curb: face</t>
  </si>
  <si>
    <t>Carreteras: bordillo: frente</t>
  </si>
  <si>
    <t xml:space="preserve"> C□-ROAD-FLNE</t>
  </si>
  <si>
    <t>Roadways: fire lane</t>
  </si>
  <si>
    <t>Carreteras: carril de incendios</t>
  </si>
  <si>
    <t>C□-ROAD-FLNE-MRKG</t>
  </si>
  <si>
    <t>Roadways: fire lane: pavement markings</t>
  </si>
  <si>
    <t>Carreteras: carril de incendios: marcas en el pavimento</t>
  </si>
  <si>
    <t xml:space="preserve"> C□-ROAD-FLNE-SIGN</t>
  </si>
  <si>
    <t>Roadways: fire lane: signage</t>
  </si>
  <si>
    <t>Carreteras: carril de incendios: señalización</t>
  </si>
  <si>
    <t>C□-ROAD-GRVL</t>
  </si>
  <si>
    <t>Roadways: gravel</t>
  </si>
  <si>
    <t>Carreteras: grava</t>
  </si>
  <si>
    <t>C□-ROAD-MRKG</t>
  </si>
  <si>
    <t>Roadways: pavement markings</t>
  </si>
  <si>
    <t>Carreteras: marcas en el pavimento</t>
  </si>
  <si>
    <t>C□-ROAD-PROF</t>
  </si>
  <si>
    <t>Roadways: profile</t>
  </si>
  <si>
    <t>Carreteras: perfil</t>
  </si>
  <si>
    <t>C□-ROAD-SIGN</t>
  </si>
  <si>
    <t>Roadways: signage</t>
  </si>
  <si>
    <t>Carreteras: señalización</t>
  </si>
  <si>
    <t>C□-ROAD-STAN</t>
  </si>
  <si>
    <t>Roadways: stationing</t>
  </si>
  <si>
    <t>Carreteras: estacionamiento</t>
  </si>
  <si>
    <t>C□-ROAD-UPVD</t>
  </si>
  <si>
    <t>Roadways: unpaved surface</t>
  </si>
  <si>
    <t>Carreteras: superficie sin pavimentar</t>
  </si>
  <si>
    <t>C□-ROAD-WHIT</t>
  </si>
  <si>
    <t>Roadways: white paint</t>
  </si>
  <si>
    <t>Carreteras: pintura blanca</t>
  </si>
  <si>
    <t>C□-ROAD-WHIT-TICK</t>
  </si>
  <si>
    <t>Roadways: white paint: tick marks</t>
  </si>
  <si>
    <t>Carreteras: pintura blanca Marcas de verificación</t>
  </si>
  <si>
    <t xml:space="preserve"> C□-ROAD-YELO</t>
  </si>
  <si>
    <t>Roadways: yellow paint</t>
  </si>
  <si>
    <t>Carreteras: pintura amarilla</t>
  </si>
  <si>
    <t>C□-ROAD-YELO-TICK</t>
  </si>
  <si>
    <t xml:space="preserve">Roadways: yellow paint: tick marks </t>
  </si>
  <si>
    <t>Carreteras: pintura amarilla: marcas de verificación</t>
  </si>
  <si>
    <t>C□-RRAP</t>
  </si>
  <si>
    <t>C□-SGHT</t>
  </si>
  <si>
    <t>C□-SGHT-PROF</t>
  </si>
  <si>
    <t>Sight distance: profile</t>
  </si>
  <si>
    <t>Distancia visual: perfil</t>
  </si>
  <si>
    <t>C□-SOIL</t>
  </si>
  <si>
    <t>C□-SSWR</t>
  </si>
  <si>
    <t>C□-SSWR-DIAG</t>
  </si>
  <si>
    <t>Sanitary sewer: diagrams</t>
  </si>
  <si>
    <t>Alcantarillado sanitario: diagramas</t>
  </si>
  <si>
    <t>C□-SSWR-FORC</t>
  </si>
  <si>
    <t>Sanitary sewer: force main</t>
  </si>
  <si>
    <t>Alcantarillado sanitario: tubería de impulsión</t>
  </si>
  <si>
    <t>C□-SSWR-LATL</t>
  </si>
  <si>
    <t>Sanitary sewer: lateral line</t>
  </si>
  <si>
    <t>Alcantarillado sanitario: línea lateral</t>
  </si>
  <si>
    <t>C□-SSWR-MHOL</t>
  </si>
  <si>
    <t>Sanitary sewer: manhole</t>
  </si>
  <si>
    <t>Alcantarillado sanitario: pozo de registro</t>
  </si>
  <si>
    <t>C□-SSWR-PIPE</t>
  </si>
  <si>
    <t>Sanitary sewer: piping</t>
  </si>
  <si>
    <t>Alcantarillado sanitario: tuberías</t>
  </si>
  <si>
    <t>C□-SSWR-PIPE-RCON</t>
  </si>
  <si>
    <t>Sanitary sewer: piping: reinforced concrete</t>
  </si>
  <si>
    <t>Alcantarillado sanitario: tuberías: hormigón armado</t>
  </si>
  <si>
    <t xml:space="preserve"> C□-SSWR-PIPE-STEL</t>
  </si>
  <si>
    <t>Sanitary sewer: piping: steel</t>
  </si>
  <si>
    <t>Alcantarillado sanitario: tuberías: acero</t>
  </si>
  <si>
    <t>C□-SSWR-PROF</t>
  </si>
  <si>
    <t>Sanitary sewer: profile</t>
  </si>
  <si>
    <t>Alcantarillado sanitario: perfil</t>
  </si>
  <si>
    <t>C□-SSWR-STAN</t>
  </si>
  <si>
    <t>Sanitary sewer: stationing</t>
  </si>
  <si>
    <t>Alcantarillado sanitario: estacionamiento</t>
  </si>
  <si>
    <t>C□-SSWR-STRC</t>
  </si>
  <si>
    <t>Sanitary sewer: structures</t>
  </si>
  <si>
    <t>Alcantarillado sanitario: estructuras</t>
  </si>
  <si>
    <t>C□-SSWR-UGND</t>
  </si>
  <si>
    <t>Sanitary sewer: underground</t>
  </si>
  <si>
    <t>Alcantarillado sanitario: subterráneo</t>
  </si>
  <si>
    <t>C□-STEM</t>
  </si>
  <si>
    <t>C□-STEM-INST</t>
  </si>
  <si>
    <t xml:space="preserve">Steam system: instrumentation (meters, valves, etc.) </t>
  </si>
  <si>
    <t>Sistema de vapor: instrumentación (medidores, válvulas, etc.)</t>
  </si>
  <si>
    <t>C□-STEM-MHOL</t>
  </si>
  <si>
    <t>Steam system: manhole</t>
  </si>
  <si>
    <t>Sistema de vapor: pozo de registro</t>
  </si>
  <si>
    <t>C□-STEM-PIPE</t>
  </si>
  <si>
    <t>Steam system: piping</t>
  </si>
  <si>
    <t>Sistema de vapor: tuberías</t>
  </si>
  <si>
    <t>C□-STEM-STRC</t>
  </si>
  <si>
    <t>Steam system: structures</t>
  </si>
  <si>
    <t>Sistema de vapor: estructuras</t>
  </si>
  <si>
    <t>C□-STEM-UGND</t>
  </si>
  <si>
    <t>Steam system: underground</t>
  </si>
  <si>
    <t>Sistema de vapor: subterráneo</t>
  </si>
  <si>
    <t>C□-STRM</t>
  </si>
  <si>
    <t>C□-STRM-CNTR</t>
  </si>
  <si>
    <t>Storm sewer: center</t>
  </si>
  <si>
    <t>Alcantarillado pluvial: centro</t>
  </si>
  <si>
    <t>C□-STRM-DIAG</t>
  </si>
  <si>
    <t>Storm sewer: diagrams</t>
  </si>
  <si>
    <t>Alcantarillado pluvial: diagramas</t>
  </si>
  <si>
    <t>C□-STRM-HWAL</t>
  </si>
  <si>
    <t>Storm sewer: headwall</t>
  </si>
  <si>
    <t>Alcantarillado pluvial: muro de cabecera</t>
  </si>
  <si>
    <t>C□-STRM-MHOL</t>
  </si>
  <si>
    <t>Storm sewer: manhole</t>
  </si>
  <si>
    <t>Alcantarillado pluvial: pozo de registro</t>
  </si>
  <si>
    <t>C□-STRM-PIPE</t>
  </si>
  <si>
    <t>Storm sewer: piping</t>
  </si>
  <si>
    <t>Alcantarillado pluvial: tuberías</t>
  </si>
  <si>
    <t>C□-STRM-PIPE-CMTL</t>
  </si>
  <si>
    <t>Storm sewer: piping: corrugated metal</t>
  </si>
  <si>
    <t>Alcantarillado pluvial: tuberías: metal corrugado</t>
  </si>
  <si>
    <t xml:space="preserve"> C□-STRM-PIPE-RCON</t>
  </si>
  <si>
    <t>Storm sewer: piping: reinforced concrete</t>
  </si>
  <si>
    <t>Alcantarillado pluvial: tuberías: hormigón armado</t>
  </si>
  <si>
    <t xml:space="preserve"> C□-STRM-PROF</t>
  </si>
  <si>
    <t>Storm sewer: profile</t>
  </si>
  <si>
    <t>Alcantarillado pluvial: perfil</t>
  </si>
  <si>
    <t>C□-STRM-STAN</t>
  </si>
  <si>
    <t>Storm sewer: stationing</t>
  </si>
  <si>
    <t>Alcantarillado pluvial: estacionamiento</t>
  </si>
  <si>
    <t>C□-STRM-STRC</t>
  </si>
  <si>
    <t>Storm sewer: structures</t>
  </si>
  <si>
    <t>Alcantarillado pluvial: estructuras</t>
  </si>
  <si>
    <t>C□-STRM-UGND</t>
  </si>
  <si>
    <t>Storm sewer: underground</t>
  </si>
  <si>
    <t>Alcantarillado pluvial: subterráneo</t>
  </si>
  <si>
    <t>C□-SWLK</t>
  </si>
  <si>
    <t>C□-SWLK-ASPH</t>
  </si>
  <si>
    <t>Sidewalks: asphalt</t>
  </si>
  <si>
    <t>Aceras: asfalto</t>
  </si>
  <si>
    <t>C□-SWLK-CONC</t>
  </si>
  <si>
    <t>Sidewalks: concrete</t>
  </si>
  <si>
    <t>Aceras: hormigón</t>
  </si>
  <si>
    <t>C□-TINN</t>
  </si>
  <si>
    <t>Red irregular triangulada</t>
  </si>
  <si>
    <t>C□-TINN-BNDY</t>
  </si>
  <si>
    <t>Triangulated irregular network: boundary</t>
  </si>
  <si>
    <t>Red irregular triangulada: límite</t>
  </si>
  <si>
    <t>C□-TINN-FALT</t>
  </si>
  <si>
    <t>Triangulated irregular network: fault/break lines</t>
  </si>
  <si>
    <t>Red irregular triangulada: líneas de falla/ruptura</t>
  </si>
  <si>
    <t>C□-TINN-VIEW</t>
  </si>
  <si>
    <t>Triangulated irregular network: triangulation view</t>
  </si>
  <si>
    <t>Red irregular triangulada: vista de triangulación</t>
  </si>
  <si>
    <t>C□-TINN-VOID</t>
  </si>
  <si>
    <t>Triangulated irregular network: void regions</t>
  </si>
  <si>
    <t>Red irregular triangulada: regiones vacías</t>
  </si>
  <si>
    <t>C□-TOPO</t>
  </si>
  <si>
    <t>C□-TOPO-DEPR</t>
  </si>
  <si>
    <t>Topographic feature: depression</t>
  </si>
  <si>
    <t>Característica topográfica: depresión</t>
  </si>
  <si>
    <t>C□-TOPO-MAJR</t>
  </si>
  <si>
    <t>Topographic feature: major (contours)</t>
  </si>
  <si>
    <t>Característica topográfica: principal (curvas de nivel)</t>
  </si>
  <si>
    <t>C□-TOPO-MINR</t>
  </si>
  <si>
    <t>Topographic feature: minor (contours)</t>
  </si>
  <si>
    <t>Característica topográfica: menor (curvas de nivel)</t>
  </si>
  <si>
    <t>C□-TOPO-SPOT</t>
  </si>
  <si>
    <t>Topographic feature: spot elevations</t>
  </si>
  <si>
    <t>Característica topográfica: elevaciones puntuales</t>
  </si>
  <si>
    <t>C□-TOPO-TPIT</t>
  </si>
  <si>
    <t>Topographic feature: test pits</t>
  </si>
  <si>
    <t>Característica topográfica: pozos de sondeo</t>
  </si>
  <si>
    <t>C□-TRAL</t>
  </si>
  <si>
    <t>C□-TRAL-ASPH</t>
  </si>
  <si>
    <t>Trails or paths: asphalt</t>
  </si>
  <si>
    <t>Senderos o caminos: asfalto</t>
  </si>
  <si>
    <t>C□-TRAL-CONC</t>
  </si>
  <si>
    <t>Trails or paths: concrete</t>
  </si>
  <si>
    <t>Senderos o caminos: hormigón</t>
  </si>
  <si>
    <t>C□-TRAL-GRVL</t>
  </si>
  <si>
    <t>Trails or paths: gravel</t>
  </si>
  <si>
    <t>Senderos o Caminos: grava</t>
  </si>
  <si>
    <t>C□-TRAL-MRKG</t>
  </si>
  <si>
    <t>Trails or paths: pavement markings</t>
  </si>
  <si>
    <t>Senderos o senderos: marcas en el pavimento</t>
  </si>
  <si>
    <t>C□-TRAL-SIGN</t>
  </si>
  <si>
    <t>Trails or paths: signage</t>
  </si>
  <si>
    <t>Senderos o senderos: señalización</t>
  </si>
  <si>
    <t>C□-TRAL-UPVD</t>
  </si>
  <si>
    <t>Trails or paths: unpaved surface</t>
  </si>
  <si>
    <t>Senderos o senderos: superficie sin pavimentar</t>
  </si>
  <si>
    <t>C□-WALL</t>
  </si>
  <si>
    <t>C□-WALL-CTLJ</t>
  </si>
  <si>
    <t>Walls: control joint</t>
  </si>
  <si>
    <t>Muros: junta de control</t>
  </si>
  <si>
    <t>C□-WALL-NSBR</t>
  </si>
  <si>
    <t>Walls: noise barrier</t>
  </si>
  <si>
    <t>Muros: barrera acústica</t>
  </si>
  <si>
    <t>C□-WALL-RTWL</t>
  </si>
  <si>
    <t>Walls: retaining wall</t>
  </si>
  <si>
    <t>Muros: muro de contención</t>
  </si>
  <si>
    <t>C□-WALL-SHEA</t>
  </si>
  <si>
    <t>Walls: structural bearing or shear walls</t>
  </si>
  <si>
    <t>Muros: muros de carga o de corte</t>
  </si>
  <si>
    <t>C□-WATR</t>
  </si>
  <si>
    <t>C□-WATR-DIAG</t>
  </si>
  <si>
    <t>Water supply: diagrams</t>
  </si>
  <si>
    <t>Suministro de agua: diagramas</t>
  </si>
  <si>
    <t>C□-WATR-INST</t>
  </si>
  <si>
    <t xml:space="preserve">Water supply: instrumentation (meters, valves, etc.) </t>
  </si>
  <si>
    <t>Suministro de agua: instrumentación (medidores, válvulas, etc.)</t>
  </si>
  <si>
    <t>C□-WATR-PIPE</t>
  </si>
  <si>
    <t>Water supply: piping</t>
  </si>
  <si>
    <t>Suministro de agua: tuberías</t>
  </si>
  <si>
    <t>C□-WATR-PROF</t>
  </si>
  <si>
    <t>Water supply: profile</t>
  </si>
  <si>
    <t>Suministro de agua: perfil</t>
  </si>
  <si>
    <t>C□-WATR-STAN</t>
  </si>
  <si>
    <t>Water supply: stationing</t>
  </si>
  <si>
    <t>Suministro de agua: estacionamiento</t>
  </si>
  <si>
    <t>C□-WATR-STRC</t>
  </si>
  <si>
    <t>Water supply: structures</t>
  </si>
  <si>
    <t>Suministro de agua: estructuras</t>
  </si>
  <si>
    <t>C□-WATR-UGND</t>
  </si>
  <si>
    <t>Water supply: underground</t>
  </si>
  <si>
    <t>Suministro de agua: subterráneo</t>
  </si>
  <si>
    <t>C□-WATR-WELL</t>
  </si>
  <si>
    <t>Water supply: well</t>
  </si>
  <si>
    <t>Suministro de agua: pozo</t>
  </si>
  <si>
    <t>C□-WETL</t>
  </si>
  <si>
    <t>C□-WWAY</t>
  </si>
  <si>
    <t>C□-WWAY-DLPH</t>
  </si>
  <si>
    <t>Waterway: dolphin</t>
  </si>
  <si>
    <t>Vía fluvial: delfín</t>
  </si>
  <si>
    <t>C□-WWAY-FEND</t>
  </si>
  <si>
    <t>Waterway: fender</t>
  </si>
  <si>
    <t>Vía fluvial: defensa</t>
  </si>
  <si>
    <t>C□-WWAY-MOOR</t>
  </si>
  <si>
    <t>Waterway: mooring</t>
  </si>
  <si>
    <t>Vía fluvial: amarre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</si>
</sst>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Segoe UI Light"/>
      <family val="2"/>
    </font>
    <font>
      <sz val="11"/>
      <color theme="1"/>
      <name val="Calibri"/>
      <family val="2"/>
      <scheme val="minor"/>
    </font>
    <font>
      <sz val="10"/>
      <color theme="0" tint="-0.249977111117893"/>
      <name val="Segoe UI Light"/>
      <family val="2"/>
    </font>
    <font>
      <sz val="10"/>
      <color rgb="FFC00000"/>
      <name val="Segoe UI Ligh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10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3" fillId="0" borderId="2" xfId="0" quotePrefix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D06E641-BF8A-45C3-B403-2D323D5F293E}"/>
    <cellStyle name="Note 2" xfId="42" xr:uid="{97716C7B-F92D-4DA8-BC18-20B1DF81F53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19A4-40DE-42A8-B3E2-A2516218588C}">
  <dimension ref="B1:V103"/>
  <sheetViews>
    <sheetView showGridLines="0" zoomScale="115" zoomScaleNormal="115" workbookViewId="0">
      <pane ySplit="4" topLeftCell="A5" activePane="bottomLeft" state="frozen"/>
      <selection pane="bottomLeft" activeCell="B20" sqref="B20:D39"/>
    </sheetView>
  </sheetViews>
  <sheetFormatPr defaultColWidth="9.140625" defaultRowHeight="15.4" x14ac:dyDescent="0.55000000000000004"/>
  <cols>
    <col min="1" max="1" width="2.7109375" style="1" customWidth="1"/>
    <col min="2" max="3" width="46.140625" style="1" customWidth="1"/>
    <col min="4" max="4" width="20.640625" style="1" customWidth="1"/>
    <col min="5" max="6" width="6.640625" style="1" customWidth="1"/>
    <col min="7" max="7" width="37.42578125" style="1" customWidth="1"/>
    <col min="8" max="8" width="78.925781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15</v>
      </c>
      <c r="C3" s="4" t="s">
        <v>16</v>
      </c>
      <c r="D3" s="4" t="s">
        <v>43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Actividad | Descripción |</v>
      </c>
      <c r="Q3" s="5" t="str">
        <f>_xlfn.CONCAT("| ",B3," | ",C3," | ",D3," |")</f>
        <v>| Actividad | Descripción | Proyecto |</v>
      </c>
      <c r="R3" s="5" t="str">
        <f>_xlfn.CONCAT("| ",B3," | ",C3," | ",D3," | ",E3," |")</f>
        <v>| Actividad | Descripción | Proyecto | A |</v>
      </c>
      <c r="S3" s="5" t="str">
        <f>_xlfn.CONCAT("| ",B3," | ",C3," | ",D3," | ",E3," |",F3," |")</f>
        <v>| Actividad | Descripción | Proyecto | A |B |</v>
      </c>
      <c r="T3" s="5" t="str">
        <f>_xlfn.CONCAT("| ",B3," | ",C3," | ",D3," | ",E3," |",F3," |",G3," |")</f>
        <v>| Actividad | Descripción | Proyecto | A |B |C |</v>
      </c>
      <c r="U3" s="5" t="str">
        <f>_xlfn.CONCAT("| ",B3," | ",C3," | ",D3," | ",E3," | ",F3," | ",G3," | ",H3," |")</f>
        <v>| Actividad | Descripción | Proyecto | A | B | C | D |</v>
      </c>
      <c r="V3" s="5" t="str">
        <f t="shared" ref="V3:V14" si="0">_xlfn.CONCAT("| ",B3," | ",C3," | ",D3," | ",E3," |",F3," |",G3," |",H3," |",I3," |",J3," |",K3," |",L3," |",M3," |",N3," |")</f>
        <v>| Actividad | Descripción | Proyecto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ht="46.15" x14ac:dyDescent="0.55000000000000004">
      <c r="B5" s="5" t="s">
        <v>17</v>
      </c>
      <c r="C5" s="5" t="s">
        <v>18</v>
      </c>
      <c r="D5" s="5"/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1.1. Conceptos básicos de diseño asistido por computador - CAD  | Usos y aplicaciones de herramientas computacionales. Barra de menús. Comandos LINE, GRID y SNAP. |</v>
      </c>
      <c r="Q5" s="5" t="str">
        <f t="shared" ref="Q5:Q38" si="3">_xlfn.CONCAT("| ",B5," | ",C5," | ",D5," |")</f>
        <v>| 1.1. Conceptos básicos de diseño asistido por computador - CAD  | Usos y aplicaciones de herramientas computacionales. Barra de menús. Comandos LINE, GRID y SNAP. |  |</v>
      </c>
      <c r="R5" s="5" t="str">
        <f>_xlfn.CONCAT("| ",B5," | ",C5," | ",D5," | ",E5," |")</f>
        <v>| 1.1. Conceptos básicos de diseño asistido por computador - CAD  | Usos y aplicaciones de herramientas computacionales. Barra de menús. Comandos LINE, GRID y SNAP. |  | ✓ |</v>
      </c>
      <c r="S5" s="5" t="str">
        <f>_xlfn.CONCAT("| ",B5," | ",C5," | ",D5," | ",E5," |",F5," |")</f>
        <v>| 1.1. Conceptos básicos de diseño asistido por computador - CAD  | Usos y aplicaciones de herramientas computacionales. Barra de menús. Comandos LINE, GRID y SNAP. |  | ✓ |✓ |</v>
      </c>
      <c r="T5" s="5" t="str">
        <f t="shared" si="1"/>
        <v>| 1.1. Conceptos básicos de diseño asistido por computador - CAD  | Usos y aplicaciones de herramientas computacionales. Barra de menús. Comandos LINE, GRID y SNAP. |  | ✓ |✓ | |</v>
      </c>
      <c r="U5" s="5" t="str">
        <f t="shared" si="2"/>
        <v>| 1.1. Conceptos básicos de diseño asistido por computador - CAD  | Usos y aplicaciones de herramientas computacionales. Barra de menús. Comandos LINE, GRID y SNAP. |  | ✓ | ✓ |  |  |</v>
      </c>
      <c r="V5" s="5" t="str">
        <f t="shared" si="0"/>
        <v>| 1.1. Conceptos básicos de diseño asistido por computador - CAD  | Usos y aplicaciones de herramientas computacionales. Barra de menús. Comandos LINE, GRID y SNAP. |  | ✓ |✓ | | | | | | | | |</v>
      </c>
    </row>
    <row r="6" spans="2:22" ht="76.900000000000006" x14ac:dyDescent="0.55000000000000004">
      <c r="B6" s="5" t="s">
        <v>19</v>
      </c>
      <c r="C6" s="5" t="s">
        <v>20</v>
      </c>
      <c r="D6" s="5"/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1.2. Elementos básicos  | Coordenadas de usuario UCS. Barra de herramientas de puntos de convergencia. Comandos POLYLINE, ARC, FILLET, CHAMFER, POINT. Comandos ARRAY, MIRROR, OFFSET, DONUT, TRIM. Dibujo de la elipse, la parábola y la hipérbola.  |</v>
      </c>
      <c r="Q6" s="5" t="str">
        <f t="shared" si="3"/>
        <v>| 1.2. Elementos básicos  | Coordenadas de usuario UCS. Barra de herramientas de puntos de convergencia. Comandos POLYLINE, ARC, FILLET, CHAMFER, POINT. Comandos ARRAY, MIRROR, OFFSET, DONUT, TRIM. Dibujo de la elipse, la parábola y la hipérbola.  |  |</v>
      </c>
      <c r="R6" s="5" t="str">
        <f t="shared" ref="R6:R67" si="5">_xlfn.CONCAT("| ",B6," | ",C6," | ",D6," | ",E6," |")</f>
        <v>| 1.2. Elementos básicos  | Coordenadas de usuario UCS. Barra de herramientas de puntos de convergencia. Comandos POLYLINE, ARC, FILLET, CHAMFER, POINT. Comandos ARRAY, MIRROR, OFFSET, DONUT, TRIM. Dibujo de la elipse, la parábola y la hipérbola.  |  | ✓ |</v>
      </c>
      <c r="S6" s="5" t="str">
        <f t="shared" ref="S6:S69" si="6">_xlfn.CONCAT("| ",B6," | ",C6," | ",D6," | ",E6," |",F6," |")</f>
        <v>| 1.2. Elementos básicos  | Coordenadas de usuario UCS. Barra de herramientas de puntos de convergencia. Comandos POLYLINE, ARC, FILLET, CHAMFER, POINT. Comandos ARRAY, MIRROR, OFFSET, DONUT, TRIM. Dibujo de la elipse, la parábola y la hipérbola.  |  | ✓ |✕ |</v>
      </c>
      <c r="T6" s="5" t="str">
        <f t="shared" si="1"/>
        <v>| 1.2. Elementos básicos  | Coordenadas de usuario UCS. Barra de herramientas de puntos de convergencia. Comandos POLYLINE, ARC, FILLET, CHAMFER, POINT. Comandos ARRAY, MIRROR, OFFSET, DONUT, TRIM. Dibujo de la elipse, la parábola y la hipérbola.  |  | ✓ |✕ | |</v>
      </c>
      <c r="U6" s="5" t="str">
        <f t="shared" si="2"/>
        <v>| 1.2. Elementos básicos  | Coordenadas de usuario UCS. Barra de herramientas de puntos de convergencia. Comandos POLYLINE, ARC, FILLET, CHAMFER, POINT. Comandos ARRAY, MIRROR, OFFSET, DONUT, TRIM. Dibujo de la elipse, la parábola y la hipérbola.  |  | ✓ | ✕ |  |  |</v>
      </c>
      <c r="V6" s="5" t="str">
        <f t="shared" si="0"/>
        <v>| 1.2. Elementos básicos  | Coordenadas de usuario UCS. Barra de herramientas de puntos de convergencia. Comandos POLYLINE, ARC, FILLET, CHAMFER, POINT. Comandos ARRAY, MIRROR, OFFSET, DONUT, TRIM. Dibujo de la elipse, la parábola y la hipérbola.  |  | ✓ |✕ | | | | | | | | |</v>
      </c>
    </row>
    <row r="7" spans="2:22" ht="76.900000000000006" x14ac:dyDescent="0.55000000000000004">
      <c r="B7" s="5" t="s">
        <v>21</v>
      </c>
      <c r="C7" s="5" t="s">
        <v>22</v>
      </c>
      <c r="D7" s="5"/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1.3. Bloques - Achurados- Viewports | Diseño de bloques. Achurados. Sombra. Figuras rellenas. Mosaico de vistas. Vistas fijas — espacio modelo. Vistas flotantes — espacio papel. Comandos BLOCK, HATCHT, SOLIDS, VPORTS, MVIEW, PSPACE, VPLAYER. |</v>
      </c>
      <c r="Q7" s="5" t="str">
        <f t="shared" si="3"/>
        <v>| 1.3. Bloques - Achurados- Viewports | Diseño de bloques. Achurados. Sombra. Figuras rellenas. Mosaico de vistas. Vistas fijas — espacio modelo. Vistas flotantes — espacio papel. Comandos BLOCK, HATCHT, SOLIDS, VPORTS, MVIEW, PSPACE, VPLAYER. |  |</v>
      </c>
      <c r="R7" s="5" t="str">
        <f t="shared" si="5"/>
        <v>| 1.3. Bloques - Achurados- Viewports | Diseño de bloques. Achurados. Sombra. Figuras rellenas. Mosaico de vistas. Vistas fijas — espacio modelo. Vistas flotantes — espacio papel. Comandos BLOCK, HATCHT, SOLIDS, VPORTS, MVIEW, PSPACE, VPLAYER. |  | ✓ |</v>
      </c>
      <c r="S7" s="5" t="str">
        <f t="shared" si="6"/>
        <v>| 1.3. Bloques - Achurados- Viewports | Diseño de bloques. Achurados. Sombra. Figuras rellenas. Mosaico de vistas. Vistas fijas — espacio modelo. Vistas flotantes — espacio papel. Comandos BLOCK, HATCHT, SOLIDS, VPORTS, MVIEW, PSPACE, VPLAYER. |  | ✓ |✓ |</v>
      </c>
      <c r="T7" s="5" t="str">
        <f t="shared" si="1"/>
        <v>| 1.3. Bloques - Achurados- Viewports | Diseño de bloques. Achurados. Sombra. Figuras rellenas. Mosaico de vistas. Vistas fijas — espacio modelo. Vistas flotantes — espacio papel. Comandos BLOCK, HATCHT, SOLIDS, VPORTS, MVIEW, PSPACE, VPLAYER. |  | ✓ |✓ | |</v>
      </c>
      <c r="U7" s="5" t="str">
        <f t="shared" si="2"/>
        <v>| 1.3. Bloques - Achurados- Viewports | Diseño de bloques. Achurados. Sombra. Figuras rellenas. Mosaico de vistas. Vistas fijas — espacio modelo. Vistas flotantes — espacio papel. Comandos BLOCK, HATCHT, SOLIDS, VPORTS, MVIEW, PSPACE, VPLAYER. |  | ✓ | ✓ |  |  |</v>
      </c>
      <c r="V7" s="5" t="str">
        <f t="shared" si="0"/>
        <v>| 1.3. Bloques - Achurados- Viewports | Diseño de bloques. Achurados. Sombra. Figuras rellenas. Mosaico de vistas. Vistas fijas — espacio modelo. Vistas flotantes — espacio papel. Comandos BLOCK, HATCHT, SOLIDS, VPORTS, MVIEW, PSPACE, VPLAYER. |  | ✓ |✓ | | | | | | | | |</v>
      </c>
    </row>
    <row r="8" spans="2:22" ht="61.5" x14ac:dyDescent="0.55000000000000004">
      <c r="B8" s="5" t="s">
        <v>23</v>
      </c>
      <c r="C8" s="5" t="s">
        <v>24</v>
      </c>
      <c r="D8" s="5"/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1.4. Dimensionamiento  | Dimensionamiento. Estilo de la dimensión. Acotado de líneas rectas, círculos, arcos y ángulos. Editar dimensiones. Superficies normales, inclinadas y oblicuas. Visibilidad de aristas. |</v>
      </c>
      <c r="Q8" s="5" t="str">
        <f t="shared" si="3"/>
        <v>| 1.4. Dimensionamiento  | Dimensionamiento. Estilo de la dimensión. Acotado de líneas rectas, círculos, arcos y ángulos. Editar dimensiones. Superficies normales, inclinadas y oblicuas. Visibilidad de aristas. |  |</v>
      </c>
      <c r="R8" s="5" t="str">
        <f t="shared" si="5"/>
        <v>| 1.4. Dimensionamiento  | Dimensionamiento. Estilo de la dimensión. Acotado de líneas rectas, círculos, arcos y ángulos. Editar dimensiones. Superficies normales, inclinadas y oblicuas. Visibilidad de aristas. |  | ✓ |</v>
      </c>
      <c r="S8" s="5" t="str">
        <f t="shared" si="6"/>
        <v>| 1.4. Dimensionamiento  | Dimensionamiento. Estilo de la dimensión. Acotado de líneas rectas, círculos, arcos y ángulos. Editar dimensiones. Superficies normales, inclinadas y oblicuas. Visibilidad de aristas. |  | ✓ |✕ |</v>
      </c>
      <c r="T8" s="5" t="str">
        <f t="shared" si="1"/>
        <v>| 1.4. Dimensionamiento  | Dimensionamiento. Estilo de la dimensión. Acotado de líneas rectas, círculos, arcos y ángulos. Editar dimensiones. Superficies normales, inclinadas y oblicuas. Visibilidad de aristas. |  | ✓ |✕ | |</v>
      </c>
      <c r="U8" s="5" t="str">
        <f t="shared" si="2"/>
        <v>| 1.4. Dimensionamiento  | Dimensionamiento. Estilo de la dimensión. Acotado de líneas rectas, círculos, arcos y ángulos. Editar dimensiones. Superficies normales, inclinadas y oblicuas. Visibilidad de aristas. |  | ✓ | ✕ |  |  |</v>
      </c>
      <c r="V8" s="5" t="str">
        <f t="shared" si="0"/>
        <v>| 1.4. Dimensionamiento  | Dimensionamiento. Estilo de la dimensión. Acotado de líneas rectas, círculos, arcos y ángulos. Editar dimensiones. Superficies normales, inclinadas y oblicuas. Visibilidad de aristas. |  | ✓ |✕ | | | | | | | | |</v>
      </c>
    </row>
    <row r="9" spans="2:22" ht="61.5" x14ac:dyDescent="0.55000000000000004">
      <c r="B9" s="5" t="s">
        <v>25</v>
      </c>
      <c r="C9" s="5" t="s">
        <v>26</v>
      </c>
      <c r="D9" s="5"/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1.5. Impresión | Espacio papel y espacio modelo. Asignación de escala. Configuración de impresora y trazadores (plotter). Configuración del trazado. Impresión. Comandos MVSETUP, PRINT, ZOOM – Scale.  |</v>
      </c>
      <c r="Q9" s="5" t="str">
        <f t="shared" si="3"/>
        <v>| 1.5. Impresión | Espacio papel y espacio modelo. Asignación de escala. Configuración de impresora y trazadores (plotter). Configuración del trazado. Impresión. Comandos MVSETUP, PRINT, ZOOM – Scale.  |  |</v>
      </c>
      <c r="R9" s="5" t="str">
        <f t="shared" si="5"/>
        <v>| 1.5. Impresión | Espacio papel y espacio modelo. Asignación de escala. Configuración de impresora y trazadores (plotter). Configuración del trazado. Impresión. Comandos MVSETUP, PRINT, ZOOM – Scale.  |  | ✓ |</v>
      </c>
      <c r="S9" s="5" t="str">
        <f t="shared" si="6"/>
        <v>| 1.5. Impresión | Espacio papel y espacio modelo. Asignación de escala. Configuración de impresora y trazadores (plotter). Configuración del trazado. Impresión. Comandos MVSETUP, PRINT, ZOOM – Scale.  |  | ✓ |✕ |</v>
      </c>
      <c r="T9" s="5" t="str">
        <f t="shared" si="1"/>
        <v>| 1.5. Impresión | Espacio papel y espacio modelo. Asignación de escala. Configuración de impresora y trazadores (plotter). Configuración del trazado. Impresión. Comandos MVSETUP, PRINT, ZOOM – Scale.  |  | ✓ |✕ | |</v>
      </c>
      <c r="U9" s="5" t="str">
        <f t="shared" si="2"/>
        <v>| 1.5. Impresión | Espacio papel y espacio modelo. Asignación de escala. Configuración de impresora y trazadores (plotter). Configuración del trazado. Impresión. Comandos MVSETUP, PRINT, ZOOM – Scale.  |  | ✓ | ✕ |  |  |</v>
      </c>
      <c r="V9" s="5" t="str">
        <f t="shared" si="0"/>
        <v>| 1.5. Impresión | Espacio papel y espacio modelo. Asignación de escala. Configuración de impresora y trazadores (plotter). Configuración del trazado. Impresión. Comandos MVSETUP, PRINT, ZOOM – Scale.  |  | ✓ |✕ | | | | | | | | |</v>
      </c>
    </row>
    <row r="10" spans="2:22" ht="76.900000000000006" x14ac:dyDescent="0.55000000000000004">
      <c r="B10" s="5" t="s">
        <v>27</v>
      </c>
      <c r="C10" s="5" t="s">
        <v>28</v>
      </c>
      <c r="D10" s="5" t="s">
        <v>6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1.6. Proyecto de dibujo asistido por computadora con AutoCAD  | Layers, papel. Texto menor, texto mayor. Planos de referencia para posiciones espaciales. Limits. Coordenadas cartesianas X, Y, Z. Coordenadas relativas posicionales. Coordenadas geográficas.  |</v>
      </c>
      <c r="Q10" s="5" t="str">
        <f t="shared" si="3"/>
        <v>| 1.6. Proyecto de dibujo asistido por computadora con AutoCAD  | Layers, papel. Texto menor, texto mayor. Planos de referencia para posiciones espaciales. Limits. Coordenadas cartesianas X, Y, Z. Coordenadas relativas posicionales. Coordenadas geográficas.  | ✓ |</v>
      </c>
      <c r="R10" s="5" t="str">
        <f t="shared" si="5"/>
        <v>| 1.6. Proyecto de dibujo asistido por computadora con AutoCAD  | Layers, papel. Texto menor, texto mayor. Planos de referencia para posiciones espaciales. Limits. Coordenadas cartesianas X, Y, Z. Coordenadas relativas posicionales. Coordenadas geográficas.  | ✓ | ✓ |</v>
      </c>
      <c r="S10" s="5" t="str">
        <f t="shared" si="6"/>
        <v>| 1.6. Proyecto de dibujo asistido por computadora con AutoCAD  | Layers, papel. Texto menor, texto mayor. Planos de referencia para posiciones espaciales. Limits. Coordenadas cartesianas X, Y, Z. Coordenadas relativas posicionales. Coordenadas geográficas.  | ✓ | ✓ |✕ |</v>
      </c>
      <c r="T10" s="5" t="str">
        <f t="shared" si="1"/>
        <v>| 1.6. Proyecto de dibujo asistido por computadora con AutoCAD  | Layers, papel. Texto menor, texto mayor. Planos de referencia para posiciones espaciales. Limits. Coordenadas cartesianas X, Y, Z. Coordenadas relativas posicionales. Coordenadas geográficas.  | ✓ | ✓ |✕ | |</v>
      </c>
      <c r="U10" s="5" t="str">
        <f t="shared" si="2"/>
        <v>| 1.6. Proyecto de dibujo asistido por computadora con AutoCAD  | Layers, papel. Texto menor, texto mayor. Planos de referencia para posiciones espaciales. Limits. Coordenadas cartesianas X, Y, Z. Coordenadas relativas posicionales. Coordenadas geográficas.  | ✓ | ✓ | ✕ |  |  |</v>
      </c>
      <c r="V10" s="5" t="str">
        <f t="shared" si="0"/>
        <v>| 1.6. Proyecto de dibujo asistido por computadora con AutoCAD  | Layers, papel. Texto menor, texto mayor. Planos de referencia para posiciones espaciales. Limits. Coordenadas cartesianas X, Y, Z. Coordenadas relativas posicionales. Coordenadas geográficas.  | ✓ | ✓ |✕ | | | | | | | | |</v>
      </c>
    </row>
    <row r="11" spans="2:22" x14ac:dyDescent="0.55000000000000004">
      <c r="B11" s="5"/>
      <c r="C11" s="5"/>
      <c r="D11" s="5"/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 |  |</v>
      </c>
      <c r="Q11" s="5" t="str">
        <f t="shared" si="3"/>
        <v>|  |  |  |</v>
      </c>
      <c r="R11" s="5" t="str">
        <f t="shared" si="5"/>
        <v>|  |  |  | ✓ |</v>
      </c>
      <c r="S11" s="5" t="str">
        <f t="shared" si="6"/>
        <v>|  |  |  | ✓ |✓ |</v>
      </c>
      <c r="T11" s="5" t="str">
        <f t="shared" si="1"/>
        <v>|  |  |  | ✓ |✓ | |</v>
      </c>
      <c r="U11" s="5" t="str">
        <f t="shared" si="2"/>
        <v>|  |  |  | ✓ | ✓ |  |  |</v>
      </c>
      <c r="V11" s="5" t="str">
        <f t="shared" si="0"/>
        <v>|  |  |  | ✓ |✓ | | | | | | | | |</v>
      </c>
    </row>
    <row r="12" spans="2:22" ht="46.15" x14ac:dyDescent="0.55000000000000004">
      <c r="B12" s="5" t="s">
        <v>29</v>
      </c>
      <c r="C12" s="5" t="s">
        <v>30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2.1. Introducción | Sistemas de información geográfica. Fundamentos. Proyecciones y origen de coordenadas. Simbología, y estadísticas generales. Tablas relacionales. |</v>
      </c>
      <c r="Q12" s="5" t="str">
        <f t="shared" si="3"/>
        <v>| 2.1. Introducción | Sistemas de información geográfica. Fundamentos. Proyecciones y origen de coordenadas. Simbología, y estadísticas generales. Tablas relacionales. |  |</v>
      </c>
      <c r="R12" s="5" t="str">
        <f t="shared" si="5"/>
        <v>| 2.1. Introducción | Sistemas de información geográfica. Fundamentos. Proyecciones y origen de coordenadas. Simbología, y estadísticas generales. Tablas relacionales. |  |  |</v>
      </c>
      <c r="S12" s="5" t="str">
        <f t="shared" si="6"/>
        <v>| 2.1. Introducción | Sistemas de información geográfica. Fundamentos. Proyecciones y origen de coordenadas. Simbología, y estadísticas generales. Tablas relacionales. |  |  | |</v>
      </c>
      <c r="T12" s="5" t="str">
        <f t="shared" si="1"/>
        <v>| 2.1. Introducción | Sistemas de información geográfica. Fundamentos. Proyecciones y origen de coordenadas. Simbología, y estadísticas generales. Tablas relacionales. |  |  | | |</v>
      </c>
      <c r="U12" s="5"/>
      <c r="V12" s="5" t="str">
        <f t="shared" si="0"/>
        <v>| 2.1. Introducción | Sistemas de información geográfica. Fundamentos. Proyecciones y origen de coordenadas. Simbología, y estadísticas generales. Tablas relacionales. |  |  | | | | | | | | | |</v>
      </c>
    </row>
    <row r="13" spans="2:22" ht="92.25" x14ac:dyDescent="0.55000000000000004">
      <c r="B13" s="5" t="s">
        <v>31</v>
      </c>
      <c r="C13" s="5" t="s">
        <v>32</v>
      </c>
      <c r="D13" s="5" t="s">
        <v>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2.2 Definición y edición de elementos | 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 |</v>
      </c>
      <c r="Q13" s="5" t="str">
        <f t="shared" si="3"/>
        <v>| 2.2 Definición y edición de elementos | 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 | ✓ |</v>
      </c>
      <c r="R13" s="5" t="str">
        <f t="shared" si="5"/>
        <v>| 2.2 Definición y edición de elementos | 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 | ✓ |  |</v>
      </c>
      <c r="S13" s="5" t="str">
        <f t="shared" si="6"/>
        <v>| 2.2 Definición y edición de elementos | 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 | ✓ |  | |</v>
      </c>
      <c r="T13" s="5" t="str">
        <f t="shared" si="1"/>
        <v>| 2.2 Definición y edición de elementos | 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 | ✓ |  | | |</v>
      </c>
      <c r="U13" s="5"/>
      <c r="V13" s="5" t="str">
        <f t="shared" si="0"/>
        <v>| 2.2 Definición y edición de elementos | 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 | ✓ |  | | | | | | | | | |</v>
      </c>
    </row>
    <row r="14" spans="2:22" ht="61.5" x14ac:dyDescent="0.55000000000000004">
      <c r="B14" s="5" t="s">
        <v>33</v>
      </c>
      <c r="C14" s="5" t="s">
        <v>34</v>
      </c>
      <c r="D14" s="5" t="s">
        <v>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2.3. Mapas e imágenes (QGIS, ArcGIS y otras herramientas)  | Mapas y cartografía. Elaboración de planos. Imágenes en SIG. Manejo y manipulación de imágenes. Ejercicio de aplicación (proyecto aplicado en ingeniería eléctrica). |</v>
      </c>
      <c r="Q14" s="5" t="str">
        <f t="shared" si="3"/>
        <v>| 2.3. Mapas e imágenes (QGIS, ArcGIS y otras herramientas)  | Mapas y cartografía. Elaboración de planos. Imágenes en SIG. Manejo y manipulación de imágenes. Ejercicio de aplicación (proyecto aplicado en ingeniería eléctrica). | ✓ |</v>
      </c>
      <c r="R14" s="5" t="str">
        <f t="shared" si="5"/>
        <v>| 2.3. Mapas e imágenes (QGIS, ArcGIS y otras herramientas)  | Mapas y cartografía. Elaboración de planos. Imágenes en SIG. Manejo y manipulación de imágenes. Ejercicio de aplicación (proyecto aplicado en ingeniería eléctrica). | ✓ |  |</v>
      </c>
      <c r="S14" s="5" t="str">
        <f t="shared" si="6"/>
        <v>| 2.3. Mapas e imágenes (QGIS, ArcGIS y otras herramientas)  | Mapas y cartografía. Elaboración de planos. Imágenes en SIG. Manejo y manipulación de imágenes. Ejercicio de aplicación (proyecto aplicado en ingeniería eléctrica). | ✓ |  | |</v>
      </c>
      <c r="T14" s="5" t="str">
        <f t="shared" si="1"/>
        <v>| 2.3. Mapas e imágenes (QGIS, ArcGIS y otras herramientas)  | Mapas y cartografía. Elaboración de planos. Imágenes en SIG. Manejo y manipulación de imágenes. Ejercicio de aplicación (proyecto aplicado en ingeniería eléctrica). | ✓ |  | | |</v>
      </c>
      <c r="U14" s="5"/>
      <c r="V14" s="5" t="str">
        <f t="shared" si="0"/>
        <v>| 2.3. Mapas e imágenes (QGIS, ArcGIS y otras herramientas)  | Mapas y cartografía. Elaboración de planos. Imágenes en SIG. Manejo y manipulación de imágenes. Ejercicio de aplicación (proyecto aplicado en ingeniería eléctrica). | ✓ |  | | | | | | | | | |</v>
      </c>
    </row>
    <row r="15" spans="2:22" x14ac:dyDescent="0.55000000000000004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 |  |  |</v>
      </c>
      <c r="R15" s="5"/>
      <c r="S15" s="5"/>
      <c r="T15" s="5"/>
      <c r="U15" s="5"/>
      <c r="V15" s="5"/>
    </row>
    <row r="16" spans="2:22" ht="30.75" x14ac:dyDescent="0.55000000000000004">
      <c r="B16" s="5" t="s">
        <v>35</v>
      </c>
      <c r="C16" s="5" t="s">
        <v>36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3.1. Introducción  | Conceptos de la metodología BIM. Generalidades del trabajo colaborativo. Taller conceptual. |  |</v>
      </c>
      <c r="R16" s="5"/>
      <c r="S16" s="5"/>
      <c r="T16" s="5"/>
      <c r="U16" s="5"/>
      <c r="V16" s="5"/>
    </row>
    <row r="17" spans="2:22" ht="46.15" x14ac:dyDescent="0.55000000000000004">
      <c r="B17" s="5" t="s">
        <v>37</v>
      </c>
      <c r="C17" s="5" t="s">
        <v>38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3.2 Herramientas para la aplicación de la metodología BIM. Introducción al software Revit | Uso de plantillas (templates). Fundamentos del software Revit. Configuración de Revit (Options).     |  |</v>
      </c>
      <c r="R17" s="5"/>
      <c r="S17" s="5"/>
      <c r="T17" s="5"/>
      <c r="U17" s="5"/>
      <c r="V17" s="5"/>
    </row>
    <row r="18" spans="2:22" ht="92.25" x14ac:dyDescent="0.55000000000000004">
      <c r="B18" s="5" t="s">
        <v>39</v>
      </c>
      <c r="C18" s="5" t="s">
        <v>40</v>
      </c>
      <c r="D18" s="5" t="s">
        <v>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3.3. Creación y manipulación de elementos en Revit  | Creación de vista de plantas (Plan views), Niveles de fondo (Underlay). Control de visualización (Visibility graphics). Láminas de ploteo (Sheets). Creación de WorkSets, Creación de un archivo local y Relinquish all mine. Ejercicio de aplicación (proyecto aplicado en ingeniería eléctrica). | ✓ |</v>
      </c>
      <c r="R18" s="5"/>
      <c r="S18" s="5"/>
      <c r="T18" s="5"/>
      <c r="U18" s="5"/>
      <c r="V18" s="5"/>
    </row>
    <row r="19" spans="2:22" ht="76.900000000000006" x14ac:dyDescent="0.55000000000000004">
      <c r="B19" s="5" t="s">
        <v>41</v>
      </c>
      <c r="C19" s="5" t="s">
        <v>42</v>
      </c>
      <c r="D19" s="5" t="s">
        <v>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3.4. Familias de Revit  | Concepto de familias de Revit. Creación de perfiles. Creación de planos de trabajo. Convertir líneas en símbolos (Convert lines) y Controles de visibilidad. Ejercicio de aplicación (proyecto aplicado en ingeniería eléctrica). | ✓ |</v>
      </c>
      <c r="R19" s="5"/>
      <c r="S19" s="5"/>
      <c r="T19" s="5"/>
      <c r="U19" s="5"/>
      <c r="V19" s="5"/>
    </row>
    <row r="20" spans="2:22" x14ac:dyDescent="0.5500000000000000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 |  |  |</v>
      </c>
      <c r="R20" s="5"/>
      <c r="S20" s="5"/>
      <c r="T20" s="5"/>
      <c r="U20" s="5"/>
      <c r="V20" s="5"/>
    </row>
    <row r="21" spans="2:22" x14ac:dyDescent="0.5500000000000000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 |  |  |</v>
      </c>
      <c r="R21" s="5"/>
      <c r="S21" s="5"/>
      <c r="T21" s="5"/>
      <c r="U21" s="5"/>
      <c r="V21" s="5"/>
    </row>
    <row r="22" spans="2:22" x14ac:dyDescent="0.55000000000000004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 |  |  |</v>
      </c>
      <c r="R22" s="5"/>
      <c r="S22" s="5"/>
      <c r="T22" s="5"/>
      <c r="U22" s="5"/>
      <c r="V22" s="5"/>
    </row>
    <row r="23" spans="2:22" x14ac:dyDescent="0.55000000000000004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 |  |  |</v>
      </c>
      <c r="R23" s="5"/>
      <c r="S23" s="5"/>
      <c r="T23" s="5"/>
      <c r="U23" s="5"/>
      <c r="V23" s="5"/>
    </row>
    <row r="24" spans="2:22" x14ac:dyDescent="0.5500000000000000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 |  |  |</v>
      </c>
      <c r="R24" s="5"/>
      <c r="S24" s="5"/>
      <c r="T24" s="5"/>
      <c r="U24" s="5"/>
      <c r="V24" s="5"/>
    </row>
    <row r="25" spans="2:22" x14ac:dyDescent="0.5500000000000000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 |  |  |</v>
      </c>
      <c r="R25" s="5"/>
      <c r="S25" s="5"/>
      <c r="T25" s="5"/>
      <c r="U25" s="5"/>
      <c r="V25" s="5"/>
    </row>
    <row r="26" spans="2:22" x14ac:dyDescent="0.55000000000000004"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 |  |  |</v>
      </c>
      <c r="R26" s="5"/>
      <c r="S26" s="5"/>
      <c r="T26" s="5"/>
      <c r="U26" s="5"/>
      <c r="V26" s="5"/>
    </row>
    <row r="27" spans="2:22" x14ac:dyDescent="0.55000000000000004"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 |  |  |</v>
      </c>
      <c r="R27" s="5"/>
      <c r="S27" s="5"/>
      <c r="T27" s="5"/>
      <c r="U27" s="5"/>
      <c r="V27" s="5"/>
    </row>
    <row r="28" spans="2:22" x14ac:dyDescent="0.55000000000000004"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 |  |  |</v>
      </c>
      <c r="R28" s="5"/>
      <c r="S28" s="5"/>
      <c r="T28" s="5"/>
      <c r="U28" s="5"/>
      <c r="V28" s="5"/>
    </row>
    <row r="29" spans="2:22" x14ac:dyDescent="0.55000000000000004"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 |  |  |</v>
      </c>
      <c r="R29" s="5"/>
      <c r="S29" s="5"/>
      <c r="T29" s="5"/>
      <c r="U29" s="5"/>
      <c r="V29" s="5"/>
    </row>
    <row r="30" spans="2:22" x14ac:dyDescent="0.55000000000000004"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 |  |  |</v>
      </c>
      <c r="R30" s="5"/>
      <c r="S30" s="5"/>
      <c r="T30" s="5"/>
      <c r="U30" s="5"/>
      <c r="V30" s="5"/>
    </row>
    <row r="31" spans="2:22" x14ac:dyDescent="0.55000000000000004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 |  |  |</v>
      </c>
      <c r="R31" s="5"/>
      <c r="S31" s="5"/>
      <c r="T31" s="5"/>
      <c r="U31" s="5"/>
      <c r="V31" s="5"/>
    </row>
    <row r="32" spans="2:22" x14ac:dyDescent="0.55000000000000004"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 |  |  |</v>
      </c>
      <c r="R32" s="5"/>
      <c r="S32" s="5"/>
      <c r="T32" s="5"/>
      <c r="U32" s="5"/>
      <c r="V32" s="5"/>
    </row>
    <row r="33" spans="2:22" x14ac:dyDescent="0.55000000000000004"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 |  |  |</v>
      </c>
      <c r="R33" s="5"/>
      <c r="S33" s="5"/>
      <c r="T33" s="5"/>
      <c r="U33" s="5"/>
      <c r="V33" s="5"/>
    </row>
    <row r="34" spans="2:22" x14ac:dyDescent="0.5500000000000000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 |  |  |</v>
      </c>
      <c r="R34" s="5"/>
      <c r="S34" s="5"/>
      <c r="T34" s="5"/>
      <c r="U34" s="5"/>
      <c r="V34" s="5"/>
    </row>
    <row r="35" spans="2:22" x14ac:dyDescent="0.5500000000000000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 |  |  |</v>
      </c>
      <c r="R35" s="5"/>
      <c r="S35" s="5"/>
      <c r="T35" s="5"/>
      <c r="U35" s="5"/>
      <c r="V35" s="5"/>
    </row>
    <row r="36" spans="2:22" x14ac:dyDescent="0.5500000000000000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 |  |  |</v>
      </c>
      <c r="R36" s="5"/>
      <c r="S36" s="5"/>
      <c r="T36" s="5"/>
      <c r="U36" s="5"/>
      <c r="V36" s="5"/>
    </row>
    <row r="37" spans="2:22" x14ac:dyDescent="0.55000000000000004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 |  |  |</v>
      </c>
      <c r="R37" s="5"/>
      <c r="S37" s="5"/>
      <c r="T37" s="5"/>
      <c r="U37" s="5"/>
      <c r="V37" s="5"/>
    </row>
    <row r="38" spans="2:22" x14ac:dyDescent="0.55000000000000004">
      <c r="B38" s="5"/>
      <c r="C38" s="5"/>
      <c r="D38" s="4"/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 |  |  |</v>
      </c>
      <c r="R38" s="5"/>
      <c r="S38" s="5"/>
      <c r="T38" s="5"/>
      <c r="U38" s="5"/>
      <c r="V38" s="5"/>
    </row>
    <row r="39" spans="2:22" x14ac:dyDescent="0.55000000000000004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/>
      <c r="R39" s="5"/>
      <c r="S39" s="5"/>
      <c r="T39" s="5"/>
      <c r="U39" s="5"/>
      <c r="V39" s="5"/>
    </row>
    <row r="40" spans="2:22" x14ac:dyDescent="0.55000000000000004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/>
      <c r="R40" s="5"/>
      <c r="S40" s="5"/>
      <c r="T40" s="5"/>
      <c r="U40" s="5"/>
      <c r="V40" s="5"/>
    </row>
    <row r="41" spans="2:22" x14ac:dyDescent="0.5500000000000000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/>
      <c r="R41" s="5"/>
      <c r="S41" s="5"/>
      <c r="T41" s="5"/>
      <c r="U41" s="5"/>
      <c r="V41" s="5"/>
    </row>
    <row r="42" spans="2:22" x14ac:dyDescent="0.5500000000000000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</row>
    <row r="43" spans="2:22" x14ac:dyDescent="0.5500000000000000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</row>
    <row r="44" spans="2:22" x14ac:dyDescent="0.5500000000000000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</row>
    <row r="45" spans="2:22" x14ac:dyDescent="0.5500000000000000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88" si="7">_xlfn.CONCAT("| ",B45," | ",C45," |")</f>
        <v>|  |  |</v>
      </c>
      <c r="Q45" s="5" t="str">
        <f t="shared" ref="Q45:Q88" si="8">_xlfn.CONCAT("| ",B45," | ",C45," | ",D45," |")</f>
        <v>|  |  |  |</v>
      </c>
      <c r="R45" s="5" t="str">
        <f t="shared" si="5"/>
        <v>|  |  |  |  |</v>
      </c>
      <c r="S45" s="5" t="str">
        <f t="shared" si="6"/>
        <v>|  |  |  |  | |</v>
      </c>
      <c r="T45" s="5" t="str">
        <f t="shared" si="1"/>
        <v>|  |  |  |  | | |</v>
      </c>
      <c r="U45" s="5"/>
      <c r="V45" s="5" t="str">
        <f t="shared" ref="V45:V69" si="9">_xlfn.CONCAT("| ",B45," | ",C45," | ",D45," | ",E45," |",F45," |",G45," |",H45," |",I45," |",J45," |",K45," |",L45," |",M45," |",N45," |")</f>
        <v>|  |  |  |  | | | | | | | | | |</v>
      </c>
    </row>
    <row r="46" spans="2:22" x14ac:dyDescent="0.5500000000000000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 |  |</v>
      </c>
      <c r="Q46" s="5" t="str">
        <f t="shared" si="8"/>
        <v>|  |  |  |</v>
      </c>
      <c r="R46" s="5" t="str">
        <f t="shared" si="5"/>
        <v>|  |  |  |  |</v>
      </c>
      <c r="S46" s="5" t="str">
        <f t="shared" si="6"/>
        <v>|  |  |  |  | |</v>
      </c>
      <c r="T46" s="5" t="str">
        <f t="shared" si="1"/>
        <v>|  |  |  |  | | |</v>
      </c>
      <c r="U46" s="5"/>
      <c r="V46" s="5" t="str">
        <f t="shared" si="9"/>
        <v>|  |  |  |  | | | | | | | | | |</v>
      </c>
    </row>
    <row r="47" spans="2:22" x14ac:dyDescent="0.5500000000000000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 |  |</v>
      </c>
      <c r="Q47" s="5" t="str">
        <f t="shared" si="8"/>
        <v>|  |  |  |</v>
      </c>
      <c r="R47" s="5" t="str">
        <f t="shared" si="5"/>
        <v>|  |  |  |  |</v>
      </c>
      <c r="S47" s="5" t="str">
        <f t="shared" si="6"/>
        <v>|  |  |  |  | |</v>
      </c>
      <c r="T47" s="5" t="str">
        <f t="shared" si="1"/>
        <v>|  |  |  |  | | |</v>
      </c>
      <c r="U47" s="5"/>
      <c r="V47" s="5" t="str">
        <f t="shared" si="9"/>
        <v>|  |  |  |  | | | | | | | | | |</v>
      </c>
    </row>
    <row r="48" spans="2:22" x14ac:dyDescent="0.5500000000000000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 |  |</v>
      </c>
      <c r="Q48" s="5" t="str">
        <f t="shared" si="8"/>
        <v>|  |  |  |</v>
      </c>
      <c r="R48" s="5" t="str">
        <f t="shared" si="5"/>
        <v>|  |  |  |  |</v>
      </c>
      <c r="S48" s="5" t="str">
        <f t="shared" si="6"/>
        <v>|  |  |  |  | |</v>
      </c>
      <c r="T48" s="5" t="str">
        <f t="shared" si="1"/>
        <v>|  |  |  |  | | |</v>
      </c>
      <c r="U48" s="5"/>
      <c r="V48" s="5" t="str">
        <f t="shared" si="9"/>
        <v>|  |  |  |  | | | | | | | | | |</v>
      </c>
    </row>
    <row r="49" spans="2:22" x14ac:dyDescent="0.5500000000000000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 |  |</v>
      </c>
      <c r="Q49" s="5" t="str">
        <f t="shared" si="8"/>
        <v>|  |  |  |</v>
      </c>
      <c r="R49" s="5" t="str">
        <f t="shared" si="5"/>
        <v>|  |  |  |  |</v>
      </c>
      <c r="S49" s="5" t="str">
        <f t="shared" si="6"/>
        <v>|  |  |  |  | |</v>
      </c>
      <c r="T49" s="5" t="str">
        <f t="shared" si="1"/>
        <v>|  |  |  |  | | |</v>
      </c>
      <c r="U49" s="5"/>
      <c r="V49" s="5" t="str">
        <f t="shared" si="9"/>
        <v>|  |  |  |  | | | | | | | | | |</v>
      </c>
    </row>
    <row r="50" spans="2:22" x14ac:dyDescent="0.5500000000000000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 |  |</v>
      </c>
      <c r="Q50" s="5" t="str">
        <f t="shared" si="8"/>
        <v>|  |  |  |</v>
      </c>
      <c r="R50" s="5" t="str">
        <f t="shared" si="5"/>
        <v>|  |  |  |  |</v>
      </c>
      <c r="S50" s="5" t="str">
        <f t="shared" si="6"/>
        <v>|  |  |  |  | |</v>
      </c>
      <c r="T50" s="5" t="str">
        <f t="shared" si="1"/>
        <v>|  |  |  |  | | |</v>
      </c>
      <c r="U50" s="5"/>
      <c r="V50" s="5" t="str">
        <f t="shared" si="9"/>
        <v>|  |  |  |  | | | | | | | | | |</v>
      </c>
    </row>
    <row r="51" spans="2:22" x14ac:dyDescent="0.5500000000000000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 |  |</v>
      </c>
      <c r="Q51" s="5" t="str">
        <f t="shared" si="8"/>
        <v>|  |  |  |</v>
      </c>
      <c r="R51" s="5" t="str">
        <f t="shared" si="5"/>
        <v>|  |  |  |  |</v>
      </c>
      <c r="S51" s="5" t="str">
        <f t="shared" si="6"/>
        <v>|  |  |  |  | |</v>
      </c>
      <c r="T51" s="5" t="str">
        <f t="shared" si="1"/>
        <v>|  |  |  |  | | |</v>
      </c>
      <c r="U51" s="5"/>
      <c r="V51" s="5" t="str">
        <f t="shared" si="9"/>
        <v>|  |  |  |  | | | | | | | | | |</v>
      </c>
    </row>
    <row r="52" spans="2:22" x14ac:dyDescent="0.5500000000000000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 |  |</v>
      </c>
      <c r="Q52" s="5" t="str">
        <f t="shared" si="8"/>
        <v>|  |  |  |</v>
      </c>
      <c r="R52" s="5" t="str">
        <f t="shared" si="5"/>
        <v>|  |  |  |  |</v>
      </c>
      <c r="S52" s="5" t="str">
        <f t="shared" si="6"/>
        <v>|  |  |  |  | |</v>
      </c>
      <c r="T52" s="5" t="str">
        <f t="shared" si="1"/>
        <v>|  |  |  |  | | |</v>
      </c>
      <c r="U52" s="5"/>
      <c r="V52" s="5" t="str">
        <f t="shared" si="9"/>
        <v>|  |  |  |  | | | | | | | | | |</v>
      </c>
    </row>
    <row r="53" spans="2:22" x14ac:dyDescent="0.5500000000000000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 |  |</v>
      </c>
      <c r="Q53" s="5" t="str">
        <f t="shared" si="8"/>
        <v>|  |  |  |</v>
      </c>
      <c r="R53" s="5" t="str">
        <f t="shared" si="5"/>
        <v>|  |  |  |  |</v>
      </c>
      <c r="S53" s="5" t="str">
        <f t="shared" si="6"/>
        <v>|  |  |  |  | |</v>
      </c>
      <c r="T53" s="5" t="str">
        <f t="shared" si="1"/>
        <v>|  |  |  |  | | |</v>
      </c>
      <c r="U53" s="5"/>
      <c r="V53" s="5" t="str">
        <f t="shared" si="9"/>
        <v>|  |  |  |  | | | | | | | | | |</v>
      </c>
    </row>
    <row r="54" spans="2:22" x14ac:dyDescent="0.5500000000000000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 |  |</v>
      </c>
      <c r="Q54" s="5" t="str">
        <f t="shared" si="8"/>
        <v>|  |  |  |</v>
      </c>
      <c r="R54" s="5" t="str">
        <f t="shared" si="5"/>
        <v>|  |  |  |  |</v>
      </c>
      <c r="S54" s="5" t="str">
        <f t="shared" si="6"/>
        <v>|  |  |  |  | |</v>
      </c>
      <c r="T54" s="5" t="str">
        <f t="shared" si="1"/>
        <v>|  |  |  |  | | |</v>
      </c>
      <c r="U54" s="5"/>
      <c r="V54" s="5" t="str">
        <f t="shared" si="9"/>
        <v>|  |  |  |  | | | | | | | | | |</v>
      </c>
    </row>
    <row r="55" spans="2:22" x14ac:dyDescent="0.5500000000000000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 |  |</v>
      </c>
      <c r="Q55" s="5" t="str">
        <f t="shared" si="8"/>
        <v>|  |  |  |</v>
      </c>
      <c r="R55" s="5" t="str">
        <f t="shared" si="5"/>
        <v>|  |  |  |  |</v>
      </c>
      <c r="S55" s="5" t="str">
        <f t="shared" si="6"/>
        <v>|  |  |  |  | |</v>
      </c>
      <c r="T55" s="5" t="str">
        <f t="shared" si="1"/>
        <v>|  |  |  |  | | |</v>
      </c>
      <c r="U55" s="5"/>
      <c r="V55" s="5" t="str">
        <f t="shared" si="9"/>
        <v>|  |  |  |  | | | | | | | | | |</v>
      </c>
    </row>
    <row r="56" spans="2:22" x14ac:dyDescent="0.5500000000000000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 |  |</v>
      </c>
      <c r="Q56" s="5" t="str">
        <f t="shared" si="8"/>
        <v>|  |  |  |</v>
      </c>
      <c r="R56" s="5" t="str">
        <f t="shared" si="5"/>
        <v>|  |  |  |  |</v>
      </c>
      <c r="S56" s="5" t="str">
        <f t="shared" si="6"/>
        <v>|  |  |  |  | |</v>
      </c>
      <c r="T56" s="5" t="str">
        <f t="shared" si="1"/>
        <v>|  |  |  |  | | |</v>
      </c>
      <c r="U56" s="5"/>
      <c r="V56" s="5" t="str">
        <f t="shared" si="9"/>
        <v>|  |  |  |  | | | | | | | | | |</v>
      </c>
    </row>
    <row r="57" spans="2:22" x14ac:dyDescent="0.5500000000000000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 |  |</v>
      </c>
      <c r="Q57" s="5" t="str">
        <f t="shared" si="8"/>
        <v>|  |  |  |</v>
      </c>
      <c r="R57" s="5" t="str">
        <f t="shared" si="5"/>
        <v>|  |  |  |  |</v>
      </c>
      <c r="S57" s="5" t="str">
        <f t="shared" si="6"/>
        <v>|  |  |  |  | |</v>
      </c>
      <c r="T57" s="5" t="str">
        <f t="shared" si="1"/>
        <v>|  |  |  |  | | |</v>
      </c>
      <c r="U57" s="5"/>
      <c r="V57" s="5" t="str">
        <f t="shared" si="9"/>
        <v>|  |  |  |  | | | | | | | | | |</v>
      </c>
    </row>
    <row r="58" spans="2:22" x14ac:dyDescent="0.5500000000000000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 |  |</v>
      </c>
      <c r="Q58" s="5" t="str">
        <f t="shared" si="8"/>
        <v>|  |  |  |</v>
      </c>
      <c r="R58" s="5" t="str">
        <f t="shared" si="5"/>
        <v>|  |  |  |  |</v>
      </c>
      <c r="S58" s="5" t="str">
        <f t="shared" si="6"/>
        <v>|  |  |  |  | |</v>
      </c>
      <c r="T58" s="5" t="str">
        <f t="shared" si="1"/>
        <v>|  |  |  |  | | |</v>
      </c>
      <c r="U58" s="5"/>
      <c r="V58" s="5" t="str">
        <f t="shared" si="9"/>
        <v>|  |  |  |  | | | | | | | | | |</v>
      </c>
    </row>
    <row r="59" spans="2:22" x14ac:dyDescent="0.5500000000000000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 |  |</v>
      </c>
      <c r="Q59" s="5" t="str">
        <f t="shared" si="8"/>
        <v>|  |  |  |</v>
      </c>
      <c r="R59" s="5" t="str">
        <f t="shared" si="5"/>
        <v>|  |  |  |  |</v>
      </c>
      <c r="S59" s="5" t="str">
        <f t="shared" si="6"/>
        <v>|  |  |  |  | |</v>
      </c>
      <c r="T59" s="5" t="str">
        <f t="shared" si="1"/>
        <v>|  |  |  |  | | |</v>
      </c>
      <c r="U59" s="5"/>
      <c r="V59" s="5" t="str">
        <f t="shared" si="9"/>
        <v>|  |  |  |  | | | | | | | | | |</v>
      </c>
    </row>
    <row r="60" spans="2:22" x14ac:dyDescent="0.5500000000000000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 |  |</v>
      </c>
      <c r="Q60" s="5" t="str">
        <f t="shared" si="8"/>
        <v>|  |  |  |</v>
      </c>
      <c r="R60" s="5" t="str">
        <f t="shared" si="5"/>
        <v>|  |  |  |  |</v>
      </c>
      <c r="S60" s="5" t="str">
        <f t="shared" si="6"/>
        <v>|  |  |  |  | |</v>
      </c>
      <c r="T60" s="5" t="str">
        <f t="shared" si="1"/>
        <v>|  |  |  |  | | |</v>
      </c>
      <c r="U60" s="5"/>
      <c r="V60" s="5" t="str">
        <f t="shared" si="9"/>
        <v>|  |  |  |  | | | | | | | | | |</v>
      </c>
    </row>
    <row r="61" spans="2:22" x14ac:dyDescent="0.5500000000000000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 |  |</v>
      </c>
      <c r="Q61" s="5" t="str">
        <f t="shared" si="8"/>
        <v>|  |  |  |</v>
      </c>
      <c r="R61" s="5" t="str">
        <f t="shared" si="5"/>
        <v>|  |  |  |  |</v>
      </c>
      <c r="S61" s="5" t="str">
        <f t="shared" si="6"/>
        <v>|  |  |  |  | |</v>
      </c>
      <c r="T61" s="5" t="str">
        <f t="shared" si="1"/>
        <v>|  |  |  |  | | |</v>
      </c>
      <c r="U61" s="5"/>
      <c r="V61" s="5" t="str">
        <f t="shared" si="9"/>
        <v>|  |  |  |  | | | | | | | | | |</v>
      </c>
    </row>
    <row r="62" spans="2:22" x14ac:dyDescent="0.5500000000000000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 |  |</v>
      </c>
      <c r="Q62" s="5" t="str">
        <f t="shared" si="8"/>
        <v>|  |  |  |</v>
      </c>
      <c r="R62" s="5" t="str">
        <f t="shared" si="5"/>
        <v>|  |  |  |  |</v>
      </c>
      <c r="S62" s="5" t="str">
        <f t="shared" si="6"/>
        <v>|  |  |  |  | |</v>
      </c>
      <c r="T62" s="5" t="str">
        <f t="shared" si="1"/>
        <v>|  |  |  |  | | |</v>
      </c>
      <c r="U62" s="5"/>
      <c r="V62" s="5" t="str">
        <f t="shared" si="9"/>
        <v>|  |  |  |  | | | | | | | | | |</v>
      </c>
    </row>
    <row r="63" spans="2:22" x14ac:dyDescent="0.5500000000000000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 |  |</v>
      </c>
      <c r="Q63" s="5" t="str">
        <f t="shared" si="8"/>
        <v>|  |  |  |</v>
      </c>
      <c r="R63" s="5" t="str">
        <f t="shared" si="5"/>
        <v>|  |  |  |  |</v>
      </c>
      <c r="S63" s="5" t="str">
        <f t="shared" si="6"/>
        <v>|  |  |  |  | |</v>
      </c>
      <c r="T63" s="5" t="str">
        <f t="shared" si="1"/>
        <v>|  |  |  |  | | |</v>
      </c>
      <c r="U63" s="5"/>
      <c r="V63" s="5" t="str">
        <f t="shared" si="9"/>
        <v>|  |  |  |  | | | | | | | | | |</v>
      </c>
    </row>
    <row r="64" spans="2:22" x14ac:dyDescent="0.5500000000000000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 |  |</v>
      </c>
      <c r="Q64" s="5" t="str">
        <f t="shared" si="8"/>
        <v>|  |  |  |</v>
      </c>
      <c r="R64" s="5" t="str">
        <f t="shared" si="5"/>
        <v>|  |  |  |  |</v>
      </c>
      <c r="S64" s="5" t="str">
        <f t="shared" si="6"/>
        <v>|  |  |  |  | |</v>
      </c>
      <c r="T64" s="5" t="str">
        <f t="shared" si="1"/>
        <v>|  |  |  |  | | |</v>
      </c>
      <c r="U64" s="5"/>
      <c r="V64" s="5" t="str">
        <f t="shared" si="9"/>
        <v>|  |  |  |  | | | | | | | | | |</v>
      </c>
    </row>
    <row r="65" spans="2:22" x14ac:dyDescent="0.5500000000000000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 |  |</v>
      </c>
      <c r="Q65" s="5" t="str">
        <f t="shared" si="8"/>
        <v>|  |  |  |</v>
      </c>
      <c r="R65" s="5" t="str">
        <f t="shared" si="5"/>
        <v>|  |  |  |  |</v>
      </c>
      <c r="S65" s="5" t="str">
        <f t="shared" si="6"/>
        <v>|  |  |  |  | |</v>
      </c>
      <c r="T65" s="5" t="str">
        <f t="shared" si="1"/>
        <v>|  |  |  |  | | |</v>
      </c>
      <c r="U65" s="5"/>
      <c r="V65" s="5" t="str">
        <f t="shared" si="9"/>
        <v>|  |  |  |  | | | | | | | | | |</v>
      </c>
    </row>
    <row r="66" spans="2:22" x14ac:dyDescent="0.55000000000000004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 |  |</v>
      </c>
      <c r="Q66" s="5" t="str">
        <f t="shared" si="8"/>
        <v>|  |  |  |</v>
      </c>
      <c r="R66" s="5" t="str">
        <f t="shared" si="5"/>
        <v>|  |  |  |  |</v>
      </c>
      <c r="S66" s="5" t="str">
        <f t="shared" si="6"/>
        <v>|  |  |  |  | |</v>
      </c>
      <c r="T66" s="5" t="str">
        <f t="shared" si="1"/>
        <v>|  |  |  |  | | |</v>
      </c>
      <c r="U66" s="5"/>
      <c r="V66" s="5" t="str">
        <f t="shared" si="9"/>
        <v>|  |  |  |  | | | | | | | | | |</v>
      </c>
    </row>
    <row r="67" spans="2:22" x14ac:dyDescent="0.55000000000000004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 |  |</v>
      </c>
      <c r="Q67" s="5" t="str">
        <f t="shared" si="8"/>
        <v>|  |  |  |</v>
      </c>
      <c r="R67" s="5" t="str">
        <f t="shared" si="5"/>
        <v>|  |  |  |  |</v>
      </c>
      <c r="S67" s="5" t="str">
        <f t="shared" si="6"/>
        <v>|  |  |  |  | |</v>
      </c>
      <c r="T67" s="5" t="str">
        <f t="shared" si="1"/>
        <v>|  |  |  |  | | |</v>
      </c>
      <c r="U67" s="5"/>
      <c r="V67" s="5" t="str">
        <f t="shared" si="9"/>
        <v>|  |  |  |  | | | | | | | | | |</v>
      </c>
    </row>
    <row r="68" spans="2:22" x14ac:dyDescent="0.55000000000000004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 |  |</v>
      </c>
      <c r="Q68" s="5" t="str">
        <f t="shared" si="8"/>
        <v>|  |  |  |</v>
      </c>
      <c r="R68" s="5" t="str">
        <f t="shared" ref="R68:R103" si="10">_xlfn.CONCAT("| ",B68," | ",C68," | ",D68," | ",E68," |")</f>
        <v>|  |  |  |  |</v>
      </c>
      <c r="S68" s="5" t="str">
        <f t="shared" si="6"/>
        <v>|  |  |  |  | |</v>
      </c>
      <c r="T68" s="5" t="str">
        <f t="shared" ref="T68:T103" si="11">_xlfn.CONCAT("| ",B68," | ",C68," | ",D68," | ",E68," |",F68," |",G68," |")</f>
        <v>|  |  |  |  | | |</v>
      </c>
      <c r="U68" s="5"/>
      <c r="V68" s="5" t="str">
        <f t="shared" si="9"/>
        <v>|  |  |  |  | | | | | | | | | |</v>
      </c>
    </row>
    <row r="69" spans="2:22" x14ac:dyDescent="0.55000000000000004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 |  |</v>
      </c>
      <c r="Q69" s="5" t="str">
        <f t="shared" si="8"/>
        <v>|  |  |  |</v>
      </c>
      <c r="R69" s="5" t="str">
        <f t="shared" si="10"/>
        <v>|  |  |  |  |</v>
      </c>
      <c r="S69" s="5" t="str">
        <f t="shared" si="6"/>
        <v>|  |  |  |  | |</v>
      </c>
      <c r="T69" s="5" t="str">
        <f t="shared" si="11"/>
        <v>|  |  |  |  | | |</v>
      </c>
      <c r="U69" s="5"/>
      <c r="V69" s="5" t="str">
        <f t="shared" si="9"/>
        <v>|  |  |  |  | | | | | | | | | |</v>
      </c>
    </row>
    <row r="70" spans="2:22" x14ac:dyDescent="0.55000000000000004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 |  |</v>
      </c>
      <c r="Q70" s="5" t="str">
        <f t="shared" si="8"/>
        <v>|  |  |  |</v>
      </c>
      <c r="R70" s="5" t="str">
        <f t="shared" si="10"/>
        <v>|  |  |  |  |</v>
      </c>
      <c r="S70" s="5" t="str">
        <f t="shared" ref="S70:S103" si="12">_xlfn.CONCAT("| ",B70," | ",C70," | ",D70," | ",E70," |",F70," |")</f>
        <v>|  |  |  |  | |</v>
      </c>
      <c r="T70" s="5" t="str">
        <f t="shared" si="11"/>
        <v>|  |  |  |  | | |</v>
      </c>
      <c r="U70" s="5"/>
      <c r="V70" s="5" t="str">
        <f t="shared" ref="V70:V103" si="13">_xlfn.CONCAT("| ",B70," | ",C70," | ",D70," | ",E70," |",F70," |",G70," |",H70," |",I70," |",J70," |",K70," |",L70," |",M70," |",N70," |")</f>
        <v>|  |  |  |  | | | | | | | | | |</v>
      </c>
    </row>
    <row r="71" spans="2:22" x14ac:dyDescent="0.5500000000000000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 |  |</v>
      </c>
      <c r="Q71" s="5" t="str">
        <f t="shared" si="8"/>
        <v>|  |  |  |</v>
      </c>
      <c r="R71" s="5" t="str">
        <f t="shared" si="10"/>
        <v>|  |  |  |  |</v>
      </c>
      <c r="S71" s="5" t="str">
        <f t="shared" si="12"/>
        <v>|  |  |  |  | |</v>
      </c>
      <c r="T71" s="5" t="str">
        <f t="shared" si="11"/>
        <v>|  |  |  |  | | |</v>
      </c>
      <c r="U71" s="5"/>
      <c r="V71" s="5" t="str">
        <f t="shared" si="13"/>
        <v>|  |  |  |  | | | | | | | | | |</v>
      </c>
    </row>
    <row r="72" spans="2:22" x14ac:dyDescent="0.55000000000000004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 |  |</v>
      </c>
      <c r="Q72" s="5" t="str">
        <f t="shared" si="8"/>
        <v>|  |  |  |</v>
      </c>
      <c r="R72" s="5" t="str">
        <f t="shared" si="10"/>
        <v>|  |  |  |  |</v>
      </c>
      <c r="S72" s="5" t="str">
        <f t="shared" si="12"/>
        <v>|  |  |  |  | |</v>
      </c>
      <c r="T72" s="5" t="str">
        <f t="shared" si="11"/>
        <v>|  |  |  |  | | |</v>
      </c>
      <c r="U72" s="5"/>
      <c r="V72" s="5" t="str">
        <f t="shared" si="13"/>
        <v>|  |  |  |  | | | | | | | | | |</v>
      </c>
    </row>
    <row r="73" spans="2:22" x14ac:dyDescent="0.55000000000000004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 |  |</v>
      </c>
      <c r="Q73" s="5" t="str">
        <f t="shared" si="8"/>
        <v>|  |  |  |</v>
      </c>
      <c r="R73" s="5" t="str">
        <f t="shared" si="10"/>
        <v>|  |  |  |  |</v>
      </c>
      <c r="S73" s="5" t="str">
        <f t="shared" si="12"/>
        <v>|  |  |  |  | |</v>
      </c>
      <c r="T73" s="5" t="str">
        <f t="shared" si="11"/>
        <v>|  |  |  |  | | |</v>
      </c>
      <c r="U73" s="5"/>
      <c r="V73" s="5" t="str">
        <f t="shared" si="13"/>
        <v>|  |  |  |  | | | | | | | | | |</v>
      </c>
    </row>
    <row r="74" spans="2:22" x14ac:dyDescent="0.5500000000000000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 |  |</v>
      </c>
      <c r="Q74" s="5" t="str">
        <f t="shared" si="8"/>
        <v>|  |  |  |</v>
      </c>
      <c r="R74" s="5" t="str">
        <f t="shared" si="10"/>
        <v>|  |  |  |  |</v>
      </c>
      <c r="S74" s="5" t="str">
        <f t="shared" si="12"/>
        <v>|  |  |  |  | |</v>
      </c>
      <c r="T74" s="5" t="str">
        <f t="shared" si="11"/>
        <v>|  |  |  |  | | |</v>
      </c>
      <c r="U74" s="5"/>
      <c r="V74" s="5" t="str">
        <f t="shared" si="13"/>
        <v>|  |  |  |  | | | | | | | | | |</v>
      </c>
    </row>
    <row r="75" spans="2:22" x14ac:dyDescent="0.55000000000000004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 |  |</v>
      </c>
      <c r="Q75" s="5" t="str">
        <f t="shared" si="8"/>
        <v>|  |  |  |</v>
      </c>
      <c r="R75" s="5" t="str">
        <f t="shared" si="10"/>
        <v>|  |  |  |  |</v>
      </c>
      <c r="S75" s="5" t="str">
        <f t="shared" si="12"/>
        <v>|  |  |  |  | |</v>
      </c>
      <c r="T75" s="5" t="str">
        <f t="shared" si="11"/>
        <v>|  |  |  |  | | |</v>
      </c>
      <c r="U75" s="5"/>
      <c r="V75" s="5" t="str">
        <f t="shared" si="13"/>
        <v>|  |  |  |  | | | | | | | | | |</v>
      </c>
    </row>
    <row r="76" spans="2:22" x14ac:dyDescent="0.55000000000000004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 |  |</v>
      </c>
      <c r="Q76" s="5" t="str">
        <f t="shared" si="8"/>
        <v>|  |  |  |</v>
      </c>
      <c r="R76" s="5" t="str">
        <f t="shared" si="10"/>
        <v>|  |  |  |  |</v>
      </c>
      <c r="S76" s="5" t="str">
        <f t="shared" si="12"/>
        <v>|  |  |  |  | |</v>
      </c>
      <c r="T76" s="5" t="str">
        <f t="shared" si="11"/>
        <v>|  |  |  |  | | |</v>
      </c>
      <c r="U76" s="5"/>
      <c r="V76" s="5" t="str">
        <f t="shared" si="13"/>
        <v>|  |  |  |  | | | | | | | | | |</v>
      </c>
    </row>
    <row r="77" spans="2:22" x14ac:dyDescent="0.5500000000000000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 |  |</v>
      </c>
      <c r="Q77" s="5" t="str">
        <f t="shared" si="8"/>
        <v>|  |  |  |</v>
      </c>
      <c r="R77" s="5" t="str">
        <f t="shared" si="10"/>
        <v>|  |  |  |  |</v>
      </c>
      <c r="S77" s="5" t="str">
        <f t="shared" si="12"/>
        <v>|  |  |  |  | |</v>
      </c>
      <c r="T77" s="5" t="str">
        <f t="shared" si="11"/>
        <v>|  |  |  |  | | |</v>
      </c>
      <c r="U77" s="5"/>
      <c r="V77" s="5" t="str">
        <f t="shared" si="13"/>
        <v>|  |  |  |  | | | | | | | | | |</v>
      </c>
    </row>
    <row r="78" spans="2:22" x14ac:dyDescent="0.55000000000000004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 |  |</v>
      </c>
      <c r="Q78" s="5" t="str">
        <f t="shared" si="8"/>
        <v>|  |  |  |</v>
      </c>
      <c r="R78" s="5" t="str">
        <f t="shared" si="10"/>
        <v>|  |  |  |  |</v>
      </c>
      <c r="S78" s="5" t="str">
        <f t="shared" si="12"/>
        <v>|  |  |  |  | |</v>
      </c>
      <c r="T78" s="5" t="str">
        <f t="shared" si="11"/>
        <v>|  |  |  |  | | |</v>
      </c>
      <c r="U78" s="5"/>
      <c r="V78" s="5" t="str">
        <f t="shared" si="13"/>
        <v>|  |  |  |  | | | | | | | | | |</v>
      </c>
    </row>
    <row r="79" spans="2:22" x14ac:dyDescent="0.55000000000000004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 |  |</v>
      </c>
      <c r="Q79" s="5" t="str">
        <f t="shared" si="8"/>
        <v>|  |  |  |</v>
      </c>
      <c r="R79" s="5" t="str">
        <f t="shared" si="10"/>
        <v>|  |  |  |  |</v>
      </c>
      <c r="S79" s="5" t="str">
        <f t="shared" si="12"/>
        <v>|  |  |  |  | |</v>
      </c>
      <c r="T79" s="5" t="str">
        <f t="shared" si="11"/>
        <v>|  |  |  |  | | |</v>
      </c>
      <c r="U79" s="5"/>
      <c r="V79" s="5" t="str">
        <f t="shared" si="13"/>
        <v>|  |  |  |  | | | | | | | | | |</v>
      </c>
    </row>
    <row r="80" spans="2:22" x14ac:dyDescent="0.55000000000000004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 |  |</v>
      </c>
      <c r="Q80" s="5" t="str">
        <f t="shared" si="8"/>
        <v>|  |  |  |</v>
      </c>
      <c r="R80" s="5" t="str">
        <f t="shared" si="10"/>
        <v>|  |  |  |  |</v>
      </c>
      <c r="S80" s="5" t="str">
        <f t="shared" si="12"/>
        <v>|  |  |  |  | |</v>
      </c>
      <c r="T80" s="5" t="str">
        <f t="shared" si="11"/>
        <v>|  |  |  |  | | |</v>
      </c>
      <c r="U80" s="5"/>
      <c r="V80" s="5" t="str">
        <f t="shared" si="13"/>
        <v>|  |  |  |  | | | | | | | | | |</v>
      </c>
    </row>
    <row r="81" spans="2:22" x14ac:dyDescent="0.55000000000000004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 |  |</v>
      </c>
      <c r="Q81" s="5" t="str">
        <f t="shared" si="8"/>
        <v>|  |  |  |</v>
      </c>
      <c r="R81" s="5" t="str">
        <f t="shared" si="10"/>
        <v>|  |  |  |  |</v>
      </c>
      <c r="S81" s="5" t="str">
        <f t="shared" si="12"/>
        <v>|  |  |  |  | |</v>
      </c>
      <c r="T81" s="5" t="str">
        <f t="shared" si="11"/>
        <v>|  |  |  |  | | |</v>
      </c>
      <c r="U81" s="5"/>
      <c r="V81" s="5" t="str">
        <f t="shared" si="13"/>
        <v>|  |  |  |  | | | | | | | | | |</v>
      </c>
    </row>
    <row r="82" spans="2:22" x14ac:dyDescent="0.55000000000000004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 |  |</v>
      </c>
      <c r="Q82" s="5" t="str">
        <f t="shared" si="8"/>
        <v>|  |  |  |</v>
      </c>
      <c r="R82" s="5" t="str">
        <f t="shared" si="10"/>
        <v>|  |  |  |  |</v>
      </c>
      <c r="S82" s="5" t="str">
        <f t="shared" si="12"/>
        <v>|  |  |  |  | |</v>
      </c>
      <c r="T82" s="5" t="str">
        <f t="shared" si="11"/>
        <v>|  |  |  |  | | |</v>
      </c>
      <c r="U82" s="5"/>
      <c r="V82" s="5" t="str">
        <f t="shared" si="13"/>
        <v>|  |  |  |  | | | | | | | | | |</v>
      </c>
    </row>
    <row r="83" spans="2:22" x14ac:dyDescent="0.55000000000000004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 |  |</v>
      </c>
      <c r="Q83" s="5" t="str">
        <f t="shared" si="8"/>
        <v>|  |  |  |</v>
      </c>
      <c r="R83" s="5" t="str">
        <f t="shared" si="10"/>
        <v>|  |  |  |  |</v>
      </c>
      <c r="S83" s="5" t="str">
        <f t="shared" si="12"/>
        <v>|  |  |  |  | |</v>
      </c>
      <c r="T83" s="5" t="str">
        <f t="shared" si="11"/>
        <v>|  |  |  |  | | |</v>
      </c>
      <c r="U83" s="5"/>
      <c r="V83" s="5" t="str">
        <f t="shared" si="13"/>
        <v>|  |  |  |  | | | | | | | | | |</v>
      </c>
    </row>
    <row r="84" spans="2:22" x14ac:dyDescent="0.5500000000000000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 |  |</v>
      </c>
      <c r="Q84" s="5" t="str">
        <f t="shared" si="8"/>
        <v>|  |  |  |</v>
      </c>
      <c r="R84" s="5" t="str">
        <f t="shared" si="10"/>
        <v>|  |  |  |  |</v>
      </c>
      <c r="S84" s="5" t="str">
        <f t="shared" si="12"/>
        <v>|  |  |  |  | |</v>
      </c>
      <c r="T84" s="5" t="str">
        <f t="shared" si="11"/>
        <v>|  |  |  |  | | |</v>
      </c>
      <c r="U84" s="5"/>
      <c r="V84" s="5" t="str">
        <f t="shared" si="13"/>
        <v>|  |  |  |  | | | | | | | | | |</v>
      </c>
    </row>
    <row r="85" spans="2:22" x14ac:dyDescent="0.55000000000000004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 |  |</v>
      </c>
      <c r="Q85" s="5" t="str">
        <f t="shared" si="8"/>
        <v>|  |  |  |</v>
      </c>
      <c r="R85" s="5" t="str">
        <f t="shared" si="10"/>
        <v>|  |  |  |  |</v>
      </c>
      <c r="S85" s="5" t="str">
        <f t="shared" si="12"/>
        <v>|  |  |  |  | |</v>
      </c>
      <c r="T85" s="5" t="str">
        <f t="shared" si="11"/>
        <v>|  |  |  |  | | |</v>
      </c>
      <c r="U85" s="5"/>
      <c r="V85" s="5" t="str">
        <f t="shared" si="13"/>
        <v>|  |  |  |  | | | | | | | | | |</v>
      </c>
    </row>
    <row r="86" spans="2:22" x14ac:dyDescent="0.55000000000000004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 |  |</v>
      </c>
      <c r="Q86" s="5" t="str">
        <f t="shared" si="8"/>
        <v>|  |  |  |</v>
      </c>
      <c r="R86" s="5" t="str">
        <f t="shared" si="10"/>
        <v>|  |  |  |  |</v>
      </c>
      <c r="S86" s="5" t="str">
        <f t="shared" si="12"/>
        <v>|  |  |  |  | |</v>
      </c>
      <c r="T86" s="5" t="str">
        <f t="shared" si="11"/>
        <v>|  |  |  |  | | |</v>
      </c>
      <c r="U86" s="5"/>
      <c r="V86" s="5" t="str">
        <f t="shared" si="13"/>
        <v>|  |  |  |  | | | | | | | | | |</v>
      </c>
    </row>
    <row r="87" spans="2:22" x14ac:dyDescent="0.5500000000000000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 |  |</v>
      </c>
      <c r="Q87" s="5" t="str">
        <f t="shared" si="8"/>
        <v>|  |  |  |</v>
      </c>
      <c r="R87" s="5" t="str">
        <f t="shared" si="10"/>
        <v>|  |  |  |  |</v>
      </c>
      <c r="S87" s="5" t="str">
        <f t="shared" si="12"/>
        <v>|  |  |  |  | |</v>
      </c>
      <c r="T87" s="5" t="str">
        <f t="shared" si="11"/>
        <v>|  |  |  |  | | |</v>
      </c>
      <c r="U87" s="5"/>
      <c r="V87" s="5" t="str">
        <f t="shared" si="13"/>
        <v>|  |  |  |  | | | | | | | | | |</v>
      </c>
    </row>
    <row r="88" spans="2:22" x14ac:dyDescent="0.5500000000000000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 |  |</v>
      </c>
      <c r="Q88" s="5" t="str">
        <f t="shared" si="8"/>
        <v>|  |  |  |</v>
      </c>
      <c r="R88" s="5" t="str">
        <f t="shared" si="10"/>
        <v>|  |  |  |  |</v>
      </c>
      <c r="S88" s="5" t="str">
        <f t="shared" si="12"/>
        <v>|  |  |  |  | |</v>
      </c>
      <c r="T88" s="5" t="str">
        <f t="shared" si="11"/>
        <v>|  |  |  |  | | |</v>
      </c>
      <c r="U88" s="5"/>
      <c r="V88" s="5" t="str">
        <f t="shared" si="13"/>
        <v>|  |  |  |  | | | | | | | | | |</v>
      </c>
    </row>
    <row r="89" spans="2:22" x14ac:dyDescent="0.5500000000000000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ref="P89:P103" si="14">_xlfn.CONCAT("| ",B89," | ",C89," |")</f>
        <v>|  |  |</v>
      </c>
      <c r="Q89" s="5" t="str">
        <f t="shared" ref="Q89:Q103" si="15">_xlfn.CONCAT("| ",B89," | ",C89," | ",D89," |")</f>
        <v>|  |  |  |</v>
      </c>
      <c r="R89" s="5" t="str">
        <f t="shared" si="10"/>
        <v>|  |  |  |  |</v>
      </c>
      <c r="S89" s="5" t="str">
        <f t="shared" si="12"/>
        <v>|  |  |  |  | |</v>
      </c>
      <c r="T89" s="5" t="str">
        <f t="shared" si="11"/>
        <v>|  |  |  |  | | |</v>
      </c>
      <c r="U89" s="5"/>
      <c r="V89" s="5" t="str">
        <f t="shared" si="13"/>
        <v>|  |  |  |  | | | | | | | | | |</v>
      </c>
    </row>
    <row r="90" spans="2:22" x14ac:dyDescent="0.5500000000000000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14"/>
        <v>|  |  |</v>
      </c>
      <c r="Q90" s="5" t="str">
        <f t="shared" si="15"/>
        <v>|  |  |  |</v>
      </c>
      <c r="R90" s="5" t="str">
        <f t="shared" si="10"/>
        <v>|  |  |  |  |</v>
      </c>
      <c r="S90" s="5" t="str">
        <f t="shared" si="12"/>
        <v>|  |  |  |  | |</v>
      </c>
      <c r="T90" s="5" t="str">
        <f t="shared" si="11"/>
        <v>|  |  |  |  | | |</v>
      </c>
      <c r="U90" s="5"/>
      <c r="V90" s="5" t="str">
        <f t="shared" si="13"/>
        <v>|  |  |  |  | | | | | | | | | |</v>
      </c>
    </row>
    <row r="91" spans="2:22" x14ac:dyDescent="0.5500000000000000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14"/>
        <v>|  |  |</v>
      </c>
      <c r="Q91" s="5" t="str">
        <f t="shared" si="15"/>
        <v>|  |  |  |</v>
      </c>
      <c r="R91" s="5" t="str">
        <f t="shared" si="10"/>
        <v>|  |  |  |  |</v>
      </c>
      <c r="S91" s="5" t="str">
        <f t="shared" si="12"/>
        <v>|  |  |  |  | |</v>
      </c>
      <c r="T91" s="5" t="str">
        <f t="shared" si="11"/>
        <v>|  |  |  |  | | |</v>
      </c>
      <c r="U91" s="5"/>
      <c r="V91" s="5" t="str">
        <f t="shared" si="13"/>
        <v>|  |  |  |  | | | | | | | | | |</v>
      </c>
    </row>
    <row r="92" spans="2:22" x14ac:dyDescent="0.5500000000000000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14"/>
        <v>|  |  |</v>
      </c>
      <c r="Q92" s="5" t="str">
        <f t="shared" si="15"/>
        <v>|  |  |  |</v>
      </c>
      <c r="R92" s="5" t="str">
        <f t="shared" si="10"/>
        <v>|  |  |  |  |</v>
      </c>
      <c r="S92" s="5" t="str">
        <f t="shared" si="12"/>
        <v>|  |  |  |  | |</v>
      </c>
      <c r="T92" s="5" t="str">
        <f t="shared" si="11"/>
        <v>|  |  |  |  | | |</v>
      </c>
      <c r="U92" s="5"/>
      <c r="V92" s="5" t="str">
        <f t="shared" si="13"/>
        <v>|  |  |  |  | | | | | | | | | |</v>
      </c>
    </row>
    <row r="93" spans="2:22" x14ac:dyDescent="0.5500000000000000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14"/>
        <v>|  |  |</v>
      </c>
      <c r="Q93" s="5" t="str">
        <f t="shared" si="15"/>
        <v>|  |  |  |</v>
      </c>
      <c r="R93" s="5" t="str">
        <f t="shared" si="10"/>
        <v>|  |  |  |  |</v>
      </c>
      <c r="S93" s="5" t="str">
        <f t="shared" si="12"/>
        <v>|  |  |  |  | |</v>
      </c>
      <c r="T93" s="5" t="str">
        <f t="shared" si="11"/>
        <v>|  |  |  |  | | |</v>
      </c>
      <c r="U93" s="5"/>
      <c r="V93" s="5" t="str">
        <f t="shared" si="13"/>
        <v>|  |  |  |  | | | | | | | | | |</v>
      </c>
    </row>
    <row r="94" spans="2:22" x14ac:dyDescent="0.5500000000000000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14"/>
        <v>|  |  |</v>
      </c>
      <c r="Q94" s="5" t="str">
        <f t="shared" si="15"/>
        <v>|  |  |  |</v>
      </c>
      <c r="R94" s="5" t="str">
        <f t="shared" si="10"/>
        <v>|  |  |  |  |</v>
      </c>
      <c r="S94" s="5" t="str">
        <f t="shared" si="12"/>
        <v>|  |  |  |  | |</v>
      </c>
      <c r="T94" s="5" t="str">
        <f t="shared" si="11"/>
        <v>|  |  |  |  | | |</v>
      </c>
      <c r="U94" s="5"/>
      <c r="V94" s="5" t="str">
        <f t="shared" si="13"/>
        <v>|  |  |  |  | | | | | | | | | |</v>
      </c>
    </row>
    <row r="95" spans="2:22" x14ac:dyDescent="0.5500000000000000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14"/>
        <v>|  |  |</v>
      </c>
      <c r="Q95" s="5" t="str">
        <f t="shared" si="15"/>
        <v>|  |  |  |</v>
      </c>
      <c r="R95" s="5" t="str">
        <f t="shared" si="10"/>
        <v>|  |  |  |  |</v>
      </c>
      <c r="S95" s="5" t="str">
        <f t="shared" si="12"/>
        <v>|  |  |  |  | |</v>
      </c>
      <c r="T95" s="5" t="str">
        <f t="shared" si="11"/>
        <v>|  |  |  |  | | |</v>
      </c>
      <c r="U95" s="5"/>
      <c r="V95" s="5" t="str">
        <f t="shared" si="13"/>
        <v>|  |  |  |  | | | | | | | | | |</v>
      </c>
    </row>
    <row r="96" spans="2:22" x14ac:dyDescent="0.5500000000000000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14"/>
        <v>|  |  |</v>
      </c>
      <c r="Q96" s="5" t="str">
        <f t="shared" si="15"/>
        <v>|  |  |  |</v>
      </c>
      <c r="R96" s="5" t="str">
        <f t="shared" si="10"/>
        <v>|  |  |  |  |</v>
      </c>
      <c r="S96" s="5" t="str">
        <f t="shared" si="12"/>
        <v>|  |  |  |  | |</v>
      </c>
      <c r="T96" s="5" t="str">
        <f t="shared" si="11"/>
        <v>|  |  |  |  | | |</v>
      </c>
      <c r="U96" s="5"/>
      <c r="V96" s="5" t="str">
        <f t="shared" si="13"/>
        <v>|  |  |  |  | | | | | | | | | |</v>
      </c>
    </row>
    <row r="97" spans="2:22" x14ac:dyDescent="0.5500000000000000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14"/>
        <v>|  |  |</v>
      </c>
      <c r="Q97" s="5" t="str">
        <f t="shared" si="15"/>
        <v>|  |  |  |</v>
      </c>
      <c r="R97" s="5" t="str">
        <f t="shared" si="10"/>
        <v>|  |  |  |  |</v>
      </c>
      <c r="S97" s="5" t="str">
        <f t="shared" si="12"/>
        <v>|  |  |  |  | |</v>
      </c>
      <c r="T97" s="5" t="str">
        <f t="shared" si="11"/>
        <v>|  |  |  |  | | |</v>
      </c>
      <c r="U97" s="5"/>
      <c r="V97" s="5" t="str">
        <f t="shared" si="13"/>
        <v>|  |  |  |  | | | | | | | | | |</v>
      </c>
    </row>
    <row r="98" spans="2:22" x14ac:dyDescent="0.5500000000000000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14"/>
        <v>|  |  |</v>
      </c>
      <c r="Q98" s="5" t="str">
        <f t="shared" si="15"/>
        <v>|  |  |  |</v>
      </c>
      <c r="R98" s="5" t="str">
        <f t="shared" si="10"/>
        <v>|  |  |  |  |</v>
      </c>
      <c r="S98" s="5" t="str">
        <f t="shared" si="12"/>
        <v>|  |  |  |  | |</v>
      </c>
      <c r="T98" s="5" t="str">
        <f t="shared" si="11"/>
        <v>|  |  |  |  | | |</v>
      </c>
      <c r="U98" s="5"/>
      <c r="V98" s="5" t="str">
        <f t="shared" si="13"/>
        <v>|  |  |  |  | | | | | | | | | |</v>
      </c>
    </row>
    <row r="99" spans="2:22" x14ac:dyDescent="0.5500000000000000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14"/>
        <v>|  |  |</v>
      </c>
      <c r="Q99" s="5" t="str">
        <f t="shared" si="15"/>
        <v>|  |  |  |</v>
      </c>
      <c r="R99" s="5" t="str">
        <f t="shared" si="10"/>
        <v>|  |  |  |  |</v>
      </c>
      <c r="S99" s="5" t="str">
        <f t="shared" si="12"/>
        <v>|  |  |  |  | |</v>
      </c>
      <c r="T99" s="5" t="str">
        <f t="shared" si="11"/>
        <v>|  |  |  |  | | |</v>
      </c>
      <c r="U99" s="5"/>
      <c r="V99" s="5" t="str">
        <f t="shared" si="13"/>
        <v>|  |  |  |  | | | | | | | | | |</v>
      </c>
    </row>
    <row r="100" spans="2:22" x14ac:dyDescent="0.5500000000000000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14"/>
        <v>|  |  |</v>
      </c>
      <c r="Q100" s="5" t="str">
        <f t="shared" si="15"/>
        <v>|  |  |  |</v>
      </c>
      <c r="R100" s="5" t="str">
        <f t="shared" si="10"/>
        <v>|  |  |  |  |</v>
      </c>
      <c r="S100" s="5" t="str">
        <f t="shared" si="12"/>
        <v>|  |  |  |  | |</v>
      </c>
      <c r="T100" s="5" t="str">
        <f t="shared" si="11"/>
        <v>|  |  |  |  | | |</v>
      </c>
      <c r="U100" s="5"/>
      <c r="V100" s="5" t="str">
        <f t="shared" si="13"/>
        <v>|  |  |  |  | | | | | | | | | |</v>
      </c>
    </row>
    <row r="101" spans="2:22" x14ac:dyDescent="0.5500000000000000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14"/>
        <v>|  |  |</v>
      </c>
      <c r="Q101" s="5" t="str">
        <f t="shared" si="15"/>
        <v>|  |  |  |</v>
      </c>
      <c r="R101" s="5" t="str">
        <f t="shared" si="10"/>
        <v>|  |  |  |  |</v>
      </c>
      <c r="S101" s="5" t="str">
        <f t="shared" si="12"/>
        <v>|  |  |  |  | |</v>
      </c>
      <c r="T101" s="5" t="str">
        <f t="shared" si="11"/>
        <v>|  |  |  |  | | |</v>
      </c>
      <c r="U101" s="5"/>
      <c r="V101" s="5" t="str">
        <f t="shared" si="13"/>
        <v>|  |  |  |  | | | | | | | | | |</v>
      </c>
    </row>
    <row r="102" spans="2:22" x14ac:dyDescent="0.5500000000000000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14"/>
        <v>|  |  |</v>
      </c>
      <c r="Q102" s="5" t="str">
        <f t="shared" si="15"/>
        <v>|  |  |  |</v>
      </c>
      <c r="R102" s="5" t="str">
        <f t="shared" si="10"/>
        <v>|  |  |  |  |</v>
      </c>
      <c r="S102" s="5" t="str">
        <f t="shared" si="12"/>
        <v>|  |  |  |  | |</v>
      </c>
      <c r="T102" s="5" t="str">
        <f t="shared" si="11"/>
        <v>|  |  |  |  | | |</v>
      </c>
      <c r="U102" s="5"/>
      <c r="V102" s="5" t="str">
        <f t="shared" si="13"/>
        <v>|  |  |  |  | | | | | | | | | |</v>
      </c>
    </row>
    <row r="103" spans="2:22" x14ac:dyDescent="0.5500000000000000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14"/>
        <v>|  |  |</v>
      </c>
      <c r="Q103" s="5" t="str">
        <f t="shared" si="15"/>
        <v>|  |  |  |</v>
      </c>
      <c r="R103" s="5" t="str">
        <f t="shared" si="10"/>
        <v>|  |  |  |  |</v>
      </c>
      <c r="S103" s="5" t="str">
        <f t="shared" si="12"/>
        <v>|  |  |  |  | |</v>
      </c>
      <c r="T103" s="5" t="str">
        <f t="shared" si="11"/>
        <v>|  |  |  |  | | |</v>
      </c>
      <c r="U103" s="5"/>
      <c r="V103" s="5" t="str">
        <f t="shared" si="13"/>
        <v>|  |  |  |  | | | | | | | | | |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A72B-2DA7-462B-9A66-410D881B305C}">
  <dimension ref="B1:V103"/>
  <sheetViews>
    <sheetView showGridLines="0" topLeftCell="P1" zoomScale="115" zoomScaleNormal="115" workbookViewId="0">
      <pane ySplit="4" topLeftCell="A15" activePane="bottomLeft" state="frozen"/>
      <selection pane="bottomLeft" activeCell="Q3" sqref="Q3:Q25"/>
    </sheetView>
  </sheetViews>
  <sheetFormatPr defaultColWidth="9.140625" defaultRowHeight="15.4" x14ac:dyDescent="0.55000000000000004"/>
  <cols>
    <col min="1" max="1" width="2.7109375" style="1" customWidth="1"/>
    <col min="2" max="3" width="46.140625" style="1" customWidth="1"/>
    <col min="4" max="4" width="29.28515625" style="1" customWidth="1"/>
    <col min="5" max="6" width="6.640625" style="1" customWidth="1"/>
    <col min="7" max="8" width="7.1406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44</v>
      </c>
      <c r="C3" s="4" t="s">
        <v>45</v>
      </c>
      <c r="D3" s="4" t="s">
        <v>46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Prefijo | Disciplina (en) |</v>
      </c>
      <c r="Q3" s="5" t="str">
        <f>_xlfn.CONCAT("| ",B3," | ",C3," | ",D3," |")</f>
        <v>| Prefijo | Disciplina (en) | Disciplina (es) |</v>
      </c>
      <c r="R3" s="5" t="str">
        <f>_xlfn.CONCAT("| ",B3," | ",C3," | ",D3," | ",E3," |")</f>
        <v>| Prefijo | Disciplina (en) | Disciplina (es) | A |</v>
      </c>
      <c r="S3" s="5" t="str">
        <f>_xlfn.CONCAT("| ",B3," | ",C3," | ",D3," | ",E3," |",F3," |")</f>
        <v>| Prefijo | Disciplina (en) | Disciplina (es) | A |B |</v>
      </c>
      <c r="T3" s="5" t="str">
        <f>_xlfn.CONCAT("| ",B3," | ",C3," | ",D3," | ",E3," |",F3," |",G3," |")</f>
        <v>| Prefijo | Disciplina (en) | Disciplina (es) | A |B |C |</v>
      </c>
      <c r="U3" s="5" t="str">
        <f>_xlfn.CONCAT("| ",B3," | ",C3," | ",D3," | ",E3," | ",F3," | ",G3," | ",H3," |")</f>
        <v>| Prefijo | Disciplina (en) | Disciplina (es) | A | B | C | D |</v>
      </c>
      <c r="V3" s="5" t="str">
        <f t="shared" ref="V3:V14" si="0">_xlfn.CONCAT("| ",B3," | ",C3," | ",D3," | ",E3," |",F3," |",G3," |",H3," |",I3," |",J3," |",K3," |",L3," |",M3," |",N3," |")</f>
        <v>| Prefijo | Disciplina (en) | Disciplina (es)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x14ac:dyDescent="0.55000000000000004">
      <c r="B5" s="5" t="s">
        <v>11</v>
      </c>
      <c r="C5" s="5" t="s">
        <v>47</v>
      </c>
      <c r="D5" s="5" t="s">
        <v>48</v>
      </c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A | Architectural |</v>
      </c>
      <c r="Q5" s="5" t="str">
        <f t="shared" ref="Q5:Q38" si="3">_xlfn.CONCAT("| ",B5," | ",C5," | ",D5," |")</f>
        <v>| A | Architectural | Arquitectura |</v>
      </c>
      <c r="R5" s="5" t="str">
        <f>_xlfn.CONCAT("| ",B5," | ",C5," | ",D5," | ",E5," |")</f>
        <v>| A | Architectural | Arquitectura | ✓ |</v>
      </c>
      <c r="S5" s="5" t="str">
        <f>_xlfn.CONCAT("| ",B5," | ",C5," | ",D5," | ",E5," |",F5," |")</f>
        <v>| A | Architectural | Arquitectura | ✓ |✓ |</v>
      </c>
      <c r="T5" s="5" t="str">
        <f t="shared" si="1"/>
        <v>| A | Architectural | Arquitectura | ✓ |✓ | |</v>
      </c>
      <c r="U5" s="5" t="str">
        <f t="shared" si="2"/>
        <v>| A | Architectural | Arquitectura | ✓ | ✓ |  |  |</v>
      </c>
      <c r="V5" s="5" t="str">
        <f t="shared" si="0"/>
        <v>| A | Architectural | Arquitectura | ✓ |✓ | | | | | | | | |</v>
      </c>
    </row>
    <row r="6" spans="2:22" x14ac:dyDescent="0.55000000000000004">
      <c r="B6" s="5" t="s">
        <v>12</v>
      </c>
      <c r="C6" s="5" t="s">
        <v>49</v>
      </c>
      <c r="D6" s="5" t="s">
        <v>50</v>
      </c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B | Geotechnical |</v>
      </c>
      <c r="Q6" s="5" t="str">
        <f t="shared" si="3"/>
        <v>| B | Geotechnical | Geotecnia |</v>
      </c>
      <c r="R6" s="5" t="str">
        <f t="shared" ref="R6:R69" si="5">_xlfn.CONCAT("| ",B6," | ",C6," | ",D6," | ",E6," |")</f>
        <v>| B | Geotechnical | Geotecnia | ✓ |</v>
      </c>
      <c r="S6" s="5" t="str">
        <f t="shared" ref="S6:S69" si="6">_xlfn.CONCAT("| ",B6," | ",C6," | ",D6," | ",E6," |",F6," |")</f>
        <v>| B | Geotechnical | Geotecnia | ✓ |✕ |</v>
      </c>
      <c r="T6" s="5" t="str">
        <f t="shared" si="1"/>
        <v>| B | Geotechnical | Geotecnia | ✓ |✕ | |</v>
      </c>
      <c r="U6" s="5" t="str">
        <f t="shared" si="2"/>
        <v>| B | Geotechnical | Geotecnia | ✓ | ✕ |  |  |</v>
      </c>
      <c r="V6" s="5" t="str">
        <f t="shared" si="0"/>
        <v>| B | Geotechnical | Geotecnia | ✓ |✕ | | | | | | | | |</v>
      </c>
    </row>
    <row r="7" spans="2:22" x14ac:dyDescent="0.55000000000000004">
      <c r="B7" s="5" t="s">
        <v>13</v>
      </c>
      <c r="C7" s="5" t="s">
        <v>51</v>
      </c>
      <c r="D7" s="5" t="s">
        <v>51</v>
      </c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C | Civil |</v>
      </c>
      <c r="Q7" s="5" t="str">
        <f t="shared" si="3"/>
        <v>| C | Civil | Civil |</v>
      </c>
      <c r="R7" s="5" t="str">
        <f t="shared" si="5"/>
        <v>| C | Civil | Civil | ✓ |</v>
      </c>
      <c r="S7" s="5" t="str">
        <f t="shared" si="6"/>
        <v>| C | Civil | Civil | ✓ |✓ |</v>
      </c>
      <c r="T7" s="5" t="str">
        <f t="shared" si="1"/>
        <v>| C | Civil | Civil | ✓ |✓ | |</v>
      </c>
      <c r="U7" s="5" t="str">
        <f t="shared" si="2"/>
        <v>| C | Civil | Civil | ✓ | ✓ |  |  |</v>
      </c>
      <c r="V7" s="5" t="str">
        <f t="shared" si="0"/>
        <v>| C | Civil | Civil | ✓ |✓ | | | | | | | | |</v>
      </c>
    </row>
    <row r="8" spans="2:22" x14ac:dyDescent="0.55000000000000004">
      <c r="B8" s="5" t="s">
        <v>14</v>
      </c>
      <c r="C8" s="5" t="s">
        <v>52</v>
      </c>
      <c r="D8" s="5" t="s">
        <v>53</v>
      </c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D | Process |</v>
      </c>
      <c r="Q8" s="5" t="str">
        <f t="shared" si="3"/>
        <v>| D | Process | Procesos |</v>
      </c>
      <c r="R8" s="5" t="str">
        <f t="shared" si="5"/>
        <v>| D | Process | Procesos | ✓ |</v>
      </c>
      <c r="S8" s="5" t="str">
        <f t="shared" si="6"/>
        <v>| D | Process | Procesos | ✓ |✕ |</v>
      </c>
      <c r="T8" s="5" t="str">
        <f t="shared" si="1"/>
        <v>| D | Process | Procesos | ✓ |✕ | |</v>
      </c>
      <c r="U8" s="5" t="str">
        <f t="shared" si="2"/>
        <v>| D | Process | Procesos | ✓ | ✕ |  |  |</v>
      </c>
      <c r="V8" s="5" t="str">
        <f t="shared" si="0"/>
        <v>| D | Process | Procesos | ✓ |✕ | | | | | | | | |</v>
      </c>
    </row>
    <row r="9" spans="2:22" x14ac:dyDescent="0.55000000000000004">
      <c r="B9" s="5" t="s">
        <v>54</v>
      </c>
      <c r="C9" s="5" t="s">
        <v>55</v>
      </c>
      <c r="D9" s="5" t="s">
        <v>56</v>
      </c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E | Electrical |</v>
      </c>
      <c r="Q9" s="5" t="str">
        <f t="shared" si="3"/>
        <v>| E | Electrical | Electricidad |</v>
      </c>
      <c r="R9" s="5" t="str">
        <f t="shared" si="5"/>
        <v>| E | Electrical | Electricidad | ✓ |</v>
      </c>
      <c r="S9" s="5" t="str">
        <f t="shared" si="6"/>
        <v>| E | Electrical | Electricidad | ✓ |✕ |</v>
      </c>
      <c r="T9" s="5" t="str">
        <f t="shared" si="1"/>
        <v>| E | Electrical | Electricidad | ✓ |✕ | |</v>
      </c>
      <c r="U9" s="5" t="str">
        <f t="shared" si="2"/>
        <v>| E | Electrical | Electricidad | ✓ | ✕ |  |  |</v>
      </c>
      <c r="V9" s="5" t="str">
        <f t="shared" si="0"/>
        <v>| E | Electrical | Electricidad | ✓ |✕ | | | | | | | | |</v>
      </c>
    </row>
    <row r="10" spans="2:22" x14ac:dyDescent="0.55000000000000004">
      <c r="B10" s="5" t="s">
        <v>57</v>
      </c>
      <c r="C10" s="5" t="s">
        <v>58</v>
      </c>
      <c r="D10" s="5" t="s">
        <v>59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F | Fire Protection |</v>
      </c>
      <c r="Q10" s="5" t="str">
        <f t="shared" si="3"/>
        <v>| F | Fire Protection | Protección contra incendios |</v>
      </c>
      <c r="R10" s="5" t="str">
        <f t="shared" si="5"/>
        <v>| F | Fire Protection | Protección contra incendios | ✓ |</v>
      </c>
      <c r="S10" s="5" t="str">
        <f t="shared" si="6"/>
        <v>| F | Fire Protection | Protección contra incendios | ✓ |✕ |</v>
      </c>
      <c r="T10" s="5" t="str">
        <f t="shared" si="1"/>
        <v>| F | Fire Protection | Protección contra incendios | ✓ |✕ | |</v>
      </c>
      <c r="U10" s="5" t="str">
        <f t="shared" si="2"/>
        <v>| F | Fire Protection | Protección contra incendios | ✓ | ✕ |  |  |</v>
      </c>
      <c r="V10" s="5" t="str">
        <f t="shared" si="0"/>
        <v>| F | Fire Protection | Protección contra incendios | ✓ |✕ | | | | | | | | |</v>
      </c>
    </row>
    <row r="11" spans="2:22" x14ac:dyDescent="0.55000000000000004">
      <c r="B11" s="5" t="s">
        <v>60</v>
      </c>
      <c r="C11" s="5" t="s">
        <v>61</v>
      </c>
      <c r="D11" s="5" t="s">
        <v>61</v>
      </c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G | General |</v>
      </c>
      <c r="Q11" s="5" t="str">
        <f t="shared" si="3"/>
        <v>| G | General | General |</v>
      </c>
      <c r="R11" s="5" t="str">
        <f t="shared" si="5"/>
        <v>| G | General | General | ✓ |</v>
      </c>
      <c r="S11" s="5" t="str">
        <f t="shared" si="6"/>
        <v>| G | General | General | ✓ |✓ |</v>
      </c>
      <c r="T11" s="5" t="str">
        <f t="shared" si="1"/>
        <v>| G | General | General | ✓ |✓ | |</v>
      </c>
      <c r="U11" s="5" t="str">
        <f t="shared" si="2"/>
        <v>| G | General | General | ✓ | ✓ |  |  |</v>
      </c>
      <c r="V11" s="5" t="str">
        <f t="shared" si="0"/>
        <v>| G | General | General | ✓ |✓ | | | | | | | | |</v>
      </c>
    </row>
    <row r="12" spans="2:22" x14ac:dyDescent="0.55000000000000004">
      <c r="B12" s="5" t="s">
        <v>62</v>
      </c>
      <c r="C12" s="5" t="s">
        <v>63</v>
      </c>
      <c r="D12" s="5" t="s">
        <v>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H | Hazardous Materials |</v>
      </c>
      <c r="Q12" s="5" t="str">
        <f t="shared" si="3"/>
        <v>| H | Hazardous Materials | Materiales peligrosos |</v>
      </c>
      <c r="R12" s="5" t="str">
        <f t="shared" si="5"/>
        <v>| H | Hazardous Materials | Materiales peligrosos |  |</v>
      </c>
      <c r="S12" s="5" t="str">
        <f t="shared" si="6"/>
        <v>| H | Hazardous Materials | Materiales peligrosos |  | |</v>
      </c>
      <c r="T12" s="5" t="str">
        <f t="shared" si="1"/>
        <v>| H | Hazardous Materials | Materiales peligrosos |  | | |</v>
      </c>
      <c r="U12" s="5"/>
      <c r="V12" s="5" t="str">
        <f t="shared" si="0"/>
        <v>| H | Hazardous Materials | Materiales peligrosos |  | | | | | | | | | |</v>
      </c>
    </row>
    <row r="13" spans="2:22" x14ac:dyDescent="0.55000000000000004">
      <c r="B13" s="5" t="s">
        <v>65</v>
      </c>
      <c r="C13" s="5" t="s">
        <v>66</v>
      </c>
      <c r="D13" s="5" t="s">
        <v>67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I | Interiors |</v>
      </c>
      <c r="Q13" s="5" t="str">
        <f t="shared" si="3"/>
        <v>| I | Interiors | Interiores |</v>
      </c>
      <c r="R13" s="5" t="str">
        <f t="shared" si="5"/>
        <v>| I | Interiors | Interiores |  |</v>
      </c>
      <c r="S13" s="5" t="str">
        <f t="shared" si="6"/>
        <v>| I | Interiors | Interiores |  | |</v>
      </c>
      <c r="T13" s="5" t="str">
        <f t="shared" si="1"/>
        <v>| I | Interiors | Interiores |  | | |</v>
      </c>
      <c r="U13" s="5"/>
      <c r="V13" s="5" t="str">
        <f t="shared" si="0"/>
        <v>| I | Interiors | Interiores |  | | | | | | | | | |</v>
      </c>
    </row>
    <row r="14" spans="2:22" x14ac:dyDescent="0.55000000000000004">
      <c r="B14" s="5" t="s">
        <v>68</v>
      </c>
      <c r="C14" s="5" t="s">
        <v>69</v>
      </c>
      <c r="D14" s="5" t="s">
        <v>70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L | Landscape |</v>
      </c>
      <c r="Q14" s="5" t="str">
        <f t="shared" si="3"/>
        <v>| L | Landscape | Paisajismo |</v>
      </c>
      <c r="R14" s="5" t="str">
        <f t="shared" si="5"/>
        <v>| L | Landscape | Paisajismo |  |</v>
      </c>
      <c r="S14" s="5" t="str">
        <f t="shared" si="6"/>
        <v>| L | Landscape | Paisajismo |  | |</v>
      </c>
      <c r="T14" s="5" t="str">
        <f t="shared" si="1"/>
        <v>| L | Landscape | Paisajismo |  | | |</v>
      </c>
      <c r="U14" s="5"/>
      <c r="V14" s="5" t="str">
        <f t="shared" si="0"/>
        <v>| L | Landscape | Paisajismo |  | | | | | | | | | |</v>
      </c>
    </row>
    <row r="15" spans="2:22" x14ac:dyDescent="0.55000000000000004">
      <c r="B15" s="5" t="s">
        <v>71</v>
      </c>
      <c r="C15" s="5" t="s">
        <v>72</v>
      </c>
      <c r="D15" s="5" t="s">
        <v>73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M | Mechanical | Mecánica |</v>
      </c>
      <c r="R15" s="5"/>
      <c r="S15" s="5"/>
      <c r="T15" s="5"/>
      <c r="U15" s="5"/>
      <c r="V15" s="5"/>
    </row>
    <row r="16" spans="2:22" x14ac:dyDescent="0.55000000000000004">
      <c r="B16" s="5" t="s">
        <v>74</v>
      </c>
      <c r="C16" s="5" t="s">
        <v>75</v>
      </c>
      <c r="D16" s="5" t="s">
        <v>76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O | Operations | Operaciones |</v>
      </c>
      <c r="R16" s="5"/>
      <c r="S16" s="5"/>
      <c r="T16" s="5"/>
      <c r="U16" s="5"/>
      <c r="V16" s="5"/>
    </row>
    <row r="17" spans="2:22" x14ac:dyDescent="0.55000000000000004">
      <c r="B17" s="5" t="s">
        <v>77</v>
      </c>
      <c r="C17" s="5" t="s">
        <v>78</v>
      </c>
      <c r="D17" s="5" t="s">
        <v>79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P | Plumbing | Fontanería |</v>
      </c>
      <c r="R17" s="5"/>
      <c r="S17" s="5"/>
      <c r="T17" s="5"/>
      <c r="U17" s="5"/>
      <c r="V17" s="5"/>
    </row>
    <row r="18" spans="2:22" x14ac:dyDescent="0.55000000000000004">
      <c r="B18" s="5" t="s">
        <v>80</v>
      </c>
      <c r="C18" s="5" t="s">
        <v>81</v>
      </c>
      <c r="D18" s="5" t="s">
        <v>82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Q | Equipment | Equipos |</v>
      </c>
      <c r="R18" s="5"/>
      <c r="S18" s="5"/>
      <c r="T18" s="5"/>
      <c r="U18" s="5"/>
      <c r="V18" s="5"/>
    </row>
    <row r="19" spans="2:22" x14ac:dyDescent="0.55000000000000004">
      <c r="B19" s="5" t="s">
        <v>83</v>
      </c>
      <c r="C19" s="5" t="s">
        <v>84</v>
      </c>
      <c r="D19" s="5" t="s">
        <v>85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R | Resource | Recursos |</v>
      </c>
      <c r="R19" s="5"/>
      <c r="S19" s="5"/>
      <c r="T19" s="5"/>
      <c r="U19" s="5"/>
      <c r="V19" s="5"/>
    </row>
    <row r="20" spans="2:22" x14ac:dyDescent="0.55000000000000004">
      <c r="B20" s="5" t="s">
        <v>86</v>
      </c>
      <c r="C20" s="5" t="s">
        <v>87</v>
      </c>
      <c r="D20" s="5" t="s">
        <v>88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S | Structural | Estructura |</v>
      </c>
      <c r="R20" s="5"/>
      <c r="S20" s="5"/>
      <c r="T20" s="5"/>
      <c r="U20" s="5"/>
      <c r="V20" s="5"/>
    </row>
    <row r="21" spans="2:22" x14ac:dyDescent="0.55000000000000004">
      <c r="B21" s="5" t="s">
        <v>89</v>
      </c>
      <c r="C21" s="5" t="s">
        <v>90</v>
      </c>
      <c r="D21" s="5" t="s">
        <v>91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T | Telecommunications | Telecomunicaciones |</v>
      </c>
      <c r="R21" s="5"/>
      <c r="S21" s="5"/>
      <c r="T21" s="5"/>
      <c r="U21" s="5"/>
      <c r="V21" s="5"/>
    </row>
    <row r="22" spans="2:22" x14ac:dyDescent="0.55000000000000004">
      <c r="B22" s="5" t="s">
        <v>92</v>
      </c>
      <c r="C22" s="5" t="s">
        <v>93</v>
      </c>
      <c r="D22" s="5" t="s">
        <v>94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V | Survey / Mapping | Topografía / Cartografía |</v>
      </c>
      <c r="R22" s="5"/>
      <c r="S22" s="5"/>
      <c r="T22" s="5"/>
      <c r="U22" s="5"/>
      <c r="V22" s="5"/>
    </row>
    <row r="23" spans="2:22" x14ac:dyDescent="0.55000000000000004">
      <c r="B23" s="5" t="s">
        <v>95</v>
      </c>
      <c r="C23" s="5" t="s">
        <v>96</v>
      </c>
      <c r="D23" s="5" t="s">
        <v>97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W | Distributed Energy | Energía distribuida |</v>
      </c>
      <c r="R23" s="5"/>
      <c r="S23" s="5"/>
      <c r="T23" s="5"/>
      <c r="U23" s="5"/>
      <c r="V23" s="5"/>
    </row>
    <row r="24" spans="2:22" x14ac:dyDescent="0.55000000000000004">
      <c r="B24" s="5" t="s">
        <v>98</v>
      </c>
      <c r="C24" s="5" t="s">
        <v>99</v>
      </c>
      <c r="D24" s="5" t="s">
        <v>100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X | Other Disciplines | Otras disciplinas |</v>
      </c>
      <c r="R24" s="5"/>
      <c r="S24" s="5"/>
      <c r="T24" s="5"/>
      <c r="U24" s="5"/>
      <c r="V24" s="5"/>
    </row>
    <row r="25" spans="2:22" x14ac:dyDescent="0.55000000000000004">
      <c r="B25" s="5" t="s">
        <v>101</v>
      </c>
      <c r="C25" s="5" t="s">
        <v>102</v>
      </c>
      <c r="D25" s="5" t="s">
        <v>103</v>
      </c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Z | Contractor / Shop Drawings | Contratista / Planos de taller |</v>
      </c>
      <c r="R25" s="5"/>
      <c r="S25" s="5"/>
      <c r="T25" s="5"/>
      <c r="U25" s="5"/>
      <c r="V25" s="5"/>
    </row>
    <row r="26" spans="2:22" x14ac:dyDescent="0.55000000000000004"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 |  |  |</v>
      </c>
      <c r="R26" s="5"/>
      <c r="S26" s="5"/>
      <c r="T26" s="5"/>
      <c r="U26" s="5"/>
      <c r="V26" s="5"/>
    </row>
    <row r="27" spans="2:22" x14ac:dyDescent="0.55000000000000004"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 |  |  |</v>
      </c>
      <c r="R27" s="5"/>
      <c r="S27" s="5"/>
      <c r="T27" s="5"/>
      <c r="U27" s="5"/>
      <c r="V27" s="5"/>
    </row>
    <row r="28" spans="2:22" x14ac:dyDescent="0.55000000000000004"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 |  |  |</v>
      </c>
      <c r="R28" s="5"/>
      <c r="S28" s="5"/>
      <c r="T28" s="5"/>
      <c r="U28" s="5"/>
      <c r="V28" s="5"/>
    </row>
    <row r="29" spans="2:22" x14ac:dyDescent="0.55000000000000004"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 |  |  |</v>
      </c>
      <c r="R29" s="5"/>
      <c r="S29" s="5"/>
      <c r="T29" s="5"/>
      <c r="U29" s="5"/>
      <c r="V29" s="5"/>
    </row>
    <row r="30" spans="2:22" x14ac:dyDescent="0.55000000000000004"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 |  |  |</v>
      </c>
      <c r="R30" s="5"/>
      <c r="S30" s="5"/>
      <c r="T30" s="5"/>
      <c r="U30" s="5"/>
      <c r="V30" s="5"/>
    </row>
    <row r="31" spans="2:22" x14ac:dyDescent="0.55000000000000004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 |  |  |</v>
      </c>
      <c r="R31" s="5"/>
      <c r="S31" s="5"/>
      <c r="T31" s="5"/>
      <c r="U31" s="5"/>
      <c r="V31" s="5"/>
    </row>
    <row r="32" spans="2:22" x14ac:dyDescent="0.55000000000000004"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 |  |  |</v>
      </c>
      <c r="R32" s="5"/>
      <c r="S32" s="5"/>
      <c r="T32" s="5"/>
      <c r="U32" s="5"/>
      <c r="V32" s="5"/>
    </row>
    <row r="33" spans="2:22" x14ac:dyDescent="0.55000000000000004"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 |  |  |</v>
      </c>
      <c r="R33" s="5"/>
      <c r="S33" s="5"/>
      <c r="T33" s="5"/>
      <c r="U33" s="5"/>
      <c r="V33" s="5"/>
    </row>
    <row r="34" spans="2:22" x14ac:dyDescent="0.5500000000000000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 |  |  |</v>
      </c>
      <c r="R34" s="5"/>
      <c r="S34" s="5"/>
      <c r="T34" s="5"/>
      <c r="U34" s="5"/>
      <c r="V34" s="5"/>
    </row>
    <row r="35" spans="2:22" x14ac:dyDescent="0.5500000000000000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 |  |  |</v>
      </c>
      <c r="R35" s="5"/>
      <c r="S35" s="5"/>
      <c r="T35" s="5"/>
      <c r="U35" s="5"/>
      <c r="V35" s="5"/>
    </row>
    <row r="36" spans="2:22" x14ac:dyDescent="0.5500000000000000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 |  |  |</v>
      </c>
      <c r="R36" s="5"/>
      <c r="S36" s="5"/>
      <c r="T36" s="5"/>
      <c r="U36" s="5"/>
      <c r="V36" s="5"/>
    </row>
    <row r="37" spans="2:22" x14ac:dyDescent="0.55000000000000004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 |  |  |</v>
      </c>
      <c r="R37" s="5"/>
      <c r="S37" s="5"/>
      <c r="T37" s="5"/>
      <c r="U37" s="5"/>
      <c r="V37" s="5"/>
    </row>
    <row r="38" spans="2:22" x14ac:dyDescent="0.55000000000000004">
      <c r="B38" s="5"/>
      <c r="C38" s="5"/>
      <c r="D38" s="4"/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 |  |  |</v>
      </c>
      <c r="R38" s="5"/>
      <c r="S38" s="5"/>
      <c r="T38" s="5"/>
      <c r="U38" s="5"/>
      <c r="V38" s="5"/>
    </row>
    <row r="39" spans="2:22" x14ac:dyDescent="0.55000000000000004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/>
      <c r="R39" s="5"/>
      <c r="S39" s="5"/>
      <c r="T39" s="5"/>
      <c r="U39" s="5"/>
      <c r="V39" s="5"/>
    </row>
    <row r="40" spans="2:22" x14ac:dyDescent="0.55000000000000004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/>
      <c r="R40" s="5"/>
      <c r="S40" s="5"/>
      <c r="T40" s="5"/>
      <c r="U40" s="5"/>
      <c r="V40" s="5"/>
    </row>
    <row r="41" spans="2:22" x14ac:dyDescent="0.5500000000000000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/>
      <c r="R41" s="5"/>
      <c r="S41" s="5"/>
      <c r="T41" s="5"/>
      <c r="U41" s="5"/>
      <c r="V41" s="5"/>
    </row>
    <row r="42" spans="2:22" x14ac:dyDescent="0.5500000000000000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</row>
    <row r="43" spans="2:22" x14ac:dyDescent="0.5500000000000000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</row>
    <row r="44" spans="2:22" x14ac:dyDescent="0.5500000000000000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</row>
    <row r="45" spans="2:22" x14ac:dyDescent="0.5500000000000000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103" si="7">_xlfn.CONCAT("| ",B45," | ",C45," |")</f>
        <v>|  |  |</v>
      </c>
      <c r="Q45" s="5" t="str">
        <f t="shared" ref="Q45:Q103" si="8">_xlfn.CONCAT("| ",B45," | ",C45," | ",D45," |")</f>
        <v>|  |  |  |</v>
      </c>
      <c r="R45" s="5" t="str">
        <f t="shared" si="5"/>
        <v>|  |  |  |  |</v>
      </c>
      <c r="S45" s="5" t="str">
        <f t="shared" si="6"/>
        <v>|  |  |  |  | |</v>
      </c>
      <c r="T45" s="5" t="str">
        <f t="shared" si="1"/>
        <v>|  |  |  |  | | |</v>
      </c>
      <c r="U45" s="5"/>
      <c r="V45" s="5" t="str">
        <f t="shared" ref="V45:V103" si="9">_xlfn.CONCAT("| ",B45," | ",C45," | ",D45," | ",E45," |",F45," |",G45," |",H45," |",I45," |",J45," |",K45," |",L45," |",M45," |",N45," |")</f>
        <v>|  |  |  |  | | | | | | | | | |</v>
      </c>
    </row>
    <row r="46" spans="2:22" x14ac:dyDescent="0.5500000000000000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 |  |</v>
      </c>
      <c r="Q46" s="5" t="str">
        <f t="shared" si="8"/>
        <v>|  |  |  |</v>
      </c>
      <c r="R46" s="5" t="str">
        <f t="shared" si="5"/>
        <v>|  |  |  |  |</v>
      </c>
      <c r="S46" s="5" t="str">
        <f t="shared" si="6"/>
        <v>|  |  |  |  | |</v>
      </c>
      <c r="T46" s="5" t="str">
        <f t="shared" si="1"/>
        <v>|  |  |  |  | | |</v>
      </c>
      <c r="U46" s="5"/>
      <c r="V46" s="5" t="str">
        <f t="shared" si="9"/>
        <v>|  |  |  |  | | | | | | | | | |</v>
      </c>
    </row>
    <row r="47" spans="2:22" x14ac:dyDescent="0.5500000000000000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 |  |</v>
      </c>
      <c r="Q47" s="5" t="str">
        <f t="shared" si="8"/>
        <v>|  |  |  |</v>
      </c>
      <c r="R47" s="5" t="str">
        <f t="shared" si="5"/>
        <v>|  |  |  |  |</v>
      </c>
      <c r="S47" s="5" t="str">
        <f t="shared" si="6"/>
        <v>|  |  |  |  | |</v>
      </c>
      <c r="T47" s="5" t="str">
        <f t="shared" si="1"/>
        <v>|  |  |  |  | | |</v>
      </c>
      <c r="U47" s="5"/>
      <c r="V47" s="5" t="str">
        <f t="shared" si="9"/>
        <v>|  |  |  |  | | | | | | | | | |</v>
      </c>
    </row>
    <row r="48" spans="2:22" x14ac:dyDescent="0.5500000000000000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 |  |</v>
      </c>
      <c r="Q48" s="5" t="str">
        <f t="shared" si="8"/>
        <v>|  |  |  |</v>
      </c>
      <c r="R48" s="5" t="str">
        <f t="shared" si="5"/>
        <v>|  |  |  |  |</v>
      </c>
      <c r="S48" s="5" t="str">
        <f t="shared" si="6"/>
        <v>|  |  |  |  | |</v>
      </c>
      <c r="T48" s="5" t="str">
        <f t="shared" si="1"/>
        <v>|  |  |  |  | | |</v>
      </c>
      <c r="U48" s="5"/>
      <c r="V48" s="5" t="str">
        <f t="shared" si="9"/>
        <v>|  |  |  |  | | | | | | | | | |</v>
      </c>
    </row>
    <row r="49" spans="2:22" x14ac:dyDescent="0.5500000000000000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 |  |</v>
      </c>
      <c r="Q49" s="5" t="str">
        <f t="shared" si="8"/>
        <v>|  |  |  |</v>
      </c>
      <c r="R49" s="5" t="str">
        <f t="shared" si="5"/>
        <v>|  |  |  |  |</v>
      </c>
      <c r="S49" s="5" t="str">
        <f t="shared" si="6"/>
        <v>|  |  |  |  | |</v>
      </c>
      <c r="T49" s="5" t="str">
        <f t="shared" si="1"/>
        <v>|  |  |  |  | | |</v>
      </c>
      <c r="U49" s="5"/>
      <c r="V49" s="5" t="str">
        <f t="shared" si="9"/>
        <v>|  |  |  |  | | | | | | | | | |</v>
      </c>
    </row>
    <row r="50" spans="2:22" x14ac:dyDescent="0.5500000000000000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 |  |</v>
      </c>
      <c r="Q50" s="5" t="str">
        <f t="shared" si="8"/>
        <v>|  |  |  |</v>
      </c>
      <c r="R50" s="5" t="str">
        <f t="shared" si="5"/>
        <v>|  |  |  |  |</v>
      </c>
      <c r="S50" s="5" t="str">
        <f t="shared" si="6"/>
        <v>|  |  |  |  | |</v>
      </c>
      <c r="T50" s="5" t="str">
        <f t="shared" si="1"/>
        <v>|  |  |  |  | | |</v>
      </c>
      <c r="U50" s="5"/>
      <c r="V50" s="5" t="str">
        <f t="shared" si="9"/>
        <v>|  |  |  |  | | | | | | | | | |</v>
      </c>
    </row>
    <row r="51" spans="2:22" x14ac:dyDescent="0.5500000000000000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 |  |</v>
      </c>
      <c r="Q51" s="5" t="str">
        <f t="shared" si="8"/>
        <v>|  |  |  |</v>
      </c>
      <c r="R51" s="5" t="str">
        <f t="shared" si="5"/>
        <v>|  |  |  |  |</v>
      </c>
      <c r="S51" s="5" t="str">
        <f t="shared" si="6"/>
        <v>|  |  |  |  | |</v>
      </c>
      <c r="T51" s="5" t="str">
        <f t="shared" si="1"/>
        <v>|  |  |  |  | | |</v>
      </c>
      <c r="U51" s="5"/>
      <c r="V51" s="5" t="str">
        <f t="shared" si="9"/>
        <v>|  |  |  |  | | | | | | | | | |</v>
      </c>
    </row>
    <row r="52" spans="2:22" x14ac:dyDescent="0.5500000000000000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 |  |</v>
      </c>
      <c r="Q52" s="5" t="str">
        <f t="shared" si="8"/>
        <v>|  |  |  |</v>
      </c>
      <c r="R52" s="5" t="str">
        <f t="shared" si="5"/>
        <v>|  |  |  |  |</v>
      </c>
      <c r="S52" s="5" t="str">
        <f t="shared" si="6"/>
        <v>|  |  |  |  | |</v>
      </c>
      <c r="T52" s="5" t="str">
        <f t="shared" si="1"/>
        <v>|  |  |  |  | | |</v>
      </c>
      <c r="U52" s="5"/>
      <c r="V52" s="5" t="str">
        <f t="shared" si="9"/>
        <v>|  |  |  |  | | | | | | | | | |</v>
      </c>
    </row>
    <row r="53" spans="2:22" x14ac:dyDescent="0.5500000000000000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 |  |</v>
      </c>
      <c r="Q53" s="5" t="str">
        <f t="shared" si="8"/>
        <v>|  |  |  |</v>
      </c>
      <c r="R53" s="5" t="str">
        <f t="shared" si="5"/>
        <v>|  |  |  |  |</v>
      </c>
      <c r="S53" s="5" t="str">
        <f t="shared" si="6"/>
        <v>|  |  |  |  | |</v>
      </c>
      <c r="T53" s="5" t="str">
        <f t="shared" si="1"/>
        <v>|  |  |  |  | | |</v>
      </c>
      <c r="U53" s="5"/>
      <c r="V53" s="5" t="str">
        <f t="shared" si="9"/>
        <v>|  |  |  |  | | | | | | | | | |</v>
      </c>
    </row>
    <row r="54" spans="2:22" x14ac:dyDescent="0.5500000000000000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 |  |</v>
      </c>
      <c r="Q54" s="5" t="str">
        <f t="shared" si="8"/>
        <v>|  |  |  |</v>
      </c>
      <c r="R54" s="5" t="str">
        <f t="shared" si="5"/>
        <v>|  |  |  |  |</v>
      </c>
      <c r="S54" s="5" t="str">
        <f t="shared" si="6"/>
        <v>|  |  |  |  | |</v>
      </c>
      <c r="T54" s="5" t="str">
        <f t="shared" si="1"/>
        <v>|  |  |  |  | | |</v>
      </c>
      <c r="U54" s="5"/>
      <c r="V54" s="5" t="str">
        <f t="shared" si="9"/>
        <v>|  |  |  |  | | | | | | | | | |</v>
      </c>
    </row>
    <row r="55" spans="2:22" x14ac:dyDescent="0.5500000000000000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 |  |</v>
      </c>
      <c r="Q55" s="5" t="str">
        <f t="shared" si="8"/>
        <v>|  |  |  |</v>
      </c>
      <c r="R55" s="5" t="str">
        <f t="shared" si="5"/>
        <v>|  |  |  |  |</v>
      </c>
      <c r="S55" s="5" t="str">
        <f t="shared" si="6"/>
        <v>|  |  |  |  | |</v>
      </c>
      <c r="T55" s="5" t="str">
        <f t="shared" si="1"/>
        <v>|  |  |  |  | | |</v>
      </c>
      <c r="U55" s="5"/>
      <c r="V55" s="5" t="str">
        <f t="shared" si="9"/>
        <v>|  |  |  |  | | | | | | | | | |</v>
      </c>
    </row>
    <row r="56" spans="2:22" x14ac:dyDescent="0.5500000000000000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 |  |</v>
      </c>
      <c r="Q56" s="5" t="str">
        <f t="shared" si="8"/>
        <v>|  |  |  |</v>
      </c>
      <c r="R56" s="5" t="str">
        <f t="shared" si="5"/>
        <v>|  |  |  |  |</v>
      </c>
      <c r="S56" s="5" t="str">
        <f t="shared" si="6"/>
        <v>|  |  |  |  | |</v>
      </c>
      <c r="T56" s="5" t="str">
        <f t="shared" si="1"/>
        <v>|  |  |  |  | | |</v>
      </c>
      <c r="U56" s="5"/>
      <c r="V56" s="5" t="str">
        <f t="shared" si="9"/>
        <v>|  |  |  |  | | | | | | | | | |</v>
      </c>
    </row>
    <row r="57" spans="2:22" x14ac:dyDescent="0.5500000000000000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 |  |</v>
      </c>
      <c r="Q57" s="5" t="str">
        <f t="shared" si="8"/>
        <v>|  |  |  |</v>
      </c>
      <c r="R57" s="5" t="str">
        <f t="shared" si="5"/>
        <v>|  |  |  |  |</v>
      </c>
      <c r="S57" s="5" t="str">
        <f t="shared" si="6"/>
        <v>|  |  |  |  | |</v>
      </c>
      <c r="T57" s="5" t="str">
        <f t="shared" si="1"/>
        <v>|  |  |  |  | | |</v>
      </c>
      <c r="U57" s="5"/>
      <c r="V57" s="5" t="str">
        <f t="shared" si="9"/>
        <v>|  |  |  |  | | | | | | | | | |</v>
      </c>
    </row>
    <row r="58" spans="2:22" x14ac:dyDescent="0.5500000000000000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 |  |</v>
      </c>
      <c r="Q58" s="5" t="str">
        <f t="shared" si="8"/>
        <v>|  |  |  |</v>
      </c>
      <c r="R58" s="5" t="str">
        <f t="shared" si="5"/>
        <v>|  |  |  |  |</v>
      </c>
      <c r="S58" s="5" t="str">
        <f t="shared" si="6"/>
        <v>|  |  |  |  | |</v>
      </c>
      <c r="T58" s="5" t="str">
        <f t="shared" si="1"/>
        <v>|  |  |  |  | | |</v>
      </c>
      <c r="U58" s="5"/>
      <c r="V58" s="5" t="str">
        <f t="shared" si="9"/>
        <v>|  |  |  |  | | | | | | | | | |</v>
      </c>
    </row>
    <row r="59" spans="2:22" x14ac:dyDescent="0.5500000000000000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 |  |</v>
      </c>
      <c r="Q59" s="5" t="str">
        <f t="shared" si="8"/>
        <v>|  |  |  |</v>
      </c>
      <c r="R59" s="5" t="str">
        <f t="shared" si="5"/>
        <v>|  |  |  |  |</v>
      </c>
      <c r="S59" s="5" t="str">
        <f t="shared" si="6"/>
        <v>|  |  |  |  | |</v>
      </c>
      <c r="T59" s="5" t="str">
        <f t="shared" si="1"/>
        <v>|  |  |  |  | | |</v>
      </c>
      <c r="U59" s="5"/>
      <c r="V59" s="5" t="str">
        <f t="shared" si="9"/>
        <v>|  |  |  |  | | | | | | | | | |</v>
      </c>
    </row>
    <row r="60" spans="2:22" x14ac:dyDescent="0.5500000000000000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 |  |</v>
      </c>
      <c r="Q60" s="5" t="str">
        <f t="shared" si="8"/>
        <v>|  |  |  |</v>
      </c>
      <c r="R60" s="5" t="str">
        <f t="shared" si="5"/>
        <v>|  |  |  |  |</v>
      </c>
      <c r="S60" s="5" t="str">
        <f t="shared" si="6"/>
        <v>|  |  |  |  | |</v>
      </c>
      <c r="T60" s="5" t="str">
        <f t="shared" si="1"/>
        <v>|  |  |  |  | | |</v>
      </c>
      <c r="U60" s="5"/>
      <c r="V60" s="5" t="str">
        <f t="shared" si="9"/>
        <v>|  |  |  |  | | | | | | | | | |</v>
      </c>
    </row>
    <row r="61" spans="2:22" x14ac:dyDescent="0.5500000000000000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 |  |</v>
      </c>
      <c r="Q61" s="5" t="str">
        <f t="shared" si="8"/>
        <v>|  |  |  |</v>
      </c>
      <c r="R61" s="5" t="str">
        <f t="shared" si="5"/>
        <v>|  |  |  |  |</v>
      </c>
      <c r="S61" s="5" t="str">
        <f t="shared" si="6"/>
        <v>|  |  |  |  | |</v>
      </c>
      <c r="T61" s="5" t="str">
        <f t="shared" si="1"/>
        <v>|  |  |  |  | | |</v>
      </c>
      <c r="U61" s="5"/>
      <c r="V61" s="5" t="str">
        <f t="shared" si="9"/>
        <v>|  |  |  |  | | | | | | | | | |</v>
      </c>
    </row>
    <row r="62" spans="2:22" x14ac:dyDescent="0.5500000000000000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 |  |</v>
      </c>
      <c r="Q62" s="5" t="str">
        <f t="shared" si="8"/>
        <v>|  |  |  |</v>
      </c>
      <c r="R62" s="5" t="str">
        <f t="shared" si="5"/>
        <v>|  |  |  |  |</v>
      </c>
      <c r="S62" s="5" t="str">
        <f t="shared" si="6"/>
        <v>|  |  |  |  | |</v>
      </c>
      <c r="T62" s="5" t="str">
        <f t="shared" si="1"/>
        <v>|  |  |  |  | | |</v>
      </c>
      <c r="U62" s="5"/>
      <c r="V62" s="5" t="str">
        <f t="shared" si="9"/>
        <v>|  |  |  |  | | | | | | | | | |</v>
      </c>
    </row>
    <row r="63" spans="2:22" x14ac:dyDescent="0.5500000000000000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 |  |</v>
      </c>
      <c r="Q63" s="5" t="str">
        <f t="shared" si="8"/>
        <v>|  |  |  |</v>
      </c>
      <c r="R63" s="5" t="str">
        <f t="shared" si="5"/>
        <v>|  |  |  |  |</v>
      </c>
      <c r="S63" s="5" t="str">
        <f t="shared" si="6"/>
        <v>|  |  |  |  | |</v>
      </c>
      <c r="T63" s="5" t="str">
        <f t="shared" si="1"/>
        <v>|  |  |  |  | | |</v>
      </c>
      <c r="U63" s="5"/>
      <c r="V63" s="5" t="str">
        <f t="shared" si="9"/>
        <v>|  |  |  |  | | | | | | | | | |</v>
      </c>
    </row>
    <row r="64" spans="2:22" x14ac:dyDescent="0.5500000000000000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 |  |</v>
      </c>
      <c r="Q64" s="5" t="str">
        <f t="shared" si="8"/>
        <v>|  |  |  |</v>
      </c>
      <c r="R64" s="5" t="str">
        <f t="shared" si="5"/>
        <v>|  |  |  |  |</v>
      </c>
      <c r="S64" s="5" t="str">
        <f t="shared" si="6"/>
        <v>|  |  |  |  | |</v>
      </c>
      <c r="T64" s="5" t="str">
        <f t="shared" si="1"/>
        <v>|  |  |  |  | | |</v>
      </c>
      <c r="U64" s="5"/>
      <c r="V64" s="5" t="str">
        <f t="shared" si="9"/>
        <v>|  |  |  |  | | | | | | | | | |</v>
      </c>
    </row>
    <row r="65" spans="2:22" x14ac:dyDescent="0.5500000000000000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 |  |</v>
      </c>
      <c r="Q65" s="5" t="str">
        <f t="shared" si="8"/>
        <v>|  |  |  |</v>
      </c>
      <c r="R65" s="5" t="str">
        <f t="shared" si="5"/>
        <v>|  |  |  |  |</v>
      </c>
      <c r="S65" s="5" t="str">
        <f t="shared" si="6"/>
        <v>|  |  |  |  | |</v>
      </c>
      <c r="T65" s="5" t="str">
        <f t="shared" si="1"/>
        <v>|  |  |  |  | | |</v>
      </c>
      <c r="U65" s="5"/>
      <c r="V65" s="5" t="str">
        <f t="shared" si="9"/>
        <v>|  |  |  |  | | | | | | | | | |</v>
      </c>
    </row>
    <row r="66" spans="2:22" x14ac:dyDescent="0.55000000000000004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 |  |</v>
      </c>
      <c r="Q66" s="5" t="str">
        <f t="shared" si="8"/>
        <v>|  |  |  |</v>
      </c>
      <c r="R66" s="5" t="str">
        <f t="shared" si="5"/>
        <v>|  |  |  |  |</v>
      </c>
      <c r="S66" s="5" t="str">
        <f t="shared" si="6"/>
        <v>|  |  |  |  | |</v>
      </c>
      <c r="T66" s="5" t="str">
        <f t="shared" si="1"/>
        <v>|  |  |  |  | | |</v>
      </c>
      <c r="U66" s="5"/>
      <c r="V66" s="5" t="str">
        <f t="shared" si="9"/>
        <v>|  |  |  |  | | | | | | | | | |</v>
      </c>
    </row>
    <row r="67" spans="2:22" x14ac:dyDescent="0.55000000000000004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 |  |</v>
      </c>
      <c r="Q67" s="5" t="str">
        <f t="shared" si="8"/>
        <v>|  |  |  |</v>
      </c>
      <c r="R67" s="5" t="str">
        <f t="shared" si="5"/>
        <v>|  |  |  |  |</v>
      </c>
      <c r="S67" s="5" t="str">
        <f t="shared" si="6"/>
        <v>|  |  |  |  | |</v>
      </c>
      <c r="T67" s="5" t="str">
        <f t="shared" si="1"/>
        <v>|  |  |  |  | | |</v>
      </c>
      <c r="U67" s="5"/>
      <c r="V67" s="5" t="str">
        <f t="shared" si="9"/>
        <v>|  |  |  |  | | | | | | | | | |</v>
      </c>
    </row>
    <row r="68" spans="2:22" x14ac:dyDescent="0.55000000000000004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 |  |</v>
      </c>
      <c r="Q68" s="5" t="str">
        <f t="shared" si="8"/>
        <v>|  |  |  |</v>
      </c>
      <c r="R68" s="5" t="str">
        <f t="shared" si="5"/>
        <v>|  |  |  |  |</v>
      </c>
      <c r="S68" s="5" t="str">
        <f t="shared" si="6"/>
        <v>|  |  |  |  | |</v>
      </c>
      <c r="T68" s="5" t="str">
        <f t="shared" ref="T68:T103" si="10">_xlfn.CONCAT("| ",B68," | ",C68," | ",D68," | ",E68," |",F68," |",G68," |")</f>
        <v>|  |  |  |  | | |</v>
      </c>
      <c r="U68" s="5"/>
      <c r="V68" s="5" t="str">
        <f t="shared" si="9"/>
        <v>|  |  |  |  | | | | | | | | | |</v>
      </c>
    </row>
    <row r="69" spans="2:22" x14ac:dyDescent="0.55000000000000004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 |  |</v>
      </c>
      <c r="Q69" s="5" t="str">
        <f t="shared" si="8"/>
        <v>|  |  |  |</v>
      </c>
      <c r="R69" s="5" t="str">
        <f t="shared" si="5"/>
        <v>|  |  |  |  |</v>
      </c>
      <c r="S69" s="5" t="str">
        <f t="shared" si="6"/>
        <v>|  |  |  |  | |</v>
      </c>
      <c r="T69" s="5" t="str">
        <f t="shared" si="10"/>
        <v>|  |  |  |  | | |</v>
      </c>
      <c r="U69" s="5"/>
      <c r="V69" s="5" t="str">
        <f t="shared" si="9"/>
        <v>|  |  |  |  | | | | | | | | | |</v>
      </c>
    </row>
    <row r="70" spans="2:22" x14ac:dyDescent="0.55000000000000004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 |  |</v>
      </c>
      <c r="Q70" s="5" t="str">
        <f t="shared" si="8"/>
        <v>|  |  |  |</v>
      </c>
      <c r="R70" s="5" t="str">
        <f t="shared" ref="R70:R103" si="11">_xlfn.CONCAT("| ",B70," | ",C70," | ",D70," | ",E70," |")</f>
        <v>|  |  |  |  |</v>
      </c>
      <c r="S70" s="5" t="str">
        <f t="shared" ref="S70:S103" si="12">_xlfn.CONCAT("| ",B70," | ",C70," | ",D70," | ",E70," |",F70," |")</f>
        <v>|  |  |  |  | |</v>
      </c>
      <c r="T70" s="5" t="str">
        <f t="shared" si="10"/>
        <v>|  |  |  |  | | |</v>
      </c>
      <c r="U70" s="5"/>
      <c r="V70" s="5" t="str">
        <f t="shared" si="9"/>
        <v>|  |  |  |  | | | | | | | | | |</v>
      </c>
    </row>
    <row r="71" spans="2:22" x14ac:dyDescent="0.5500000000000000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 |  |</v>
      </c>
      <c r="Q71" s="5" t="str">
        <f t="shared" si="8"/>
        <v>|  |  |  |</v>
      </c>
      <c r="R71" s="5" t="str">
        <f t="shared" si="11"/>
        <v>|  |  |  |  |</v>
      </c>
      <c r="S71" s="5" t="str">
        <f t="shared" si="12"/>
        <v>|  |  |  |  | |</v>
      </c>
      <c r="T71" s="5" t="str">
        <f t="shared" si="10"/>
        <v>|  |  |  |  | | |</v>
      </c>
      <c r="U71" s="5"/>
      <c r="V71" s="5" t="str">
        <f t="shared" si="9"/>
        <v>|  |  |  |  | | | | | | | | | |</v>
      </c>
    </row>
    <row r="72" spans="2:22" x14ac:dyDescent="0.55000000000000004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 |  |</v>
      </c>
      <c r="Q72" s="5" t="str">
        <f t="shared" si="8"/>
        <v>|  |  |  |</v>
      </c>
      <c r="R72" s="5" t="str">
        <f t="shared" si="11"/>
        <v>|  |  |  |  |</v>
      </c>
      <c r="S72" s="5" t="str">
        <f t="shared" si="12"/>
        <v>|  |  |  |  | |</v>
      </c>
      <c r="T72" s="5" t="str">
        <f t="shared" si="10"/>
        <v>|  |  |  |  | | |</v>
      </c>
      <c r="U72" s="5"/>
      <c r="V72" s="5" t="str">
        <f t="shared" si="9"/>
        <v>|  |  |  |  | | | | | | | | | |</v>
      </c>
    </row>
    <row r="73" spans="2:22" x14ac:dyDescent="0.55000000000000004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 |  |</v>
      </c>
      <c r="Q73" s="5" t="str">
        <f t="shared" si="8"/>
        <v>|  |  |  |</v>
      </c>
      <c r="R73" s="5" t="str">
        <f t="shared" si="11"/>
        <v>|  |  |  |  |</v>
      </c>
      <c r="S73" s="5" t="str">
        <f t="shared" si="12"/>
        <v>|  |  |  |  | |</v>
      </c>
      <c r="T73" s="5" t="str">
        <f t="shared" si="10"/>
        <v>|  |  |  |  | | |</v>
      </c>
      <c r="U73" s="5"/>
      <c r="V73" s="5" t="str">
        <f t="shared" si="9"/>
        <v>|  |  |  |  | | | | | | | | | |</v>
      </c>
    </row>
    <row r="74" spans="2:22" x14ac:dyDescent="0.5500000000000000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 |  |</v>
      </c>
      <c r="Q74" s="5" t="str">
        <f t="shared" si="8"/>
        <v>|  |  |  |</v>
      </c>
      <c r="R74" s="5" t="str">
        <f t="shared" si="11"/>
        <v>|  |  |  |  |</v>
      </c>
      <c r="S74" s="5" t="str">
        <f t="shared" si="12"/>
        <v>|  |  |  |  | |</v>
      </c>
      <c r="T74" s="5" t="str">
        <f t="shared" si="10"/>
        <v>|  |  |  |  | | |</v>
      </c>
      <c r="U74" s="5"/>
      <c r="V74" s="5" t="str">
        <f t="shared" si="9"/>
        <v>|  |  |  |  | | | | | | | | | |</v>
      </c>
    </row>
    <row r="75" spans="2:22" x14ac:dyDescent="0.55000000000000004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 |  |</v>
      </c>
      <c r="Q75" s="5" t="str">
        <f t="shared" si="8"/>
        <v>|  |  |  |</v>
      </c>
      <c r="R75" s="5" t="str">
        <f t="shared" si="11"/>
        <v>|  |  |  |  |</v>
      </c>
      <c r="S75" s="5" t="str">
        <f t="shared" si="12"/>
        <v>|  |  |  |  | |</v>
      </c>
      <c r="T75" s="5" t="str">
        <f t="shared" si="10"/>
        <v>|  |  |  |  | | |</v>
      </c>
      <c r="U75" s="5"/>
      <c r="V75" s="5" t="str">
        <f t="shared" si="9"/>
        <v>|  |  |  |  | | | | | | | | | |</v>
      </c>
    </row>
    <row r="76" spans="2:22" x14ac:dyDescent="0.55000000000000004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 |  |</v>
      </c>
      <c r="Q76" s="5" t="str">
        <f t="shared" si="8"/>
        <v>|  |  |  |</v>
      </c>
      <c r="R76" s="5" t="str">
        <f t="shared" si="11"/>
        <v>|  |  |  |  |</v>
      </c>
      <c r="S76" s="5" t="str">
        <f t="shared" si="12"/>
        <v>|  |  |  |  | |</v>
      </c>
      <c r="T76" s="5" t="str">
        <f t="shared" si="10"/>
        <v>|  |  |  |  | | |</v>
      </c>
      <c r="U76" s="5"/>
      <c r="V76" s="5" t="str">
        <f t="shared" si="9"/>
        <v>|  |  |  |  | | | | | | | | | |</v>
      </c>
    </row>
    <row r="77" spans="2:22" x14ac:dyDescent="0.5500000000000000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 |  |</v>
      </c>
      <c r="Q77" s="5" t="str">
        <f t="shared" si="8"/>
        <v>|  |  |  |</v>
      </c>
      <c r="R77" s="5" t="str">
        <f t="shared" si="11"/>
        <v>|  |  |  |  |</v>
      </c>
      <c r="S77" s="5" t="str">
        <f t="shared" si="12"/>
        <v>|  |  |  |  | |</v>
      </c>
      <c r="T77" s="5" t="str">
        <f t="shared" si="10"/>
        <v>|  |  |  |  | | |</v>
      </c>
      <c r="U77" s="5"/>
      <c r="V77" s="5" t="str">
        <f t="shared" si="9"/>
        <v>|  |  |  |  | | | | | | | | | |</v>
      </c>
    </row>
    <row r="78" spans="2:22" x14ac:dyDescent="0.55000000000000004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 |  |</v>
      </c>
      <c r="Q78" s="5" t="str">
        <f t="shared" si="8"/>
        <v>|  |  |  |</v>
      </c>
      <c r="R78" s="5" t="str">
        <f t="shared" si="11"/>
        <v>|  |  |  |  |</v>
      </c>
      <c r="S78" s="5" t="str">
        <f t="shared" si="12"/>
        <v>|  |  |  |  | |</v>
      </c>
      <c r="T78" s="5" t="str">
        <f t="shared" si="10"/>
        <v>|  |  |  |  | | |</v>
      </c>
      <c r="U78" s="5"/>
      <c r="V78" s="5" t="str">
        <f t="shared" si="9"/>
        <v>|  |  |  |  | | | | | | | | | |</v>
      </c>
    </row>
    <row r="79" spans="2:22" x14ac:dyDescent="0.55000000000000004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 |  |</v>
      </c>
      <c r="Q79" s="5" t="str">
        <f t="shared" si="8"/>
        <v>|  |  |  |</v>
      </c>
      <c r="R79" s="5" t="str">
        <f t="shared" si="11"/>
        <v>|  |  |  |  |</v>
      </c>
      <c r="S79" s="5" t="str">
        <f t="shared" si="12"/>
        <v>|  |  |  |  | |</v>
      </c>
      <c r="T79" s="5" t="str">
        <f t="shared" si="10"/>
        <v>|  |  |  |  | | |</v>
      </c>
      <c r="U79" s="5"/>
      <c r="V79" s="5" t="str">
        <f t="shared" si="9"/>
        <v>|  |  |  |  | | | | | | | | | |</v>
      </c>
    </row>
    <row r="80" spans="2:22" x14ac:dyDescent="0.55000000000000004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 |  |</v>
      </c>
      <c r="Q80" s="5" t="str">
        <f t="shared" si="8"/>
        <v>|  |  |  |</v>
      </c>
      <c r="R80" s="5" t="str">
        <f t="shared" si="11"/>
        <v>|  |  |  |  |</v>
      </c>
      <c r="S80" s="5" t="str">
        <f t="shared" si="12"/>
        <v>|  |  |  |  | |</v>
      </c>
      <c r="T80" s="5" t="str">
        <f t="shared" si="10"/>
        <v>|  |  |  |  | | |</v>
      </c>
      <c r="U80" s="5"/>
      <c r="V80" s="5" t="str">
        <f t="shared" si="9"/>
        <v>|  |  |  |  | | | | | | | | | |</v>
      </c>
    </row>
    <row r="81" spans="2:22" x14ac:dyDescent="0.55000000000000004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 |  |</v>
      </c>
      <c r="Q81" s="5" t="str">
        <f t="shared" si="8"/>
        <v>|  |  |  |</v>
      </c>
      <c r="R81" s="5" t="str">
        <f t="shared" si="11"/>
        <v>|  |  |  |  |</v>
      </c>
      <c r="S81" s="5" t="str">
        <f t="shared" si="12"/>
        <v>|  |  |  |  | |</v>
      </c>
      <c r="T81" s="5" t="str">
        <f t="shared" si="10"/>
        <v>|  |  |  |  | | |</v>
      </c>
      <c r="U81" s="5"/>
      <c r="V81" s="5" t="str">
        <f t="shared" si="9"/>
        <v>|  |  |  |  | | | | | | | | | |</v>
      </c>
    </row>
    <row r="82" spans="2:22" x14ac:dyDescent="0.55000000000000004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 |  |</v>
      </c>
      <c r="Q82" s="5" t="str">
        <f t="shared" si="8"/>
        <v>|  |  |  |</v>
      </c>
      <c r="R82" s="5" t="str">
        <f t="shared" si="11"/>
        <v>|  |  |  |  |</v>
      </c>
      <c r="S82" s="5" t="str">
        <f t="shared" si="12"/>
        <v>|  |  |  |  | |</v>
      </c>
      <c r="T82" s="5" t="str">
        <f t="shared" si="10"/>
        <v>|  |  |  |  | | |</v>
      </c>
      <c r="U82" s="5"/>
      <c r="V82" s="5" t="str">
        <f t="shared" si="9"/>
        <v>|  |  |  |  | | | | | | | | | |</v>
      </c>
    </row>
    <row r="83" spans="2:22" x14ac:dyDescent="0.55000000000000004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 |  |</v>
      </c>
      <c r="Q83" s="5" t="str">
        <f t="shared" si="8"/>
        <v>|  |  |  |</v>
      </c>
      <c r="R83" s="5" t="str">
        <f t="shared" si="11"/>
        <v>|  |  |  |  |</v>
      </c>
      <c r="S83" s="5" t="str">
        <f t="shared" si="12"/>
        <v>|  |  |  |  | |</v>
      </c>
      <c r="T83" s="5" t="str">
        <f t="shared" si="10"/>
        <v>|  |  |  |  | | |</v>
      </c>
      <c r="U83" s="5"/>
      <c r="V83" s="5" t="str">
        <f t="shared" si="9"/>
        <v>|  |  |  |  | | | | | | | | | |</v>
      </c>
    </row>
    <row r="84" spans="2:22" x14ac:dyDescent="0.5500000000000000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 |  |</v>
      </c>
      <c r="Q84" s="5" t="str">
        <f t="shared" si="8"/>
        <v>|  |  |  |</v>
      </c>
      <c r="R84" s="5" t="str">
        <f t="shared" si="11"/>
        <v>|  |  |  |  |</v>
      </c>
      <c r="S84" s="5" t="str">
        <f t="shared" si="12"/>
        <v>|  |  |  |  | |</v>
      </c>
      <c r="T84" s="5" t="str">
        <f t="shared" si="10"/>
        <v>|  |  |  |  | | |</v>
      </c>
      <c r="U84" s="5"/>
      <c r="V84" s="5" t="str">
        <f t="shared" si="9"/>
        <v>|  |  |  |  | | | | | | | | | |</v>
      </c>
    </row>
    <row r="85" spans="2:22" x14ac:dyDescent="0.55000000000000004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 |  |</v>
      </c>
      <c r="Q85" s="5" t="str">
        <f t="shared" si="8"/>
        <v>|  |  |  |</v>
      </c>
      <c r="R85" s="5" t="str">
        <f t="shared" si="11"/>
        <v>|  |  |  |  |</v>
      </c>
      <c r="S85" s="5" t="str">
        <f t="shared" si="12"/>
        <v>|  |  |  |  | |</v>
      </c>
      <c r="T85" s="5" t="str">
        <f t="shared" si="10"/>
        <v>|  |  |  |  | | |</v>
      </c>
      <c r="U85" s="5"/>
      <c r="V85" s="5" t="str">
        <f t="shared" si="9"/>
        <v>|  |  |  |  | | | | | | | | | |</v>
      </c>
    </row>
    <row r="86" spans="2:22" x14ac:dyDescent="0.55000000000000004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 |  |</v>
      </c>
      <c r="Q86" s="5" t="str">
        <f t="shared" si="8"/>
        <v>|  |  |  |</v>
      </c>
      <c r="R86" s="5" t="str">
        <f t="shared" si="11"/>
        <v>|  |  |  |  |</v>
      </c>
      <c r="S86" s="5" t="str">
        <f t="shared" si="12"/>
        <v>|  |  |  |  | |</v>
      </c>
      <c r="T86" s="5" t="str">
        <f t="shared" si="10"/>
        <v>|  |  |  |  | | |</v>
      </c>
      <c r="U86" s="5"/>
      <c r="V86" s="5" t="str">
        <f t="shared" si="9"/>
        <v>|  |  |  |  | | | | | | | | | |</v>
      </c>
    </row>
    <row r="87" spans="2:22" x14ac:dyDescent="0.5500000000000000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 |  |</v>
      </c>
      <c r="Q87" s="5" t="str">
        <f t="shared" si="8"/>
        <v>|  |  |  |</v>
      </c>
      <c r="R87" s="5" t="str">
        <f t="shared" si="11"/>
        <v>|  |  |  |  |</v>
      </c>
      <c r="S87" s="5" t="str">
        <f t="shared" si="12"/>
        <v>|  |  |  |  | |</v>
      </c>
      <c r="T87" s="5" t="str">
        <f t="shared" si="10"/>
        <v>|  |  |  |  | | |</v>
      </c>
      <c r="U87" s="5"/>
      <c r="V87" s="5" t="str">
        <f t="shared" si="9"/>
        <v>|  |  |  |  | | | | | | | | | |</v>
      </c>
    </row>
    <row r="88" spans="2:22" x14ac:dyDescent="0.5500000000000000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 |  |</v>
      </c>
      <c r="Q88" s="5" t="str">
        <f t="shared" si="8"/>
        <v>|  |  |  |</v>
      </c>
      <c r="R88" s="5" t="str">
        <f t="shared" si="11"/>
        <v>|  |  |  |  |</v>
      </c>
      <c r="S88" s="5" t="str">
        <f t="shared" si="12"/>
        <v>|  |  |  |  | |</v>
      </c>
      <c r="T88" s="5" t="str">
        <f t="shared" si="10"/>
        <v>|  |  |  |  | | |</v>
      </c>
      <c r="U88" s="5"/>
      <c r="V88" s="5" t="str">
        <f t="shared" si="9"/>
        <v>|  |  |  |  | | | | | | | | | |</v>
      </c>
    </row>
    <row r="89" spans="2:22" x14ac:dyDescent="0.5500000000000000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si="7"/>
        <v>|  |  |</v>
      </c>
      <c r="Q89" s="5" t="str">
        <f t="shared" si="8"/>
        <v>|  |  |  |</v>
      </c>
      <c r="R89" s="5" t="str">
        <f t="shared" si="11"/>
        <v>|  |  |  |  |</v>
      </c>
      <c r="S89" s="5" t="str">
        <f t="shared" si="12"/>
        <v>|  |  |  |  | |</v>
      </c>
      <c r="T89" s="5" t="str">
        <f t="shared" si="10"/>
        <v>|  |  |  |  | | |</v>
      </c>
      <c r="U89" s="5"/>
      <c r="V89" s="5" t="str">
        <f t="shared" si="9"/>
        <v>|  |  |  |  | | | | | | | | | |</v>
      </c>
    </row>
    <row r="90" spans="2:22" x14ac:dyDescent="0.5500000000000000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7"/>
        <v>|  |  |</v>
      </c>
      <c r="Q90" s="5" t="str">
        <f t="shared" si="8"/>
        <v>|  |  |  |</v>
      </c>
      <c r="R90" s="5" t="str">
        <f t="shared" si="11"/>
        <v>|  |  |  |  |</v>
      </c>
      <c r="S90" s="5" t="str">
        <f t="shared" si="12"/>
        <v>|  |  |  |  | |</v>
      </c>
      <c r="T90" s="5" t="str">
        <f t="shared" si="10"/>
        <v>|  |  |  |  | | |</v>
      </c>
      <c r="U90" s="5"/>
      <c r="V90" s="5" t="str">
        <f t="shared" si="9"/>
        <v>|  |  |  |  | | | | | | | | | |</v>
      </c>
    </row>
    <row r="91" spans="2:22" x14ac:dyDescent="0.5500000000000000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7"/>
        <v>|  |  |</v>
      </c>
      <c r="Q91" s="5" t="str">
        <f t="shared" si="8"/>
        <v>|  |  |  |</v>
      </c>
      <c r="R91" s="5" t="str">
        <f t="shared" si="11"/>
        <v>|  |  |  |  |</v>
      </c>
      <c r="S91" s="5" t="str">
        <f t="shared" si="12"/>
        <v>|  |  |  |  | |</v>
      </c>
      <c r="T91" s="5" t="str">
        <f t="shared" si="10"/>
        <v>|  |  |  |  | | |</v>
      </c>
      <c r="U91" s="5"/>
      <c r="V91" s="5" t="str">
        <f t="shared" si="9"/>
        <v>|  |  |  |  | | | | | | | | | |</v>
      </c>
    </row>
    <row r="92" spans="2:22" x14ac:dyDescent="0.5500000000000000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7"/>
        <v>|  |  |</v>
      </c>
      <c r="Q92" s="5" t="str">
        <f t="shared" si="8"/>
        <v>|  |  |  |</v>
      </c>
      <c r="R92" s="5" t="str">
        <f t="shared" si="11"/>
        <v>|  |  |  |  |</v>
      </c>
      <c r="S92" s="5" t="str">
        <f t="shared" si="12"/>
        <v>|  |  |  |  | |</v>
      </c>
      <c r="T92" s="5" t="str">
        <f t="shared" si="10"/>
        <v>|  |  |  |  | | |</v>
      </c>
      <c r="U92" s="5"/>
      <c r="V92" s="5" t="str">
        <f t="shared" si="9"/>
        <v>|  |  |  |  | | | | | | | | | |</v>
      </c>
    </row>
    <row r="93" spans="2:22" x14ac:dyDescent="0.5500000000000000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7"/>
        <v>|  |  |</v>
      </c>
      <c r="Q93" s="5" t="str">
        <f t="shared" si="8"/>
        <v>|  |  |  |</v>
      </c>
      <c r="R93" s="5" t="str">
        <f t="shared" si="11"/>
        <v>|  |  |  |  |</v>
      </c>
      <c r="S93" s="5" t="str">
        <f t="shared" si="12"/>
        <v>|  |  |  |  | |</v>
      </c>
      <c r="T93" s="5" t="str">
        <f t="shared" si="10"/>
        <v>|  |  |  |  | | |</v>
      </c>
      <c r="U93" s="5"/>
      <c r="V93" s="5" t="str">
        <f t="shared" si="9"/>
        <v>|  |  |  |  | | | | | | | | | |</v>
      </c>
    </row>
    <row r="94" spans="2:22" x14ac:dyDescent="0.5500000000000000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7"/>
        <v>|  |  |</v>
      </c>
      <c r="Q94" s="5" t="str">
        <f t="shared" si="8"/>
        <v>|  |  |  |</v>
      </c>
      <c r="R94" s="5" t="str">
        <f t="shared" si="11"/>
        <v>|  |  |  |  |</v>
      </c>
      <c r="S94" s="5" t="str">
        <f t="shared" si="12"/>
        <v>|  |  |  |  | |</v>
      </c>
      <c r="T94" s="5" t="str">
        <f t="shared" si="10"/>
        <v>|  |  |  |  | | |</v>
      </c>
      <c r="U94" s="5"/>
      <c r="V94" s="5" t="str">
        <f t="shared" si="9"/>
        <v>|  |  |  |  | | | | | | | | | |</v>
      </c>
    </row>
    <row r="95" spans="2:22" x14ac:dyDescent="0.5500000000000000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7"/>
        <v>|  |  |</v>
      </c>
      <c r="Q95" s="5" t="str">
        <f t="shared" si="8"/>
        <v>|  |  |  |</v>
      </c>
      <c r="R95" s="5" t="str">
        <f t="shared" si="11"/>
        <v>|  |  |  |  |</v>
      </c>
      <c r="S95" s="5" t="str">
        <f t="shared" si="12"/>
        <v>|  |  |  |  | |</v>
      </c>
      <c r="T95" s="5" t="str">
        <f t="shared" si="10"/>
        <v>|  |  |  |  | | |</v>
      </c>
      <c r="U95" s="5"/>
      <c r="V95" s="5" t="str">
        <f t="shared" si="9"/>
        <v>|  |  |  |  | | | | | | | | | |</v>
      </c>
    </row>
    <row r="96" spans="2:22" x14ac:dyDescent="0.5500000000000000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7"/>
        <v>|  |  |</v>
      </c>
      <c r="Q96" s="5" t="str">
        <f t="shared" si="8"/>
        <v>|  |  |  |</v>
      </c>
      <c r="R96" s="5" t="str">
        <f t="shared" si="11"/>
        <v>|  |  |  |  |</v>
      </c>
      <c r="S96" s="5" t="str">
        <f t="shared" si="12"/>
        <v>|  |  |  |  | |</v>
      </c>
      <c r="T96" s="5" t="str">
        <f t="shared" si="10"/>
        <v>|  |  |  |  | | |</v>
      </c>
      <c r="U96" s="5"/>
      <c r="V96" s="5" t="str">
        <f t="shared" si="9"/>
        <v>|  |  |  |  | | | | | | | | | |</v>
      </c>
    </row>
    <row r="97" spans="2:22" x14ac:dyDescent="0.5500000000000000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7"/>
        <v>|  |  |</v>
      </c>
      <c r="Q97" s="5" t="str">
        <f t="shared" si="8"/>
        <v>|  |  |  |</v>
      </c>
      <c r="R97" s="5" t="str">
        <f t="shared" si="11"/>
        <v>|  |  |  |  |</v>
      </c>
      <c r="S97" s="5" t="str">
        <f t="shared" si="12"/>
        <v>|  |  |  |  | |</v>
      </c>
      <c r="T97" s="5" t="str">
        <f t="shared" si="10"/>
        <v>|  |  |  |  | | |</v>
      </c>
      <c r="U97" s="5"/>
      <c r="V97" s="5" t="str">
        <f t="shared" si="9"/>
        <v>|  |  |  |  | | | | | | | | | |</v>
      </c>
    </row>
    <row r="98" spans="2:22" x14ac:dyDescent="0.5500000000000000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7"/>
        <v>|  |  |</v>
      </c>
      <c r="Q98" s="5" t="str">
        <f t="shared" si="8"/>
        <v>|  |  |  |</v>
      </c>
      <c r="R98" s="5" t="str">
        <f t="shared" si="11"/>
        <v>|  |  |  |  |</v>
      </c>
      <c r="S98" s="5" t="str">
        <f t="shared" si="12"/>
        <v>|  |  |  |  | |</v>
      </c>
      <c r="T98" s="5" t="str">
        <f t="shared" si="10"/>
        <v>|  |  |  |  | | |</v>
      </c>
      <c r="U98" s="5"/>
      <c r="V98" s="5" t="str">
        <f t="shared" si="9"/>
        <v>|  |  |  |  | | | | | | | | | |</v>
      </c>
    </row>
    <row r="99" spans="2:22" x14ac:dyDescent="0.5500000000000000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7"/>
        <v>|  |  |</v>
      </c>
      <c r="Q99" s="5" t="str">
        <f t="shared" si="8"/>
        <v>|  |  |  |</v>
      </c>
      <c r="R99" s="5" t="str">
        <f t="shared" si="11"/>
        <v>|  |  |  |  |</v>
      </c>
      <c r="S99" s="5" t="str">
        <f t="shared" si="12"/>
        <v>|  |  |  |  | |</v>
      </c>
      <c r="T99" s="5" t="str">
        <f t="shared" si="10"/>
        <v>|  |  |  |  | | |</v>
      </c>
      <c r="U99" s="5"/>
      <c r="V99" s="5" t="str">
        <f t="shared" si="9"/>
        <v>|  |  |  |  | | | | | | | | | |</v>
      </c>
    </row>
    <row r="100" spans="2:22" x14ac:dyDescent="0.5500000000000000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7"/>
        <v>|  |  |</v>
      </c>
      <c r="Q100" s="5" t="str">
        <f t="shared" si="8"/>
        <v>|  |  |  |</v>
      </c>
      <c r="R100" s="5" t="str">
        <f t="shared" si="11"/>
        <v>|  |  |  |  |</v>
      </c>
      <c r="S100" s="5" t="str">
        <f t="shared" si="12"/>
        <v>|  |  |  |  | |</v>
      </c>
      <c r="T100" s="5" t="str">
        <f t="shared" si="10"/>
        <v>|  |  |  |  | | |</v>
      </c>
      <c r="U100" s="5"/>
      <c r="V100" s="5" t="str">
        <f t="shared" si="9"/>
        <v>|  |  |  |  | | | | | | | | | |</v>
      </c>
    </row>
    <row r="101" spans="2:22" x14ac:dyDescent="0.5500000000000000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7"/>
        <v>|  |  |</v>
      </c>
      <c r="Q101" s="5" t="str">
        <f t="shared" si="8"/>
        <v>|  |  |  |</v>
      </c>
      <c r="R101" s="5" t="str">
        <f t="shared" si="11"/>
        <v>|  |  |  |  |</v>
      </c>
      <c r="S101" s="5" t="str">
        <f t="shared" si="12"/>
        <v>|  |  |  |  | |</v>
      </c>
      <c r="T101" s="5" t="str">
        <f t="shared" si="10"/>
        <v>|  |  |  |  | | |</v>
      </c>
      <c r="U101" s="5"/>
      <c r="V101" s="5" t="str">
        <f t="shared" si="9"/>
        <v>|  |  |  |  | | | | | | | | | |</v>
      </c>
    </row>
    <row r="102" spans="2:22" x14ac:dyDescent="0.5500000000000000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7"/>
        <v>|  |  |</v>
      </c>
      <c r="Q102" s="5" t="str">
        <f t="shared" si="8"/>
        <v>|  |  |  |</v>
      </c>
      <c r="R102" s="5" t="str">
        <f t="shared" si="11"/>
        <v>|  |  |  |  |</v>
      </c>
      <c r="S102" s="5" t="str">
        <f t="shared" si="12"/>
        <v>|  |  |  |  | |</v>
      </c>
      <c r="T102" s="5" t="str">
        <f t="shared" si="10"/>
        <v>|  |  |  |  | | |</v>
      </c>
      <c r="U102" s="5"/>
      <c r="V102" s="5" t="str">
        <f t="shared" si="9"/>
        <v>|  |  |  |  | | | | | | | | | |</v>
      </c>
    </row>
    <row r="103" spans="2:22" x14ac:dyDescent="0.5500000000000000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7"/>
        <v>|  |  |</v>
      </c>
      <c r="Q103" s="5" t="str">
        <f t="shared" si="8"/>
        <v>|  |  |  |</v>
      </c>
      <c r="R103" s="5" t="str">
        <f t="shared" si="11"/>
        <v>|  |  |  |  |</v>
      </c>
      <c r="S103" s="5" t="str">
        <f t="shared" si="12"/>
        <v>|  |  |  |  | |</v>
      </c>
      <c r="T103" s="5" t="str">
        <f t="shared" si="10"/>
        <v>|  |  |  |  | | |</v>
      </c>
      <c r="U103" s="5"/>
      <c r="V103" s="5" t="str">
        <f t="shared" si="9"/>
        <v>|  |  |  |  | | | | | | | | | |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59B0-A9F3-4AC9-9B5A-B5DFBED78A41}">
  <dimension ref="B1:V103"/>
  <sheetViews>
    <sheetView showGridLines="0" topLeftCell="L1" zoomScale="115" zoomScaleNormal="115" workbookViewId="0">
      <pane ySplit="4" topLeftCell="A23" activePane="bottomLeft" state="frozen"/>
      <selection pane="bottomLeft" activeCell="Q24" sqref="Q24:Q34"/>
    </sheetView>
  </sheetViews>
  <sheetFormatPr defaultColWidth="9.140625" defaultRowHeight="15.4" x14ac:dyDescent="0.55000000000000004"/>
  <cols>
    <col min="1" max="1" width="2.7109375" style="1" customWidth="1"/>
    <col min="2" max="3" width="46.140625" style="1" customWidth="1"/>
    <col min="4" max="4" width="29.28515625" style="1" customWidth="1"/>
    <col min="5" max="6" width="6.640625" style="1" customWidth="1"/>
    <col min="7" max="8" width="7.1406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119</v>
      </c>
      <c r="C3" s="4" t="s">
        <v>127</v>
      </c>
      <c r="D3" s="4" t="s">
        <v>128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Designador | Descripción (en) |</v>
      </c>
      <c r="Q3" s="5" t="str">
        <f>_xlfn.CONCAT("| ",B3," | ",C3," | ",D3," |")</f>
        <v>| Designador | Descripción (en) | Descripción (es) |</v>
      </c>
      <c r="R3" s="5" t="str">
        <f>_xlfn.CONCAT("| ",B3," | ",C3," | ",D3," | ",E3," |")</f>
        <v>| Designador | Descripción (en) | Descripción (es) | A |</v>
      </c>
      <c r="S3" s="5" t="str">
        <f>_xlfn.CONCAT("| ",B3," | ",C3," | ",D3," | ",E3," |",F3," |")</f>
        <v>| Designador | Descripción (en) | Descripción (es) | A |B |</v>
      </c>
      <c r="T3" s="5" t="str">
        <f>_xlfn.CONCAT("| ",B3," | ",C3," | ",D3," | ",E3," |",F3," |",G3," |")</f>
        <v>| Designador | Descripción (en) | Descripción (es) | A |B |C |</v>
      </c>
      <c r="U3" s="5" t="str">
        <f>_xlfn.CONCAT("| ",B3," | ",C3," | ",D3," | ",E3," | ",F3," | ",G3," | ",H3," |")</f>
        <v>| Designador | Descripción (en) | Descripción (es) | A | B | C | D |</v>
      </c>
      <c r="V3" s="5" t="str">
        <f t="shared" ref="V3:V14" si="0">_xlfn.CONCAT("| ",B3," | ",C3," | ",D3," | ",E3," |",F3," |",G3," |",H3," |",I3," |",J3," |",K3," |",L3," |",M3," |",N3," |")</f>
        <v>| Designador | Descripción (en) | Descripción (es)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x14ac:dyDescent="0.55000000000000004">
      <c r="B5" s="5" t="s">
        <v>11</v>
      </c>
      <c r="C5" s="5" t="s">
        <v>47</v>
      </c>
      <c r="D5" s="5" t="s">
        <v>48</v>
      </c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A | Architectural |</v>
      </c>
      <c r="Q5" s="5" t="str">
        <f t="shared" ref="Q5:Q38" si="3">_xlfn.CONCAT("| ",B5," | ",C5," | ",D5," |")</f>
        <v>| A | Architectural | Arquitectura |</v>
      </c>
      <c r="R5" s="5" t="str">
        <f>_xlfn.CONCAT("| ",B5," | ",C5," | ",D5," | ",E5," |")</f>
        <v>| A | Architectural | Arquitectura | ✓ |</v>
      </c>
      <c r="S5" s="5" t="str">
        <f>_xlfn.CONCAT("| ",B5," | ",C5," | ",D5," | ",E5," |",F5," |")</f>
        <v>| A | Architectural | Arquitectura | ✓ |✓ |</v>
      </c>
      <c r="T5" s="5" t="str">
        <f t="shared" si="1"/>
        <v>| A | Architectural | Arquitectura | ✓ |✓ | |</v>
      </c>
      <c r="U5" s="5" t="str">
        <f t="shared" si="2"/>
        <v>| A | Architectural | Arquitectura | ✓ | ✓ |  |  |</v>
      </c>
      <c r="V5" s="5" t="str">
        <f t="shared" si="0"/>
        <v>| A | Architectural | Arquitectura | ✓ |✓ | | | | | | | | |</v>
      </c>
    </row>
    <row r="6" spans="2:22" ht="30.75" x14ac:dyDescent="0.55000000000000004">
      <c r="B6" s="5" t="s">
        <v>104</v>
      </c>
      <c r="C6" s="5" t="s">
        <v>105</v>
      </c>
      <c r="D6" s="5" t="s">
        <v>120</v>
      </c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AD | Architectural Demolition |</v>
      </c>
      <c r="Q6" s="5" t="str">
        <f t="shared" si="3"/>
        <v>| AD | Architectural Demolition | Demolición arquitectónica |</v>
      </c>
      <c r="R6" s="5" t="str">
        <f t="shared" ref="R6:R69" si="5">_xlfn.CONCAT("| ",B6," | ",C6," | ",D6," | ",E6," |")</f>
        <v>| AD | Architectural Demolition | Demolición arquitectónica | ✓ |</v>
      </c>
      <c r="S6" s="5" t="str">
        <f t="shared" ref="S6:S69" si="6">_xlfn.CONCAT("| ",B6," | ",C6," | ",D6," | ",E6," |",F6," |")</f>
        <v>| AD | Architectural Demolition | Demolición arquitectónica | ✓ |✕ |</v>
      </c>
      <c r="T6" s="5" t="str">
        <f t="shared" si="1"/>
        <v>| AD | Architectural Demolition | Demolición arquitectónica | ✓ |✕ | |</v>
      </c>
      <c r="U6" s="5" t="str">
        <f t="shared" si="2"/>
        <v>| AD | Architectural Demolition | Demolición arquitectónica | ✓ | ✕ |  |  |</v>
      </c>
      <c r="V6" s="5" t="str">
        <f t="shared" si="0"/>
        <v>| AD | Architectural Demolition | Demolición arquitectónica | ✓ |✕ | | | | | | | | |</v>
      </c>
    </row>
    <row r="7" spans="2:22" ht="30.75" x14ac:dyDescent="0.55000000000000004">
      <c r="B7" s="5" t="s">
        <v>106</v>
      </c>
      <c r="C7" s="5" t="s">
        <v>107</v>
      </c>
      <c r="D7" s="5" t="s">
        <v>121</v>
      </c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AE | Architectural Elements |</v>
      </c>
      <c r="Q7" s="5" t="str">
        <f t="shared" si="3"/>
        <v>| AE | Architectural Elements | Elementos arquitectónicos |</v>
      </c>
      <c r="R7" s="5" t="str">
        <f t="shared" si="5"/>
        <v>| AE | Architectural Elements | Elementos arquitectónicos | ✓ |</v>
      </c>
      <c r="S7" s="5" t="str">
        <f t="shared" si="6"/>
        <v>| AE | Architectural Elements | Elementos arquitectónicos | ✓ |✓ |</v>
      </c>
      <c r="T7" s="5" t="str">
        <f t="shared" si="1"/>
        <v>| AE | Architectural Elements | Elementos arquitectónicos | ✓ |✓ | |</v>
      </c>
      <c r="U7" s="5" t="str">
        <f t="shared" si="2"/>
        <v>| AE | Architectural Elements | Elementos arquitectónicos | ✓ | ✓ |  |  |</v>
      </c>
      <c r="V7" s="5" t="str">
        <f t="shared" si="0"/>
        <v>| AE | Architectural Elements | Elementos arquitectónicos | ✓ |✓ | | | | | | | | |</v>
      </c>
    </row>
    <row r="8" spans="2:22" x14ac:dyDescent="0.55000000000000004">
      <c r="B8" s="5" t="s">
        <v>108</v>
      </c>
      <c r="C8" s="5" t="s">
        <v>109</v>
      </c>
      <c r="D8" s="5" t="s">
        <v>122</v>
      </c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AF | Architectural Finishes |</v>
      </c>
      <c r="Q8" s="5" t="str">
        <f t="shared" si="3"/>
        <v>| AF | Architectural Finishes | Acabados arquitectónicos |</v>
      </c>
      <c r="R8" s="5" t="str">
        <f t="shared" si="5"/>
        <v>| AF | Architectural Finishes | Acabados arquitectónicos | ✓ |</v>
      </c>
      <c r="S8" s="5" t="str">
        <f t="shared" si="6"/>
        <v>| AF | Architectural Finishes | Acabados arquitectónicos | ✓ |✕ |</v>
      </c>
      <c r="T8" s="5" t="str">
        <f t="shared" si="1"/>
        <v>| AF | Architectural Finishes | Acabados arquitectónicos | ✓ |✕ | |</v>
      </c>
      <c r="U8" s="5" t="str">
        <f t="shared" si="2"/>
        <v>| AF | Architectural Finishes | Acabados arquitectónicos | ✓ | ✕ |  |  |</v>
      </c>
      <c r="V8" s="5" t="str">
        <f t="shared" si="0"/>
        <v>| AF | Architectural Finishes | Acabados arquitectónicos | ✓ |✕ | | | | | | | | |</v>
      </c>
    </row>
    <row r="9" spans="2:22" x14ac:dyDescent="0.55000000000000004">
      <c r="B9" s="5" t="s">
        <v>110</v>
      </c>
      <c r="C9" s="5" t="s">
        <v>111</v>
      </c>
      <c r="D9" s="5" t="s">
        <v>123</v>
      </c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AG | Architectural Graphics |</v>
      </c>
      <c r="Q9" s="5" t="str">
        <f t="shared" si="3"/>
        <v>| AG | Architectural Graphics | Gráficos arquitectónicos |</v>
      </c>
      <c r="R9" s="5" t="str">
        <f t="shared" si="5"/>
        <v>| AG | Architectural Graphics | Gráficos arquitectónicos | ✓ |</v>
      </c>
      <c r="S9" s="5" t="str">
        <f t="shared" si="6"/>
        <v>| AG | Architectural Graphics | Gráficos arquitectónicos | ✓ |✕ |</v>
      </c>
      <c r="T9" s="5" t="str">
        <f t="shared" si="1"/>
        <v>| AG | Architectural Graphics | Gráficos arquitectónicos | ✓ |✕ | |</v>
      </c>
      <c r="U9" s="5" t="str">
        <f t="shared" si="2"/>
        <v>| AG | Architectural Graphics | Gráficos arquitectónicos | ✓ | ✕ |  |  |</v>
      </c>
      <c r="V9" s="5" t="str">
        <f t="shared" si="0"/>
        <v>| AG | Architectural Graphics | Gráficos arquitectónicos | ✓ |✕ | | | | | | | | |</v>
      </c>
    </row>
    <row r="10" spans="2:22" x14ac:dyDescent="0.55000000000000004">
      <c r="B10" s="5" t="s">
        <v>112</v>
      </c>
      <c r="C10" s="5" t="s">
        <v>113</v>
      </c>
      <c r="D10" s="5" t="s">
        <v>124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AI | Architectural Interiors |</v>
      </c>
      <c r="Q10" s="5" t="str">
        <f t="shared" si="3"/>
        <v>| AI | Architectural Interiors | Interiores arquitectónicos |</v>
      </c>
      <c r="R10" s="5" t="str">
        <f t="shared" si="5"/>
        <v>| AI | Architectural Interiors | Interiores arquitectónicos | ✓ |</v>
      </c>
      <c r="S10" s="5" t="str">
        <f t="shared" si="6"/>
        <v>| AI | Architectural Interiors | Interiores arquitectónicos | ✓ |✕ |</v>
      </c>
      <c r="T10" s="5" t="str">
        <f t="shared" si="1"/>
        <v>| AI | Architectural Interiors | Interiores arquitectónicos | ✓ |✕ | |</v>
      </c>
      <c r="U10" s="5" t="str">
        <f t="shared" si="2"/>
        <v>| AI | Architectural Interiors | Interiores arquitectónicos | ✓ | ✕ |  |  |</v>
      </c>
      <c r="V10" s="5" t="str">
        <f t="shared" si="0"/>
        <v>| AI | Architectural Interiors | Interiores arquitectónicos | ✓ |✕ | | | | | | | | |</v>
      </c>
    </row>
    <row r="11" spans="2:22" x14ac:dyDescent="0.55000000000000004">
      <c r="B11" s="5" t="s">
        <v>114</v>
      </c>
      <c r="C11" s="5" t="s">
        <v>115</v>
      </c>
      <c r="D11" s="5" t="s">
        <v>125</v>
      </c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AJ | User Defined |</v>
      </c>
      <c r="Q11" s="5" t="str">
        <f t="shared" si="3"/>
        <v>| AJ | User Defined | Definido por el usuario |</v>
      </c>
      <c r="R11" s="5" t="str">
        <f t="shared" si="5"/>
        <v>| AJ | User Defined | Definido por el usuario | ✓ |</v>
      </c>
      <c r="S11" s="5" t="str">
        <f t="shared" si="6"/>
        <v>| AJ | User Defined | Definido por el usuario | ✓ |✓ |</v>
      </c>
      <c r="T11" s="5" t="str">
        <f t="shared" si="1"/>
        <v>| AJ | User Defined | Definido por el usuario | ✓ |✓ | |</v>
      </c>
      <c r="U11" s="5" t="str">
        <f t="shared" si="2"/>
        <v>| AJ | User Defined | Definido por el usuario | ✓ | ✓ |  |  |</v>
      </c>
      <c r="V11" s="5" t="str">
        <f t="shared" si="0"/>
        <v>| AJ | User Defined | Definido por el usuario | ✓ |✓ | | | | | | | | |</v>
      </c>
    </row>
    <row r="12" spans="2:22" x14ac:dyDescent="0.55000000000000004">
      <c r="B12" s="5" t="s">
        <v>116</v>
      </c>
      <c r="C12" s="5" t="s">
        <v>115</v>
      </c>
      <c r="D12" s="5" t="s">
        <v>125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AK | User Defined |</v>
      </c>
      <c r="Q12" s="5" t="str">
        <f t="shared" si="3"/>
        <v>| AK | User Defined | Definido por el usuario |</v>
      </c>
      <c r="R12" s="5" t="str">
        <f t="shared" si="5"/>
        <v>| AK | User Defined | Definido por el usuario |  |</v>
      </c>
      <c r="S12" s="5" t="str">
        <f t="shared" si="6"/>
        <v>| AK | User Defined | Definido por el usuario |  | |</v>
      </c>
      <c r="T12" s="5" t="str">
        <f t="shared" si="1"/>
        <v>| AK | User Defined | Definido por el usuario |  | | |</v>
      </c>
      <c r="U12" s="5"/>
      <c r="V12" s="5" t="str">
        <f t="shared" si="0"/>
        <v>| AK | User Defined | Definido por el usuario |  | | | | | | | | | |</v>
      </c>
    </row>
    <row r="13" spans="2:22" x14ac:dyDescent="0.55000000000000004">
      <c r="B13" s="5" t="s">
        <v>117</v>
      </c>
      <c r="C13" s="5" t="s">
        <v>118</v>
      </c>
      <c r="D13" s="5" t="s">
        <v>126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AS | Architectural Site |</v>
      </c>
      <c r="Q13" s="5" t="str">
        <f t="shared" si="3"/>
        <v>| AS | Architectural Site | Sitio arquitectónico |</v>
      </c>
      <c r="R13" s="5" t="str">
        <f t="shared" si="5"/>
        <v>| AS | Architectural Site | Sitio arquitectónico |  |</v>
      </c>
      <c r="S13" s="5" t="str">
        <f t="shared" si="6"/>
        <v>| AS | Architectural Site | Sitio arquitectónico |  | |</v>
      </c>
      <c r="T13" s="5" t="str">
        <f t="shared" si="1"/>
        <v>| AS | Architectural Site | Sitio arquitectónico |  | | |</v>
      </c>
      <c r="U13" s="5"/>
      <c r="V13" s="5" t="str">
        <f t="shared" si="0"/>
        <v>| AS | Architectural Site | Sitio arquitectónico |  | | | | | | | | | |</v>
      </c>
    </row>
    <row r="14" spans="2:22" x14ac:dyDescent="0.55000000000000004">
      <c r="B14" s="5" t="s">
        <v>54</v>
      </c>
      <c r="C14" s="5" t="s">
        <v>55</v>
      </c>
      <c r="D14" s="5" t="s">
        <v>56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E | Electrical |</v>
      </c>
      <c r="Q14" s="5" t="str">
        <f t="shared" si="3"/>
        <v>| E | Electrical | Electricidad |</v>
      </c>
      <c r="R14" s="5" t="str">
        <f t="shared" si="5"/>
        <v>| E | Electrical | Electricidad |  |</v>
      </c>
      <c r="S14" s="5" t="str">
        <f t="shared" si="6"/>
        <v>| E | Electrical | Electricidad |  | |</v>
      </c>
      <c r="T14" s="5" t="str">
        <f t="shared" si="1"/>
        <v>| E | Electrical | Electricidad |  | | |</v>
      </c>
      <c r="U14" s="5"/>
      <c r="V14" s="5" t="str">
        <f t="shared" si="0"/>
        <v>| E | Electrical | Electricidad |  | | | | | | | | | |</v>
      </c>
    </row>
    <row r="15" spans="2:22" x14ac:dyDescent="0.55000000000000004">
      <c r="B15" s="5" t="s">
        <v>151</v>
      </c>
      <c r="C15" s="5" t="s">
        <v>152</v>
      </c>
      <c r="D15" s="5" t="s">
        <v>153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ED | Electrical Demolition | Demolición eléctrica |</v>
      </c>
      <c r="R15" s="5"/>
      <c r="S15" s="5"/>
      <c r="T15" s="5"/>
      <c r="U15" s="5"/>
      <c r="V15" s="5"/>
    </row>
    <row r="16" spans="2:22" x14ac:dyDescent="0.55000000000000004">
      <c r="B16" s="5" t="s">
        <v>154</v>
      </c>
      <c r="C16" s="5" t="s">
        <v>155</v>
      </c>
      <c r="D16" s="5" t="s">
        <v>156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EI | Electrical Instrumentation | Instrumentación eléctrica |</v>
      </c>
      <c r="R16" s="5"/>
      <c r="S16" s="5"/>
      <c r="T16" s="5"/>
      <c r="U16" s="5"/>
      <c r="V16" s="5"/>
    </row>
    <row r="17" spans="2:22" x14ac:dyDescent="0.55000000000000004">
      <c r="B17" s="5" t="s">
        <v>157</v>
      </c>
      <c r="C17" s="5" t="s">
        <v>115</v>
      </c>
      <c r="D17" s="5" t="s">
        <v>125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EJ | User Defined | Definido por el usuario |</v>
      </c>
      <c r="R17" s="5"/>
      <c r="S17" s="5"/>
      <c r="T17" s="5"/>
      <c r="U17" s="5"/>
      <c r="V17" s="5"/>
    </row>
    <row r="18" spans="2:22" x14ac:dyDescent="0.55000000000000004">
      <c r="B18" s="5" t="s">
        <v>158</v>
      </c>
      <c r="C18" s="5" t="s">
        <v>115</v>
      </c>
      <c r="D18" s="5" t="s">
        <v>125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EK | User Defined | Definido por el usuario |</v>
      </c>
      <c r="R18" s="5"/>
      <c r="S18" s="5"/>
      <c r="T18" s="5"/>
      <c r="U18" s="5"/>
      <c r="V18" s="5"/>
    </row>
    <row r="19" spans="2:22" x14ac:dyDescent="0.55000000000000004">
      <c r="B19" s="5" t="s">
        <v>159</v>
      </c>
      <c r="C19" s="5" t="s">
        <v>160</v>
      </c>
      <c r="D19" s="5" t="s">
        <v>161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EL | Electrical Lighting | Iluminación eléctrica |</v>
      </c>
      <c r="R19" s="5"/>
      <c r="S19" s="5"/>
      <c r="T19" s="5"/>
      <c r="U19" s="5"/>
      <c r="V19" s="5"/>
    </row>
    <row r="20" spans="2:22" x14ac:dyDescent="0.55000000000000004">
      <c r="B20" s="5" t="s">
        <v>162</v>
      </c>
      <c r="C20" s="5" t="s">
        <v>163</v>
      </c>
      <c r="D20" s="5" t="s">
        <v>164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EP | Electrical Power | Energía eléctrica |</v>
      </c>
      <c r="R20" s="5"/>
      <c r="S20" s="5"/>
      <c r="T20" s="5"/>
      <c r="U20" s="5"/>
      <c r="V20" s="5"/>
    </row>
    <row r="21" spans="2:22" x14ac:dyDescent="0.55000000000000004">
      <c r="B21" s="5" t="s">
        <v>165</v>
      </c>
      <c r="C21" s="5" t="s">
        <v>166</v>
      </c>
      <c r="D21" s="5" t="s">
        <v>167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ES | Electrical Site | Sitio eléctrico |</v>
      </c>
      <c r="R21" s="5"/>
      <c r="S21" s="5"/>
      <c r="T21" s="5"/>
      <c r="U21" s="5"/>
      <c r="V21" s="5"/>
    </row>
    <row r="22" spans="2:22" x14ac:dyDescent="0.55000000000000004">
      <c r="B22" s="5" t="s">
        <v>168</v>
      </c>
      <c r="C22" s="5" t="s">
        <v>169</v>
      </c>
      <c r="D22" s="5" t="s">
        <v>170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ET | Electrical Telecommunications | Telecomunicaciones eléctricas |</v>
      </c>
      <c r="R22" s="5"/>
      <c r="S22" s="5"/>
      <c r="T22" s="5"/>
      <c r="U22" s="5"/>
      <c r="V22" s="5"/>
    </row>
    <row r="23" spans="2:22" x14ac:dyDescent="0.55000000000000004">
      <c r="B23" s="5" t="s">
        <v>171</v>
      </c>
      <c r="C23" s="5" t="s">
        <v>172</v>
      </c>
      <c r="D23" s="5" t="s">
        <v>173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EY | Electrical Auxiliary Systems | Sistemas auxiliares eléctricos |</v>
      </c>
      <c r="R23" s="5"/>
      <c r="S23" s="5"/>
      <c r="T23" s="5"/>
      <c r="U23" s="5"/>
      <c r="V23" s="5"/>
    </row>
    <row r="24" spans="2:22" x14ac:dyDescent="0.55000000000000004">
      <c r="B24" s="5" t="s">
        <v>13</v>
      </c>
      <c r="C24" s="5" t="s">
        <v>51</v>
      </c>
      <c r="D24" s="5" t="s">
        <v>51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C | Civil | Civil |</v>
      </c>
      <c r="R24" s="5"/>
      <c r="S24" s="5"/>
      <c r="T24" s="5"/>
      <c r="U24" s="5"/>
      <c r="V24" s="5"/>
    </row>
    <row r="25" spans="2:22" x14ac:dyDescent="0.55000000000000004">
      <c r="B25" s="5" t="s">
        <v>174</v>
      </c>
      <c r="C25" s="5" t="s">
        <v>175</v>
      </c>
      <c r="D25" s="5" t="s">
        <v>176</v>
      </c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CD | Civil Demolition | Demolición Civil |</v>
      </c>
      <c r="R25" s="5"/>
      <c r="S25" s="5"/>
      <c r="T25" s="5"/>
      <c r="U25" s="5"/>
      <c r="V25" s="5"/>
    </row>
    <row r="26" spans="2:22" x14ac:dyDescent="0.55000000000000004">
      <c r="B26" s="4" t="s">
        <v>177</v>
      </c>
      <c r="C26" s="4" t="s">
        <v>178</v>
      </c>
      <c r="D26" s="4" t="s">
        <v>179</v>
      </c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CG | Civil Grading | Nivelación Civil |</v>
      </c>
      <c r="R26" s="5"/>
      <c r="S26" s="5"/>
      <c r="T26" s="5"/>
      <c r="U26" s="5"/>
      <c r="V26" s="5"/>
    </row>
    <row r="27" spans="2:22" x14ac:dyDescent="0.55000000000000004">
      <c r="B27" s="4" t="s">
        <v>180</v>
      </c>
      <c r="C27" s="4" t="s">
        <v>181</v>
      </c>
      <c r="D27" s="4" t="s">
        <v>182</v>
      </c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CI | Civil Improvements | Mejoras Civiles |</v>
      </c>
      <c r="R27" s="5"/>
      <c r="S27" s="5"/>
      <c r="T27" s="5"/>
      <c r="U27" s="5"/>
      <c r="V27" s="5"/>
    </row>
    <row r="28" spans="2:22" x14ac:dyDescent="0.55000000000000004">
      <c r="B28" s="4" t="s">
        <v>183</v>
      </c>
      <c r="C28" s="4" t="s">
        <v>115</v>
      </c>
      <c r="D28" s="4" t="s">
        <v>184</v>
      </c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CJ | User Defined | Definido por el Usuario |</v>
      </c>
      <c r="R28" s="5"/>
      <c r="S28" s="5"/>
      <c r="T28" s="5"/>
      <c r="U28" s="5"/>
      <c r="V28" s="5"/>
    </row>
    <row r="29" spans="2:22" x14ac:dyDescent="0.55000000000000004">
      <c r="B29" s="4" t="s">
        <v>185</v>
      </c>
      <c r="C29" s="4" t="s">
        <v>115</v>
      </c>
      <c r="D29" s="4" t="s">
        <v>184</v>
      </c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CK | User Defined | Definido por el Usuario |</v>
      </c>
      <c r="R29" s="5"/>
      <c r="S29" s="5"/>
      <c r="T29" s="5"/>
      <c r="U29" s="5"/>
      <c r="V29" s="5"/>
    </row>
    <row r="30" spans="2:22" x14ac:dyDescent="0.55000000000000004">
      <c r="B30" s="4" t="s">
        <v>186</v>
      </c>
      <c r="C30" s="4" t="s">
        <v>187</v>
      </c>
      <c r="D30" s="4" t="s">
        <v>188</v>
      </c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CN | Civil Nodes | Nudos Civiles |</v>
      </c>
      <c r="R30" s="5"/>
      <c r="S30" s="5"/>
      <c r="T30" s="5"/>
      <c r="U30" s="5"/>
      <c r="V30" s="5"/>
    </row>
    <row r="31" spans="2:22" x14ac:dyDescent="0.55000000000000004">
      <c r="B31" s="4" t="s">
        <v>189</v>
      </c>
      <c r="C31" s="4" t="s">
        <v>190</v>
      </c>
      <c r="D31" s="4" t="s">
        <v>191</v>
      </c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CP | Civil Paving | Pavimentación Civil |</v>
      </c>
      <c r="R31" s="5"/>
      <c r="S31" s="5"/>
      <c r="T31" s="5"/>
      <c r="U31" s="5"/>
      <c r="V31" s="5"/>
    </row>
    <row r="32" spans="2:22" x14ac:dyDescent="0.55000000000000004">
      <c r="B32" s="5" t="s">
        <v>192</v>
      </c>
      <c r="C32" s="4" t="s">
        <v>193</v>
      </c>
      <c r="D32" s="4" t="s">
        <v>194</v>
      </c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CS | Civil Site | Sitio Civil |</v>
      </c>
      <c r="R32" s="5"/>
      <c r="S32" s="5"/>
      <c r="T32" s="5"/>
      <c r="U32" s="5"/>
      <c r="V32" s="5"/>
    </row>
    <row r="33" spans="2:22" x14ac:dyDescent="0.55000000000000004">
      <c r="B33" s="5" t="s">
        <v>195</v>
      </c>
      <c r="C33" s="4" t="s">
        <v>196</v>
      </c>
      <c r="D33" s="4" t="s">
        <v>197</v>
      </c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CT | Civil Transportation | Transporte Civil |</v>
      </c>
      <c r="R33" s="5"/>
      <c r="S33" s="5"/>
      <c r="T33" s="5"/>
      <c r="U33" s="5"/>
      <c r="V33" s="5"/>
    </row>
    <row r="34" spans="2:22" x14ac:dyDescent="0.55000000000000004">
      <c r="B34" s="4" t="s">
        <v>198</v>
      </c>
      <c r="C34" s="4" t="s">
        <v>199</v>
      </c>
      <c r="D34" s="4" t="s">
        <v>200</v>
      </c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CU | Civil Utilities | Servicios Civiles |</v>
      </c>
      <c r="R34" s="5"/>
      <c r="S34" s="5"/>
      <c r="T34" s="5"/>
      <c r="U34" s="5"/>
      <c r="V34" s="5"/>
    </row>
    <row r="35" spans="2:22" x14ac:dyDescent="0.5500000000000000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 |  |  |</v>
      </c>
      <c r="R35" s="5"/>
      <c r="S35" s="5"/>
      <c r="T35" s="5"/>
      <c r="U35" s="5"/>
      <c r="V35" s="5"/>
    </row>
    <row r="36" spans="2:22" x14ac:dyDescent="0.5500000000000000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 |  |  |</v>
      </c>
      <c r="R36" s="5"/>
      <c r="S36" s="5"/>
      <c r="T36" s="5"/>
      <c r="U36" s="5"/>
      <c r="V36" s="5"/>
    </row>
    <row r="37" spans="2:22" x14ac:dyDescent="0.55000000000000004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 |  |  |</v>
      </c>
      <c r="R37" s="5"/>
      <c r="S37" s="5"/>
      <c r="T37" s="5"/>
      <c r="U37" s="5"/>
      <c r="V37" s="5"/>
    </row>
    <row r="38" spans="2:22" x14ac:dyDescent="0.55000000000000004">
      <c r="B38" s="5"/>
      <c r="C38" s="5"/>
      <c r="D38" s="4"/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 |  |  |</v>
      </c>
      <c r="R38" s="5"/>
      <c r="S38" s="5"/>
      <c r="T38" s="5"/>
      <c r="U38" s="5"/>
      <c r="V38" s="5"/>
    </row>
    <row r="39" spans="2:22" x14ac:dyDescent="0.55000000000000004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/>
      <c r="R39" s="5"/>
      <c r="S39" s="5"/>
      <c r="T39" s="5"/>
      <c r="U39" s="5"/>
      <c r="V39" s="5"/>
    </row>
    <row r="40" spans="2:22" x14ac:dyDescent="0.55000000000000004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/>
      <c r="R40" s="5"/>
      <c r="S40" s="5"/>
      <c r="T40" s="5"/>
      <c r="U40" s="5"/>
      <c r="V40" s="5"/>
    </row>
    <row r="41" spans="2:22" x14ac:dyDescent="0.5500000000000000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/>
      <c r="R41" s="5"/>
      <c r="S41" s="5"/>
      <c r="T41" s="5"/>
      <c r="U41" s="5"/>
      <c r="V41" s="5"/>
    </row>
    <row r="42" spans="2:22" x14ac:dyDescent="0.5500000000000000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</row>
    <row r="43" spans="2:22" x14ac:dyDescent="0.5500000000000000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</row>
    <row r="44" spans="2:22" x14ac:dyDescent="0.5500000000000000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</row>
    <row r="45" spans="2:22" x14ac:dyDescent="0.5500000000000000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103" si="7">_xlfn.CONCAT("| ",B45," | ",C45," |")</f>
        <v>|  |  |</v>
      </c>
      <c r="Q45" s="5" t="str">
        <f t="shared" ref="Q45:Q103" si="8">_xlfn.CONCAT("| ",B45," | ",C45," | ",D45," |")</f>
        <v>|  |  |  |</v>
      </c>
      <c r="R45" s="5" t="str">
        <f t="shared" si="5"/>
        <v>|  |  |  |  |</v>
      </c>
      <c r="S45" s="5" t="str">
        <f t="shared" si="6"/>
        <v>|  |  |  |  | |</v>
      </c>
      <c r="T45" s="5" t="str">
        <f t="shared" si="1"/>
        <v>|  |  |  |  | | |</v>
      </c>
      <c r="U45" s="5"/>
      <c r="V45" s="5" t="str">
        <f t="shared" ref="V45:V103" si="9">_xlfn.CONCAT("| ",B45," | ",C45," | ",D45," | ",E45," |",F45," |",G45," |",H45," |",I45," |",J45," |",K45," |",L45," |",M45," |",N45," |")</f>
        <v>|  |  |  |  | | | | | | | | | |</v>
      </c>
    </row>
    <row r="46" spans="2:22" x14ac:dyDescent="0.5500000000000000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 |  |</v>
      </c>
      <c r="Q46" s="5" t="str">
        <f t="shared" si="8"/>
        <v>|  |  |  |</v>
      </c>
      <c r="R46" s="5" t="str">
        <f t="shared" si="5"/>
        <v>|  |  |  |  |</v>
      </c>
      <c r="S46" s="5" t="str">
        <f t="shared" si="6"/>
        <v>|  |  |  |  | |</v>
      </c>
      <c r="T46" s="5" t="str">
        <f t="shared" si="1"/>
        <v>|  |  |  |  | | |</v>
      </c>
      <c r="U46" s="5"/>
      <c r="V46" s="5" t="str">
        <f t="shared" si="9"/>
        <v>|  |  |  |  | | | | | | | | | |</v>
      </c>
    </row>
    <row r="47" spans="2:22" x14ac:dyDescent="0.5500000000000000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 |  |</v>
      </c>
      <c r="Q47" s="5" t="str">
        <f t="shared" si="8"/>
        <v>|  |  |  |</v>
      </c>
      <c r="R47" s="5" t="str">
        <f t="shared" si="5"/>
        <v>|  |  |  |  |</v>
      </c>
      <c r="S47" s="5" t="str">
        <f t="shared" si="6"/>
        <v>|  |  |  |  | |</v>
      </c>
      <c r="T47" s="5" t="str">
        <f t="shared" si="1"/>
        <v>|  |  |  |  | | |</v>
      </c>
      <c r="U47" s="5"/>
      <c r="V47" s="5" t="str">
        <f t="shared" si="9"/>
        <v>|  |  |  |  | | | | | | | | | |</v>
      </c>
    </row>
    <row r="48" spans="2:22" x14ac:dyDescent="0.5500000000000000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 |  |</v>
      </c>
      <c r="Q48" s="5" t="str">
        <f t="shared" si="8"/>
        <v>|  |  |  |</v>
      </c>
      <c r="R48" s="5" t="str">
        <f t="shared" si="5"/>
        <v>|  |  |  |  |</v>
      </c>
      <c r="S48" s="5" t="str">
        <f t="shared" si="6"/>
        <v>|  |  |  |  | |</v>
      </c>
      <c r="T48" s="5" t="str">
        <f t="shared" si="1"/>
        <v>|  |  |  |  | | |</v>
      </c>
      <c r="U48" s="5"/>
      <c r="V48" s="5" t="str">
        <f t="shared" si="9"/>
        <v>|  |  |  |  | | | | | | | | | |</v>
      </c>
    </row>
    <row r="49" spans="2:22" x14ac:dyDescent="0.5500000000000000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 |  |</v>
      </c>
      <c r="Q49" s="5" t="str">
        <f t="shared" si="8"/>
        <v>|  |  |  |</v>
      </c>
      <c r="R49" s="5" t="str">
        <f t="shared" si="5"/>
        <v>|  |  |  |  |</v>
      </c>
      <c r="S49" s="5" t="str">
        <f t="shared" si="6"/>
        <v>|  |  |  |  | |</v>
      </c>
      <c r="T49" s="5" t="str">
        <f t="shared" si="1"/>
        <v>|  |  |  |  | | |</v>
      </c>
      <c r="U49" s="5"/>
      <c r="V49" s="5" t="str">
        <f t="shared" si="9"/>
        <v>|  |  |  |  | | | | | | | | | |</v>
      </c>
    </row>
    <row r="50" spans="2:22" x14ac:dyDescent="0.5500000000000000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 |  |</v>
      </c>
      <c r="Q50" s="5" t="str">
        <f t="shared" si="8"/>
        <v>|  |  |  |</v>
      </c>
      <c r="R50" s="5" t="str">
        <f t="shared" si="5"/>
        <v>|  |  |  |  |</v>
      </c>
      <c r="S50" s="5" t="str">
        <f t="shared" si="6"/>
        <v>|  |  |  |  | |</v>
      </c>
      <c r="T50" s="5" t="str">
        <f t="shared" si="1"/>
        <v>|  |  |  |  | | |</v>
      </c>
      <c r="U50" s="5"/>
      <c r="V50" s="5" t="str">
        <f t="shared" si="9"/>
        <v>|  |  |  |  | | | | | | | | | |</v>
      </c>
    </row>
    <row r="51" spans="2:22" x14ac:dyDescent="0.5500000000000000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 |  |</v>
      </c>
      <c r="Q51" s="5" t="str">
        <f t="shared" si="8"/>
        <v>|  |  |  |</v>
      </c>
      <c r="R51" s="5" t="str">
        <f t="shared" si="5"/>
        <v>|  |  |  |  |</v>
      </c>
      <c r="S51" s="5" t="str">
        <f t="shared" si="6"/>
        <v>|  |  |  |  | |</v>
      </c>
      <c r="T51" s="5" t="str">
        <f t="shared" si="1"/>
        <v>|  |  |  |  | | |</v>
      </c>
      <c r="U51" s="5"/>
      <c r="V51" s="5" t="str">
        <f t="shared" si="9"/>
        <v>|  |  |  |  | | | | | | | | | |</v>
      </c>
    </row>
    <row r="52" spans="2:22" x14ac:dyDescent="0.5500000000000000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 |  |</v>
      </c>
      <c r="Q52" s="5" t="str">
        <f t="shared" si="8"/>
        <v>|  |  |  |</v>
      </c>
      <c r="R52" s="5" t="str">
        <f t="shared" si="5"/>
        <v>|  |  |  |  |</v>
      </c>
      <c r="S52" s="5" t="str">
        <f t="shared" si="6"/>
        <v>|  |  |  |  | |</v>
      </c>
      <c r="T52" s="5" t="str">
        <f t="shared" si="1"/>
        <v>|  |  |  |  | | |</v>
      </c>
      <c r="U52" s="5"/>
      <c r="V52" s="5" t="str">
        <f t="shared" si="9"/>
        <v>|  |  |  |  | | | | | | | | | |</v>
      </c>
    </row>
    <row r="53" spans="2:22" x14ac:dyDescent="0.5500000000000000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 |  |</v>
      </c>
      <c r="Q53" s="5" t="str">
        <f t="shared" si="8"/>
        <v>|  |  |  |</v>
      </c>
      <c r="R53" s="5" t="str">
        <f t="shared" si="5"/>
        <v>|  |  |  |  |</v>
      </c>
      <c r="S53" s="5" t="str">
        <f t="shared" si="6"/>
        <v>|  |  |  |  | |</v>
      </c>
      <c r="T53" s="5" t="str">
        <f t="shared" si="1"/>
        <v>|  |  |  |  | | |</v>
      </c>
      <c r="U53" s="5"/>
      <c r="V53" s="5" t="str">
        <f t="shared" si="9"/>
        <v>|  |  |  |  | | | | | | | | | |</v>
      </c>
    </row>
    <row r="54" spans="2:22" x14ac:dyDescent="0.5500000000000000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 |  |</v>
      </c>
      <c r="Q54" s="5" t="str">
        <f t="shared" si="8"/>
        <v>|  |  |  |</v>
      </c>
      <c r="R54" s="5" t="str">
        <f t="shared" si="5"/>
        <v>|  |  |  |  |</v>
      </c>
      <c r="S54" s="5" t="str">
        <f t="shared" si="6"/>
        <v>|  |  |  |  | |</v>
      </c>
      <c r="T54" s="5" t="str">
        <f t="shared" si="1"/>
        <v>|  |  |  |  | | |</v>
      </c>
      <c r="U54" s="5"/>
      <c r="V54" s="5" t="str">
        <f t="shared" si="9"/>
        <v>|  |  |  |  | | | | | | | | | |</v>
      </c>
    </row>
    <row r="55" spans="2:22" x14ac:dyDescent="0.5500000000000000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 |  |</v>
      </c>
      <c r="Q55" s="5" t="str">
        <f t="shared" si="8"/>
        <v>|  |  |  |</v>
      </c>
      <c r="R55" s="5" t="str">
        <f t="shared" si="5"/>
        <v>|  |  |  |  |</v>
      </c>
      <c r="S55" s="5" t="str">
        <f t="shared" si="6"/>
        <v>|  |  |  |  | |</v>
      </c>
      <c r="T55" s="5" t="str">
        <f t="shared" si="1"/>
        <v>|  |  |  |  | | |</v>
      </c>
      <c r="U55" s="5"/>
      <c r="V55" s="5" t="str">
        <f t="shared" si="9"/>
        <v>|  |  |  |  | | | | | | | | | |</v>
      </c>
    </row>
    <row r="56" spans="2:22" x14ac:dyDescent="0.5500000000000000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 |  |</v>
      </c>
      <c r="Q56" s="5" t="str">
        <f t="shared" si="8"/>
        <v>|  |  |  |</v>
      </c>
      <c r="R56" s="5" t="str">
        <f t="shared" si="5"/>
        <v>|  |  |  |  |</v>
      </c>
      <c r="S56" s="5" t="str">
        <f t="shared" si="6"/>
        <v>|  |  |  |  | |</v>
      </c>
      <c r="T56" s="5" t="str">
        <f t="shared" si="1"/>
        <v>|  |  |  |  | | |</v>
      </c>
      <c r="U56" s="5"/>
      <c r="V56" s="5" t="str">
        <f t="shared" si="9"/>
        <v>|  |  |  |  | | | | | | | | | |</v>
      </c>
    </row>
    <row r="57" spans="2:22" x14ac:dyDescent="0.5500000000000000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 |  |</v>
      </c>
      <c r="Q57" s="5" t="str">
        <f t="shared" si="8"/>
        <v>|  |  |  |</v>
      </c>
      <c r="R57" s="5" t="str">
        <f t="shared" si="5"/>
        <v>|  |  |  |  |</v>
      </c>
      <c r="S57" s="5" t="str">
        <f t="shared" si="6"/>
        <v>|  |  |  |  | |</v>
      </c>
      <c r="T57" s="5" t="str">
        <f t="shared" si="1"/>
        <v>|  |  |  |  | | |</v>
      </c>
      <c r="U57" s="5"/>
      <c r="V57" s="5" t="str">
        <f t="shared" si="9"/>
        <v>|  |  |  |  | | | | | | | | | |</v>
      </c>
    </row>
    <row r="58" spans="2:22" x14ac:dyDescent="0.5500000000000000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 |  |</v>
      </c>
      <c r="Q58" s="5" t="str">
        <f t="shared" si="8"/>
        <v>|  |  |  |</v>
      </c>
      <c r="R58" s="5" t="str">
        <f t="shared" si="5"/>
        <v>|  |  |  |  |</v>
      </c>
      <c r="S58" s="5" t="str">
        <f t="shared" si="6"/>
        <v>|  |  |  |  | |</v>
      </c>
      <c r="T58" s="5" t="str">
        <f t="shared" si="1"/>
        <v>|  |  |  |  | | |</v>
      </c>
      <c r="U58" s="5"/>
      <c r="V58" s="5" t="str">
        <f t="shared" si="9"/>
        <v>|  |  |  |  | | | | | | | | | |</v>
      </c>
    </row>
    <row r="59" spans="2:22" x14ac:dyDescent="0.5500000000000000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 |  |</v>
      </c>
      <c r="Q59" s="5" t="str">
        <f t="shared" si="8"/>
        <v>|  |  |  |</v>
      </c>
      <c r="R59" s="5" t="str">
        <f t="shared" si="5"/>
        <v>|  |  |  |  |</v>
      </c>
      <c r="S59" s="5" t="str">
        <f t="shared" si="6"/>
        <v>|  |  |  |  | |</v>
      </c>
      <c r="T59" s="5" t="str">
        <f t="shared" si="1"/>
        <v>|  |  |  |  | | |</v>
      </c>
      <c r="U59" s="5"/>
      <c r="V59" s="5" t="str">
        <f t="shared" si="9"/>
        <v>|  |  |  |  | | | | | | | | | |</v>
      </c>
    </row>
    <row r="60" spans="2:22" x14ac:dyDescent="0.5500000000000000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 |  |</v>
      </c>
      <c r="Q60" s="5" t="str">
        <f t="shared" si="8"/>
        <v>|  |  |  |</v>
      </c>
      <c r="R60" s="5" t="str">
        <f t="shared" si="5"/>
        <v>|  |  |  |  |</v>
      </c>
      <c r="S60" s="5" t="str">
        <f t="shared" si="6"/>
        <v>|  |  |  |  | |</v>
      </c>
      <c r="T60" s="5" t="str">
        <f t="shared" si="1"/>
        <v>|  |  |  |  | | |</v>
      </c>
      <c r="U60" s="5"/>
      <c r="V60" s="5" t="str">
        <f t="shared" si="9"/>
        <v>|  |  |  |  | | | | | | | | | |</v>
      </c>
    </row>
    <row r="61" spans="2:22" x14ac:dyDescent="0.5500000000000000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 |  |</v>
      </c>
      <c r="Q61" s="5" t="str">
        <f t="shared" si="8"/>
        <v>|  |  |  |</v>
      </c>
      <c r="R61" s="5" t="str">
        <f t="shared" si="5"/>
        <v>|  |  |  |  |</v>
      </c>
      <c r="S61" s="5" t="str">
        <f t="shared" si="6"/>
        <v>|  |  |  |  | |</v>
      </c>
      <c r="T61" s="5" t="str">
        <f t="shared" si="1"/>
        <v>|  |  |  |  | | |</v>
      </c>
      <c r="U61" s="5"/>
      <c r="V61" s="5" t="str">
        <f t="shared" si="9"/>
        <v>|  |  |  |  | | | | | | | | | |</v>
      </c>
    </row>
    <row r="62" spans="2:22" x14ac:dyDescent="0.5500000000000000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 |  |</v>
      </c>
      <c r="Q62" s="5" t="str">
        <f t="shared" si="8"/>
        <v>|  |  |  |</v>
      </c>
      <c r="R62" s="5" t="str">
        <f t="shared" si="5"/>
        <v>|  |  |  |  |</v>
      </c>
      <c r="S62" s="5" t="str">
        <f t="shared" si="6"/>
        <v>|  |  |  |  | |</v>
      </c>
      <c r="T62" s="5" t="str">
        <f t="shared" si="1"/>
        <v>|  |  |  |  | | |</v>
      </c>
      <c r="U62" s="5"/>
      <c r="V62" s="5" t="str">
        <f t="shared" si="9"/>
        <v>|  |  |  |  | | | | | | | | | |</v>
      </c>
    </row>
    <row r="63" spans="2:22" x14ac:dyDescent="0.5500000000000000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 |  |</v>
      </c>
      <c r="Q63" s="5" t="str">
        <f t="shared" si="8"/>
        <v>|  |  |  |</v>
      </c>
      <c r="R63" s="5" t="str">
        <f t="shared" si="5"/>
        <v>|  |  |  |  |</v>
      </c>
      <c r="S63" s="5" t="str">
        <f t="shared" si="6"/>
        <v>|  |  |  |  | |</v>
      </c>
      <c r="T63" s="5" t="str">
        <f t="shared" si="1"/>
        <v>|  |  |  |  | | |</v>
      </c>
      <c r="U63" s="5"/>
      <c r="V63" s="5" t="str">
        <f t="shared" si="9"/>
        <v>|  |  |  |  | | | | | | | | | |</v>
      </c>
    </row>
    <row r="64" spans="2:22" x14ac:dyDescent="0.5500000000000000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 |  |</v>
      </c>
      <c r="Q64" s="5" t="str">
        <f t="shared" si="8"/>
        <v>|  |  |  |</v>
      </c>
      <c r="R64" s="5" t="str">
        <f t="shared" si="5"/>
        <v>|  |  |  |  |</v>
      </c>
      <c r="S64" s="5" t="str">
        <f t="shared" si="6"/>
        <v>|  |  |  |  | |</v>
      </c>
      <c r="T64" s="5" t="str">
        <f t="shared" si="1"/>
        <v>|  |  |  |  | | |</v>
      </c>
      <c r="U64" s="5"/>
      <c r="V64" s="5" t="str">
        <f t="shared" si="9"/>
        <v>|  |  |  |  | | | | | | | | | |</v>
      </c>
    </row>
    <row r="65" spans="2:22" x14ac:dyDescent="0.5500000000000000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 |  |</v>
      </c>
      <c r="Q65" s="5" t="str">
        <f t="shared" si="8"/>
        <v>|  |  |  |</v>
      </c>
      <c r="R65" s="5" t="str">
        <f t="shared" si="5"/>
        <v>|  |  |  |  |</v>
      </c>
      <c r="S65" s="5" t="str">
        <f t="shared" si="6"/>
        <v>|  |  |  |  | |</v>
      </c>
      <c r="T65" s="5" t="str">
        <f t="shared" si="1"/>
        <v>|  |  |  |  | | |</v>
      </c>
      <c r="U65" s="5"/>
      <c r="V65" s="5" t="str">
        <f t="shared" si="9"/>
        <v>|  |  |  |  | | | | | | | | | |</v>
      </c>
    </row>
    <row r="66" spans="2:22" x14ac:dyDescent="0.55000000000000004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 |  |</v>
      </c>
      <c r="Q66" s="5" t="str">
        <f t="shared" si="8"/>
        <v>|  |  |  |</v>
      </c>
      <c r="R66" s="5" t="str">
        <f t="shared" si="5"/>
        <v>|  |  |  |  |</v>
      </c>
      <c r="S66" s="5" t="str">
        <f t="shared" si="6"/>
        <v>|  |  |  |  | |</v>
      </c>
      <c r="T66" s="5" t="str">
        <f t="shared" si="1"/>
        <v>|  |  |  |  | | |</v>
      </c>
      <c r="U66" s="5"/>
      <c r="V66" s="5" t="str">
        <f t="shared" si="9"/>
        <v>|  |  |  |  | | | | | | | | | |</v>
      </c>
    </row>
    <row r="67" spans="2:22" x14ac:dyDescent="0.55000000000000004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 |  |</v>
      </c>
      <c r="Q67" s="5" t="str">
        <f t="shared" si="8"/>
        <v>|  |  |  |</v>
      </c>
      <c r="R67" s="5" t="str">
        <f t="shared" si="5"/>
        <v>|  |  |  |  |</v>
      </c>
      <c r="S67" s="5" t="str">
        <f t="shared" si="6"/>
        <v>|  |  |  |  | |</v>
      </c>
      <c r="T67" s="5" t="str">
        <f t="shared" si="1"/>
        <v>|  |  |  |  | | |</v>
      </c>
      <c r="U67" s="5"/>
      <c r="V67" s="5" t="str">
        <f t="shared" si="9"/>
        <v>|  |  |  |  | | | | | | | | | |</v>
      </c>
    </row>
    <row r="68" spans="2:22" x14ac:dyDescent="0.55000000000000004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 |  |</v>
      </c>
      <c r="Q68" s="5" t="str">
        <f t="shared" si="8"/>
        <v>|  |  |  |</v>
      </c>
      <c r="R68" s="5" t="str">
        <f t="shared" si="5"/>
        <v>|  |  |  |  |</v>
      </c>
      <c r="S68" s="5" t="str">
        <f t="shared" si="6"/>
        <v>|  |  |  |  | |</v>
      </c>
      <c r="T68" s="5" t="str">
        <f t="shared" ref="T68:T103" si="10">_xlfn.CONCAT("| ",B68," | ",C68," | ",D68," | ",E68," |",F68," |",G68," |")</f>
        <v>|  |  |  |  | | |</v>
      </c>
      <c r="U68" s="5"/>
      <c r="V68" s="5" t="str">
        <f t="shared" si="9"/>
        <v>|  |  |  |  | | | | | | | | | |</v>
      </c>
    </row>
    <row r="69" spans="2:22" x14ac:dyDescent="0.55000000000000004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 |  |</v>
      </c>
      <c r="Q69" s="5" t="str">
        <f t="shared" si="8"/>
        <v>|  |  |  |</v>
      </c>
      <c r="R69" s="5" t="str">
        <f t="shared" si="5"/>
        <v>|  |  |  |  |</v>
      </c>
      <c r="S69" s="5" t="str">
        <f t="shared" si="6"/>
        <v>|  |  |  |  | |</v>
      </c>
      <c r="T69" s="5" t="str">
        <f t="shared" si="10"/>
        <v>|  |  |  |  | | |</v>
      </c>
      <c r="U69" s="5"/>
      <c r="V69" s="5" t="str">
        <f t="shared" si="9"/>
        <v>|  |  |  |  | | | | | | | | | |</v>
      </c>
    </row>
    <row r="70" spans="2:22" x14ac:dyDescent="0.55000000000000004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 |  |</v>
      </c>
      <c r="Q70" s="5" t="str">
        <f t="shared" si="8"/>
        <v>|  |  |  |</v>
      </c>
      <c r="R70" s="5" t="str">
        <f t="shared" ref="R70:R103" si="11">_xlfn.CONCAT("| ",B70," | ",C70," | ",D70," | ",E70," |")</f>
        <v>|  |  |  |  |</v>
      </c>
      <c r="S70" s="5" t="str">
        <f t="shared" ref="S70:S103" si="12">_xlfn.CONCAT("| ",B70," | ",C70," | ",D70," | ",E70," |",F70," |")</f>
        <v>|  |  |  |  | |</v>
      </c>
      <c r="T70" s="5" t="str">
        <f t="shared" si="10"/>
        <v>|  |  |  |  | | |</v>
      </c>
      <c r="U70" s="5"/>
      <c r="V70" s="5" t="str">
        <f t="shared" si="9"/>
        <v>|  |  |  |  | | | | | | | | | |</v>
      </c>
    </row>
    <row r="71" spans="2:22" x14ac:dyDescent="0.5500000000000000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 |  |</v>
      </c>
      <c r="Q71" s="5" t="str">
        <f t="shared" si="8"/>
        <v>|  |  |  |</v>
      </c>
      <c r="R71" s="5" t="str">
        <f t="shared" si="11"/>
        <v>|  |  |  |  |</v>
      </c>
      <c r="S71" s="5" t="str">
        <f t="shared" si="12"/>
        <v>|  |  |  |  | |</v>
      </c>
      <c r="T71" s="5" t="str">
        <f t="shared" si="10"/>
        <v>|  |  |  |  | | |</v>
      </c>
      <c r="U71" s="5"/>
      <c r="V71" s="5" t="str">
        <f t="shared" si="9"/>
        <v>|  |  |  |  | | | | | | | | | |</v>
      </c>
    </row>
    <row r="72" spans="2:22" x14ac:dyDescent="0.55000000000000004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 |  |</v>
      </c>
      <c r="Q72" s="5" t="str">
        <f t="shared" si="8"/>
        <v>|  |  |  |</v>
      </c>
      <c r="R72" s="5" t="str">
        <f t="shared" si="11"/>
        <v>|  |  |  |  |</v>
      </c>
      <c r="S72" s="5" t="str">
        <f t="shared" si="12"/>
        <v>|  |  |  |  | |</v>
      </c>
      <c r="T72" s="5" t="str">
        <f t="shared" si="10"/>
        <v>|  |  |  |  | | |</v>
      </c>
      <c r="U72" s="5"/>
      <c r="V72" s="5" t="str">
        <f t="shared" si="9"/>
        <v>|  |  |  |  | | | | | | | | | |</v>
      </c>
    </row>
    <row r="73" spans="2:22" x14ac:dyDescent="0.55000000000000004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 |  |</v>
      </c>
      <c r="Q73" s="5" t="str">
        <f t="shared" si="8"/>
        <v>|  |  |  |</v>
      </c>
      <c r="R73" s="5" t="str">
        <f t="shared" si="11"/>
        <v>|  |  |  |  |</v>
      </c>
      <c r="S73" s="5" t="str">
        <f t="shared" si="12"/>
        <v>|  |  |  |  | |</v>
      </c>
      <c r="T73" s="5" t="str">
        <f t="shared" si="10"/>
        <v>|  |  |  |  | | |</v>
      </c>
      <c r="U73" s="5"/>
      <c r="V73" s="5" t="str">
        <f t="shared" si="9"/>
        <v>|  |  |  |  | | | | | | | | | |</v>
      </c>
    </row>
    <row r="74" spans="2:22" x14ac:dyDescent="0.5500000000000000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 |  |</v>
      </c>
      <c r="Q74" s="5" t="str">
        <f t="shared" si="8"/>
        <v>|  |  |  |</v>
      </c>
      <c r="R74" s="5" t="str">
        <f t="shared" si="11"/>
        <v>|  |  |  |  |</v>
      </c>
      <c r="S74" s="5" t="str">
        <f t="shared" si="12"/>
        <v>|  |  |  |  | |</v>
      </c>
      <c r="T74" s="5" t="str">
        <f t="shared" si="10"/>
        <v>|  |  |  |  | | |</v>
      </c>
      <c r="U74" s="5"/>
      <c r="V74" s="5" t="str">
        <f t="shared" si="9"/>
        <v>|  |  |  |  | | | | | | | | | |</v>
      </c>
    </row>
    <row r="75" spans="2:22" x14ac:dyDescent="0.55000000000000004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 |  |</v>
      </c>
      <c r="Q75" s="5" t="str">
        <f t="shared" si="8"/>
        <v>|  |  |  |</v>
      </c>
      <c r="R75" s="5" t="str">
        <f t="shared" si="11"/>
        <v>|  |  |  |  |</v>
      </c>
      <c r="S75" s="5" t="str">
        <f t="shared" si="12"/>
        <v>|  |  |  |  | |</v>
      </c>
      <c r="T75" s="5" t="str">
        <f t="shared" si="10"/>
        <v>|  |  |  |  | | |</v>
      </c>
      <c r="U75" s="5"/>
      <c r="V75" s="5" t="str">
        <f t="shared" si="9"/>
        <v>|  |  |  |  | | | | | | | | | |</v>
      </c>
    </row>
    <row r="76" spans="2:22" x14ac:dyDescent="0.55000000000000004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 |  |</v>
      </c>
      <c r="Q76" s="5" t="str">
        <f t="shared" si="8"/>
        <v>|  |  |  |</v>
      </c>
      <c r="R76" s="5" t="str">
        <f t="shared" si="11"/>
        <v>|  |  |  |  |</v>
      </c>
      <c r="S76" s="5" t="str">
        <f t="shared" si="12"/>
        <v>|  |  |  |  | |</v>
      </c>
      <c r="T76" s="5" t="str">
        <f t="shared" si="10"/>
        <v>|  |  |  |  | | |</v>
      </c>
      <c r="U76" s="5"/>
      <c r="V76" s="5" t="str">
        <f t="shared" si="9"/>
        <v>|  |  |  |  | | | | | | | | | |</v>
      </c>
    </row>
    <row r="77" spans="2:22" x14ac:dyDescent="0.5500000000000000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 |  |</v>
      </c>
      <c r="Q77" s="5" t="str">
        <f t="shared" si="8"/>
        <v>|  |  |  |</v>
      </c>
      <c r="R77" s="5" t="str">
        <f t="shared" si="11"/>
        <v>|  |  |  |  |</v>
      </c>
      <c r="S77" s="5" t="str">
        <f t="shared" si="12"/>
        <v>|  |  |  |  | |</v>
      </c>
      <c r="T77" s="5" t="str">
        <f t="shared" si="10"/>
        <v>|  |  |  |  | | |</v>
      </c>
      <c r="U77" s="5"/>
      <c r="V77" s="5" t="str">
        <f t="shared" si="9"/>
        <v>|  |  |  |  | | | | | | | | | |</v>
      </c>
    </row>
    <row r="78" spans="2:22" x14ac:dyDescent="0.55000000000000004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 |  |</v>
      </c>
      <c r="Q78" s="5" t="str">
        <f t="shared" si="8"/>
        <v>|  |  |  |</v>
      </c>
      <c r="R78" s="5" t="str">
        <f t="shared" si="11"/>
        <v>|  |  |  |  |</v>
      </c>
      <c r="S78" s="5" t="str">
        <f t="shared" si="12"/>
        <v>|  |  |  |  | |</v>
      </c>
      <c r="T78" s="5" t="str">
        <f t="shared" si="10"/>
        <v>|  |  |  |  | | |</v>
      </c>
      <c r="U78" s="5"/>
      <c r="V78" s="5" t="str">
        <f t="shared" si="9"/>
        <v>|  |  |  |  | | | | | | | | | |</v>
      </c>
    </row>
    <row r="79" spans="2:22" x14ac:dyDescent="0.55000000000000004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 |  |</v>
      </c>
      <c r="Q79" s="5" t="str">
        <f t="shared" si="8"/>
        <v>|  |  |  |</v>
      </c>
      <c r="R79" s="5" t="str">
        <f t="shared" si="11"/>
        <v>|  |  |  |  |</v>
      </c>
      <c r="S79" s="5" t="str">
        <f t="shared" si="12"/>
        <v>|  |  |  |  | |</v>
      </c>
      <c r="T79" s="5" t="str">
        <f t="shared" si="10"/>
        <v>|  |  |  |  | | |</v>
      </c>
      <c r="U79" s="5"/>
      <c r="V79" s="5" t="str">
        <f t="shared" si="9"/>
        <v>|  |  |  |  | | | | | | | | | |</v>
      </c>
    </row>
    <row r="80" spans="2:22" x14ac:dyDescent="0.55000000000000004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 |  |</v>
      </c>
      <c r="Q80" s="5" t="str">
        <f t="shared" si="8"/>
        <v>|  |  |  |</v>
      </c>
      <c r="R80" s="5" t="str">
        <f t="shared" si="11"/>
        <v>|  |  |  |  |</v>
      </c>
      <c r="S80" s="5" t="str">
        <f t="shared" si="12"/>
        <v>|  |  |  |  | |</v>
      </c>
      <c r="T80" s="5" t="str">
        <f t="shared" si="10"/>
        <v>|  |  |  |  | | |</v>
      </c>
      <c r="U80" s="5"/>
      <c r="V80" s="5" t="str">
        <f t="shared" si="9"/>
        <v>|  |  |  |  | | | | | | | | | |</v>
      </c>
    </row>
    <row r="81" spans="2:22" x14ac:dyDescent="0.55000000000000004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 |  |</v>
      </c>
      <c r="Q81" s="5" t="str">
        <f t="shared" si="8"/>
        <v>|  |  |  |</v>
      </c>
      <c r="R81" s="5" t="str">
        <f t="shared" si="11"/>
        <v>|  |  |  |  |</v>
      </c>
      <c r="S81" s="5" t="str">
        <f t="shared" si="12"/>
        <v>|  |  |  |  | |</v>
      </c>
      <c r="T81" s="5" t="str">
        <f t="shared" si="10"/>
        <v>|  |  |  |  | | |</v>
      </c>
      <c r="U81" s="5"/>
      <c r="V81" s="5" t="str">
        <f t="shared" si="9"/>
        <v>|  |  |  |  | | | | | | | | | |</v>
      </c>
    </row>
    <row r="82" spans="2:22" x14ac:dyDescent="0.55000000000000004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 |  |</v>
      </c>
      <c r="Q82" s="5" t="str">
        <f t="shared" si="8"/>
        <v>|  |  |  |</v>
      </c>
      <c r="R82" s="5" t="str">
        <f t="shared" si="11"/>
        <v>|  |  |  |  |</v>
      </c>
      <c r="S82" s="5" t="str">
        <f t="shared" si="12"/>
        <v>|  |  |  |  | |</v>
      </c>
      <c r="T82" s="5" t="str">
        <f t="shared" si="10"/>
        <v>|  |  |  |  | | |</v>
      </c>
      <c r="U82" s="5"/>
      <c r="V82" s="5" t="str">
        <f t="shared" si="9"/>
        <v>|  |  |  |  | | | | | | | | | |</v>
      </c>
    </row>
    <row r="83" spans="2:22" x14ac:dyDescent="0.55000000000000004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 |  |</v>
      </c>
      <c r="Q83" s="5" t="str">
        <f t="shared" si="8"/>
        <v>|  |  |  |</v>
      </c>
      <c r="R83" s="5" t="str">
        <f t="shared" si="11"/>
        <v>|  |  |  |  |</v>
      </c>
      <c r="S83" s="5" t="str">
        <f t="shared" si="12"/>
        <v>|  |  |  |  | |</v>
      </c>
      <c r="T83" s="5" t="str">
        <f t="shared" si="10"/>
        <v>|  |  |  |  | | |</v>
      </c>
      <c r="U83" s="5"/>
      <c r="V83" s="5" t="str">
        <f t="shared" si="9"/>
        <v>|  |  |  |  | | | | | | | | | |</v>
      </c>
    </row>
    <row r="84" spans="2:22" x14ac:dyDescent="0.5500000000000000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 |  |</v>
      </c>
      <c r="Q84" s="5" t="str">
        <f t="shared" si="8"/>
        <v>|  |  |  |</v>
      </c>
      <c r="R84" s="5" t="str">
        <f t="shared" si="11"/>
        <v>|  |  |  |  |</v>
      </c>
      <c r="S84" s="5" t="str">
        <f t="shared" si="12"/>
        <v>|  |  |  |  | |</v>
      </c>
      <c r="T84" s="5" t="str">
        <f t="shared" si="10"/>
        <v>|  |  |  |  | | |</v>
      </c>
      <c r="U84" s="5"/>
      <c r="V84" s="5" t="str">
        <f t="shared" si="9"/>
        <v>|  |  |  |  | | | | | | | | | |</v>
      </c>
    </row>
    <row r="85" spans="2:22" x14ac:dyDescent="0.55000000000000004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 |  |</v>
      </c>
      <c r="Q85" s="5" t="str">
        <f t="shared" si="8"/>
        <v>|  |  |  |</v>
      </c>
      <c r="R85" s="5" t="str">
        <f t="shared" si="11"/>
        <v>|  |  |  |  |</v>
      </c>
      <c r="S85" s="5" t="str">
        <f t="shared" si="12"/>
        <v>|  |  |  |  | |</v>
      </c>
      <c r="T85" s="5" t="str">
        <f t="shared" si="10"/>
        <v>|  |  |  |  | | |</v>
      </c>
      <c r="U85" s="5"/>
      <c r="V85" s="5" t="str">
        <f t="shared" si="9"/>
        <v>|  |  |  |  | | | | | | | | | |</v>
      </c>
    </row>
    <row r="86" spans="2:22" x14ac:dyDescent="0.55000000000000004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 |  |</v>
      </c>
      <c r="Q86" s="5" t="str">
        <f t="shared" si="8"/>
        <v>|  |  |  |</v>
      </c>
      <c r="R86" s="5" t="str">
        <f t="shared" si="11"/>
        <v>|  |  |  |  |</v>
      </c>
      <c r="S86" s="5" t="str">
        <f t="shared" si="12"/>
        <v>|  |  |  |  | |</v>
      </c>
      <c r="T86" s="5" t="str">
        <f t="shared" si="10"/>
        <v>|  |  |  |  | | |</v>
      </c>
      <c r="U86" s="5"/>
      <c r="V86" s="5" t="str">
        <f t="shared" si="9"/>
        <v>|  |  |  |  | | | | | | | | | |</v>
      </c>
    </row>
    <row r="87" spans="2:22" x14ac:dyDescent="0.5500000000000000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 |  |</v>
      </c>
      <c r="Q87" s="5" t="str">
        <f t="shared" si="8"/>
        <v>|  |  |  |</v>
      </c>
      <c r="R87" s="5" t="str">
        <f t="shared" si="11"/>
        <v>|  |  |  |  |</v>
      </c>
      <c r="S87" s="5" t="str">
        <f t="shared" si="12"/>
        <v>|  |  |  |  | |</v>
      </c>
      <c r="T87" s="5" t="str">
        <f t="shared" si="10"/>
        <v>|  |  |  |  | | |</v>
      </c>
      <c r="U87" s="5"/>
      <c r="V87" s="5" t="str">
        <f t="shared" si="9"/>
        <v>|  |  |  |  | | | | | | | | | |</v>
      </c>
    </row>
    <row r="88" spans="2:22" x14ac:dyDescent="0.5500000000000000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 |  |</v>
      </c>
      <c r="Q88" s="5" t="str">
        <f t="shared" si="8"/>
        <v>|  |  |  |</v>
      </c>
      <c r="R88" s="5" t="str">
        <f t="shared" si="11"/>
        <v>|  |  |  |  |</v>
      </c>
      <c r="S88" s="5" t="str">
        <f t="shared" si="12"/>
        <v>|  |  |  |  | |</v>
      </c>
      <c r="T88" s="5" t="str">
        <f t="shared" si="10"/>
        <v>|  |  |  |  | | |</v>
      </c>
      <c r="U88" s="5"/>
      <c r="V88" s="5" t="str">
        <f t="shared" si="9"/>
        <v>|  |  |  |  | | | | | | | | | |</v>
      </c>
    </row>
    <row r="89" spans="2:22" x14ac:dyDescent="0.5500000000000000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si="7"/>
        <v>|  |  |</v>
      </c>
      <c r="Q89" s="5" t="str">
        <f t="shared" si="8"/>
        <v>|  |  |  |</v>
      </c>
      <c r="R89" s="5" t="str">
        <f t="shared" si="11"/>
        <v>|  |  |  |  |</v>
      </c>
      <c r="S89" s="5" t="str">
        <f t="shared" si="12"/>
        <v>|  |  |  |  | |</v>
      </c>
      <c r="T89" s="5" t="str">
        <f t="shared" si="10"/>
        <v>|  |  |  |  | | |</v>
      </c>
      <c r="U89" s="5"/>
      <c r="V89" s="5" t="str">
        <f t="shared" si="9"/>
        <v>|  |  |  |  | | | | | | | | | |</v>
      </c>
    </row>
    <row r="90" spans="2:22" x14ac:dyDescent="0.5500000000000000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7"/>
        <v>|  |  |</v>
      </c>
      <c r="Q90" s="5" t="str">
        <f t="shared" si="8"/>
        <v>|  |  |  |</v>
      </c>
      <c r="R90" s="5" t="str">
        <f t="shared" si="11"/>
        <v>|  |  |  |  |</v>
      </c>
      <c r="S90" s="5" t="str">
        <f t="shared" si="12"/>
        <v>|  |  |  |  | |</v>
      </c>
      <c r="T90" s="5" t="str">
        <f t="shared" si="10"/>
        <v>|  |  |  |  | | |</v>
      </c>
      <c r="U90" s="5"/>
      <c r="V90" s="5" t="str">
        <f t="shared" si="9"/>
        <v>|  |  |  |  | | | | | | | | | |</v>
      </c>
    </row>
    <row r="91" spans="2:22" x14ac:dyDescent="0.5500000000000000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7"/>
        <v>|  |  |</v>
      </c>
      <c r="Q91" s="5" t="str">
        <f t="shared" si="8"/>
        <v>|  |  |  |</v>
      </c>
      <c r="R91" s="5" t="str">
        <f t="shared" si="11"/>
        <v>|  |  |  |  |</v>
      </c>
      <c r="S91" s="5" t="str">
        <f t="shared" si="12"/>
        <v>|  |  |  |  | |</v>
      </c>
      <c r="T91" s="5" t="str">
        <f t="shared" si="10"/>
        <v>|  |  |  |  | | |</v>
      </c>
      <c r="U91" s="5"/>
      <c r="V91" s="5" t="str">
        <f t="shared" si="9"/>
        <v>|  |  |  |  | | | | | | | | | |</v>
      </c>
    </row>
    <row r="92" spans="2:22" x14ac:dyDescent="0.5500000000000000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7"/>
        <v>|  |  |</v>
      </c>
      <c r="Q92" s="5" t="str">
        <f t="shared" si="8"/>
        <v>|  |  |  |</v>
      </c>
      <c r="R92" s="5" t="str">
        <f t="shared" si="11"/>
        <v>|  |  |  |  |</v>
      </c>
      <c r="S92" s="5" t="str">
        <f t="shared" si="12"/>
        <v>|  |  |  |  | |</v>
      </c>
      <c r="T92" s="5" t="str">
        <f t="shared" si="10"/>
        <v>|  |  |  |  | | |</v>
      </c>
      <c r="U92" s="5"/>
      <c r="V92" s="5" t="str">
        <f t="shared" si="9"/>
        <v>|  |  |  |  | | | | | | | | | |</v>
      </c>
    </row>
    <row r="93" spans="2:22" x14ac:dyDescent="0.5500000000000000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7"/>
        <v>|  |  |</v>
      </c>
      <c r="Q93" s="5" t="str">
        <f t="shared" si="8"/>
        <v>|  |  |  |</v>
      </c>
      <c r="R93" s="5" t="str">
        <f t="shared" si="11"/>
        <v>|  |  |  |  |</v>
      </c>
      <c r="S93" s="5" t="str">
        <f t="shared" si="12"/>
        <v>|  |  |  |  | |</v>
      </c>
      <c r="T93" s="5" t="str">
        <f t="shared" si="10"/>
        <v>|  |  |  |  | | |</v>
      </c>
      <c r="U93" s="5"/>
      <c r="V93" s="5" t="str">
        <f t="shared" si="9"/>
        <v>|  |  |  |  | | | | | | | | | |</v>
      </c>
    </row>
    <row r="94" spans="2:22" x14ac:dyDescent="0.5500000000000000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7"/>
        <v>|  |  |</v>
      </c>
      <c r="Q94" s="5" t="str">
        <f t="shared" si="8"/>
        <v>|  |  |  |</v>
      </c>
      <c r="R94" s="5" t="str">
        <f t="shared" si="11"/>
        <v>|  |  |  |  |</v>
      </c>
      <c r="S94" s="5" t="str">
        <f t="shared" si="12"/>
        <v>|  |  |  |  | |</v>
      </c>
      <c r="T94" s="5" t="str">
        <f t="shared" si="10"/>
        <v>|  |  |  |  | | |</v>
      </c>
      <c r="U94" s="5"/>
      <c r="V94" s="5" t="str">
        <f t="shared" si="9"/>
        <v>|  |  |  |  | | | | | | | | | |</v>
      </c>
    </row>
    <row r="95" spans="2:22" x14ac:dyDescent="0.5500000000000000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7"/>
        <v>|  |  |</v>
      </c>
      <c r="Q95" s="5" t="str">
        <f t="shared" si="8"/>
        <v>|  |  |  |</v>
      </c>
      <c r="R95" s="5" t="str">
        <f t="shared" si="11"/>
        <v>|  |  |  |  |</v>
      </c>
      <c r="S95" s="5" t="str">
        <f t="shared" si="12"/>
        <v>|  |  |  |  | |</v>
      </c>
      <c r="T95" s="5" t="str">
        <f t="shared" si="10"/>
        <v>|  |  |  |  | | |</v>
      </c>
      <c r="U95" s="5"/>
      <c r="V95" s="5" t="str">
        <f t="shared" si="9"/>
        <v>|  |  |  |  | | | | | | | | | |</v>
      </c>
    </row>
    <row r="96" spans="2:22" x14ac:dyDescent="0.5500000000000000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7"/>
        <v>|  |  |</v>
      </c>
      <c r="Q96" s="5" t="str">
        <f t="shared" si="8"/>
        <v>|  |  |  |</v>
      </c>
      <c r="R96" s="5" t="str">
        <f t="shared" si="11"/>
        <v>|  |  |  |  |</v>
      </c>
      <c r="S96" s="5" t="str">
        <f t="shared" si="12"/>
        <v>|  |  |  |  | |</v>
      </c>
      <c r="T96" s="5" t="str">
        <f t="shared" si="10"/>
        <v>|  |  |  |  | | |</v>
      </c>
      <c r="U96" s="5"/>
      <c r="V96" s="5" t="str">
        <f t="shared" si="9"/>
        <v>|  |  |  |  | | | | | | | | | |</v>
      </c>
    </row>
    <row r="97" spans="2:22" x14ac:dyDescent="0.5500000000000000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7"/>
        <v>|  |  |</v>
      </c>
      <c r="Q97" s="5" t="str">
        <f t="shared" si="8"/>
        <v>|  |  |  |</v>
      </c>
      <c r="R97" s="5" t="str">
        <f t="shared" si="11"/>
        <v>|  |  |  |  |</v>
      </c>
      <c r="S97" s="5" t="str">
        <f t="shared" si="12"/>
        <v>|  |  |  |  | |</v>
      </c>
      <c r="T97" s="5" t="str">
        <f t="shared" si="10"/>
        <v>|  |  |  |  | | |</v>
      </c>
      <c r="U97" s="5"/>
      <c r="V97" s="5" t="str">
        <f t="shared" si="9"/>
        <v>|  |  |  |  | | | | | | | | | |</v>
      </c>
    </row>
    <row r="98" spans="2:22" x14ac:dyDescent="0.5500000000000000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7"/>
        <v>|  |  |</v>
      </c>
      <c r="Q98" s="5" t="str">
        <f t="shared" si="8"/>
        <v>|  |  |  |</v>
      </c>
      <c r="R98" s="5" t="str">
        <f t="shared" si="11"/>
        <v>|  |  |  |  |</v>
      </c>
      <c r="S98" s="5" t="str">
        <f t="shared" si="12"/>
        <v>|  |  |  |  | |</v>
      </c>
      <c r="T98" s="5" t="str">
        <f t="shared" si="10"/>
        <v>|  |  |  |  | | |</v>
      </c>
      <c r="U98" s="5"/>
      <c r="V98" s="5" t="str">
        <f t="shared" si="9"/>
        <v>|  |  |  |  | | | | | | | | | |</v>
      </c>
    </row>
    <row r="99" spans="2:22" x14ac:dyDescent="0.5500000000000000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7"/>
        <v>|  |  |</v>
      </c>
      <c r="Q99" s="5" t="str">
        <f t="shared" si="8"/>
        <v>|  |  |  |</v>
      </c>
      <c r="R99" s="5" t="str">
        <f t="shared" si="11"/>
        <v>|  |  |  |  |</v>
      </c>
      <c r="S99" s="5" t="str">
        <f t="shared" si="12"/>
        <v>|  |  |  |  | |</v>
      </c>
      <c r="T99" s="5" t="str">
        <f t="shared" si="10"/>
        <v>|  |  |  |  | | |</v>
      </c>
      <c r="U99" s="5"/>
      <c r="V99" s="5" t="str">
        <f t="shared" si="9"/>
        <v>|  |  |  |  | | | | | | | | | |</v>
      </c>
    </row>
    <row r="100" spans="2:22" x14ac:dyDescent="0.5500000000000000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7"/>
        <v>|  |  |</v>
      </c>
      <c r="Q100" s="5" t="str">
        <f t="shared" si="8"/>
        <v>|  |  |  |</v>
      </c>
      <c r="R100" s="5" t="str">
        <f t="shared" si="11"/>
        <v>|  |  |  |  |</v>
      </c>
      <c r="S100" s="5" t="str">
        <f t="shared" si="12"/>
        <v>|  |  |  |  | |</v>
      </c>
      <c r="T100" s="5" t="str">
        <f t="shared" si="10"/>
        <v>|  |  |  |  | | |</v>
      </c>
      <c r="U100" s="5"/>
      <c r="V100" s="5" t="str">
        <f t="shared" si="9"/>
        <v>|  |  |  |  | | | | | | | | | |</v>
      </c>
    </row>
    <row r="101" spans="2:22" x14ac:dyDescent="0.5500000000000000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7"/>
        <v>|  |  |</v>
      </c>
      <c r="Q101" s="5" t="str">
        <f t="shared" si="8"/>
        <v>|  |  |  |</v>
      </c>
      <c r="R101" s="5" t="str">
        <f t="shared" si="11"/>
        <v>|  |  |  |  |</v>
      </c>
      <c r="S101" s="5" t="str">
        <f t="shared" si="12"/>
        <v>|  |  |  |  | |</v>
      </c>
      <c r="T101" s="5" t="str">
        <f t="shared" si="10"/>
        <v>|  |  |  |  | | |</v>
      </c>
      <c r="U101" s="5"/>
      <c r="V101" s="5" t="str">
        <f t="shared" si="9"/>
        <v>|  |  |  |  | | | | | | | | | |</v>
      </c>
    </row>
    <row r="102" spans="2:22" x14ac:dyDescent="0.5500000000000000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7"/>
        <v>|  |  |</v>
      </c>
      <c r="Q102" s="5" t="str">
        <f t="shared" si="8"/>
        <v>|  |  |  |</v>
      </c>
      <c r="R102" s="5" t="str">
        <f t="shared" si="11"/>
        <v>|  |  |  |  |</v>
      </c>
      <c r="S102" s="5" t="str">
        <f t="shared" si="12"/>
        <v>|  |  |  |  | |</v>
      </c>
      <c r="T102" s="5" t="str">
        <f t="shared" si="10"/>
        <v>|  |  |  |  | | |</v>
      </c>
      <c r="U102" s="5"/>
      <c r="V102" s="5" t="str">
        <f t="shared" si="9"/>
        <v>|  |  |  |  | | | | | | | | | |</v>
      </c>
    </row>
    <row r="103" spans="2:22" x14ac:dyDescent="0.5500000000000000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7"/>
        <v>|  |  |</v>
      </c>
      <c r="Q103" s="5" t="str">
        <f t="shared" si="8"/>
        <v>|  |  |  |</v>
      </c>
      <c r="R103" s="5" t="str">
        <f t="shared" si="11"/>
        <v>|  |  |  |  |</v>
      </c>
      <c r="S103" s="5" t="str">
        <f t="shared" si="12"/>
        <v>|  |  |  |  | |</v>
      </c>
      <c r="T103" s="5" t="str">
        <f t="shared" si="10"/>
        <v>|  |  |  |  | | |</v>
      </c>
      <c r="U103" s="5"/>
      <c r="V103" s="5" t="str">
        <f t="shared" si="9"/>
        <v>|  |  |  |  | | | | | | | | | |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ECC1-3B1D-4C8A-92C3-A53ACBB569A1}">
  <dimension ref="B1:V215"/>
  <sheetViews>
    <sheetView showGridLines="0" topLeftCell="P1" zoomScale="115" zoomScaleNormal="115" workbookViewId="0">
      <pane ySplit="4" topLeftCell="A187" activePane="bottomLeft" state="frozen"/>
      <selection pane="bottomLeft" activeCell="Q200" sqref="Q200"/>
    </sheetView>
  </sheetViews>
  <sheetFormatPr defaultColWidth="9.140625" defaultRowHeight="15.4" x14ac:dyDescent="0.55000000000000004"/>
  <cols>
    <col min="1" max="1" width="2.7109375" style="1" customWidth="1"/>
    <col min="2" max="3" width="46.140625" style="1" customWidth="1"/>
    <col min="4" max="4" width="29.28515625" style="1" customWidth="1"/>
    <col min="5" max="6" width="6.640625" style="1" customWidth="1"/>
    <col min="7" max="8" width="7.1406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766</v>
      </c>
      <c r="C3" s="4" t="s">
        <v>127</v>
      </c>
      <c r="D3" s="4" t="s">
        <v>128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Grupo mayor | Descripción (en) |</v>
      </c>
      <c r="Q3" s="5" t="str">
        <f>_xlfn.CONCAT("| ",B3," | ",C3," | ",D3," |")</f>
        <v>| Grupo mayor | Descripción (en) | Descripción (es) |</v>
      </c>
      <c r="R3" s="5" t="str">
        <f>_xlfn.CONCAT("| ",B3," | ",C3," | ",D3," | ",E3," |")</f>
        <v>| Grupo mayor | Descripción (en) | Descripción (es) | A |</v>
      </c>
      <c r="S3" s="5" t="str">
        <f>_xlfn.CONCAT("| ",B3," | ",C3," | ",D3," | ",E3," |",F3," |")</f>
        <v>| Grupo mayor | Descripción (en) | Descripción (es) | A |B |</v>
      </c>
      <c r="T3" s="5" t="str">
        <f>_xlfn.CONCAT("| ",B3," | ",C3," | ",D3," | ",E3," |",F3," |",G3," |")</f>
        <v>| Grupo mayor | Descripción (en) | Descripción (es) | A |B |C |</v>
      </c>
      <c r="U3" s="5" t="str">
        <f>_xlfn.CONCAT("| ",B3," | ",C3," | ",D3," | ",E3," | ",F3," | ",G3," | ",H3," |")</f>
        <v>| Grupo mayor | Descripción (en) | Descripción (es) | A | B | C | D |</v>
      </c>
      <c r="V3" s="5" t="str">
        <f t="shared" ref="V3:V14" si="0">_xlfn.CONCAT("| ",B3," | ",C3," | ",D3," | ",E3," |",F3," |",G3," |",H3," |",I3," |",J3," |",K3," |",L3," |",M3," |",N3," |")</f>
        <v>| Grupo mayor | Descripción (en) | Descripción (es)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x14ac:dyDescent="0.55000000000000004">
      <c r="B5" s="5" t="s">
        <v>201</v>
      </c>
      <c r="C5" s="5" t="s">
        <v>202</v>
      </c>
      <c r="D5" s="5" t="s">
        <v>203</v>
      </c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ACCS | Access |</v>
      </c>
      <c r="Q5" s="5" t="str">
        <f t="shared" ref="Q5:Q68" si="3">_xlfn.CONCAT("| ",B5," | ",C5," | ",D5," |")</f>
        <v>| ACCS | Access | Acceso |</v>
      </c>
      <c r="R5" s="5" t="str">
        <f>_xlfn.CONCAT("| ",B5," | ",C5," | ",D5," | ",E5," |")</f>
        <v>| ACCS | Access | Acceso | ✓ |</v>
      </c>
      <c r="S5" s="5" t="str">
        <f>_xlfn.CONCAT("| ",B5," | ",C5," | ",D5," | ",E5," |",F5," |")</f>
        <v>| ACCS | Access | Acceso | ✓ |✓ |</v>
      </c>
      <c r="T5" s="5" t="str">
        <f t="shared" si="1"/>
        <v>| ACCS | Access | Acceso | ✓ |✓ | |</v>
      </c>
      <c r="U5" s="5" t="str">
        <f t="shared" si="2"/>
        <v>| ACCS | Access | Acceso | ✓ | ✓ |  |  |</v>
      </c>
      <c r="V5" s="5" t="str">
        <f t="shared" si="0"/>
        <v>| ACCS | Access | Acceso | ✓ |✓ | | | | | | | | |</v>
      </c>
    </row>
    <row r="6" spans="2:22" ht="30.75" x14ac:dyDescent="0.55000000000000004">
      <c r="B6" s="5" t="s">
        <v>204</v>
      </c>
      <c r="C6" s="5" t="s">
        <v>205</v>
      </c>
      <c r="D6" s="5" t="s">
        <v>206</v>
      </c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ACID | Acid waste systems |</v>
      </c>
      <c r="Q6" s="5" t="str">
        <f t="shared" si="3"/>
        <v>| ACID | Acid waste systems | Sistemas de residuos ácidos |</v>
      </c>
      <c r="R6" s="5" t="str">
        <f t="shared" ref="R6:R69" si="5">_xlfn.CONCAT("| ",B6," | ",C6," | ",D6," | ",E6," |")</f>
        <v>| ACID | Acid waste systems | Sistemas de residuos ácidos | ✓ |</v>
      </c>
      <c r="S6" s="5" t="str">
        <f t="shared" ref="S6:S69" si="6">_xlfn.CONCAT("| ",B6," | ",C6," | ",D6," | ",E6," |",F6," |")</f>
        <v>| ACID | Acid waste systems | Sistemas de residuos ácidos | ✓ |✕ |</v>
      </c>
      <c r="T6" s="5" t="str">
        <f t="shared" si="1"/>
        <v>| ACID | Acid waste systems | Sistemas de residuos ácidos | ✓ |✕ | |</v>
      </c>
      <c r="U6" s="5" t="str">
        <f t="shared" si="2"/>
        <v>| ACID | Acid waste systems | Sistemas de residuos ácidos | ✓ | ✕ |  |  |</v>
      </c>
      <c r="V6" s="5" t="str">
        <f t="shared" si="0"/>
        <v>| ACID | Acid waste systems | Sistemas de residuos ácidos | ✓ |✕ | | | | | | | | |</v>
      </c>
    </row>
    <row r="7" spans="2:22" x14ac:dyDescent="0.55000000000000004">
      <c r="B7" s="5" t="s">
        <v>207</v>
      </c>
      <c r="C7" s="5" t="s">
        <v>208</v>
      </c>
      <c r="D7" s="5" t="s">
        <v>209</v>
      </c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AERI | Aerial Survey |</v>
      </c>
      <c r="Q7" s="5" t="str">
        <f t="shared" si="3"/>
        <v>| AERI | Aerial Survey | Levantamiento aéreo |</v>
      </c>
      <c r="R7" s="5" t="str">
        <f t="shared" si="5"/>
        <v>| AERI | Aerial Survey | Levantamiento aéreo | ✓ |</v>
      </c>
      <c r="S7" s="5" t="str">
        <f t="shared" si="6"/>
        <v>| AERI | Aerial Survey | Levantamiento aéreo | ✓ |✓ |</v>
      </c>
      <c r="T7" s="5" t="str">
        <f t="shared" si="1"/>
        <v>| AERI | Aerial Survey | Levantamiento aéreo | ✓ |✓ | |</v>
      </c>
      <c r="U7" s="5" t="str">
        <f t="shared" si="2"/>
        <v>| AERI | Aerial Survey | Levantamiento aéreo | ✓ | ✓ |  |  |</v>
      </c>
      <c r="V7" s="5" t="str">
        <f t="shared" si="0"/>
        <v>| AERI | Aerial Survey | Levantamiento aéreo | ✓ |✓ | | | | | | | | |</v>
      </c>
    </row>
    <row r="8" spans="2:22" ht="30.75" x14ac:dyDescent="0.55000000000000004">
      <c r="B8" s="5" t="s">
        <v>210</v>
      </c>
      <c r="C8" s="5" t="s">
        <v>211</v>
      </c>
      <c r="D8" s="5" t="s">
        <v>212</v>
      </c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AFFF | Aqueous film-forming foam system |</v>
      </c>
      <c r="Q8" s="5" t="str">
        <f t="shared" si="3"/>
        <v>| AFFF | Aqueous film-forming foam system | Sistema de espuma formadora de película acuosa |</v>
      </c>
      <c r="R8" s="5" t="str">
        <f t="shared" si="5"/>
        <v>| AFFF | Aqueous film-forming foam system | Sistema de espuma formadora de película acuosa | ✓ |</v>
      </c>
      <c r="S8" s="5" t="str">
        <f t="shared" si="6"/>
        <v>| AFFF | Aqueous film-forming foam system | Sistema de espuma formadora de película acuosa | ✓ |✕ |</v>
      </c>
      <c r="T8" s="5" t="str">
        <f t="shared" si="1"/>
        <v>| AFFF | Aqueous film-forming foam system | Sistema de espuma formadora de película acuosa | ✓ |✕ | |</v>
      </c>
      <c r="U8" s="5" t="str">
        <f t="shared" si="2"/>
        <v>| AFFF | Aqueous film-forming foam system | Sistema de espuma formadora de película acuosa | ✓ | ✕ |  |  |</v>
      </c>
      <c r="V8" s="5" t="str">
        <f t="shared" si="0"/>
        <v>| AFFF | Aqueous film-forming foam system | Sistema de espuma formadora de película acuosa | ✓ |✕ | | | | | | | | |</v>
      </c>
    </row>
    <row r="9" spans="2:22" x14ac:dyDescent="0.55000000000000004">
      <c r="B9" s="5" t="s">
        <v>213</v>
      </c>
      <c r="C9" s="5" t="s">
        <v>214</v>
      </c>
      <c r="D9" s="5" t="s">
        <v>215</v>
      </c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AFLD | Airfields |</v>
      </c>
      <c r="Q9" s="5" t="str">
        <f t="shared" si="3"/>
        <v>| AFLD | Airfields | Aeródromos |</v>
      </c>
      <c r="R9" s="5" t="str">
        <f t="shared" si="5"/>
        <v>| AFLD | Airfields | Aeródromos | ✓ |</v>
      </c>
      <c r="S9" s="5" t="str">
        <f t="shared" si="6"/>
        <v>| AFLD | Airfields | Aeródromos | ✓ |✕ |</v>
      </c>
      <c r="T9" s="5" t="str">
        <f t="shared" si="1"/>
        <v>| AFLD | Airfields | Aeródromos | ✓ |✕ | |</v>
      </c>
      <c r="U9" s="5" t="str">
        <f t="shared" si="2"/>
        <v>| AFLD | Airfields | Aeródromos | ✓ | ✕ |  |  |</v>
      </c>
      <c r="V9" s="5" t="str">
        <f t="shared" si="0"/>
        <v>| AFLD | Airfields | Aeródromos | ✓ |✕ | | | | | | | | |</v>
      </c>
    </row>
    <row r="10" spans="2:22" x14ac:dyDescent="0.55000000000000004">
      <c r="B10" s="5" t="s">
        <v>216</v>
      </c>
      <c r="C10" s="5" t="s">
        <v>217</v>
      </c>
      <c r="D10" s="5" t="s">
        <v>218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AIR~ | Air |</v>
      </c>
      <c r="Q10" s="5" t="str">
        <f t="shared" si="3"/>
        <v>| AIR~ | Air | Aire |</v>
      </c>
      <c r="R10" s="5" t="str">
        <f t="shared" si="5"/>
        <v>| AIR~ | Air | Aire | ✓ |</v>
      </c>
      <c r="S10" s="5" t="str">
        <f t="shared" si="6"/>
        <v>| AIR~ | Air | Aire | ✓ |✕ |</v>
      </c>
      <c r="T10" s="5" t="str">
        <f t="shared" si="1"/>
        <v>| AIR~ | Air | Aire | ✓ |✕ | |</v>
      </c>
      <c r="U10" s="5" t="str">
        <f t="shared" si="2"/>
        <v>| AIR~ | Air | Aire | ✓ | ✕ |  |  |</v>
      </c>
      <c r="V10" s="5" t="str">
        <f t="shared" si="0"/>
        <v>| AIR~ | Air | Aire | ✓ |✕ | | | | | | | | |</v>
      </c>
    </row>
    <row r="11" spans="2:22" x14ac:dyDescent="0.55000000000000004">
      <c r="B11" s="5" t="s">
        <v>219</v>
      </c>
      <c r="C11" s="5" t="s">
        <v>220</v>
      </c>
      <c r="D11" s="5" t="s">
        <v>221</v>
      </c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ALGN | Alignment |</v>
      </c>
      <c r="Q11" s="5" t="str">
        <f t="shared" si="3"/>
        <v>| ALGN | Alignment | Alineación |</v>
      </c>
      <c r="R11" s="5" t="str">
        <f t="shared" si="5"/>
        <v>| ALGN | Alignment | Alineación | ✓ |</v>
      </c>
      <c r="S11" s="5" t="str">
        <f t="shared" si="6"/>
        <v>| ALGN | Alignment | Alineación | ✓ |✓ |</v>
      </c>
      <c r="T11" s="5" t="str">
        <f t="shared" si="1"/>
        <v>| ALGN | Alignment | Alineación | ✓ |✓ | |</v>
      </c>
      <c r="U11" s="5" t="str">
        <f t="shared" si="2"/>
        <v>| ALGN | Alignment | Alineación | ✓ | ✓ |  |  |</v>
      </c>
      <c r="V11" s="5" t="str">
        <f t="shared" si="0"/>
        <v>| ALGN | Alignment | Alineación | ✓ |✓ | | | | | | | | |</v>
      </c>
    </row>
    <row r="12" spans="2:22" x14ac:dyDescent="0.55000000000000004">
      <c r="B12" s="5" t="s">
        <v>222</v>
      </c>
      <c r="C12" s="5" t="s">
        <v>223</v>
      </c>
      <c r="D12" s="5" t="s">
        <v>224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ALRM | Alarm system |</v>
      </c>
      <c r="Q12" s="5" t="str">
        <f t="shared" si="3"/>
        <v>| ALRM | Alarm system | Sistema de alarma |</v>
      </c>
      <c r="R12" s="5" t="str">
        <f t="shared" si="5"/>
        <v>| ALRM | Alarm system | Sistema de alarma |  |</v>
      </c>
      <c r="S12" s="5" t="str">
        <f t="shared" si="6"/>
        <v>| ALRM | Alarm system | Sistema de alarma |  | |</v>
      </c>
      <c r="T12" s="5" t="str">
        <f t="shared" si="1"/>
        <v>| ALRM | Alarm system | Sistema de alarma |  | | |</v>
      </c>
      <c r="U12" s="5"/>
      <c r="V12" s="5" t="str">
        <f t="shared" si="0"/>
        <v>| ALRM | Alarm system | Sistema de alarma |  | | | | | | | | | |</v>
      </c>
    </row>
    <row r="13" spans="2:22" x14ac:dyDescent="0.55000000000000004">
      <c r="B13" s="5" t="s">
        <v>225</v>
      </c>
      <c r="C13" s="5" t="s">
        <v>226</v>
      </c>
      <c r="D13" s="5" t="s">
        <v>227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ANNO | Annotation |</v>
      </c>
      <c r="Q13" s="5" t="str">
        <f t="shared" si="3"/>
        <v>| ANNO | Annotation | Anotación |</v>
      </c>
      <c r="R13" s="5" t="str">
        <f t="shared" si="5"/>
        <v>| ANNO | Annotation | Anotación |  |</v>
      </c>
      <c r="S13" s="5" t="str">
        <f t="shared" si="6"/>
        <v>| ANNO | Annotation | Anotación |  | |</v>
      </c>
      <c r="T13" s="5" t="str">
        <f t="shared" si="1"/>
        <v>| ANNO | Annotation | Anotación |  | | |</v>
      </c>
      <c r="U13" s="5"/>
      <c r="V13" s="5" t="str">
        <f t="shared" si="0"/>
        <v>| ANNO | Annotation | Anotación |  | | | | | | | | | |</v>
      </c>
    </row>
    <row r="14" spans="2:22" x14ac:dyDescent="0.55000000000000004">
      <c r="B14" s="5" t="s">
        <v>228</v>
      </c>
      <c r="C14" s="5" t="s">
        <v>229</v>
      </c>
      <c r="D14" s="5" t="s">
        <v>230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AREA | Area |</v>
      </c>
      <c r="Q14" s="5" t="str">
        <f t="shared" si="3"/>
        <v>| AREA | Area | Área |</v>
      </c>
      <c r="R14" s="5" t="str">
        <f t="shared" si="5"/>
        <v>| AREA | Area | Área |  |</v>
      </c>
      <c r="S14" s="5" t="str">
        <f t="shared" si="6"/>
        <v>| AREA | Area | Área |  | |</v>
      </c>
      <c r="T14" s="5" t="str">
        <f t="shared" si="1"/>
        <v>| AREA | Area | Área |  | | |</v>
      </c>
      <c r="U14" s="5"/>
      <c r="V14" s="5" t="str">
        <f t="shared" si="0"/>
        <v>| AREA | Area | Área |  | | | | | | | | | |</v>
      </c>
    </row>
    <row r="15" spans="2:22" x14ac:dyDescent="0.55000000000000004">
      <c r="B15" s="5" t="s">
        <v>231</v>
      </c>
      <c r="C15" s="5" t="s">
        <v>232</v>
      </c>
      <c r="D15" s="5" t="s">
        <v>233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AUXL | Auxiliary systems | Sistemas auxiliares |</v>
      </c>
      <c r="R15" s="5"/>
      <c r="S15" s="5"/>
      <c r="T15" s="5"/>
      <c r="U15" s="5"/>
      <c r="V15" s="5"/>
    </row>
    <row r="16" spans="2:22" x14ac:dyDescent="0.55000000000000004">
      <c r="B16" s="5" t="s">
        <v>234</v>
      </c>
      <c r="C16" s="5" t="s">
        <v>235</v>
      </c>
      <c r="D16" s="5" t="s">
        <v>236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BARR | Barrier | Barrera |</v>
      </c>
      <c r="R16" s="5"/>
      <c r="S16" s="5"/>
      <c r="T16" s="5"/>
      <c r="U16" s="5"/>
      <c r="V16" s="5"/>
    </row>
    <row r="17" spans="2:22" ht="30.75" x14ac:dyDescent="0.55000000000000004">
      <c r="B17" s="5" t="s">
        <v>237</v>
      </c>
      <c r="C17" s="5" t="s">
        <v>238</v>
      </c>
      <c r="D17" s="5" t="s">
        <v>239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BCST | Broadcast related system (radio or TV) | Sistema de radiodifusión (radio o TV) |</v>
      </c>
      <c r="R17" s="5"/>
      <c r="S17" s="5"/>
      <c r="T17" s="5"/>
      <c r="U17" s="5"/>
      <c r="V17" s="5"/>
    </row>
    <row r="18" spans="2:22" x14ac:dyDescent="0.55000000000000004">
      <c r="B18" s="5" t="s">
        <v>240</v>
      </c>
      <c r="C18" s="5" t="s">
        <v>241</v>
      </c>
      <c r="D18" s="5" t="s">
        <v>242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BEAM | Beams | Vigas |</v>
      </c>
      <c r="R18" s="5"/>
      <c r="S18" s="5"/>
      <c r="T18" s="5"/>
      <c r="U18" s="5"/>
      <c r="V18" s="5"/>
    </row>
    <row r="19" spans="2:22" x14ac:dyDescent="0.55000000000000004">
      <c r="B19" s="5" t="s">
        <v>243</v>
      </c>
      <c r="C19" s="5" t="s">
        <v>244</v>
      </c>
      <c r="D19" s="5" t="s">
        <v>245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BELL | Bell system | Sistema de timbres |</v>
      </c>
      <c r="R19" s="5"/>
      <c r="S19" s="5"/>
      <c r="T19" s="5"/>
      <c r="U19" s="5"/>
      <c r="V19" s="5"/>
    </row>
    <row r="20" spans="2:22" x14ac:dyDescent="0.55000000000000004">
      <c r="B20" s="5" t="s">
        <v>246</v>
      </c>
      <c r="C20" s="5" t="s">
        <v>247</v>
      </c>
      <c r="D20" s="5" t="s">
        <v>248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BLDG | Buildings and primary structures | Edificios y estructuras primarias |</v>
      </c>
      <c r="R20" s="5"/>
      <c r="S20" s="5"/>
      <c r="T20" s="5"/>
      <c r="U20" s="5"/>
      <c r="V20" s="5"/>
    </row>
    <row r="21" spans="2:22" x14ac:dyDescent="0.55000000000000004">
      <c r="B21" s="5" t="s">
        <v>249</v>
      </c>
      <c r="C21" s="5" t="s">
        <v>250</v>
      </c>
      <c r="D21" s="5" t="s">
        <v>251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BLIN | Baseline | Línea base |</v>
      </c>
      <c r="R21" s="5"/>
      <c r="S21" s="5"/>
      <c r="T21" s="5"/>
      <c r="U21" s="5"/>
      <c r="V21" s="5"/>
    </row>
    <row r="22" spans="2:22" x14ac:dyDescent="0.55000000000000004">
      <c r="B22" s="5" t="s">
        <v>252</v>
      </c>
      <c r="C22" s="5" t="s">
        <v>253</v>
      </c>
      <c r="D22" s="5" t="s">
        <v>254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BNDY | Political boundaries | Límites políticos |</v>
      </c>
      <c r="R22" s="5"/>
      <c r="S22" s="5"/>
      <c r="T22" s="5"/>
      <c r="U22" s="5"/>
      <c r="V22" s="5"/>
    </row>
    <row r="23" spans="2:22" x14ac:dyDescent="0.55000000000000004">
      <c r="B23" s="5" t="s">
        <v>255</v>
      </c>
      <c r="C23" s="5" t="s">
        <v>256</v>
      </c>
      <c r="D23" s="5" t="s">
        <v>257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BORE | Borings | Perforaciones |</v>
      </c>
      <c r="R23" s="5"/>
      <c r="S23" s="5"/>
      <c r="T23" s="5"/>
      <c r="U23" s="5"/>
      <c r="V23" s="5"/>
    </row>
    <row r="24" spans="2:22" x14ac:dyDescent="0.55000000000000004">
      <c r="B24" s="5" t="s">
        <v>258</v>
      </c>
      <c r="C24" s="5" t="s">
        <v>259</v>
      </c>
      <c r="D24" s="5" t="s">
        <v>260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BRCG | Bracing | Arriostramiento |</v>
      </c>
      <c r="R24" s="5"/>
      <c r="S24" s="5"/>
      <c r="T24" s="5"/>
      <c r="U24" s="5"/>
      <c r="V24" s="5"/>
    </row>
    <row r="25" spans="2:22" x14ac:dyDescent="0.55000000000000004">
      <c r="B25" s="5" t="s">
        <v>261</v>
      </c>
      <c r="C25" s="5" t="s">
        <v>262</v>
      </c>
      <c r="D25" s="5" t="s">
        <v>263</v>
      </c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BRDG | Bridge | Puente |</v>
      </c>
      <c r="R25" s="5"/>
      <c r="S25" s="5"/>
      <c r="T25" s="5"/>
      <c r="U25" s="5"/>
      <c r="V25" s="5"/>
    </row>
    <row r="26" spans="2:22" x14ac:dyDescent="0.55000000000000004">
      <c r="B26" s="4" t="s">
        <v>264</v>
      </c>
      <c r="C26" s="4" t="s">
        <v>265</v>
      </c>
      <c r="D26" s="4" t="s">
        <v>266</v>
      </c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BRIN | Brine systems | Sistemas de salmuera |</v>
      </c>
      <c r="R26" s="5"/>
      <c r="S26" s="5"/>
      <c r="T26" s="5"/>
      <c r="U26" s="5"/>
      <c r="V26" s="5"/>
    </row>
    <row r="27" spans="2:22" x14ac:dyDescent="0.55000000000000004">
      <c r="B27" s="4" t="s">
        <v>267</v>
      </c>
      <c r="C27" s="4" t="s">
        <v>268</v>
      </c>
      <c r="D27" s="4" t="s">
        <v>269</v>
      </c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BRKL | Break / fault lines | Líneas de rotura/falla |</v>
      </c>
      <c r="R27" s="5"/>
      <c r="S27" s="5"/>
      <c r="T27" s="5"/>
      <c r="U27" s="5"/>
      <c r="V27" s="5"/>
    </row>
    <row r="28" spans="2:22" x14ac:dyDescent="0.55000000000000004">
      <c r="B28" s="4" t="s">
        <v>270</v>
      </c>
      <c r="C28" s="4" t="s">
        <v>271</v>
      </c>
      <c r="D28" s="4" t="s">
        <v>272</v>
      </c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BRLN | Building restriction line | Línea de restricción de edificaciones |</v>
      </c>
      <c r="R28" s="5"/>
      <c r="S28" s="5"/>
      <c r="T28" s="5"/>
      <c r="U28" s="5"/>
      <c r="V28" s="5"/>
    </row>
    <row r="29" spans="2:22" x14ac:dyDescent="0.55000000000000004">
      <c r="B29" s="4" t="s">
        <v>273</v>
      </c>
      <c r="C29" s="4" t="s">
        <v>274</v>
      </c>
      <c r="D29" s="4" t="s">
        <v>275</v>
      </c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BZNA | Buffer zone area | Zona de amortiguamiento |</v>
      </c>
      <c r="R29" s="5"/>
      <c r="S29" s="5"/>
      <c r="T29" s="5"/>
      <c r="U29" s="5"/>
      <c r="V29" s="5"/>
    </row>
    <row r="30" spans="2:22" x14ac:dyDescent="0.55000000000000004">
      <c r="B30" s="4" t="s">
        <v>276</v>
      </c>
      <c r="C30" s="4" t="s">
        <v>277</v>
      </c>
      <c r="D30" s="4" t="s">
        <v>278</v>
      </c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CABL | Cable systems | Sistemas de cable |</v>
      </c>
      <c r="R30" s="5"/>
      <c r="S30" s="5"/>
      <c r="T30" s="5"/>
      <c r="U30" s="5"/>
      <c r="V30" s="5"/>
    </row>
    <row r="31" spans="2:22" x14ac:dyDescent="0.55000000000000004">
      <c r="B31" s="4" t="s">
        <v>279</v>
      </c>
      <c r="C31" s="4" t="s">
        <v>280</v>
      </c>
      <c r="D31" s="4" t="s">
        <v>281</v>
      </c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CATH | Cathodic Protection System | Sistema de protección catódica |</v>
      </c>
      <c r="R31" s="5"/>
      <c r="S31" s="5"/>
      <c r="T31" s="5"/>
      <c r="U31" s="5"/>
      <c r="V31" s="5"/>
    </row>
    <row r="32" spans="2:22" x14ac:dyDescent="0.55000000000000004">
      <c r="B32" s="5" t="s">
        <v>282</v>
      </c>
      <c r="C32" s="4" t="s">
        <v>283</v>
      </c>
      <c r="D32" s="4" t="s">
        <v>284</v>
      </c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CATV | Cable television system | Sistema de televisión por cable |</v>
      </c>
      <c r="R32" s="5"/>
      <c r="S32" s="5"/>
      <c r="T32" s="5"/>
      <c r="U32" s="5"/>
      <c r="V32" s="5"/>
    </row>
    <row r="33" spans="2:22" x14ac:dyDescent="0.55000000000000004">
      <c r="B33" s="5" t="s">
        <v>285</v>
      </c>
      <c r="C33" s="4" t="s">
        <v>286</v>
      </c>
      <c r="D33" s="4" t="s">
        <v>287</v>
      </c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CCTV | Closed-circuit television system | Sistema de circuito cerrado de televisión |</v>
      </c>
      <c r="R33" s="5"/>
      <c r="S33" s="5"/>
      <c r="T33" s="5"/>
      <c r="U33" s="5"/>
      <c r="V33" s="5"/>
    </row>
    <row r="34" spans="2:22" x14ac:dyDescent="0.55000000000000004">
      <c r="B34" s="4" t="s">
        <v>288</v>
      </c>
      <c r="C34" s="4" t="s">
        <v>289</v>
      </c>
      <c r="D34" s="4" t="s">
        <v>290</v>
      </c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CEME | Cemetery | Cementerio |</v>
      </c>
      <c r="R34" s="5"/>
      <c r="S34" s="5"/>
      <c r="T34" s="5"/>
      <c r="U34" s="5"/>
      <c r="V34" s="5"/>
    </row>
    <row r="35" spans="2:22" x14ac:dyDescent="0.55000000000000004">
      <c r="B35" s="4" t="s">
        <v>291</v>
      </c>
      <c r="C35" s="4" t="s">
        <v>292</v>
      </c>
      <c r="D35" s="4" t="s">
        <v>293</v>
      </c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CHAN | Navigable channels | Canales navegables |</v>
      </c>
      <c r="R35" s="5"/>
      <c r="S35" s="5"/>
      <c r="T35" s="5"/>
      <c r="U35" s="5"/>
      <c r="V35" s="5"/>
    </row>
    <row r="36" spans="2:22" x14ac:dyDescent="0.55000000000000004">
      <c r="B36" s="4" t="s">
        <v>294</v>
      </c>
      <c r="C36" s="4" t="s">
        <v>295</v>
      </c>
      <c r="D36" s="4" t="s">
        <v>296</v>
      </c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CHEM | Chemical | Productos químicos |</v>
      </c>
      <c r="R36" s="5"/>
      <c r="S36" s="5"/>
      <c r="T36" s="5"/>
      <c r="U36" s="5"/>
      <c r="V36" s="5"/>
    </row>
    <row r="37" spans="2:22" x14ac:dyDescent="0.55000000000000004">
      <c r="B37" s="5" t="s">
        <v>297</v>
      </c>
      <c r="C37" s="4" t="s">
        <v>298</v>
      </c>
      <c r="D37" s="4" t="s">
        <v>299</v>
      </c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CHIM | Chimneys and stacks | Chimeneas y conductos |</v>
      </c>
      <c r="R37" s="5"/>
      <c r="S37" s="5"/>
      <c r="T37" s="5"/>
      <c r="U37" s="5"/>
      <c r="V37" s="5"/>
    </row>
    <row r="38" spans="2:22" x14ac:dyDescent="0.55000000000000004">
      <c r="B38" s="5" t="s">
        <v>300</v>
      </c>
      <c r="C38" s="5" t="s">
        <v>301</v>
      </c>
      <c r="D38" s="4" t="s">
        <v>302</v>
      </c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CLNG | Ceiling | Techo |</v>
      </c>
      <c r="R38" s="5"/>
      <c r="S38" s="5"/>
      <c r="T38" s="5"/>
      <c r="U38" s="5"/>
      <c r="V38" s="5"/>
    </row>
    <row r="39" spans="2:22" x14ac:dyDescent="0.55000000000000004">
      <c r="B39" s="4" t="s">
        <v>303</v>
      </c>
      <c r="C39" s="4" t="s">
        <v>304</v>
      </c>
      <c r="D39" s="4" t="s">
        <v>305</v>
      </c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 t="str">
        <f t="shared" si="3"/>
        <v>| CLOK | Clock system | Sistema de relojería |</v>
      </c>
      <c r="R39" s="5"/>
      <c r="S39" s="5"/>
      <c r="T39" s="5"/>
      <c r="U39" s="5"/>
      <c r="V39" s="5"/>
    </row>
    <row r="40" spans="2:22" x14ac:dyDescent="0.55000000000000004">
      <c r="B40" s="4" t="s">
        <v>306</v>
      </c>
      <c r="C40" s="4" t="s">
        <v>307</v>
      </c>
      <c r="D40" s="4" t="s">
        <v>308</v>
      </c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 t="str">
        <f t="shared" si="3"/>
        <v>| CMPA | Compressed / processed air systems | Sistemas de aire comprimido/procesado |</v>
      </c>
      <c r="R40" s="5"/>
      <c r="S40" s="5"/>
      <c r="T40" s="5"/>
      <c r="U40" s="5"/>
      <c r="V40" s="5"/>
    </row>
    <row r="41" spans="2:22" x14ac:dyDescent="0.55000000000000004">
      <c r="B41" s="4" t="s">
        <v>309</v>
      </c>
      <c r="C41" s="4" t="s">
        <v>310</v>
      </c>
      <c r="D41" s="4" t="s">
        <v>311</v>
      </c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 t="str">
        <f t="shared" si="3"/>
        <v>| CMPR | Computer | Ordenador |</v>
      </c>
      <c r="R41" s="5"/>
      <c r="S41" s="5"/>
      <c r="T41" s="5"/>
      <c r="U41" s="5"/>
      <c r="V41" s="5"/>
    </row>
    <row r="42" spans="2:22" x14ac:dyDescent="0.55000000000000004">
      <c r="B42" s="4" t="s">
        <v>312</v>
      </c>
      <c r="C42" s="4" t="s">
        <v>313</v>
      </c>
      <c r="D42" s="4" t="s">
        <v>314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 t="str">
        <f t="shared" si="3"/>
        <v>| CNDW | Condenser water systems | Sistemas de agua del condensador |</v>
      </c>
      <c r="R42" s="5"/>
      <c r="S42" s="5"/>
      <c r="T42" s="5"/>
      <c r="U42" s="5"/>
      <c r="V42" s="5"/>
    </row>
    <row r="43" spans="2:22" x14ac:dyDescent="0.55000000000000004">
      <c r="B43" s="4" t="s">
        <v>315</v>
      </c>
      <c r="C43" s="4" t="s">
        <v>316</v>
      </c>
      <c r="D43" s="4" t="s">
        <v>317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 t="str">
        <f t="shared" si="3"/>
        <v>| CO2S | CO2 system | Sistema de CO2 |</v>
      </c>
      <c r="R43" s="5"/>
      <c r="S43" s="5"/>
      <c r="T43" s="5"/>
      <c r="U43" s="5"/>
      <c r="V43" s="5"/>
    </row>
    <row r="44" spans="2:22" x14ac:dyDescent="0.55000000000000004">
      <c r="B44" s="4" t="s">
        <v>318</v>
      </c>
      <c r="C44" s="4" t="s">
        <v>319</v>
      </c>
      <c r="D44" s="4" t="s">
        <v>320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 t="str">
        <f t="shared" si="3"/>
        <v>| CODE | Code compliance plan | Plan de cumplimiento normativo |</v>
      </c>
      <c r="R44" s="5"/>
      <c r="S44" s="5"/>
      <c r="T44" s="5"/>
      <c r="U44" s="5"/>
      <c r="V44" s="5"/>
    </row>
    <row r="45" spans="2:22" x14ac:dyDescent="0.55000000000000004">
      <c r="B45" s="4" t="s">
        <v>321</v>
      </c>
      <c r="C45" s="4" t="s">
        <v>322</v>
      </c>
      <c r="D45" s="4" t="s">
        <v>323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103" si="7">_xlfn.CONCAT("| ",B45," | ",C45," |")</f>
        <v>| COLS | Columns |</v>
      </c>
      <c r="Q45" s="5" t="str">
        <f t="shared" si="3"/>
        <v>| COLS | Columns | Columnas |</v>
      </c>
      <c r="R45" s="5" t="str">
        <f t="shared" si="5"/>
        <v>| COLS | Columns | Columnas |  |</v>
      </c>
      <c r="S45" s="5" t="str">
        <f t="shared" si="6"/>
        <v>| COLS | Columns | Columnas |  | |</v>
      </c>
      <c r="T45" s="5" t="str">
        <f t="shared" si="1"/>
        <v>| COLS | Columns | Columnas |  | | |</v>
      </c>
      <c r="U45" s="5"/>
      <c r="V45" s="5" t="str">
        <f t="shared" ref="V45:V103" si="8">_xlfn.CONCAT("| ",B45," | ",C45," | ",D45," | ",E45," |",F45," |",G45," |",H45," |",I45," |",J45," |",K45," |",L45," |",M45," |",N45," |")</f>
        <v>| COLS | Columns | Columnas |  | | | | | | | | | |</v>
      </c>
    </row>
    <row r="46" spans="2:22" x14ac:dyDescent="0.55000000000000004">
      <c r="B46" s="4" t="s">
        <v>324</v>
      </c>
      <c r="C46" s="4" t="s">
        <v>325</v>
      </c>
      <c r="D46" s="4" t="s">
        <v>326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COMM | Communications |</v>
      </c>
      <c r="Q46" s="5" t="str">
        <f t="shared" si="3"/>
        <v>| COMM | Communications | Comunicaciones |</v>
      </c>
      <c r="R46" s="5" t="str">
        <f t="shared" si="5"/>
        <v>| COMM | Communications | Comunicaciones |  |</v>
      </c>
      <c r="S46" s="5" t="str">
        <f t="shared" si="6"/>
        <v>| COMM | Communications | Comunicaciones |  | |</v>
      </c>
      <c r="T46" s="5" t="str">
        <f t="shared" si="1"/>
        <v>| COMM | Communications | Comunicaciones |  | | |</v>
      </c>
      <c r="U46" s="5"/>
      <c r="V46" s="5" t="str">
        <f t="shared" si="8"/>
        <v>| COMM | Communications | Comunicaciones |  | | | | | | | | | |</v>
      </c>
    </row>
    <row r="47" spans="2:22" x14ac:dyDescent="0.55000000000000004">
      <c r="B47" s="4" t="s">
        <v>327</v>
      </c>
      <c r="C47" s="4" t="s">
        <v>328</v>
      </c>
      <c r="D47" s="4" t="s">
        <v>329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CONT | Controls and instrumentation |</v>
      </c>
      <c r="Q47" s="5" t="str">
        <f t="shared" si="3"/>
        <v>| CONT | Controls and instrumentation | Controles e instrumentación |</v>
      </c>
      <c r="R47" s="5" t="str">
        <f t="shared" si="5"/>
        <v>| CONT | Controls and instrumentation | Controles e instrumentación |  |</v>
      </c>
      <c r="S47" s="5" t="str">
        <f t="shared" si="6"/>
        <v>| CONT | Controls and instrumentation | Controles e instrumentación |  | |</v>
      </c>
      <c r="T47" s="5" t="str">
        <f t="shared" si="1"/>
        <v>| CONT | Controls and instrumentation | Controles e instrumentación |  | | |</v>
      </c>
      <c r="U47" s="5"/>
      <c r="V47" s="5" t="str">
        <f t="shared" si="8"/>
        <v>| CONT | Controls and instrumentation | Controles e instrumentación |  | | | | | | | | | |</v>
      </c>
    </row>
    <row r="48" spans="2:22" x14ac:dyDescent="0.55000000000000004">
      <c r="B48" s="4" t="s">
        <v>330</v>
      </c>
      <c r="C48" s="4" t="s">
        <v>331</v>
      </c>
      <c r="D48" s="4" t="s">
        <v>332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CONV | Conveying systems |</v>
      </c>
      <c r="Q48" s="5" t="str">
        <f t="shared" si="3"/>
        <v>| CONV | Conveying systems | Sistemas de transporte |</v>
      </c>
      <c r="R48" s="5" t="str">
        <f t="shared" si="5"/>
        <v>| CONV | Conveying systems | Sistemas de transporte |  |</v>
      </c>
      <c r="S48" s="5" t="str">
        <f t="shared" si="6"/>
        <v>| CONV | Conveying systems | Sistemas de transporte |  | |</v>
      </c>
      <c r="T48" s="5" t="str">
        <f t="shared" si="1"/>
        <v>| CONV | Conveying systems | Sistemas de transporte |  | | |</v>
      </c>
      <c r="U48" s="5"/>
      <c r="V48" s="5" t="str">
        <f t="shared" si="8"/>
        <v>| CONV | Conveying systems | Sistemas de transporte |  | | | | | | | | | |</v>
      </c>
    </row>
    <row r="49" spans="2:22" x14ac:dyDescent="0.55000000000000004">
      <c r="B49" s="4" t="s">
        <v>333</v>
      </c>
      <c r="C49" s="4" t="s">
        <v>334</v>
      </c>
      <c r="D49" s="4" t="s">
        <v>335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CRPT | Carpet / carpet tiles |</v>
      </c>
      <c r="Q49" s="5" t="str">
        <f t="shared" si="3"/>
        <v>| CRPT | Carpet / carpet tiles | Alfombra/losetas de moqueta |</v>
      </c>
      <c r="R49" s="5" t="str">
        <f t="shared" si="5"/>
        <v>| CRPT | Carpet / carpet tiles | Alfombra/losetas de moqueta |  |</v>
      </c>
      <c r="S49" s="5" t="str">
        <f t="shared" si="6"/>
        <v>| CRPT | Carpet / carpet tiles | Alfombra/losetas de moqueta |  | |</v>
      </c>
      <c r="T49" s="5" t="str">
        <f t="shared" si="1"/>
        <v>| CRPT | Carpet / carpet tiles | Alfombra/losetas de moqueta |  | | |</v>
      </c>
      <c r="U49" s="5"/>
      <c r="V49" s="5" t="str">
        <f t="shared" si="8"/>
        <v>| CRPT | Carpet / carpet tiles | Alfombra/losetas de moqueta |  | | | | | | | | | |</v>
      </c>
    </row>
    <row r="50" spans="2:22" x14ac:dyDescent="0.55000000000000004">
      <c r="B50" s="4" t="s">
        <v>336</v>
      </c>
      <c r="C50" s="4" t="s">
        <v>337</v>
      </c>
      <c r="D50" s="4" t="s">
        <v>338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CSWK | Casework |</v>
      </c>
      <c r="Q50" s="5" t="str">
        <f t="shared" si="3"/>
        <v>| CSWK | Casework | Carpintería |</v>
      </c>
      <c r="R50" s="5" t="str">
        <f t="shared" si="5"/>
        <v>| CSWK | Casework | Carpintería |  |</v>
      </c>
      <c r="S50" s="5" t="str">
        <f t="shared" si="6"/>
        <v>| CSWK | Casework | Carpintería |  | |</v>
      </c>
      <c r="T50" s="5" t="str">
        <f t="shared" si="1"/>
        <v>| CSWK | Casework | Carpintería |  | | |</v>
      </c>
      <c r="U50" s="5"/>
      <c r="V50" s="5" t="str">
        <f t="shared" si="8"/>
        <v>| CSWK | Casework | Carpintería |  | | | | | | | | | |</v>
      </c>
    </row>
    <row r="51" spans="2:22" x14ac:dyDescent="0.55000000000000004">
      <c r="B51" s="4" t="s">
        <v>339</v>
      </c>
      <c r="C51" s="4" t="s">
        <v>340</v>
      </c>
      <c r="D51" s="4" t="s">
        <v>341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CTRL | Control points |</v>
      </c>
      <c r="Q51" s="5" t="str">
        <f t="shared" si="3"/>
        <v>| CTRL | Control points | Puntos de control |</v>
      </c>
      <c r="R51" s="5" t="str">
        <f t="shared" si="5"/>
        <v>| CTRL | Control points | Puntos de control |  |</v>
      </c>
      <c r="S51" s="5" t="str">
        <f t="shared" si="6"/>
        <v>| CTRL | Control points | Puntos de control |  | |</v>
      </c>
      <c r="T51" s="5" t="str">
        <f t="shared" si="1"/>
        <v>| CTRL | Control points | Puntos de control |  | | |</v>
      </c>
      <c r="U51" s="5"/>
      <c r="V51" s="5" t="str">
        <f t="shared" si="8"/>
        <v>| CTRL | Control points | Puntos de control |  | | | | | | | | | |</v>
      </c>
    </row>
    <row r="52" spans="2:22" x14ac:dyDescent="0.55000000000000004">
      <c r="B52" s="4" t="s">
        <v>342</v>
      </c>
      <c r="C52" s="4" t="s">
        <v>343</v>
      </c>
      <c r="D52" s="4" t="s">
        <v>344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CWTR | Chilled water systems |</v>
      </c>
      <c r="Q52" s="5" t="str">
        <f t="shared" si="3"/>
        <v>| CWTR | Chilled water systems | Sistemas de agua refrigerada |</v>
      </c>
      <c r="R52" s="5" t="str">
        <f t="shared" si="5"/>
        <v>| CWTR | Chilled water systems | Sistemas de agua refrigerada |  |</v>
      </c>
      <c r="S52" s="5" t="str">
        <f t="shared" si="6"/>
        <v>| CWTR | Chilled water systems | Sistemas de agua refrigerada |  | |</v>
      </c>
      <c r="T52" s="5" t="str">
        <f t="shared" si="1"/>
        <v>| CWTR | Chilled water systems | Sistemas de agua refrigerada |  | | |</v>
      </c>
      <c r="U52" s="5"/>
      <c r="V52" s="5" t="str">
        <f t="shared" si="8"/>
        <v>| CWTR | Chilled water systems | Sistemas de agua refrigerada |  | | | | | | | | | |</v>
      </c>
    </row>
    <row r="53" spans="2:22" x14ac:dyDescent="0.55000000000000004">
      <c r="B53" s="4" t="s">
        <v>345</v>
      </c>
      <c r="C53" s="4" t="s">
        <v>346</v>
      </c>
      <c r="D53" s="4" t="s">
        <v>347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DATA | Data / LAN system |</v>
      </c>
      <c r="Q53" s="5" t="str">
        <f t="shared" si="3"/>
        <v>| DATA | Data / LAN system | Datos/LAN Sistema |</v>
      </c>
      <c r="R53" s="5" t="str">
        <f t="shared" si="5"/>
        <v>| DATA | Data / LAN system | Datos/LAN Sistema |  |</v>
      </c>
      <c r="S53" s="5" t="str">
        <f t="shared" si="6"/>
        <v>| DATA | Data / LAN system | Datos/LAN Sistema |  | |</v>
      </c>
      <c r="T53" s="5" t="str">
        <f t="shared" si="1"/>
        <v>| DATA | Data / LAN system | Datos/LAN Sistema |  | | |</v>
      </c>
      <c r="U53" s="5"/>
      <c r="V53" s="5" t="str">
        <f t="shared" si="8"/>
        <v>| DATA | Data / LAN system | Datos/LAN Sistema |  | | | | | | | | | |</v>
      </c>
    </row>
    <row r="54" spans="2:22" x14ac:dyDescent="0.55000000000000004">
      <c r="B54" s="4" t="s">
        <v>348</v>
      </c>
      <c r="C54" s="4" t="s">
        <v>349</v>
      </c>
      <c r="D54" s="4" t="s">
        <v>350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DECK | Deck |</v>
      </c>
      <c r="Q54" s="5" t="str">
        <f t="shared" si="3"/>
        <v>| DECK | Deck | Cubierta |</v>
      </c>
      <c r="R54" s="5" t="str">
        <f t="shared" si="5"/>
        <v>| DECK | Deck | Cubierta |  |</v>
      </c>
      <c r="S54" s="5" t="str">
        <f t="shared" si="6"/>
        <v>| DECK | Deck | Cubierta |  | |</v>
      </c>
      <c r="T54" s="5" t="str">
        <f t="shared" si="1"/>
        <v>| DECK | Deck | Cubierta |  | | |</v>
      </c>
      <c r="U54" s="5"/>
      <c r="V54" s="5" t="str">
        <f t="shared" si="8"/>
        <v>| DECK | Deck | Cubierta |  | | | | | | | | | |</v>
      </c>
    </row>
    <row r="55" spans="2:22" x14ac:dyDescent="0.55000000000000004">
      <c r="B55" s="4" t="s">
        <v>351</v>
      </c>
      <c r="C55" s="4" t="s">
        <v>352</v>
      </c>
      <c r="D55" s="4" t="s">
        <v>353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DETL | Detail |</v>
      </c>
      <c r="Q55" s="5" t="str">
        <f t="shared" si="3"/>
        <v>| DETL | Detail | Detalle |</v>
      </c>
      <c r="R55" s="5" t="str">
        <f t="shared" si="5"/>
        <v>| DETL | Detail | Detalle |  |</v>
      </c>
      <c r="S55" s="5" t="str">
        <f t="shared" si="6"/>
        <v>| DETL | Detail | Detalle |  | |</v>
      </c>
      <c r="T55" s="5" t="str">
        <f t="shared" si="1"/>
        <v>| DETL | Detail | Detalle |  | | |</v>
      </c>
      <c r="U55" s="5"/>
      <c r="V55" s="5" t="str">
        <f t="shared" si="8"/>
        <v>| DETL | Detail | Detalle |  | | | | | | | | | |</v>
      </c>
    </row>
    <row r="56" spans="2:22" x14ac:dyDescent="0.55000000000000004">
      <c r="B56" s="4" t="s">
        <v>354</v>
      </c>
      <c r="C56" s="4" t="s">
        <v>355</v>
      </c>
      <c r="D56" s="4" t="s">
        <v>356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DFLD | Drain fields |</v>
      </c>
      <c r="Q56" s="5" t="str">
        <f t="shared" si="3"/>
        <v>| DFLD | Drain fields | Campos de drenaje |</v>
      </c>
      <c r="R56" s="5" t="str">
        <f t="shared" si="5"/>
        <v>| DFLD | Drain fields | Campos de drenaje |  |</v>
      </c>
      <c r="S56" s="5" t="str">
        <f t="shared" si="6"/>
        <v>| DFLD | Drain fields | Campos de drenaje |  | |</v>
      </c>
      <c r="T56" s="5" t="str">
        <f t="shared" si="1"/>
        <v>| DFLD | Drain fields | Campos de drenaje |  | | |</v>
      </c>
      <c r="U56" s="5"/>
      <c r="V56" s="5" t="str">
        <f t="shared" si="8"/>
        <v>| DFLD | Drain fields | Campos de drenaje |  | | | | | | | | | |</v>
      </c>
    </row>
    <row r="57" spans="2:22" x14ac:dyDescent="0.55000000000000004">
      <c r="B57" s="4" t="s">
        <v>357</v>
      </c>
      <c r="C57" s="4" t="s">
        <v>358</v>
      </c>
      <c r="D57" s="4" t="s">
        <v>359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DIAG | Diagrams |</v>
      </c>
      <c r="Q57" s="5" t="str">
        <f t="shared" si="3"/>
        <v>| DIAG | Diagrams | Diagramas |</v>
      </c>
      <c r="R57" s="5" t="str">
        <f t="shared" si="5"/>
        <v>| DIAG | Diagrams | Diagramas |  |</v>
      </c>
      <c r="S57" s="5" t="str">
        <f t="shared" si="6"/>
        <v>| DIAG | Diagrams | Diagramas |  | |</v>
      </c>
      <c r="T57" s="5" t="str">
        <f t="shared" si="1"/>
        <v>| DIAG | Diagrams | Diagramas |  | | |</v>
      </c>
      <c r="U57" s="5"/>
      <c r="V57" s="5" t="str">
        <f t="shared" si="8"/>
        <v>| DIAG | Diagrams | Diagramas |  | | | | | | | | | |</v>
      </c>
    </row>
    <row r="58" spans="2:22" x14ac:dyDescent="0.55000000000000004">
      <c r="B58" s="4" t="s">
        <v>360</v>
      </c>
      <c r="C58" s="4" t="s">
        <v>361</v>
      </c>
      <c r="D58" s="4" t="s">
        <v>362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DICT | Dictation system |</v>
      </c>
      <c r="Q58" s="5" t="str">
        <f t="shared" si="3"/>
        <v>| DICT | Dictation system | Sistema de dictado |</v>
      </c>
      <c r="R58" s="5" t="str">
        <f t="shared" si="5"/>
        <v>| DICT | Dictation system | Sistema de dictado |  |</v>
      </c>
      <c r="S58" s="5" t="str">
        <f t="shared" si="6"/>
        <v>| DICT | Dictation system | Sistema de dictado |  | |</v>
      </c>
      <c r="T58" s="5" t="str">
        <f t="shared" si="1"/>
        <v>| DICT | Dictation system | Sistema de dictado |  | | |</v>
      </c>
      <c r="U58" s="5"/>
      <c r="V58" s="5" t="str">
        <f t="shared" si="8"/>
        <v>| DICT | Dictation system | Sistema de dictado |  | | | | | | | | | |</v>
      </c>
    </row>
    <row r="59" spans="2:22" x14ac:dyDescent="0.55000000000000004">
      <c r="B59" s="4" t="s">
        <v>363</v>
      </c>
      <c r="C59" s="4" t="s">
        <v>364</v>
      </c>
      <c r="D59" s="4" t="s">
        <v>365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DOMW | Domestic water systems |</v>
      </c>
      <c r="Q59" s="5" t="str">
        <f t="shared" si="3"/>
        <v>| DOMW | Domestic water systems | Sistemas de agua potable |</v>
      </c>
      <c r="R59" s="5" t="str">
        <f t="shared" si="5"/>
        <v>| DOMW | Domestic water systems | Sistemas de agua potable |  |</v>
      </c>
      <c r="S59" s="5" t="str">
        <f t="shared" si="6"/>
        <v>| DOMW | Domestic water systems | Sistemas de agua potable |  | |</v>
      </c>
      <c r="T59" s="5" t="str">
        <f t="shared" si="1"/>
        <v>| DOMW | Domestic water systems | Sistemas de agua potable |  | | |</v>
      </c>
      <c r="U59" s="5"/>
      <c r="V59" s="5" t="str">
        <f t="shared" si="8"/>
        <v>| DOMW | Domestic water systems | Sistemas de agua potable |  | | | | | | | | | |</v>
      </c>
    </row>
    <row r="60" spans="2:22" x14ac:dyDescent="0.55000000000000004">
      <c r="B60" s="4" t="s">
        <v>366</v>
      </c>
      <c r="C60" s="4" t="s">
        <v>367</v>
      </c>
      <c r="D60" s="4" t="s">
        <v>368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DOOR | Doors |</v>
      </c>
      <c r="Q60" s="5" t="str">
        <f t="shared" si="3"/>
        <v>| DOOR | Doors | Puertas |</v>
      </c>
      <c r="R60" s="5" t="str">
        <f t="shared" si="5"/>
        <v>| DOOR | Doors | Puertas |  |</v>
      </c>
      <c r="S60" s="5" t="str">
        <f t="shared" si="6"/>
        <v>| DOOR | Doors | Puertas |  | |</v>
      </c>
      <c r="T60" s="5" t="str">
        <f t="shared" si="1"/>
        <v>| DOOR | Doors | Puertas |  | | |</v>
      </c>
      <c r="U60" s="5"/>
      <c r="V60" s="5" t="str">
        <f t="shared" si="8"/>
        <v>| DOOR | Doors | Puertas |  | | | | | | | | | |</v>
      </c>
    </row>
    <row r="61" spans="2:22" x14ac:dyDescent="0.55000000000000004">
      <c r="B61" s="4" t="s">
        <v>369</v>
      </c>
      <c r="C61" s="4" t="s">
        <v>370</v>
      </c>
      <c r="D61" s="4" t="s">
        <v>371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DRAN | Drains |</v>
      </c>
      <c r="Q61" s="5" t="str">
        <f t="shared" si="3"/>
        <v>| DRAN | Drains | Desagües |</v>
      </c>
      <c r="R61" s="5" t="str">
        <f t="shared" si="5"/>
        <v>| DRAN | Drains | Desagües |  |</v>
      </c>
      <c r="S61" s="5" t="str">
        <f t="shared" si="6"/>
        <v>| DRAN | Drains | Desagües |  | |</v>
      </c>
      <c r="T61" s="5" t="str">
        <f t="shared" si="1"/>
        <v>| DRAN | Drains | Desagües |  | | |</v>
      </c>
      <c r="U61" s="5"/>
      <c r="V61" s="5" t="str">
        <f t="shared" si="8"/>
        <v>| DRAN | Drains | Desagües |  | | | | | | | | | |</v>
      </c>
    </row>
    <row r="62" spans="2:22" x14ac:dyDescent="0.55000000000000004">
      <c r="B62" s="4" t="s">
        <v>372</v>
      </c>
      <c r="C62" s="4" t="s">
        <v>373</v>
      </c>
      <c r="D62" s="4" t="s">
        <v>374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DRIV | Driveways |</v>
      </c>
      <c r="Q62" s="5" t="str">
        <f t="shared" si="3"/>
        <v>| DRIV | Driveways | Entradas de vehículos |</v>
      </c>
      <c r="R62" s="5" t="str">
        <f t="shared" si="5"/>
        <v>| DRIV | Driveways | Entradas de vehículos |  |</v>
      </c>
      <c r="S62" s="5" t="str">
        <f t="shared" si="6"/>
        <v>| DRIV | Driveways | Entradas de vehículos |  | |</v>
      </c>
      <c r="T62" s="5" t="str">
        <f t="shared" si="1"/>
        <v>| DRIV | Driveways | Entradas de vehículos |  | | |</v>
      </c>
      <c r="U62" s="5"/>
      <c r="V62" s="5" t="str">
        <f t="shared" si="8"/>
        <v>| DRIV | Driveways | Entradas de vehículos |  | | | | | | | | | |</v>
      </c>
    </row>
    <row r="63" spans="2:22" x14ac:dyDescent="0.55000000000000004">
      <c r="B63" s="4" t="s">
        <v>375</v>
      </c>
      <c r="C63" s="4" t="s">
        <v>376</v>
      </c>
      <c r="D63" s="4" t="s">
        <v>377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DTCH | Ditches or washes |</v>
      </c>
      <c r="Q63" s="5" t="str">
        <f t="shared" si="3"/>
        <v>| DTCH | Ditches or washes | Cunetas o lavaderos |</v>
      </c>
      <c r="R63" s="5" t="str">
        <f t="shared" si="5"/>
        <v>| DTCH | Ditches or washes | Cunetas o lavaderos |  |</v>
      </c>
      <c r="S63" s="5" t="str">
        <f t="shared" si="6"/>
        <v>| DTCH | Ditches or washes | Cunetas o lavaderos |  | |</v>
      </c>
      <c r="T63" s="5" t="str">
        <f t="shared" si="1"/>
        <v>| DTCH | Ditches or washes | Cunetas o lavaderos |  | | |</v>
      </c>
      <c r="U63" s="5"/>
      <c r="V63" s="5" t="str">
        <f t="shared" si="8"/>
        <v>| DTCH | Ditches or washes | Cunetas o lavaderos |  | | | | | | | | | |</v>
      </c>
    </row>
    <row r="64" spans="2:22" x14ac:dyDescent="0.55000000000000004">
      <c r="B64" s="4" t="s">
        <v>378</v>
      </c>
      <c r="C64" s="4" t="s">
        <v>379</v>
      </c>
      <c r="D64" s="4" t="s">
        <v>380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DUAL | Dual temperature systems |</v>
      </c>
      <c r="Q64" s="5" t="str">
        <f t="shared" si="3"/>
        <v>| DUAL | Dual temperature systems | Sistemas de doble temperatura |</v>
      </c>
      <c r="R64" s="5" t="str">
        <f t="shared" si="5"/>
        <v>| DUAL | Dual temperature systems | Sistemas de doble temperatura |  |</v>
      </c>
      <c r="S64" s="5" t="str">
        <f t="shared" si="6"/>
        <v>| DUAL | Dual temperature systems | Sistemas de doble temperatura |  | |</v>
      </c>
      <c r="T64" s="5" t="str">
        <f t="shared" si="1"/>
        <v>| DUAL | Dual temperature systems | Sistemas de doble temperatura |  | | |</v>
      </c>
      <c r="U64" s="5"/>
      <c r="V64" s="5" t="str">
        <f t="shared" si="8"/>
        <v>| DUAL | Dual temperature systems | Sistemas de doble temperatura |  | | | | | | | | | |</v>
      </c>
    </row>
    <row r="65" spans="2:22" ht="30.75" x14ac:dyDescent="0.55000000000000004">
      <c r="B65" s="4" t="s">
        <v>381</v>
      </c>
      <c r="C65" s="4" t="s">
        <v>382</v>
      </c>
      <c r="D65" s="4" t="s">
        <v>383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DUST | Dust and fume collection systems |</v>
      </c>
      <c r="Q65" s="5" t="str">
        <f t="shared" si="3"/>
        <v>| DUST | Dust and fume collection systems | Sistemas de recolección de polvo y humos |</v>
      </c>
      <c r="R65" s="5" t="str">
        <f t="shared" si="5"/>
        <v>| DUST | Dust and fume collection systems | Sistemas de recolección de polvo y humos |  |</v>
      </c>
      <c r="S65" s="5" t="str">
        <f t="shared" si="6"/>
        <v>| DUST | Dust and fume collection systems | Sistemas de recolección de polvo y humos |  | |</v>
      </c>
      <c r="T65" s="5" t="str">
        <f t="shared" si="1"/>
        <v>| DUST | Dust and fume collection systems | Sistemas de recolección de polvo y humos |  | | |</v>
      </c>
      <c r="U65" s="5"/>
      <c r="V65" s="5" t="str">
        <f t="shared" si="8"/>
        <v>| DUST | Dust and fume collection systems | Sistemas de recolección de polvo y humos |  | | | | | | | | | |</v>
      </c>
    </row>
    <row r="66" spans="2:22" ht="30.75" x14ac:dyDescent="0.55000000000000004">
      <c r="B66" s="4" t="s">
        <v>384</v>
      </c>
      <c r="C66" s="4" t="s">
        <v>385</v>
      </c>
      <c r="D66" s="4" t="s">
        <v>386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ELEC | Electrical system, telecom plan |</v>
      </c>
      <c r="Q66" s="5" t="str">
        <f t="shared" si="3"/>
        <v>| ELEC | Electrical system, telecom plan | Sistema eléctrico, plano de telecomunicaciones |</v>
      </c>
      <c r="R66" s="5" t="str">
        <f t="shared" si="5"/>
        <v>| ELEC | Electrical system, telecom plan | Sistema eléctrico, plano de telecomunicaciones |  |</v>
      </c>
      <c r="S66" s="5" t="str">
        <f t="shared" si="6"/>
        <v>| ELEC | Electrical system, telecom plan | Sistema eléctrico, plano de telecomunicaciones |  | |</v>
      </c>
      <c r="T66" s="5" t="str">
        <f t="shared" si="1"/>
        <v>| ELEC | Electrical system, telecom plan | Sistema eléctrico, plano de telecomunicaciones |  | | |</v>
      </c>
      <c r="U66" s="5"/>
      <c r="V66" s="5" t="str">
        <f t="shared" si="8"/>
        <v>| ELEC | Electrical system, telecom plan | Sistema eléctrico, plano de telecomunicaciones |  | | | | | | | | | |</v>
      </c>
    </row>
    <row r="67" spans="2:22" x14ac:dyDescent="0.55000000000000004">
      <c r="B67" s="4" t="s">
        <v>387</v>
      </c>
      <c r="C67" s="4" t="s">
        <v>388</v>
      </c>
      <c r="D67" s="4" t="s">
        <v>389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ELEV | Elevation |</v>
      </c>
      <c r="Q67" s="5" t="str">
        <f t="shared" si="3"/>
        <v>| ELEV | Elevation | Elevación |</v>
      </c>
      <c r="R67" s="5" t="str">
        <f t="shared" si="5"/>
        <v>| ELEV | Elevation | Elevación |  |</v>
      </c>
      <c r="S67" s="5" t="str">
        <f t="shared" si="6"/>
        <v>| ELEV | Elevation | Elevación |  | |</v>
      </c>
      <c r="T67" s="5" t="str">
        <f t="shared" si="1"/>
        <v>| ELEV | Elevation | Elevación |  | | |</v>
      </c>
      <c r="U67" s="5"/>
      <c r="V67" s="5" t="str">
        <f t="shared" si="8"/>
        <v>| ELEV | Elevation | Elevación |  | | | | | | | | | |</v>
      </c>
    </row>
    <row r="68" spans="2:22" x14ac:dyDescent="0.55000000000000004">
      <c r="B68" s="4" t="s">
        <v>390</v>
      </c>
      <c r="C68" s="4" t="s">
        <v>391</v>
      </c>
      <c r="D68" s="4" t="s">
        <v>392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ELHT | Electric heat |</v>
      </c>
      <c r="Q68" s="5" t="str">
        <f t="shared" si="3"/>
        <v>| ELHT | Electric heat | Calefacción eléctrica |</v>
      </c>
      <c r="R68" s="5" t="str">
        <f t="shared" si="5"/>
        <v>| ELHT | Electric heat | Calefacción eléctrica |  |</v>
      </c>
      <c r="S68" s="5" t="str">
        <f t="shared" si="6"/>
        <v>| ELHT | Electric heat | Calefacción eléctrica |  | |</v>
      </c>
      <c r="T68" s="5" t="str">
        <f t="shared" ref="T68:T103" si="9">_xlfn.CONCAT("| ",B68," | ",C68," | ",D68," | ",E68," |",F68," |",G68," |")</f>
        <v>| ELHT | Electric heat | Calefacción eléctrica |  | | |</v>
      </c>
      <c r="U68" s="5"/>
      <c r="V68" s="5" t="str">
        <f t="shared" si="8"/>
        <v>| ELHT | Electric heat | Calefacción eléctrica |  | | | | | | | | | |</v>
      </c>
    </row>
    <row r="69" spans="2:22" ht="30.75" x14ac:dyDescent="0.55000000000000004">
      <c r="B69" s="4" t="s">
        <v>393</v>
      </c>
      <c r="C69" s="4" t="s">
        <v>394</v>
      </c>
      <c r="D69" s="4" t="s">
        <v>395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EMCS | Energy monitoring control system |</v>
      </c>
      <c r="Q69" s="5" t="str">
        <f t="shared" ref="Q69:Q132" si="10">_xlfn.CONCAT("| ",B69," | ",C69," | ",D69," |")</f>
        <v>| EMCS | Energy monitoring control system | Sistema de control de monitoreo de energía |</v>
      </c>
      <c r="R69" s="5" t="str">
        <f t="shared" si="5"/>
        <v>| EMCS | Energy monitoring control system | Sistema de control de monitoreo de energía |  |</v>
      </c>
      <c r="S69" s="5" t="str">
        <f t="shared" si="6"/>
        <v>| EMCS | Energy monitoring control system | Sistema de control de monitoreo de energía |  | |</v>
      </c>
      <c r="T69" s="5" t="str">
        <f t="shared" si="9"/>
        <v>| EMCS | Energy monitoring control system | Sistema de control de monitoreo de energía |  | | |</v>
      </c>
      <c r="U69" s="5"/>
      <c r="V69" s="5" t="str">
        <f t="shared" si="8"/>
        <v>| EMCS | Energy monitoring control system | Sistema de control de monitoreo de energía |  | | | | | | | | | |</v>
      </c>
    </row>
    <row r="70" spans="2:22" x14ac:dyDescent="0.55000000000000004">
      <c r="B70" s="4" t="s">
        <v>396</v>
      </c>
      <c r="C70" s="4" t="s">
        <v>397</v>
      </c>
      <c r="D70" s="4" t="s">
        <v>398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ENER | Energy management systems |</v>
      </c>
      <c r="Q70" s="5" t="str">
        <f t="shared" si="10"/>
        <v>| ENER | Energy management systems | Sistemas de gestión de energía |</v>
      </c>
      <c r="R70" s="5" t="str">
        <f t="shared" ref="R70:R103" si="11">_xlfn.CONCAT("| ",B70," | ",C70," | ",D70," | ",E70," |")</f>
        <v>| ENER | Energy management systems | Sistemas de gestión de energía |  |</v>
      </c>
      <c r="S70" s="5" t="str">
        <f t="shared" ref="S70:S103" si="12">_xlfn.CONCAT("| ",B70," | ",C70," | ",D70," | ",E70," |",F70," |")</f>
        <v>| ENER | Energy management systems | Sistemas de gestión de energía |  | |</v>
      </c>
      <c r="T70" s="5" t="str">
        <f t="shared" si="9"/>
        <v>| ENER | Energy management systems | Sistemas de gestión de energía |  | | |</v>
      </c>
      <c r="U70" s="5"/>
      <c r="V70" s="5" t="str">
        <f t="shared" si="8"/>
        <v>| ENER | Energy management systems | Sistemas de gestión de energía |  | | | | | | | | | |</v>
      </c>
    </row>
    <row r="71" spans="2:22" x14ac:dyDescent="0.55000000000000004">
      <c r="B71" s="4" t="s">
        <v>399</v>
      </c>
      <c r="C71" s="4" t="s">
        <v>81</v>
      </c>
      <c r="D71" s="4" t="s">
        <v>400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EQPM | Equipment |</v>
      </c>
      <c r="Q71" s="5" t="str">
        <f t="shared" si="10"/>
        <v>| EQPM | Equipment | Equipo |</v>
      </c>
      <c r="R71" s="5" t="str">
        <f t="shared" si="11"/>
        <v>| EQPM | Equipment | Equipo |  |</v>
      </c>
      <c r="S71" s="5" t="str">
        <f t="shared" si="12"/>
        <v>| EQPM | Equipment | Equipo |  | |</v>
      </c>
      <c r="T71" s="5" t="str">
        <f t="shared" si="9"/>
        <v>| EQPM | Equipment | Equipo |  | | |</v>
      </c>
      <c r="U71" s="5"/>
      <c r="V71" s="5" t="str">
        <f t="shared" si="8"/>
        <v>| EQPM | Equipment | Equipo |  | | | | | | | | | |</v>
      </c>
    </row>
    <row r="72" spans="2:22" x14ac:dyDescent="0.55000000000000004">
      <c r="B72" s="4" t="s">
        <v>401</v>
      </c>
      <c r="C72" s="4" t="s">
        <v>402</v>
      </c>
      <c r="D72" s="4" t="s">
        <v>403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EROS | Erosion and sediment control |</v>
      </c>
      <c r="Q72" s="5" t="str">
        <f t="shared" si="10"/>
        <v>| EROS | Erosion and sediment control | Control de erosión y sedimentos |</v>
      </c>
      <c r="R72" s="5" t="str">
        <f t="shared" si="11"/>
        <v>| EROS | Erosion and sediment control | Control de erosión y sedimentos |  |</v>
      </c>
      <c r="S72" s="5" t="str">
        <f t="shared" si="12"/>
        <v>| EROS | Erosion and sediment control | Control de erosión y sedimentos |  | |</v>
      </c>
      <c r="T72" s="5" t="str">
        <f t="shared" si="9"/>
        <v>| EROS | Erosion and sediment control | Control de erosión y sedimentos |  | | |</v>
      </c>
      <c r="U72" s="5"/>
      <c r="V72" s="5" t="str">
        <f t="shared" si="8"/>
        <v>| EROS | Erosion and sediment control | Control de erosión y sedimentos |  | | | | | | | | | |</v>
      </c>
    </row>
    <row r="73" spans="2:22" x14ac:dyDescent="0.55000000000000004">
      <c r="B73" s="4" t="s">
        <v>404</v>
      </c>
      <c r="C73" s="4" t="s">
        <v>405</v>
      </c>
      <c r="D73" s="4" t="s">
        <v>406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ESMT | Easements |</v>
      </c>
      <c r="Q73" s="5" t="str">
        <f t="shared" si="10"/>
        <v>| ESMT | Easements | Servidumbres |</v>
      </c>
      <c r="R73" s="5" t="str">
        <f t="shared" si="11"/>
        <v>| ESMT | Easements | Servidumbres |  |</v>
      </c>
      <c r="S73" s="5" t="str">
        <f t="shared" si="12"/>
        <v>| ESMT | Easements | Servidumbres |  | |</v>
      </c>
      <c r="T73" s="5" t="str">
        <f t="shared" si="9"/>
        <v>| ESMT | Easements | Servidumbres |  | | |</v>
      </c>
      <c r="U73" s="5"/>
      <c r="V73" s="5" t="str">
        <f t="shared" si="8"/>
        <v>| ESMT | Easements | Servidumbres |  | | | | | | | | | |</v>
      </c>
    </row>
    <row r="74" spans="2:22" x14ac:dyDescent="0.55000000000000004">
      <c r="B74" s="4" t="s">
        <v>407</v>
      </c>
      <c r="C74" s="4" t="s">
        <v>408</v>
      </c>
      <c r="D74" s="4" t="s">
        <v>409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EVAC | Evacuation plan |</v>
      </c>
      <c r="Q74" s="5" t="str">
        <f t="shared" si="10"/>
        <v>| EVAC | Evacuation plan | Plan de evacuación |</v>
      </c>
      <c r="R74" s="5" t="str">
        <f t="shared" si="11"/>
        <v>| EVAC | Evacuation plan | Plan de evacuación |  |</v>
      </c>
      <c r="S74" s="5" t="str">
        <f t="shared" si="12"/>
        <v>| EVAC | Evacuation plan | Plan de evacuación |  | |</v>
      </c>
      <c r="T74" s="5" t="str">
        <f t="shared" si="9"/>
        <v>| EVAC | Evacuation plan | Plan de evacuación |  | | |</v>
      </c>
      <c r="U74" s="5"/>
      <c r="V74" s="5" t="str">
        <f t="shared" si="8"/>
        <v>| EVAC | Evacuation plan | Plan de evacuación |  | | | | | | | | | |</v>
      </c>
    </row>
    <row r="75" spans="2:22" x14ac:dyDescent="0.55000000000000004">
      <c r="B75" s="4" t="s">
        <v>410</v>
      </c>
      <c r="C75" s="4" t="s">
        <v>411</v>
      </c>
      <c r="D75" s="4" t="s">
        <v>412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EXHS | Exhaust system |</v>
      </c>
      <c r="Q75" s="5" t="str">
        <f t="shared" si="10"/>
        <v>| EXHS | Exhaust system | Sistema de extracción |</v>
      </c>
      <c r="R75" s="5" t="str">
        <f t="shared" si="11"/>
        <v>| EXHS | Exhaust system | Sistema de extracción |  |</v>
      </c>
      <c r="S75" s="5" t="str">
        <f t="shared" si="12"/>
        <v>| EXHS | Exhaust system | Sistema de extracción |  | |</v>
      </c>
      <c r="T75" s="5" t="str">
        <f t="shared" si="9"/>
        <v>| EXHS | Exhaust system | Sistema de extracción |  | | |</v>
      </c>
      <c r="U75" s="5"/>
      <c r="V75" s="5" t="str">
        <f t="shared" si="8"/>
        <v>| EXHS | Exhaust system | Sistema de extracción |  | | | | | | | | | |</v>
      </c>
    </row>
    <row r="76" spans="2:22" x14ac:dyDescent="0.55000000000000004">
      <c r="B76" s="4" t="s">
        <v>413</v>
      </c>
      <c r="C76" s="4" t="s">
        <v>414</v>
      </c>
      <c r="D76" s="4" t="s">
        <v>415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FENC | Fences |</v>
      </c>
      <c r="Q76" s="5" t="str">
        <f t="shared" si="10"/>
        <v>| FENC | Fences | Cercas |</v>
      </c>
      <c r="R76" s="5" t="str">
        <f t="shared" si="11"/>
        <v>| FENC | Fences | Cercas |  |</v>
      </c>
      <c r="S76" s="5" t="str">
        <f t="shared" si="12"/>
        <v>| FENC | Fences | Cercas |  | |</v>
      </c>
      <c r="T76" s="5" t="str">
        <f t="shared" si="9"/>
        <v>| FENC | Fences | Cercas |  | | |</v>
      </c>
      <c r="U76" s="5"/>
      <c r="V76" s="5" t="str">
        <f t="shared" si="8"/>
        <v>| FENC | Fences | Cercas |  | | | | | | | | | |</v>
      </c>
    </row>
    <row r="77" spans="2:22" x14ac:dyDescent="0.55000000000000004">
      <c r="B77" s="4" t="s">
        <v>416</v>
      </c>
      <c r="C77" s="4" t="s">
        <v>417</v>
      </c>
      <c r="D77" s="4" t="s">
        <v>59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FIRE | Fire protection |</v>
      </c>
      <c r="Q77" s="5" t="str">
        <f t="shared" si="10"/>
        <v>| FIRE | Fire protection | Protección contra incendios |</v>
      </c>
      <c r="R77" s="5" t="str">
        <f t="shared" si="11"/>
        <v>| FIRE | Fire protection | Protección contra incendios |  |</v>
      </c>
      <c r="S77" s="5" t="str">
        <f t="shared" si="12"/>
        <v>| FIRE | Fire protection | Protección contra incendios |  | |</v>
      </c>
      <c r="T77" s="5" t="str">
        <f t="shared" si="9"/>
        <v>| FIRE | Fire protection | Protección contra incendios |  | | |</v>
      </c>
      <c r="U77" s="5"/>
      <c r="V77" s="5" t="str">
        <f t="shared" si="8"/>
        <v>| FIRE | Fire protection | Protección contra incendios |  | | | | | | | | | |</v>
      </c>
    </row>
    <row r="78" spans="2:22" x14ac:dyDescent="0.55000000000000004">
      <c r="B78" s="4" t="s">
        <v>418</v>
      </c>
      <c r="C78" s="4" t="s">
        <v>419</v>
      </c>
      <c r="D78" s="4" t="s">
        <v>420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FLHA | Flood hazard area |</v>
      </c>
      <c r="Q78" s="5" t="str">
        <f t="shared" si="10"/>
        <v>| FLHA | Flood hazard area | Zona con riesgo de inundación |</v>
      </c>
      <c r="R78" s="5" t="str">
        <f t="shared" si="11"/>
        <v>| FLHA | Flood hazard area | Zona con riesgo de inundación |  |</v>
      </c>
      <c r="S78" s="5" t="str">
        <f t="shared" si="12"/>
        <v>| FLHA | Flood hazard area | Zona con riesgo de inundación |  | |</v>
      </c>
      <c r="T78" s="5" t="str">
        <f t="shared" si="9"/>
        <v>| FLHA | Flood hazard area | Zona con riesgo de inundación |  | | |</v>
      </c>
      <c r="U78" s="5"/>
      <c r="V78" s="5" t="str">
        <f t="shared" si="8"/>
        <v>| FLHA | Flood hazard area | Zona con riesgo de inundación |  | | | | | | | | | |</v>
      </c>
    </row>
    <row r="79" spans="2:22" x14ac:dyDescent="0.55000000000000004">
      <c r="B79" s="4" t="s">
        <v>421</v>
      </c>
      <c r="C79" s="4" t="s">
        <v>422</v>
      </c>
      <c r="D79" s="4" t="s">
        <v>423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FLOR | Floor |</v>
      </c>
      <c r="Q79" s="5" t="str">
        <f t="shared" si="10"/>
        <v>| FLOR | Floor | Piso |</v>
      </c>
      <c r="R79" s="5" t="str">
        <f t="shared" si="11"/>
        <v>| FLOR | Floor | Piso |  |</v>
      </c>
      <c r="S79" s="5" t="str">
        <f t="shared" si="12"/>
        <v>| FLOR | Floor | Piso |  | |</v>
      </c>
      <c r="T79" s="5" t="str">
        <f t="shared" si="9"/>
        <v>| FLOR | Floor | Piso |  | | |</v>
      </c>
      <c r="U79" s="5"/>
      <c r="V79" s="5" t="str">
        <f t="shared" si="8"/>
        <v>| FLOR | Floor | Piso |  | | | | | | | | | |</v>
      </c>
    </row>
    <row r="80" spans="2:22" x14ac:dyDescent="0.55000000000000004">
      <c r="B80" s="4" t="s">
        <v>424</v>
      </c>
      <c r="C80" s="4" t="s">
        <v>425</v>
      </c>
      <c r="D80" s="4" t="s">
        <v>426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FNDN | Foundation |</v>
      </c>
      <c r="Q80" s="5" t="str">
        <f t="shared" si="10"/>
        <v>| FNDN | Foundation | Cimentación |</v>
      </c>
      <c r="R80" s="5" t="str">
        <f t="shared" si="11"/>
        <v>| FNDN | Foundation | Cimentación |  |</v>
      </c>
      <c r="S80" s="5" t="str">
        <f t="shared" si="12"/>
        <v>| FNDN | Foundation | Cimentación |  | |</v>
      </c>
      <c r="T80" s="5" t="str">
        <f t="shared" si="9"/>
        <v>| FNDN | Foundation | Cimentación |  | | |</v>
      </c>
      <c r="U80" s="5"/>
      <c r="V80" s="5" t="str">
        <f t="shared" si="8"/>
        <v>| FNDN | Foundation | Cimentación |  | | | | | | | | | |</v>
      </c>
    </row>
    <row r="81" spans="2:22" x14ac:dyDescent="0.55000000000000004">
      <c r="B81" s="4" t="s">
        <v>427</v>
      </c>
      <c r="C81" s="4" t="s">
        <v>428</v>
      </c>
      <c r="D81" s="4" t="s">
        <v>429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FNSH | Finishes |</v>
      </c>
      <c r="Q81" s="5" t="str">
        <f t="shared" si="10"/>
        <v>| FNSH | Finishes | Acabados |</v>
      </c>
      <c r="R81" s="5" t="str">
        <f t="shared" si="11"/>
        <v>| FNSH | Finishes | Acabados |  |</v>
      </c>
      <c r="S81" s="5" t="str">
        <f t="shared" si="12"/>
        <v>| FNSH | Finishes | Acabados |  | |</v>
      </c>
      <c r="T81" s="5" t="str">
        <f t="shared" si="9"/>
        <v>| FNSH | Finishes | Acabados |  | | |</v>
      </c>
      <c r="U81" s="5"/>
      <c r="V81" s="5" t="str">
        <f t="shared" si="8"/>
        <v>| FNSH | Finishes | Acabados |  | | | | | | | | | |</v>
      </c>
    </row>
    <row r="82" spans="2:22" ht="30.75" x14ac:dyDescent="0.55000000000000004">
      <c r="B82" s="4" t="s">
        <v>430</v>
      </c>
      <c r="C82" s="4" t="s">
        <v>431</v>
      </c>
      <c r="D82" s="4" t="s">
        <v>432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FRAM | Braced frame or moment frame |</v>
      </c>
      <c r="Q82" s="5" t="str">
        <f t="shared" si="10"/>
        <v>| FRAM | Braced frame or moment frame | Marco arriostrado o marco de momento |</v>
      </c>
      <c r="R82" s="5" t="str">
        <f t="shared" si="11"/>
        <v>| FRAM | Braced frame or moment frame | Marco arriostrado o marco de momento |  |</v>
      </c>
      <c r="S82" s="5" t="str">
        <f t="shared" si="12"/>
        <v>| FRAM | Braced frame or moment frame | Marco arriostrado o marco de momento |  | |</v>
      </c>
      <c r="T82" s="5" t="str">
        <f t="shared" si="9"/>
        <v>| FRAM | Braced frame or moment frame | Marco arriostrado o marco de momento |  | | |</v>
      </c>
      <c r="U82" s="5"/>
      <c r="V82" s="5" t="str">
        <f t="shared" si="8"/>
        <v>| FRAM | Braced frame or moment frame | Marco arriostrado o marco de momento |  | | | | | | | | | |</v>
      </c>
    </row>
    <row r="83" spans="2:22" x14ac:dyDescent="0.55000000000000004">
      <c r="B83" s="4" t="s">
        <v>433</v>
      </c>
      <c r="C83" s="4" t="s">
        <v>434</v>
      </c>
      <c r="D83" s="4" t="s">
        <v>435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FSTN | Fasteners and connections |</v>
      </c>
      <c r="Q83" s="5" t="str">
        <f t="shared" si="10"/>
        <v>| FSTN | Fasteners and connections | Sujeciones y conexiones |</v>
      </c>
      <c r="R83" s="5" t="str">
        <f t="shared" si="11"/>
        <v>| FSTN | Fasteners and connections | Sujeciones y conexiones |  |</v>
      </c>
      <c r="S83" s="5" t="str">
        <f t="shared" si="12"/>
        <v>| FSTN | Fasteners and connections | Sujeciones y conexiones |  | |</v>
      </c>
      <c r="T83" s="5" t="str">
        <f t="shared" si="9"/>
        <v>| FSTN | Fasteners and connections | Sujeciones y conexiones |  | | |</v>
      </c>
      <c r="U83" s="5"/>
      <c r="V83" s="5" t="str">
        <f t="shared" si="8"/>
        <v>| FSTN | Fasteners and connections | Sujeciones y conexiones |  | | | | | | | | | |</v>
      </c>
    </row>
    <row r="84" spans="2:22" x14ac:dyDescent="0.55000000000000004">
      <c r="B84" s="4" t="s">
        <v>436</v>
      </c>
      <c r="C84" s="4" t="s">
        <v>437</v>
      </c>
      <c r="D84" s="4" t="s">
        <v>438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FUEL | Fuel systems |</v>
      </c>
      <c r="Q84" s="5" t="str">
        <f t="shared" si="10"/>
        <v>| FUEL | Fuel systems | Sistemas de combustible |</v>
      </c>
      <c r="R84" s="5" t="str">
        <f t="shared" si="11"/>
        <v>| FUEL | Fuel systems | Sistemas de combustible |  |</v>
      </c>
      <c r="S84" s="5" t="str">
        <f t="shared" si="12"/>
        <v>| FUEL | Fuel systems | Sistemas de combustible |  | |</v>
      </c>
      <c r="T84" s="5" t="str">
        <f t="shared" si="9"/>
        <v>| FUEL | Fuel systems | Sistemas de combustible |  | | |</v>
      </c>
      <c r="U84" s="5"/>
      <c r="V84" s="5" t="str">
        <f t="shared" si="8"/>
        <v>| FUEL | Fuel systems | Sistemas de combustible |  | | | | | | | | | |</v>
      </c>
    </row>
    <row r="85" spans="2:22" x14ac:dyDescent="0.55000000000000004">
      <c r="B85" s="4" t="s">
        <v>439</v>
      </c>
      <c r="C85" s="4" t="s">
        <v>440</v>
      </c>
      <c r="D85" s="4" t="s">
        <v>441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FUME | Fume hood |</v>
      </c>
      <c r="Q85" s="5" t="str">
        <f t="shared" si="10"/>
        <v>| FUME | Fume hood | Campana de extracción de gases |</v>
      </c>
      <c r="R85" s="5" t="str">
        <f t="shared" si="11"/>
        <v>| FUME | Fume hood | Campana de extracción de gases |  |</v>
      </c>
      <c r="S85" s="5" t="str">
        <f t="shared" si="12"/>
        <v>| FUME | Fume hood | Campana de extracción de gases |  | |</v>
      </c>
      <c r="T85" s="5" t="str">
        <f t="shared" si="9"/>
        <v>| FUME | Fume hood | Campana de extracción de gases |  | | |</v>
      </c>
      <c r="U85" s="5"/>
      <c r="V85" s="5" t="str">
        <f t="shared" si="8"/>
        <v>| FUME | Fume hood | Campana de extracción de gases |  | | | | | | | | | |</v>
      </c>
    </row>
    <row r="86" spans="2:22" x14ac:dyDescent="0.55000000000000004">
      <c r="B86" s="4" t="s">
        <v>442</v>
      </c>
      <c r="C86" s="4" t="s">
        <v>443</v>
      </c>
      <c r="D86" s="4" t="s">
        <v>444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FURN | Furnishings |</v>
      </c>
      <c r="Q86" s="5" t="str">
        <f t="shared" si="10"/>
        <v>| FURN | Furnishings | Mobiliario |</v>
      </c>
      <c r="R86" s="5" t="str">
        <f t="shared" si="11"/>
        <v>| FURN | Furnishings | Mobiliario |  |</v>
      </c>
      <c r="S86" s="5" t="str">
        <f t="shared" si="12"/>
        <v>| FURN | Furnishings | Mobiliario |  | |</v>
      </c>
      <c r="T86" s="5" t="str">
        <f t="shared" si="9"/>
        <v>| FURN | Furnishings | Mobiliario |  | | |</v>
      </c>
      <c r="U86" s="5"/>
      <c r="V86" s="5" t="str">
        <f t="shared" si="8"/>
        <v>| FURN | Furnishings | Mobiliario |  | | | | | | | | | |</v>
      </c>
    </row>
    <row r="87" spans="2:22" x14ac:dyDescent="0.55000000000000004">
      <c r="B87" s="4" t="s">
        <v>445</v>
      </c>
      <c r="C87" s="4" t="s">
        <v>446</v>
      </c>
      <c r="D87" s="4" t="s">
        <v>446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GAS~ | Gas |</v>
      </c>
      <c r="Q87" s="5" t="str">
        <f t="shared" si="10"/>
        <v>| GAS~ | Gas | Gas |</v>
      </c>
      <c r="R87" s="5" t="str">
        <f t="shared" si="11"/>
        <v>| GAS~ | Gas | Gas |  |</v>
      </c>
      <c r="S87" s="5" t="str">
        <f t="shared" si="12"/>
        <v>| GAS~ | Gas | Gas |  | |</v>
      </c>
      <c r="T87" s="5" t="str">
        <f t="shared" si="9"/>
        <v>| GAS~ | Gas | Gas |  | | |</v>
      </c>
      <c r="U87" s="5"/>
      <c r="V87" s="5" t="str">
        <f t="shared" si="8"/>
        <v>| GAS~ | Gas | Gas |  | | | | | | | | | |</v>
      </c>
    </row>
    <row r="88" spans="2:22" x14ac:dyDescent="0.55000000000000004">
      <c r="B88" s="4" t="s">
        <v>447</v>
      </c>
      <c r="C88" s="4" t="s">
        <v>448</v>
      </c>
      <c r="D88" s="4" t="s">
        <v>449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GATE | Gate |</v>
      </c>
      <c r="Q88" s="5" t="str">
        <f t="shared" si="10"/>
        <v>| GATE | Gate | Portón |</v>
      </c>
      <c r="R88" s="5" t="str">
        <f t="shared" si="11"/>
        <v>| GATE | Gate | Portón |  |</v>
      </c>
      <c r="S88" s="5" t="str">
        <f t="shared" si="12"/>
        <v>| GATE | Gate | Portón |  | |</v>
      </c>
      <c r="T88" s="5" t="str">
        <f t="shared" si="9"/>
        <v>| GATE | Gate | Portón |  | | |</v>
      </c>
      <c r="U88" s="5"/>
      <c r="V88" s="5" t="str">
        <f t="shared" si="8"/>
        <v>| GATE | Gate | Portón |  | | | | | | | | | |</v>
      </c>
    </row>
    <row r="89" spans="2:22" x14ac:dyDescent="0.55000000000000004">
      <c r="B89" s="4" t="s">
        <v>450</v>
      </c>
      <c r="C89" s="4" t="s">
        <v>451</v>
      </c>
      <c r="D89" s="4" t="s">
        <v>452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si="7"/>
        <v>| GLAZ | Glazing |</v>
      </c>
      <c r="Q89" s="5" t="str">
        <f t="shared" si="10"/>
        <v>| GLAZ | Glazing | Acristalamiento |</v>
      </c>
      <c r="R89" s="5" t="str">
        <f t="shared" si="11"/>
        <v>| GLAZ | Glazing | Acristalamiento |  |</v>
      </c>
      <c r="S89" s="5" t="str">
        <f t="shared" si="12"/>
        <v>| GLAZ | Glazing | Acristalamiento |  | |</v>
      </c>
      <c r="T89" s="5" t="str">
        <f t="shared" si="9"/>
        <v>| GLAZ | Glazing | Acristalamiento |  | | |</v>
      </c>
      <c r="U89" s="5"/>
      <c r="V89" s="5" t="str">
        <f t="shared" si="8"/>
        <v>| GLAZ | Glazing | Acristalamiento |  | | | | | | | | | |</v>
      </c>
    </row>
    <row r="90" spans="2:22" x14ac:dyDescent="0.55000000000000004">
      <c r="B90" s="4" t="s">
        <v>453</v>
      </c>
      <c r="C90" s="4" t="s">
        <v>454</v>
      </c>
      <c r="D90" s="4" t="s">
        <v>455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7"/>
        <v>| GLYC | Glycol systems |</v>
      </c>
      <c r="Q90" s="5" t="str">
        <f t="shared" si="10"/>
        <v>| GLYC | Glycol systems | Sistemas de glicol |</v>
      </c>
      <c r="R90" s="5" t="str">
        <f t="shared" si="11"/>
        <v>| GLYC | Glycol systems | Sistemas de glicol |  |</v>
      </c>
      <c r="S90" s="5" t="str">
        <f t="shared" si="12"/>
        <v>| GLYC | Glycol systems | Sistemas de glicol |  | |</v>
      </c>
      <c r="T90" s="5" t="str">
        <f t="shared" si="9"/>
        <v>| GLYC | Glycol systems | Sistemas de glicol |  | | |</v>
      </c>
      <c r="U90" s="5"/>
      <c r="V90" s="5" t="str">
        <f t="shared" si="8"/>
        <v>| GLYC | Glycol systems | Sistemas de glicol |  | | | | | | | | | |</v>
      </c>
    </row>
    <row r="91" spans="2:22" x14ac:dyDescent="0.55000000000000004">
      <c r="B91" s="4" t="s">
        <v>456</v>
      </c>
      <c r="C91" s="4" t="s">
        <v>457</v>
      </c>
      <c r="D91" s="4" t="s">
        <v>458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7"/>
        <v>| GRID | Grids |</v>
      </c>
      <c r="Q91" s="5" t="str">
        <f t="shared" si="10"/>
        <v>| GRID | Grids | Rejillas |</v>
      </c>
      <c r="R91" s="5" t="str">
        <f t="shared" si="11"/>
        <v>| GRID | Grids | Rejillas |  |</v>
      </c>
      <c r="S91" s="5" t="str">
        <f t="shared" si="12"/>
        <v>| GRID | Grids | Rejillas |  | |</v>
      </c>
      <c r="T91" s="5" t="str">
        <f t="shared" si="9"/>
        <v>| GRID | Grids | Rejillas |  | | |</v>
      </c>
      <c r="U91" s="5"/>
      <c r="V91" s="5" t="str">
        <f t="shared" si="8"/>
        <v>| GRID | Grids | Rejillas |  | | | | | | | | | |</v>
      </c>
    </row>
    <row r="92" spans="2:22" x14ac:dyDescent="0.55000000000000004">
      <c r="B92" s="4" t="s">
        <v>459</v>
      </c>
      <c r="C92" s="4" t="s">
        <v>460</v>
      </c>
      <c r="D92" s="4" t="s">
        <v>461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7"/>
        <v>| GRLN | Grade line |</v>
      </c>
      <c r="Q92" s="5" t="str">
        <f t="shared" si="10"/>
        <v>| GRLN | Grade line | Línea de rasante |</v>
      </c>
      <c r="R92" s="5" t="str">
        <f t="shared" si="11"/>
        <v>| GRLN | Grade line | Línea de rasante |  |</v>
      </c>
      <c r="S92" s="5" t="str">
        <f t="shared" si="12"/>
        <v>| GRLN | Grade line | Línea de rasante |  | |</v>
      </c>
      <c r="T92" s="5" t="str">
        <f t="shared" si="9"/>
        <v>| GRLN | Grade line | Línea de rasante |  | | |</v>
      </c>
      <c r="U92" s="5"/>
      <c r="V92" s="5" t="str">
        <f t="shared" si="8"/>
        <v>| GRLN | Grade line | Línea de rasante |  | | | | | | | | | |</v>
      </c>
    </row>
    <row r="93" spans="2:22" x14ac:dyDescent="0.55000000000000004">
      <c r="B93" s="4" t="s">
        <v>462</v>
      </c>
      <c r="C93" s="4" t="s">
        <v>463</v>
      </c>
      <c r="D93" s="4" t="s">
        <v>464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7"/>
        <v>| GRND | Ground system |</v>
      </c>
      <c r="Q93" s="5" t="str">
        <f t="shared" si="10"/>
        <v>| GRND | Ground system | Sistema de puesta a tierra |</v>
      </c>
      <c r="R93" s="5" t="str">
        <f t="shared" si="11"/>
        <v>| GRND | Ground system | Sistema de puesta a tierra |  |</v>
      </c>
      <c r="S93" s="5" t="str">
        <f t="shared" si="12"/>
        <v>| GRND | Ground system | Sistema de puesta a tierra |  | |</v>
      </c>
      <c r="T93" s="5" t="str">
        <f t="shared" si="9"/>
        <v>| GRND | Ground system | Sistema de puesta a tierra |  | | |</v>
      </c>
      <c r="U93" s="5"/>
      <c r="V93" s="5" t="str">
        <f t="shared" si="8"/>
        <v>| GRND | Ground system | Sistema de puesta a tierra |  | | | | | | | | | |</v>
      </c>
    </row>
    <row r="94" spans="2:22" x14ac:dyDescent="0.55000000000000004">
      <c r="B94" s="4" t="s">
        <v>465</v>
      </c>
      <c r="C94" s="4" t="s">
        <v>466</v>
      </c>
      <c r="D94" s="4" t="s">
        <v>467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7"/>
        <v>| HALN | Halon |</v>
      </c>
      <c r="Q94" s="5" t="str">
        <f t="shared" si="10"/>
        <v>| HALN | Halon | Halón |</v>
      </c>
      <c r="R94" s="5" t="str">
        <f t="shared" si="11"/>
        <v>| HALN | Halon | Halón |  |</v>
      </c>
      <c r="S94" s="5" t="str">
        <f t="shared" si="12"/>
        <v>| HALN | Halon | Halón |  | |</v>
      </c>
      <c r="T94" s="5" t="str">
        <f t="shared" si="9"/>
        <v>| HALN | Halon | Halón |  | | |</v>
      </c>
      <c r="U94" s="5"/>
      <c r="V94" s="5" t="str">
        <f t="shared" si="8"/>
        <v>| HALN | Halon | Halón |  | | | | | | | | | |</v>
      </c>
    </row>
    <row r="95" spans="2:22" x14ac:dyDescent="0.55000000000000004">
      <c r="B95" s="4" t="s">
        <v>468</v>
      </c>
      <c r="C95" s="4" t="s">
        <v>469</v>
      </c>
      <c r="D95" s="4" t="s">
        <v>470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7"/>
        <v>| HVAC | HVAC systems |</v>
      </c>
      <c r="Q95" s="5" t="str">
        <f t="shared" si="10"/>
        <v>| HVAC | HVAC systems | Sistemas de climatización (HVAC) |</v>
      </c>
      <c r="R95" s="5" t="str">
        <f t="shared" si="11"/>
        <v>| HVAC | HVAC systems | Sistemas de climatización (HVAC) |  |</v>
      </c>
      <c r="S95" s="5" t="str">
        <f t="shared" si="12"/>
        <v>| HVAC | HVAC systems | Sistemas de climatización (HVAC) |  | |</v>
      </c>
      <c r="T95" s="5" t="str">
        <f t="shared" si="9"/>
        <v>| HVAC | HVAC systems | Sistemas de climatización (HVAC) |  | | |</v>
      </c>
      <c r="U95" s="5"/>
      <c r="V95" s="5" t="str">
        <f t="shared" si="8"/>
        <v>| HVAC | HVAC systems | Sistemas de climatización (HVAC) |  | | | | | | | | | |</v>
      </c>
    </row>
    <row r="96" spans="2:22" ht="30.75" x14ac:dyDescent="0.55000000000000004">
      <c r="B96" s="4" t="s">
        <v>471</v>
      </c>
      <c r="C96" s="4" t="s">
        <v>472</v>
      </c>
      <c r="D96" s="4" t="s">
        <v>473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7"/>
        <v>| HWTR | Hot water heating system |</v>
      </c>
      <c r="Q96" s="5" t="str">
        <f t="shared" si="10"/>
        <v>| HWTR | Hot water heating system | Sistema de calentamiento de agua caliente |</v>
      </c>
      <c r="R96" s="5" t="str">
        <f t="shared" si="11"/>
        <v>| HWTR | Hot water heating system | Sistema de calentamiento de agua caliente |  |</v>
      </c>
      <c r="S96" s="5" t="str">
        <f t="shared" si="12"/>
        <v>| HWTR | Hot water heating system | Sistema de calentamiento de agua caliente |  | |</v>
      </c>
      <c r="T96" s="5" t="str">
        <f t="shared" si="9"/>
        <v>| HWTR | Hot water heating system | Sistema de calentamiento de agua caliente |  | | |</v>
      </c>
      <c r="U96" s="5"/>
      <c r="V96" s="5" t="str">
        <f t="shared" si="8"/>
        <v>| HWTR | Hot water heating system | Sistema de calentamiento de agua caliente |  | | | | | | | | | |</v>
      </c>
    </row>
    <row r="97" spans="2:22" x14ac:dyDescent="0.55000000000000004">
      <c r="B97" s="4" t="s">
        <v>474</v>
      </c>
      <c r="C97" s="4" t="s">
        <v>475</v>
      </c>
      <c r="D97" s="4" t="s">
        <v>476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7"/>
        <v>| HYDR | Hydraulic structure |</v>
      </c>
      <c r="Q97" s="5" t="str">
        <f t="shared" si="10"/>
        <v>| HYDR | Hydraulic structure | Estructura hidráulica |</v>
      </c>
      <c r="R97" s="5" t="str">
        <f t="shared" si="11"/>
        <v>| HYDR | Hydraulic structure | Estructura hidráulica |  |</v>
      </c>
      <c r="S97" s="5" t="str">
        <f t="shared" si="12"/>
        <v>| HYDR | Hydraulic structure | Estructura hidráulica |  | |</v>
      </c>
      <c r="T97" s="5" t="str">
        <f t="shared" si="9"/>
        <v>| HYDR | Hydraulic structure | Estructura hidráulica |  | | |</v>
      </c>
      <c r="U97" s="5"/>
      <c r="V97" s="5" t="str">
        <f t="shared" si="8"/>
        <v>| HYDR | Hydraulic structure | Estructura hidráulica |  | | | | | | | | | |</v>
      </c>
    </row>
    <row r="98" spans="2:22" x14ac:dyDescent="0.55000000000000004">
      <c r="B98" s="4" t="s">
        <v>477</v>
      </c>
      <c r="C98" s="4" t="s">
        <v>478</v>
      </c>
      <c r="D98" s="4" t="s">
        <v>479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7"/>
        <v>| IGAS | Inert gas |</v>
      </c>
      <c r="Q98" s="5" t="str">
        <f t="shared" si="10"/>
        <v>| IGAS | Inert gas | Gas inerte |</v>
      </c>
      <c r="R98" s="5" t="str">
        <f t="shared" si="11"/>
        <v>| IGAS | Inert gas | Gas inerte |  |</v>
      </c>
      <c r="S98" s="5" t="str">
        <f t="shared" si="12"/>
        <v>| IGAS | Inert gas | Gas inerte |  | |</v>
      </c>
      <c r="T98" s="5" t="str">
        <f t="shared" si="9"/>
        <v>| IGAS | Inert gas | Gas inerte |  | | |</v>
      </c>
      <c r="U98" s="5"/>
      <c r="V98" s="5" t="str">
        <f t="shared" si="8"/>
        <v>| IGAS | Inert gas | Gas inerte |  | | | | | | | | | |</v>
      </c>
    </row>
    <row r="99" spans="2:22" x14ac:dyDescent="0.55000000000000004">
      <c r="B99" s="4" t="s">
        <v>480</v>
      </c>
      <c r="C99" s="4" t="s">
        <v>481</v>
      </c>
      <c r="D99" s="4" t="s">
        <v>482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7"/>
        <v>| INGR | Ingrants |</v>
      </c>
      <c r="Q99" s="5" t="str">
        <f t="shared" si="10"/>
        <v>| INGR | Ingrants | Concesiones |</v>
      </c>
      <c r="R99" s="5" t="str">
        <f t="shared" si="11"/>
        <v>| INGR | Ingrants | Concesiones |  |</v>
      </c>
      <c r="S99" s="5" t="str">
        <f t="shared" si="12"/>
        <v>| INGR | Ingrants | Concesiones |  | |</v>
      </c>
      <c r="T99" s="5" t="str">
        <f t="shared" si="9"/>
        <v>| INGR | Ingrants | Concesiones |  | | |</v>
      </c>
      <c r="U99" s="5"/>
      <c r="V99" s="5" t="str">
        <f t="shared" si="8"/>
        <v>| INGR | Ingrants | Concesiones |  | | | | | | | | | |</v>
      </c>
    </row>
    <row r="100" spans="2:22" x14ac:dyDescent="0.55000000000000004">
      <c r="B100" s="4" t="s">
        <v>483</v>
      </c>
      <c r="C100" s="4" t="s">
        <v>484</v>
      </c>
      <c r="D100" s="4" t="s">
        <v>485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7"/>
        <v>| INST | Instrumentation system |</v>
      </c>
      <c r="Q100" s="5" t="str">
        <f t="shared" si="10"/>
        <v>| INST | Instrumentation system | Sistema de instrumentación |</v>
      </c>
      <c r="R100" s="5" t="str">
        <f t="shared" si="11"/>
        <v>| INST | Instrumentation system | Sistema de instrumentación |  |</v>
      </c>
      <c r="S100" s="5" t="str">
        <f t="shared" si="12"/>
        <v>| INST | Instrumentation system | Sistema de instrumentación |  | |</v>
      </c>
      <c r="T100" s="5" t="str">
        <f t="shared" si="9"/>
        <v>| INST | Instrumentation system | Sistema de instrumentación |  | | |</v>
      </c>
      <c r="U100" s="5"/>
      <c r="V100" s="5" t="str">
        <f t="shared" si="8"/>
        <v>| INST | Instrumentation system | Sistema de instrumentación |  | | | | | | | | | |</v>
      </c>
    </row>
    <row r="101" spans="2:22" x14ac:dyDescent="0.55000000000000004">
      <c r="B101" s="4" t="s">
        <v>486</v>
      </c>
      <c r="C101" s="4" t="s">
        <v>487</v>
      </c>
      <c r="D101" s="4" t="s">
        <v>488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7"/>
        <v>| INTC | Intercom / PA systems |</v>
      </c>
      <c r="Q101" s="5" t="str">
        <f t="shared" si="10"/>
        <v>| INTC | Intercom / PA systems | Intercomunicador/PA Sistemas |</v>
      </c>
      <c r="R101" s="5" t="str">
        <f t="shared" si="11"/>
        <v>| INTC | Intercom / PA systems | Intercomunicador/PA Sistemas |  |</v>
      </c>
      <c r="S101" s="5" t="str">
        <f t="shared" si="12"/>
        <v>| INTC | Intercom / PA systems | Intercomunicador/PA Sistemas |  | |</v>
      </c>
      <c r="T101" s="5" t="str">
        <f t="shared" si="9"/>
        <v>| INTC | Intercom / PA systems | Intercomunicador/PA Sistemas |  | | |</v>
      </c>
      <c r="U101" s="5"/>
      <c r="V101" s="5" t="str">
        <f t="shared" si="8"/>
        <v>| INTC | Intercom / PA systems | Intercomunicador/PA Sistemas |  | | | | | | | | | |</v>
      </c>
    </row>
    <row r="102" spans="2:22" x14ac:dyDescent="0.55000000000000004">
      <c r="B102" s="4" t="s">
        <v>489</v>
      </c>
      <c r="C102" s="4" t="s">
        <v>490</v>
      </c>
      <c r="D102" s="4" t="s">
        <v>491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7"/>
        <v>| IRRG | Irrigation |</v>
      </c>
      <c r="Q102" s="5" t="str">
        <f t="shared" si="10"/>
        <v>| IRRG | Irrigation | Riego |</v>
      </c>
      <c r="R102" s="5" t="str">
        <f t="shared" si="11"/>
        <v>| IRRG | Irrigation | Riego |  |</v>
      </c>
      <c r="S102" s="5" t="str">
        <f t="shared" si="12"/>
        <v>| IRRG | Irrigation | Riego |  | |</v>
      </c>
      <c r="T102" s="5" t="str">
        <f t="shared" si="9"/>
        <v>| IRRG | Irrigation | Riego |  | | |</v>
      </c>
      <c r="U102" s="5"/>
      <c r="V102" s="5" t="str">
        <f t="shared" si="8"/>
        <v>| IRRG | Irrigation | Riego |  | | | | | | | | | |</v>
      </c>
    </row>
    <row r="103" spans="2:22" x14ac:dyDescent="0.55000000000000004">
      <c r="B103" s="4" t="s">
        <v>492</v>
      </c>
      <c r="C103" s="4" t="s">
        <v>493</v>
      </c>
      <c r="D103" s="4" t="s">
        <v>494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7"/>
        <v>| JNTS | Joints |</v>
      </c>
      <c r="Q103" s="5" t="str">
        <f t="shared" si="10"/>
        <v>| JNTS | Joints | Juntas |</v>
      </c>
      <c r="R103" s="5" t="str">
        <f t="shared" si="11"/>
        <v>| JNTS | Joints | Juntas |  |</v>
      </c>
      <c r="S103" s="5" t="str">
        <f t="shared" si="12"/>
        <v>| JNTS | Joints | Juntas |  | |</v>
      </c>
      <c r="T103" s="5" t="str">
        <f t="shared" si="9"/>
        <v>| JNTS | Joints | Juntas |  | | |</v>
      </c>
      <c r="U103" s="5"/>
      <c r="V103" s="5" t="str">
        <f t="shared" si="8"/>
        <v>| JNTS | Joints | Juntas |  | | | | | | | | | |</v>
      </c>
    </row>
    <row r="104" spans="2:22" x14ac:dyDescent="0.55000000000000004">
      <c r="B104" s="1" t="s">
        <v>495</v>
      </c>
      <c r="C104" s="1" t="s">
        <v>496</v>
      </c>
      <c r="D104" s="1" t="s">
        <v>497</v>
      </c>
      <c r="Q104" s="5" t="str">
        <f t="shared" si="10"/>
        <v>| JOIS | Joists | Viguetas |</v>
      </c>
    </row>
    <row r="105" spans="2:22" x14ac:dyDescent="0.55000000000000004">
      <c r="B105" s="1" t="s">
        <v>498</v>
      </c>
      <c r="C105" s="1" t="s">
        <v>499</v>
      </c>
      <c r="D105" s="1" t="s">
        <v>500</v>
      </c>
      <c r="Q105" s="5" t="str">
        <f t="shared" si="10"/>
        <v>| LAND | Land | Terreno |</v>
      </c>
    </row>
    <row r="106" spans="2:22" x14ac:dyDescent="0.55000000000000004">
      <c r="B106" s="1" t="s">
        <v>501</v>
      </c>
      <c r="C106" s="1" t="s">
        <v>502</v>
      </c>
      <c r="D106" s="1" t="s">
        <v>503</v>
      </c>
      <c r="Q106" s="5" t="str">
        <f t="shared" si="10"/>
        <v>| LEGN | Legend, symbols keys | Leyenda, símbolos y claves |</v>
      </c>
    </row>
    <row r="107" spans="2:22" x14ac:dyDescent="0.55000000000000004">
      <c r="B107" s="1" t="s">
        <v>504</v>
      </c>
      <c r="C107" s="1" t="s">
        <v>505</v>
      </c>
      <c r="D107" s="1" t="s">
        <v>506</v>
      </c>
      <c r="Q107" s="5" t="str">
        <f t="shared" si="10"/>
        <v>| LEVE | Levee | Dique |</v>
      </c>
    </row>
    <row r="108" spans="2:22" x14ac:dyDescent="0.55000000000000004">
      <c r="B108" s="1" t="s">
        <v>507</v>
      </c>
      <c r="C108" s="1" t="s">
        <v>508</v>
      </c>
      <c r="D108" s="1" t="s">
        <v>509</v>
      </c>
      <c r="Q108" s="5" t="str">
        <f t="shared" si="10"/>
        <v>| LGAS | Laboratory gas systems | Sistemas de gases de laboratorio |</v>
      </c>
    </row>
    <row r="109" spans="2:22" x14ac:dyDescent="0.55000000000000004">
      <c r="B109" s="1" t="s">
        <v>510</v>
      </c>
      <c r="C109" s="1" t="s">
        <v>511</v>
      </c>
      <c r="D109" s="1" t="s">
        <v>512</v>
      </c>
      <c r="Q109" s="5" t="str">
        <f t="shared" si="10"/>
        <v>| LIQD | Liquid | Líquido |</v>
      </c>
    </row>
    <row r="110" spans="2:22" x14ac:dyDescent="0.55000000000000004">
      <c r="B110" s="1" t="s">
        <v>513</v>
      </c>
      <c r="C110" s="1" t="s">
        <v>514</v>
      </c>
      <c r="D110" s="1" t="s">
        <v>515</v>
      </c>
      <c r="Q110" s="5" t="str">
        <f t="shared" si="10"/>
        <v>| LITE | Lighting | Iluminación |</v>
      </c>
    </row>
    <row r="111" spans="2:22" x14ac:dyDescent="0.55000000000000004">
      <c r="B111" s="1" t="s">
        <v>516</v>
      </c>
      <c r="C111" s="1" t="s">
        <v>517</v>
      </c>
      <c r="D111" s="1" t="s">
        <v>518</v>
      </c>
      <c r="Q111" s="5" t="str">
        <f t="shared" si="10"/>
        <v>| LNTL | Lintels | Dinteles |</v>
      </c>
    </row>
    <row r="112" spans="2:22" x14ac:dyDescent="0.55000000000000004">
      <c r="B112" s="1" t="s">
        <v>519</v>
      </c>
      <c r="C112" s="1" t="s">
        <v>520</v>
      </c>
      <c r="D112" s="1" t="s">
        <v>521</v>
      </c>
      <c r="Q112" s="5" t="str">
        <f t="shared" si="10"/>
        <v>| LOCN | Limits of construction | Límites de construcción |</v>
      </c>
    </row>
    <row r="113" spans="2:17" x14ac:dyDescent="0.55000000000000004">
      <c r="B113" s="1" t="s">
        <v>522</v>
      </c>
      <c r="C113" s="1" t="s">
        <v>523</v>
      </c>
      <c r="D113" s="1" t="s">
        <v>524</v>
      </c>
      <c r="Q113" s="5" t="str">
        <f t="shared" si="10"/>
        <v>| LTNG | Lightning protection system | Sistema de protección contra rayos |</v>
      </c>
    </row>
    <row r="114" spans="2:17" x14ac:dyDescent="0.55000000000000004">
      <c r="B114" s="1" t="s">
        <v>525</v>
      </c>
      <c r="C114" s="1" t="s">
        <v>526</v>
      </c>
      <c r="D114" s="1" t="s">
        <v>527</v>
      </c>
      <c r="Q114" s="5" t="str">
        <f t="shared" si="10"/>
        <v>| MACH | Machine shop | Taller de maquinaria |</v>
      </c>
    </row>
    <row r="115" spans="2:17" x14ac:dyDescent="0.55000000000000004">
      <c r="B115" s="1" t="s">
        <v>528</v>
      </c>
      <c r="C115" s="1" t="s">
        <v>529</v>
      </c>
      <c r="D115" s="1" t="s">
        <v>530</v>
      </c>
      <c r="Q115" s="5" t="str">
        <f t="shared" si="10"/>
        <v>| MAJQ | Major equipment | Equipo principal |</v>
      </c>
    </row>
    <row r="116" spans="2:17" x14ac:dyDescent="0.55000000000000004">
      <c r="B116" s="1" t="s">
        <v>531</v>
      </c>
      <c r="C116" s="1" t="s">
        <v>532</v>
      </c>
      <c r="D116" s="1" t="s">
        <v>533</v>
      </c>
      <c r="Q116" s="5" t="str">
        <f t="shared" si="10"/>
        <v>| MDGS | Medical gas systems | Sistemas de gases medicinales |</v>
      </c>
    </row>
    <row r="117" spans="2:17" x14ac:dyDescent="0.55000000000000004">
      <c r="B117" s="1" t="s">
        <v>534</v>
      </c>
      <c r="C117" s="1" t="s">
        <v>535</v>
      </c>
      <c r="D117" s="1" t="s">
        <v>338</v>
      </c>
      <c r="Q117" s="5" t="str">
        <f t="shared" si="10"/>
        <v>| MILL | Millwork | Carpintería |</v>
      </c>
    </row>
    <row r="118" spans="2:17" x14ac:dyDescent="0.55000000000000004">
      <c r="B118" s="1" t="s">
        <v>536</v>
      </c>
      <c r="C118" s="1" t="s">
        <v>537</v>
      </c>
      <c r="D118" s="1" t="s">
        <v>538</v>
      </c>
      <c r="Q118" s="5" t="str">
        <f t="shared" si="10"/>
        <v>| MINQ | Minor equipment | Equipo menor |</v>
      </c>
    </row>
    <row r="119" spans="2:17" x14ac:dyDescent="0.55000000000000004">
      <c r="B119" s="1" t="s">
        <v>539</v>
      </c>
      <c r="C119" s="1" t="s">
        <v>540</v>
      </c>
      <c r="D119" s="1" t="s">
        <v>541</v>
      </c>
      <c r="Q119" s="5" t="str">
        <f t="shared" si="10"/>
        <v>| MKUP | Make-up air systems | Sistemas de aire de reposición |</v>
      </c>
    </row>
    <row r="120" spans="2:17" x14ac:dyDescent="0.55000000000000004">
      <c r="B120" s="1" t="s">
        <v>542</v>
      </c>
      <c r="C120" s="1" t="s">
        <v>543</v>
      </c>
      <c r="D120" s="1" t="s">
        <v>544</v>
      </c>
      <c r="Q120" s="5" t="str">
        <f t="shared" si="10"/>
        <v>| MNTG | Mounting system | Sistema de montaje |</v>
      </c>
    </row>
    <row r="121" spans="2:17" x14ac:dyDescent="0.55000000000000004">
      <c r="B121" s="1" t="s">
        <v>545</v>
      </c>
      <c r="C121" s="1" t="s">
        <v>546</v>
      </c>
      <c r="D121" s="1" t="s">
        <v>547</v>
      </c>
      <c r="Q121" s="5" t="str">
        <f t="shared" si="10"/>
        <v>| MPIP | Miscellaneous piping systems | Sistemas de tuberías misceláneos |</v>
      </c>
    </row>
    <row r="122" spans="2:17" x14ac:dyDescent="0.55000000000000004">
      <c r="B122" s="1" t="s">
        <v>548</v>
      </c>
      <c r="C122" s="1" t="s">
        <v>549</v>
      </c>
      <c r="D122" s="1" t="s">
        <v>550</v>
      </c>
      <c r="Q122" s="5" t="str">
        <f t="shared" si="10"/>
        <v>| NGAS | Natural gas systems | Sistemas de gas natural |</v>
      </c>
    </row>
    <row r="123" spans="2:17" x14ac:dyDescent="0.55000000000000004">
      <c r="B123" s="1" t="s">
        <v>551</v>
      </c>
      <c r="C123" s="1" t="s">
        <v>552</v>
      </c>
      <c r="D123" s="1" t="s">
        <v>553</v>
      </c>
      <c r="Q123" s="5" t="str">
        <f t="shared" si="10"/>
        <v>| NODE | Node | Nodo |</v>
      </c>
    </row>
    <row r="124" spans="2:17" x14ac:dyDescent="0.55000000000000004">
      <c r="B124" s="1" t="s">
        <v>554</v>
      </c>
      <c r="C124" s="1" t="s">
        <v>555</v>
      </c>
      <c r="D124" s="1" t="s">
        <v>556</v>
      </c>
      <c r="Q124" s="5" t="str">
        <f t="shared" si="10"/>
        <v>| NURS | Nurse call system | Sistema de llamada a enfermeras |</v>
      </c>
    </row>
    <row r="125" spans="2:17" x14ac:dyDescent="0.55000000000000004">
      <c r="B125" s="1" t="s">
        <v>557</v>
      </c>
      <c r="C125" s="1" t="s">
        <v>558</v>
      </c>
      <c r="D125" s="1" t="s">
        <v>559</v>
      </c>
      <c r="Q125" s="5" t="str">
        <f t="shared" si="10"/>
        <v>| OBST | Obstructions | Obstrucciones |</v>
      </c>
    </row>
    <row r="126" spans="2:17" x14ac:dyDescent="0.55000000000000004">
      <c r="B126" s="1" t="s">
        <v>560</v>
      </c>
      <c r="C126" s="1" t="s">
        <v>561</v>
      </c>
      <c r="D126" s="1" t="s">
        <v>562</v>
      </c>
      <c r="Q126" s="5" t="str">
        <f t="shared" si="10"/>
        <v>| OIL~ | Oil | Petróleo |</v>
      </c>
    </row>
    <row r="127" spans="2:17" x14ac:dyDescent="0.55000000000000004">
      <c r="B127" s="1" t="s">
        <v>563</v>
      </c>
      <c r="C127" s="1" t="s">
        <v>564</v>
      </c>
      <c r="D127" s="1" t="s">
        <v>565</v>
      </c>
      <c r="Q127" s="5" t="str">
        <f t="shared" si="10"/>
        <v>| OTGR | Outgrants | Conducciones de salida |</v>
      </c>
    </row>
    <row r="128" spans="2:17" x14ac:dyDescent="0.55000000000000004">
      <c r="B128" s="1" t="s">
        <v>566</v>
      </c>
      <c r="C128" s="1" t="s">
        <v>567</v>
      </c>
      <c r="D128" s="1" t="s">
        <v>568</v>
      </c>
      <c r="Q128" s="5" t="str">
        <f t="shared" si="10"/>
        <v>| PADS | Pads | Almohadillas |</v>
      </c>
    </row>
    <row r="129" spans="2:17" x14ac:dyDescent="0.55000000000000004">
      <c r="B129" s="1" t="s">
        <v>569</v>
      </c>
      <c r="C129" s="1" t="s">
        <v>570</v>
      </c>
      <c r="D129" s="1" t="s">
        <v>571</v>
      </c>
      <c r="Q129" s="5" t="str">
        <f t="shared" si="10"/>
        <v>| PERC | Perc testing | Prueba de percolación |</v>
      </c>
    </row>
    <row r="130" spans="2:17" x14ac:dyDescent="0.55000000000000004">
      <c r="B130" s="1" t="s">
        <v>572</v>
      </c>
      <c r="C130" s="1" t="s">
        <v>573</v>
      </c>
      <c r="D130" s="1" t="s">
        <v>574</v>
      </c>
      <c r="Q130" s="5" t="str">
        <f t="shared" si="10"/>
        <v>| PGNG | Paging system | Sistema de buscapersonas |</v>
      </c>
    </row>
    <row r="131" spans="2:17" x14ac:dyDescent="0.55000000000000004">
      <c r="B131" s="1" t="s">
        <v>575</v>
      </c>
      <c r="C131" s="1" t="s">
        <v>576</v>
      </c>
      <c r="D131" s="1" t="s">
        <v>577</v>
      </c>
      <c r="Q131" s="5" t="str">
        <f t="shared" si="10"/>
        <v>| PHON | Telephone system | Sistema telefónico |</v>
      </c>
    </row>
    <row r="132" spans="2:17" x14ac:dyDescent="0.55000000000000004">
      <c r="B132" s="1" t="s">
        <v>578</v>
      </c>
      <c r="C132" s="1" t="s">
        <v>579</v>
      </c>
      <c r="D132" s="1" t="s">
        <v>580</v>
      </c>
      <c r="Q132" s="5" t="str">
        <f t="shared" si="10"/>
        <v>| PIPE | Piping | Tuberías |</v>
      </c>
    </row>
    <row r="133" spans="2:17" x14ac:dyDescent="0.55000000000000004">
      <c r="B133" s="1" t="s">
        <v>581</v>
      </c>
      <c r="C133" s="1" t="s">
        <v>582</v>
      </c>
      <c r="D133" s="1" t="s">
        <v>583</v>
      </c>
      <c r="Q133" s="5" t="str">
        <f t="shared" ref="Q133:Q196" si="13">_xlfn.CONCAT("| ",B133," | ",C133," | ",D133," |")</f>
        <v>| PLAN | Key Plan (Floor Plan) | Plano clave (Plano de planta) |</v>
      </c>
    </row>
    <row r="134" spans="2:17" x14ac:dyDescent="0.55000000000000004">
      <c r="B134" s="1" t="s">
        <v>584</v>
      </c>
      <c r="C134" s="1" t="s">
        <v>585</v>
      </c>
      <c r="D134" s="1" t="s">
        <v>586</v>
      </c>
      <c r="Q134" s="5" t="str">
        <f t="shared" si="13"/>
        <v>| PLAT | Platform | Andén |</v>
      </c>
    </row>
    <row r="135" spans="2:17" x14ac:dyDescent="0.55000000000000004">
      <c r="B135" s="1" t="s">
        <v>587</v>
      </c>
      <c r="C135" s="1" t="s">
        <v>588</v>
      </c>
      <c r="D135" s="1" t="s">
        <v>589</v>
      </c>
      <c r="Q135" s="5" t="str">
        <f t="shared" si="13"/>
        <v>| PLNT | Plant and landscape material | Planta y material de jardinería |</v>
      </c>
    </row>
    <row r="136" spans="2:17" x14ac:dyDescent="0.55000000000000004">
      <c r="B136" s="1" t="s">
        <v>590</v>
      </c>
      <c r="C136" s="1" t="s">
        <v>591</v>
      </c>
      <c r="D136" s="1" t="s">
        <v>592</v>
      </c>
      <c r="Q136" s="5" t="str">
        <f t="shared" si="13"/>
        <v>| POND | Ponds | Estanques |</v>
      </c>
    </row>
    <row r="137" spans="2:17" x14ac:dyDescent="0.55000000000000004">
      <c r="B137" s="1" t="s">
        <v>593</v>
      </c>
      <c r="C137" s="1" t="s">
        <v>594</v>
      </c>
      <c r="D137" s="1" t="s">
        <v>595</v>
      </c>
      <c r="Q137" s="5" t="str">
        <f t="shared" si="13"/>
        <v>| POWR | Power | Energía |</v>
      </c>
    </row>
    <row r="138" spans="2:17" x14ac:dyDescent="0.55000000000000004">
      <c r="B138" s="1" t="s">
        <v>596</v>
      </c>
      <c r="C138" s="1" t="s">
        <v>597</v>
      </c>
      <c r="D138" s="1" t="s">
        <v>598</v>
      </c>
      <c r="Q138" s="5" t="str">
        <f t="shared" si="13"/>
        <v>| PRKG | Parking lots | Estacionamientos |</v>
      </c>
    </row>
    <row r="139" spans="2:17" x14ac:dyDescent="0.55000000000000004">
      <c r="B139" s="1" t="s">
        <v>599</v>
      </c>
      <c r="C139" s="1" t="s">
        <v>600</v>
      </c>
      <c r="D139" s="1" t="s">
        <v>601</v>
      </c>
      <c r="Q139" s="5" t="str">
        <f t="shared" si="13"/>
        <v>| PROC | Process systems | Sistemas de proceso |</v>
      </c>
    </row>
    <row r="140" spans="2:17" x14ac:dyDescent="0.55000000000000004">
      <c r="B140" s="1" t="s">
        <v>602</v>
      </c>
      <c r="C140" s="1" t="s">
        <v>603</v>
      </c>
      <c r="D140" s="1" t="s">
        <v>604</v>
      </c>
      <c r="Q140" s="5" t="str">
        <f t="shared" si="13"/>
        <v>| PROJ | Projector system | Sistema de proyectores |</v>
      </c>
    </row>
    <row r="141" spans="2:17" x14ac:dyDescent="0.55000000000000004">
      <c r="B141" s="1" t="s">
        <v>605</v>
      </c>
      <c r="C141" s="1" t="s">
        <v>606</v>
      </c>
      <c r="D141" s="1" t="s">
        <v>607</v>
      </c>
      <c r="Q141" s="5" t="str">
        <f t="shared" si="13"/>
        <v>| PROP | Property | Propiedad |</v>
      </c>
    </row>
    <row r="142" spans="2:17" x14ac:dyDescent="0.55000000000000004">
      <c r="B142" s="1" t="s">
        <v>608</v>
      </c>
      <c r="C142" s="1" t="s">
        <v>609</v>
      </c>
      <c r="D142" s="1" t="s">
        <v>610</v>
      </c>
      <c r="Q142" s="5" t="str">
        <f t="shared" si="13"/>
        <v>| PROT | Fire protection system | Sistema de protección contra incendios |</v>
      </c>
    </row>
    <row r="143" spans="2:17" x14ac:dyDescent="0.55000000000000004">
      <c r="B143" s="1" t="s">
        <v>611</v>
      </c>
      <c r="C143" s="1" t="s">
        <v>612</v>
      </c>
      <c r="D143" s="1" t="s">
        <v>613</v>
      </c>
      <c r="Q143" s="5" t="str">
        <f t="shared" si="13"/>
        <v>| PRTN | Partitions | Tabiques |</v>
      </c>
    </row>
    <row r="144" spans="2:17" x14ac:dyDescent="0.55000000000000004">
      <c r="B144" s="1" t="s">
        <v>614</v>
      </c>
      <c r="C144" s="1" t="s">
        <v>615</v>
      </c>
      <c r="D144" s="1" t="s">
        <v>616</v>
      </c>
      <c r="Q144" s="5" t="str">
        <f t="shared" si="13"/>
        <v>| PVMD | Photovoltaic modules | Módulos fotovoltaicos |</v>
      </c>
    </row>
    <row r="145" spans="2:17" x14ac:dyDescent="0.55000000000000004">
      <c r="B145" s="1" t="s">
        <v>617</v>
      </c>
      <c r="C145" s="1" t="s">
        <v>618</v>
      </c>
      <c r="D145" s="1" t="s">
        <v>619</v>
      </c>
      <c r="Q145" s="5" t="str">
        <f t="shared" si="13"/>
        <v>| PVMT | Pavement | Pavimento |</v>
      </c>
    </row>
    <row r="146" spans="2:17" x14ac:dyDescent="0.55000000000000004">
      <c r="B146" s="1" t="s">
        <v>620</v>
      </c>
      <c r="C146" s="1" t="s">
        <v>621</v>
      </c>
      <c r="D146" s="1" t="s">
        <v>622</v>
      </c>
      <c r="Q146" s="5" t="str">
        <f t="shared" si="13"/>
        <v>| RAIL | Railroad | Ferrocarril |</v>
      </c>
    </row>
    <row r="147" spans="2:17" x14ac:dyDescent="0.55000000000000004">
      <c r="B147" s="1" t="s">
        <v>623</v>
      </c>
      <c r="C147" s="1" t="s">
        <v>624</v>
      </c>
      <c r="D147" s="1" t="s">
        <v>625</v>
      </c>
      <c r="Q147" s="5" t="str">
        <f t="shared" si="13"/>
        <v>| RAIR | Relief air systems | Sistemas de aire de alivio |</v>
      </c>
    </row>
    <row r="148" spans="2:17" x14ac:dyDescent="0.55000000000000004">
      <c r="B148" s="1" t="s">
        <v>626</v>
      </c>
      <c r="C148" s="1" t="s">
        <v>627</v>
      </c>
      <c r="D148" s="1" t="s">
        <v>628</v>
      </c>
      <c r="Q148" s="5" t="str">
        <f t="shared" si="13"/>
        <v>| RCOV | Energy recovery systems | Sistemas de recuperación de energía |</v>
      </c>
    </row>
    <row r="149" spans="2:17" x14ac:dyDescent="0.55000000000000004">
      <c r="B149" s="1" t="s">
        <v>629</v>
      </c>
      <c r="C149" s="1" t="s">
        <v>630</v>
      </c>
      <c r="D149" s="1" t="s">
        <v>631</v>
      </c>
      <c r="Q149" s="5" t="str">
        <f t="shared" si="13"/>
        <v>| REFG | Refrigeration systems | Sistemas de refrigeración |</v>
      </c>
    </row>
    <row r="150" spans="2:17" x14ac:dyDescent="0.55000000000000004">
      <c r="B150" s="1" t="s">
        <v>632</v>
      </c>
      <c r="C150" s="1" t="s">
        <v>633</v>
      </c>
      <c r="D150" s="1" t="s">
        <v>634</v>
      </c>
      <c r="Q150" s="5" t="str">
        <f t="shared" si="13"/>
        <v>| RIGG | Rigging / automation systems | Aparejos/automatización Sistemas |</v>
      </c>
    </row>
    <row r="151" spans="2:17" x14ac:dyDescent="0.55000000000000004">
      <c r="B151" s="1" t="s">
        <v>635</v>
      </c>
      <c r="C151" s="1" t="s">
        <v>636</v>
      </c>
      <c r="D151" s="1" t="s">
        <v>637</v>
      </c>
      <c r="Q151" s="5" t="str">
        <f t="shared" si="13"/>
        <v>| RIVR | River | Río |</v>
      </c>
    </row>
    <row r="152" spans="2:17" x14ac:dyDescent="0.55000000000000004">
      <c r="B152" s="1" t="s">
        <v>638</v>
      </c>
      <c r="C152" s="1" t="s">
        <v>639</v>
      </c>
      <c r="D152" s="1" t="s">
        <v>640</v>
      </c>
      <c r="Q152" s="5" t="str">
        <f t="shared" si="13"/>
        <v>| ROAD | Roadways | Carreteras |</v>
      </c>
    </row>
    <row r="153" spans="2:17" x14ac:dyDescent="0.55000000000000004">
      <c r="B153" s="1" t="s">
        <v>641</v>
      </c>
      <c r="C153" s="1" t="s">
        <v>642</v>
      </c>
      <c r="D153" s="1" t="s">
        <v>302</v>
      </c>
      <c r="Q153" s="5" t="str">
        <f t="shared" si="13"/>
        <v>| ROOF | Roof | Techo |</v>
      </c>
    </row>
    <row r="154" spans="2:17" x14ac:dyDescent="0.55000000000000004">
      <c r="B154" s="1" t="s">
        <v>643</v>
      </c>
      <c r="C154" s="1" t="s">
        <v>644</v>
      </c>
      <c r="D154" s="1" t="s">
        <v>645</v>
      </c>
      <c r="Q154" s="5" t="str">
        <f t="shared" si="13"/>
        <v>| RRAP | Riprap | Escalones |</v>
      </c>
    </row>
    <row r="155" spans="2:17" x14ac:dyDescent="0.55000000000000004">
      <c r="B155" s="1" t="s">
        <v>646</v>
      </c>
      <c r="C155" s="1" t="s">
        <v>647</v>
      </c>
      <c r="D155" s="1" t="s">
        <v>648</v>
      </c>
      <c r="Q155" s="5" t="str">
        <f t="shared" si="13"/>
        <v>| RUNW | Runway | Pista |</v>
      </c>
    </row>
    <row r="156" spans="2:17" x14ac:dyDescent="0.55000000000000004">
      <c r="B156" s="1" t="s">
        <v>649</v>
      </c>
      <c r="C156" s="1" t="s">
        <v>650</v>
      </c>
      <c r="D156" s="1" t="s">
        <v>651</v>
      </c>
      <c r="Q156" s="5" t="str">
        <f t="shared" si="13"/>
        <v>| RWAY | Right-of-way | Derecho de paso |</v>
      </c>
    </row>
    <row r="157" spans="2:17" x14ac:dyDescent="0.55000000000000004">
      <c r="B157" s="1" t="s">
        <v>652</v>
      </c>
      <c r="C157" s="1" t="s">
        <v>653</v>
      </c>
      <c r="D157" s="1" t="s">
        <v>654</v>
      </c>
      <c r="Q157" s="5" t="str">
        <f t="shared" si="13"/>
        <v>| SECT | Section | Sección |</v>
      </c>
    </row>
    <row r="158" spans="2:17" x14ac:dyDescent="0.55000000000000004">
      <c r="B158" s="1" t="s">
        <v>655</v>
      </c>
      <c r="C158" s="1" t="s">
        <v>656</v>
      </c>
      <c r="D158" s="1" t="s">
        <v>657</v>
      </c>
      <c r="Q158" s="5" t="str">
        <f t="shared" si="13"/>
        <v>| SERT | Security system | Sistema de seguridad |</v>
      </c>
    </row>
    <row r="159" spans="2:17" x14ac:dyDescent="0.55000000000000004">
      <c r="B159" s="1" t="s">
        <v>658</v>
      </c>
      <c r="C159" s="1" t="s">
        <v>659</v>
      </c>
      <c r="D159" s="1" t="s">
        <v>660</v>
      </c>
      <c r="Q159" s="5" t="str">
        <f t="shared" si="13"/>
        <v>| SGHT | Sight distance | Distancia visual |</v>
      </c>
    </row>
    <row r="160" spans="2:17" x14ac:dyDescent="0.55000000000000004">
      <c r="B160" s="1" t="s">
        <v>661</v>
      </c>
      <c r="C160" s="1" t="s">
        <v>662</v>
      </c>
      <c r="D160" s="1" t="s">
        <v>663</v>
      </c>
      <c r="Q160" s="5" t="str">
        <f t="shared" si="13"/>
        <v>| SIGN | Sign | Señal |</v>
      </c>
    </row>
    <row r="161" spans="2:17" x14ac:dyDescent="0.55000000000000004">
      <c r="B161" s="1" t="s">
        <v>664</v>
      </c>
      <c r="C161" s="1" t="s">
        <v>665</v>
      </c>
      <c r="D161" s="1" t="s">
        <v>666</v>
      </c>
      <c r="Q161" s="5" t="str">
        <f t="shared" si="13"/>
        <v>| SITE | Site features | Características del sitio |</v>
      </c>
    </row>
    <row r="162" spans="2:17" x14ac:dyDescent="0.55000000000000004">
      <c r="B162" s="1" t="s">
        <v>667</v>
      </c>
      <c r="C162" s="1" t="s">
        <v>668</v>
      </c>
      <c r="D162" s="1" t="s">
        <v>669</v>
      </c>
      <c r="Q162" s="5" t="str">
        <f t="shared" si="13"/>
        <v>| SLAB | Slab | Losa |</v>
      </c>
    </row>
    <row r="163" spans="2:17" x14ac:dyDescent="0.55000000000000004">
      <c r="B163" s="1" t="s">
        <v>670</v>
      </c>
      <c r="C163" s="1" t="s">
        <v>671</v>
      </c>
      <c r="D163" s="1" t="s">
        <v>672</v>
      </c>
      <c r="Q163" s="5" t="str">
        <f t="shared" si="13"/>
        <v>| SLUR | Slurry | Lodo |</v>
      </c>
    </row>
    <row r="164" spans="2:17" x14ac:dyDescent="0.55000000000000004">
      <c r="B164" s="1" t="s">
        <v>673</v>
      </c>
      <c r="C164" s="1" t="s">
        <v>674</v>
      </c>
      <c r="D164" s="1" t="s">
        <v>675</v>
      </c>
      <c r="Q164" s="5" t="str">
        <f t="shared" si="13"/>
        <v>| SMOK | Smoke extraction systems | Sistemas de extracción de humos |</v>
      </c>
    </row>
    <row r="165" spans="2:17" x14ac:dyDescent="0.55000000000000004">
      <c r="B165" s="1" t="s">
        <v>676</v>
      </c>
      <c r="C165" s="1" t="s">
        <v>677</v>
      </c>
      <c r="D165" s="1" t="s">
        <v>678</v>
      </c>
      <c r="Q165" s="5" t="str">
        <f t="shared" si="13"/>
        <v>| SOIL | Soils | Suelos |</v>
      </c>
    </row>
    <row r="166" spans="2:17" x14ac:dyDescent="0.55000000000000004">
      <c r="B166" s="1" t="s">
        <v>679</v>
      </c>
      <c r="C166" s="1" t="s">
        <v>680</v>
      </c>
      <c r="D166" s="1" t="s">
        <v>681</v>
      </c>
      <c r="Q166" s="5" t="str">
        <f t="shared" si="13"/>
        <v>| SOUN | Sound system | Sistema de sonido |</v>
      </c>
    </row>
    <row r="167" spans="2:17" x14ac:dyDescent="0.55000000000000004">
      <c r="B167" s="1" t="s">
        <v>682</v>
      </c>
      <c r="C167" s="1" t="s">
        <v>683</v>
      </c>
      <c r="D167" s="1" t="s">
        <v>684</v>
      </c>
      <c r="Q167" s="5" t="str">
        <f t="shared" si="13"/>
        <v>| SPCL | Special systems | Sistemas especiales |</v>
      </c>
    </row>
    <row r="168" spans="2:17" x14ac:dyDescent="0.55000000000000004">
      <c r="B168" s="1" t="s">
        <v>685</v>
      </c>
      <c r="C168" s="1" t="s">
        <v>686</v>
      </c>
      <c r="D168" s="1" t="s">
        <v>687</v>
      </c>
      <c r="Q168" s="5" t="str">
        <f t="shared" si="13"/>
        <v>| SPFX | Entertainment special effects system | Sistema de efectos especiales para entretenimiento |</v>
      </c>
    </row>
    <row r="169" spans="2:17" x14ac:dyDescent="0.55000000000000004">
      <c r="B169" s="1" t="s">
        <v>688</v>
      </c>
      <c r="C169" s="1" t="s">
        <v>689</v>
      </c>
      <c r="D169" s="1" t="s">
        <v>690</v>
      </c>
      <c r="Q169" s="5" t="str">
        <f t="shared" si="13"/>
        <v>| SPKL | Sprinkler | Rociadores |</v>
      </c>
    </row>
    <row r="170" spans="2:17" x14ac:dyDescent="0.55000000000000004">
      <c r="B170" s="1" t="s">
        <v>691</v>
      </c>
      <c r="C170" s="1" t="s">
        <v>692</v>
      </c>
      <c r="D170" s="1" t="s">
        <v>693</v>
      </c>
      <c r="Q170" s="5" t="str">
        <f t="shared" si="13"/>
        <v>| SSWR | Sanitary sewer | Alcantarillado sanitario |</v>
      </c>
    </row>
    <row r="171" spans="2:17" x14ac:dyDescent="0.55000000000000004">
      <c r="B171" s="1" t="s">
        <v>694</v>
      </c>
      <c r="C171" s="1" t="s">
        <v>695</v>
      </c>
      <c r="D171" s="1" t="s">
        <v>696</v>
      </c>
      <c r="Q171" s="5" t="str">
        <f t="shared" si="13"/>
        <v>| STEM | Steam system | Sistema de vapor |</v>
      </c>
    </row>
    <row r="172" spans="2:17" x14ac:dyDescent="0.55000000000000004">
      <c r="B172" s="1" t="s">
        <v>697</v>
      </c>
      <c r="C172" s="1" t="s">
        <v>698</v>
      </c>
      <c r="D172" s="1" t="s">
        <v>699</v>
      </c>
      <c r="Q172" s="5" t="str">
        <f t="shared" si="13"/>
        <v>| STIF | Stiffener | Refuerzo |</v>
      </c>
    </row>
    <row r="173" spans="2:17" x14ac:dyDescent="0.55000000000000004">
      <c r="B173" s="1" t="s">
        <v>700</v>
      </c>
      <c r="C173" s="1" t="s">
        <v>701</v>
      </c>
      <c r="D173" s="1" t="s">
        <v>702</v>
      </c>
      <c r="Q173" s="5" t="str">
        <f t="shared" si="13"/>
        <v>| STRM | Storm sewer | Alcantarillado pluvial |</v>
      </c>
    </row>
    <row r="174" spans="2:17" x14ac:dyDescent="0.55000000000000004">
      <c r="B174" s="1" t="s">
        <v>703</v>
      </c>
      <c r="C174" s="1" t="s">
        <v>704</v>
      </c>
      <c r="D174" s="1" t="s">
        <v>705</v>
      </c>
      <c r="Q174" s="5" t="str">
        <f t="shared" si="13"/>
        <v>| STRS | Stairs | Escaleras |</v>
      </c>
    </row>
    <row r="175" spans="2:17" x14ac:dyDescent="0.55000000000000004">
      <c r="B175" s="1" t="s">
        <v>706</v>
      </c>
      <c r="C175" s="1" t="s">
        <v>707</v>
      </c>
      <c r="D175" s="1" t="s">
        <v>708</v>
      </c>
      <c r="Q175" s="5" t="str">
        <f t="shared" si="13"/>
        <v>| SURV | Survey | Topografía |</v>
      </c>
    </row>
    <row r="176" spans="2:17" x14ac:dyDescent="0.55000000000000004">
      <c r="B176" s="1" t="s">
        <v>709</v>
      </c>
      <c r="C176" s="1" t="s">
        <v>710</v>
      </c>
      <c r="D176" s="1" t="s">
        <v>711</v>
      </c>
      <c r="Q176" s="5" t="str">
        <f t="shared" si="13"/>
        <v>| SWLK | Sidewalks | Aceras |</v>
      </c>
    </row>
    <row r="177" spans="2:17" x14ac:dyDescent="0.55000000000000004">
      <c r="B177" s="1" t="s">
        <v>712</v>
      </c>
      <c r="C177" s="1" t="s">
        <v>713</v>
      </c>
      <c r="D177" s="1" t="s">
        <v>714</v>
      </c>
      <c r="Q177" s="5" t="str">
        <f t="shared" si="13"/>
        <v>| TEST | Test equipment | Equipo de prueba |</v>
      </c>
    </row>
    <row r="178" spans="2:17" x14ac:dyDescent="0.55000000000000004">
      <c r="B178" s="1" t="s">
        <v>715</v>
      </c>
      <c r="C178" s="1" t="s">
        <v>716</v>
      </c>
      <c r="D178" s="1" t="s">
        <v>717</v>
      </c>
      <c r="Q178" s="5" t="str">
        <f t="shared" si="13"/>
        <v>| TILE | Tile | Tejas |</v>
      </c>
    </row>
    <row r="179" spans="2:17" x14ac:dyDescent="0.55000000000000004">
      <c r="B179" s="1" t="s">
        <v>718</v>
      </c>
      <c r="C179" s="1" t="s">
        <v>719</v>
      </c>
      <c r="D179" s="1" t="s">
        <v>720</v>
      </c>
      <c r="Q179" s="5" t="str">
        <f t="shared" si="13"/>
        <v>| TINN | Triangulated irregular network | Red irregular triangular |</v>
      </c>
    </row>
    <row r="180" spans="2:17" x14ac:dyDescent="0.55000000000000004">
      <c r="B180" s="1" t="s">
        <v>721</v>
      </c>
      <c r="C180" s="1" t="s">
        <v>722</v>
      </c>
      <c r="D180" s="1" t="s">
        <v>723</v>
      </c>
      <c r="Q180" s="5" t="str">
        <f t="shared" si="13"/>
        <v>| TOPO | Topographic feature | Característica topográfica |</v>
      </c>
    </row>
    <row r="181" spans="2:17" x14ac:dyDescent="0.55000000000000004">
      <c r="B181" s="1" t="s">
        <v>724</v>
      </c>
      <c r="C181" s="1" t="s">
        <v>725</v>
      </c>
      <c r="D181" s="1" t="s">
        <v>726</v>
      </c>
      <c r="Q181" s="5" t="str">
        <f t="shared" si="13"/>
        <v>| TRAL | Trails or paths | Senderos o caminos |</v>
      </c>
    </row>
    <row r="182" spans="2:17" x14ac:dyDescent="0.55000000000000004">
      <c r="B182" s="1" t="s">
        <v>727</v>
      </c>
      <c r="C182" s="1" t="s">
        <v>728</v>
      </c>
      <c r="D182" s="1" t="s">
        <v>729</v>
      </c>
      <c r="Q182" s="5" t="str">
        <f t="shared" si="13"/>
        <v>| TRAN | Transmission system | Sistema de transmisión |</v>
      </c>
    </row>
    <row r="183" spans="2:17" x14ac:dyDescent="0.55000000000000004">
      <c r="B183" s="1" t="s">
        <v>730</v>
      </c>
      <c r="C183" s="1" t="s">
        <v>731</v>
      </c>
      <c r="D183" s="1" t="s">
        <v>732</v>
      </c>
      <c r="Q183" s="5" t="str">
        <f t="shared" si="13"/>
        <v>| TRUS | Trusses | Cerchas |</v>
      </c>
    </row>
    <row r="184" spans="2:17" x14ac:dyDescent="0.55000000000000004">
      <c r="B184" s="1" t="s">
        <v>733</v>
      </c>
      <c r="C184" s="1" t="s">
        <v>734</v>
      </c>
      <c r="D184" s="1" t="s">
        <v>735</v>
      </c>
      <c r="Q184" s="5" t="str">
        <f t="shared" si="13"/>
        <v>| TVAN | Television antenna system | Sistema de antena de televisión |</v>
      </c>
    </row>
    <row r="185" spans="2:17" x14ac:dyDescent="0.55000000000000004">
      <c r="B185" s="1" t="s">
        <v>736</v>
      </c>
      <c r="C185" s="1" t="s">
        <v>737</v>
      </c>
      <c r="D185" s="1" t="s">
        <v>738</v>
      </c>
      <c r="Q185" s="5" t="str">
        <f t="shared" si="13"/>
        <v>| TVVS | Television and video system | Sistema de televisión y video |</v>
      </c>
    </row>
    <row r="186" spans="2:17" x14ac:dyDescent="0.55000000000000004">
      <c r="B186" s="1" t="s">
        <v>739</v>
      </c>
      <c r="C186" s="1" t="s">
        <v>740</v>
      </c>
      <c r="D186" s="1" t="s">
        <v>741</v>
      </c>
      <c r="Q186" s="5" t="str">
        <f t="shared" si="13"/>
        <v>| UNID | Unidentified site objects | Objetos no identificados del sitio |</v>
      </c>
    </row>
    <row r="187" spans="2:17" x14ac:dyDescent="0.55000000000000004">
      <c r="B187" s="1" t="s">
        <v>742</v>
      </c>
      <c r="C187" s="1" t="s">
        <v>743</v>
      </c>
      <c r="D187" s="1" t="s">
        <v>744</v>
      </c>
      <c r="Q187" s="5" t="str">
        <f t="shared" si="13"/>
        <v>| UTIL | Utilities | Servicios públicos |</v>
      </c>
    </row>
    <row r="188" spans="2:17" x14ac:dyDescent="0.55000000000000004">
      <c r="B188" s="1" t="s">
        <v>745</v>
      </c>
      <c r="C188" s="1" t="s">
        <v>746</v>
      </c>
      <c r="D188" s="1" t="s">
        <v>747</v>
      </c>
      <c r="Q188" s="5" t="str">
        <f t="shared" si="13"/>
        <v>| VACU | Vacuum | Aspiradora |</v>
      </c>
    </row>
    <row r="189" spans="2:17" x14ac:dyDescent="0.55000000000000004">
      <c r="B189" s="1" t="s">
        <v>748</v>
      </c>
      <c r="C189" s="1" t="s">
        <v>749</v>
      </c>
      <c r="D189" s="1" t="s">
        <v>750</v>
      </c>
      <c r="Q189" s="5" t="str">
        <f t="shared" si="13"/>
        <v>| VIDO | Entertainment projection systems | Sistemas de proyección de entretenimiento |</v>
      </c>
    </row>
    <row r="190" spans="2:17" x14ac:dyDescent="0.55000000000000004">
      <c r="B190" s="1" t="s">
        <v>751</v>
      </c>
      <c r="C190" s="1" t="s">
        <v>752</v>
      </c>
      <c r="D190" s="1" t="s">
        <v>753</v>
      </c>
      <c r="Q190" s="5" t="str">
        <f t="shared" si="13"/>
        <v>| WALL | Walls | Muros |</v>
      </c>
    </row>
    <row r="191" spans="2:17" x14ac:dyDescent="0.55000000000000004">
      <c r="B191" s="1" t="s">
        <v>754</v>
      </c>
      <c r="C191" s="1" t="s">
        <v>755</v>
      </c>
      <c r="D191" s="1" t="s">
        <v>756</v>
      </c>
      <c r="Q191" s="5" t="str">
        <f t="shared" si="13"/>
        <v>| WATR | Water supply | Suministro de agua |</v>
      </c>
    </row>
    <row r="192" spans="2:17" x14ac:dyDescent="0.55000000000000004">
      <c r="B192" s="1" t="s">
        <v>757</v>
      </c>
      <c r="C192" s="1" t="s">
        <v>758</v>
      </c>
      <c r="D192" s="1" t="s">
        <v>759</v>
      </c>
      <c r="Q192" s="5" t="str">
        <f t="shared" si="13"/>
        <v>| WETL | Wetlands | Humedales |</v>
      </c>
    </row>
    <row r="193" spans="2:17" x14ac:dyDescent="0.55000000000000004">
      <c r="B193" s="1" t="s">
        <v>760</v>
      </c>
      <c r="C193" s="1" t="s">
        <v>761</v>
      </c>
      <c r="D193" s="1" t="s">
        <v>762</v>
      </c>
      <c r="Q193" s="5" t="str">
        <f t="shared" si="13"/>
        <v>| WIND | Wind powered | Energía eólica |</v>
      </c>
    </row>
    <row r="194" spans="2:17" x14ac:dyDescent="0.55000000000000004">
      <c r="B194" s="1" t="s">
        <v>763</v>
      </c>
      <c r="C194" s="1" t="s">
        <v>764</v>
      </c>
      <c r="D194" s="1" t="s">
        <v>765</v>
      </c>
      <c r="Q194" s="5" t="str">
        <f t="shared" si="13"/>
        <v>| WWAY | Waterway | Vía fluvial |</v>
      </c>
    </row>
    <row r="195" spans="2:17" x14ac:dyDescent="0.55000000000000004">
      <c r="Q195" s="5" t="str">
        <f t="shared" si="13"/>
        <v>|  |  |  |</v>
      </c>
    </row>
    <row r="196" spans="2:17" x14ac:dyDescent="0.55000000000000004">
      <c r="Q196" s="5" t="str">
        <f t="shared" si="13"/>
        <v>|  |  |  |</v>
      </c>
    </row>
    <row r="197" spans="2:17" x14ac:dyDescent="0.55000000000000004">
      <c r="Q197" s="5" t="str">
        <f t="shared" ref="Q197:Q215" si="14">_xlfn.CONCAT("| ",B197," | ",C197," | ",D197," |")</f>
        <v>|  |  |  |</v>
      </c>
    </row>
    <row r="198" spans="2:17" x14ac:dyDescent="0.55000000000000004">
      <c r="Q198" s="5" t="str">
        <f t="shared" si="14"/>
        <v>|  |  |  |</v>
      </c>
    </row>
    <row r="199" spans="2:17" x14ac:dyDescent="0.55000000000000004">
      <c r="Q199" s="5" t="str">
        <f t="shared" si="14"/>
        <v>|  |  |  |</v>
      </c>
    </row>
    <row r="200" spans="2:17" x14ac:dyDescent="0.55000000000000004">
      <c r="Q200" s="5" t="str">
        <f t="shared" si="14"/>
        <v>|  |  |  |</v>
      </c>
    </row>
    <row r="201" spans="2:17" x14ac:dyDescent="0.55000000000000004">
      <c r="Q201" s="5" t="str">
        <f t="shared" si="14"/>
        <v>|  |  |  |</v>
      </c>
    </row>
    <row r="202" spans="2:17" x14ac:dyDescent="0.55000000000000004">
      <c r="Q202" s="5" t="str">
        <f t="shared" si="14"/>
        <v>|  |  |  |</v>
      </c>
    </row>
    <row r="203" spans="2:17" x14ac:dyDescent="0.55000000000000004">
      <c r="Q203" s="5" t="str">
        <f t="shared" si="14"/>
        <v>|  |  |  |</v>
      </c>
    </row>
    <row r="204" spans="2:17" x14ac:dyDescent="0.55000000000000004">
      <c r="Q204" s="5" t="str">
        <f t="shared" si="14"/>
        <v>|  |  |  |</v>
      </c>
    </row>
    <row r="205" spans="2:17" x14ac:dyDescent="0.55000000000000004">
      <c r="Q205" s="5" t="str">
        <f t="shared" si="14"/>
        <v>|  |  |  |</v>
      </c>
    </row>
    <row r="206" spans="2:17" x14ac:dyDescent="0.55000000000000004">
      <c r="Q206" s="5" t="str">
        <f t="shared" si="14"/>
        <v>|  |  |  |</v>
      </c>
    </row>
    <row r="207" spans="2:17" x14ac:dyDescent="0.55000000000000004">
      <c r="Q207" s="5" t="str">
        <f t="shared" si="14"/>
        <v>|  |  |  |</v>
      </c>
    </row>
    <row r="208" spans="2:17" x14ac:dyDescent="0.55000000000000004">
      <c r="Q208" s="5" t="str">
        <f t="shared" si="14"/>
        <v>|  |  |  |</v>
      </c>
    </row>
    <row r="209" spans="17:17" x14ac:dyDescent="0.55000000000000004">
      <c r="Q209" s="5" t="str">
        <f t="shared" si="14"/>
        <v>|  |  |  |</v>
      </c>
    </row>
    <row r="210" spans="17:17" x14ac:dyDescent="0.55000000000000004">
      <c r="Q210" s="5" t="str">
        <f t="shared" si="14"/>
        <v>|  |  |  |</v>
      </c>
    </row>
    <row r="211" spans="17:17" x14ac:dyDescent="0.55000000000000004">
      <c r="Q211" s="5" t="str">
        <f t="shared" si="14"/>
        <v>|  |  |  |</v>
      </c>
    </row>
    <row r="212" spans="17:17" x14ac:dyDescent="0.55000000000000004">
      <c r="Q212" s="5" t="str">
        <f t="shared" si="14"/>
        <v>|  |  |  |</v>
      </c>
    </row>
    <row r="213" spans="17:17" x14ac:dyDescent="0.55000000000000004">
      <c r="Q213" s="5" t="str">
        <f t="shared" si="14"/>
        <v>|  |  |  |</v>
      </c>
    </row>
    <row r="214" spans="17:17" x14ac:dyDescent="0.55000000000000004">
      <c r="Q214" s="5" t="str">
        <f t="shared" si="14"/>
        <v>|  |  |  |</v>
      </c>
    </row>
    <row r="215" spans="17:17" x14ac:dyDescent="0.55000000000000004">
      <c r="Q215" s="5" t="str">
        <f t="shared" si="14"/>
        <v>|  |  |  |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73F0-A81A-4218-A9EB-3B3DC641466C}">
  <dimension ref="B1:V103"/>
  <sheetViews>
    <sheetView showGridLines="0" zoomScale="115" zoomScaleNormal="115" workbookViewId="0">
      <pane ySplit="4" topLeftCell="A5" activePane="bottomLeft" state="frozen"/>
      <selection pane="bottomLeft" activeCell="C3" sqref="C3:D3"/>
    </sheetView>
  </sheetViews>
  <sheetFormatPr defaultColWidth="9.140625" defaultRowHeight="15.4" x14ac:dyDescent="0.55000000000000004"/>
  <cols>
    <col min="1" max="1" width="2.7109375" style="1" customWidth="1"/>
    <col min="2" max="2" width="26.5703125" style="1" customWidth="1"/>
    <col min="3" max="3" width="46.140625" style="1" customWidth="1"/>
    <col min="4" max="4" width="29.28515625" style="1" customWidth="1"/>
    <col min="5" max="6" width="6.640625" style="1" customWidth="1"/>
    <col min="7" max="8" width="7.1406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150</v>
      </c>
      <c r="C3" s="4" t="s">
        <v>127</v>
      </c>
      <c r="D3" s="4" t="s">
        <v>128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Estado | Descripción (en) |</v>
      </c>
      <c r="Q3" s="5" t="str">
        <f>_xlfn.CONCAT("| ",B3," | ",C3," | ",D3," |")</f>
        <v>| Estado | Descripción (en) | Descripción (es) |</v>
      </c>
      <c r="R3" s="5" t="str">
        <f>_xlfn.CONCAT("| ",B3," | ",C3," | ",D3," | ",E3," |")</f>
        <v>| Estado | Descripción (en) | Descripción (es) | A |</v>
      </c>
      <c r="S3" s="5" t="str">
        <f>_xlfn.CONCAT("| ",B3," | ",C3," | ",D3," | ",E3," |",F3," |")</f>
        <v>| Estado | Descripción (en) | Descripción (es) | A |B |</v>
      </c>
      <c r="T3" s="5" t="str">
        <f>_xlfn.CONCAT("| ",B3," | ",C3," | ",D3," | ",E3," |",F3," |",G3," |")</f>
        <v>| Estado | Descripción (en) | Descripción (es) | A |B |C |</v>
      </c>
      <c r="U3" s="5" t="str">
        <f>_xlfn.CONCAT("| ",B3," | ",C3," | ",D3," | ",E3," | ",F3," | ",G3," | ",H3," |")</f>
        <v>| Estado | Descripción (en) | Descripción (es) | A | B | C | D |</v>
      </c>
      <c r="V3" s="5" t="str">
        <f t="shared" ref="V3:V14" si="0">_xlfn.CONCAT("| ",B3," | ",C3," | ",D3," | ",E3," |",F3," |",G3," |",H3," |",I3," |",J3," |",K3," |",L3," |",M3," |",N3," |")</f>
        <v>| Estado | Descripción (en) | Descripción (es)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x14ac:dyDescent="0.55000000000000004">
      <c r="B5" s="5" t="s">
        <v>11</v>
      </c>
      <c r="C5" s="5" t="s">
        <v>129</v>
      </c>
      <c r="D5" s="5" t="s">
        <v>130</v>
      </c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A | Abandoned |</v>
      </c>
      <c r="Q5" s="5" t="str">
        <f t="shared" ref="Q5:Q38" si="3">_xlfn.CONCAT("| ",B5," | ",C5," | ",D5," |")</f>
        <v>| A | Abandoned | Abandonado |</v>
      </c>
      <c r="R5" s="5" t="str">
        <f>_xlfn.CONCAT("| ",B5," | ",C5," | ",D5," | ",E5," |")</f>
        <v>| A | Abandoned | Abandonado | ✓ |</v>
      </c>
      <c r="S5" s="5" t="str">
        <f>_xlfn.CONCAT("| ",B5," | ",C5," | ",D5," | ",E5," |",F5," |")</f>
        <v>| A | Abandoned | Abandonado | ✓ |✓ |</v>
      </c>
      <c r="T5" s="5" t="str">
        <f t="shared" si="1"/>
        <v>| A | Abandoned | Abandonado | ✓ |✓ | |</v>
      </c>
      <c r="U5" s="5" t="str">
        <f t="shared" si="2"/>
        <v>| A | Abandoned | Abandonado | ✓ | ✓ |  |  |</v>
      </c>
      <c r="V5" s="5" t="str">
        <f t="shared" si="0"/>
        <v>| A | Abandoned | Abandonado | ✓ |✓ | | | | | | | | |</v>
      </c>
    </row>
    <row r="6" spans="2:22" x14ac:dyDescent="0.55000000000000004">
      <c r="B6" s="5" t="s">
        <v>14</v>
      </c>
      <c r="C6" s="5" t="s">
        <v>131</v>
      </c>
      <c r="D6" s="5" t="s">
        <v>132</v>
      </c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D | Existing to demolish |</v>
      </c>
      <c r="Q6" s="5" t="str">
        <f t="shared" si="3"/>
        <v>| D | Existing to demolish | Existente para demoler |</v>
      </c>
      <c r="R6" s="5" t="str">
        <f t="shared" ref="R6:R69" si="5">_xlfn.CONCAT("| ",B6," | ",C6," | ",D6," | ",E6," |")</f>
        <v>| D | Existing to demolish | Existente para demoler | ✓ |</v>
      </c>
      <c r="S6" s="5" t="str">
        <f t="shared" ref="S6:S69" si="6">_xlfn.CONCAT("| ",B6," | ",C6," | ",D6," | ",E6," |",F6," |")</f>
        <v>| D | Existing to demolish | Existente para demoler | ✓ |✕ |</v>
      </c>
      <c r="T6" s="5" t="str">
        <f t="shared" si="1"/>
        <v>| D | Existing to demolish | Existente para demoler | ✓ |✕ | |</v>
      </c>
      <c r="U6" s="5" t="str">
        <f t="shared" si="2"/>
        <v>| D | Existing to demolish | Existente para demoler | ✓ | ✕ |  |  |</v>
      </c>
      <c r="V6" s="5" t="str">
        <f t="shared" si="0"/>
        <v>| D | Existing to demolish | Existente para demoler | ✓ |✕ | | | | | | | | |</v>
      </c>
    </row>
    <row r="7" spans="2:22" x14ac:dyDescent="0.55000000000000004">
      <c r="B7" s="5" t="s">
        <v>54</v>
      </c>
      <c r="C7" s="5" t="s">
        <v>133</v>
      </c>
      <c r="D7" s="5" t="s">
        <v>134</v>
      </c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E | Existing to remain |</v>
      </c>
      <c r="Q7" s="5" t="str">
        <f t="shared" si="3"/>
        <v>| E | Existing to remain | Existente para conservar |</v>
      </c>
      <c r="R7" s="5" t="str">
        <f t="shared" si="5"/>
        <v>| E | Existing to remain | Existente para conservar | ✓ |</v>
      </c>
      <c r="S7" s="5" t="str">
        <f t="shared" si="6"/>
        <v>| E | Existing to remain | Existente para conservar | ✓ |✓ |</v>
      </c>
      <c r="T7" s="5" t="str">
        <f t="shared" si="1"/>
        <v>| E | Existing to remain | Existente para conservar | ✓ |✓ | |</v>
      </c>
      <c r="U7" s="5" t="str">
        <f t="shared" si="2"/>
        <v>| E | Existing to remain | Existente para conservar | ✓ | ✓ |  |  |</v>
      </c>
      <c r="V7" s="5" t="str">
        <f t="shared" si="0"/>
        <v>| E | Existing to remain | Existente para conservar | ✓ |✓ | | | | | | | | |</v>
      </c>
    </row>
    <row r="8" spans="2:22" x14ac:dyDescent="0.55000000000000004">
      <c r="B8" s="5" t="s">
        <v>149</v>
      </c>
      <c r="C8" s="5" t="s">
        <v>135</v>
      </c>
      <c r="D8" s="5" t="s">
        <v>136</v>
      </c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ß | Future work |</v>
      </c>
      <c r="Q8" s="5" t="str">
        <f t="shared" si="3"/>
        <v>| ß | Future work | Trabajo futuro |</v>
      </c>
      <c r="R8" s="5" t="str">
        <f t="shared" si="5"/>
        <v>| ß | Future work | Trabajo futuro | ✓ |</v>
      </c>
      <c r="S8" s="5" t="str">
        <f t="shared" si="6"/>
        <v>| ß | Future work | Trabajo futuro | ✓ |✕ |</v>
      </c>
      <c r="T8" s="5" t="str">
        <f t="shared" si="1"/>
        <v>| ß | Future work | Trabajo futuro | ✓ |✕ | |</v>
      </c>
      <c r="U8" s="5" t="str">
        <f t="shared" si="2"/>
        <v>| ß | Future work | Trabajo futuro | ✓ | ✕ |  |  |</v>
      </c>
      <c r="V8" s="5" t="str">
        <f t="shared" si="0"/>
        <v>| ß | Future work | Trabajo futuro | ✓ |✕ | | | | | | | | |</v>
      </c>
    </row>
    <row r="9" spans="2:22" x14ac:dyDescent="0.55000000000000004">
      <c r="B9" s="5" t="s">
        <v>71</v>
      </c>
      <c r="C9" s="5" t="s">
        <v>137</v>
      </c>
      <c r="D9" s="5" t="s">
        <v>138</v>
      </c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M | Items to be moved |</v>
      </c>
      <c r="Q9" s="5" t="str">
        <f t="shared" si="3"/>
        <v>| M | Items to be moved | Artículos a trasladar |</v>
      </c>
      <c r="R9" s="5" t="str">
        <f t="shared" si="5"/>
        <v>| M | Items to be moved | Artículos a trasladar | ✓ |</v>
      </c>
      <c r="S9" s="5" t="str">
        <f t="shared" si="6"/>
        <v>| M | Items to be moved | Artículos a trasladar | ✓ |✕ |</v>
      </c>
      <c r="T9" s="5" t="str">
        <f t="shared" si="1"/>
        <v>| M | Items to be moved | Artículos a trasladar | ✓ |✕ | |</v>
      </c>
      <c r="U9" s="5" t="str">
        <f t="shared" si="2"/>
        <v>| M | Items to be moved | Artículos a trasladar | ✓ | ✕ |  |  |</v>
      </c>
      <c r="V9" s="5" t="str">
        <f t="shared" si="0"/>
        <v>| M | Items to be moved | Artículos a trasladar | ✓ |✕ | | | | | | | | |</v>
      </c>
    </row>
    <row r="10" spans="2:22" x14ac:dyDescent="0.55000000000000004">
      <c r="B10" s="5" t="s">
        <v>139</v>
      </c>
      <c r="C10" s="5" t="s">
        <v>140</v>
      </c>
      <c r="D10" s="5" t="s">
        <v>141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N | New work |</v>
      </c>
      <c r="Q10" s="5" t="str">
        <f t="shared" si="3"/>
        <v>| N | New work | Trabajo nuevo |</v>
      </c>
      <c r="R10" s="5" t="str">
        <f t="shared" si="5"/>
        <v>| N | New work | Trabajo nuevo | ✓ |</v>
      </c>
      <c r="S10" s="5" t="str">
        <f t="shared" si="6"/>
        <v>| N | New work | Trabajo nuevo | ✓ |✕ |</v>
      </c>
      <c r="T10" s="5" t="str">
        <f t="shared" si="1"/>
        <v>| N | New work | Trabajo nuevo | ✓ |✕ | |</v>
      </c>
      <c r="U10" s="5" t="str">
        <f t="shared" si="2"/>
        <v>| N | New work | Trabajo nuevo | ✓ | ✕ |  |  |</v>
      </c>
      <c r="V10" s="5" t="str">
        <f t="shared" si="0"/>
        <v>| N | New work | Trabajo nuevo | ✓ |✕ | | | | | | | | |</v>
      </c>
    </row>
    <row r="11" spans="2:22" x14ac:dyDescent="0.55000000000000004">
      <c r="B11" s="5" t="s">
        <v>89</v>
      </c>
      <c r="C11" s="5" t="s">
        <v>142</v>
      </c>
      <c r="D11" s="5" t="s">
        <v>143</v>
      </c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T | Temporary work |</v>
      </c>
      <c r="Q11" s="5" t="str">
        <f t="shared" si="3"/>
        <v>| T | Temporary work | Trabajo temporal |</v>
      </c>
      <c r="R11" s="5" t="str">
        <f t="shared" si="5"/>
        <v>| T | Temporary work | Trabajo temporal | ✓ |</v>
      </c>
      <c r="S11" s="5" t="str">
        <f t="shared" si="6"/>
        <v>| T | Temporary work | Trabajo temporal | ✓ |✓ |</v>
      </c>
      <c r="T11" s="5" t="str">
        <f t="shared" si="1"/>
        <v>| T | Temporary work | Trabajo temporal | ✓ |✓ | |</v>
      </c>
      <c r="U11" s="5" t="str">
        <f t="shared" si="2"/>
        <v>| T | Temporary work | Trabajo temporal | ✓ | ✓ |  |  |</v>
      </c>
      <c r="V11" s="5" t="str">
        <f t="shared" si="0"/>
        <v>| T | Temporary work | Trabajo temporal | ✓ |✓ | | | | | | | | |</v>
      </c>
    </row>
    <row r="12" spans="2:22" x14ac:dyDescent="0.55000000000000004">
      <c r="B12" s="5" t="s">
        <v>98</v>
      </c>
      <c r="C12" s="5" t="s">
        <v>144</v>
      </c>
      <c r="D12" s="5" t="s">
        <v>145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X | Not in contract |</v>
      </c>
      <c r="Q12" s="5" t="str">
        <f t="shared" si="3"/>
        <v>| X | Not in contract | Sin contrato |</v>
      </c>
      <c r="R12" s="5" t="str">
        <f t="shared" si="5"/>
        <v>| X | Not in contract | Sin contrato |  |</v>
      </c>
      <c r="S12" s="5" t="str">
        <f t="shared" si="6"/>
        <v>| X | Not in contract | Sin contrato |  | |</v>
      </c>
      <c r="T12" s="5" t="str">
        <f t="shared" si="1"/>
        <v>| X | Not in contract | Sin contrato |  | | |</v>
      </c>
      <c r="U12" s="5"/>
      <c r="V12" s="5" t="str">
        <f t="shared" si="0"/>
        <v>| X | Not in contract | Sin contrato |  | | | | | | | | | |</v>
      </c>
    </row>
    <row r="13" spans="2:22" x14ac:dyDescent="0.55000000000000004">
      <c r="B13" s="5" t="s">
        <v>146</v>
      </c>
      <c r="C13" s="5" t="s">
        <v>147</v>
      </c>
      <c r="D13" s="5" t="s">
        <v>148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1a9 | Phase numbers |</v>
      </c>
      <c r="Q13" s="5" t="str">
        <f t="shared" si="3"/>
        <v>| 1a9 | Phase numbers | Número de fases |</v>
      </c>
      <c r="R13" s="5" t="str">
        <f t="shared" si="5"/>
        <v>| 1a9 | Phase numbers | Número de fases |  |</v>
      </c>
      <c r="S13" s="5" t="str">
        <f t="shared" si="6"/>
        <v>| 1a9 | Phase numbers | Número de fases |  | |</v>
      </c>
      <c r="T13" s="5" t="str">
        <f t="shared" si="1"/>
        <v>| 1a9 | Phase numbers | Número de fases |  | | |</v>
      </c>
      <c r="U13" s="5"/>
      <c r="V13" s="5" t="str">
        <f t="shared" si="0"/>
        <v>| 1a9 | Phase numbers | Número de fases |  | | | | | | | | | |</v>
      </c>
    </row>
    <row r="14" spans="2:22" x14ac:dyDescent="0.5500000000000000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 |  |</v>
      </c>
      <c r="Q14" s="5" t="str">
        <f t="shared" si="3"/>
        <v>|  |  |  |</v>
      </c>
      <c r="R14" s="5" t="str">
        <f t="shared" si="5"/>
        <v>|  |  |  |  |</v>
      </c>
      <c r="S14" s="5" t="str">
        <f t="shared" si="6"/>
        <v>|  |  |  |  | |</v>
      </c>
      <c r="T14" s="5" t="str">
        <f t="shared" si="1"/>
        <v>|  |  |  |  | | |</v>
      </c>
      <c r="U14" s="5"/>
      <c r="V14" s="5" t="str">
        <f t="shared" si="0"/>
        <v>|  |  |  |  | | | | | | | | | |</v>
      </c>
    </row>
    <row r="15" spans="2:22" x14ac:dyDescent="0.55000000000000004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 |  |  |</v>
      </c>
      <c r="R15" s="5"/>
      <c r="S15" s="5"/>
      <c r="T15" s="5"/>
      <c r="U15" s="5"/>
      <c r="V15" s="5"/>
    </row>
    <row r="16" spans="2:22" x14ac:dyDescent="0.55000000000000004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 |  |  |</v>
      </c>
      <c r="R16" s="5"/>
      <c r="S16" s="5"/>
      <c r="T16" s="5"/>
      <c r="U16" s="5"/>
      <c r="V16" s="5"/>
    </row>
    <row r="17" spans="2:22" x14ac:dyDescent="0.5500000000000000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 |  |  |</v>
      </c>
      <c r="R17" s="5"/>
      <c r="S17" s="5"/>
      <c r="T17" s="5"/>
      <c r="U17" s="5"/>
      <c r="V17" s="5"/>
    </row>
    <row r="18" spans="2:22" x14ac:dyDescent="0.5500000000000000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 |  |  |</v>
      </c>
      <c r="R18" s="5"/>
      <c r="S18" s="5"/>
      <c r="T18" s="5"/>
      <c r="U18" s="5"/>
      <c r="V18" s="5"/>
    </row>
    <row r="19" spans="2:22" x14ac:dyDescent="0.5500000000000000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 |  |  |</v>
      </c>
      <c r="R19" s="5"/>
      <c r="S19" s="5"/>
      <c r="T19" s="5"/>
      <c r="U19" s="5"/>
      <c r="V19" s="5"/>
    </row>
    <row r="20" spans="2:22" x14ac:dyDescent="0.5500000000000000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 |  |  |</v>
      </c>
      <c r="R20" s="5"/>
      <c r="S20" s="5"/>
      <c r="T20" s="5"/>
      <c r="U20" s="5"/>
      <c r="V20" s="5"/>
    </row>
    <row r="21" spans="2:22" x14ac:dyDescent="0.5500000000000000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 |  |  |</v>
      </c>
      <c r="R21" s="5"/>
      <c r="S21" s="5"/>
      <c r="T21" s="5"/>
      <c r="U21" s="5"/>
      <c r="V21" s="5"/>
    </row>
    <row r="22" spans="2:22" x14ac:dyDescent="0.55000000000000004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 |  |  |</v>
      </c>
      <c r="R22" s="5"/>
      <c r="S22" s="5"/>
      <c r="T22" s="5"/>
      <c r="U22" s="5"/>
      <c r="V22" s="5"/>
    </row>
    <row r="23" spans="2:22" x14ac:dyDescent="0.55000000000000004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 |  |  |</v>
      </c>
      <c r="R23" s="5"/>
      <c r="S23" s="5"/>
      <c r="T23" s="5"/>
      <c r="U23" s="5"/>
      <c r="V23" s="5"/>
    </row>
    <row r="24" spans="2:22" x14ac:dyDescent="0.5500000000000000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 |  |  |</v>
      </c>
      <c r="R24" s="5"/>
      <c r="S24" s="5"/>
      <c r="T24" s="5"/>
      <c r="U24" s="5"/>
      <c r="V24" s="5"/>
    </row>
    <row r="25" spans="2:22" x14ac:dyDescent="0.5500000000000000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 |  |  |</v>
      </c>
      <c r="R25" s="5"/>
      <c r="S25" s="5"/>
      <c r="T25" s="5"/>
      <c r="U25" s="5"/>
      <c r="V25" s="5"/>
    </row>
    <row r="26" spans="2:22" x14ac:dyDescent="0.55000000000000004"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 |  |  |</v>
      </c>
      <c r="R26" s="5"/>
      <c r="S26" s="5"/>
      <c r="T26" s="5"/>
      <c r="U26" s="5"/>
      <c r="V26" s="5"/>
    </row>
    <row r="27" spans="2:22" x14ac:dyDescent="0.55000000000000004"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 |  |  |</v>
      </c>
      <c r="R27" s="5"/>
      <c r="S27" s="5"/>
      <c r="T27" s="5"/>
      <c r="U27" s="5"/>
      <c r="V27" s="5"/>
    </row>
    <row r="28" spans="2:22" x14ac:dyDescent="0.55000000000000004"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 |  |  |</v>
      </c>
      <c r="R28" s="5"/>
      <c r="S28" s="5"/>
      <c r="T28" s="5"/>
      <c r="U28" s="5"/>
      <c r="V28" s="5"/>
    </row>
    <row r="29" spans="2:22" x14ac:dyDescent="0.55000000000000004"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 |  |  |</v>
      </c>
      <c r="R29" s="5"/>
      <c r="S29" s="5"/>
      <c r="T29" s="5"/>
      <c r="U29" s="5"/>
      <c r="V29" s="5"/>
    </row>
    <row r="30" spans="2:22" x14ac:dyDescent="0.55000000000000004"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 |  |  |</v>
      </c>
      <c r="R30" s="5"/>
      <c r="S30" s="5"/>
      <c r="T30" s="5"/>
      <c r="U30" s="5"/>
      <c r="V30" s="5"/>
    </row>
    <row r="31" spans="2:22" x14ac:dyDescent="0.55000000000000004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 |  |  |</v>
      </c>
      <c r="R31" s="5"/>
      <c r="S31" s="5"/>
      <c r="T31" s="5"/>
      <c r="U31" s="5"/>
      <c r="V31" s="5"/>
    </row>
    <row r="32" spans="2:22" x14ac:dyDescent="0.55000000000000004"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 |  |  |</v>
      </c>
      <c r="R32" s="5"/>
      <c r="S32" s="5"/>
      <c r="T32" s="5"/>
      <c r="U32" s="5"/>
      <c r="V32" s="5"/>
    </row>
    <row r="33" spans="2:22" x14ac:dyDescent="0.55000000000000004"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 |  |  |</v>
      </c>
      <c r="R33" s="5"/>
      <c r="S33" s="5"/>
      <c r="T33" s="5"/>
      <c r="U33" s="5"/>
      <c r="V33" s="5"/>
    </row>
    <row r="34" spans="2:22" x14ac:dyDescent="0.5500000000000000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 |  |  |</v>
      </c>
      <c r="R34" s="5"/>
      <c r="S34" s="5"/>
      <c r="T34" s="5"/>
      <c r="U34" s="5"/>
      <c r="V34" s="5"/>
    </row>
    <row r="35" spans="2:22" x14ac:dyDescent="0.5500000000000000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 |  |  |</v>
      </c>
      <c r="R35" s="5"/>
      <c r="S35" s="5"/>
      <c r="T35" s="5"/>
      <c r="U35" s="5"/>
      <c r="V35" s="5"/>
    </row>
    <row r="36" spans="2:22" x14ac:dyDescent="0.5500000000000000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 |  |  |</v>
      </c>
      <c r="R36" s="5"/>
      <c r="S36" s="5"/>
      <c r="T36" s="5"/>
      <c r="U36" s="5"/>
      <c r="V36" s="5"/>
    </row>
    <row r="37" spans="2:22" x14ac:dyDescent="0.55000000000000004"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 |  |  |</v>
      </c>
      <c r="R37" s="5"/>
      <c r="S37" s="5"/>
      <c r="T37" s="5"/>
      <c r="U37" s="5"/>
      <c r="V37" s="5"/>
    </row>
    <row r="38" spans="2:22" x14ac:dyDescent="0.55000000000000004">
      <c r="B38" s="5"/>
      <c r="C38" s="5"/>
      <c r="D38" s="4"/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 |  |  |</v>
      </c>
      <c r="R38" s="5"/>
      <c r="S38" s="5"/>
      <c r="T38" s="5"/>
      <c r="U38" s="5"/>
      <c r="V38" s="5"/>
    </row>
    <row r="39" spans="2:22" x14ac:dyDescent="0.55000000000000004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/>
      <c r="R39" s="5"/>
      <c r="S39" s="5"/>
      <c r="T39" s="5"/>
      <c r="U39" s="5"/>
      <c r="V39" s="5"/>
    </row>
    <row r="40" spans="2:22" x14ac:dyDescent="0.55000000000000004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/>
      <c r="R40" s="5"/>
      <c r="S40" s="5"/>
      <c r="T40" s="5"/>
      <c r="U40" s="5"/>
      <c r="V40" s="5"/>
    </row>
    <row r="41" spans="2:22" x14ac:dyDescent="0.5500000000000000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/>
      <c r="R41" s="5"/>
      <c r="S41" s="5"/>
      <c r="T41" s="5"/>
      <c r="U41" s="5"/>
      <c r="V41" s="5"/>
    </row>
    <row r="42" spans="2:22" x14ac:dyDescent="0.5500000000000000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</row>
    <row r="43" spans="2:22" x14ac:dyDescent="0.5500000000000000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</row>
    <row r="44" spans="2:22" x14ac:dyDescent="0.5500000000000000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</row>
    <row r="45" spans="2:22" x14ac:dyDescent="0.5500000000000000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103" si="7">_xlfn.CONCAT("| ",B45," | ",C45," |")</f>
        <v>|  |  |</v>
      </c>
      <c r="Q45" s="5" t="str">
        <f t="shared" ref="Q45:Q103" si="8">_xlfn.CONCAT("| ",B45," | ",C45," | ",D45," |")</f>
        <v>|  |  |  |</v>
      </c>
      <c r="R45" s="5" t="str">
        <f t="shared" si="5"/>
        <v>|  |  |  |  |</v>
      </c>
      <c r="S45" s="5" t="str">
        <f t="shared" si="6"/>
        <v>|  |  |  |  | |</v>
      </c>
      <c r="T45" s="5" t="str">
        <f t="shared" si="1"/>
        <v>|  |  |  |  | | |</v>
      </c>
      <c r="U45" s="5"/>
      <c r="V45" s="5" t="str">
        <f t="shared" ref="V45:V103" si="9">_xlfn.CONCAT("| ",B45," | ",C45," | ",D45," | ",E45," |",F45," |",G45," |",H45," |",I45," |",J45," |",K45," |",L45," |",M45," |",N45," |")</f>
        <v>|  |  |  |  | | | | | | | | | |</v>
      </c>
    </row>
    <row r="46" spans="2:22" x14ac:dyDescent="0.5500000000000000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 |  |</v>
      </c>
      <c r="Q46" s="5" t="str">
        <f t="shared" si="8"/>
        <v>|  |  |  |</v>
      </c>
      <c r="R46" s="5" t="str">
        <f t="shared" si="5"/>
        <v>|  |  |  |  |</v>
      </c>
      <c r="S46" s="5" t="str">
        <f t="shared" si="6"/>
        <v>|  |  |  |  | |</v>
      </c>
      <c r="T46" s="5" t="str">
        <f t="shared" si="1"/>
        <v>|  |  |  |  | | |</v>
      </c>
      <c r="U46" s="5"/>
      <c r="V46" s="5" t="str">
        <f t="shared" si="9"/>
        <v>|  |  |  |  | | | | | | | | | |</v>
      </c>
    </row>
    <row r="47" spans="2:22" x14ac:dyDescent="0.5500000000000000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 |  |</v>
      </c>
      <c r="Q47" s="5" t="str">
        <f t="shared" si="8"/>
        <v>|  |  |  |</v>
      </c>
      <c r="R47" s="5" t="str">
        <f t="shared" si="5"/>
        <v>|  |  |  |  |</v>
      </c>
      <c r="S47" s="5" t="str">
        <f t="shared" si="6"/>
        <v>|  |  |  |  | |</v>
      </c>
      <c r="T47" s="5" t="str">
        <f t="shared" si="1"/>
        <v>|  |  |  |  | | |</v>
      </c>
      <c r="U47" s="5"/>
      <c r="V47" s="5" t="str">
        <f t="shared" si="9"/>
        <v>|  |  |  |  | | | | | | | | | |</v>
      </c>
    </row>
    <row r="48" spans="2:22" x14ac:dyDescent="0.5500000000000000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 |  |</v>
      </c>
      <c r="Q48" s="5" t="str">
        <f t="shared" si="8"/>
        <v>|  |  |  |</v>
      </c>
      <c r="R48" s="5" t="str">
        <f t="shared" si="5"/>
        <v>|  |  |  |  |</v>
      </c>
      <c r="S48" s="5" t="str">
        <f t="shared" si="6"/>
        <v>|  |  |  |  | |</v>
      </c>
      <c r="T48" s="5" t="str">
        <f t="shared" si="1"/>
        <v>|  |  |  |  | | |</v>
      </c>
      <c r="U48" s="5"/>
      <c r="V48" s="5" t="str">
        <f t="shared" si="9"/>
        <v>|  |  |  |  | | | | | | | | | |</v>
      </c>
    </row>
    <row r="49" spans="2:22" x14ac:dyDescent="0.5500000000000000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 |  |</v>
      </c>
      <c r="Q49" s="5" t="str">
        <f t="shared" si="8"/>
        <v>|  |  |  |</v>
      </c>
      <c r="R49" s="5" t="str">
        <f t="shared" si="5"/>
        <v>|  |  |  |  |</v>
      </c>
      <c r="S49" s="5" t="str">
        <f t="shared" si="6"/>
        <v>|  |  |  |  | |</v>
      </c>
      <c r="T49" s="5" t="str">
        <f t="shared" si="1"/>
        <v>|  |  |  |  | | |</v>
      </c>
      <c r="U49" s="5"/>
      <c r="V49" s="5" t="str">
        <f t="shared" si="9"/>
        <v>|  |  |  |  | | | | | | | | | |</v>
      </c>
    </row>
    <row r="50" spans="2:22" x14ac:dyDescent="0.5500000000000000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 |  |</v>
      </c>
      <c r="Q50" s="5" t="str">
        <f t="shared" si="8"/>
        <v>|  |  |  |</v>
      </c>
      <c r="R50" s="5" t="str">
        <f t="shared" si="5"/>
        <v>|  |  |  |  |</v>
      </c>
      <c r="S50" s="5" t="str">
        <f t="shared" si="6"/>
        <v>|  |  |  |  | |</v>
      </c>
      <c r="T50" s="5" t="str">
        <f t="shared" si="1"/>
        <v>|  |  |  |  | | |</v>
      </c>
      <c r="U50" s="5"/>
      <c r="V50" s="5" t="str">
        <f t="shared" si="9"/>
        <v>|  |  |  |  | | | | | | | | | |</v>
      </c>
    </row>
    <row r="51" spans="2:22" x14ac:dyDescent="0.5500000000000000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 |  |</v>
      </c>
      <c r="Q51" s="5" t="str">
        <f t="shared" si="8"/>
        <v>|  |  |  |</v>
      </c>
      <c r="R51" s="5" t="str">
        <f t="shared" si="5"/>
        <v>|  |  |  |  |</v>
      </c>
      <c r="S51" s="5" t="str">
        <f t="shared" si="6"/>
        <v>|  |  |  |  | |</v>
      </c>
      <c r="T51" s="5" t="str">
        <f t="shared" si="1"/>
        <v>|  |  |  |  | | |</v>
      </c>
      <c r="U51" s="5"/>
      <c r="V51" s="5" t="str">
        <f t="shared" si="9"/>
        <v>|  |  |  |  | | | | | | | | | |</v>
      </c>
    </row>
    <row r="52" spans="2:22" x14ac:dyDescent="0.5500000000000000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 |  |</v>
      </c>
      <c r="Q52" s="5" t="str">
        <f t="shared" si="8"/>
        <v>|  |  |  |</v>
      </c>
      <c r="R52" s="5" t="str">
        <f t="shared" si="5"/>
        <v>|  |  |  |  |</v>
      </c>
      <c r="S52" s="5" t="str">
        <f t="shared" si="6"/>
        <v>|  |  |  |  | |</v>
      </c>
      <c r="T52" s="5" t="str">
        <f t="shared" si="1"/>
        <v>|  |  |  |  | | |</v>
      </c>
      <c r="U52" s="5"/>
      <c r="V52" s="5" t="str">
        <f t="shared" si="9"/>
        <v>|  |  |  |  | | | | | | | | | |</v>
      </c>
    </row>
    <row r="53" spans="2:22" x14ac:dyDescent="0.5500000000000000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 |  |</v>
      </c>
      <c r="Q53" s="5" t="str">
        <f t="shared" si="8"/>
        <v>|  |  |  |</v>
      </c>
      <c r="R53" s="5" t="str">
        <f t="shared" si="5"/>
        <v>|  |  |  |  |</v>
      </c>
      <c r="S53" s="5" t="str">
        <f t="shared" si="6"/>
        <v>|  |  |  |  | |</v>
      </c>
      <c r="T53" s="5" t="str">
        <f t="shared" si="1"/>
        <v>|  |  |  |  | | |</v>
      </c>
      <c r="U53" s="5"/>
      <c r="V53" s="5" t="str">
        <f t="shared" si="9"/>
        <v>|  |  |  |  | | | | | | | | | |</v>
      </c>
    </row>
    <row r="54" spans="2:22" x14ac:dyDescent="0.5500000000000000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 |  |</v>
      </c>
      <c r="Q54" s="5" t="str">
        <f t="shared" si="8"/>
        <v>|  |  |  |</v>
      </c>
      <c r="R54" s="5" t="str">
        <f t="shared" si="5"/>
        <v>|  |  |  |  |</v>
      </c>
      <c r="S54" s="5" t="str">
        <f t="shared" si="6"/>
        <v>|  |  |  |  | |</v>
      </c>
      <c r="T54" s="5" t="str">
        <f t="shared" si="1"/>
        <v>|  |  |  |  | | |</v>
      </c>
      <c r="U54" s="5"/>
      <c r="V54" s="5" t="str">
        <f t="shared" si="9"/>
        <v>|  |  |  |  | | | | | | | | | |</v>
      </c>
    </row>
    <row r="55" spans="2:22" x14ac:dyDescent="0.5500000000000000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 |  |</v>
      </c>
      <c r="Q55" s="5" t="str">
        <f t="shared" si="8"/>
        <v>|  |  |  |</v>
      </c>
      <c r="R55" s="5" t="str">
        <f t="shared" si="5"/>
        <v>|  |  |  |  |</v>
      </c>
      <c r="S55" s="5" t="str">
        <f t="shared" si="6"/>
        <v>|  |  |  |  | |</v>
      </c>
      <c r="T55" s="5" t="str">
        <f t="shared" si="1"/>
        <v>|  |  |  |  | | |</v>
      </c>
      <c r="U55" s="5"/>
      <c r="V55" s="5" t="str">
        <f t="shared" si="9"/>
        <v>|  |  |  |  | | | | | | | | | |</v>
      </c>
    </row>
    <row r="56" spans="2:22" x14ac:dyDescent="0.5500000000000000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 |  |</v>
      </c>
      <c r="Q56" s="5" t="str">
        <f t="shared" si="8"/>
        <v>|  |  |  |</v>
      </c>
      <c r="R56" s="5" t="str">
        <f t="shared" si="5"/>
        <v>|  |  |  |  |</v>
      </c>
      <c r="S56" s="5" t="str">
        <f t="shared" si="6"/>
        <v>|  |  |  |  | |</v>
      </c>
      <c r="T56" s="5" t="str">
        <f t="shared" si="1"/>
        <v>|  |  |  |  | | |</v>
      </c>
      <c r="U56" s="5"/>
      <c r="V56" s="5" t="str">
        <f t="shared" si="9"/>
        <v>|  |  |  |  | | | | | | | | | |</v>
      </c>
    </row>
    <row r="57" spans="2:22" x14ac:dyDescent="0.5500000000000000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 |  |</v>
      </c>
      <c r="Q57" s="5" t="str">
        <f t="shared" si="8"/>
        <v>|  |  |  |</v>
      </c>
      <c r="R57" s="5" t="str">
        <f t="shared" si="5"/>
        <v>|  |  |  |  |</v>
      </c>
      <c r="S57" s="5" t="str">
        <f t="shared" si="6"/>
        <v>|  |  |  |  | |</v>
      </c>
      <c r="T57" s="5" t="str">
        <f t="shared" si="1"/>
        <v>|  |  |  |  | | |</v>
      </c>
      <c r="U57" s="5"/>
      <c r="V57" s="5" t="str">
        <f t="shared" si="9"/>
        <v>|  |  |  |  | | | | | | | | | |</v>
      </c>
    </row>
    <row r="58" spans="2:22" x14ac:dyDescent="0.5500000000000000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 |  |</v>
      </c>
      <c r="Q58" s="5" t="str">
        <f t="shared" si="8"/>
        <v>|  |  |  |</v>
      </c>
      <c r="R58" s="5" t="str">
        <f t="shared" si="5"/>
        <v>|  |  |  |  |</v>
      </c>
      <c r="S58" s="5" t="str">
        <f t="shared" si="6"/>
        <v>|  |  |  |  | |</v>
      </c>
      <c r="T58" s="5" t="str">
        <f t="shared" si="1"/>
        <v>|  |  |  |  | | |</v>
      </c>
      <c r="U58" s="5"/>
      <c r="V58" s="5" t="str">
        <f t="shared" si="9"/>
        <v>|  |  |  |  | | | | | | | | | |</v>
      </c>
    </row>
    <row r="59" spans="2:22" x14ac:dyDescent="0.5500000000000000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 |  |</v>
      </c>
      <c r="Q59" s="5" t="str">
        <f t="shared" si="8"/>
        <v>|  |  |  |</v>
      </c>
      <c r="R59" s="5" t="str">
        <f t="shared" si="5"/>
        <v>|  |  |  |  |</v>
      </c>
      <c r="S59" s="5" t="str">
        <f t="shared" si="6"/>
        <v>|  |  |  |  | |</v>
      </c>
      <c r="T59" s="5" t="str">
        <f t="shared" si="1"/>
        <v>|  |  |  |  | | |</v>
      </c>
      <c r="U59" s="5"/>
      <c r="V59" s="5" t="str">
        <f t="shared" si="9"/>
        <v>|  |  |  |  | | | | | | | | | |</v>
      </c>
    </row>
    <row r="60" spans="2:22" x14ac:dyDescent="0.5500000000000000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 |  |</v>
      </c>
      <c r="Q60" s="5" t="str">
        <f t="shared" si="8"/>
        <v>|  |  |  |</v>
      </c>
      <c r="R60" s="5" t="str">
        <f t="shared" si="5"/>
        <v>|  |  |  |  |</v>
      </c>
      <c r="S60" s="5" t="str">
        <f t="shared" si="6"/>
        <v>|  |  |  |  | |</v>
      </c>
      <c r="T60" s="5" t="str">
        <f t="shared" si="1"/>
        <v>|  |  |  |  | | |</v>
      </c>
      <c r="U60" s="5"/>
      <c r="V60" s="5" t="str">
        <f t="shared" si="9"/>
        <v>|  |  |  |  | | | | | | | | | |</v>
      </c>
    </row>
    <row r="61" spans="2:22" x14ac:dyDescent="0.5500000000000000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 |  |</v>
      </c>
      <c r="Q61" s="5" t="str">
        <f t="shared" si="8"/>
        <v>|  |  |  |</v>
      </c>
      <c r="R61" s="5" t="str">
        <f t="shared" si="5"/>
        <v>|  |  |  |  |</v>
      </c>
      <c r="S61" s="5" t="str">
        <f t="shared" si="6"/>
        <v>|  |  |  |  | |</v>
      </c>
      <c r="T61" s="5" t="str">
        <f t="shared" si="1"/>
        <v>|  |  |  |  | | |</v>
      </c>
      <c r="U61" s="5"/>
      <c r="V61" s="5" t="str">
        <f t="shared" si="9"/>
        <v>|  |  |  |  | | | | | | | | | |</v>
      </c>
    </row>
    <row r="62" spans="2:22" x14ac:dyDescent="0.5500000000000000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 |  |</v>
      </c>
      <c r="Q62" s="5" t="str">
        <f t="shared" si="8"/>
        <v>|  |  |  |</v>
      </c>
      <c r="R62" s="5" t="str">
        <f t="shared" si="5"/>
        <v>|  |  |  |  |</v>
      </c>
      <c r="S62" s="5" t="str">
        <f t="shared" si="6"/>
        <v>|  |  |  |  | |</v>
      </c>
      <c r="T62" s="5" t="str">
        <f t="shared" si="1"/>
        <v>|  |  |  |  | | |</v>
      </c>
      <c r="U62" s="5"/>
      <c r="V62" s="5" t="str">
        <f t="shared" si="9"/>
        <v>|  |  |  |  | | | | | | | | | |</v>
      </c>
    </row>
    <row r="63" spans="2:22" x14ac:dyDescent="0.5500000000000000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 |  |</v>
      </c>
      <c r="Q63" s="5" t="str">
        <f t="shared" si="8"/>
        <v>|  |  |  |</v>
      </c>
      <c r="R63" s="5" t="str">
        <f t="shared" si="5"/>
        <v>|  |  |  |  |</v>
      </c>
      <c r="S63" s="5" t="str">
        <f t="shared" si="6"/>
        <v>|  |  |  |  | |</v>
      </c>
      <c r="T63" s="5" t="str">
        <f t="shared" si="1"/>
        <v>|  |  |  |  | | |</v>
      </c>
      <c r="U63" s="5"/>
      <c r="V63" s="5" t="str">
        <f t="shared" si="9"/>
        <v>|  |  |  |  | | | | | | | | | |</v>
      </c>
    </row>
    <row r="64" spans="2:22" x14ac:dyDescent="0.5500000000000000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 |  |</v>
      </c>
      <c r="Q64" s="5" t="str">
        <f t="shared" si="8"/>
        <v>|  |  |  |</v>
      </c>
      <c r="R64" s="5" t="str">
        <f t="shared" si="5"/>
        <v>|  |  |  |  |</v>
      </c>
      <c r="S64" s="5" t="str">
        <f t="shared" si="6"/>
        <v>|  |  |  |  | |</v>
      </c>
      <c r="T64" s="5" t="str">
        <f t="shared" si="1"/>
        <v>|  |  |  |  | | |</v>
      </c>
      <c r="U64" s="5"/>
      <c r="V64" s="5" t="str">
        <f t="shared" si="9"/>
        <v>|  |  |  |  | | | | | | | | | |</v>
      </c>
    </row>
    <row r="65" spans="2:22" x14ac:dyDescent="0.5500000000000000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 |  |</v>
      </c>
      <c r="Q65" s="5" t="str">
        <f t="shared" si="8"/>
        <v>|  |  |  |</v>
      </c>
      <c r="R65" s="5" t="str">
        <f t="shared" si="5"/>
        <v>|  |  |  |  |</v>
      </c>
      <c r="S65" s="5" t="str">
        <f t="shared" si="6"/>
        <v>|  |  |  |  | |</v>
      </c>
      <c r="T65" s="5" t="str">
        <f t="shared" si="1"/>
        <v>|  |  |  |  | | |</v>
      </c>
      <c r="U65" s="5"/>
      <c r="V65" s="5" t="str">
        <f t="shared" si="9"/>
        <v>|  |  |  |  | | | | | | | | | |</v>
      </c>
    </row>
    <row r="66" spans="2:22" x14ac:dyDescent="0.55000000000000004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 |  |</v>
      </c>
      <c r="Q66" s="5" t="str">
        <f t="shared" si="8"/>
        <v>|  |  |  |</v>
      </c>
      <c r="R66" s="5" t="str">
        <f t="shared" si="5"/>
        <v>|  |  |  |  |</v>
      </c>
      <c r="S66" s="5" t="str">
        <f t="shared" si="6"/>
        <v>|  |  |  |  | |</v>
      </c>
      <c r="T66" s="5" t="str">
        <f t="shared" si="1"/>
        <v>|  |  |  |  | | |</v>
      </c>
      <c r="U66" s="5"/>
      <c r="V66" s="5" t="str">
        <f t="shared" si="9"/>
        <v>|  |  |  |  | | | | | | | | | |</v>
      </c>
    </row>
    <row r="67" spans="2:22" x14ac:dyDescent="0.55000000000000004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 |  |</v>
      </c>
      <c r="Q67" s="5" t="str">
        <f t="shared" si="8"/>
        <v>|  |  |  |</v>
      </c>
      <c r="R67" s="5" t="str">
        <f t="shared" si="5"/>
        <v>|  |  |  |  |</v>
      </c>
      <c r="S67" s="5" t="str">
        <f t="shared" si="6"/>
        <v>|  |  |  |  | |</v>
      </c>
      <c r="T67" s="5" t="str">
        <f t="shared" si="1"/>
        <v>|  |  |  |  | | |</v>
      </c>
      <c r="U67" s="5"/>
      <c r="V67" s="5" t="str">
        <f t="shared" si="9"/>
        <v>|  |  |  |  | | | | | | | | | |</v>
      </c>
    </row>
    <row r="68" spans="2:22" x14ac:dyDescent="0.55000000000000004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 |  |</v>
      </c>
      <c r="Q68" s="5" t="str">
        <f t="shared" si="8"/>
        <v>|  |  |  |</v>
      </c>
      <c r="R68" s="5" t="str">
        <f t="shared" si="5"/>
        <v>|  |  |  |  |</v>
      </c>
      <c r="S68" s="5" t="str">
        <f t="shared" si="6"/>
        <v>|  |  |  |  | |</v>
      </c>
      <c r="T68" s="5" t="str">
        <f t="shared" ref="T68:T103" si="10">_xlfn.CONCAT("| ",B68," | ",C68," | ",D68," | ",E68," |",F68," |",G68," |")</f>
        <v>|  |  |  |  | | |</v>
      </c>
      <c r="U68" s="5"/>
      <c r="V68" s="5" t="str">
        <f t="shared" si="9"/>
        <v>|  |  |  |  | | | | | | | | | |</v>
      </c>
    </row>
    <row r="69" spans="2:22" x14ac:dyDescent="0.55000000000000004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 |  |</v>
      </c>
      <c r="Q69" s="5" t="str">
        <f t="shared" si="8"/>
        <v>|  |  |  |</v>
      </c>
      <c r="R69" s="5" t="str">
        <f t="shared" si="5"/>
        <v>|  |  |  |  |</v>
      </c>
      <c r="S69" s="5" t="str">
        <f t="shared" si="6"/>
        <v>|  |  |  |  | |</v>
      </c>
      <c r="T69" s="5" t="str">
        <f t="shared" si="10"/>
        <v>|  |  |  |  | | |</v>
      </c>
      <c r="U69" s="5"/>
      <c r="V69" s="5" t="str">
        <f t="shared" si="9"/>
        <v>|  |  |  |  | | | | | | | | | |</v>
      </c>
    </row>
    <row r="70" spans="2:22" x14ac:dyDescent="0.55000000000000004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 |  |</v>
      </c>
      <c r="Q70" s="5" t="str">
        <f t="shared" si="8"/>
        <v>|  |  |  |</v>
      </c>
      <c r="R70" s="5" t="str">
        <f t="shared" ref="R70:R103" si="11">_xlfn.CONCAT("| ",B70," | ",C70," | ",D70," | ",E70," |")</f>
        <v>|  |  |  |  |</v>
      </c>
      <c r="S70" s="5" t="str">
        <f t="shared" ref="S70:S103" si="12">_xlfn.CONCAT("| ",B70," | ",C70," | ",D70," | ",E70," |",F70," |")</f>
        <v>|  |  |  |  | |</v>
      </c>
      <c r="T70" s="5" t="str">
        <f t="shared" si="10"/>
        <v>|  |  |  |  | | |</v>
      </c>
      <c r="U70" s="5"/>
      <c r="V70" s="5" t="str">
        <f t="shared" si="9"/>
        <v>|  |  |  |  | | | | | | | | | |</v>
      </c>
    </row>
    <row r="71" spans="2:22" x14ac:dyDescent="0.5500000000000000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 |  |</v>
      </c>
      <c r="Q71" s="5" t="str">
        <f t="shared" si="8"/>
        <v>|  |  |  |</v>
      </c>
      <c r="R71" s="5" t="str">
        <f t="shared" si="11"/>
        <v>|  |  |  |  |</v>
      </c>
      <c r="S71" s="5" t="str">
        <f t="shared" si="12"/>
        <v>|  |  |  |  | |</v>
      </c>
      <c r="T71" s="5" t="str">
        <f t="shared" si="10"/>
        <v>|  |  |  |  | | |</v>
      </c>
      <c r="U71" s="5"/>
      <c r="V71" s="5" t="str">
        <f t="shared" si="9"/>
        <v>|  |  |  |  | | | | | | | | | |</v>
      </c>
    </row>
    <row r="72" spans="2:22" x14ac:dyDescent="0.55000000000000004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 |  |</v>
      </c>
      <c r="Q72" s="5" t="str">
        <f t="shared" si="8"/>
        <v>|  |  |  |</v>
      </c>
      <c r="R72" s="5" t="str">
        <f t="shared" si="11"/>
        <v>|  |  |  |  |</v>
      </c>
      <c r="S72" s="5" t="str">
        <f t="shared" si="12"/>
        <v>|  |  |  |  | |</v>
      </c>
      <c r="T72" s="5" t="str">
        <f t="shared" si="10"/>
        <v>|  |  |  |  | | |</v>
      </c>
      <c r="U72" s="5"/>
      <c r="V72" s="5" t="str">
        <f t="shared" si="9"/>
        <v>|  |  |  |  | | | | | | | | | |</v>
      </c>
    </row>
    <row r="73" spans="2:22" x14ac:dyDescent="0.55000000000000004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 |  |</v>
      </c>
      <c r="Q73" s="5" t="str">
        <f t="shared" si="8"/>
        <v>|  |  |  |</v>
      </c>
      <c r="R73" s="5" t="str">
        <f t="shared" si="11"/>
        <v>|  |  |  |  |</v>
      </c>
      <c r="S73" s="5" t="str">
        <f t="shared" si="12"/>
        <v>|  |  |  |  | |</v>
      </c>
      <c r="T73" s="5" t="str">
        <f t="shared" si="10"/>
        <v>|  |  |  |  | | |</v>
      </c>
      <c r="U73" s="5"/>
      <c r="V73" s="5" t="str">
        <f t="shared" si="9"/>
        <v>|  |  |  |  | | | | | | | | | |</v>
      </c>
    </row>
    <row r="74" spans="2:22" x14ac:dyDescent="0.5500000000000000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 |  |</v>
      </c>
      <c r="Q74" s="5" t="str">
        <f t="shared" si="8"/>
        <v>|  |  |  |</v>
      </c>
      <c r="R74" s="5" t="str">
        <f t="shared" si="11"/>
        <v>|  |  |  |  |</v>
      </c>
      <c r="S74" s="5" t="str">
        <f t="shared" si="12"/>
        <v>|  |  |  |  | |</v>
      </c>
      <c r="T74" s="5" t="str">
        <f t="shared" si="10"/>
        <v>|  |  |  |  | | |</v>
      </c>
      <c r="U74" s="5"/>
      <c r="V74" s="5" t="str">
        <f t="shared" si="9"/>
        <v>|  |  |  |  | | | | | | | | | |</v>
      </c>
    </row>
    <row r="75" spans="2:22" x14ac:dyDescent="0.55000000000000004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 |  |</v>
      </c>
      <c r="Q75" s="5" t="str">
        <f t="shared" si="8"/>
        <v>|  |  |  |</v>
      </c>
      <c r="R75" s="5" t="str">
        <f t="shared" si="11"/>
        <v>|  |  |  |  |</v>
      </c>
      <c r="S75" s="5" t="str">
        <f t="shared" si="12"/>
        <v>|  |  |  |  | |</v>
      </c>
      <c r="T75" s="5" t="str">
        <f t="shared" si="10"/>
        <v>|  |  |  |  | | |</v>
      </c>
      <c r="U75" s="5"/>
      <c r="V75" s="5" t="str">
        <f t="shared" si="9"/>
        <v>|  |  |  |  | | | | | | | | | |</v>
      </c>
    </row>
    <row r="76" spans="2:22" x14ac:dyDescent="0.55000000000000004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 |  |</v>
      </c>
      <c r="Q76" s="5" t="str">
        <f t="shared" si="8"/>
        <v>|  |  |  |</v>
      </c>
      <c r="R76" s="5" t="str">
        <f t="shared" si="11"/>
        <v>|  |  |  |  |</v>
      </c>
      <c r="S76" s="5" t="str">
        <f t="shared" si="12"/>
        <v>|  |  |  |  | |</v>
      </c>
      <c r="T76" s="5" t="str">
        <f t="shared" si="10"/>
        <v>|  |  |  |  | | |</v>
      </c>
      <c r="U76" s="5"/>
      <c r="V76" s="5" t="str">
        <f t="shared" si="9"/>
        <v>|  |  |  |  | | | | | | | | | |</v>
      </c>
    </row>
    <row r="77" spans="2:22" x14ac:dyDescent="0.5500000000000000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 |  |</v>
      </c>
      <c r="Q77" s="5" t="str">
        <f t="shared" si="8"/>
        <v>|  |  |  |</v>
      </c>
      <c r="R77" s="5" t="str">
        <f t="shared" si="11"/>
        <v>|  |  |  |  |</v>
      </c>
      <c r="S77" s="5" t="str">
        <f t="shared" si="12"/>
        <v>|  |  |  |  | |</v>
      </c>
      <c r="T77" s="5" t="str">
        <f t="shared" si="10"/>
        <v>|  |  |  |  | | |</v>
      </c>
      <c r="U77" s="5"/>
      <c r="V77" s="5" t="str">
        <f t="shared" si="9"/>
        <v>|  |  |  |  | | | | | | | | | |</v>
      </c>
    </row>
    <row r="78" spans="2:22" x14ac:dyDescent="0.55000000000000004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 |  |</v>
      </c>
      <c r="Q78" s="5" t="str">
        <f t="shared" si="8"/>
        <v>|  |  |  |</v>
      </c>
      <c r="R78" s="5" t="str">
        <f t="shared" si="11"/>
        <v>|  |  |  |  |</v>
      </c>
      <c r="S78" s="5" t="str">
        <f t="shared" si="12"/>
        <v>|  |  |  |  | |</v>
      </c>
      <c r="T78" s="5" t="str">
        <f t="shared" si="10"/>
        <v>|  |  |  |  | | |</v>
      </c>
      <c r="U78" s="5"/>
      <c r="V78" s="5" t="str">
        <f t="shared" si="9"/>
        <v>|  |  |  |  | | | | | | | | | |</v>
      </c>
    </row>
    <row r="79" spans="2:22" x14ac:dyDescent="0.55000000000000004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 |  |</v>
      </c>
      <c r="Q79" s="5" t="str">
        <f t="shared" si="8"/>
        <v>|  |  |  |</v>
      </c>
      <c r="R79" s="5" t="str">
        <f t="shared" si="11"/>
        <v>|  |  |  |  |</v>
      </c>
      <c r="S79" s="5" t="str">
        <f t="shared" si="12"/>
        <v>|  |  |  |  | |</v>
      </c>
      <c r="T79" s="5" t="str">
        <f t="shared" si="10"/>
        <v>|  |  |  |  | | |</v>
      </c>
      <c r="U79" s="5"/>
      <c r="V79" s="5" t="str">
        <f t="shared" si="9"/>
        <v>|  |  |  |  | | | | | | | | | |</v>
      </c>
    </row>
    <row r="80" spans="2:22" x14ac:dyDescent="0.55000000000000004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 |  |</v>
      </c>
      <c r="Q80" s="5" t="str">
        <f t="shared" si="8"/>
        <v>|  |  |  |</v>
      </c>
      <c r="R80" s="5" t="str">
        <f t="shared" si="11"/>
        <v>|  |  |  |  |</v>
      </c>
      <c r="S80" s="5" t="str">
        <f t="shared" si="12"/>
        <v>|  |  |  |  | |</v>
      </c>
      <c r="T80" s="5" t="str">
        <f t="shared" si="10"/>
        <v>|  |  |  |  | | |</v>
      </c>
      <c r="U80" s="5"/>
      <c r="V80" s="5" t="str">
        <f t="shared" si="9"/>
        <v>|  |  |  |  | | | | | | | | | |</v>
      </c>
    </row>
    <row r="81" spans="2:22" x14ac:dyDescent="0.55000000000000004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 |  |</v>
      </c>
      <c r="Q81" s="5" t="str">
        <f t="shared" si="8"/>
        <v>|  |  |  |</v>
      </c>
      <c r="R81" s="5" t="str">
        <f t="shared" si="11"/>
        <v>|  |  |  |  |</v>
      </c>
      <c r="S81" s="5" t="str">
        <f t="shared" si="12"/>
        <v>|  |  |  |  | |</v>
      </c>
      <c r="T81" s="5" t="str">
        <f t="shared" si="10"/>
        <v>|  |  |  |  | | |</v>
      </c>
      <c r="U81" s="5"/>
      <c r="V81" s="5" t="str">
        <f t="shared" si="9"/>
        <v>|  |  |  |  | | | | | | | | | |</v>
      </c>
    </row>
    <row r="82" spans="2:22" x14ac:dyDescent="0.55000000000000004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 |  |</v>
      </c>
      <c r="Q82" s="5" t="str">
        <f t="shared" si="8"/>
        <v>|  |  |  |</v>
      </c>
      <c r="R82" s="5" t="str">
        <f t="shared" si="11"/>
        <v>|  |  |  |  |</v>
      </c>
      <c r="S82" s="5" t="str">
        <f t="shared" si="12"/>
        <v>|  |  |  |  | |</v>
      </c>
      <c r="T82" s="5" t="str">
        <f t="shared" si="10"/>
        <v>|  |  |  |  | | |</v>
      </c>
      <c r="U82" s="5"/>
      <c r="V82" s="5" t="str">
        <f t="shared" si="9"/>
        <v>|  |  |  |  | | | | | | | | | |</v>
      </c>
    </row>
    <row r="83" spans="2:22" x14ac:dyDescent="0.55000000000000004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 |  |</v>
      </c>
      <c r="Q83" s="5" t="str">
        <f t="shared" si="8"/>
        <v>|  |  |  |</v>
      </c>
      <c r="R83" s="5" t="str">
        <f t="shared" si="11"/>
        <v>|  |  |  |  |</v>
      </c>
      <c r="S83" s="5" t="str">
        <f t="shared" si="12"/>
        <v>|  |  |  |  | |</v>
      </c>
      <c r="T83" s="5" t="str">
        <f t="shared" si="10"/>
        <v>|  |  |  |  | | |</v>
      </c>
      <c r="U83" s="5"/>
      <c r="V83" s="5" t="str">
        <f t="shared" si="9"/>
        <v>|  |  |  |  | | | | | | | | | |</v>
      </c>
    </row>
    <row r="84" spans="2:22" x14ac:dyDescent="0.5500000000000000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 |  |</v>
      </c>
      <c r="Q84" s="5" t="str">
        <f t="shared" si="8"/>
        <v>|  |  |  |</v>
      </c>
      <c r="R84" s="5" t="str">
        <f t="shared" si="11"/>
        <v>|  |  |  |  |</v>
      </c>
      <c r="S84" s="5" t="str">
        <f t="shared" si="12"/>
        <v>|  |  |  |  | |</v>
      </c>
      <c r="T84" s="5" t="str">
        <f t="shared" si="10"/>
        <v>|  |  |  |  | | |</v>
      </c>
      <c r="U84" s="5"/>
      <c r="V84" s="5" t="str">
        <f t="shared" si="9"/>
        <v>|  |  |  |  | | | | | | | | | |</v>
      </c>
    </row>
    <row r="85" spans="2:22" x14ac:dyDescent="0.55000000000000004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 |  |</v>
      </c>
      <c r="Q85" s="5" t="str">
        <f t="shared" si="8"/>
        <v>|  |  |  |</v>
      </c>
      <c r="R85" s="5" t="str">
        <f t="shared" si="11"/>
        <v>|  |  |  |  |</v>
      </c>
      <c r="S85" s="5" t="str">
        <f t="shared" si="12"/>
        <v>|  |  |  |  | |</v>
      </c>
      <c r="T85" s="5" t="str">
        <f t="shared" si="10"/>
        <v>|  |  |  |  | | |</v>
      </c>
      <c r="U85" s="5"/>
      <c r="V85" s="5" t="str">
        <f t="shared" si="9"/>
        <v>|  |  |  |  | | | | | | | | | |</v>
      </c>
    </row>
    <row r="86" spans="2:22" x14ac:dyDescent="0.55000000000000004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 |  |</v>
      </c>
      <c r="Q86" s="5" t="str">
        <f t="shared" si="8"/>
        <v>|  |  |  |</v>
      </c>
      <c r="R86" s="5" t="str">
        <f t="shared" si="11"/>
        <v>|  |  |  |  |</v>
      </c>
      <c r="S86" s="5" t="str">
        <f t="shared" si="12"/>
        <v>|  |  |  |  | |</v>
      </c>
      <c r="T86" s="5" t="str">
        <f t="shared" si="10"/>
        <v>|  |  |  |  | | |</v>
      </c>
      <c r="U86" s="5"/>
      <c r="V86" s="5" t="str">
        <f t="shared" si="9"/>
        <v>|  |  |  |  | | | | | | | | | |</v>
      </c>
    </row>
    <row r="87" spans="2:22" x14ac:dyDescent="0.5500000000000000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 |  |</v>
      </c>
      <c r="Q87" s="5" t="str">
        <f t="shared" si="8"/>
        <v>|  |  |  |</v>
      </c>
      <c r="R87" s="5" t="str">
        <f t="shared" si="11"/>
        <v>|  |  |  |  |</v>
      </c>
      <c r="S87" s="5" t="str">
        <f t="shared" si="12"/>
        <v>|  |  |  |  | |</v>
      </c>
      <c r="T87" s="5" t="str">
        <f t="shared" si="10"/>
        <v>|  |  |  |  | | |</v>
      </c>
      <c r="U87" s="5"/>
      <c r="V87" s="5" t="str">
        <f t="shared" si="9"/>
        <v>|  |  |  |  | | | | | | | | | |</v>
      </c>
    </row>
    <row r="88" spans="2:22" x14ac:dyDescent="0.5500000000000000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 |  |</v>
      </c>
      <c r="Q88" s="5" t="str">
        <f t="shared" si="8"/>
        <v>|  |  |  |</v>
      </c>
      <c r="R88" s="5" t="str">
        <f t="shared" si="11"/>
        <v>|  |  |  |  |</v>
      </c>
      <c r="S88" s="5" t="str">
        <f t="shared" si="12"/>
        <v>|  |  |  |  | |</v>
      </c>
      <c r="T88" s="5" t="str">
        <f t="shared" si="10"/>
        <v>|  |  |  |  | | |</v>
      </c>
      <c r="U88" s="5"/>
      <c r="V88" s="5" t="str">
        <f t="shared" si="9"/>
        <v>|  |  |  |  | | | | | | | | | |</v>
      </c>
    </row>
    <row r="89" spans="2:22" x14ac:dyDescent="0.5500000000000000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si="7"/>
        <v>|  |  |</v>
      </c>
      <c r="Q89" s="5" t="str">
        <f t="shared" si="8"/>
        <v>|  |  |  |</v>
      </c>
      <c r="R89" s="5" t="str">
        <f t="shared" si="11"/>
        <v>|  |  |  |  |</v>
      </c>
      <c r="S89" s="5" t="str">
        <f t="shared" si="12"/>
        <v>|  |  |  |  | |</v>
      </c>
      <c r="T89" s="5" t="str">
        <f t="shared" si="10"/>
        <v>|  |  |  |  | | |</v>
      </c>
      <c r="U89" s="5"/>
      <c r="V89" s="5" t="str">
        <f t="shared" si="9"/>
        <v>|  |  |  |  | | | | | | | | | |</v>
      </c>
    </row>
    <row r="90" spans="2:22" x14ac:dyDescent="0.5500000000000000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7"/>
        <v>|  |  |</v>
      </c>
      <c r="Q90" s="5" t="str">
        <f t="shared" si="8"/>
        <v>|  |  |  |</v>
      </c>
      <c r="R90" s="5" t="str">
        <f t="shared" si="11"/>
        <v>|  |  |  |  |</v>
      </c>
      <c r="S90" s="5" t="str">
        <f t="shared" si="12"/>
        <v>|  |  |  |  | |</v>
      </c>
      <c r="T90" s="5" t="str">
        <f t="shared" si="10"/>
        <v>|  |  |  |  | | |</v>
      </c>
      <c r="U90" s="5"/>
      <c r="V90" s="5" t="str">
        <f t="shared" si="9"/>
        <v>|  |  |  |  | | | | | | | | | |</v>
      </c>
    </row>
    <row r="91" spans="2:22" x14ac:dyDescent="0.5500000000000000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7"/>
        <v>|  |  |</v>
      </c>
      <c r="Q91" s="5" t="str">
        <f t="shared" si="8"/>
        <v>|  |  |  |</v>
      </c>
      <c r="R91" s="5" t="str">
        <f t="shared" si="11"/>
        <v>|  |  |  |  |</v>
      </c>
      <c r="S91" s="5" t="str">
        <f t="shared" si="12"/>
        <v>|  |  |  |  | |</v>
      </c>
      <c r="T91" s="5" t="str">
        <f t="shared" si="10"/>
        <v>|  |  |  |  | | |</v>
      </c>
      <c r="U91" s="5"/>
      <c r="V91" s="5" t="str">
        <f t="shared" si="9"/>
        <v>|  |  |  |  | | | | | | | | | |</v>
      </c>
    </row>
    <row r="92" spans="2:22" x14ac:dyDescent="0.5500000000000000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7"/>
        <v>|  |  |</v>
      </c>
      <c r="Q92" s="5" t="str">
        <f t="shared" si="8"/>
        <v>|  |  |  |</v>
      </c>
      <c r="R92" s="5" t="str">
        <f t="shared" si="11"/>
        <v>|  |  |  |  |</v>
      </c>
      <c r="S92" s="5" t="str">
        <f t="shared" si="12"/>
        <v>|  |  |  |  | |</v>
      </c>
      <c r="T92" s="5" t="str">
        <f t="shared" si="10"/>
        <v>|  |  |  |  | | |</v>
      </c>
      <c r="U92" s="5"/>
      <c r="V92" s="5" t="str">
        <f t="shared" si="9"/>
        <v>|  |  |  |  | | | | | | | | | |</v>
      </c>
    </row>
    <row r="93" spans="2:22" x14ac:dyDescent="0.5500000000000000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7"/>
        <v>|  |  |</v>
      </c>
      <c r="Q93" s="5" t="str">
        <f t="shared" si="8"/>
        <v>|  |  |  |</v>
      </c>
      <c r="R93" s="5" t="str">
        <f t="shared" si="11"/>
        <v>|  |  |  |  |</v>
      </c>
      <c r="S93" s="5" t="str">
        <f t="shared" si="12"/>
        <v>|  |  |  |  | |</v>
      </c>
      <c r="T93" s="5" t="str">
        <f t="shared" si="10"/>
        <v>|  |  |  |  | | |</v>
      </c>
      <c r="U93" s="5"/>
      <c r="V93" s="5" t="str">
        <f t="shared" si="9"/>
        <v>|  |  |  |  | | | | | | | | | |</v>
      </c>
    </row>
    <row r="94" spans="2:22" x14ac:dyDescent="0.5500000000000000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7"/>
        <v>|  |  |</v>
      </c>
      <c r="Q94" s="5" t="str">
        <f t="shared" si="8"/>
        <v>|  |  |  |</v>
      </c>
      <c r="R94" s="5" t="str">
        <f t="shared" si="11"/>
        <v>|  |  |  |  |</v>
      </c>
      <c r="S94" s="5" t="str">
        <f t="shared" si="12"/>
        <v>|  |  |  |  | |</v>
      </c>
      <c r="T94" s="5" t="str">
        <f t="shared" si="10"/>
        <v>|  |  |  |  | | |</v>
      </c>
      <c r="U94" s="5"/>
      <c r="V94" s="5" t="str">
        <f t="shared" si="9"/>
        <v>|  |  |  |  | | | | | | | | | |</v>
      </c>
    </row>
    <row r="95" spans="2:22" x14ac:dyDescent="0.5500000000000000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7"/>
        <v>|  |  |</v>
      </c>
      <c r="Q95" s="5" t="str">
        <f t="shared" si="8"/>
        <v>|  |  |  |</v>
      </c>
      <c r="R95" s="5" t="str">
        <f t="shared" si="11"/>
        <v>|  |  |  |  |</v>
      </c>
      <c r="S95" s="5" t="str">
        <f t="shared" si="12"/>
        <v>|  |  |  |  | |</v>
      </c>
      <c r="T95" s="5" t="str">
        <f t="shared" si="10"/>
        <v>|  |  |  |  | | |</v>
      </c>
      <c r="U95" s="5"/>
      <c r="V95" s="5" t="str">
        <f t="shared" si="9"/>
        <v>|  |  |  |  | | | | | | | | | |</v>
      </c>
    </row>
    <row r="96" spans="2:22" x14ac:dyDescent="0.5500000000000000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7"/>
        <v>|  |  |</v>
      </c>
      <c r="Q96" s="5" t="str">
        <f t="shared" si="8"/>
        <v>|  |  |  |</v>
      </c>
      <c r="R96" s="5" t="str">
        <f t="shared" si="11"/>
        <v>|  |  |  |  |</v>
      </c>
      <c r="S96" s="5" t="str">
        <f t="shared" si="12"/>
        <v>|  |  |  |  | |</v>
      </c>
      <c r="T96" s="5" t="str">
        <f t="shared" si="10"/>
        <v>|  |  |  |  | | |</v>
      </c>
      <c r="U96" s="5"/>
      <c r="V96" s="5" t="str">
        <f t="shared" si="9"/>
        <v>|  |  |  |  | | | | | | | | | |</v>
      </c>
    </row>
    <row r="97" spans="2:22" x14ac:dyDescent="0.5500000000000000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7"/>
        <v>|  |  |</v>
      </c>
      <c r="Q97" s="5" t="str">
        <f t="shared" si="8"/>
        <v>|  |  |  |</v>
      </c>
      <c r="R97" s="5" t="str">
        <f t="shared" si="11"/>
        <v>|  |  |  |  |</v>
      </c>
      <c r="S97" s="5" t="str">
        <f t="shared" si="12"/>
        <v>|  |  |  |  | |</v>
      </c>
      <c r="T97" s="5" t="str">
        <f t="shared" si="10"/>
        <v>|  |  |  |  | | |</v>
      </c>
      <c r="U97" s="5"/>
      <c r="V97" s="5" t="str">
        <f t="shared" si="9"/>
        <v>|  |  |  |  | | | | | | | | | |</v>
      </c>
    </row>
    <row r="98" spans="2:22" x14ac:dyDescent="0.5500000000000000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7"/>
        <v>|  |  |</v>
      </c>
      <c r="Q98" s="5" t="str">
        <f t="shared" si="8"/>
        <v>|  |  |  |</v>
      </c>
      <c r="R98" s="5" t="str">
        <f t="shared" si="11"/>
        <v>|  |  |  |  |</v>
      </c>
      <c r="S98" s="5" t="str">
        <f t="shared" si="12"/>
        <v>|  |  |  |  | |</v>
      </c>
      <c r="T98" s="5" t="str">
        <f t="shared" si="10"/>
        <v>|  |  |  |  | | |</v>
      </c>
      <c r="U98" s="5"/>
      <c r="V98" s="5" t="str">
        <f t="shared" si="9"/>
        <v>|  |  |  |  | | | | | | | | | |</v>
      </c>
    </row>
    <row r="99" spans="2:22" x14ac:dyDescent="0.5500000000000000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7"/>
        <v>|  |  |</v>
      </c>
      <c r="Q99" s="5" t="str">
        <f t="shared" si="8"/>
        <v>|  |  |  |</v>
      </c>
      <c r="R99" s="5" t="str">
        <f t="shared" si="11"/>
        <v>|  |  |  |  |</v>
      </c>
      <c r="S99" s="5" t="str">
        <f t="shared" si="12"/>
        <v>|  |  |  |  | |</v>
      </c>
      <c r="T99" s="5" t="str">
        <f t="shared" si="10"/>
        <v>|  |  |  |  | | |</v>
      </c>
      <c r="U99" s="5"/>
      <c r="V99" s="5" t="str">
        <f t="shared" si="9"/>
        <v>|  |  |  |  | | | | | | | | | |</v>
      </c>
    </row>
    <row r="100" spans="2:22" x14ac:dyDescent="0.5500000000000000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7"/>
        <v>|  |  |</v>
      </c>
      <c r="Q100" s="5" t="str">
        <f t="shared" si="8"/>
        <v>|  |  |  |</v>
      </c>
      <c r="R100" s="5" t="str">
        <f t="shared" si="11"/>
        <v>|  |  |  |  |</v>
      </c>
      <c r="S100" s="5" t="str">
        <f t="shared" si="12"/>
        <v>|  |  |  |  | |</v>
      </c>
      <c r="T100" s="5" t="str">
        <f t="shared" si="10"/>
        <v>|  |  |  |  | | |</v>
      </c>
      <c r="U100" s="5"/>
      <c r="V100" s="5" t="str">
        <f t="shared" si="9"/>
        <v>|  |  |  |  | | | | | | | | | |</v>
      </c>
    </row>
    <row r="101" spans="2:22" x14ac:dyDescent="0.5500000000000000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7"/>
        <v>|  |  |</v>
      </c>
      <c r="Q101" s="5" t="str">
        <f t="shared" si="8"/>
        <v>|  |  |  |</v>
      </c>
      <c r="R101" s="5" t="str">
        <f t="shared" si="11"/>
        <v>|  |  |  |  |</v>
      </c>
      <c r="S101" s="5" t="str">
        <f t="shared" si="12"/>
        <v>|  |  |  |  | |</v>
      </c>
      <c r="T101" s="5" t="str">
        <f t="shared" si="10"/>
        <v>|  |  |  |  | | |</v>
      </c>
      <c r="U101" s="5"/>
      <c r="V101" s="5" t="str">
        <f t="shared" si="9"/>
        <v>|  |  |  |  | | | | | | | | | |</v>
      </c>
    </row>
    <row r="102" spans="2:22" x14ac:dyDescent="0.5500000000000000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7"/>
        <v>|  |  |</v>
      </c>
      <c r="Q102" s="5" t="str">
        <f t="shared" si="8"/>
        <v>|  |  |  |</v>
      </c>
      <c r="R102" s="5" t="str">
        <f t="shared" si="11"/>
        <v>|  |  |  |  |</v>
      </c>
      <c r="S102" s="5" t="str">
        <f t="shared" si="12"/>
        <v>|  |  |  |  | |</v>
      </c>
      <c r="T102" s="5" t="str">
        <f t="shared" si="10"/>
        <v>|  |  |  |  | | |</v>
      </c>
      <c r="U102" s="5"/>
      <c r="V102" s="5" t="str">
        <f t="shared" si="9"/>
        <v>|  |  |  |  | | | | | | | | | |</v>
      </c>
    </row>
    <row r="103" spans="2:22" x14ac:dyDescent="0.5500000000000000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7"/>
        <v>|  |  |</v>
      </c>
      <c r="Q103" s="5" t="str">
        <f t="shared" si="8"/>
        <v>|  |  |  |</v>
      </c>
      <c r="R103" s="5" t="str">
        <f t="shared" si="11"/>
        <v>|  |  |  |  |</v>
      </c>
      <c r="S103" s="5" t="str">
        <f t="shared" si="12"/>
        <v>|  |  |  |  | |</v>
      </c>
      <c r="T103" s="5" t="str">
        <f t="shared" si="10"/>
        <v>|  |  |  |  | | |</v>
      </c>
      <c r="U103" s="5"/>
      <c r="V103" s="5" t="str">
        <f t="shared" si="9"/>
        <v>|  |  |  |  | | | | | | | | | |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37D1-CA2E-4C0C-AFBD-7FF2E786B017}">
  <dimension ref="B1:V103"/>
  <sheetViews>
    <sheetView showGridLines="0" topLeftCell="O1" zoomScale="115" zoomScaleNormal="115" workbookViewId="0">
      <pane ySplit="4" topLeftCell="A66" activePane="bottomLeft" state="frozen"/>
      <selection pane="bottomLeft" activeCell="Q3" sqref="Q3:Q72"/>
    </sheetView>
  </sheetViews>
  <sheetFormatPr defaultColWidth="9.140625" defaultRowHeight="15.4" x14ac:dyDescent="0.55000000000000004"/>
  <cols>
    <col min="1" max="1" width="2.7109375" style="1" customWidth="1"/>
    <col min="2" max="2" width="26.5703125" style="1" customWidth="1"/>
    <col min="3" max="3" width="46.140625" style="1" customWidth="1"/>
    <col min="4" max="4" width="29.28515625" style="1" customWidth="1"/>
    <col min="5" max="6" width="6.640625" style="1" customWidth="1"/>
    <col min="7" max="8" width="7.1406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767</v>
      </c>
      <c r="C3" s="4" t="s">
        <v>127</v>
      </c>
      <c r="D3" s="4" t="s">
        <v>128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Layer name | Descripción (en) |</v>
      </c>
      <c r="Q3" s="5" t="str">
        <f>_xlfn.CONCAT("| ",B3," | ",C3," | ",D3," |")</f>
        <v>| Layer name | Descripción (en) | Descripción (es) |</v>
      </c>
      <c r="R3" s="5" t="str">
        <f>_xlfn.CONCAT("| ",B3," | ",C3," | ",D3," | ",E3," |")</f>
        <v>| Layer name | Descripción (en) | Descripción (es) | A |</v>
      </c>
      <c r="S3" s="5" t="str">
        <f>_xlfn.CONCAT("| ",B3," | ",C3," | ",D3," | ",E3," |",F3," |")</f>
        <v>| Layer name | Descripción (en) | Descripción (es) | A |B |</v>
      </c>
      <c r="T3" s="5" t="str">
        <f>_xlfn.CONCAT("| ",B3," | ",C3," | ",D3," | ",E3," |",F3," |",G3," |")</f>
        <v>| Layer name | Descripción (en) | Descripción (es) | A |B |C |</v>
      </c>
      <c r="U3" s="5" t="str">
        <f>_xlfn.CONCAT("| ",B3," | ",C3," | ",D3," | ",E3," | ",F3," | ",G3," | ",H3," |")</f>
        <v>| Layer name | Descripción (en) | Descripción (es) | A | B | C | D |</v>
      </c>
      <c r="V3" s="5" t="str">
        <f t="shared" ref="V3:V14" si="0">_xlfn.CONCAT("| ",B3," | ",C3," | ",D3," | ",E3," |",F3," |",G3," |",H3," |",I3," |",J3," |",K3," |",L3," |",M3," |",N3," |")</f>
        <v>| Layer name | Descripción (en) | Descripción (es)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x14ac:dyDescent="0.55000000000000004">
      <c r="B5" s="5" t="s">
        <v>768</v>
      </c>
      <c r="C5" s="5" t="s">
        <v>229</v>
      </c>
      <c r="D5" s="5" t="s">
        <v>230</v>
      </c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A□-AREA | Area |</v>
      </c>
      <c r="Q5" s="5" t="str">
        <f t="shared" ref="Q5:Q68" si="3">_xlfn.CONCAT("| ",B5," | ",C5," | ",D5," |")</f>
        <v>| A□-AREA | Area | Área |</v>
      </c>
      <c r="R5" s="5" t="str">
        <f>_xlfn.CONCAT("| ",B5," | ",C5," | ",D5," | ",E5," |")</f>
        <v>| A□-AREA | Area | Área | ✓ |</v>
      </c>
      <c r="S5" s="5" t="str">
        <f>_xlfn.CONCAT("| ",B5," | ",C5," | ",D5," | ",E5," |",F5," |")</f>
        <v>| A□-AREA | Area | Área | ✓ |✓ |</v>
      </c>
      <c r="T5" s="5" t="str">
        <f t="shared" si="1"/>
        <v>| A□-AREA | Area | Área | ✓ |✓ | |</v>
      </c>
      <c r="U5" s="5" t="str">
        <f t="shared" si="2"/>
        <v>| A□-AREA | Area | Área | ✓ | ✓ |  |  |</v>
      </c>
      <c r="V5" s="5" t="str">
        <f t="shared" si="0"/>
        <v>| A□-AREA | Area | Área | ✓ |✓ | | | | | | | | |</v>
      </c>
    </row>
    <row r="6" spans="2:22" ht="30.75" x14ac:dyDescent="0.55000000000000004">
      <c r="B6" s="5" t="s">
        <v>769</v>
      </c>
      <c r="C6" s="5" t="s">
        <v>770</v>
      </c>
      <c r="D6" s="5" t="s">
        <v>771</v>
      </c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A□-AREA-OCCP | Area: occupant or employee names |</v>
      </c>
      <c r="Q6" s="5" t="str">
        <f t="shared" si="3"/>
        <v>| A□-AREA-OCCP | Area: occupant or employee names | Área: nombres de ocupantes o empleados |</v>
      </c>
      <c r="R6" s="5" t="str">
        <f t="shared" ref="R6:R69" si="5">_xlfn.CONCAT("| ",B6," | ",C6," | ",D6," | ",E6," |")</f>
        <v>| A□-AREA-OCCP | Area: occupant or employee names | Área: nombres de ocupantes o empleados | ✓ |</v>
      </c>
      <c r="S6" s="5" t="str">
        <f t="shared" ref="S6:S69" si="6">_xlfn.CONCAT("| ",B6," | ",C6," | ",D6," | ",E6," |",F6," |")</f>
        <v>| A□-AREA-OCCP | Area: occupant or employee names | Área: nombres de ocupantes o empleados | ✓ |✕ |</v>
      </c>
      <c r="T6" s="5" t="str">
        <f t="shared" si="1"/>
        <v>| A□-AREA-OCCP | Area: occupant or employee names | Área: nombres de ocupantes o empleados | ✓ |✕ | |</v>
      </c>
      <c r="U6" s="5" t="str">
        <f t="shared" si="2"/>
        <v>| A□-AREA-OCCP | Area: occupant or employee names | Área: nombres de ocupantes o empleados | ✓ | ✕ |  |  |</v>
      </c>
      <c r="V6" s="5" t="str">
        <f t="shared" si="0"/>
        <v>| A□-AREA-OCCP | Area: occupant or employee names | Área: nombres de ocupantes o empleados | ✓ |✕ | | | | | | | | |</v>
      </c>
    </row>
    <row r="7" spans="2:22" x14ac:dyDescent="0.55000000000000004">
      <c r="B7" s="5" t="s">
        <v>772</v>
      </c>
      <c r="C7" s="5" t="s">
        <v>235</v>
      </c>
      <c r="D7" s="5" t="s">
        <v>236</v>
      </c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A□-BARR | Barrier |</v>
      </c>
      <c r="Q7" s="5" t="str">
        <f t="shared" si="3"/>
        <v>| A□-BARR | Barrier | Barrera |</v>
      </c>
      <c r="R7" s="5" t="str">
        <f t="shared" si="5"/>
        <v>| A□-BARR | Barrier | Barrera | ✓ |</v>
      </c>
      <c r="S7" s="5" t="str">
        <f t="shared" si="6"/>
        <v>| A□-BARR | Barrier | Barrera | ✓ |✓ |</v>
      </c>
      <c r="T7" s="5" t="str">
        <f t="shared" si="1"/>
        <v>| A□-BARR | Barrier | Barrera | ✓ |✓ | |</v>
      </c>
      <c r="U7" s="5" t="str">
        <f t="shared" si="2"/>
        <v>| A□-BARR | Barrier | Barrera | ✓ | ✓ |  |  |</v>
      </c>
      <c r="V7" s="5" t="str">
        <f t="shared" si="0"/>
        <v>| A□-BARR | Barrier | Barrera | ✓ |✓ | | | | | | | | |</v>
      </c>
    </row>
    <row r="8" spans="2:22" x14ac:dyDescent="0.55000000000000004">
      <c r="B8" s="5" t="s">
        <v>773</v>
      </c>
      <c r="C8" s="5" t="s">
        <v>774</v>
      </c>
      <c r="D8" s="5" t="s">
        <v>775</v>
      </c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A□-BARR-AIR~ | Barrier: air |</v>
      </c>
      <c r="Q8" s="5" t="str">
        <f t="shared" si="3"/>
        <v>| A□-BARR-AIR~ | Barrier: air | Barrera: aire |</v>
      </c>
      <c r="R8" s="5" t="str">
        <f t="shared" si="5"/>
        <v>| A□-BARR-AIR~ | Barrier: air | Barrera: aire | ✓ |</v>
      </c>
      <c r="S8" s="5" t="str">
        <f t="shared" si="6"/>
        <v>| A□-BARR-AIR~ | Barrier: air | Barrera: aire | ✓ |✕ |</v>
      </c>
      <c r="T8" s="5" t="str">
        <f t="shared" si="1"/>
        <v>| A□-BARR-AIR~ | Barrier: air | Barrera: aire | ✓ |✕ | |</v>
      </c>
      <c r="U8" s="5" t="str">
        <f t="shared" si="2"/>
        <v>| A□-BARR-AIR~ | Barrier: air | Barrera: aire | ✓ | ✕ |  |  |</v>
      </c>
      <c r="V8" s="5" t="str">
        <f t="shared" si="0"/>
        <v>| A□-BARR-AIR~ | Barrier: air | Barrera: aire | ✓ |✕ | | | | | | | | |</v>
      </c>
    </row>
    <row r="9" spans="2:22" x14ac:dyDescent="0.55000000000000004">
      <c r="B9" s="5" t="s">
        <v>776</v>
      </c>
      <c r="C9" s="5" t="s">
        <v>301</v>
      </c>
      <c r="D9" s="5" t="s">
        <v>302</v>
      </c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A□-CLNG | Ceiling |</v>
      </c>
      <c r="Q9" s="5" t="str">
        <f t="shared" si="3"/>
        <v>| A□-CLNG | Ceiling | Techo |</v>
      </c>
      <c r="R9" s="5" t="str">
        <f t="shared" si="5"/>
        <v>| A□-CLNG | Ceiling | Techo | ✓ |</v>
      </c>
      <c r="S9" s="5" t="str">
        <f t="shared" si="6"/>
        <v>| A□-CLNG | Ceiling | Techo | ✓ |✕ |</v>
      </c>
      <c r="T9" s="5" t="str">
        <f t="shared" si="1"/>
        <v>| A□-CLNG | Ceiling | Techo | ✓ |✕ | |</v>
      </c>
      <c r="U9" s="5" t="str">
        <f t="shared" si="2"/>
        <v>| A□-CLNG | Ceiling | Techo | ✓ | ✕ |  |  |</v>
      </c>
      <c r="V9" s="5" t="str">
        <f t="shared" si="0"/>
        <v>| A□-CLNG | Ceiling | Techo | ✓ |✕ | | | | | | | | |</v>
      </c>
    </row>
    <row r="10" spans="2:22" x14ac:dyDescent="0.55000000000000004">
      <c r="B10" s="5" t="s">
        <v>777</v>
      </c>
      <c r="C10" s="5" t="s">
        <v>778</v>
      </c>
      <c r="D10" s="5" t="s">
        <v>779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A□-CLNG-ACCS | Ceiling: access |</v>
      </c>
      <c r="Q10" s="5" t="str">
        <f t="shared" si="3"/>
        <v>| A□-CLNG-ACCS | Ceiling: access | Techo: acceso |</v>
      </c>
      <c r="R10" s="5" t="str">
        <f t="shared" si="5"/>
        <v>| A□-CLNG-ACCS | Ceiling: access | Techo: acceso | ✓ |</v>
      </c>
      <c r="S10" s="5" t="str">
        <f t="shared" si="6"/>
        <v>| A□-CLNG-ACCS | Ceiling: access | Techo: acceso | ✓ |✕ |</v>
      </c>
      <c r="T10" s="5" t="str">
        <f t="shared" si="1"/>
        <v>| A□-CLNG-ACCS | Ceiling: access | Techo: acceso | ✓ |✕ | |</v>
      </c>
      <c r="U10" s="5" t="str">
        <f t="shared" si="2"/>
        <v>| A□-CLNG-ACCS | Ceiling: access | Techo: acceso | ✓ | ✕ |  |  |</v>
      </c>
      <c r="V10" s="5" t="str">
        <f t="shared" si="0"/>
        <v>| A□-CLNG-ACCS | Ceiling: access | Techo: acceso | ✓ |✕ | | | | | | | | |</v>
      </c>
    </row>
    <row r="11" spans="2:22" x14ac:dyDescent="0.55000000000000004">
      <c r="B11" s="5" t="s">
        <v>780</v>
      </c>
      <c r="C11" s="5" t="s">
        <v>781</v>
      </c>
      <c r="D11" s="5" t="s">
        <v>782</v>
      </c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A□-CLNG-GRID | Ceiling: grid |</v>
      </c>
      <c r="Q11" s="5" t="str">
        <f t="shared" si="3"/>
        <v>| A□-CLNG-GRID | Ceiling: grid | Techo: rejilla |</v>
      </c>
      <c r="R11" s="5" t="str">
        <f t="shared" si="5"/>
        <v>| A□-CLNG-GRID | Ceiling: grid | Techo: rejilla | ✓ |</v>
      </c>
      <c r="S11" s="5" t="str">
        <f t="shared" si="6"/>
        <v>| A□-CLNG-GRID | Ceiling: grid | Techo: rejilla | ✓ |✓ |</v>
      </c>
      <c r="T11" s="5" t="str">
        <f t="shared" si="1"/>
        <v>| A□-CLNG-GRID | Ceiling: grid | Techo: rejilla | ✓ |✓ | |</v>
      </c>
      <c r="U11" s="5" t="str">
        <f t="shared" si="2"/>
        <v>| A□-CLNG-GRID | Ceiling: grid | Techo: rejilla | ✓ | ✓ |  |  |</v>
      </c>
      <c r="V11" s="5" t="str">
        <f t="shared" si="0"/>
        <v>| A□-CLNG-GRID | Ceiling: grid | Techo: rejilla | ✓ |✓ | | | | | | | | |</v>
      </c>
    </row>
    <row r="12" spans="2:22" x14ac:dyDescent="0.55000000000000004">
      <c r="B12" s="5" t="s">
        <v>783</v>
      </c>
      <c r="C12" s="5" t="s">
        <v>784</v>
      </c>
      <c r="D12" s="5" t="s">
        <v>785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A□-CLNG-OPNG | Ceiling: openings |</v>
      </c>
      <c r="Q12" s="5" t="str">
        <f t="shared" si="3"/>
        <v>| A□-CLNG-OPNG | Ceiling: openings | Techo: aberturas |</v>
      </c>
      <c r="R12" s="5" t="str">
        <f t="shared" si="5"/>
        <v>| A□-CLNG-OPNG | Ceiling: openings | Techo: aberturas |  |</v>
      </c>
      <c r="S12" s="5" t="str">
        <f t="shared" si="6"/>
        <v>| A□-CLNG-OPNG | Ceiling: openings | Techo: aberturas |  | |</v>
      </c>
      <c r="T12" s="5" t="str">
        <f t="shared" si="1"/>
        <v>| A□-CLNG-OPNG | Ceiling: openings | Techo: aberturas |  | | |</v>
      </c>
      <c r="U12" s="5"/>
      <c r="V12" s="5" t="str">
        <f t="shared" si="0"/>
        <v>| A□-CLNG-OPNG | Ceiling: openings | Techo: aberturas |  | | | | | | | | | |</v>
      </c>
    </row>
    <row r="13" spans="2:22" ht="30.75" x14ac:dyDescent="0.55000000000000004">
      <c r="B13" s="5" t="s">
        <v>786</v>
      </c>
      <c r="C13" s="5" t="s">
        <v>787</v>
      </c>
      <c r="D13" s="5" t="s">
        <v>788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A□-CLNG-SUSP | Ceiling: suspended elements |</v>
      </c>
      <c r="Q13" s="5" t="str">
        <f t="shared" si="3"/>
        <v>| A□-CLNG-SUSP | Ceiling: suspended elements | Techo: elementos suspendidos |</v>
      </c>
      <c r="R13" s="5" t="str">
        <f t="shared" si="5"/>
        <v>| A□-CLNG-SUSP | Ceiling: suspended elements | Techo: elementos suspendidos |  |</v>
      </c>
      <c r="S13" s="5" t="str">
        <f t="shared" si="6"/>
        <v>| A□-CLNG-SUSP | Ceiling: suspended elements | Techo: elementos suspendidos |  | |</v>
      </c>
      <c r="T13" s="5" t="str">
        <f t="shared" si="1"/>
        <v>| A□-CLNG-SUSP | Ceiling: suspended elements | Techo: elementos suspendidos |  | | |</v>
      </c>
      <c r="U13" s="5"/>
      <c r="V13" s="5" t="str">
        <f t="shared" si="0"/>
        <v>| A□-CLNG-SUSP | Ceiling: suspended elements | Techo: elementos suspendidos |  | | | | | | | | | |</v>
      </c>
    </row>
    <row r="14" spans="2:22" x14ac:dyDescent="0.55000000000000004">
      <c r="B14" s="5" t="s">
        <v>789</v>
      </c>
      <c r="C14" s="5" t="s">
        <v>790</v>
      </c>
      <c r="D14" s="5" t="s">
        <v>791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A□-CLNG-TEES | Ceiling: main tees |</v>
      </c>
      <c r="Q14" s="5" t="str">
        <f t="shared" si="3"/>
        <v>| A□-CLNG-TEES | Ceiling: main tees | Techo: tes principales |</v>
      </c>
      <c r="R14" s="5" t="str">
        <f t="shared" si="5"/>
        <v>| A□-CLNG-TEES | Ceiling: main tees | Techo: tes principales |  |</v>
      </c>
      <c r="S14" s="5" t="str">
        <f t="shared" si="6"/>
        <v>| A□-CLNG-TEES | Ceiling: main tees | Techo: tes principales |  | |</v>
      </c>
      <c r="T14" s="5" t="str">
        <f t="shared" si="1"/>
        <v>| A□-CLNG-TEES | Ceiling: main tees | Techo: tes principales |  | | |</v>
      </c>
      <c r="U14" s="5"/>
      <c r="V14" s="5" t="str">
        <f t="shared" si="0"/>
        <v>| A□-CLNG-TEES | Ceiling: main tees | Techo: tes principales |  | | | | | | | | | |</v>
      </c>
    </row>
    <row r="15" spans="2:22" x14ac:dyDescent="0.55000000000000004">
      <c r="B15" s="5" t="s">
        <v>792</v>
      </c>
      <c r="C15" s="5" t="s">
        <v>322</v>
      </c>
      <c r="D15" s="5" t="s">
        <v>323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A□-COLS | Columns | Columnas |</v>
      </c>
      <c r="R15" s="5"/>
      <c r="S15" s="5"/>
      <c r="T15" s="5"/>
      <c r="U15" s="5"/>
      <c r="V15" s="5"/>
    </row>
    <row r="16" spans="2:22" x14ac:dyDescent="0.55000000000000004">
      <c r="B16" s="5" t="s">
        <v>793</v>
      </c>
      <c r="C16" s="5" t="s">
        <v>331</v>
      </c>
      <c r="D16" s="5" t="s">
        <v>332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A□-CONV | Conveying systems | Sistemas de transporte |</v>
      </c>
      <c r="R16" s="5"/>
      <c r="S16" s="5"/>
      <c r="T16" s="5"/>
      <c r="U16" s="5"/>
      <c r="V16" s="5"/>
    </row>
    <row r="17" spans="2:22" x14ac:dyDescent="0.55000000000000004">
      <c r="B17" s="5" t="s">
        <v>794</v>
      </c>
      <c r="C17" s="5" t="s">
        <v>367</v>
      </c>
      <c r="D17" s="5" t="s">
        <v>368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A□-DOOR | Doors | Puertas |</v>
      </c>
      <c r="R17" s="5"/>
      <c r="S17" s="5"/>
      <c r="T17" s="5"/>
      <c r="U17" s="5"/>
      <c r="V17" s="5"/>
    </row>
    <row r="18" spans="2:22" ht="30.75" x14ac:dyDescent="0.55000000000000004">
      <c r="B18" s="5" t="s">
        <v>795</v>
      </c>
      <c r="C18" s="5" t="s">
        <v>796</v>
      </c>
      <c r="D18" s="5" t="s">
        <v>797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A□-DOOR-FULL | Doors: full-height (swing and leaf) | Puertas: altura completa (batientes y de hoja) |</v>
      </c>
      <c r="R18" s="5"/>
      <c r="S18" s="5"/>
      <c r="T18" s="5"/>
      <c r="U18" s="5"/>
      <c r="V18" s="5"/>
    </row>
    <row r="19" spans="2:22" ht="30.75" x14ac:dyDescent="0.55000000000000004">
      <c r="B19" s="5" t="s">
        <v>798</v>
      </c>
      <c r="C19" s="5" t="s">
        <v>799</v>
      </c>
      <c r="D19" s="5" t="s">
        <v>800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A□-DOOR-PRHT | Doors: partial-height (swing and leaf) | Puertas: altura parcial (batientes y de hoja) |</v>
      </c>
      <c r="R19" s="5"/>
      <c r="S19" s="5"/>
      <c r="T19" s="5"/>
      <c r="U19" s="5"/>
      <c r="V19" s="5"/>
    </row>
    <row r="20" spans="2:22" x14ac:dyDescent="0.55000000000000004">
      <c r="B20" s="5" t="s">
        <v>801</v>
      </c>
      <c r="C20" s="5" t="s">
        <v>81</v>
      </c>
      <c r="D20" s="5" t="s">
        <v>400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A□-EQPM | Equipment | Equipo |</v>
      </c>
      <c r="R20" s="5"/>
      <c r="S20" s="5"/>
      <c r="T20" s="5"/>
      <c r="U20" s="5"/>
      <c r="V20" s="5"/>
    </row>
    <row r="21" spans="2:22" x14ac:dyDescent="0.55000000000000004">
      <c r="B21" s="5" t="s">
        <v>802</v>
      </c>
      <c r="C21" s="5" t="s">
        <v>803</v>
      </c>
      <c r="D21" s="5" t="s">
        <v>804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A□-EQPM-ACCS | Equipment: access | Equipo: acceso |</v>
      </c>
      <c r="R21" s="5"/>
      <c r="S21" s="5"/>
      <c r="T21" s="5"/>
      <c r="U21" s="5"/>
      <c r="V21" s="5"/>
    </row>
    <row r="22" spans="2:22" x14ac:dyDescent="0.55000000000000004">
      <c r="B22" s="5" t="s">
        <v>805</v>
      </c>
      <c r="C22" s="5" t="s">
        <v>806</v>
      </c>
      <c r="D22" s="5" t="s">
        <v>807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A□-EQPM-FIXD | Equipment: fixed | Equipo: fijo |</v>
      </c>
      <c r="R22" s="5"/>
      <c r="S22" s="5"/>
      <c r="T22" s="5"/>
      <c r="U22" s="5"/>
      <c r="V22" s="5"/>
    </row>
    <row r="23" spans="2:22" x14ac:dyDescent="0.55000000000000004">
      <c r="B23" s="5" t="s">
        <v>808</v>
      </c>
      <c r="C23" s="5" t="s">
        <v>809</v>
      </c>
      <c r="D23" s="5" t="s">
        <v>810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A□-EQPM-OVHD | Equipment: overhead | Equipo: suspendido |</v>
      </c>
      <c r="R23" s="5"/>
      <c r="S23" s="5"/>
      <c r="T23" s="5"/>
      <c r="U23" s="5"/>
      <c r="V23" s="5"/>
    </row>
    <row r="24" spans="2:22" x14ac:dyDescent="0.55000000000000004">
      <c r="B24" s="5" t="s">
        <v>811</v>
      </c>
      <c r="C24" s="5" t="s">
        <v>422</v>
      </c>
      <c r="D24" s="5" t="s">
        <v>423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A□-FLOR | Floor | Piso |</v>
      </c>
      <c r="R24" s="5"/>
      <c r="S24" s="5"/>
      <c r="T24" s="5"/>
      <c r="U24" s="5"/>
      <c r="V24" s="5"/>
    </row>
    <row r="25" spans="2:22" x14ac:dyDescent="0.55000000000000004">
      <c r="B25" s="5" t="s">
        <v>812</v>
      </c>
      <c r="C25" s="5" t="s">
        <v>813</v>
      </c>
      <c r="D25" s="5" t="s">
        <v>814</v>
      </c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A□-FLOR-CSWK | Floor: casework | Piso: carpintería |</v>
      </c>
      <c r="R25" s="5"/>
      <c r="S25" s="5"/>
      <c r="T25" s="5"/>
      <c r="U25" s="5"/>
      <c r="V25" s="5"/>
    </row>
    <row r="26" spans="2:22" x14ac:dyDescent="0.55000000000000004">
      <c r="B26" s="4" t="s">
        <v>815</v>
      </c>
      <c r="C26" s="4" t="s">
        <v>816</v>
      </c>
      <c r="D26" s="4" t="s">
        <v>817</v>
      </c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A□-FLOR-EVTR | Floor: elevator cars and equipment | Piso: cabinas y equipo de ascensor |</v>
      </c>
      <c r="R26" s="5"/>
      <c r="S26" s="5"/>
      <c r="T26" s="5"/>
      <c r="U26" s="5"/>
      <c r="V26" s="5"/>
    </row>
    <row r="27" spans="2:22" x14ac:dyDescent="0.55000000000000004">
      <c r="B27" s="4" t="s">
        <v>818</v>
      </c>
      <c r="C27" s="4" t="s">
        <v>819</v>
      </c>
      <c r="D27" s="4" t="s">
        <v>820</v>
      </c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A□-FLOR-FIXT | Floor: fixtures (plumbing) | Piso: accesorios (fontanería) |</v>
      </c>
      <c r="R27" s="5"/>
      <c r="S27" s="5"/>
      <c r="T27" s="5"/>
      <c r="U27" s="5"/>
      <c r="V27" s="5"/>
    </row>
    <row r="28" spans="2:22" x14ac:dyDescent="0.55000000000000004">
      <c r="B28" s="4" t="s">
        <v>821</v>
      </c>
      <c r="C28" s="4" t="s">
        <v>822</v>
      </c>
      <c r="D28" s="4" t="s">
        <v>823</v>
      </c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A□-FLOR-HRAL | Floor: handrails/guard rails | Piso: pasamanos/barandillas |</v>
      </c>
      <c r="R28" s="5"/>
      <c r="S28" s="5"/>
      <c r="T28" s="5"/>
      <c r="U28" s="5"/>
      <c r="V28" s="5"/>
    </row>
    <row r="29" spans="2:22" x14ac:dyDescent="0.55000000000000004">
      <c r="B29" s="4" t="s">
        <v>824</v>
      </c>
      <c r="C29" s="4" t="s">
        <v>825</v>
      </c>
      <c r="D29" s="4" t="s">
        <v>826</v>
      </c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A□-FLOR-LEVL | Floor: level changes (ramps, pits, depressions) | Piso: cambios de nivel (rampas, fosos, depresiones) |</v>
      </c>
      <c r="R29" s="5"/>
      <c r="S29" s="5"/>
      <c r="T29" s="5"/>
      <c r="U29" s="5"/>
      <c r="V29" s="5"/>
    </row>
    <row r="30" spans="2:22" x14ac:dyDescent="0.55000000000000004">
      <c r="B30" s="4" t="s">
        <v>827</v>
      </c>
      <c r="C30" s="4" t="s">
        <v>828</v>
      </c>
      <c r="D30" s="4" t="s">
        <v>829</v>
      </c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A□-FLOR-OTLN | Floor: outline | Piso: contorno |</v>
      </c>
      <c r="R30" s="5"/>
      <c r="S30" s="5"/>
      <c r="T30" s="5"/>
      <c r="U30" s="5"/>
      <c r="V30" s="5"/>
    </row>
    <row r="31" spans="2:22" x14ac:dyDescent="0.55000000000000004">
      <c r="B31" s="4" t="s">
        <v>830</v>
      </c>
      <c r="C31" s="4" t="s">
        <v>831</v>
      </c>
      <c r="D31" s="4" t="s">
        <v>832</v>
      </c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A□-FLOR-OVHD | Floor: overhead | Piso: suspendido |</v>
      </c>
      <c r="R31" s="5"/>
      <c r="S31" s="5"/>
      <c r="T31" s="5"/>
      <c r="U31" s="5"/>
      <c r="V31" s="5"/>
    </row>
    <row r="32" spans="2:22" x14ac:dyDescent="0.55000000000000004">
      <c r="B32" s="5" t="s">
        <v>833</v>
      </c>
      <c r="C32" s="4" t="s">
        <v>834</v>
      </c>
      <c r="D32" s="4" t="s">
        <v>835</v>
      </c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A□-FLOR-RAIS | Floor: raised | Piso: elevado |</v>
      </c>
      <c r="R32" s="5"/>
      <c r="S32" s="5"/>
      <c r="T32" s="5"/>
      <c r="U32" s="5"/>
      <c r="V32" s="5"/>
    </row>
    <row r="33" spans="2:22" x14ac:dyDescent="0.55000000000000004">
      <c r="B33" s="5" t="s">
        <v>836</v>
      </c>
      <c r="C33" s="4" t="s">
        <v>837</v>
      </c>
      <c r="D33" s="4" t="s">
        <v>838</v>
      </c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A□-FLOR-RISR | Floor: risers | Piso: contrahuellas |</v>
      </c>
      <c r="R33" s="5"/>
      <c r="S33" s="5"/>
      <c r="T33" s="5"/>
      <c r="U33" s="5"/>
      <c r="V33" s="5"/>
    </row>
    <row r="34" spans="2:22" x14ac:dyDescent="0.55000000000000004">
      <c r="B34" s="4" t="s">
        <v>839</v>
      </c>
      <c r="C34" s="4" t="s">
        <v>840</v>
      </c>
      <c r="D34" s="4" t="s">
        <v>841</v>
      </c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A□-FLOR-SIGN | Floor: signage | Piso: señalización |</v>
      </c>
      <c r="R34" s="5"/>
      <c r="S34" s="5"/>
      <c r="T34" s="5"/>
      <c r="U34" s="5"/>
      <c r="V34" s="5"/>
    </row>
    <row r="35" spans="2:22" x14ac:dyDescent="0.55000000000000004">
      <c r="B35" s="4" t="s">
        <v>842</v>
      </c>
      <c r="C35" s="4" t="s">
        <v>843</v>
      </c>
      <c r="D35" s="4" t="s">
        <v>844</v>
      </c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A□-FLOR-SPCL | Floor: specialties (toilet room accessories, display cases) A□-FLOR-STRS | Piso: artículos especiales (accesorios para baños, vitrinas) A□-FLOR-STRS |</v>
      </c>
      <c r="R35" s="5"/>
      <c r="S35" s="5"/>
      <c r="T35" s="5"/>
      <c r="U35" s="5"/>
      <c r="V35" s="5"/>
    </row>
    <row r="36" spans="2:22" x14ac:dyDescent="0.55000000000000004">
      <c r="B36" s="4" t="s">
        <v>845</v>
      </c>
      <c r="C36" s="4" t="s">
        <v>846</v>
      </c>
      <c r="D36" s="4" t="s">
        <v>847</v>
      </c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A□-FLOR-TPTN | Floor: toilet partitions | Suelo: mamparas de baño |</v>
      </c>
      <c r="R36" s="5"/>
      <c r="S36" s="5"/>
      <c r="T36" s="5"/>
      <c r="U36" s="5"/>
      <c r="V36" s="5"/>
    </row>
    <row r="37" spans="2:22" x14ac:dyDescent="0.55000000000000004">
      <c r="B37" s="5" t="s">
        <v>848</v>
      </c>
      <c r="C37" s="4" t="s">
        <v>849</v>
      </c>
      <c r="D37" s="4" t="s">
        <v>850</v>
      </c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A□-FLOR-WDWK | Floor: architectural woodwork | Suelo: carpintería arquitectónica |</v>
      </c>
      <c r="R37" s="5"/>
      <c r="S37" s="5"/>
      <c r="T37" s="5"/>
      <c r="U37" s="5"/>
      <c r="V37" s="5"/>
    </row>
    <row r="38" spans="2:22" x14ac:dyDescent="0.55000000000000004">
      <c r="B38" s="5" t="s">
        <v>851</v>
      </c>
      <c r="C38" s="5" t="s">
        <v>443</v>
      </c>
      <c r="D38" s="4" t="s">
        <v>444</v>
      </c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A□-FURN | Furnishings | Mobiliario |</v>
      </c>
      <c r="R38" s="5"/>
      <c r="S38" s="5"/>
      <c r="T38" s="5"/>
      <c r="U38" s="5"/>
      <c r="V38" s="5"/>
    </row>
    <row r="39" spans="2:22" x14ac:dyDescent="0.55000000000000004">
      <c r="B39" s="4" t="s">
        <v>852</v>
      </c>
      <c r="C39" s="4" t="s">
        <v>853</v>
      </c>
      <c r="D39" s="4" t="s">
        <v>854</v>
      </c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 t="str">
        <f t="shared" si="3"/>
        <v>| A□-FURN-FILE | Furnishings: file cabinets | Mobiliario: archivadores |</v>
      </c>
      <c r="R39" s="5"/>
      <c r="S39" s="5"/>
      <c r="T39" s="5"/>
      <c r="U39" s="5"/>
      <c r="V39" s="5"/>
    </row>
    <row r="40" spans="2:22" x14ac:dyDescent="0.55000000000000004">
      <c r="B40" s="4" t="s">
        <v>855</v>
      </c>
      <c r="C40" s="4" t="s">
        <v>856</v>
      </c>
      <c r="D40" s="4" t="s">
        <v>857</v>
      </c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 t="str">
        <f t="shared" si="3"/>
        <v>| A□-FURN-FIXD | Furnishings: fixed | Mobiliario: fijo |</v>
      </c>
      <c r="R40" s="5"/>
      <c r="S40" s="5"/>
      <c r="T40" s="5"/>
      <c r="U40" s="5"/>
      <c r="V40" s="5"/>
    </row>
    <row r="41" spans="2:22" x14ac:dyDescent="0.55000000000000004">
      <c r="B41" s="4" t="s">
        <v>858</v>
      </c>
      <c r="C41" s="4" t="s">
        <v>859</v>
      </c>
      <c r="D41" s="4" t="s">
        <v>860</v>
      </c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 t="str">
        <f t="shared" si="3"/>
        <v>| A□-FURN-FREE | Furnishings: freestanding | Mobiliario: independiente |</v>
      </c>
      <c r="R41" s="5"/>
      <c r="S41" s="5"/>
      <c r="T41" s="5"/>
      <c r="U41" s="5"/>
      <c r="V41" s="5"/>
    </row>
    <row r="42" spans="2:22" x14ac:dyDescent="0.55000000000000004">
      <c r="B42" s="4" t="s">
        <v>861</v>
      </c>
      <c r="C42" s="4" t="s">
        <v>862</v>
      </c>
      <c r="D42" s="4" t="s">
        <v>863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 t="str">
        <f t="shared" si="3"/>
        <v>| A□-FURN-PLNT | Furnishings: plants | Mobiliario: plantas |</v>
      </c>
      <c r="R42" s="5"/>
      <c r="S42" s="5"/>
      <c r="T42" s="5"/>
      <c r="U42" s="5"/>
      <c r="V42" s="5"/>
    </row>
    <row r="43" spans="2:22" x14ac:dyDescent="0.55000000000000004">
      <c r="B43" s="4" t="s">
        <v>864</v>
      </c>
      <c r="C43" s="4" t="s">
        <v>865</v>
      </c>
      <c r="D43" s="4" t="s">
        <v>866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 t="str">
        <f t="shared" si="3"/>
        <v>| A□-FURN-PNLS | Furnishings: system panels | Mobiliario: paneles de sistema |</v>
      </c>
      <c r="R43" s="5"/>
      <c r="S43" s="5"/>
      <c r="T43" s="5"/>
      <c r="U43" s="5"/>
      <c r="V43" s="5"/>
    </row>
    <row r="44" spans="2:22" x14ac:dyDescent="0.55000000000000004">
      <c r="B44" s="4" t="s">
        <v>867</v>
      </c>
      <c r="C44" s="4" t="s">
        <v>868</v>
      </c>
      <c r="D44" s="4" t="s">
        <v>869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 t="str">
        <f t="shared" si="3"/>
        <v>| A□-FURN-SEAT | Furnishings: seating | Mobiliario: asientos |</v>
      </c>
      <c r="R44" s="5"/>
      <c r="S44" s="5"/>
      <c r="T44" s="5"/>
      <c r="U44" s="5"/>
      <c r="V44" s="5"/>
    </row>
    <row r="45" spans="2:22" ht="30.75" x14ac:dyDescent="0.55000000000000004">
      <c r="B45" s="4" t="s">
        <v>870</v>
      </c>
      <c r="C45" s="4" t="s">
        <v>871</v>
      </c>
      <c r="D45" s="4" t="s">
        <v>872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103" si="7">_xlfn.CONCAT("| ",B45," | ",C45," |")</f>
        <v>| A□-FURN-STOR | Furnishings: storage (component system) |</v>
      </c>
      <c r="Q45" s="5" t="str">
        <f t="shared" si="3"/>
        <v>| A□-FURN-STOR | Furnishings: storage (component system) | Mobiliario: almacenamiento (sistema de componentes) |</v>
      </c>
      <c r="R45" s="5" t="str">
        <f t="shared" si="5"/>
        <v>| A□-FURN-STOR | Furnishings: storage (component system) | Mobiliario: almacenamiento (sistema de componentes) |  |</v>
      </c>
      <c r="S45" s="5" t="str">
        <f t="shared" si="6"/>
        <v>| A□-FURN-STOR | Furnishings: storage (component system) | Mobiliario: almacenamiento (sistema de componentes) |  | |</v>
      </c>
      <c r="T45" s="5" t="str">
        <f t="shared" si="1"/>
        <v>| A□-FURN-STOR | Furnishings: storage (component system) | Mobiliario: almacenamiento (sistema de componentes) |  | | |</v>
      </c>
      <c r="U45" s="5"/>
      <c r="V45" s="5" t="str">
        <f t="shared" ref="V45:V103" si="8">_xlfn.CONCAT("| ",B45," | ",C45," | ",D45," | ",E45," |",F45," |",G45," |",H45," |",I45," |",J45," |",K45," |",L45," |",M45," |",N45," |")</f>
        <v>| A□-FURN-STOR | Furnishings: storage (component system) | Mobiliario: almacenamiento (sistema de componentes) |  | | | | | | | | | |</v>
      </c>
    </row>
    <row r="46" spans="2:22" ht="30.75" x14ac:dyDescent="0.55000000000000004">
      <c r="B46" s="4" t="s">
        <v>873</v>
      </c>
      <c r="C46" s="4" t="s">
        <v>874</v>
      </c>
      <c r="D46" s="4" t="s">
        <v>875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A□-FURN-WKSF | Furnishings: work surface (component system) A□-GLAZ |</v>
      </c>
      <c r="Q46" s="5" t="str">
        <f t="shared" si="3"/>
        <v>| A□-FURN-WKSF | Furnishings: work surface (component system) A□-GLAZ | Mobiliario: superficie de trabajo (sistema de componentes) A□-GLAZ |</v>
      </c>
      <c r="R46" s="5" t="str">
        <f t="shared" si="5"/>
        <v>| A□-FURN-WKSF | Furnishings: work surface (component system) A□-GLAZ | Mobiliario: superficie de trabajo (sistema de componentes) A□-GLAZ |  |</v>
      </c>
      <c r="S46" s="5" t="str">
        <f t="shared" si="6"/>
        <v>| A□-FURN-WKSF | Furnishings: work surface (component system) A□-GLAZ | Mobiliario: superficie de trabajo (sistema de componentes) A□-GLAZ |  | |</v>
      </c>
      <c r="T46" s="5" t="str">
        <f t="shared" si="1"/>
        <v>| A□-FURN-WKSF | Furnishings: work surface (component system) A□-GLAZ | Mobiliario: superficie de trabajo (sistema de componentes) A□-GLAZ |  | | |</v>
      </c>
      <c r="U46" s="5"/>
      <c r="V46" s="5" t="str">
        <f t="shared" si="8"/>
        <v>| A□-FURN-WKSF | Furnishings: work surface (component system) A□-GLAZ | Mobiliario: superficie de trabajo (sistema de componentes) A□-GLAZ |  | | | | | | | | | |</v>
      </c>
    </row>
    <row r="47" spans="2:22" x14ac:dyDescent="0.55000000000000004">
      <c r="B47" s="4" t="s">
        <v>876</v>
      </c>
      <c r="C47" s="4" t="s">
        <v>877</v>
      </c>
      <c r="D47" s="4" t="s">
        <v>878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A□-GLAZ-FULL | Glazing: full-height |</v>
      </c>
      <c r="Q47" s="5" t="str">
        <f t="shared" si="3"/>
        <v>| A□-GLAZ-FULL | Glazing: full-height | Acristalamiento: altura completa |</v>
      </c>
      <c r="R47" s="5" t="str">
        <f t="shared" si="5"/>
        <v>| A□-GLAZ-FULL | Glazing: full-height | Acristalamiento: altura completa |  |</v>
      </c>
      <c r="S47" s="5" t="str">
        <f t="shared" si="6"/>
        <v>| A□-GLAZ-FULL | Glazing: full-height | Acristalamiento: altura completa |  | |</v>
      </c>
      <c r="T47" s="5" t="str">
        <f t="shared" si="1"/>
        <v>| A□-GLAZ-FULL | Glazing: full-height | Acristalamiento: altura completa |  | | |</v>
      </c>
      <c r="U47" s="5"/>
      <c r="V47" s="5" t="str">
        <f t="shared" si="8"/>
        <v>| A□-GLAZ-FULL | Glazing: full-height | Acristalamiento: altura completa |  | | | | | | | | | |</v>
      </c>
    </row>
    <row r="48" spans="2:22" x14ac:dyDescent="0.55000000000000004">
      <c r="B48" s="4" t="s">
        <v>879</v>
      </c>
      <c r="C48" s="4" t="s">
        <v>880</v>
      </c>
      <c r="D48" s="4" t="s">
        <v>881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A□-GLAZ-PRHT | Glazing: partial-height |</v>
      </c>
      <c r="Q48" s="5" t="str">
        <f t="shared" si="3"/>
        <v>| A□-GLAZ-PRHT | Glazing: partial-height | Acristalamiento: altura parcial |</v>
      </c>
      <c r="R48" s="5" t="str">
        <f t="shared" si="5"/>
        <v>| A□-GLAZ-PRHT | Glazing: partial-height | Acristalamiento: altura parcial |  |</v>
      </c>
      <c r="S48" s="5" t="str">
        <f t="shared" si="6"/>
        <v>| A□-GLAZ-PRHT | Glazing: partial-height | Acristalamiento: altura parcial |  | |</v>
      </c>
      <c r="T48" s="5" t="str">
        <f t="shared" si="1"/>
        <v>| A□-GLAZ-PRHT | Glazing: partial-height | Acristalamiento: altura parcial |  | | |</v>
      </c>
      <c r="U48" s="5"/>
      <c r="V48" s="5" t="str">
        <f t="shared" si="8"/>
        <v>| A□-GLAZ-PRHT | Glazing: partial-height | Acristalamiento: altura parcial |  | | | | | | | | | |</v>
      </c>
    </row>
    <row r="49" spans="2:22" ht="30.75" x14ac:dyDescent="0.55000000000000004">
      <c r="B49" s="4" t="s">
        <v>882</v>
      </c>
      <c r="C49" s="4" t="s">
        <v>883</v>
      </c>
      <c r="D49" s="4" t="s">
        <v>884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A□-GLAZ-SILL | Glazing: window sills |</v>
      </c>
      <c r="Q49" s="5" t="str">
        <f t="shared" si="3"/>
        <v>| A□-GLAZ-SILL | Glazing: window sills | Acristalamiento: alféizares de ventanas |</v>
      </c>
      <c r="R49" s="5" t="str">
        <f t="shared" si="5"/>
        <v>| A□-GLAZ-SILL | Glazing: window sills | Acristalamiento: alféizares de ventanas |  |</v>
      </c>
      <c r="S49" s="5" t="str">
        <f t="shared" si="6"/>
        <v>| A□-GLAZ-SILL | Glazing: window sills | Acristalamiento: alféizares de ventanas |  | |</v>
      </c>
      <c r="T49" s="5" t="str">
        <f t="shared" si="1"/>
        <v>| A□-GLAZ-SILL | Glazing: window sills | Acristalamiento: alféizares de ventanas |  | | |</v>
      </c>
      <c r="U49" s="5"/>
      <c r="V49" s="5" t="str">
        <f t="shared" si="8"/>
        <v>| A□-GLAZ-SILL | Glazing: window sills | Acristalamiento: alféizares de ventanas |  | | | | | | | | | |</v>
      </c>
    </row>
    <row r="50" spans="2:22" x14ac:dyDescent="0.55000000000000004">
      <c r="B50" s="4" t="s">
        <v>885</v>
      </c>
      <c r="C50" s="4" t="s">
        <v>469</v>
      </c>
      <c r="D50" s="4" t="s">
        <v>470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A□-HVAC | HVAC systems |</v>
      </c>
      <c r="Q50" s="5" t="str">
        <f t="shared" si="3"/>
        <v>| A□-HVAC | HVAC systems | Sistemas de climatización (HVAC) |</v>
      </c>
      <c r="R50" s="5" t="str">
        <f t="shared" si="5"/>
        <v>| A□-HVAC | HVAC systems | Sistemas de climatización (HVAC) |  |</v>
      </c>
      <c r="S50" s="5" t="str">
        <f t="shared" si="6"/>
        <v>| A□-HVAC | HVAC systems | Sistemas de climatización (HVAC) |  | |</v>
      </c>
      <c r="T50" s="5" t="str">
        <f t="shared" si="1"/>
        <v>| A□-HVAC | HVAC systems | Sistemas de climatización (HVAC) |  | | |</v>
      </c>
      <c r="U50" s="5"/>
      <c r="V50" s="5" t="str">
        <f t="shared" si="8"/>
        <v>| A□-HVAC | HVAC systems | Sistemas de climatización (HVAC) |  | | | | | | | | | |</v>
      </c>
    </row>
    <row r="51" spans="2:22" ht="30.75" x14ac:dyDescent="0.55000000000000004">
      <c r="B51" s="4" t="s">
        <v>886</v>
      </c>
      <c r="C51" s="4" t="s">
        <v>887</v>
      </c>
      <c r="D51" s="4" t="s">
        <v>888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A□-HVAC-RDFF | HVAC systems: return air diffusers |</v>
      </c>
      <c r="Q51" s="5" t="str">
        <f t="shared" si="3"/>
        <v>| A□-HVAC-RDFF | HVAC systems: return air diffusers | Sistemas de climatización (HVAC): difusores de aire de retorno |</v>
      </c>
      <c r="R51" s="5" t="str">
        <f t="shared" si="5"/>
        <v>| A□-HVAC-RDFF | HVAC systems: return air diffusers | Sistemas de climatización (HVAC): difusores de aire de retorno |  |</v>
      </c>
      <c r="S51" s="5" t="str">
        <f t="shared" si="6"/>
        <v>| A□-HVAC-RDFF | HVAC systems: return air diffusers | Sistemas de climatización (HVAC): difusores de aire de retorno |  | |</v>
      </c>
      <c r="T51" s="5" t="str">
        <f t="shared" si="1"/>
        <v>| A□-HVAC-RDFF | HVAC systems: return air diffusers | Sistemas de climatización (HVAC): difusores de aire de retorno |  | | |</v>
      </c>
      <c r="U51" s="5"/>
      <c r="V51" s="5" t="str">
        <f t="shared" si="8"/>
        <v>| A□-HVAC-RDFF | HVAC systems: return air diffusers | Sistemas de climatización (HVAC): difusores de aire de retorno |  | | | | | | | | | |</v>
      </c>
    </row>
    <row r="52" spans="2:22" ht="30.75" x14ac:dyDescent="0.55000000000000004">
      <c r="B52" s="4" t="s">
        <v>889</v>
      </c>
      <c r="C52" s="4" t="s">
        <v>890</v>
      </c>
      <c r="D52" s="4" t="s">
        <v>891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A□-HVAC-SDFF | HVAC systems: supply diffusers |</v>
      </c>
      <c r="Q52" s="5" t="str">
        <f t="shared" si="3"/>
        <v>| A□-HVAC-SDFF | HVAC systems: supply diffusers | Sistemas de climatización (HVAC): difusores de suministro |</v>
      </c>
      <c r="R52" s="5" t="str">
        <f t="shared" si="5"/>
        <v>| A□-HVAC-SDFF | HVAC systems: supply diffusers | Sistemas de climatización (HVAC): difusores de suministro |  |</v>
      </c>
      <c r="S52" s="5" t="str">
        <f t="shared" si="6"/>
        <v>| A□-HVAC-SDFF | HVAC systems: supply diffusers | Sistemas de climatización (HVAC): difusores de suministro |  | |</v>
      </c>
      <c r="T52" s="5" t="str">
        <f t="shared" si="1"/>
        <v>| A□-HVAC-SDFF | HVAC systems: supply diffusers | Sistemas de climatización (HVAC): difusores de suministro |  | | |</v>
      </c>
      <c r="U52" s="5"/>
      <c r="V52" s="5" t="str">
        <f t="shared" si="8"/>
        <v>| A□-HVAC-SDFF | HVAC systems: supply diffusers | Sistemas de climatización (HVAC): difusores de suministro |  | | | | | | | | | |</v>
      </c>
    </row>
    <row r="53" spans="2:22" x14ac:dyDescent="0.55000000000000004">
      <c r="B53" s="4" t="s">
        <v>892</v>
      </c>
      <c r="C53" s="4" t="s">
        <v>514</v>
      </c>
      <c r="D53" s="4" t="s">
        <v>515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A□-LITE | Lighting |</v>
      </c>
      <c r="Q53" s="5" t="str">
        <f t="shared" si="3"/>
        <v>| A□-LITE | Lighting | Iluminación |</v>
      </c>
      <c r="R53" s="5" t="str">
        <f t="shared" si="5"/>
        <v>| A□-LITE | Lighting | Iluminación |  |</v>
      </c>
      <c r="S53" s="5" t="str">
        <f t="shared" si="6"/>
        <v>| A□-LITE | Lighting | Iluminación |  | |</v>
      </c>
      <c r="T53" s="5" t="str">
        <f t="shared" si="1"/>
        <v>| A□-LITE | Lighting | Iluminación |  | | |</v>
      </c>
      <c r="U53" s="5"/>
      <c r="V53" s="5" t="str">
        <f t="shared" si="8"/>
        <v>| A□-LITE | Lighting | Iluminación |  | | | | | | | | | |</v>
      </c>
    </row>
    <row r="54" spans="2:22" x14ac:dyDescent="0.55000000000000004">
      <c r="B54" s="4" t="s">
        <v>893</v>
      </c>
      <c r="C54" s="4" t="s">
        <v>642</v>
      </c>
      <c r="D54" s="4" t="s">
        <v>302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A□-ROOF | Roof |</v>
      </c>
      <c r="Q54" s="5" t="str">
        <f t="shared" si="3"/>
        <v>| A□-ROOF | Roof | Techo |</v>
      </c>
      <c r="R54" s="5" t="str">
        <f t="shared" si="5"/>
        <v>| A□-ROOF | Roof | Techo |  |</v>
      </c>
      <c r="S54" s="5" t="str">
        <f t="shared" si="6"/>
        <v>| A□-ROOF | Roof | Techo |  | |</v>
      </c>
      <c r="T54" s="5" t="str">
        <f t="shared" si="1"/>
        <v>| A□-ROOF | Roof | Techo |  | | |</v>
      </c>
      <c r="U54" s="5"/>
      <c r="V54" s="5" t="str">
        <f t="shared" si="8"/>
        <v>| A□-ROOF | Roof | Techo |  | | | | | | | | | |</v>
      </c>
    </row>
    <row r="55" spans="2:22" ht="30.75" x14ac:dyDescent="0.55000000000000004">
      <c r="B55" s="4" t="s">
        <v>894</v>
      </c>
      <c r="C55" s="4" t="s">
        <v>895</v>
      </c>
      <c r="D55" s="4" t="s">
        <v>896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A□-ROOF-HRAL | Roof: handrails/guard rails |</v>
      </c>
      <c r="Q55" s="5" t="str">
        <f t="shared" si="3"/>
        <v>| A□-ROOF-HRAL | Roof: handrails/guard rails | Techo: pasamanos/barandillas |</v>
      </c>
      <c r="R55" s="5" t="str">
        <f t="shared" si="5"/>
        <v>| A□-ROOF-HRAL | Roof: handrails/guard rails | Techo: pasamanos/barandillas |  |</v>
      </c>
      <c r="S55" s="5" t="str">
        <f t="shared" si="6"/>
        <v>| A□-ROOF-HRAL | Roof: handrails/guard rails | Techo: pasamanos/barandillas |  | |</v>
      </c>
      <c r="T55" s="5" t="str">
        <f t="shared" si="1"/>
        <v>| A□-ROOF-HRAL | Roof: handrails/guard rails | Techo: pasamanos/barandillas |  | | |</v>
      </c>
      <c r="U55" s="5"/>
      <c r="V55" s="5" t="str">
        <f t="shared" si="8"/>
        <v>| A□-ROOF-HRAL | Roof: handrails/guard rails | Techo: pasamanos/barandillas |  | | | | | | | | | |</v>
      </c>
    </row>
    <row r="56" spans="2:22" x14ac:dyDescent="0.55000000000000004">
      <c r="B56" s="4" t="s">
        <v>897</v>
      </c>
      <c r="C56" s="4" t="s">
        <v>898</v>
      </c>
      <c r="D56" s="4" t="s">
        <v>899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A□-ROOF-LEVL | Roof: level changes |</v>
      </c>
      <c r="Q56" s="5" t="str">
        <f t="shared" si="3"/>
        <v>| A□-ROOF-LEVL | Roof: level changes | Techo: cambios de nivel |</v>
      </c>
      <c r="R56" s="5" t="str">
        <f t="shared" si="5"/>
        <v>| A□-ROOF-LEVL | Roof: level changes | Techo: cambios de nivel |  |</v>
      </c>
      <c r="S56" s="5" t="str">
        <f t="shared" si="6"/>
        <v>| A□-ROOF-LEVL | Roof: level changes | Techo: cambios de nivel |  | |</v>
      </c>
      <c r="T56" s="5" t="str">
        <f t="shared" si="1"/>
        <v>| A□-ROOF-LEVL | Roof: level changes | Techo: cambios de nivel |  | | |</v>
      </c>
      <c r="U56" s="5"/>
      <c r="V56" s="5" t="str">
        <f t="shared" si="8"/>
        <v>| A□-ROOF-LEVL | Roof: level changes | Techo: cambios de nivel |  | | | | | | | | | |</v>
      </c>
    </row>
    <row r="57" spans="2:22" x14ac:dyDescent="0.55000000000000004">
      <c r="B57" s="4" t="s">
        <v>900</v>
      </c>
      <c r="C57" s="4" t="s">
        <v>901</v>
      </c>
      <c r="D57" s="4" t="s">
        <v>902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A□-ROOF-OTLN | Roof: outline |</v>
      </c>
      <c r="Q57" s="5" t="str">
        <f t="shared" si="3"/>
        <v>| A□-ROOF-OTLN | Roof: outline | Techo: contorno |</v>
      </c>
      <c r="R57" s="5" t="str">
        <f t="shared" si="5"/>
        <v>| A□-ROOF-OTLN | Roof: outline | Techo: contorno |  |</v>
      </c>
      <c r="S57" s="5" t="str">
        <f t="shared" si="6"/>
        <v>| A□-ROOF-OTLN | Roof: outline | Techo: contorno |  | |</v>
      </c>
      <c r="T57" s="5" t="str">
        <f t="shared" si="1"/>
        <v>| A□-ROOF-OTLN | Roof: outline | Techo: contorno |  | | |</v>
      </c>
      <c r="U57" s="5"/>
      <c r="V57" s="5" t="str">
        <f t="shared" si="8"/>
        <v>| A□-ROOF-OTLN | Roof: outline | Techo: contorno |  | | | | | | | | | |</v>
      </c>
    </row>
    <row r="58" spans="2:22" x14ac:dyDescent="0.55000000000000004">
      <c r="B58" s="4" t="s">
        <v>903</v>
      </c>
      <c r="C58" s="4" t="s">
        <v>904</v>
      </c>
      <c r="D58" s="4" t="s">
        <v>905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A□-ROOF-RISR | Roof: risers |</v>
      </c>
      <c r="Q58" s="5" t="str">
        <f t="shared" si="3"/>
        <v>| A□-ROOF-RISR | Roof: risers | Techo: contrahuellas |</v>
      </c>
      <c r="R58" s="5" t="str">
        <f t="shared" si="5"/>
        <v>| A□-ROOF-RISR | Roof: risers | Techo: contrahuellas |  |</v>
      </c>
      <c r="S58" s="5" t="str">
        <f t="shared" si="6"/>
        <v>| A□-ROOF-RISR | Roof: risers | Techo: contrahuellas |  | |</v>
      </c>
      <c r="T58" s="5" t="str">
        <f t="shared" si="1"/>
        <v>| A□-ROOF-RISR | Roof: risers | Techo: contrahuellas |  | | |</v>
      </c>
      <c r="U58" s="5"/>
      <c r="V58" s="5" t="str">
        <f t="shared" si="8"/>
        <v>| A□-ROOF-RISR | Roof: risers | Techo: contrahuellas |  | | | | | | | | | |</v>
      </c>
    </row>
    <row r="59" spans="2:22" x14ac:dyDescent="0.55000000000000004">
      <c r="B59" s="4" t="s">
        <v>906</v>
      </c>
      <c r="C59" s="4" t="s">
        <v>907</v>
      </c>
      <c r="D59" s="4" t="s">
        <v>908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A□-ROOF-STRS | Roof: stair treads (ladders) |</v>
      </c>
      <c r="Q59" s="5" t="str">
        <f t="shared" si="3"/>
        <v>| A□-ROOF-STRS | Roof: stair treads (ladders) | Techo: peldaños de escalera |</v>
      </c>
      <c r="R59" s="5" t="str">
        <f t="shared" si="5"/>
        <v>| A□-ROOF-STRS | Roof: stair treads (ladders) | Techo: peldaños de escalera |  |</v>
      </c>
      <c r="S59" s="5" t="str">
        <f t="shared" si="6"/>
        <v>| A□-ROOF-STRS | Roof: stair treads (ladders) | Techo: peldaños de escalera |  | |</v>
      </c>
      <c r="T59" s="5" t="str">
        <f t="shared" si="1"/>
        <v>| A□-ROOF-STRS | Roof: stair treads (ladders) | Techo: peldaños de escalera |  | | |</v>
      </c>
      <c r="U59" s="5"/>
      <c r="V59" s="5" t="str">
        <f t="shared" si="8"/>
        <v>| A□-ROOF-STRS | Roof: stair treads (ladders) | Techo: peldaños de escalera |  | | | | | | | | | |</v>
      </c>
    </row>
    <row r="60" spans="2:22" x14ac:dyDescent="0.55000000000000004">
      <c r="B60" s="4" t="s">
        <v>909</v>
      </c>
      <c r="C60" s="4" t="s">
        <v>752</v>
      </c>
      <c r="D60" s="4" t="s">
        <v>910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A□-WALL | Walls |</v>
      </c>
      <c r="Q60" s="5" t="str">
        <f t="shared" si="3"/>
        <v>| A□-WALL | Walls | Paredes |</v>
      </c>
      <c r="R60" s="5" t="str">
        <f t="shared" si="5"/>
        <v>| A□-WALL | Walls | Paredes |  |</v>
      </c>
      <c r="S60" s="5" t="str">
        <f t="shared" si="6"/>
        <v>| A□-WALL | Walls | Paredes |  | |</v>
      </c>
      <c r="T60" s="5" t="str">
        <f t="shared" si="1"/>
        <v>| A□-WALL | Walls | Paredes |  | | |</v>
      </c>
      <c r="U60" s="5"/>
      <c r="V60" s="5" t="str">
        <f t="shared" si="8"/>
        <v>| A□-WALL | Walls | Paredes |  | | | | | | | | | |</v>
      </c>
    </row>
    <row r="61" spans="2:22" x14ac:dyDescent="0.55000000000000004">
      <c r="B61" s="4" t="s">
        <v>911</v>
      </c>
      <c r="C61" s="4" t="s">
        <v>912</v>
      </c>
      <c r="D61" s="4" t="s">
        <v>913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A□-WALL-CAVI | Walls: cavity |</v>
      </c>
      <c r="Q61" s="5" t="str">
        <f t="shared" si="3"/>
        <v>| A□-WALL-CAVI | Walls: cavity | Paredes: cámara de aire |</v>
      </c>
      <c r="R61" s="5" t="str">
        <f t="shared" si="5"/>
        <v>| A□-WALL-CAVI | Walls: cavity | Paredes: cámara de aire |  |</v>
      </c>
      <c r="S61" s="5" t="str">
        <f t="shared" si="6"/>
        <v>| A□-WALL-CAVI | Walls: cavity | Paredes: cámara de aire |  | |</v>
      </c>
      <c r="T61" s="5" t="str">
        <f t="shared" si="1"/>
        <v>| A□-WALL-CAVI | Walls: cavity | Paredes: cámara de aire |  | | |</v>
      </c>
      <c r="U61" s="5"/>
      <c r="V61" s="5" t="str">
        <f t="shared" si="8"/>
        <v>| A□-WALL-CAVI | Walls: cavity | Paredes: cámara de aire |  | | | | | | | | | |</v>
      </c>
    </row>
    <row r="62" spans="2:22" x14ac:dyDescent="0.55000000000000004">
      <c r="B62" s="4" t="s">
        <v>914</v>
      </c>
      <c r="C62" s="4" t="s">
        <v>915</v>
      </c>
      <c r="D62" s="4" t="s">
        <v>916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A□-WALL-CNTR | Walls: center |</v>
      </c>
      <c r="Q62" s="5" t="str">
        <f t="shared" si="3"/>
        <v>| A□-WALL-CNTR | Walls: center | Paredes: centro |</v>
      </c>
      <c r="R62" s="5" t="str">
        <f t="shared" si="5"/>
        <v>| A□-WALL-CNTR | Walls: center | Paredes: centro |  |</v>
      </c>
      <c r="S62" s="5" t="str">
        <f t="shared" si="6"/>
        <v>| A□-WALL-CNTR | Walls: center | Paredes: centro |  | |</v>
      </c>
      <c r="T62" s="5" t="str">
        <f t="shared" si="1"/>
        <v>| A□-WALL-CNTR | Walls: center | Paredes: centro |  | | |</v>
      </c>
      <c r="U62" s="5"/>
      <c r="V62" s="5" t="str">
        <f t="shared" si="8"/>
        <v>| A□-WALL-CNTR | Walls: center | Paredes: centro |  | | | | | | | | | |</v>
      </c>
    </row>
    <row r="63" spans="2:22" x14ac:dyDescent="0.55000000000000004">
      <c r="B63" s="4" t="s">
        <v>917</v>
      </c>
      <c r="C63" s="4" t="s">
        <v>918</v>
      </c>
      <c r="D63" s="4" t="s">
        <v>919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A□-WALL-CURT | Walls: curtain |</v>
      </c>
      <c r="Q63" s="5" t="str">
        <f t="shared" si="3"/>
        <v>| A□-WALL-CURT | Walls: curtain | Paredes: cortina |</v>
      </c>
      <c r="R63" s="5" t="str">
        <f t="shared" si="5"/>
        <v>| A□-WALL-CURT | Walls: curtain | Paredes: cortina |  |</v>
      </c>
      <c r="S63" s="5" t="str">
        <f t="shared" si="6"/>
        <v>| A□-WALL-CURT | Walls: curtain | Paredes: cortina |  | |</v>
      </c>
      <c r="T63" s="5" t="str">
        <f t="shared" si="1"/>
        <v>| A□-WALL-CURT | Walls: curtain | Paredes: cortina |  | | |</v>
      </c>
      <c r="U63" s="5"/>
      <c r="V63" s="5" t="str">
        <f t="shared" si="8"/>
        <v>| A□-WALL-CURT | Walls: curtain | Paredes: cortina |  | | | | | | | | | |</v>
      </c>
    </row>
    <row r="64" spans="2:22" ht="30.75" x14ac:dyDescent="0.55000000000000004">
      <c r="B64" s="4" t="s">
        <v>920</v>
      </c>
      <c r="C64" s="4" t="s">
        <v>921</v>
      </c>
      <c r="D64" s="4" t="s">
        <v>922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A□-WALL-FIRE | Walls: fire protection |</v>
      </c>
      <c r="Q64" s="5" t="str">
        <f t="shared" si="3"/>
        <v>| A□-WALL-FIRE | Walls: fire protection | Paredes: protección contra incendios |</v>
      </c>
      <c r="R64" s="5" t="str">
        <f t="shared" si="5"/>
        <v>| A□-WALL-FIRE | Walls: fire protection | Paredes: protección contra incendios |  |</v>
      </c>
      <c r="S64" s="5" t="str">
        <f t="shared" si="6"/>
        <v>| A□-WALL-FIRE | Walls: fire protection | Paredes: protección contra incendios |  | |</v>
      </c>
      <c r="T64" s="5" t="str">
        <f t="shared" si="1"/>
        <v>| A□-WALL-FIRE | Walls: fire protection | Paredes: protección contra incendios |  | | |</v>
      </c>
      <c r="U64" s="5"/>
      <c r="V64" s="5" t="str">
        <f t="shared" si="8"/>
        <v>| A□-WALL-FIRE | Walls: fire protection | Paredes: protección contra incendios |  | | | | | | | | | |</v>
      </c>
    </row>
    <row r="65" spans="2:22" x14ac:dyDescent="0.55000000000000004">
      <c r="B65" s="4" t="s">
        <v>923</v>
      </c>
      <c r="C65" s="4" t="s">
        <v>924</v>
      </c>
      <c r="D65" s="4" t="s">
        <v>925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A□-WALL-FULL | Walls: full-height |</v>
      </c>
      <c r="Q65" s="5" t="str">
        <f t="shared" si="3"/>
        <v>| A□-WALL-FULL | Walls: full-height | Paredes: Altura completa |</v>
      </c>
      <c r="R65" s="5" t="str">
        <f t="shared" si="5"/>
        <v>| A□-WALL-FULL | Walls: full-height | Paredes: Altura completa |  |</v>
      </c>
      <c r="S65" s="5" t="str">
        <f t="shared" si="6"/>
        <v>| A□-WALL-FULL | Walls: full-height | Paredes: Altura completa |  | |</v>
      </c>
      <c r="T65" s="5" t="str">
        <f t="shared" si="1"/>
        <v>| A□-WALL-FULL | Walls: full-height | Paredes: Altura completa |  | | |</v>
      </c>
      <c r="U65" s="5"/>
      <c r="V65" s="5" t="str">
        <f t="shared" si="8"/>
        <v>| A□-WALL-FULL | Walls: full-height | Paredes: Altura completa |  | | | | | | | | | |</v>
      </c>
    </row>
    <row r="66" spans="2:22" ht="30.75" x14ac:dyDescent="0.55000000000000004">
      <c r="B66" s="4" t="s">
        <v>926</v>
      </c>
      <c r="C66" s="4" t="s">
        <v>927</v>
      </c>
      <c r="D66" s="4" t="s">
        <v>928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A□-WALL-FULL-EXTR | Walls: full-height: exterior A□-WALL-FULL-INTR |</v>
      </c>
      <c r="Q66" s="5" t="str">
        <f t="shared" si="3"/>
        <v>| A□-WALL-FULL-EXTR | Walls: full-height: exterior A□-WALL-FULL-INTR | Paredes: altura completa: exterior A□-WALL-FULL-INTR |</v>
      </c>
      <c r="R66" s="5" t="str">
        <f t="shared" si="5"/>
        <v>| A□-WALL-FULL-EXTR | Walls: full-height: exterior A□-WALL-FULL-INTR | Paredes: altura completa: exterior A□-WALL-FULL-INTR |  |</v>
      </c>
      <c r="S66" s="5" t="str">
        <f t="shared" si="6"/>
        <v>| A□-WALL-FULL-EXTR | Walls: full-height: exterior A□-WALL-FULL-INTR | Paredes: altura completa: exterior A□-WALL-FULL-INTR |  | |</v>
      </c>
      <c r="T66" s="5" t="str">
        <f t="shared" si="1"/>
        <v>| A□-WALL-FULL-EXTR | Walls: full-height: exterior A□-WALL-FULL-INTR | Paredes: altura completa: exterior A□-WALL-FULL-INTR |  | | |</v>
      </c>
      <c r="U66" s="5"/>
      <c r="V66" s="5" t="str">
        <f t="shared" si="8"/>
        <v>| A□-WALL-FULL-EXTR | Walls: full-height: exterior A□-WALL-FULL-INTR | Paredes: altura completa: exterior A□-WALL-FULL-INTR |  | | | | | | | | | |</v>
      </c>
    </row>
    <row r="67" spans="2:22" ht="30.75" x14ac:dyDescent="0.55000000000000004">
      <c r="B67" s="4" t="s">
        <v>929</v>
      </c>
      <c r="C67" s="4" t="s">
        <v>930</v>
      </c>
      <c r="D67" s="4" t="s">
        <v>931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A□-WALL-HEAD | Walls: door and window headers |</v>
      </c>
      <c r="Q67" s="5" t="str">
        <f t="shared" si="3"/>
        <v>| A□-WALL-HEAD | Walls: door and window headers | Paredes: dintel de puertas y ventanas |</v>
      </c>
      <c r="R67" s="5" t="str">
        <f t="shared" si="5"/>
        <v>| A□-WALL-HEAD | Walls: door and window headers | Paredes: dintel de puertas y ventanas |  |</v>
      </c>
      <c r="S67" s="5" t="str">
        <f t="shared" si="6"/>
        <v>| A□-WALL-HEAD | Walls: door and window headers | Paredes: dintel de puertas y ventanas |  | |</v>
      </c>
      <c r="T67" s="5" t="str">
        <f t="shared" si="1"/>
        <v>| A□-WALL-HEAD | Walls: door and window headers | Paredes: dintel de puertas y ventanas |  | | |</v>
      </c>
      <c r="U67" s="5"/>
      <c r="V67" s="5" t="str">
        <f t="shared" si="8"/>
        <v>| A□-WALL-HEAD | Walls: door and window headers | Paredes: dintel de puertas y ventanas |  | | | | | | | | | |</v>
      </c>
    </row>
    <row r="68" spans="2:22" ht="30.75" x14ac:dyDescent="0.55000000000000004">
      <c r="B68" s="4" t="s">
        <v>932</v>
      </c>
      <c r="C68" s="4" t="s">
        <v>933</v>
      </c>
      <c r="D68" s="4" t="s">
        <v>934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A□-WALL-JAMB | Walls: door and window jambs |</v>
      </c>
      <c r="Q68" s="5" t="str">
        <f t="shared" si="3"/>
        <v>| A□-WALL-JAMB | Walls: door and window jambs | Paredes: jambas de puertas y ventanas |</v>
      </c>
      <c r="R68" s="5" t="str">
        <f t="shared" si="5"/>
        <v>| A□-WALL-JAMB | Walls: door and window jambs | Paredes: jambas de puertas y ventanas |  |</v>
      </c>
      <c r="S68" s="5" t="str">
        <f t="shared" si="6"/>
        <v>| A□-WALL-JAMB | Walls: door and window jambs | Paredes: jambas de puertas y ventanas |  | |</v>
      </c>
      <c r="T68" s="5" t="str">
        <f t="shared" ref="T68:T103" si="9">_xlfn.CONCAT("| ",B68," | ",C68," | ",D68," | ",E68," |",F68," |",G68," |")</f>
        <v>| A□-WALL-JAMB | Walls: door and window jambs | Paredes: jambas de puertas y ventanas |  | | |</v>
      </c>
      <c r="U68" s="5"/>
      <c r="V68" s="5" t="str">
        <f t="shared" si="8"/>
        <v>| A□-WALL-JAMB | Walls: door and window jambs | Paredes: jambas de puertas y ventanas |  | | | | | | | | | |</v>
      </c>
    </row>
    <row r="69" spans="2:22" x14ac:dyDescent="0.55000000000000004">
      <c r="B69" s="4" t="s">
        <v>935</v>
      </c>
      <c r="C69" s="4" t="s">
        <v>936</v>
      </c>
      <c r="D69" s="4" t="s">
        <v>937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A□-WALL-MESH | Walls: mesh or wire |</v>
      </c>
      <c r="Q69" s="5" t="str">
        <f t="shared" ref="Q69:Q91" si="10">_xlfn.CONCAT("| ",B69," | ",C69," | ",D69," |")</f>
        <v>| A□-WALL-MESH | Walls: mesh or wire | Paredes: malla o alambre |</v>
      </c>
      <c r="R69" s="5" t="str">
        <f t="shared" si="5"/>
        <v>| A□-WALL-MESH | Walls: mesh or wire | Paredes: malla o alambre |  |</v>
      </c>
      <c r="S69" s="5" t="str">
        <f t="shared" si="6"/>
        <v>| A□-WALL-MESH | Walls: mesh or wire | Paredes: malla o alambre |  | |</v>
      </c>
      <c r="T69" s="5" t="str">
        <f t="shared" si="9"/>
        <v>| A□-WALL-MESH | Walls: mesh or wire | Paredes: malla o alambre |  | | |</v>
      </c>
      <c r="U69" s="5"/>
      <c r="V69" s="5" t="str">
        <f t="shared" si="8"/>
        <v>| A□-WALL-MESH | Walls: mesh or wire | Paredes: malla o alambre |  | | | | | | | | | |</v>
      </c>
    </row>
    <row r="70" spans="2:22" x14ac:dyDescent="0.55000000000000004">
      <c r="B70" s="4" t="s">
        <v>938</v>
      </c>
      <c r="C70" s="4" t="s">
        <v>939</v>
      </c>
      <c r="D70" s="4" t="s">
        <v>940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A□-WALL-MOVE | Walls: moveable |</v>
      </c>
      <c r="Q70" s="5" t="str">
        <f t="shared" si="10"/>
        <v>| A□-WALL-MOVE | Walls: moveable | Paredes: móviles |</v>
      </c>
      <c r="R70" s="5" t="str">
        <f t="shared" ref="R70:R103" si="11">_xlfn.CONCAT("| ",B70," | ",C70," | ",D70," | ",E70," |")</f>
        <v>| A□-WALL-MOVE | Walls: moveable | Paredes: móviles |  |</v>
      </c>
      <c r="S70" s="5" t="str">
        <f t="shared" ref="S70:S103" si="12">_xlfn.CONCAT("| ",B70," | ",C70," | ",D70," | ",E70," |",F70," |")</f>
        <v>| A□-WALL-MOVE | Walls: moveable | Paredes: móviles |  | |</v>
      </c>
      <c r="T70" s="5" t="str">
        <f t="shared" si="9"/>
        <v>| A□-WALL-MOVE | Walls: moveable | Paredes: móviles |  | | |</v>
      </c>
      <c r="U70" s="5"/>
      <c r="V70" s="5" t="str">
        <f t="shared" si="8"/>
        <v>| A□-WALL-MOVE | Walls: moveable | Paredes: móviles |  | | | | | | | | | |</v>
      </c>
    </row>
    <row r="71" spans="2:22" ht="30.75" x14ac:dyDescent="0.55000000000000004">
      <c r="B71" s="4" t="s">
        <v>941</v>
      </c>
      <c r="C71" s="4" t="s">
        <v>942</v>
      </c>
      <c r="D71" s="4" t="s">
        <v>943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A□-WALL-PATT | Walls: texture and hatch patterns |</v>
      </c>
      <c r="Q71" s="5" t="str">
        <f t="shared" si="10"/>
        <v>| A□-WALL-PATT | Walls: texture and hatch patterns | Paredes: textura y patrones de tramado |</v>
      </c>
      <c r="R71" s="5" t="str">
        <f t="shared" si="11"/>
        <v>| A□-WALL-PATT | Walls: texture and hatch patterns | Paredes: textura y patrones de tramado |  |</v>
      </c>
      <c r="S71" s="5" t="str">
        <f t="shared" si="12"/>
        <v>| A□-WALL-PATT | Walls: texture and hatch patterns | Paredes: textura y patrones de tramado |  | |</v>
      </c>
      <c r="T71" s="5" t="str">
        <f t="shared" si="9"/>
        <v>| A□-WALL-PATT | Walls: texture and hatch patterns | Paredes: textura y patrones de tramado |  | | |</v>
      </c>
      <c r="U71" s="5"/>
      <c r="V71" s="5" t="str">
        <f t="shared" si="8"/>
        <v>| A□-WALL-PATT | Walls: texture and hatch patterns | Paredes: textura y patrones de tramado |  | | | | | | | | | |</v>
      </c>
    </row>
    <row r="72" spans="2:22" x14ac:dyDescent="0.55000000000000004">
      <c r="B72" s="4" t="s">
        <v>944</v>
      </c>
      <c r="C72" s="4" t="s">
        <v>945</v>
      </c>
      <c r="D72" s="4" t="s">
        <v>946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A□-WALL-PRHT | Walls: partial-height |</v>
      </c>
      <c r="Q72" s="5" t="str">
        <f t="shared" si="10"/>
        <v>| A□-WALL-PRHT | Walls: partial-height | Paredes: altura parcial |</v>
      </c>
      <c r="R72" s="5" t="str">
        <f t="shared" si="11"/>
        <v>| A□-WALL-PRHT | Walls: partial-height | Paredes: altura parcial |  |</v>
      </c>
      <c r="S72" s="5" t="str">
        <f t="shared" si="12"/>
        <v>| A□-WALL-PRHT | Walls: partial-height | Paredes: altura parcial |  | |</v>
      </c>
      <c r="T72" s="5" t="str">
        <f t="shared" si="9"/>
        <v>| A□-WALL-PRHT | Walls: partial-height | Paredes: altura parcial |  | | |</v>
      </c>
      <c r="U72" s="5"/>
      <c r="V72" s="5" t="str">
        <f t="shared" si="8"/>
        <v>| A□-WALL-PRHT | Walls: partial-height | Paredes: altura parcial |  | | | | | | | | | |</v>
      </c>
    </row>
    <row r="73" spans="2:22" x14ac:dyDescent="0.55000000000000004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 |  |</v>
      </c>
      <c r="Q73" s="5" t="str">
        <f t="shared" si="10"/>
        <v>|  |  |  |</v>
      </c>
      <c r="R73" s="5" t="str">
        <f t="shared" si="11"/>
        <v>|  |  |  |  |</v>
      </c>
      <c r="S73" s="5" t="str">
        <f t="shared" si="12"/>
        <v>|  |  |  |  | |</v>
      </c>
      <c r="T73" s="5" t="str">
        <f t="shared" si="9"/>
        <v>|  |  |  |  | | |</v>
      </c>
      <c r="U73" s="5"/>
      <c r="V73" s="5" t="str">
        <f t="shared" si="8"/>
        <v>|  |  |  |  | | | | | | | | | |</v>
      </c>
    </row>
    <row r="74" spans="2:22" x14ac:dyDescent="0.5500000000000000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 |  |</v>
      </c>
      <c r="Q74" s="5" t="str">
        <f t="shared" si="10"/>
        <v>|  |  |  |</v>
      </c>
      <c r="R74" s="5" t="str">
        <f t="shared" si="11"/>
        <v>|  |  |  |  |</v>
      </c>
      <c r="S74" s="5" t="str">
        <f t="shared" si="12"/>
        <v>|  |  |  |  | |</v>
      </c>
      <c r="T74" s="5" t="str">
        <f t="shared" si="9"/>
        <v>|  |  |  |  | | |</v>
      </c>
      <c r="U74" s="5"/>
      <c r="V74" s="5" t="str">
        <f t="shared" si="8"/>
        <v>|  |  |  |  | | | | | | | | | |</v>
      </c>
    </row>
    <row r="75" spans="2:22" x14ac:dyDescent="0.55000000000000004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 |  |</v>
      </c>
      <c r="Q75" s="5" t="str">
        <f t="shared" si="10"/>
        <v>|  |  |  |</v>
      </c>
      <c r="R75" s="5" t="str">
        <f t="shared" si="11"/>
        <v>|  |  |  |  |</v>
      </c>
      <c r="S75" s="5" t="str">
        <f t="shared" si="12"/>
        <v>|  |  |  |  | |</v>
      </c>
      <c r="T75" s="5" t="str">
        <f t="shared" si="9"/>
        <v>|  |  |  |  | | |</v>
      </c>
      <c r="U75" s="5"/>
      <c r="V75" s="5" t="str">
        <f t="shared" si="8"/>
        <v>|  |  |  |  | | | | | | | | | |</v>
      </c>
    </row>
    <row r="76" spans="2:22" x14ac:dyDescent="0.55000000000000004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 |  |</v>
      </c>
      <c r="Q76" s="5" t="str">
        <f t="shared" si="10"/>
        <v>|  |  |  |</v>
      </c>
      <c r="R76" s="5" t="str">
        <f t="shared" si="11"/>
        <v>|  |  |  |  |</v>
      </c>
      <c r="S76" s="5" t="str">
        <f t="shared" si="12"/>
        <v>|  |  |  |  | |</v>
      </c>
      <c r="T76" s="5" t="str">
        <f t="shared" si="9"/>
        <v>|  |  |  |  | | |</v>
      </c>
      <c r="U76" s="5"/>
      <c r="V76" s="5" t="str">
        <f t="shared" si="8"/>
        <v>|  |  |  |  | | | | | | | | | |</v>
      </c>
    </row>
    <row r="77" spans="2:22" x14ac:dyDescent="0.5500000000000000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 |  |</v>
      </c>
      <c r="Q77" s="5" t="str">
        <f t="shared" si="10"/>
        <v>|  |  |  |</v>
      </c>
      <c r="R77" s="5" t="str">
        <f t="shared" si="11"/>
        <v>|  |  |  |  |</v>
      </c>
      <c r="S77" s="5" t="str">
        <f t="shared" si="12"/>
        <v>|  |  |  |  | |</v>
      </c>
      <c r="T77" s="5" t="str">
        <f t="shared" si="9"/>
        <v>|  |  |  |  | | |</v>
      </c>
      <c r="U77" s="5"/>
      <c r="V77" s="5" t="str">
        <f t="shared" si="8"/>
        <v>|  |  |  |  | | | | | | | | | |</v>
      </c>
    </row>
    <row r="78" spans="2:22" x14ac:dyDescent="0.55000000000000004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 |  |</v>
      </c>
      <c r="Q78" s="5" t="str">
        <f t="shared" si="10"/>
        <v>|  |  |  |</v>
      </c>
      <c r="R78" s="5" t="str">
        <f t="shared" si="11"/>
        <v>|  |  |  |  |</v>
      </c>
      <c r="S78" s="5" t="str">
        <f t="shared" si="12"/>
        <v>|  |  |  |  | |</v>
      </c>
      <c r="T78" s="5" t="str">
        <f t="shared" si="9"/>
        <v>|  |  |  |  | | |</v>
      </c>
      <c r="U78" s="5"/>
      <c r="V78" s="5" t="str">
        <f t="shared" si="8"/>
        <v>|  |  |  |  | | | | | | | | | |</v>
      </c>
    </row>
    <row r="79" spans="2:22" x14ac:dyDescent="0.55000000000000004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 |  |</v>
      </c>
      <c r="Q79" s="5" t="str">
        <f t="shared" si="10"/>
        <v>|  |  |  |</v>
      </c>
      <c r="R79" s="5" t="str">
        <f t="shared" si="11"/>
        <v>|  |  |  |  |</v>
      </c>
      <c r="S79" s="5" t="str">
        <f t="shared" si="12"/>
        <v>|  |  |  |  | |</v>
      </c>
      <c r="T79" s="5" t="str">
        <f t="shared" si="9"/>
        <v>|  |  |  |  | | |</v>
      </c>
      <c r="U79" s="5"/>
      <c r="V79" s="5" t="str">
        <f t="shared" si="8"/>
        <v>|  |  |  |  | | | | | | | | | |</v>
      </c>
    </row>
    <row r="80" spans="2:22" x14ac:dyDescent="0.55000000000000004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 |  |</v>
      </c>
      <c r="Q80" s="5" t="str">
        <f t="shared" si="10"/>
        <v>|  |  |  |</v>
      </c>
      <c r="R80" s="5" t="str">
        <f t="shared" si="11"/>
        <v>|  |  |  |  |</v>
      </c>
      <c r="S80" s="5" t="str">
        <f t="shared" si="12"/>
        <v>|  |  |  |  | |</v>
      </c>
      <c r="T80" s="5" t="str">
        <f t="shared" si="9"/>
        <v>|  |  |  |  | | |</v>
      </c>
      <c r="U80" s="5"/>
      <c r="V80" s="5" t="str">
        <f t="shared" si="8"/>
        <v>|  |  |  |  | | | | | | | | | |</v>
      </c>
    </row>
    <row r="81" spans="2:22" x14ac:dyDescent="0.55000000000000004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 |  |</v>
      </c>
      <c r="Q81" s="5" t="str">
        <f t="shared" si="10"/>
        <v>|  |  |  |</v>
      </c>
      <c r="R81" s="5" t="str">
        <f t="shared" si="11"/>
        <v>|  |  |  |  |</v>
      </c>
      <c r="S81" s="5" t="str">
        <f t="shared" si="12"/>
        <v>|  |  |  |  | |</v>
      </c>
      <c r="T81" s="5" t="str">
        <f t="shared" si="9"/>
        <v>|  |  |  |  | | |</v>
      </c>
      <c r="U81" s="5"/>
      <c r="V81" s="5" t="str">
        <f t="shared" si="8"/>
        <v>|  |  |  |  | | | | | | | | | |</v>
      </c>
    </row>
    <row r="82" spans="2:22" x14ac:dyDescent="0.55000000000000004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 |  |</v>
      </c>
      <c r="Q82" s="5" t="str">
        <f t="shared" si="10"/>
        <v>|  |  |  |</v>
      </c>
      <c r="R82" s="5" t="str">
        <f t="shared" si="11"/>
        <v>|  |  |  |  |</v>
      </c>
      <c r="S82" s="5" t="str">
        <f t="shared" si="12"/>
        <v>|  |  |  |  | |</v>
      </c>
      <c r="T82" s="5" t="str">
        <f t="shared" si="9"/>
        <v>|  |  |  |  | | |</v>
      </c>
      <c r="U82" s="5"/>
      <c r="V82" s="5" t="str">
        <f t="shared" si="8"/>
        <v>|  |  |  |  | | | | | | | | | |</v>
      </c>
    </row>
    <row r="83" spans="2:22" x14ac:dyDescent="0.55000000000000004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 |  |</v>
      </c>
      <c r="Q83" s="5" t="str">
        <f t="shared" si="10"/>
        <v>|  |  |  |</v>
      </c>
      <c r="R83" s="5" t="str">
        <f t="shared" si="11"/>
        <v>|  |  |  |  |</v>
      </c>
      <c r="S83" s="5" t="str">
        <f t="shared" si="12"/>
        <v>|  |  |  |  | |</v>
      </c>
      <c r="T83" s="5" t="str">
        <f t="shared" si="9"/>
        <v>|  |  |  |  | | |</v>
      </c>
      <c r="U83" s="5"/>
      <c r="V83" s="5" t="str">
        <f t="shared" si="8"/>
        <v>|  |  |  |  | | | | | | | | | |</v>
      </c>
    </row>
    <row r="84" spans="2:22" x14ac:dyDescent="0.5500000000000000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 |  |</v>
      </c>
      <c r="Q84" s="5" t="str">
        <f t="shared" si="10"/>
        <v>|  |  |  |</v>
      </c>
      <c r="R84" s="5" t="str">
        <f t="shared" si="11"/>
        <v>|  |  |  |  |</v>
      </c>
      <c r="S84" s="5" t="str">
        <f t="shared" si="12"/>
        <v>|  |  |  |  | |</v>
      </c>
      <c r="T84" s="5" t="str">
        <f t="shared" si="9"/>
        <v>|  |  |  |  | | |</v>
      </c>
      <c r="U84" s="5"/>
      <c r="V84" s="5" t="str">
        <f t="shared" si="8"/>
        <v>|  |  |  |  | | | | | | | | | |</v>
      </c>
    </row>
    <row r="85" spans="2:22" x14ac:dyDescent="0.55000000000000004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 |  |</v>
      </c>
      <c r="Q85" s="5" t="str">
        <f t="shared" si="10"/>
        <v>|  |  |  |</v>
      </c>
      <c r="R85" s="5" t="str">
        <f t="shared" si="11"/>
        <v>|  |  |  |  |</v>
      </c>
      <c r="S85" s="5" t="str">
        <f t="shared" si="12"/>
        <v>|  |  |  |  | |</v>
      </c>
      <c r="T85" s="5" t="str">
        <f t="shared" si="9"/>
        <v>|  |  |  |  | | |</v>
      </c>
      <c r="U85" s="5"/>
      <c r="V85" s="5" t="str">
        <f t="shared" si="8"/>
        <v>|  |  |  |  | | | | | | | | | |</v>
      </c>
    </row>
    <row r="86" spans="2:22" x14ac:dyDescent="0.55000000000000004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 |  |</v>
      </c>
      <c r="Q86" s="5" t="str">
        <f t="shared" si="10"/>
        <v>|  |  |  |</v>
      </c>
      <c r="R86" s="5" t="str">
        <f t="shared" si="11"/>
        <v>|  |  |  |  |</v>
      </c>
      <c r="S86" s="5" t="str">
        <f t="shared" si="12"/>
        <v>|  |  |  |  | |</v>
      </c>
      <c r="T86" s="5" t="str">
        <f t="shared" si="9"/>
        <v>|  |  |  |  | | |</v>
      </c>
      <c r="U86" s="5"/>
      <c r="V86" s="5" t="str">
        <f t="shared" si="8"/>
        <v>|  |  |  |  | | | | | | | | | |</v>
      </c>
    </row>
    <row r="87" spans="2:22" x14ac:dyDescent="0.5500000000000000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 |  |</v>
      </c>
      <c r="Q87" s="5" t="str">
        <f t="shared" si="10"/>
        <v>|  |  |  |</v>
      </c>
      <c r="R87" s="5" t="str">
        <f t="shared" si="11"/>
        <v>|  |  |  |  |</v>
      </c>
      <c r="S87" s="5" t="str">
        <f t="shared" si="12"/>
        <v>|  |  |  |  | |</v>
      </c>
      <c r="T87" s="5" t="str">
        <f t="shared" si="9"/>
        <v>|  |  |  |  | | |</v>
      </c>
      <c r="U87" s="5"/>
      <c r="V87" s="5" t="str">
        <f t="shared" si="8"/>
        <v>|  |  |  |  | | | | | | | | | |</v>
      </c>
    </row>
    <row r="88" spans="2:22" x14ac:dyDescent="0.5500000000000000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 |  |</v>
      </c>
      <c r="Q88" s="5" t="str">
        <f t="shared" si="10"/>
        <v>|  |  |  |</v>
      </c>
      <c r="R88" s="5" t="str">
        <f t="shared" si="11"/>
        <v>|  |  |  |  |</v>
      </c>
      <c r="S88" s="5" t="str">
        <f t="shared" si="12"/>
        <v>|  |  |  |  | |</v>
      </c>
      <c r="T88" s="5" t="str">
        <f t="shared" si="9"/>
        <v>|  |  |  |  | | |</v>
      </c>
      <c r="U88" s="5"/>
      <c r="V88" s="5" t="str">
        <f t="shared" si="8"/>
        <v>|  |  |  |  | | | | | | | | | |</v>
      </c>
    </row>
    <row r="89" spans="2:22" x14ac:dyDescent="0.5500000000000000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si="7"/>
        <v>|  |  |</v>
      </c>
      <c r="Q89" s="5" t="str">
        <f t="shared" si="10"/>
        <v>|  |  |  |</v>
      </c>
      <c r="R89" s="5" t="str">
        <f t="shared" si="11"/>
        <v>|  |  |  |  |</v>
      </c>
      <c r="S89" s="5" t="str">
        <f t="shared" si="12"/>
        <v>|  |  |  |  | |</v>
      </c>
      <c r="T89" s="5" t="str">
        <f t="shared" si="9"/>
        <v>|  |  |  |  | | |</v>
      </c>
      <c r="U89" s="5"/>
      <c r="V89" s="5" t="str">
        <f t="shared" si="8"/>
        <v>|  |  |  |  | | | | | | | | | |</v>
      </c>
    </row>
    <row r="90" spans="2:22" x14ac:dyDescent="0.5500000000000000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7"/>
        <v>|  |  |</v>
      </c>
      <c r="Q90" s="5" t="str">
        <f t="shared" si="10"/>
        <v>|  |  |  |</v>
      </c>
      <c r="R90" s="5" t="str">
        <f t="shared" si="11"/>
        <v>|  |  |  |  |</v>
      </c>
      <c r="S90" s="5" t="str">
        <f t="shared" si="12"/>
        <v>|  |  |  |  | |</v>
      </c>
      <c r="T90" s="5" t="str">
        <f t="shared" si="9"/>
        <v>|  |  |  |  | | |</v>
      </c>
      <c r="U90" s="5"/>
      <c r="V90" s="5" t="str">
        <f t="shared" si="8"/>
        <v>|  |  |  |  | | | | | | | | | |</v>
      </c>
    </row>
    <row r="91" spans="2:22" x14ac:dyDescent="0.5500000000000000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7"/>
        <v>|  |  |</v>
      </c>
      <c r="Q91" s="5" t="str">
        <f t="shared" si="10"/>
        <v>|  |  |  |</v>
      </c>
      <c r="R91" s="5" t="str">
        <f t="shared" si="11"/>
        <v>|  |  |  |  |</v>
      </c>
      <c r="S91" s="5" t="str">
        <f t="shared" si="12"/>
        <v>|  |  |  |  | |</v>
      </c>
      <c r="T91" s="5" t="str">
        <f t="shared" si="9"/>
        <v>|  |  |  |  | | |</v>
      </c>
      <c r="U91" s="5"/>
      <c r="V91" s="5" t="str">
        <f t="shared" si="8"/>
        <v>|  |  |  |  | | | | | | | | | |</v>
      </c>
    </row>
    <row r="92" spans="2:22" x14ac:dyDescent="0.5500000000000000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7"/>
        <v>|  |  |</v>
      </c>
      <c r="Q92" s="5" t="str">
        <f t="shared" ref="Q45:Q103" si="13">_xlfn.CONCAT("| ",B92," | ",C92," | ",D92," |")</f>
        <v>|  |  |  |</v>
      </c>
      <c r="R92" s="5" t="str">
        <f t="shared" si="11"/>
        <v>|  |  |  |  |</v>
      </c>
      <c r="S92" s="5" t="str">
        <f t="shared" si="12"/>
        <v>|  |  |  |  | |</v>
      </c>
      <c r="T92" s="5" t="str">
        <f t="shared" si="9"/>
        <v>|  |  |  |  | | |</v>
      </c>
      <c r="U92" s="5"/>
      <c r="V92" s="5" t="str">
        <f t="shared" si="8"/>
        <v>|  |  |  |  | | | | | | | | | |</v>
      </c>
    </row>
    <row r="93" spans="2:22" x14ac:dyDescent="0.5500000000000000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7"/>
        <v>|  |  |</v>
      </c>
      <c r="Q93" s="5" t="str">
        <f t="shared" si="13"/>
        <v>|  |  |  |</v>
      </c>
      <c r="R93" s="5" t="str">
        <f t="shared" si="11"/>
        <v>|  |  |  |  |</v>
      </c>
      <c r="S93" s="5" t="str">
        <f t="shared" si="12"/>
        <v>|  |  |  |  | |</v>
      </c>
      <c r="T93" s="5" t="str">
        <f t="shared" si="9"/>
        <v>|  |  |  |  | | |</v>
      </c>
      <c r="U93" s="5"/>
      <c r="V93" s="5" t="str">
        <f t="shared" si="8"/>
        <v>|  |  |  |  | | | | | | | | | |</v>
      </c>
    </row>
    <row r="94" spans="2:22" x14ac:dyDescent="0.5500000000000000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7"/>
        <v>|  |  |</v>
      </c>
      <c r="Q94" s="5" t="str">
        <f t="shared" si="13"/>
        <v>|  |  |  |</v>
      </c>
      <c r="R94" s="5" t="str">
        <f t="shared" si="11"/>
        <v>|  |  |  |  |</v>
      </c>
      <c r="S94" s="5" t="str">
        <f t="shared" si="12"/>
        <v>|  |  |  |  | |</v>
      </c>
      <c r="T94" s="5" t="str">
        <f t="shared" si="9"/>
        <v>|  |  |  |  | | |</v>
      </c>
      <c r="U94" s="5"/>
      <c r="V94" s="5" t="str">
        <f t="shared" si="8"/>
        <v>|  |  |  |  | | | | | | | | | |</v>
      </c>
    </row>
    <row r="95" spans="2:22" x14ac:dyDescent="0.5500000000000000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7"/>
        <v>|  |  |</v>
      </c>
      <c r="Q95" s="5" t="str">
        <f t="shared" si="13"/>
        <v>|  |  |  |</v>
      </c>
      <c r="R95" s="5" t="str">
        <f t="shared" si="11"/>
        <v>|  |  |  |  |</v>
      </c>
      <c r="S95" s="5" t="str">
        <f t="shared" si="12"/>
        <v>|  |  |  |  | |</v>
      </c>
      <c r="T95" s="5" t="str">
        <f t="shared" si="9"/>
        <v>|  |  |  |  | | |</v>
      </c>
      <c r="U95" s="5"/>
      <c r="V95" s="5" t="str">
        <f t="shared" si="8"/>
        <v>|  |  |  |  | | | | | | | | | |</v>
      </c>
    </row>
    <row r="96" spans="2:22" x14ac:dyDescent="0.5500000000000000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7"/>
        <v>|  |  |</v>
      </c>
      <c r="Q96" s="5" t="str">
        <f t="shared" si="13"/>
        <v>|  |  |  |</v>
      </c>
      <c r="R96" s="5" t="str">
        <f t="shared" si="11"/>
        <v>|  |  |  |  |</v>
      </c>
      <c r="S96" s="5" t="str">
        <f t="shared" si="12"/>
        <v>|  |  |  |  | |</v>
      </c>
      <c r="T96" s="5" t="str">
        <f t="shared" si="9"/>
        <v>|  |  |  |  | | |</v>
      </c>
      <c r="U96" s="5"/>
      <c r="V96" s="5" t="str">
        <f t="shared" si="8"/>
        <v>|  |  |  |  | | | | | | | | | |</v>
      </c>
    </row>
    <row r="97" spans="2:22" x14ac:dyDescent="0.5500000000000000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7"/>
        <v>|  |  |</v>
      </c>
      <c r="Q97" s="5" t="str">
        <f t="shared" si="13"/>
        <v>|  |  |  |</v>
      </c>
      <c r="R97" s="5" t="str">
        <f t="shared" si="11"/>
        <v>|  |  |  |  |</v>
      </c>
      <c r="S97" s="5" t="str">
        <f t="shared" si="12"/>
        <v>|  |  |  |  | |</v>
      </c>
      <c r="T97" s="5" t="str">
        <f t="shared" si="9"/>
        <v>|  |  |  |  | | |</v>
      </c>
      <c r="U97" s="5"/>
      <c r="V97" s="5" t="str">
        <f t="shared" si="8"/>
        <v>|  |  |  |  | | | | | | | | | |</v>
      </c>
    </row>
    <row r="98" spans="2:22" x14ac:dyDescent="0.5500000000000000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7"/>
        <v>|  |  |</v>
      </c>
      <c r="Q98" s="5" t="str">
        <f t="shared" si="13"/>
        <v>|  |  |  |</v>
      </c>
      <c r="R98" s="5" t="str">
        <f t="shared" si="11"/>
        <v>|  |  |  |  |</v>
      </c>
      <c r="S98" s="5" t="str">
        <f t="shared" si="12"/>
        <v>|  |  |  |  | |</v>
      </c>
      <c r="T98" s="5" t="str">
        <f t="shared" si="9"/>
        <v>|  |  |  |  | | |</v>
      </c>
      <c r="U98" s="5"/>
      <c r="V98" s="5" t="str">
        <f t="shared" si="8"/>
        <v>|  |  |  |  | | | | | | | | | |</v>
      </c>
    </row>
    <row r="99" spans="2:22" x14ac:dyDescent="0.5500000000000000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7"/>
        <v>|  |  |</v>
      </c>
      <c r="Q99" s="5" t="str">
        <f t="shared" si="13"/>
        <v>|  |  |  |</v>
      </c>
      <c r="R99" s="5" t="str">
        <f t="shared" si="11"/>
        <v>|  |  |  |  |</v>
      </c>
      <c r="S99" s="5" t="str">
        <f t="shared" si="12"/>
        <v>|  |  |  |  | |</v>
      </c>
      <c r="T99" s="5" t="str">
        <f t="shared" si="9"/>
        <v>|  |  |  |  | | |</v>
      </c>
      <c r="U99" s="5"/>
      <c r="V99" s="5" t="str">
        <f t="shared" si="8"/>
        <v>|  |  |  |  | | | | | | | | | |</v>
      </c>
    </row>
    <row r="100" spans="2:22" x14ac:dyDescent="0.5500000000000000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7"/>
        <v>|  |  |</v>
      </c>
      <c r="Q100" s="5" t="str">
        <f t="shared" si="13"/>
        <v>|  |  |  |</v>
      </c>
      <c r="R100" s="5" t="str">
        <f t="shared" si="11"/>
        <v>|  |  |  |  |</v>
      </c>
      <c r="S100" s="5" t="str">
        <f t="shared" si="12"/>
        <v>|  |  |  |  | |</v>
      </c>
      <c r="T100" s="5" t="str">
        <f t="shared" si="9"/>
        <v>|  |  |  |  | | |</v>
      </c>
      <c r="U100" s="5"/>
      <c r="V100" s="5" t="str">
        <f t="shared" si="8"/>
        <v>|  |  |  |  | | | | | | | | | |</v>
      </c>
    </row>
    <row r="101" spans="2:22" x14ac:dyDescent="0.5500000000000000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7"/>
        <v>|  |  |</v>
      </c>
      <c r="Q101" s="5" t="str">
        <f t="shared" si="13"/>
        <v>|  |  |  |</v>
      </c>
      <c r="R101" s="5" t="str">
        <f t="shared" si="11"/>
        <v>|  |  |  |  |</v>
      </c>
      <c r="S101" s="5" t="str">
        <f t="shared" si="12"/>
        <v>|  |  |  |  | |</v>
      </c>
      <c r="T101" s="5" t="str">
        <f t="shared" si="9"/>
        <v>|  |  |  |  | | |</v>
      </c>
      <c r="U101" s="5"/>
      <c r="V101" s="5" t="str">
        <f t="shared" si="8"/>
        <v>|  |  |  |  | | | | | | | | | |</v>
      </c>
    </row>
    <row r="102" spans="2:22" x14ac:dyDescent="0.5500000000000000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7"/>
        <v>|  |  |</v>
      </c>
      <c r="Q102" s="5" t="str">
        <f t="shared" si="13"/>
        <v>|  |  |  |</v>
      </c>
      <c r="R102" s="5" t="str">
        <f t="shared" si="11"/>
        <v>|  |  |  |  |</v>
      </c>
      <c r="S102" s="5" t="str">
        <f t="shared" si="12"/>
        <v>|  |  |  |  | |</v>
      </c>
      <c r="T102" s="5" t="str">
        <f t="shared" si="9"/>
        <v>|  |  |  |  | | |</v>
      </c>
      <c r="U102" s="5"/>
      <c r="V102" s="5" t="str">
        <f t="shared" si="8"/>
        <v>|  |  |  |  | | | | | | | | | |</v>
      </c>
    </row>
    <row r="103" spans="2:22" x14ac:dyDescent="0.5500000000000000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7"/>
        <v>|  |  |</v>
      </c>
      <c r="Q103" s="5" t="str">
        <f t="shared" si="13"/>
        <v>|  |  |  |</v>
      </c>
      <c r="R103" s="5" t="str">
        <f t="shared" si="11"/>
        <v>|  |  |  |  |</v>
      </c>
      <c r="S103" s="5" t="str">
        <f t="shared" si="12"/>
        <v>|  |  |  |  | |</v>
      </c>
      <c r="T103" s="5" t="str">
        <f t="shared" si="9"/>
        <v>|  |  |  |  | | |</v>
      </c>
      <c r="U103" s="5"/>
      <c r="V103" s="5" t="str">
        <f t="shared" si="8"/>
        <v>|  |  |  |  | | | | | | | | | |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7EDD-9C70-4ED2-9CDC-202F9E2122A1}">
  <dimension ref="B1:V320"/>
  <sheetViews>
    <sheetView showGridLines="0" tabSelected="1" topLeftCell="P1" zoomScale="115" zoomScaleNormal="115" workbookViewId="0">
      <pane ySplit="4" topLeftCell="A292" activePane="bottomLeft" state="frozen"/>
      <selection pane="bottomLeft" activeCell="Q303" sqref="Q3:Q303"/>
    </sheetView>
  </sheetViews>
  <sheetFormatPr defaultColWidth="9.140625" defaultRowHeight="15.4" x14ac:dyDescent="0.55000000000000004"/>
  <cols>
    <col min="1" max="1" width="2.7109375" style="1" customWidth="1"/>
    <col min="2" max="2" width="26.5703125" style="1" customWidth="1"/>
    <col min="3" max="3" width="46.140625" style="1" customWidth="1"/>
    <col min="4" max="4" width="29.28515625" style="1" customWidth="1"/>
    <col min="5" max="6" width="6.640625" style="1" customWidth="1"/>
    <col min="7" max="8" width="7.140625" style="1" customWidth="1"/>
    <col min="9" max="14" width="4.42578125" style="1" customWidth="1"/>
    <col min="15" max="15" width="2.7109375" style="1" customWidth="1"/>
    <col min="16" max="20" width="74.140625" style="1" customWidth="1"/>
    <col min="21" max="21" width="56" style="1" customWidth="1"/>
    <col min="22" max="22" width="74.140625" style="1" customWidth="1"/>
    <col min="23" max="16384" width="9.140625" style="1"/>
  </cols>
  <sheetData>
    <row r="1" spans="2:22" x14ac:dyDescent="0.5500000000000000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2:22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8</v>
      </c>
      <c r="U2" s="3" t="s">
        <v>10</v>
      </c>
      <c r="V2" s="3" t="s">
        <v>7</v>
      </c>
    </row>
    <row r="3" spans="2:22" x14ac:dyDescent="0.55000000000000004">
      <c r="B3" s="4" t="s">
        <v>767</v>
      </c>
      <c r="C3" s="4" t="s">
        <v>127</v>
      </c>
      <c r="D3" s="4" t="s">
        <v>128</v>
      </c>
      <c r="E3" s="4" t="s">
        <v>11</v>
      </c>
      <c r="F3" s="4" t="s">
        <v>12</v>
      </c>
      <c r="G3" s="4" t="s">
        <v>13</v>
      </c>
      <c r="H3" s="4" t="s">
        <v>14</v>
      </c>
      <c r="I3" s="4"/>
      <c r="J3" s="4"/>
      <c r="K3" s="4"/>
      <c r="L3" s="4"/>
      <c r="M3" s="4"/>
      <c r="N3" s="4"/>
      <c r="O3" s="4"/>
      <c r="P3" s="5" t="str">
        <f>_xlfn.CONCAT("| ",B3," | ",C3," |")</f>
        <v>| Layer name | Descripción (en) |</v>
      </c>
      <c r="Q3" s="5" t="str">
        <f>_xlfn.CONCAT("| ",B3," | ",C3," | ",D3," |")</f>
        <v>| Layer name | Descripción (en) | Descripción (es) |</v>
      </c>
      <c r="R3" s="5" t="str">
        <f>_xlfn.CONCAT("| ",B3," | ",C3," | ",D3," | ",E3," |")</f>
        <v>| Layer name | Descripción (en) | Descripción (es) | A |</v>
      </c>
      <c r="S3" s="5" t="str">
        <f>_xlfn.CONCAT("| ",B3," | ",C3," | ",D3," | ",E3," |",F3," |")</f>
        <v>| Layer name | Descripción (en) | Descripción (es) | A |B |</v>
      </c>
      <c r="T3" s="5" t="str">
        <f>_xlfn.CONCAT("| ",B3," | ",C3," | ",D3," | ",E3," |",F3," |",G3," |")</f>
        <v>| Layer name | Descripción (en) | Descripción (es) | A |B |C |</v>
      </c>
      <c r="U3" s="5" t="str">
        <f>_xlfn.CONCAT("| ",B3," | ",C3," | ",D3," | ",E3," | ",F3," | ",G3," | ",H3," |")</f>
        <v>| Layer name | Descripción (en) | Descripción (es) | A | B | C | D |</v>
      </c>
      <c r="V3" s="5" t="str">
        <f t="shared" ref="V3:V14" si="0">_xlfn.CONCAT("| ",B3," | ",C3," | ",D3," | ",E3," |",F3," |",G3," |",H3," |",I3," |",J3," |",K3," |",L3," |",M3," |",N3," |")</f>
        <v>| Layer name | Descripción (en) | Descripción (es) | A |B |C |D | | | | | | |</v>
      </c>
    </row>
    <row r="4" spans="2:22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1">_xlfn.CONCAT("| ",B4," | ",C4," | ",D4," | ",E4," |",F4," |",G4," |")</f>
        <v>| --- | --- | --- | --- |--- |--- |</v>
      </c>
      <c r="U4" s="5" t="str">
        <f t="shared" ref="U4:U11" si="2">_xlfn.CONCAT("| ",B4," | ",C4," | ",D4," | ",E4," | ",F4," | ",G4," | ",H4," |")</f>
        <v>| --- | --- | --- | --- | --- | --- | --- |</v>
      </c>
      <c r="V4" s="5" t="str">
        <f t="shared" si="0"/>
        <v>| --- | --- | --- | --- |--- |--- |--- |--- |--- |--- |--- |--- |--- |</v>
      </c>
    </row>
    <row r="5" spans="2:22" x14ac:dyDescent="0.55000000000000004">
      <c r="B5" s="5" t="s">
        <v>947</v>
      </c>
      <c r="C5" s="5" t="s">
        <v>214</v>
      </c>
      <c r="D5" s="5" t="s">
        <v>215</v>
      </c>
      <c r="E5" s="5" t="s">
        <v>6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 t="str">
        <f>_xlfn.CONCAT("| ",B5," | ",C5," |")</f>
        <v>| C□-AFLD | Airfields |</v>
      </c>
      <c r="Q5" s="5" t="str">
        <f t="shared" ref="Q5:Q68" si="3">_xlfn.CONCAT("| ",B5," | ",C5," | ",D5," |")</f>
        <v>| C□-AFLD | Airfields | Aeródromos |</v>
      </c>
      <c r="R5" s="5" t="str">
        <f>_xlfn.CONCAT("| ",B5," | ",C5," | ",D5," | ",E5," |")</f>
        <v>| C□-AFLD | Airfields | Aeródromos | ✓ |</v>
      </c>
      <c r="S5" s="5" t="str">
        <f>_xlfn.CONCAT("| ",B5," | ",C5," | ",D5," | ",E5," |",F5," |")</f>
        <v>| C□-AFLD | Airfields | Aeródromos | ✓ |✓ |</v>
      </c>
      <c r="T5" s="5" t="str">
        <f t="shared" si="1"/>
        <v>| C□-AFLD | Airfields | Aeródromos | ✓ |✓ | |</v>
      </c>
      <c r="U5" s="5" t="str">
        <f t="shared" si="2"/>
        <v>| C□-AFLD | Airfields | Aeródromos | ✓ | ✓ |  |  |</v>
      </c>
      <c r="V5" s="5" t="str">
        <f t="shared" si="0"/>
        <v>| C□-AFLD | Airfields | Aeródromos | ✓ |✓ | | | | | | | | |</v>
      </c>
    </row>
    <row r="6" spans="2:22" ht="30.75" x14ac:dyDescent="0.55000000000000004">
      <c r="B6" s="5" t="s">
        <v>948</v>
      </c>
      <c r="C6" s="5" t="s">
        <v>949</v>
      </c>
      <c r="D6" s="5" t="s">
        <v>950</v>
      </c>
      <c r="E6" s="5" t="s">
        <v>6</v>
      </c>
      <c r="F6" s="5" t="s">
        <v>9</v>
      </c>
      <c r="G6" s="5"/>
      <c r="H6" s="5"/>
      <c r="I6" s="5"/>
      <c r="J6" s="5"/>
      <c r="K6" s="5"/>
      <c r="L6" s="5"/>
      <c r="M6" s="5"/>
      <c r="N6" s="5"/>
      <c r="O6" s="5"/>
      <c r="P6" s="5" t="str">
        <f t="shared" ref="P6:P14" si="4">_xlfn.CONCAT("| ",B6," | ",C6," |")</f>
        <v>| C□-AFLD-ASPH | Airfields: asphalt |</v>
      </c>
      <c r="Q6" s="5" t="str">
        <f t="shared" si="3"/>
        <v>| C□-AFLD-ASPH | Airfields: asphalt | Aeródromos: asfalto |</v>
      </c>
      <c r="R6" s="5" t="str">
        <f t="shared" ref="R6:R69" si="5">_xlfn.CONCAT("| ",B6," | ",C6," | ",D6," | ",E6," |")</f>
        <v>| C□-AFLD-ASPH | Airfields: asphalt | Aeródromos: asfalto | ✓ |</v>
      </c>
      <c r="S6" s="5" t="str">
        <f t="shared" ref="S6:S69" si="6">_xlfn.CONCAT("| ",B6," | ",C6," | ",D6," | ",E6," |",F6," |")</f>
        <v>| C□-AFLD-ASPH | Airfields: asphalt | Aeródromos: asfalto | ✓ |✕ |</v>
      </c>
      <c r="T6" s="5" t="str">
        <f t="shared" si="1"/>
        <v>| C□-AFLD-ASPH | Airfields: asphalt | Aeródromos: asfalto | ✓ |✕ | |</v>
      </c>
      <c r="U6" s="5" t="str">
        <f t="shared" si="2"/>
        <v>| C□-AFLD-ASPH | Airfields: asphalt | Aeródromos: asfalto | ✓ | ✕ |  |  |</v>
      </c>
      <c r="V6" s="5" t="str">
        <f t="shared" si="0"/>
        <v>| C□-AFLD-ASPH | Airfields: asphalt | Aeródromos: asfalto | ✓ |✕ | | | | | | | | |</v>
      </c>
    </row>
    <row r="7" spans="2:22" x14ac:dyDescent="0.55000000000000004">
      <c r="B7" s="5" t="s">
        <v>951</v>
      </c>
      <c r="C7" s="5" t="s">
        <v>952</v>
      </c>
      <c r="D7" s="5" t="s">
        <v>953</v>
      </c>
      <c r="E7" s="5" t="s">
        <v>6</v>
      </c>
      <c r="F7" s="5" t="s">
        <v>6</v>
      </c>
      <c r="G7" s="5"/>
      <c r="H7" s="5"/>
      <c r="I7" s="5"/>
      <c r="J7" s="5"/>
      <c r="K7" s="5"/>
      <c r="L7" s="5"/>
      <c r="M7" s="5"/>
      <c r="N7" s="5"/>
      <c r="O7" s="5"/>
      <c r="P7" s="5" t="str">
        <f t="shared" si="4"/>
        <v>| C□-AFLD-CNTR | Airfields: center |</v>
      </c>
      <c r="Q7" s="5" t="str">
        <f t="shared" si="3"/>
        <v>| C□-AFLD-CNTR | Airfields: center | Aeródromos: centro |</v>
      </c>
      <c r="R7" s="5" t="str">
        <f t="shared" si="5"/>
        <v>| C□-AFLD-CNTR | Airfields: center | Aeródromos: centro | ✓ |</v>
      </c>
      <c r="S7" s="5" t="str">
        <f t="shared" si="6"/>
        <v>| C□-AFLD-CNTR | Airfields: center | Aeródromos: centro | ✓ |✓ |</v>
      </c>
      <c r="T7" s="5" t="str">
        <f t="shared" si="1"/>
        <v>| C□-AFLD-CNTR | Airfields: center | Aeródromos: centro | ✓ |✓ | |</v>
      </c>
      <c r="U7" s="5" t="str">
        <f t="shared" si="2"/>
        <v>| C□-AFLD-CNTR | Airfields: center | Aeródromos: centro | ✓ | ✓ |  |  |</v>
      </c>
      <c r="V7" s="5" t="str">
        <f t="shared" si="0"/>
        <v>| C□-AFLD-CNTR | Airfields: center | Aeródromos: centro | ✓ |✓ | | | | | | | | |</v>
      </c>
    </row>
    <row r="8" spans="2:22" x14ac:dyDescent="0.55000000000000004">
      <c r="B8" s="5" t="s">
        <v>954</v>
      </c>
      <c r="C8" s="5" t="s">
        <v>955</v>
      </c>
      <c r="D8" s="5" t="s">
        <v>956</v>
      </c>
      <c r="E8" s="5" t="s">
        <v>6</v>
      </c>
      <c r="F8" s="5" t="s">
        <v>9</v>
      </c>
      <c r="G8" s="5"/>
      <c r="H8" s="5"/>
      <c r="I8" s="5"/>
      <c r="J8" s="5"/>
      <c r="K8" s="5"/>
      <c r="L8" s="5"/>
      <c r="M8" s="5"/>
      <c r="N8" s="5"/>
      <c r="O8" s="5"/>
      <c r="P8" s="5" t="str">
        <f t="shared" si="4"/>
        <v>| C□-AFLD-CONC | Airfields: concrete |</v>
      </c>
      <c r="Q8" s="5" t="str">
        <f t="shared" si="3"/>
        <v>| C□-AFLD-CONC | Airfields: concrete | Aeródromos: hormigón |</v>
      </c>
      <c r="R8" s="5" t="str">
        <f t="shared" si="5"/>
        <v>| C□-AFLD-CONC | Airfields: concrete | Aeródromos: hormigón | ✓ |</v>
      </c>
      <c r="S8" s="5" t="str">
        <f t="shared" si="6"/>
        <v>| C□-AFLD-CONC | Airfields: concrete | Aeródromos: hormigón | ✓ |✕ |</v>
      </c>
      <c r="T8" s="5" t="str">
        <f t="shared" si="1"/>
        <v>| C□-AFLD-CONC | Airfields: concrete | Aeródromos: hormigón | ✓ |✕ | |</v>
      </c>
      <c r="U8" s="5" t="str">
        <f t="shared" si="2"/>
        <v>| C□-AFLD-CONC | Airfields: concrete | Aeródromos: hormigón | ✓ | ✕ |  |  |</v>
      </c>
      <c r="V8" s="5" t="str">
        <f t="shared" si="0"/>
        <v>| C□-AFLD-CONC | Airfields: concrete | Aeródromos: hormigón | ✓ |✕ | | | | | | | | |</v>
      </c>
    </row>
    <row r="9" spans="2:22" x14ac:dyDescent="0.55000000000000004">
      <c r="B9" s="5" t="s">
        <v>957</v>
      </c>
      <c r="C9" s="5" t="s">
        <v>958</v>
      </c>
      <c r="D9" s="5" t="s">
        <v>959</v>
      </c>
      <c r="E9" s="5" t="s">
        <v>6</v>
      </c>
      <c r="F9" s="5" t="s">
        <v>9</v>
      </c>
      <c r="G9" s="5"/>
      <c r="H9" s="5"/>
      <c r="I9" s="5"/>
      <c r="J9" s="5"/>
      <c r="K9" s="5"/>
      <c r="L9" s="5"/>
      <c r="M9" s="5"/>
      <c r="N9" s="5"/>
      <c r="O9" s="5"/>
      <c r="P9" s="5" t="str">
        <f t="shared" si="4"/>
        <v>| C□-AFLD-FLNE | Airfields: fire lane |</v>
      </c>
      <c r="Q9" s="5" t="str">
        <f t="shared" si="3"/>
        <v>| C□-AFLD-FLNE | Airfields: fire lane | Aeródromos: carril cortafuegos |</v>
      </c>
      <c r="R9" s="5" t="str">
        <f t="shared" si="5"/>
        <v>| C□-AFLD-FLNE | Airfields: fire lane | Aeródromos: carril cortafuegos | ✓ |</v>
      </c>
      <c r="S9" s="5" t="str">
        <f t="shared" si="6"/>
        <v>| C□-AFLD-FLNE | Airfields: fire lane | Aeródromos: carril cortafuegos | ✓ |✕ |</v>
      </c>
      <c r="T9" s="5" t="str">
        <f t="shared" si="1"/>
        <v>| C□-AFLD-FLNE | Airfields: fire lane | Aeródromos: carril cortafuegos | ✓ |✕ | |</v>
      </c>
      <c r="U9" s="5" t="str">
        <f t="shared" si="2"/>
        <v>| C□-AFLD-FLNE | Airfields: fire lane | Aeródromos: carril cortafuegos | ✓ | ✕ |  |  |</v>
      </c>
      <c r="V9" s="5" t="str">
        <f t="shared" si="0"/>
        <v>| C□-AFLD-FLNE | Airfields: fire lane | Aeródromos: carril cortafuegos | ✓ |✕ | | | | | | | | |</v>
      </c>
    </row>
    <row r="10" spans="2:22" ht="30.75" x14ac:dyDescent="0.55000000000000004">
      <c r="B10" s="5" t="s">
        <v>960</v>
      </c>
      <c r="C10" s="5" t="s">
        <v>961</v>
      </c>
      <c r="D10" s="5" t="s">
        <v>962</v>
      </c>
      <c r="E10" s="5" t="s">
        <v>6</v>
      </c>
      <c r="F10" s="5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 t="str">
        <f t="shared" si="4"/>
        <v>| C□-AFLD-FLNE-MRKG | Airfields: fire lane: pavement markings  |</v>
      </c>
      <c r="Q10" s="5" t="str">
        <f t="shared" si="3"/>
        <v>| C□-AFLD-FLNE-MRKG | Airfields: fire lane: pavement markings  | Aeródromos: carril cortafuegos: marcas en el pavimento |</v>
      </c>
      <c r="R10" s="5" t="str">
        <f t="shared" si="5"/>
        <v>| C□-AFLD-FLNE-MRKG | Airfields: fire lane: pavement markings  | Aeródromos: carril cortafuegos: marcas en el pavimento | ✓ |</v>
      </c>
      <c r="S10" s="5" t="str">
        <f t="shared" si="6"/>
        <v>| C□-AFLD-FLNE-MRKG | Airfields: fire lane: pavement markings  | Aeródromos: carril cortafuegos: marcas en el pavimento | ✓ |✕ |</v>
      </c>
      <c r="T10" s="5" t="str">
        <f t="shared" si="1"/>
        <v>| C□-AFLD-FLNE-MRKG | Airfields: fire lane: pavement markings  | Aeródromos: carril cortafuegos: marcas en el pavimento | ✓ |✕ | |</v>
      </c>
      <c r="U10" s="5" t="str">
        <f t="shared" si="2"/>
        <v>| C□-AFLD-FLNE-MRKG | Airfields: fire lane: pavement markings  | Aeródromos: carril cortafuegos: marcas en el pavimento | ✓ | ✕ |  |  |</v>
      </c>
      <c r="V10" s="5" t="str">
        <f t="shared" si="0"/>
        <v>| C□-AFLD-FLNE-MRKG | Airfields: fire lane: pavement markings  | Aeródromos: carril cortafuegos: marcas en el pavimento | ✓ |✕ | | | | | | | | |</v>
      </c>
    </row>
    <row r="11" spans="2:22" ht="30.75" x14ac:dyDescent="0.55000000000000004">
      <c r="B11" s="5" t="s">
        <v>963</v>
      </c>
      <c r="C11" s="5" t="s">
        <v>964</v>
      </c>
      <c r="D11" s="5" t="s">
        <v>965</v>
      </c>
      <c r="E11" s="5" t="s">
        <v>6</v>
      </c>
      <c r="F11" s="5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 t="str">
        <f t="shared" si="4"/>
        <v>| C□-AFLD-FLNE-SIGN |  Airfields: fire lane: signage |</v>
      </c>
      <c r="Q11" s="5" t="str">
        <f t="shared" si="3"/>
        <v>| C□-AFLD-FLNE-SIGN |  Airfields: fire lane: signage | Aeródromos: carril cortafuegos: señalización |</v>
      </c>
      <c r="R11" s="5" t="str">
        <f t="shared" si="5"/>
        <v>| C□-AFLD-FLNE-SIGN |  Airfields: fire lane: signage | Aeródromos: carril cortafuegos: señalización | ✓ |</v>
      </c>
      <c r="S11" s="5" t="str">
        <f t="shared" si="6"/>
        <v>| C□-AFLD-FLNE-SIGN |  Airfields: fire lane: signage | Aeródromos: carril cortafuegos: señalización | ✓ |✓ |</v>
      </c>
      <c r="T11" s="5" t="str">
        <f t="shared" si="1"/>
        <v>| C□-AFLD-FLNE-SIGN |  Airfields: fire lane: signage | Aeródromos: carril cortafuegos: señalización | ✓ |✓ | |</v>
      </c>
      <c r="U11" s="5" t="str">
        <f t="shared" si="2"/>
        <v>| C□-AFLD-FLNE-SIGN |  Airfields: fire lane: signage | Aeródromos: carril cortafuegos: señalización | ✓ | ✓ |  |  |</v>
      </c>
      <c r="V11" s="5" t="str">
        <f t="shared" si="0"/>
        <v>| C□-AFLD-FLNE-SIGN |  Airfields: fire lane: signage | Aeródromos: carril cortafuegos: señalización | ✓ |✓ | | | | | | | | |</v>
      </c>
    </row>
    <row r="12" spans="2:22" x14ac:dyDescent="0.55000000000000004">
      <c r="B12" s="5" t="s">
        <v>966</v>
      </c>
      <c r="C12" s="5" t="s">
        <v>967</v>
      </c>
      <c r="D12" s="5" t="s">
        <v>968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tr">
        <f t="shared" si="4"/>
        <v>| C□-AFLD-GRVL | Airfields: gravel |</v>
      </c>
      <c r="Q12" s="5" t="str">
        <f t="shared" si="3"/>
        <v>| C□-AFLD-GRVL | Airfields: gravel | Aeródromos: grava |</v>
      </c>
      <c r="R12" s="5" t="str">
        <f t="shared" si="5"/>
        <v>| C□-AFLD-GRVL | Airfields: gravel | Aeródromos: grava |  |</v>
      </c>
      <c r="S12" s="5" t="str">
        <f t="shared" si="6"/>
        <v>| C□-AFLD-GRVL | Airfields: gravel | Aeródromos: grava |  | |</v>
      </c>
      <c r="T12" s="5" t="str">
        <f t="shared" si="1"/>
        <v>| C□-AFLD-GRVL | Airfields: gravel | Aeródromos: grava |  | | |</v>
      </c>
      <c r="U12" s="5"/>
      <c r="V12" s="5" t="str">
        <f t="shared" si="0"/>
        <v>| C□-AFLD-GRVL | Airfields: gravel | Aeródromos: grava |  | | | | | | | | | |</v>
      </c>
    </row>
    <row r="13" spans="2:22" ht="30.75" x14ac:dyDescent="0.55000000000000004">
      <c r="B13" s="5" t="s">
        <v>969</v>
      </c>
      <c r="C13" s="5" t="s">
        <v>970</v>
      </c>
      <c r="D13" s="5" t="s">
        <v>971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tr">
        <f t="shared" si="4"/>
        <v>| C□-AFLD-MRKG | Airfields: pavement markings |</v>
      </c>
      <c r="Q13" s="5" t="str">
        <f t="shared" si="3"/>
        <v>| C□-AFLD-MRKG | Airfields: pavement markings | Aeródromos: marcas en el pavimento |</v>
      </c>
      <c r="R13" s="5" t="str">
        <f t="shared" si="5"/>
        <v>| C□-AFLD-MRKG | Airfields: pavement markings | Aeródromos: marcas en el pavimento |  |</v>
      </c>
      <c r="S13" s="5" t="str">
        <f t="shared" si="6"/>
        <v>| C□-AFLD-MRKG | Airfields: pavement markings | Aeródromos: marcas en el pavimento |  | |</v>
      </c>
      <c r="T13" s="5" t="str">
        <f t="shared" si="1"/>
        <v>| C□-AFLD-MRKG | Airfields: pavement markings | Aeródromos: marcas en el pavimento |  | | |</v>
      </c>
      <c r="U13" s="5"/>
      <c r="V13" s="5" t="str">
        <f t="shared" si="0"/>
        <v>| C□-AFLD-MRKG | Airfields: pavement markings | Aeródromos: marcas en el pavimento |  | | | | | | | | | |</v>
      </c>
    </row>
    <row r="14" spans="2:22" x14ac:dyDescent="0.55000000000000004">
      <c r="B14" s="5" t="s">
        <v>972</v>
      </c>
      <c r="C14" s="5" t="s">
        <v>973</v>
      </c>
      <c r="D14" s="5" t="s">
        <v>974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tr">
        <f t="shared" si="4"/>
        <v>| C□-AFLD-SIGN | Airfields: signage |</v>
      </c>
      <c r="Q14" s="5" t="str">
        <f t="shared" si="3"/>
        <v>| C□-AFLD-SIGN | Airfields: signage | Aeródromos: señalización |</v>
      </c>
      <c r="R14" s="5" t="str">
        <f t="shared" si="5"/>
        <v>| C□-AFLD-SIGN | Airfields: signage | Aeródromos: señalización |  |</v>
      </c>
      <c r="S14" s="5" t="str">
        <f t="shared" si="6"/>
        <v>| C□-AFLD-SIGN | Airfields: signage | Aeródromos: señalización |  | |</v>
      </c>
      <c r="T14" s="5" t="str">
        <f t="shared" si="1"/>
        <v>| C□-AFLD-SIGN | Airfields: signage | Aeródromos: señalización |  | | |</v>
      </c>
      <c r="U14" s="5"/>
      <c r="V14" s="5" t="str">
        <f t="shared" si="0"/>
        <v>| C□-AFLD-SIGN | Airfields: signage | Aeródromos: señalización |  | | | | | | | | | |</v>
      </c>
    </row>
    <row r="15" spans="2:22" x14ac:dyDescent="0.55000000000000004">
      <c r="B15" s="5" t="s">
        <v>975</v>
      </c>
      <c r="C15" s="5" t="s">
        <v>976</v>
      </c>
      <c r="D15" s="5" t="s">
        <v>977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tr">
        <f t="shared" si="3"/>
        <v>| C□-AFLD-STAN | Airfields: stationing | Aeródromos: estacionamiento |</v>
      </c>
      <c r="R15" s="5"/>
      <c r="S15" s="5"/>
      <c r="T15" s="5"/>
      <c r="U15" s="5"/>
      <c r="V15" s="5"/>
    </row>
    <row r="16" spans="2:22" x14ac:dyDescent="0.55000000000000004">
      <c r="B16" s="5" t="s">
        <v>978</v>
      </c>
      <c r="C16" s="5" t="s">
        <v>979</v>
      </c>
      <c r="D16" s="5" t="s">
        <v>980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tr">
        <f t="shared" si="3"/>
        <v>| C□-AFLD-WHIT | Airfields: white paint | Aeródromos: pintura blanca |</v>
      </c>
      <c r="R16" s="5"/>
      <c r="S16" s="5"/>
      <c r="T16" s="5"/>
      <c r="U16" s="5"/>
      <c r="V16" s="5"/>
    </row>
    <row r="17" spans="2:22" ht="30.75" x14ac:dyDescent="0.55000000000000004">
      <c r="B17" s="5" t="s">
        <v>981</v>
      </c>
      <c r="C17" s="5" t="s">
        <v>982</v>
      </c>
      <c r="D17" s="5" t="s">
        <v>983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tr">
        <f t="shared" si="3"/>
        <v>| C□-AFLD-WHIT-TICK | Airfields: white paint: tick marks | Aeródromos: pintura blanca: marcas de verificación |</v>
      </c>
      <c r="R17" s="5"/>
      <c r="S17" s="5"/>
      <c r="T17" s="5"/>
      <c r="U17" s="5"/>
      <c r="V17" s="5"/>
    </row>
    <row r="18" spans="2:22" ht="30.75" x14ac:dyDescent="0.55000000000000004">
      <c r="B18" s="5" t="s">
        <v>984</v>
      </c>
      <c r="C18" s="5" t="s">
        <v>985</v>
      </c>
      <c r="D18" s="5" t="s">
        <v>986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tr">
        <f t="shared" si="3"/>
        <v>|  C□-AFLD-YELO |  Airfields: yellow paint | Aeródromos: pintura amarilla |</v>
      </c>
      <c r="R18" s="5"/>
      <c r="S18" s="5"/>
      <c r="T18" s="5"/>
      <c r="U18" s="5"/>
      <c r="V18" s="5"/>
    </row>
    <row r="19" spans="2:22" ht="30.75" x14ac:dyDescent="0.55000000000000004">
      <c r="B19" s="5" t="s">
        <v>987</v>
      </c>
      <c r="C19" s="5" t="s">
        <v>988</v>
      </c>
      <c r="D19" s="5" t="s">
        <v>989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tr">
        <f t="shared" si="3"/>
        <v>| C□-AFLD-YELO-TICK | Airfields: yellow paint: tick marks  | Aeródromos: pintura amarilla: marcas de verificación |</v>
      </c>
      <c r="R19" s="5"/>
      <c r="S19" s="5"/>
      <c r="T19" s="5"/>
      <c r="U19" s="5"/>
      <c r="V19" s="5"/>
    </row>
    <row r="20" spans="2:22" x14ac:dyDescent="0.55000000000000004">
      <c r="B20" s="5" t="s">
        <v>990</v>
      </c>
      <c r="C20" s="5" t="s">
        <v>991</v>
      </c>
      <c r="D20" s="5" t="s">
        <v>992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tr">
        <f t="shared" si="3"/>
        <v>| C□-BLDG |  Buildings and primary structures | Edificios y estructuras principales |</v>
      </c>
      <c r="R20" s="5"/>
      <c r="S20" s="5"/>
      <c r="T20" s="5"/>
      <c r="U20" s="5"/>
      <c r="V20" s="5"/>
    </row>
    <row r="21" spans="2:22" ht="30.75" x14ac:dyDescent="0.55000000000000004">
      <c r="B21" s="5" t="s">
        <v>993</v>
      </c>
      <c r="C21" s="5" t="s">
        <v>994</v>
      </c>
      <c r="D21" s="5" t="s">
        <v>995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tr">
        <f t="shared" si="3"/>
        <v>| C□-BLDG-DECK | Buildings and primary structures: deck (attached, no roo foverhead) | Edificios y estructuras principales: cubierta (adosada, sin techo) |</v>
      </c>
      <c r="R21" s="5"/>
      <c r="S21" s="5"/>
      <c r="T21" s="5"/>
      <c r="U21" s="5"/>
      <c r="V21" s="5"/>
    </row>
    <row r="22" spans="2:22" ht="30.75" x14ac:dyDescent="0.55000000000000004">
      <c r="B22" s="5" t="s">
        <v>996</v>
      </c>
      <c r="C22" s="5" t="s">
        <v>997</v>
      </c>
      <c r="D22" s="5" t="s">
        <v>998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tr">
        <f t="shared" si="3"/>
        <v>| C□-BLDG-OTLN | Buildings and primary structures: outline | Edificios y estructuras principales: contorno |</v>
      </c>
      <c r="R22" s="5"/>
      <c r="S22" s="5"/>
      <c r="T22" s="5"/>
      <c r="U22" s="5"/>
      <c r="V22" s="5"/>
    </row>
    <row r="23" spans="2:22" ht="30.75" x14ac:dyDescent="0.55000000000000004">
      <c r="B23" s="5" t="s">
        <v>999</v>
      </c>
      <c r="C23" s="5" t="s">
        <v>1000</v>
      </c>
      <c r="D23" s="5" t="s">
        <v>1001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 t="str">
        <f t="shared" si="3"/>
        <v>| C□-BLDG-OVHD | Buildings and primary structures: overhead | Edificios y estructuras principales: cubierta |</v>
      </c>
      <c r="R23" s="5"/>
      <c r="S23" s="5"/>
      <c r="T23" s="5"/>
      <c r="U23" s="5"/>
      <c r="V23" s="5"/>
    </row>
    <row r="24" spans="2:22" ht="30.75" x14ac:dyDescent="0.55000000000000004">
      <c r="B24" s="5" t="s">
        <v>1002</v>
      </c>
      <c r="C24" s="5" t="s">
        <v>1003</v>
      </c>
      <c r="D24" s="5" t="s">
        <v>1004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tr">
        <f t="shared" si="3"/>
        <v>| C□-BLDG-PRCH | Buildings and primary structures: porch (attached, roof overhead) | Edificios y estructuras principales: pórtico (adosado, techo) |</v>
      </c>
      <c r="R24" s="5"/>
      <c r="S24" s="5"/>
      <c r="T24" s="5"/>
      <c r="U24" s="5"/>
      <c r="V24" s="5"/>
    </row>
    <row r="25" spans="2:22" x14ac:dyDescent="0.55000000000000004">
      <c r="B25" s="5" t="s">
        <v>1005</v>
      </c>
      <c r="C25" s="5" t="s">
        <v>250</v>
      </c>
      <c r="D25" s="5" t="s">
        <v>251</v>
      </c>
      <c r="E25" s="5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 t="str">
        <f t="shared" si="3"/>
        <v>| C□-BLIN | Baseline | Línea base |</v>
      </c>
      <c r="R25" s="5"/>
      <c r="S25" s="5"/>
      <c r="T25" s="5"/>
      <c r="U25" s="5"/>
      <c r="V25" s="5"/>
    </row>
    <row r="26" spans="2:22" ht="30.75" x14ac:dyDescent="0.55000000000000004">
      <c r="B26" s="4" t="s">
        <v>1006</v>
      </c>
      <c r="C26" s="4" t="s">
        <v>1007</v>
      </c>
      <c r="D26" s="4" t="s">
        <v>1008</v>
      </c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5"/>
      <c r="Q26" s="5" t="str">
        <f t="shared" si="3"/>
        <v>| C□-BLIN-STAN | Baseline: stationing | Línea base: estacionamiento |</v>
      </c>
      <c r="R26" s="5"/>
      <c r="S26" s="5"/>
      <c r="T26" s="5"/>
      <c r="U26" s="5"/>
      <c r="V26" s="5"/>
    </row>
    <row r="27" spans="2:22" x14ac:dyDescent="0.55000000000000004">
      <c r="B27" s="4" t="s">
        <v>1009</v>
      </c>
      <c r="C27" s="4" t="s">
        <v>256</v>
      </c>
      <c r="D27" s="4" t="s">
        <v>257</v>
      </c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5"/>
      <c r="Q27" s="5" t="str">
        <f t="shared" si="3"/>
        <v>| C□-BORE | Borings | Perforaciones |</v>
      </c>
      <c r="R27" s="5"/>
      <c r="S27" s="5"/>
      <c r="T27" s="5"/>
      <c r="U27" s="5"/>
      <c r="V27" s="5"/>
    </row>
    <row r="28" spans="2:22" x14ac:dyDescent="0.55000000000000004">
      <c r="B28" s="4" t="s">
        <v>1010</v>
      </c>
      <c r="C28" s="4" t="s">
        <v>262</v>
      </c>
      <c r="D28" s="4" t="s">
        <v>263</v>
      </c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5"/>
      <c r="Q28" s="5" t="str">
        <f t="shared" si="3"/>
        <v>| C□-BRDG | Bridge | Puente |</v>
      </c>
      <c r="R28" s="5"/>
      <c r="S28" s="5"/>
      <c r="T28" s="5"/>
      <c r="U28" s="5"/>
      <c r="V28" s="5"/>
    </row>
    <row r="29" spans="2:22" ht="30.75" x14ac:dyDescent="0.55000000000000004">
      <c r="B29" s="4" t="s">
        <v>1011</v>
      </c>
      <c r="C29" s="4" t="s">
        <v>1012</v>
      </c>
      <c r="D29" s="4" t="s">
        <v>1013</v>
      </c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5"/>
      <c r="Q29" s="5" t="str">
        <f t="shared" si="3"/>
        <v>| C□-BRDG-CNTJ | Bridge: construction joint | Puente: junta de construcción |</v>
      </c>
      <c r="R29" s="5"/>
      <c r="S29" s="5"/>
      <c r="T29" s="5"/>
      <c r="U29" s="5"/>
      <c r="V29" s="5"/>
    </row>
    <row r="30" spans="2:22" x14ac:dyDescent="0.55000000000000004">
      <c r="B30" s="4" t="s">
        <v>1014</v>
      </c>
      <c r="C30" s="4" t="s">
        <v>1015</v>
      </c>
      <c r="D30" s="4" t="s">
        <v>1016</v>
      </c>
      <c r="E30" s="4"/>
      <c r="F30" s="4"/>
      <c r="G30" s="4"/>
      <c r="H30" s="4"/>
      <c r="I30" s="4"/>
      <c r="J30" s="4"/>
      <c r="K30" s="4"/>
      <c r="L30" s="5"/>
      <c r="M30" s="4"/>
      <c r="N30" s="4"/>
      <c r="O30" s="4"/>
      <c r="P30" s="5"/>
      <c r="Q30" s="5" t="str">
        <f t="shared" si="3"/>
        <v>| C□-BRDG-CNTR | Bridge: center | Puente: centro |</v>
      </c>
      <c r="R30" s="5"/>
      <c r="S30" s="5"/>
      <c r="T30" s="5"/>
      <c r="U30" s="5"/>
      <c r="V30" s="5"/>
    </row>
    <row r="31" spans="2:22" x14ac:dyDescent="0.55000000000000004">
      <c r="B31" s="4" t="s">
        <v>1017</v>
      </c>
      <c r="C31" s="4" t="s">
        <v>1018</v>
      </c>
      <c r="D31" s="4" t="s">
        <v>1019</v>
      </c>
      <c r="E31" s="4"/>
      <c r="F31" s="4"/>
      <c r="G31" s="4"/>
      <c r="H31" s="4"/>
      <c r="I31" s="4"/>
      <c r="J31" s="4"/>
      <c r="K31" s="4"/>
      <c r="L31" s="4"/>
      <c r="M31" s="5"/>
      <c r="N31" s="5"/>
      <c r="O31" s="4"/>
      <c r="P31" s="5"/>
      <c r="Q31" s="5" t="str">
        <f t="shared" si="3"/>
        <v>| C□-BRDG-DECK | Bridge: deck | Puente: cubierta |</v>
      </c>
      <c r="R31" s="5"/>
      <c r="S31" s="5"/>
      <c r="T31" s="5"/>
      <c r="U31" s="5"/>
      <c r="V31" s="5"/>
    </row>
    <row r="32" spans="2:22" x14ac:dyDescent="0.55000000000000004">
      <c r="B32" s="5" t="s">
        <v>1020</v>
      </c>
      <c r="C32" s="4" t="s">
        <v>1021</v>
      </c>
      <c r="D32" s="4" t="s">
        <v>1022</v>
      </c>
      <c r="E32" s="4"/>
      <c r="F32" s="4"/>
      <c r="G32" s="4"/>
      <c r="H32" s="4"/>
      <c r="I32" s="4"/>
      <c r="J32" s="4"/>
      <c r="K32" s="4"/>
      <c r="L32" s="4"/>
      <c r="M32" s="5"/>
      <c r="N32" s="4"/>
      <c r="O32" s="4"/>
      <c r="P32" s="5"/>
      <c r="Q32" s="5" t="str">
        <f t="shared" si="3"/>
        <v>| C□-BRDG-EXPJ | Bridge: expansion joint | Puente: junta de dilatación |</v>
      </c>
      <c r="R32" s="5"/>
      <c r="S32" s="5"/>
      <c r="T32" s="5"/>
      <c r="U32" s="5"/>
      <c r="V32" s="5"/>
    </row>
    <row r="33" spans="2:22" x14ac:dyDescent="0.55000000000000004">
      <c r="B33" s="5" t="s">
        <v>1023</v>
      </c>
      <c r="C33" s="4" t="s">
        <v>1024</v>
      </c>
      <c r="D33" s="4" t="s">
        <v>1025</v>
      </c>
      <c r="E33" s="4"/>
      <c r="F33" s="4"/>
      <c r="G33" s="4"/>
      <c r="H33" s="4"/>
      <c r="I33" s="4"/>
      <c r="J33" s="4"/>
      <c r="K33" s="4"/>
      <c r="L33" s="4"/>
      <c r="M33" s="5"/>
      <c r="N33" s="4"/>
      <c r="O33" s="4"/>
      <c r="P33" s="5"/>
      <c r="Q33" s="5" t="str">
        <f t="shared" si="3"/>
        <v>| C□-BRDG-FALT | Bridge: fault/break line | Puente: línea de falla/rotura |</v>
      </c>
      <c r="R33" s="5"/>
      <c r="S33" s="5"/>
      <c r="T33" s="5"/>
      <c r="U33" s="5"/>
      <c r="V33" s="5"/>
    </row>
    <row r="34" spans="2:22" x14ac:dyDescent="0.55000000000000004">
      <c r="B34" s="4" t="s">
        <v>1026</v>
      </c>
      <c r="C34" s="4" t="s">
        <v>1027</v>
      </c>
      <c r="D34" s="4" t="s">
        <v>1028</v>
      </c>
      <c r="E34" s="4"/>
      <c r="F34" s="4"/>
      <c r="G34" s="4"/>
      <c r="H34" s="4"/>
      <c r="I34" s="4"/>
      <c r="J34" s="4"/>
      <c r="K34" s="4"/>
      <c r="L34" s="4"/>
      <c r="M34" s="5"/>
      <c r="N34" s="5"/>
      <c r="O34" s="4"/>
      <c r="P34" s="5"/>
      <c r="Q34" s="5" t="str">
        <f t="shared" si="3"/>
        <v>| C□-BRDG-HIDD | Bridge: objects or lines hidden from view | Puente: objetos o líneas ocultos Vista |</v>
      </c>
      <c r="R34" s="5"/>
      <c r="S34" s="5"/>
      <c r="T34" s="5"/>
      <c r="U34" s="5"/>
      <c r="V34" s="5"/>
    </row>
    <row r="35" spans="2:22" ht="30.75" x14ac:dyDescent="0.55000000000000004">
      <c r="B35" s="4" t="s">
        <v>1029</v>
      </c>
      <c r="C35" s="4" t="s">
        <v>1030</v>
      </c>
      <c r="D35" s="4" t="s">
        <v>1031</v>
      </c>
      <c r="E35" s="4"/>
      <c r="F35" s="4"/>
      <c r="G35" s="4"/>
      <c r="H35" s="4"/>
      <c r="I35" s="4"/>
      <c r="J35" s="4"/>
      <c r="K35" s="4"/>
      <c r="L35" s="4"/>
      <c r="M35" s="5"/>
      <c r="N35" s="4"/>
      <c r="O35" s="4"/>
      <c r="P35" s="5"/>
      <c r="Q35" s="5" t="str">
        <f t="shared" si="3"/>
        <v>| C□-BRDG-OBJT | Bridge: objects | Puente: objetos |</v>
      </c>
      <c r="R35" s="5"/>
      <c r="S35" s="5"/>
      <c r="T35" s="5"/>
      <c r="U35" s="5"/>
      <c r="V35" s="5"/>
    </row>
    <row r="36" spans="2:22" x14ac:dyDescent="0.55000000000000004">
      <c r="B36" s="4" t="s">
        <v>1032</v>
      </c>
      <c r="C36" s="4" t="s">
        <v>1033</v>
      </c>
      <c r="D36" s="4" t="s">
        <v>1034</v>
      </c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5"/>
      <c r="Q36" s="5" t="str">
        <f t="shared" si="3"/>
        <v>| C□-BRDG-OBJT-PRIM | Bridge: objects: primary | Puente: objetos: principal |</v>
      </c>
      <c r="R36" s="5"/>
      <c r="S36" s="5"/>
      <c r="T36" s="5"/>
      <c r="U36" s="5"/>
      <c r="V36" s="5"/>
    </row>
    <row r="37" spans="2:22" x14ac:dyDescent="0.55000000000000004">
      <c r="B37" s="5" t="s">
        <v>1035</v>
      </c>
      <c r="C37" s="4" t="s">
        <v>1036</v>
      </c>
      <c r="D37" s="4" t="s">
        <v>1037</v>
      </c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5"/>
      <c r="Q37" s="5" t="str">
        <f t="shared" si="3"/>
        <v>|  C□-BRDG-OBJT-SECD |  Bridge: objects: secondary  | Puente: objetos: secundario |</v>
      </c>
      <c r="R37" s="5"/>
      <c r="S37" s="5"/>
      <c r="T37" s="5"/>
      <c r="U37" s="5"/>
      <c r="V37" s="5"/>
    </row>
    <row r="38" spans="2:22" x14ac:dyDescent="0.55000000000000004">
      <c r="B38" s="5" t="s">
        <v>1038</v>
      </c>
      <c r="C38" s="5" t="s">
        <v>1039</v>
      </c>
      <c r="D38" s="4" t="s">
        <v>1040</v>
      </c>
      <c r="E38" s="5"/>
      <c r="F38" s="4"/>
      <c r="G38" s="4"/>
      <c r="H38" s="4"/>
      <c r="I38" s="4"/>
      <c r="J38" s="4"/>
      <c r="K38" s="4"/>
      <c r="L38" s="4"/>
      <c r="M38" s="5"/>
      <c r="N38" s="5"/>
      <c r="O38" s="4"/>
      <c r="P38" s="5"/>
      <c r="Q38" s="5" t="str">
        <f t="shared" si="3"/>
        <v>| C□-BRDG-RBAR  | Bridge: reinforcing bar | Puente: barra de refuerzo |</v>
      </c>
      <c r="R38" s="5"/>
      <c r="S38" s="5"/>
      <c r="T38" s="5"/>
      <c r="U38" s="5"/>
      <c r="V38" s="5"/>
    </row>
    <row r="39" spans="2:22" x14ac:dyDescent="0.55000000000000004">
      <c r="B39" s="4" t="s">
        <v>1041</v>
      </c>
      <c r="C39" s="4" t="s">
        <v>283</v>
      </c>
      <c r="D39" s="4" t="s">
        <v>284</v>
      </c>
      <c r="E39" s="4"/>
      <c r="F39" s="4"/>
      <c r="G39" s="4"/>
      <c r="H39" s="4"/>
      <c r="I39" s="4"/>
      <c r="J39" s="4"/>
      <c r="K39" s="4"/>
      <c r="L39" s="4"/>
      <c r="M39" s="5"/>
      <c r="N39" s="5"/>
      <c r="O39" s="4"/>
      <c r="P39" s="5"/>
      <c r="Q39" s="5" t="str">
        <f t="shared" si="3"/>
        <v>| C□-CATV | Cable television system | Sistema de televisión por cable |</v>
      </c>
      <c r="R39" s="5"/>
      <c r="S39" s="5"/>
      <c r="T39" s="5"/>
      <c r="U39" s="5"/>
      <c r="V39" s="5"/>
    </row>
    <row r="40" spans="2:22" x14ac:dyDescent="0.55000000000000004">
      <c r="B40" s="4" t="s">
        <v>1042</v>
      </c>
      <c r="C40" s="4" t="s">
        <v>1043</v>
      </c>
      <c r="D40" s="4" t="s">
        <v>1044</v>
      </c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5"/>
      <c r="Q40" s="5" t="str">
        <f t="shared" si="3"/>
        <v>| C□-CATV-OVHD | Cable television system: overhead | Sistema de televisión por cable: aéreo |</v>
      </c>
      <c r="R40" s="5"/>
      <c r="S40" s="5"/>
      <c r="T40" s="5"/>
      <c r="U40" s="5"/>
      <c r="V40" s="5"/>
    </row>
    <row r="41" spans="2:22" x14ac:dyDescent="0.55000000000000004">
      <c r="B41" s="4" t="s">
        <v>1045</v>
      </c>
      <c r="C41" s="4" t="s">
        <v>1046</v>
      </c>
      <c r="D41" s="4" t="s">
        <v>1047</v>
      </c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5"/>
      <c r="Q41" s="5" t="str">
        <f t="shared" si="3"/>
        <v>| C□-CATV-POLE | Cable television system: pole | Sistema de televisión por cable: poste |</v>
      </c>
      <c r="R41" s="5"/>
      <c r="S41" s="5"/>
      <c r="T41" s="5"/>
      <c r="U41" s="5"/>
      <c r="V41" s="5"/>
    </row>
    <row r="42" spans="2:22" x14ac:dyDescent="0.55000000000000004">
      <c r="B42" s="4" t="s">
        <v>1048</v>
      </c>
      <c r="C42" s="4" t="s">
        <v>1049</v>
      </c>
      <c r="D42" s="4" t="s">
        <v>1050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 t="str">
        <f t="shared" si="3"/>
        <v>| C□-CATV-UGND | Cable television system: underground | Sistema de televisión por cable: subterráneo |</v>
      </c>
      <c r="R42" s="5"/>
      <c r="S42" s="5"/>
      <c r="T42" s="5"/>
      <c r="U42" s="5"/>
      <c r="V42" s="5"/>
    </row>
    <row r="43" spans="2:22" x14ac:dyDescent="0.55000000000000004">
      <c r="B43" s="4" t="s">
        <v>1051</v>
      </c>
      <c r="C43" s="4" t="s">
        <v>289</v>
      </c>
      <c r="D43" s="4" t="s">
        <v>290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 t="str">
        <f t="shared" si="3"/>
        <v>| C□-CEME | Cemetery | Cementerio |</v>
      </c>
      <c r="R43" s="5"/>
      <c r="S43" s="5"/>
      <c r="T43" s="5"/>
      <c r="U43" s="5"/>
      <c r="V43" s="5"/>
    </row>
    <row r="44" spans="2:22" x14ac:dyDescent="0.55000000000000004">
      <c r="B44" s="4" t="s">
        <v>1052</v>
      </c>
      <c r="C44" s="4" t="s">
        <v>292</v>
      </c>
      <c r="D44" s="4" t="s">
        <v>293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 t="str">
        <f t="shared" si="3"/>
        <v>| C□-CHAN | Navigable channels | Canales navegables |</v>
      </c>
      <c r="R44" s="5"/>
      <c r="S44" s="5"/>
      <c r="T44" s="5"/>
      <c r="U44" s="5"/>
      <c r="V44" s="5"/>
    </row>
    <row r="45" spans="2:22" ht="30.75" x14ac:dyDescent="0.55000000000000004">
      <c r="B45" s="4" t="s">
        <v>1053</v>
      </c>
      <c r="C45" s="4" t="s">
        <v>1054</v>
      </c>
      <c r="D45" s="4" t="s">
        <v>1055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 t="str">
        <f t="shared" ref="P45:P103" si="7">_xlfn.CONCAT("| ",B45," | ",C45," |")</f>
        <v>| C□-CHAN-BWTR | Navigable channels: breakwater |</v>
      </c>
      <c r="Q45" s="5" t="str">
        <f t="shared" si="3"/>
        <v>| C□-CHAN-BWTR | Navigable channels: breakwater | Canales navegables: rompeolas |</v>
      </c>
      <c r="R45" s="5" t="str">
        <f t="shared" si="5"/>
        <v>| C□-CHAN-BWTR | Navigable channels: breakwater | Canales navegables: rompeolas |  |</v>
      </c>
      <c r="S45" s="5" t="str">
        <f t="shared" si="6"/>
        <v>| C□-CHAN-BWTR | Navigable channels: breakwater | Canales navegables: rompeolas |  | |</v>
      </c>
      <c r="T45" s="5" t="str">
        <f t="shared" si="1"/>
        <v>| C□-CHAN-BWTR | Navigable channels: breakwater | Canales navegables: rompeolas |  | | |</v>
      </c>
      <c r="U45" s="5"/>
      <c r="V45" s="5" t="str">
        <f t="shared" ref="V45:V103" si="8">_xlfn.CONCAT("| ",B45," | ",C45," | ",D45," | ",E45," |",F45," |",G45," |",H45," |",I45," |",J45," |",K45," |",L45," |",M45," |",N45," |")</f>
        <v>| C□-CHAN-BWTR | Navigable channels: breakwater | Canales navegables: rompeolas |  | | | | | | | | | |</v>
      </c>
    </row>
    <row r="46" spans="2:22" ht="30.75" x14ac:dyDescent="0.55000000000000004">
      <c r="B46" s="4" t="s">
        <v>1056</v>
      </c>
      <c r="C46" s="4" t="s">
        <v>1057</v>
      </c>
      <c r="D46" s="4" t="s">
        <v>1058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 t="str">
        <f t="shared" si="7"/>
        <v>| C□-CHAN-CNTR | Navigable channels: center |</v>
      </c>
      <c r="Q46" s="5" t="str">
        <f t="shared" si="3"/>
        <v>| C□-CHAN-CNTR | Navigable channels: center | Canales navegables: centro |</v>
      </c>
      <c r="R46" s="5" t="str">
        <f t="shared" si="5"/>
        <v>| C□-CHAN-CNTR | Navigable channels: center | Canales navegables: centro |  |</v>
      </c>
      <c r="S46" s="5" t="str">
        <f t="shared" si="6"/>
        <v>| C□-CHAN-CNTR | Navigable channels: center | Canales navegables: centro |  | |</v>
      </c>
      <c r="T46" s="5" t="str">
        <f t="shared" si="1"/>
        <v>| C□-CHAN-CNTR | Navigable channels: center | Canales navegables: centro |  | | |</v>
      </c>
      <c r="U46" s="5"/>
      <c r="V46" s="5" t="str">
        <f t="shared" si="8"/>
        <v>| C□-CHAN-CNTR | Navigable channels: center | Canales navegables: centro |  | | | | | | | | | |</v>
      </c>
    </row>
    <row r="47" spans="2:22" x14ac:dyDescent="0.55000000000000004">
      <c r="B47" s="4" t="s">
        <v>1059</v>
      </c>
      <c r="C47" s="4" t="s">
        <v>1060</v>
      </c>
      <c r="D47" s="4" t="s">
        <v>1061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 t="str">
        <f t="shared" si="7"/>
        <v>| C□-CHAN-DACL | Navigable channels: de-authorized channel limits, anchorages, etc. |</v>
      </c>
      <c r="Q47" s="5" t="str">
        <f t="shared" si="3"/>
        <v>| C□-CHAN-DACL | Navigable channels: de-authorized channel limits, anchorages, etc. | Canales navegables: límites de canales no autorizados, fondeaderos, etc. |</v>
      </c>
      <c r="R47" s="5" t="str">
        <f t="shared" si="5"/>
        <v>| C□-CHAN-DACL | Navigable channels: de-authorized channel limits, anchorages, etc. | Canales navegables: límites de canales no autorizados, fondeaderos, etc. |  |</v>
      </c>
      <c r="S47" s="5" t="str">
        <f t="shared" si="6"/>
        <v>| C□-CHAN-DACL | Navigable channels: de-authorized channel limits, anchorages, etc. | Canales navegables: límites de canales no autorizados, fondeaderos, etc. |  | |</v>
      </c>
      <c r="T47" s="5" t="str">
        <f t="shared" si="1"/>
        <v>| C□-CHAN-DACL | Navigable channels: de-authorized channel limits, anchorages, etc. | Canales navegables: límites de canales no autorizados, fondeaderos, etc. |  | | |</v>
      </c>
      <c r="U47" s="5"/>
      <c r="V47" s="5" t="str">
        <f t="shared" si="8"/>
        <v>| C□-CHAN-DACL | Navigable channels: de-authorized channel limits, anchorages, etc. | Canales navegables: límites de canales no autorizados, fondeaderos, etc. |  | | | | | | | | | |</v>
      </c>
    </row>
    <row r="48" spans="2:22" x14ac:dyDescent="0.55000000000000004">
      <c r="B48" s="4" t="s">
        <v>1062</v>
      </c>
      <c r="C48" s="4" t="s">
        <v>1063</v>
      </c>
      <c r="D48" s="4" t="s">
        <v>1064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 t="str">
        <f t="shared" si="7"/>
        <v>| C□-CHAN-DOCK | Navigable channels: decks, docks, floats, piers  |</v>
      </c>
      <c r="Q48" s="5" t="str">
        <f t="shared" si="3"/>
        <v>| C□-CHAN-DOCK | Navigable channels: decks, docks, floats, piers  | Canales navegables: cubiertas, muelles, flotadores, embarcaderos |</v>
      </c>
      <c r="R48" s="5" t="str">
        <f t="shared" si="5"/>
        <v>| C□-CHAN-DOCK | Navigable channels: decks, docks, floats, piers  | Canales navegables: cubiertas, muelles, flotadores, embarcaderos |  |</v>
      </c>
      <c r="S48" s="5" t="str">
        <f t="shared" si="6"/>
        <v>| C□-CHAN-DOCK | Navigable channels: decks, docks, floats, piers  | Canales navegables: cubiertas, muelles, flotadores, embarcaderos |  | |</v>
      </c>
      <c r="T48" s="5" t="str">
        <f t="shared" si="1"/>
        <v>| C□-CHAN-DOCK | Navigable channels: decks, docks, floats, piers  | Canales navegables: cubiertas, muelles, flotadores, embarcaderos |  | | |</v>
      </c>
      <c r="U48" s="5"/>
      <c r="V48" s="5" t="str">
        <f t="shared" si="8"/>
        <v>| C□-CHAN-DOCK | Navigable channels: decks, docks, floats, piers  | Canales navegables: cubiertas, muelles, flotadores, embarcaderos |  | | | | | | | | | |</v>
      </c>
    </row>
    <row r="49" spans="2:22" ht="30.75" x14ac:dyDescent="0.55000000000000004">
      <c r="B49" s="4" t="s">
        <v>1065</v>
      </c>
      <c r="C49" s="4" t="s">
        <v>1066</v>
      </c>
      <c r="D49" s="4" t="s">
        <v>1067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 t="str">
        <f t="shared" si="7"/>
        <v>| C□-CHAN-NAID | Navigable channels: navigation aids |</v>
      </c>
      <c r="Q49" s="5" t="str">
        <f t="shared" si="3"/>
        <v>| C□-CHAN-NAID | Navigable channels: navigation aids | Canales navegables: ayudas a la navegación |</v>
      </c>
      <c r="R49" s="5" t="str">
        <f t="shared" si="5"/>
        <v>| C□-CHAN-NAID | Navigable channels: navigation aids | Canales navegables: ayudas a la navegación |  |</v>
      </c>
      <c r="S49" s="5" t="str">
        <f t="shared" si="6"/>
        <v>| C□-CHAN-NAID | Navigable channels: navigation aids | Canales navegables: ayudas a la navegación |  | |</v>
      </c>
      <c r="T49" s="5" t="str">
        <f t="shared" si="1"/>
        <v>| C□-CHAN-NAID | Navigable channels: navigation aids | Canales navegables: ayudas a la navegación |  | | |</v>
      </c>
      <c r="U49" s="5"/>
      <c r="V49" s="5" t="str">
        <f t="shared" si="8"/>
        <v>| C□-CHAN-NAID | Navigable channels: navigation aids | Canales navegables: ayudas a la navegación |  | | | | | | | | | |</v>
      </c>
    </row>
    <row r="50" spans="2:22" x14ac:dyDescent="0.55000000000000004">
      <c r="B50" s="4" t="s">
        <v>1068</v>
      </c>
      <c r="C50" s="4" t="s">
        <v>325</v>
      </c>
      <c r="D50" s="4" t="s">
        <v>326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 t="str">
        <f t="shared" si="7"/>
        <v>| C□-COMM | Communications |</v>
      </c>
      <c r="Q50" s="5" t="str">
        <f t="shared" si="3"/>
        <v>| C□-COMM | Communications | Comunicaciones |</v>
      </c>
      <c r="R50" s="5" t="str">
        <f t="shared" si="5"/>
        <v>| C□-COMM | Communications | Comunicaciones |  |</v>
      </c>
      <c r="S50" s="5" t="str">
        <f t="shared" si="6"/>
        <v>| C□-COMM | Communications | Comunicaciones |  | |</v>
      </c>
      <c r="T50" s="5" t="str">
        <f t="shared" si="1"/>
        <v>| C□-COMM | Communications | Comunicaciones |  | | |</v>
      </c>
      <c r="U50" s="5"/>
      <c r="V50" s="5" t="str">
        <f t="shared" si="8"/>
        <v>| C□-COMM | Communications | Comunicaciones |  | | | | | | | | | |</v>
      </c>
    </row>
    <row r="51" spans="2:22" ht="30.75" x14ac:dyDescent="0.55000000000000004">
      <c r="B51" s="4" t="s">
        <v>1069</v>
      </c>
      <c r="C51" s="4" t="s">
        <v>1070</v>
      </c>
      <c r="D51" s="4" t="s">
        <v>1071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 t="str">
        <f t="shared" si="7"/>
        <v>| C□-COMM-OVHD | Communications: overhead |</v>
      </c>
      <c r="Q51" s="5" t="str">
        <f t="shared" si="3"/>
        <v>| C□-COMM-OVHD | Communications: overhead | Comunicaciones: aéreas |</v>
      </c>
      <c r="R51" s="5" t="str">
        <f t="shared" si="5"/>
        <v>| C□-COMM-OVHD | Communications: overhead | Comunicaciones: aéreas |  |</v>
      </c>
      <c r="S51" s="5" t="str">
        <f t="shared" si="6"/>
        <v>| C□-COMM-OVHD | Communications: overhead | Comunicaciones: aéreas |  | |</v>
      </c>
      <c r="T51" s="5" t="str">
        <f t="shared" si="1"/>
        <v>| C□-COMM-OVHD | Communications: overhead | Comunicaciones: aéreas |  | | |</v>
      </c>
      <c r="U51" s="5"/>
      <c r="V51" s="5" t="str">
        <f t="shared" si="8"/>
        <v>| C□-COMM-OVHD | Communications: overhead | Comunicaciones: aéreas |  | | | | | | | | | |</v>
      </c>
    </row>
    <row r="52" spans="2:22" ht="30.75" x14ac:dyDescent="0.55000000000000004">
      <c r="B52" s="4" t="s">
        <v>1072</v>
      </c>
      <c r="C52" s="4" t="s">
        <v>1073</v>
      </c>
      <c r="D52" s="4" t="s">
        <v>1074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 t="str">
        <f t="shared" si="7"/>
        <v>| C□-COMM-POLE | Communications: pole |</v>
      </c>
      <c r="Q52" s="5" t="str">
        <f t="shared" si="3"/>
        <v>| C□-COMM-POLE | Communications: pole | Comunicaciones: poste |</v>
      </c>
      <c r="R52" s="5" t="str">
        <f t="shared" si="5"/>
        <v>| C□-COMM-POLE | Communications: pole | Comunicaciones: poste |  |</v>
      </c>
      <c r="S52" s="5" t="str">
        <f t="shared" si="6"/>
        <v>| C□-COMM-POLE | Communications: pole | Comunicaciones: poste |  | |</v>
      </c>
      <c r="T52" s="5" t="str">
        <f t="shared" si="1"/>
        <v>| C□-COMM-POLE | Communications: pole | Comunicaciones: poste |  | | |</v>
      </c>
      <c r="U52" s="5"/>
      <c r="V52" s="5" t="str">
        <f t="shared" si="8"/>
        <v>| C□-COMM-POLE | Communications: pole | Comunicaciones: poste |  | | | | | | | | | |</v>
      </c>
    </row>
    <row r="53" spans="2:22" x14ac:dyDescent="0.55000000000000004">
      <c r="B53" s="4" t="s">
        <v>1075</v>
      </c>
      <c r="C53" s="4" t="s">
        <v>1076</v>
      </c>
      <c r="D53" s="4" t="s">
        <v>1077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 t="str">
        <f t="shared" si="7"/>
        <v>| C□- COMM-UGND | Communications: underground |</v>
      </c>
      <c r="Q53" s="5" t="str">
        <f t="shared" si="3"/>
        <v>| C□- COMM-UGND | Communications: underground | Comunicaciones: subterráneas |</v>
      </c>
      <c r="R53" s="5" t="str">
        <f t="shared" si="5"/>
        <v>| C□- COMM-UGND | Communications: underground | Comunicaciones: subterráneas |  |</v>
      </c>
      <c r="S53" s="5" t="str">
        <f t="shared" si="6"/>
        <v>| C□- COMM-UGND | Communications: underground | Comunicaciones: subterráneas |  | |</v>
      </c>
      <c r="T53" s="5" t="str">
        <f t="shared" si="1"/>
        <v>| C□- COMM-UGND | Communications: underground | Comunicaciones: subterráneas |  | | |</v>
      </c>
      <c r="U53" s="5"/>
      <c r="V53" s="5" t="str">
        <f t="shared" si="8"/>
        <v>| C□- COMM-UGND | Communications: underground | Comunicaciones: subterráneas |  | | | | | | | | | |</v>
      </c>
    </row>
    <row r="54" spans="2:22" x14ac:dyDescent="0.55000000000000004">
      <c r="B54" s="4" t="s">
        <v>1078</v>
      </c>
      <c r="C54" s="4" t="s">
        <v>340</v>
      </c>
      <c r="D54" s="4" t="s">
        <v>341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 t="str">
        <f t="shared" si="7"/>
        <v>| C□-CTRL | Control points |</v>
      </c>
      <c r="Q54" s="5" t="str">
        <f t="shared" si="3"/>
        <v>| C□-CTRL | Control points | Puntos de control |</v>
      </c>
      <c r="R54" s="5" t="str">
        <f t="shared" si="5"/>
        <v>| C□-CTRL | Control points | Puntos de control |  |</v>
      </c>
      <c r="S54" s="5" t="str">
        <f t="shared" si="6"/>
        <v>| C□-CTRL | Control points | Puntos de control |  | |</v>
      </c>
      <c r="T54" s="5" t="str">
        <f t="shared" si="1"/>
        <v>| C□-CTRL | Control points | Puntos de control |  | | |</v>
      </c>
      <c r="U54" s="5"/>
      <c r="V54" s="5" t="str">
        <f t="shared" si="8"/>
        <v>| C□-CTRL | Control points | Puntos de control |  | | | | | | | | | |</v>
      </c>
    </row>
    <row r="55" spans="2:22" ht="30.75" x14ac:dyDescent="0.55000000000000004">
      <c r="B55" s="4" t="s">
        <v>1079</v>
      </c>
      <c r="C55" s="4" t="s">
        <v>1080</v>
      </c>
      <c r="D55" s="4" t="s">
        <v>1081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 t="str">
        <f t="shared" si="7"/>
        <v>| C□-CTR L-BMRK | Control points: benchmarks |</v>
      </c>
      <c r="Q55" s="5" t="str">
        <f t="shared" si="3"/>
        <v>| C□-CTR L-BMRK | Control points: benchmarks | Puntos de control: puntos de referencia |</v>
      </c>
      <c r="R55" s="5" t="str">
        <f t="shared" si="5"/>
        <v>| C□-CTR L-BMRK | Control points: benchmarks | Puntos de control: puntos de referencia |  |</v>
      </c>
      <c r="S55" s="5" t="str">
        <f t="shared" si="6"/>
        <v>| C□-CTR L-BMRK | Control points: benchmarks | Puntos de control: puntos de referencia |  | |</v>
      </c>
      <c r="T55" s="5" t="str">
        <f t="shared" si="1"/>
        <v>| C□-CTR L-BMRK | Control points: benchmarks | Puntos de control: puntos de referencia |  | | |</v>
      </c>
      <c r="U55" s="5"/>
      <c r="V55" s="5" t="str">
        <f t="shared" si="8"/>
        <v>| C□-CTR L-BMRK | Control points: benchmarks | Puntos de control: puntos de referencia |  | | | | | | | | | |</v>
      </c>
    </row>
    <row r="56" spans="2:22" x14ac:dyDescent="0.55000000000000004">
      <c r="B56" s="4" t="s">
        <v>1082</v>
      </c>
      <c r="C56" s="4" t="s">
        <v>1083</v>
      </c>
      <c r="D56" s="4" t="s">
        <v>1084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 t="str">
        <f t="shared" si="7"/>
        <v>| C□-CTRL-FLYS | Control points: fly station |</v>
      </c>
      <c r="Q56" s="5" t="str">
        <f t="shared" si="3"/>
        <v>| C□-CTRL-FLYS | Control points: fly station | Puntos de control: estación de vuelo |</v>
      </c>
      <c r="R56" s="5" t="str">
        <f t="shared" si="5"/>
        <v>| C□-CTRL-FLYS | Control points: fly station | Puntos de control: estación de vuelo |  |</v>
      </c>
      <c r="S56" s="5" t="str">
        <f t="shared" si="6"/>
        <v>| C□-CTRL-FLYS | Control points: fly station | Puntos de control: estación de vuelo |  | |</v>
      </c>
      <c r="T56" s="5" t="str">
        <f t="shared" si="1"/>
        <v>| C□-CTRL-FLYS | Control points: fly station | Puntos de control: estación de vuelo |  | | |</v>
      </c>
      <c r="U56" s="5"/>
      <c r="V56" s="5" t="str">
        <f t="shared" si="8"/>
        <v>| C□-CTRL-FLYS | Control points: fly station | Puntos de control: estación de vuelo |  | | | | | | | | | |</v>
      </c>
    </row>
    <row r="57" spans="2:22" x14ac:dyDescent="0.55000000000000004">
      <c r="B57" s="4" t="s">
        <v>1085</v>
      </c>
      <c r="C57" s="4" t="s">
        <v>1086</v>
      </c>
      <c r="D57" s="4" t="s">
        <v>1087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 t="str">
        <f t="shared" si="7"/>
        <v>| C□-CTRL-GRID | Control points: grid |</v>
      </c>
      <c r="Q57" s="5" t="str">
        <f t="shared" si="3"/>
        <v>| C□-CTRL-GRID | Control points: grid | Puntos de control: cuadrícula |</v>
      </c>
      <c r="R57" s="5" t="str">
        <f t="shared" si="5"/>
        <v>| C□-CTRL-GRID | Control points: grid | Puntos de control: cuadrícula |  |</v>
      </c>
      <c r="S57" s="5" t="str">
        <f t="shared" si="6"/>
        <v>| C□-CTRL-GRID | Control points: grid | Puntos de control: cuadrícula |  | |</v>
      </c>
      <c r="T57" s="5" t="str">
        <f t="shared" si="1"/>
        <v>| C□-CTRL-GRID | Control points: grid | Puntos de control: cuadrícula |  | | |</v>
      </c>
      <c r="U57" s="5"/>
      <c r="V57" s="5" t="str">
        <f t="shared" si="8"/>
        <v>| C□-CTRL-GRID | Control points: grid | Puntos de control: cuadrícula |  | | | | | | | | | |</v>
      </c>
    </row>
    <row r="58" spans="2:22" x14ac:dyDescent="0.55000000000000004">
      <c r="B58" s="4" t="s">
        <v>1088</v>
      </c>
      <c r="C58" s="4" t="s">
        <v>1089</v>
      </c>
      <c r="D58" s="4" t="s">
        <v>1090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 t="str">
        <f t="shared" si="7"/>
        <v>| C□-CTRL-HORZ | Control points: horizontal |</v>
      </c>
      <c r="Q58" s="5" t="str">
        <f t="shared" si="3"/>
        <v>| C□-CTRL-HORZ | Control points: horizontal | Puntos de control: horizontal |</v>
      </c>
      <c r="R58" s="5" t="str">
        <f t="shared" si="5"/>
        <v>| C□-CTRL-HORZ | Control points: horizontal | Puntos de control: horizontal |  |</v>
      </c>
      <c r="S58" s="5" t="str">
        <f t="shared" si="6"/>
        <v>| C□-CTRL-HORZ | Control points: horizontal | Puntos de control: horizontal |  | |</v>
      </c>
      <c r="T58" s="5" t="str">
        <f t="shared" si="1"/>
        <v>| C□-CTRL-HORZ | Control points: horizontal | Puntos de control: horizontal |  | | |</v>
      </c>
      <c r="U58" s="5"/>
      <c r="V58" s="5" t="str">
        <f t="shared" si="8"/>
        <v>| C□-CTRL-HORZ | Control points: horizontal | Puntos de control: horizontal |  | | | | | | | | | |</v>
      </c>
    </row>
    <row r="59" spans="2:22" x14ac:dyDescent="0.55000000000000004">
      <c r="B59" s="4" t="s">
        <v>1091</v>
      </c>
      <c r="C59" s="4" t="s">
        <v>1092</v>
      </c>
      <c r="D59" s="4" t="s">
        <v>1093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 t="str">
        <f t="shared" si="7"/>
        <v>| C□-CTRL-HVPT | Control points: horizontal/vertical |</v>
      </c>
      <c r="Q59" s="5" t="str">
        <f t="shared" si="3"/>
        <v>| C□-CTRL-HVPT | Control points: horizontal/vertical | Puntos de control: horizontal/vertical |</v>
      </c>
      <c r="R59" s="5" t="str">
        <f t="shared" si="5"/>
        <v>| C□-CTRL-HVPT | Control points: horizontal/vertical | Puntos de control: horizontal/vertical |  |</v>
      </c>
      <c r="S59" s="5" t="str">
        <f t="shared" si="6"/>
        <v>| C□-CTRL-HVPT | Control points: horizontal/vertical | Puntos de control: horizontal/vertical |  | |</v>
      </c>
      <c r="T59" s="5" t="str">
        <f t="shared" si="1"/>
        <v>| C□-CTRL-HVPT | Control points: horizontal/vertical | Puntos de control: horizontal/vertical |  | | |</v>
      </c>
      <c r="U59" s="5"/>
      <c r="V59" s="5" t="str">
        <f t="shared" si="8"/>
        <v>| C□-CTRL-HVPT | Control points: horizontal/vertical | Puntos de control: horizontal/vertical |  | | | | | | | | | |</v>
      </c>
    </row>
    <row r="60" spans="2:22" x14ac:dyDescent="0.55000000000000004">
      <c r="B60" s="4" t="s">
        <v>1094</v>
      </c>
      <c r="C60" s="4" t="s">
        <v>1095</v>
      </c>
      <c r="D60" s="4" t="s">
        <v>1096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 t="str">
        <f t="shared" si="7"/>
        <v>| C□-CTRL-PNPT | Control points: panel points |</v>
      </c>
      <c r="Q60" s="5" t="str">
        <f t="shared" si="3"/>
        <v>| C□-CTRL-PNPT | Control points: panel points | Puntos de control: puntos de panel |</v>
      </c>
      <c r="R60" s="5" t="str">
        <f t="shared" si="5"/>
        <v>| C□-CTRL-PNPT | Control points: panel points | Puntos de control: puntos de panel |  |</v>
      </c>
      <c r="S60" s="5" t="str">
        <f t="shared" si="6"/>
        <v>| C□-CTRL-PNPT | Control points: panel points | Puntos de control: puntos de panel |  | |</v>
      </c>
      <c r="T60" s="5" t="str">
        <f t="shared" si="1"/>
        <v>| C□-CTRL-PNPT | Control points: panel points | Puntos de control: puntos de panel |  | | |</v>
      </c>
      <c r="U60" s="5"/>
      <c r="V60" s="5" t="str">
        <f t="shared" si="8"/>
        <v>| C□-CTRL-PNPT | Control points: panel points | Puntos de control: puntos de panel |  | | | | | | | | | |</v>
      </c>
    </row>
    <row r="61" spans="2:22" x14ac:dyDescent="0.55000000000000004">
      <c r="B61" s="4" t="s">
        <v>1097</v>
      </c>
      <c r="C61" s="4" t="s">
        <v>1098</v>
      </c>
      <c r="D61" s="4" t="s">
        <v>1099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 t="str">
        <f t="shared" si="7"/>
        <v>| C□-CTRL-TRAV | Control points: transverse |</v>
      </c>
      <c r="Q61" s="5" t="str">
        <f t="shared" si="3"/>
        <v>| C□-CTRL-TRAV | Control points: transverse | Puntos de control: transversal |</v>
      </c>
      <c r="R61" s="5" t="str">
        <f t="shared" si="5"/>
        <v>| C□-CTRL-TRAV | Control points: transverse | Puntos de control: transversal |  |</v>
      </c>
      <c r="S61" s="5" t="str">
        <f t="shared" si="6"/>
        <v>| C□-CTRL-TRAV | Control points: transverse | Puntos de control: transversal |  | |</v>
      </c>
      <c r="T61" s="5" t="str">
        <f t="shared" si="1"/>
        <v>| C□-CTRL-TRAV | Control points: transverse | Puntos de control: transversal |  | | |</v>
      </c>
      <c r="U61" s="5"/>
      <c r="V61" s="5" t="str">
        <f t="shared" si="8"/>
        <v>| C□-CTRL-TRAV | Control points: transverse | Puntos de control: transversal |  | | | | | | | | | |</v>
      </c>
    </row>
    <row r="62" spans="2:22" x14ac:dyDescent="0.55000000000000004">
      <c r="B62" s="4" t="s">
        <v>1100</v>
      </c>
      <c r="C62" s="4" t="s">
        <v>1101</v>
      </c>
      <c r="D62" s="4" t="s">
        <v>1102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 t="str">
        <f t="shared" si="7"/>
        <v>| C□-CTRL-VERT | Control points: vertical |</v>
      </c>
      <c r="Q62" s="5" t="str">
        <f t="shared" si="3"/>
        <v>| C□-CTRL-VERT | Control points: vertical | Puntos de control: vertical |</v>
      </c>
      <c r="R62" s="5" t="str">
        <f t="shared" si="5"/>
        <v>| C□-CTRL-VERT | Control points: vertical | Puntos de control: vertical |  |</v>
      </c>
      <c r="S62" s="5" t="str">
        <f t="shared" si="6"/>
        <v>| C□-CTRL-VERT | Control points: vertical | Puntos de control: vertical |  | |</v>
      </c>
      <c r="T62" s="5" t="str">
        <f t="shared" si="1"/>
        <v>| C□-CTRL-VERT | Control points: vertical | Puntos de control: vertical |  | | |</v>
      </c>
      <c r="U62" s="5"/>
      <c r="V62" s="5" t="str">
        <f t="shared" si="8"/>
        <v>| C□-CTRL-VERT | Control points: vertical | Puntos de control: vertical |  | | | | | | | | | |</v>
      </c>
    </row>
    <row r="63" spans="2:22" x14ac:dyDescent="0.55000000000000004">
      <c r="B63" s="4" t="s">
        <v>1103</v>
      </c>
      <c r="C63" s="4" t="s">
        <v>355</v>
      </c>
      <c r="D63" s="4" t="s">
        <v>356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 t="str">
        <f t="shared" si="7"/>
        <v>| C□-DFLD | Drain fields |</v>
      </c>
      <c r="Q63" s="5" t="str">
        <f t="shared" si="3"/>
        <v>| C□-DFLD | Drain fields | Campos de drenaje |</v>
      </c>
      <c r="R63" s="5" t="str">
        <f t="shared" si="5"/>
        <v>| C□-DFLD | Drain fields | Campos de drenaje |  |</v>
      </c>
      <c r="S63" s="5" t="str">
        <f t="shared" si="6"/>
        <v>| C□-DFLD | Drain fields | Campos de drenaje |  | |</v>
      </c>
      <c r="T63" s="5" t="str">
        <f t="shared" si="1"/>
        <v>| C□-DFLD | Drain fields | Campos de drenaje |  | | |</v>
      </c>
      <c r="U63" s="5"/>
      <c r="V63" s="5" t="str">
        <f t="shared" si="8"/>
        <v>| C□-DFLD | Drain fields | Campos de drenaje |  | | | | | | | | | |</v>
      </c>
    </row>
    <row r="64" spans="2:22" ht="30.75" x14ac:dyDescent="0.55000000000000004">
      <c r="B64" s="4" t="s">
        <v>1104</v>
      </c>
      <c r="C64" s="4" t="s">
        <v>1105</v>
      </c>
      <c r="D64" s="4" t="s">
        <v>1106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 t="str">
        <f t="shared" si="7"/>
        <v>| C□-DFLD-OTLN | Drain fields: outline |</v>
      </c>
      <c r="Q64" s="5" t="str">
        <f t="shared" si="3"/>
        <v>| C□-DFLD-OTLN | Drain fields: outline | Campos de drenaje: contorno |</v>
      </c>
      <c r="R64" s="5" t="str">
        <f t="shared" si="5"/>
        <v>| C□-DFLD-OTLN | Drain fields: outline | Campos de drenaje: contorno |  |</v>
      </c>
      <c r="S64" s="5" t="str">
        <f t="shared" si="6"/>
        <v>| C□-DFLD-OTLN | Drain fields: outline | Campos de drenaje: contorno |  | |</v>
      </c>
      <c r="T64" s="5" t="str">
        <f t="shared" si="1"/>
        <v>| C□-DFLD-OTLN | Drain fields: outline | Campos de drenaje: contorno |  | | |</v>
      </c>
      <c r="U64" s="5"/>
      <c r="V64" s="5" t="str">
        <f t="shared" si="8"/>
        <v>| C□-DFLD-OTLN | Drain fields: outline | Campos de drenaje: contorno |  | | | | | | | | | |</v>
      </c>
    </row>
    <row r="65" spans="2:22" x14ac:dyDescent="0.55000000000000004">
      <c r="B65" s="4" t="s">
        <v>1107</v>
      </c>
      <c r="C65" s="4" t="s">
        <v>1108</v>
      </c>
      <c r="D65" s="4" t="s">
        <v>1109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 t="str">
        <f t="shared" si="7"/>
        <v>| C□-DFLD-PROF | Drain fields: profile |</v>
      </c>
      <c r="Q65" s="5" t="str">
        <f t="shared" si="3"/>
        <v>| C□-DFLD-PROF | Drain fields: profile | Campos de drenaje: perfil |</v>
      </c>
      <c r="R65" s="5" t="str">
        <f t="shared" si="5"/>
        <v>| C□-DFLD-PROF | Drain fields: profile | Campos de drenaje: perfil |  |</v>
      </c>
      <c r="S65" s="5" t="str">
        <f t="shared" si="6"/>
        <v>| C□-DFLD-PROF | Drain fields: profile | Campos de drenaje: perfil |  | |</v>
      </c>
      <c r="T65" s="5" t="str">
        <f t="shared" si="1"/>
        <v>| C□-DFLD-PROF | Drain fields: profile | Campos de drenaje: perfil |  | | |</v>
      </c>
      <c r="U65" s="5"/>
      <c r="V65" s="5" t="str">
        <f t="shared" si="8"/>
        <v>| C□-DFLD-PROF | Drain fields: profile | Campos de drenaje: perfil |  | | | | | | | | | |</v>
      </c>
    </row>
    <row r="66" spans="2:22" ht="30.75" x14ac:dyDescent="0.55000000000000004">
      <c r="B66" s="4" t="s">
        <v>1110</v>
      </c>
      <c r="C66" s="4" t="s">
        <v>373</v>
      </c>
      <c r="D66" s="4" t="s">
        <v>1111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 t="str">
        <f t="shared" si="7"/>
        <v>| C□-DRIV | Driveways |</v>
      </c>
      <c r="Q66" s="5" t="str">
        <f t="shared" si="3"/>
        <v>| C□-DRIV | Driveways | Accesos vehiculares |</v>
      </c>
      <c r="R66" s="5" t="str">
        <f t="shared" si="5"/>
        <v>| C□-DRIV | Driveways | Accesos vehiculares |  |</v>
      </c>
      <c r="S66" s="5" t="str">
        <f t="shared" si="6"/>
        <v>| C□-DRIV | Driveways | Accesos vehiculares |  | |</v>
      </c>
      <c r="T66" s="5" t="str">
        <f t="shared" si="1"/>
        <v>| C□-DRIV | Driveways | Accesos vehiculares |  | | |</v>
      </c>
      <c r="U66" s="5"/>
      <c r="V66" s="5" t="str">
        <f t="shared" si="8"/>
        <v>| C□-DRIV | Driveways | Accesos vehiculares |  | | | | | | | | | |</v>
      </c>
    </row>
    <row r="67" spans="2:22" ht="30.75" x14ac:dyDescent="0.55000000000000004">
      <c r="B67" s="4" t="s">
        <v>1112</v>
      </c>
      <c r="C67" s="4" t="s">
        <v>1113</v>
      </c>
      <c r="D67" s="4" t="s">
        <v>1114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 t="str">
        <f t="shared" si="7"/>
        <v>| C□-DRIV-ASPH | Driveways: asphalt |</v>
      </c>
      <c r="Q67" s="5" t="str">
        <f t="shared" si="3"/>
        <v>| C□-DRIV-ASPH | Driveways: asphalt | Accesos vehiculares: asfalto |</v>
      </c>
      <c r="R67" s="5" t="str">
        <f t="shared" si="5"/>
        <v>| C□-DRIV-ASPH | Driveways: asphalt | Accesos vehiculares: asfalto |  |</v>
      </c>
      <c r="S67" s="5" t="str">
        <f t="shared" si="6"/>
        <v>| C□-DRIV-ASPH | Driveways: asphalt | Accesos vehiculares: asfalto |  | |</v>
      </c>
      <c r="T67" s="5" t="str">
        <f t="shared" si="1"/>
        <v>| C□-DRIV-ASPH | Driveways: asphalt | Accesos vehiculares: asfalto |  | | |</v>
      </c>
      <c r="U67" s="5"/>
      <c r="V67" s="5" t="str">
        <f t="shared" si="8"/>
        <v>| C□-DRIV-ASPH | Driveways: asphalt | Accesos vehiculares: asfalto |  | | | | | | | | | |</v>
      </c>
    </row>
    <row r="68" spans="2:22" ht="30.75" x14ac:dyDescent="0.55000000000000004">
      <c r="B68" s="4" t="s">
        <v>1115</v>
      </c>
      <c r="C68" s="4" t="s">
        <v>1116</v>
      </c>
      <c r="D68" s="4" t="s">
        <v>1117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 t="str">
        <f t="shared" si="7"/>
        <v>| C□-DRIV-CNTR | Driveways: center |</v>
      </c>
      <c r="Q68" s="5" t="str">
        <f t="shared" si="3"/>
        <v>| C□-DRIV-CNTR | Driveways: center | Accesos vehiculares: centro |</v>
      </c>
      <c r="R68" s="5" t="str">
        <f t="shared" si="5"/>
        <v>| C□-DRIV-CNTR | Driveways: center | Accesos vehiculares: centro |  |</v>
      </c>
      <c r="S68" s="5" t="str">
        <f t="shared" si="6"/>
        <v>| C□-DRIV-CNTR | Driveways: center | Accesos vehiculares: centro |  | |</v>
      </c>
      <c r="T68" s="5" t="str">
        <f t="shared" ref="T68:T103" si="9">_xlfn.CONCAT("| ",B68," | ",C68," | ",D68," | ",E68," |",F68," |",G68," |")</f>
        <v>| C□-DRIV-CNTR | Driveways: center | Accesos vehiculares: centro |  | | |</v>
      </c>
      <c r="U68" s="5"/>
      <c r="V68" s="5" t="str">
        <f t="shared" si="8"/>
        <v>| C□-DRIV-CNTR | Driveways: center | Accesos vehiculares: centro |  | | | | | | | | | |</v>
      </c>
    </row>
    <row r="69" spans="2:22" x14ac:dyDescent="0.55000000000000004">
      <c r="B69" s="4" t="s">
        <v>1118</v>
      </c>
      <c r="C69" s="4" t="s">
        <v>1119</v>
      </c>
      <c r="D69" s="4" t="s">
        <v>1120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 t="str">
        <f t="shared" si="7"/>
        <v>| C□-DRIV-CONC | Driveways: concrete |</v>
      </c>
      <c r="Q69" s="5" t="str">
        <f t="shared" ref="Q69:Q132" si="10">_xlfn.CONCAT("| ",B69," | ",C69," | ",D69," |")</f>
        <v>| C□-DRIV-CONC | Driveways: concrete | Accesos vehiculares: hormigón |</v>
      </c>
      <c r="R69" s="5" t="str">
        <f t="shared" si="5"/>
        <v>| C□-DRIV-CONC | Driveways: concrete | Accesos vehiculares: hormigón |  |</v>
      </c>
      <c r="S69" s="5" t="str">
        <f t="shared" si="6"/>
        <v>| C□-DRIV-CONC | Driveways: concrete | Accesos vehiculares: hormigón |  | |</v>
      </c>
      <c r="T69" s="5" t="str">
        <f t="shared" si="9"/>
        <v>| C□-DRIV-CONC | Driveways: concrete | Accesos vehiculares: hormigón |  | | |</v>
      </c>
      <c r="U69" s="5"/>
      <c r="V69" s="5" t="str">
        <f t="shared" si="8"/>
        <v>| C□-DRIV-CONC | Driveways: concrete | Accesos vehiculares: hormigón |  | | | | | | | | | |</v>
      </c>
    </row>
    <row r="70" spans="2:22" x14ac:dyDescent="0.55000000000000004">
      <c r="B70" s="4" t="s">
        <v>1121</v>
      </c>
      <c r="C70" s="4" t="s">
        <v>1122</v>
      </c>
      <c r="D70" s="4" t="s">
        <v>1123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 t="str">
        <f t="shared" si="7"/>
        <v>| C□-DRIV-CURB | Driveways: curb |</v>
      </c>
      <c r="Q70" s="5" t="str">
        <f t="shared" si="10"/>
        <v>| C□-DRIV-CURB | Driveways: curb | Accesos vehiculares: Bordillo |</v>
      </c>
      <c r="R70" s="5" t="str">
        <f t="shared" ref="R70:R103" si="11">_xlfn.CONCAT("| ",B70," | ",C70," | ",D70," | ",E70," |")</f>
        <v>| C□-DRIV-CURB | Driveways: curb | Accesos vehiculares: Bordillo |  |</v>
      </c>
      <c r="S70" s="5" t="str">
        <f t="shared" ref="S70:S103" si="12">_xlfn.CONCAT("| ",B70," | ",C70," | ",D70," | ",E70," |",F70," |")</f>
        <v>| C□-DRIV-CURB | Driveways: curb | Accesos vehiculares: Bordillo |  | |</v>
      </c>
      <c r="T70" s="5" t="str">
        <f t="shared" si="9"/>
        <v>| C□-DRIV-CURB | Driveways: curb | Accesos vehiculares: Bordillo |  | | |</v>
      </c>
      <c r="U70" s="5"/>
      <c r="V70" s="5" t="str">
        <f t="shared" si="8"/>
        <v>| C□-DRIV-CURB | Driveways: curb | Accesos vehiculares: Bordillo |  | | | | | | | | | |</v>
      </c>
    </row>
    <row r="71" spans="2:22" ht="30.75" x14ac:dyDescent="0.55000000000000004">
      <c r="B71" s="4" t="s">
        <v>1124</v>
      </c>
      <c r="C71" s="4" t="s">
        <v>1125</v>
      </c>
      <c r="D71" s="4" t="s">
        <v>1126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 t="str">
        <f t="shared" si="7"/>
        <v>| C□-DRIV-CURB-BACK | Driveways: curb: back |</v>
      </c>
      <c r="Q71" s="5" t="str">
        <f t="shared" si="10"/>
        <v>| C□-DRIV-CURB-BACK | Driveways: curb: back | Entradas: Bordillo: Parte trasera |</v>
      </c>
      <c r="R71" s="5" t="str">
        <f t="shared" si="11"/>
        <v>| C□-DRIV-CURB-BACK | Driveways: curb: back | Entradas: Bordillo: Parte trasera |  |</v>
      </c>
      <c r="S71" s="5" t="str">
        <f t="shared" si="12"/>
        <v>| C□-DRIV-CURB-BACK | Driveways: curb: back | Entradas: Bordillo: Parte trasera |  | |</v>
      </c>
      <c r="T71" s="5" t="str">
        <f t="shared" si="9"/>
        <v>| C□-DRIV-CURB-BACK | Driveways: curb: back | Entradas: Bordillo: Parte trasera |  | | |</v>
      </c>
      <c r="U71" s="5"/>
      <c r="V71" s="5" t="str">
        <f t="shared" si="8"/>
        <v>| C□-DRIV-CURB-BACK | Driveways: curb: back | Entradas: Bordillo: Parte trasera |  | | | | | | | | | |</v>
      </c>
    </row>
    <row r="72" spans="2:22" x14ac:dyDescent="0.55000000000000004">
      <c r="B72" s="4" t="s">
        <v>1127</v>
      </c>
      <c r="C72" s="4" t="s">
        <v>1128</v>
      </c>
      <c r="D72" s="4" t="s">
        <v>1129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 t="str">
        <f t="shared" si="7"/>
        <v>|  C□-DRIV-CURB-FACE | Driveways: curb: face  |</v>
      </c>
      <c r="Q72" s="5" t="str">
        <f t="shared" si="10"/>
        <v>|  C□-DRIV-CURB-FACE | Driveways: curb: face  | Entradas: Bordillo: Cara |</v>
      </c>
      <c r="R72" s="5" t="str">
        <f t="shared" si="11"/>
        <v>|  C□-DRIV-CURB-FACE | Driveways: curb: face  | Entradas: Bordillo: Cara |  |</v>
      </c>
      <c r="S72" s="5" t="str">
        <f t="shared" si="12"/>
        <v>|  C□-DRIV-CURB-FACE | Driveways: curb: face  | Entradas: Bordillo: Cara |  | |</v>
      </c>
      <c r="T72" s="5" t="str">
        <f t="shared" si="9"/>
        <v>|  C□-DRIV-CURB-FACE | Driveways: curb: face  | Entradas: Bordillo: Cara |  | | |</v>
      </c>
      <c r="U72" s="5"/>
      <c r="V72" s="5" t="str">
        <f t="shared" si="8"/>
        <v>|  C□-DRIV-CURB-FACE | Driveways: curb: face  | Entradas: Bordillo: Cara |  | | | | | | | | | |</v>
      </c>
    </row>
    <row r="73" spans="2:22" x14ac:dyDescent="0.55000000000000004">
      <c r="B73" s="4" t="s">
        <v>1130</v>
      </c>
      <c r="C73" s="4" t="s">
        <v>1131</v>
      </c>
      <c r="D73" s="4" t="s">
        <v>1132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 t="str">
        <f t="shared" si="7"/>
        <v>| C□-DRIV-FLNE | Driveways: fire lane |</v>
      </c>
      <c r="Q73" s="5" t="str">
        <f t="shared" si="10"/>
        <v>| C□-DRIV-FLNE | Driveways: fire lane | Entradas: Carril contra incendios |</v>
      </c>
      <c r="R73" s="5" t="str">
        <f t="shared" si="11"/>
        <v>| C□-DRIV-FLNE | Driveways: fire lane | Entradas: Carril contra incendios |  |</v>
      </c>
      <c r="S73" s="5" t="str">
        <f t="shared" si="12"/>
        <v>| C□-DRIV-FLNE | Driveways: fire lane | Entradas: Carril contra incendios |  | |</v>
      </c>
      <c r="T73" s="5" t="str">
        <f t="shared" si="9"/>
        <v>| C□-DRIV-FLNE | Driveways: fire lane | Entradas: Carril contra incendios |  | | |</v>
      </c>
      <c r="U73" s="5"/>
      <c r="V73" s="5" t="str">
        <f t="shared" si="8"/>
        <v>| C□-DRIV-FLNE | Driveways: fire lane | Entradas: Carril contra incendios |  | | | | | | | | | |</v>
      </c>
    </row>
    <row r="74" spans="2:22" x14ac:dyDescent="0.55000000000000004">
      <c r="B74" s="4" t="s">
        <v>1133</v>
      </c>
      <c r="C74" s="4" t="s">
        <v>1134</v>
      </c>
      <c r="D74" s="4" t="s">
        <v>1135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 t="str">
        <f t="shared" si="7"/>
        <v>| C□-DRIV-FLNE-MRKG | Driveways: fire lane: pavement markings |</v>
      </c>
      <c r="Q74" s="5" t="str">
        <f t="shared" si="10"/>
        <v>| C□-DRIV-FLNE-MRKG | Driveways: fire lane: pavement markings | Entradas: Carril contra incendios: Marcas en el pavimento |</v>
      </c>
      <c r="R74" s="5" t="str">
        <f t="shared" si="11"/>
        <v>| C□-DRIV-FLNE-MRKG | Driveways: fire lane: pavement markings | Entradas: Carril contra incendios: Marcas en el pavimento |  |</v>
      </c>
      <c r="S74" s="5" t="str">
        <f t="shared" si="12"/>
        <v>| C□-DRIV-FLNE-MRKG | Driveways: fire lane: pavement markings | Entradas: Carril contra incendios: Marcas en el pavimento |  | |</v>
      </c>
      <c r="T74" s="5" t="str">
        <f t="shared" si="9"/>
        <v>| C□-DRIV-FLNE-MRKG | Driveways: fire lane: pavement markings | Entradas: Carril contra incendios: Marcas en el pavimento |  | | |</v>
      </c>
      <c r="U74" s="5"/>
      <c r="V74" s="5" t="str">
        <f t="shared" si="8"/>
        <v>| C□-DRIV-FLNE-MRKG | Driveways: fire lane: pavement markings | Entradas: Carril contra incendios: Marcas en el pavimento |  | | | | | | | | | |</v>
      </c>
    </row>
    <row r="75" spans="2:22" x14ac:dyDescent="0.55000000000000004">
      <c r="B75" s="4" t="s">
        <v>1136</v>
      </c>
      <c r="C75" s="4" t="s">
        <v>1137</v>
      </c>
      <c r="D75" s="4" t="s">
        <v>1138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 t="str">
        <f t="shared" si="7"/>
        <v>| C□-DRIV-FLNE-SIGN | Driveways: fire lane: signage |</v>
      </c>
      <c r="Q75" s="5" t="str">
        <f t="shared" si="10"/>
        <v>| C□-DRIV-FLNE-SIGN | Driveways: fire lane: signage | Entradas: Carril contra incendios: Señalización |</v>
      </c>
      <c r="R75" s="5" t="str">
        <f t="shared" si="11"/>
        <v>| C□-DRIV-FLNE-SIGN | Driveways: fire lane: signage | Entradas: Carril contra incendios: Señalización |  |</v>
      </c>
      <c r="S75" s="5" t="str">
        <f t="shared" si="12"/>
        <v>| C□-DRIV-FLNE-SIGN | Driveways: fire lane: signage | Entradas: Carril contra incendios: Señalización |  | |</v>
      </c>
      <c r="T75" s="5" t="str">
        <f t="shared" si="9"/>
        <v>| C□-DRIV-FLNE-SIGN | Driveways: fire lane: signage | Entradas: Carril contra incendios: Señalización |  | | |</v>
      </c>
      <c r="U75" s="5"/>
      <c r="V75" s="5" t="str">
        <f t="shared" si="8"/>
        <v>| C□-DRIV-FLNE-SIGN | Driveways: fire lane: signage | Entradas: Carril contra incendios: Señalización |  | | | | | | | | | |</v>
      </c>
    </row>
    <row r="76" spans="2:22" x14ac:dyDescent="0.55000000000000004">
      <c r="B76" s="4" t="s">
        <v>1139</v>
      </c>
      <c r="C76" s="4" t="s">
        <v>1140</v>
      </c>
      <c r="D76" s="4" t="s">
        <v>1141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 t="str">
        <f t="shared" si="7"/>
        <v>|  C□-DRIV-GRVL | Driveways: gravel |</v>
      </c>
      <c r="Q76" s="5" t="str">
        <f t="shared" si="10"/>
        <v>|  C□-DRIV-GRVL | Driveways: gravel | Entradas: Grava |</v>
      </c>
      <c r="R76" s="5" t="str">
        <f t="shared" si="11"/>
        <v>|  C□-DRIV-GRVL | Driveways: gravel | Entradas: Grava |  |</v>
      </c>
      <c r="S76" s="5" t="str">
        <f t="shared" si="12"/>
        <v>|  C□-DRIV-GRVL | Driveways: gravel | Entradas: Grava |  | |</v>
      </c>
      <c r="T76" s="5" t="str">
        <f t="shared" si="9"/>
        <v>|  C□-DRIV-GRVL | Driveways: gravel | Entradas: Grava |  | | |</v>
      </c>
      <c r="U76" s="5"/>
      <c r="V76" s="5" t="str">
        <f t="shared" si="8"/>
        <v>|  C□-DRIV-GRVL | Driveways: gravel | Entradas: Grava |  | | | | | | | | | |</v>
      </c>
    </row>
    <row r="77" spans="2:22" x14ac:dyDescent="0.55000000000000004">
      <c r="B77" s="4" t="s">
        <v>1142</v>
      </c>
      <c r="C77" s="4" t="s">
        <v>1143</v>
      </c>
      <c r="D77" s="4" t="s">
        <v>1144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 t="str">
        <f t="shared" si="7"/>
        <v>| C□-DRIV-MRKG | Driveways: pavement markings |</v>
      </c>
      <c r="Q77" s="5" t="str">
        <f t="shared" si="10"/>
        <v>| C□-DRIV-MRKG | Driveways: pavement markings | Entradas: Marcas en el pavimento |</v>
      </c>
      <c r="R77" s="5" t="str">
        <f t="shared" si="11"/>
        <v>| C□-DRIV-MRKG | Driveways: pavement markings | Entradas: Marcas en el pavimento |  |</v>
      </c>
      <c r="S77" s="5" t="str">
        <f t="shared" si="12"/>
        <v>| C□-DRIV-MRKG | Driveways: pavement markings | Entradas: Marcas en el pavimento |  | |</v>
      </c>
      <c r="T77" s="5" t="str">
        <f t="shared" si="9"/>
        <v>| C□-DRIV-MRKG | Driveways: pavement markings | Entradas: Marcas en el pavimento |  | | |</v>
      </c>
      <c r="U77" s="5"/>
      <c r="V77" s="5" t="str">
        <f t="shared" si="8"/>
        <v>| C□-DRIV-MRKG | Driveways: pavement markings | Entradas: Marcas en el pavimento |  | | | | | | | | | |</v>
      </c>
    </row>
    <row r="78" spans="2:22" x14ac:dyDescent="0.55000000000000004">
      <c r="B78" s="4" t="s">
        <v>1145</v>
      </c>
      <c r="C78" s="4" t="s">
        <v>1146</v>
      </c>
      <c r="D78" s="4" t="s">
        <v>1147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 t="str">
        <f t="shared" si="7"/>
        <v>| C□-DRIV-SIGN | Driveways: signage |</v>
      </c>
      <c r="Q78" s="5" t="str">
        <f t="shared" si="10"/>
        <v>| C□-DRIV-SIGN | Driveways: signage | Entradas: Señalización |</v>
      </c>
      <c r="R78" s="5" t="str">
        <f t="shared" si="11"/>
        <v>| C□-DRIV-SIGN | Driveways: signage | Entradas: Señalización |  |</v>
      </c>
      <c r="S78" s="5" t="str">
        <f t="shared" si="12"/>
        <v>| C□-DRIV-SIGN | Driveways: signage | Entradas: Señalización |  | |</v>
      </c>
      <c r="T78" s="5" t="str">
        <f t="shared" si="9"/>
        <v>| C□-DRIV-SIGN | Driveways: signage | Entradas: Señalización |  | | |</v>
      </c>
      <c r="U78" s="5"/>
      <c r="V78" s="5" t="str">
        <f t="shared" si="8"/>
        <v>| C□-DRIV-SIGN | Driveways: signage | Entradas: Señalización |  | | | | | | | | | |</v>
      </c>
    </row>
    <row r="79" spans="2:22" x14ac:dyDescent="0.55000000000000004">
      <c r="B79" s="4" t="s">
        <v>1148</v>
      </c>
      <c r="C79" s="4" t="s">
        <v>1149</v>
      </c>
      <c r="D79" s="4" t="s">
        <v>1150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 t="str">
        <f t="shared" si="7"/>
        <v>| C□-DRI V-UPVD | Driveways: unpaved surface |</v>
      </c>
      <c r="Q79" s="5" t="str">
        <f t="shared" si="10"/>
        <v>| C□-DRI V-UPVD | Driveways: unpaved surface | Entradas: Superficie sin pavimentar |</v>
      </c>
      <c r="R79" s="5" t="str">
        <f t="shared" si="11"/>
        <v>| C□-DRI V-UPVD | Driveways: unpaved surface | Entradas: Superficie sin pavimentar |  |</v>
      </c>
      <c r="S79" s="5" t="str">
        <f t="shared" si="12"/>
        <v>| C□-DRI V-UPVD | Driveways: unpaved surface | Entradas: Superficie sin pavimentar |  | |</v>
      </c>
      <c r="T79" s="5" t="str">
        <f t="shared" si="9"/>
        <v>| C□-DRI V-UPVD | Driveways: unpaved surface | Entradas: Superficie sin pavimentar |  | | |</v>
      </c>
      <c r="U79" s="5"/>
      <c r="V79" s="5" t="str">
        <f t="shared" si="8"/>
        <v>| C□-DRI V-UPVD | Driveways: unpaved surface | Entradas: Superficie sin pavimentar |  | | | | | | | | | |</v>
      </c>
    </row>
    <row r="80" spans="2:22" x14ac:dyDescent="0.55000000000000004">
      <c r="B80" s="4" t="s">
        <v>1151</v>
      </c>
      <c r="C80" s="4" t="s">
        <v>1152</v>
      </c>
      <c r="D80" s="4" t="s">
        <v>1153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 t="str">
        <f t="shared" si="7"/>
        <v>| C□-DRIV-WHIT | Driveways: white paint |</v>
      </c>
      <c r="Q80" s="5" t="str">
        <f t="shared" si="10"/>
        <v>| C□-DRIV-WHIT | Driveways: white paint | Entradas: Pintura blanca |</v>
      </c>
      <c r="R80" s="5" t="str">
        <f t="shared" si="11"/>
        <v>| C□-DRIV-WHIT | Driveways: white paint | Entradas: Pintura blanca |  |</v>
      </c>
      <c r="S80" s="5" t="str">
        <f t="shared" si="12"/>
        <v>| C□-DRIV-WHIT | Driveways: white paint | Entradas: Pintura blanca |  | |</v>
      </c>
      <c r="T80" s="5" t="str">
        <f t="shared" si="9"/>
        <v>| C□-DRIV-WHIT | Driveways: white paint | Entradas: Pintura blanca |  | | |</v>
      </c>
      <c r="U80" s="5"/>
      <c r="V80" s="5" t="str">
        <f t="shared" si="8"/>
        <v>| C□-DRIV-WHIT | Driveways: white paint | Entradas: Pintura blanca |  | | | | | | | | | |</v>
      </c>
    </row>
    <row r="81" spans="2:22" x14ac:dyDescent="0.55000000000000004">
      <c r="B81" s="4" t="s">
        <v>1154</v>
      </c>
      <c r="C81" s="4" t="s">
        <v>1155</v>
      </c>
      <c r="D81" s="4" t="s">
        <v>1156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 t="str">
        <f t="shared" si="7"/>
        <v>| C□-DRIV-WHIT-TICK | Driveways: white paint: tick marks  |</v>
      </c>
      <c r="Q81" s="5" t="str">
        <f t="shared" si="10"/>
        <v>| C□-DRIV-WHIT-TICK | Driveways: white paint: tick marks  | Entradas: Pintura blanca: Marcas de verificación |</v>
      </c>
      <c r="R81" s="5" t="str">
        <f t="shared" si="11"/>
        <v>| C□-DRIV-WHIT-TICK | Driveways: white paint: tick marks  | Entradas: Pintura blanca: Marcas de verificación |  |</v>
      </c>
      <c r="S81" s="5" t="str">
        <f t="shared" si="12"/>
        <v>| C□-DRIV-WHIT-TICK | Driveways: white paint: tick marks  | Entradas: Pintura blanca: Marcas de verificación |  | |</v>
      </c>
      <c r="T81" s="5" t="str">
        <f t="shared" si="9"/>
        <v>| C□-DRIV-WHIT-TICK | Driveways: white paint: tick marks  | Entradas: Pintura blanca: Marcas de verificación |  | | |</v>
      </c>
      <c r="U81" s="5"/>
      <c r="V81" s="5" t="str">
        <f t="shared" si="8"/>
        <v>| C□-DRIV-WHIT-TICK | Driveways: white paint: tick marks  | Entradas: Pintura blanca: Marcas de verificación |  | | | | | | | | | |</v>
      </c>
    </row>
    <row r="82" spans="2:22" x14ac:dyDescent="0.55000000000000004">
      <c r="B82" s="4" t="s">
        <v>1157</v>
      </c>
      <c r="C82" s="4" t="s">
        <v>1158</v>
      </c>
      <c r="D82" s="4" t="s">
        <v>1159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 t="str">
        <f t="shared" si="7"/>
        <v>| C□-DRIV-YELO | Driveways: yellow paint |</v>
      </c>
      <c r="Q82" s="5" t="str">
        <f t="shared" si="10"/>
        <v>| C□-DRIV-YELO | Driveways: yellow paint | Entradas: Pintura amarilla |</v>
      </c>
      <c r="R82" s="5" t="str">
        <f t="shared" si="11"/>
        <v>| C□-DRIV-YELO | Driveways: yellow paint | Entradas: Pintura amarilla |  |</v>
      </c>
      <c r="S82" s="5" t="str">
        <f t="shared" si="12"/>
        <v>| C□-DRIV-YELO | Driveways: yellow paint | Entradas: Pintura amarilla |  | |</v>
      </c>
      <c r="T82" s="5" t="str">
        <f t="shared" si="9"/>
        <v>| C□-DRIV-YELO | Driveways: yellow paint | Entradas: Pintura amarilla |  | | |</v>
      </c>
      <c r="U82" s="5"/>
      <c r="V82" s="5" t="str">
        <f t="shared" si="8"/>
        <v>| C□-DRIV-YELO | Driveways: yellow paint | Entradas: Pintura amarilla |  | | | | | | | | | |</v>
      </c>
    </row>
    <row r="83" spans="2:22" x14ac:dyDescent="0.55000000000000004">
      <c r="B83" s="4" t="s">
        <v>1160</v>
      </c>
      <c r="C83" s="4" t="s">
        <v>1161</v>
      </c>
      <c r="D83" s="4" t="s">
        <v>1162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 t="str">
        <f t="shared" si="7"/>
        <v>| C□-DRIV-YELO-TICK | Driveways: yellow paint: tick marks  |</v>
      </c>
      <c r="Q83" s="5" t="str">
        <f t="shared" si="10"/>
        <v>| C□-DRIV-YELO-TICK | Driveways: yellow paint: tick marks  | Entradas: Pintura amarilla: Marcas de verificación |</v>
      </c>
      <c r="R83" s="5" t="str">
        <f t="shared" si="11"/>
        <v>| C□-DRIV-YELO-TICK | Driveways: yellow paint: tick marks  | Entradas: Pintura amarilla: Marcas de verificación |  |</v>
      </c>
      <c r="S83" s="5" t="str">
        <f t="shared" si="12"/>
        <v>| C□-DRIV-YELO-TICK | Driveways: yellow paint: tick marks  | Entradas: Pintura amarilla: Marcas de verificación |  | |</v>
      </c>
      <c r="T83" s="5" t="str">
        <f t="shared" si="9"/>
        <v>| C□-DRIV-YELO-TICK | Driveways: yellow paint: tick marks  | Entradas: Pintura amarilla: Marcas de verificación |  | | |</v>
      </c>
      <c r="U83" s="5"/>
      <c r="V83" s="5" t="str">
        <f t="shared" si="8"/>
        <v>| C□-DRIV-YELO-TICK | Driveways: yellow paint: tick marks  | Entradas: Pintura amarilla: Marcas de verificación |  | | | | | | | | | |</v>
      </c>
    </row>
    <row r="84" spans="2:22" x14ac:dyDescent="0.55000000000000004">
      <c r="B84" s="4" t="s">
        <v>1163</v>
      </c>
      <c r="C84" s="4" t="s">
        <v>376</v>
      </c>
      <c r="D84" s="4" t="s">
        <v>1164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 t="str">
        <f t="shared" si="7"/>
        <v>| C□-DTCH | Ditches or washes |</v>
      </c>
      <c r="Q84" s="5" t="str">
        <f t="shared" si="10"/>
        <v>| C□-DTCH | Ditches or washes | Cuencas o zanjas |</v>
      </c>
      <c r="R84" s="5" t="str">
        <f t="shared" si="11"/>
        <v>| C□-DTCH | Ditches or washes | Cuencas o zanjas |  |</v>
      </c>
      <c r="S84" s="5" t="str">
        <f t="shared" si="12"/>
        <v>| C□-DTCH | Ditches or washes | Cuencas o zanjas |  | |</v>
      </c>
      <c r="T84" s="5" t="str">
        <f t="shared" si="9"/>
        <v>| C□-DTCH | Ditches or washes | Cuencas o zanjas |  | | |</v>
      </c>
      <c r="U84" s="5"/>
      <c r="V84" s="5" t="str">
        <f t="shared" si="8"/>
        <v>| C□-DTCH | Ditches or washes | Cuencas o zanjas |  | | | | | | | | | |</v>
      </c>
    </row>
    <row r="85" spans="2:22" x14ac:dyDescent="0.55000000000000004">
      <c r="B85" s="4" t="s">
        <v>1165</v>
      </c>
      <c r="C85" s="4" t="s">
        <v>1166</v>
      </c>
      <c r="D85" s="4" t="s">
        <v>1167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 t="str">
        <f t="shared" si="7"/>
        <v>| C□-DTCH-BOTM | Ditches or washes: bottom |</v>
      </c>
      <c r="Q85" s="5" t="str">
        <f t="shared" si="10"/>
        <v>| C□-DTCH-BOTM | Ditches or washes: bottom | Cuencas o zanjas: Parte inferior |</v>
      </c>
      <c r="R85" s="5" t="str">
        <f t="shared" si="11"/>
        <v>| C□-DTCH-BOTM | Ditches or washes: bottom | Cuencas o zanjas: Parte inferior |  |</v>
      </c>
      <c r="S85" s="5" t="str">
        <f t="shared" si="12"/>
        <v>| C□-DTCH-BOTM | Ditches or washes: bottom | Cuencas o zanjas: Parte inferior |  | |</v>
      </c>
      <c r="T85" s="5" t="str">
        <f t="shared" si="9"/>
        <v>| C□-DTCH-BOTM | Ditches or washes: bottom | Cuencas o zanjas: Parte inferior |  | | |</v>
      </c>
      <c r="U85" s="5"/>
      <c r="V85" s="5" t="str">
        <f t="shared" si="8"/>
        <v>| C□-DTCH-BOTM | Ditches or washes: bottom | Cuencas o zanjas: Parte inferior |  | | | | | | | | | |</v>
      </c>
    </row>
    <row r="86" spans="2:22" x14ac:dyDescent="0.55000000000000004">
      <c r="B86" s="4" t="s">
        <v>1168</v>
      </c>
      <c r="C86" s="4" t="s">
        <v>1169</v>
      </c>
      <c r="D86" s="4" t="s">
        <v>1170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 t="str">
        <f t="shared" si="7"/>
        <v>| C□-DTCH-CNTR | Ditches or washes: center |</v>
      </c>
      <c r="Q86" s="5" t="str">
        <f t="shared" si="10"/>
        <v>| C□-DTCH-CNTR | Ditches or washes: center | Cuencas o zanjas: Centro |</v>
      </c>
      <c r="R86" s="5" t="str">
        <f t="shared" si="11"/>
        <v>| C□-DTCH-CNTR | Ditches or washes: center | Cuencas o zanjas: Centro |  |</v>
      </c>
      <c r="S86" s="5" t="str">
        <f t="shared" si="12"/>
        <v>| C□-DTCH-CNTR | Ditches or washes: center | Cuencas o zanjas: Centro |  | |</v>
      </c>
      <c r="T86" s="5" t="str">
        <f t="shared" si="9"/>
        <v>| C□-DTCH-CNTR | Ditches or washes: center | Cuencas o zanjas: Centro |  | | |</v>
      </c>
      <c r="U86" s="5"/>
      <c r="V86" s="5" t="str">
        <f t="shared" si="8"/>
        <v>| C□-DTCH-CNTR | Ditches or washes: center | Cuencas o zanjas: Centro |  | | | | | | | | | |</v>
      </c>
    </row>
    <row r="87" spans="2:22" x14ac:dyDescent="0.55000000000000004">
      <c r="B87" s="4" t="s">
        <v>1171</v>
      </c>
      <c r="C87" s="4" t="s">
        <v>1172</v>
      </c>
      <c r="D87" s="4" t="s">
        <v>1173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7"/>
        <v>| C□-DTCH-EWAT | Ditches or washes: edge of water |</v>
      </c>
      <c r="Q87" s="5" t="str">
        <f t="shared" si="10"/>
        <v>| C□-DTCH-EWAT | Ditches or washes: edge of water | Cuencas o zanjas: Borde del agua |</v>
      </c>
      <c r="R87" s="5" t="str">
        <f t="shared" si="11"/>
        <v>| C□-DTCH-EWAT | Ditches or washes: edge of water | Cuencas o zanjas: Borde del agua |  |</v>
      </c>
      <c r="S87" s="5" t="str">
        <f t="shared" si="12"/>
        <v>| C□-DTCH-EWAT | Ditches or washes: edge of water | Cuencas o zanjas: Borde del agua |  | |</v>
      </c>
      <c r="T87" s="5" t="str">
        <f t="shared" si="9"/>
        <v>| C□-DTCH-EWAT | Ditches or washes: edge of water | Cuencas o zanjas: Borde del agua |  | | |</v>
      </c>
      <c r="U87" s="5"/>
      <c r="V87" s="5" t="str">
        <f t="shared" si="8"/>
        <v>| C□-DTCH-EWAT | Ditches or washes: edge of water | Cuencas o zanjas: Borde del agua |  | | | | | | | | | |</v>
      </c>
    </row>
    <row r="88" spans="2:22" x14ac:dyDescent="0.55000000000000004">
      <c r="B88" s="4" t="s">
        <v>1174</v>
      </c>
      <c r="C88" s="4" t="s">
        <v>1175</v>
      </c>
      <c r="D88" s="4" t="s">
        <v>1176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7"/>
        <v>| C□-DTCH-TOP~ | Ditches or washes: top |</v>
      </c>
      <c r="Q88" s="5" t="str">
        <f t="shared" si="10"/>
        <v>| C□-DTCH-TOP~ | Ditches or washes: top | Cuencas o zanjas: Parte superior |</v>
      </c>
      <c r="R88" s="5" t="str">
        <f t="shared" si="11"/>
        <v>| C□-DTCH-TOP~ | Ditches or washes: top | Cuencas o zanjas: Parte superior |  |</v>
      </c>
      <c r="S88" s="5" t="str">
        <f t="shared" si="12"/>
        <v>| C□-DTCH-TOP~ | Ditches or washes: top | Cuencas o zanjas: Parte superior |  | |</v>
      </c>
      <c r="T88" s="5" t="str">
        <f t="shared" si="9"/>
        <v>| C□-DTCH-TOP~ | Ditches or washes: top | Cuencas o zanjas: Parte superior |  | | |</v>
      </c>
      <c r="U88" s="5"/>
      <c r="V88" s="5" t="str">
        <f t="shared" si="8"/>
        <v>| C□-DTCH-TOP~ | Ditches or washes: top | Cuencas o zanjas: Parte superior |  | | | | | | | | | |</v>
      </c>
    </row>
    <row r="89" spans="2:22" x14ac:dyDescent="0.55000000000000004">
      <c r="B89" s="4" t="s">
        <v>1177</v>
      </c>
      <c r="C89" s="4" t="s">
        <v>402</v>
      </c>
      <c r="D89" s="4" t="s">
        <v>403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si="7"/>
        <v>| C□-EROS | Erosion and sediment control |</v>
      </c>
      <c r="Q89" s="5" t="str">
        <f t="shared" si="10"/>
        <v>| C□-EROS | Erosion and sediment control | Control de erosión y sedimentos |</v>
      </c>
      <c r="R89" s="5" t="str">
        <f t="shared" si="11"/>
        <v>| C□-EROS | Erosion and sediment control | Control de erosión y sedimentos |  |</v>
      </c>
      <c r="S89" s="5" t="str">
        <f t="shared" si="12"/>
        <v>| C□-EROS | Erosion and sediment control | Control de erosión y sedimentos |  | |</v>
      </c>
      <c r="T89" s="5" t="str">
        <f t="shared" si="9"/>
        <v>| C□-EROS | Erosion and sediment control | Control de erosión y sedimentos |  | | |</v>
      </c>
      <c r="U89" s="5"/>
      <c r="V89" s="5" t="str">
        <f t="shared" si="8"/>
        <v>| C□-EROS | Erosion and sediment control | Control de erosión y sedimentos |  | | | | | | | | | |</v>
      </c>
    </row>
    <row r="90" spans="2:22" x14ac:dyDescent="0.55000000000000004">
      <c r="B90" s="4" t="s">
        <v>1178</v>
      </c>
      <c r="C90" s="4" t="s">
        <v>1179</v>
      </c>
      <c r="D90" s="4" t="s">
        <v>1180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7"/>
        <v>| C□-EROS-CIPR | Erosion and sediment control: culvert inlet protection  |</v>
      </c>
      <c r="Q90" s="5" t="str">
        <f t="shared" si="10"/>
        <v>| C□-EROS-CIPR | Erosion and sediment control: culvert inlet protection  | Control de erosión y sedimentos: Protección de la entrada de la alcantarilla |</v>
      </c>
      <c r="R90" s="5" t="str">
        <f t="shared" si="11"/>
        <v>| C□-EROS-CIPR | Erosion and sediment control: culvert inlet protection  | Control de erosión y sedimentos: Protección de la entrada de la alcantarilla |  |</v>
      </c>
      <c r="S90" s="5" t="str">
        <f t="shared" si="12"/>
        <v>| C□-EROS-CIPR | Erosion and sediment control: culvert inlet protection  | Control de erosión y sedimentos: Protección de la entrada de la alcantarilla |  | |</v>
      </c>
      <c r="T90" s="5" t="str">
        <f t="shared" si="9"/>
        <v>| C□-EROS-CIPR | Erosion and sediment control: culvert inlet protection  | Control de erosión y sedimentos: Protección de la entrada de la alcantarilla |  | | |</v>
      </c>
      <c r="U90" s="5"/>
      <c r="V90" s="5" t="str">
        <f t="shared" si="8"/>
        <v>| C□-EROS-CIPR | Erosion and sediment control: culvert inlet protection  | Control de erosión y sedimentos: Protección de la entrada de la alcantarilla |  | | | | | | | | | |</v>
      </c>
    </row>
    <row r="91" spans="2:22" x14ac:dyDescent="0.55000000000000004">
      <c r="B91" s="4" t="s">
        <v>1181</v>
      </c>
      <c r="C91" s="4" t="s">
        <v>1182</v>
      </c>
      <c r="D91" s="4" t="s">
        <v>1183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7"/>
        <v>| C□-EROS-CNTE | Erosion and sediment control: construction entrance |</v>
      </c>
      <c r="Q91" s="5" t="str">
        <f t="shared" si="10"/>
        <v>| C□-EROS-CNTE | Erosion and sediment control: construction entrance | Control de erosión y sedimentos: Entrada de la construcción |</v>
      </c>
      <c r="R91" s="5" t="str">
        <f t="shared" si="11"/>
        <v>| C□-EROS-CNTE | Erosion and sediment control: construction entrance | Control de erosión y sedimentos: Entrada de la construcción |  |</v>
      </c>
      <c r="S91" s="5" t="str">
        <f t="shared" si="12"/>
        <v>| C□-EROS-CNTE | Erosion and sediment control: construction entrance | Control de erosión y sedimentos: Entrada de la construcción |  | |</v>
      </c>
      <c r="T91" s="5" t="str">
        <f t="shared" si="9"/>
        <v>| C□-EROS-CNTE | Erosion and sediment control: construction entrance | Control de erosión y sedimentos: Entrada de la construcción |  | | |</v>
      </c>
      <c r="U91" s="5"/>
      <c r="V91" s="5" t="str">
        <f t="shared" si="8"/>
        <v>| C□-EROS-CNTE | Erosion and sediment control: construction entrance | Control de erosión y sedimentos: Entrada de la construcción |  | | | | | | | | | |</v>
      </c>
    </row>
    <row r="92" spans="2:22" x14ac:dyDescent="0.55000000000000004">
      <c r="B92" s="4" t="s">
        <v>1184</v>
      </c>
      <c r="C92" s="4" t="s">
        <v>1185</v>
      </c>
      <c r="D92" s="4" t="s">
        <v>1186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7"/>
        <v>|  C□-EROS-DDIV | Erosion and sediment control: drainage divides |</v>
      </c>
      <c r="Q92" s="5" t="str">
        <f t="shared" si="10"/>
        <v>|  C□-EROS-DDIV | Erosion and sediment control: drainage divides | Control de erosión y sedimentos: Divisorias de drenaje |</v>
      </c>
      <c r="R92" s="5" t="str">
        <f t="shared" si="11"/>
        <v>|  C□-EROS-DDIV | Erosion and sediment control: drainage divides | Control de erosión y sedimentos: Divisorias de drenaje |  |</v>
      </c>
      <c r="S92" s="5" t="str">
        <f t="shared" si="12"/>
        <v>|  C□-EROS-DDIV | Erosion and sediment control: drainage divides | Control de erosión y sedimentos: Divisorias de drenaje |  | |</v>
      </c>
      <c r="T92" s="5" t="str">
        <f t="shared" si="9"/>
        <v>|  C□-EROS-DDIV | Erosion and sediment control: drainage divides | Control de erosión y sedimentos: Divisorias de drenaje |  | | |</v>
      </c>
      <c r="U92" s="5"/>
      <c r="V92" s="5" t="str">
        <f t="shared" si="8"/>
        <v>|  C□-EROS-DDIV | Erosion and sediment control: drainage divides | Control de erosión y sedimentos: Divisorias de drenaje |  | | | | | | | | | |</v>
      </c>
    </row>
    <row r="93" spans="2:22" x14ac:dyDescent="0.55000000000000004">
      <c r="B93" s="4" t="s">
        <v>1187</v>
      </c>
      <c r="C93" s="4" t="s">
        <v>1188</v>
      </c>
      <c r="D93" s="4" t="s">
        <v>1189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7"/>
        <v>| C□-EROS-DVDK | Erosion and sediment control: diversion dike  |</v>
      </c>
      <c r="Q93" s="5" t="str">
        <f t="shared" si="10"/>
        <v>| C□-EROS-DVDK | Erosion and sediment control: diversion dike  | Control de erosión y sedimentos: Dique de derivación |</v>
      </c>
      <c r="R93" s="5" t="str">
        <f t="shared" si="11"/>
        <v>| C□-EROS-DVDK | Erosion and sediment control: diversion dike  | Control de erosión y sedimentos: Dique de derivación |  |</v>
      </c>
      <c r="S93" s="5" t="str">
        <f t="shared" si="12"/>
        <v>| C□-EROS-DVDK | Erosion and sediment control: diversion dike  | Control de erosión y sedimentos: Dique de derivación |  | |</v>
      </c>
      <c r="T93" s="5" t="str">
        <f t="shared" si="9"/>
        <v>| C□-EROS-DVDK | Erosion and sediment control: diversion dike  | Control de erosión y sedimentos: Dique de derivación |  | | |</v>
      </c>
      <c r="U93" s="5"/>
      <c r="V93" s="5" t="str">
        <f t="shared" si="8"/>
        <v>| C□-EROS-DVDK | Erosion and sediment control: diversion dike  | Control de erosión y sedimentos: Dique de derivación |  | | | | | | | | | |</v>
      </c>
    </row>
    <row r="94" spans="2:22" x14ac:dyDescent="0.55000000000000004">
      <c r="B94" s="4" t="s">
        <v>1190</v>
      </c>
      <c r="C94" s="4" t="s">
        <v>1191</v>
      </c>
      <c r="D94" s="4" t="s">
        <v>1192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7"/>
        <v>| C□-EROS-INPR | Erosion and sediment control: inlet protection |</v>
      </c>
      <c r="Q94" s="5" t="str">
        <f t="shared" si="10"/>
        <v>| C□-EROS-INPR | Erosion and sediment control: inlet protection | Control de erosión y sedimentos: Protección de la entrada |</v>
      </c>
      <c r="R94" s="5" t="str">
        <f t="shared" si="11"/>
        <v>| C□-EROS-INPR | Erosion and sediment control: inlet protection | Control de erosión y sedimentos: Protección de la entrada |  |</v>
      </c>
      <c r="S94" s="5" t="str">
        <f t="shared" si="12"/>
        <v>| C□-EROS-INPR | Erosion and sediment control: inlet protection | Control de erosión y sedimentos: Protección de la entrada |  | |</v>
      </c>
      <c r="T94" s="5" t="str">
        <f t="shared" si="9"/>
        <v>| C□-EROS-INPR | Erosion and sediment control: inlet protection | Control de erosión y sedimentos: Protección de la entrada |  | | |</v>
      </c>
      <c r="U94" s="5"/>
      <c r="V94" s="5" t="str">
        <f t="shared" si="8"/>
        <v>| C□-EROS-INPR | Erosion and sediment control: inlet protection | Control de erosión y sedimentos: Protección de la entrada |  | | | | | | | | | |</v>
      </c>
    </row>
    <row r="95" spans="2:22" x14ac:dyDescent="0.55000000000000004">
      <c r="B95" s="4" t="s">
        <v>1193</v>
      </c>
      <c r="C95" s="4" t="s">
        <v>1194</v>
      </c>
      <c r="D95" s="4" t="s">
        <v>1195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7"/>
        <v>| C□-EROS-SILT | Erosion and sediment control: silt fence |</v>
      </c>
      <c r="Q95" s="5" t="str">
        <f t="shared" si="10"/>
        <v>| C□-EROS-SILT | Erosion and sediment control: silt fence | Control de erosión y sedimentos: Barrera de sedimentos |</v>
      </c>
      <c r="R95" s="5" t="str">
        <f t="shared" si="11"/>
        <v>| C□-EROS-SILT | Erosion and sediment control: silt fence | Control de erosión y sedimentos: Barrera de sedimentos |  |</v>
      </c>
      <c r="S95" s="5" t="str">
        <f t="shared" si="12"/>
        <v>| C□-EROS-SILT | Erosion and sediment control: silt fence | Control de erosión y sedimentos: Barrera de sedimentos |  | |</v>
      </c>
      <c r="T95" s="5" t="str">
        <f t="shared" si="9"/>
        <v>| C□-EROS-SILT | Erosion and sediment control: silt fence | Control de erosión y sedimentos: Barrera de sedimentos |  | | |</v>
      </c>
      <c r="U95" s="5"/>
      <c r="V95" s="5" t="str">
        <f t="shared" si="8"/>
        <v>| C□-EROS-SILT | Erosion and sediment control: silt fence | Control de erosión y sedimentos: Barrera de sedimentos |  | | | | | | | | | |</v>
      </c>
    </row>
    <row r="96" spans="2:22" x14ac:dyDescent="0.55000000000000004">
      <c r="B96" s="4" t="s">
        <v>1196</v>
      </c>
      <c r="C96" s="4" t="s">
        <v>1197</v>
      </c>
      <c r="D96" s="4" t="s">
        <v>1198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7"/>
        <v>| C□-EROS-SSLT | Erosion and sediment control: super silt fence |</v>
      </c>
      <c r="Q96" s="5" t="str">
        <f t="shared" si="10"/>
        <v>| C□-EROS-SSLT | Erosion and sediment control: super silt fence | Control de erosión y sedimentos: Superlimo Cerca |</v>
      </c>
      <c r="R96" s="5" t="str">
        <f t="shared" si="11"/>
        <v>| C□-EROS-SSLT | Erosion and sediment control: super silt fence | Control de erosión y sedimentos: Superlimo Cerca |  |</v>
      </c>
      <c r="S96" s="5" t="str">
        <f t="shared" si="12"/>
        <v>| C□-EROS-SSLT | Erosion and sediment control: super silt fence | Control de erosión y sedimentos: Superlimo Cerca |  | |</v>
      </c>
      <c r="T96" s="5" t="str">
        <f t="shared" si="9"/>
        <v>| C□-EROS-SSLT | Erosion and sediment control: super silt fence | Control de erosión y sedimentos: Superlimo Cerca |  | | |</v>
      </c>
      <c r="U96" s="5"/>
      <c r="V96" s="5" t="str">
        <f t="shared" si="8"/>
        <v>| C□-EROS-SSLT | Erosion and sediment control: super silt fence | Control de erosión y sedimentos: Superlimo Cerca |  | | | | | | | | | |</v>
      </c>
    </row>
    <row r="97" spans="2:22" x14ac:dyDescent="0.55000000000000004">
      <c r="B97" s="4" t="s">
        <v>1199</v>
      </c>
      <c r="C97" s="4" t="s">
        <v>405</v>
      </c>
      <c r="D97" s="4" t="s">
        <v>406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7"/>
        <v>| C□-ESMT | Easements |</v>
      </c>
      <c r="Q97" s="5" t="str">
        <f t="shared" si="10"/>
        <v>| C□-ESMT | Easements | Servidumbres |</v>
      </c>
      <c r="R97" s="5" t="str">
        <f t="shared" si="11"/>
        <v>| C□-ESMT | Easements | Servidumbres |  |</v>
      </c>
      <c r="S97" s="5" t="str">
        <f t="shared" si="12"/>
        <v>| C□-ESMT | Easements | Servidumbres |  | |</v>
      </c>
      <c r="T97" s="5" t="str">
        <f t="shared" si="9"/>
        <v>| C□-ESMT | Easements | Servidumbres |  | | |</v>
      </c>
      <c r="U97" s="5"/>
      <c r="V97" s="5" t="str">
        <f t="shared" si="8"/>
        <v>| C□-ESMT | Easements | Servidumbres |  | | | | | | | | | |</v>
      </c>
    </row>
    <row r="98" spans="2:22" x14ac:dyDescent="0.55000000000000004">
      <c r="B98" s="4" t="s">
        <v>1200</v>
      </c>
      <c r="C98" s="4" t="s">
        <v>1201</v>
      </c>
      <c r="D98" s="4" t="s">
        <v>1202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7"/>
        <v>| C□-ESMT-ACCS | Easements: access (pedestrian only; private access)  |</v>
      </c>
      <c r="Q98" s="5" t="str">
        <f t="shared" si="10"/>
        <v>| C□-ESMT-ACCS | Easements: access (pedestrian only; private access)  | Servidumbres: acceso (solo para peatones; acceso privado) |</v>
      </c>
      <c r="R98" s="5" t="str">
        <f t="shared" si="11"/>
        <v>| C□-ESMT-ACCS | Easements: access (pedestrian only; private access)  | Servidumbres: acceso (solo para peatones; acceso privado) |  |</v>
      </c>
      <c r="S98" s="5" t="str">
        <f t="shared" si="12"/>
        <v>| C□-ESMT-ACCS | Easements: access (pedestrian only; private access)  | Servidumbres: acceso (solo para peatones; acceso privado) |  | |</v>
      </c>
      <c r="T98" s="5" t="str">
        <f t="shared" si="9"/>
        <v>| C□-ESMT-ACCS | Easements: access (pedestrian only; private access)  | Servidumbres: acceso (solo para peatones; acceso privado) |  | | |</v>
      </c>
      <c r="U98" s="5"/>
      <c r="V98" s="5" t="str">
        <f t="shared" si="8"/>
        <v>| C□-ESMT-ACCS | Easements: access (pedestrian only; private access)  | Servidumbres: acceso (solo para peatones; acceso privado) |  | | | | | | | | | |</v>
      </c>
    </row>
    <row r="99" spans="2:22" x14ac:dyDescent="0.55000000000000004">
      <c r="B99" s="4" t="s">
        <v>1203</v>
      </c>
      <c r="C99" s="4" t="s">
        <v>1204</v>
      </c>
      <c r="D99" s="4" t="s">
        <v>1205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7"/>
        <v>| C□-ESMT-CATV | Easements: utility - cable television system |</v>
      </c>
      <c r="Q99" s="5" t="str">
        <f t="shared" si="10"/>
        <v>| C□-ESMT-CATV | Easements: utility - cable television system | Servidumbres: servicios públicos - sistema de televisión por cable |</v>
      </c>
      <c r="R99" s="5" t="str">
        <f t="shared" si="11"/>
        <v>| C□-ESMT-CATV | Easements: utility - cable television system | Servidumbres: servicios públicos - sistema de televisión por cable |  |</v>
      </c>
      <c r="S99" s="5" t="str">
        <f t="shared" si="12"/>
        <v>| C□-ESMT-CATV | Easements: utility - cable television system | Servidumbres: servicios públicos - sistema de televisión por cable |  | |</v>
      </c>
      <c r="T99" s="5" t="str">
        <f t="shared" si="9"/>
        <v>| C□-ESMT-CATV | Easements: utility - cable television system | Servidumbres: servicios públicos - sistema de televisión por cable |  | | |</v>
      </c>
      <c r="U99" s="5"/>
      <c r="V99" s="5" t="str">
        <f t="shared" si="8"/>
        <v>| C□-ESMT-CATV | Easements: utility - cable television system | Servidumbres: servicios públicos - sistema de televisión por cable |  | | | | | | | | | |</v>
      </c>
    </row>
    <row r="100" spans="2:22" x14ac:dyDescent="0.55000000000000004">
      <c r="B100" s="4" t="s">
        <v>1206</v>
      </c>
      <c r="C100" s="4" t="s">
        <v>1207</v>
      </c>
      <c r="D100" s="4" t="s">
        <v>1208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7"/>
        <v>| C□-ESMT-CONS | Easements: conservation |</v>
      </c>
      <c r="Q100" s="5" t="str">
        <f t="shared" si="10"/>
        <v>| C□-ESMT-CONS | Easements: conservation | Servidumbres: conservación |</v>
      </c>
      <c r="R100" s="5" t="str">
        <f t="shared" si="11"/>
        <v>| C□-ESMT-CONS | Easements: conservation | Servidumbres: conservación |  |</v>
      </c>
      <c r="S100" s="5" t="str">
        <f t="shared" si="12"/>
        <v>| C□-ESMT-CONS | Easements: conservation | Servidumbres: conservación |  | |</v>
      </c>
      <c r="T100" s="5" t="str">
        <f t="shared" si="9"/>
        <v>| C□-ESMT-CONS | Easements: conservation | Servidumbres: conservación |  | | |</v>
      </c>
      <c r="U100" s="5"/>
      <c r="V100" s="5" t="str">
        <f t="shared" si="8"/>
        <v>| C□-ESMT-CONS | Easements: conservation | Servidumbres: conservación |  | | | | | | | | | |</v>
      </c>
    </row>
    <row r="101" spans="2:22" x14ac:dyDescent="0.55000000000000004">
      <c r="B101" s="4" t="s">
        <v>1209</v>
      </c>
      <c r="C101" s="4" t="s">
        <v>1210</v>
      </c>
      <c r="D101" s="4" t="s">
        <v>1211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7"/>
        <v>| C□-ESMT-CSTG | Easements: construction/grading |</v>
      </c>
      <c r="Q101" s="5" t="str">
        <f t="shared" si="10"/>
        <v>| C□-ESMT-CSTG | Easements: construction/grading | Servidumbres: construcción/nivelación |</v>
      </c>
      <c r="R101" s="5" t="str">
        <f t="shared" si="11"/>
        <v>| C□-ESMT-CSTG | Easements: construction/grading | Servidumbres: construcción/nivelación |  |</v>
      </c>
      <c r="S101" s="5" t="str">
        <f t="shared" si="12"/>
        <v>| C□-ESMT-CSTG | Easements: construction/grading | Servidumbres: construcción/nivelación |  | |</v>
      </c>
      <c r="T101" s="5" t="str">
        <f t="shared" si="9"/>
        <v>| C□-ESMT-CSTG | Easements: construction/grading | Servidumbres: construcción/nivelación |  | | |</v>
      </c>
      <c r="U101" s="5"/>
      <c r="V101" s="5" t="str">
        <f t="shared" si="8"/>
        <v>| C□-ESMT-CSTG | Easements: construction/grading | Servidumbres: construcción/nivelación |  | | | | | | | | | |</v>
      </c>
    </row>
    <row r="102" spans="2:22" x14ac:dyDescent="0.55000000000000004">
      <c r="B102" s="4" t="s">
        <v>1212</v>
      </c>
      <c r="C102" s="4" t="s">
        <v>1213</v>
      </c>
      <c r="D102" s="4" t="s">
        <v>1214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7"/>
        <v>| C□-ESMT-ELEC | Easements: electrical |</v>
      </c>
      <c r="Q102" s="5" t="str">
        <f t="shared" si="10"/>
        <v>| C□-ESMT-ELEC | Easements: electrical | Servidumbres: electricidad |</v>
      </c>
      <c r="R102" s="5" t="str">
        <f t="shared" si="11"/>
        <v>| C□-ESMT-ELEC | Easements: electrical | Servidumbres: electricidad |  |</v>
      </c>
      <c r="S102" s="5" t="str">
        <f t="shared" si="12"/>
        <v>| C□-ESMT-ELEC | Easements: electrical | Servidumbres: electricidad |  | |</v>
      </c>
      <c r="T102" s="5" t="str">
        <f t="shared" si="9"/>
        <v>| C□-ESMT-ELEC | Easements: electrical | Servidumbres: electricidad |  | | |</v>
      </c>
      <c r="U102" s="5"/>
      <c r="V102" s="5" t="str">
        <f t="shared" si="8"/>
        <v>| C□-ESMT-ELEC | Easements: electrical | Servidumbres: electricidad |  | | | | | | | | | |</v>
      </c>
    </row>
    <row r="103" spans="2:22" x14ac:dyDescent="0.55000000000000004">
      <c r="B103" s="4" t="s">
        <v>1215</v>
      </c>
      <c r="C103" s="4" t="s">
        <v>1216</v>
      </c>
      <c r="D103" s="4" t="s">
        <v>1217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7"/>
        <v>| C□-ESMT-FDPL | Easements: flood plain |</v>
      </c>
      <c r="Q103" s="5" t="str">
        <f t="shared" si="10"/>
        <v>| C□-ESMT-FDPL | Easements: flood plain | Servidumbres: llanura aluvial |</v>
      </c>
      <c r="R103" s="5" t="str">
        <f t="shared" si="11"/>
        <v>| C□-ESMT-FDPL | Easements: flood plain | Servidumbres: llanura aluvial |  |</v>
      </c>
      <c r="S103" s="5" t="str">
        <f t="shared" si="12"/>
        <v>| C□-ESMT-FDPL | Easements: flood plain | Servidumbres: llanura aluvial |  | |</v>
      </c>
      <c r="T103" s="5" t="str">
        <f t="shared" si="9"/>
        <v>| C□-ESMT-FDPL | Easements: flood plain | Servidumbres: llanura aluvial |  | | |</v>
      </c>
      <c r="U103" s="5"/>
      <c r="V103" s="5" t="str">
        <f t="shared" si="8"/>
        <v>| C□-ESMT-FDPL | Easements: flood plain | Servidumbres: llanura aluvial |  | | | | | | | | | |</v>
      </c>
    </row>
    <row r="104" spans="2:22" x14ac:dyDescent="0.55000000000000004">
      <c r="B104" s="1" t="s">
        <v>1218</v>
      </c>
      <c r="C104" s="1" t="s">
        <v>1219</v>
      </c>
      <c r="D104" s="1" t="s">
        <v>1220</v>
      </c>
      <c r="Q104" s="5" t="str">
        <f t="shared" si="10"/>
        <v>| C□-ESMT-INEG | Easements: ingress/egress (vehicles; private access)  | Servidumbres: entrada/salida (vehículos; acceso privado) |</v>
      </c>
    </row>
    <row r="105" spans="2:22" x14ac:dyDescent="0.55000000000000004">
      <c r="B105" s="1" t="s">
        <v>1221</v>
      </c>
      <c r="C105" s="1" t="s">
        <v>1222</v>
      </c>
      <c r="D105" s="1" t="s">
        <v>1223</v>
      </c>
      <c r="Q105" s="5" t="str">
        <f t="shared" si="10"/>
        <v>| C□-ESMT-LSCP | Easements: landscape | Servidumbres: paisajismo |</v>
      </c>
    </row>
    <row r="106" spans="2:22" x14ac:dyDescent="0.55000000000000004">
      <c r="B106" s="1" t="s">
        <v>1224</v>
      </c>
      <c r="C106" s="1" t="s">
        <v>1225</v>
      </c>
      <c r="D106" s="1" t="s">
        <v>1226</v>
      </c>
      <c r="Q106" s="5" t="str">
        <f t="shared" si="10"/>
        <v>| C□-ESMT-NGAS | Easements: natural gas line | Servidumbres: línea de gas natural |</v>
      </c>
    </row>
    <row r="107" spans="2:22" x14ac:dyDescent="0.55000000000000004">
      <c r="B107" s="1" t="s">
        <v>1227</v>
      </c>
      <c r="C107" s="1" t="s">
        <v>1228</v>
      </c>
      <c r="D107" s="1" t="s">
        <v>1229</v>
      </c>
      <c r="Q107" s="5" t="str">
        <f t="shared" si="10"/>
        <v>| C□-ESMT-PHON | Easements: telephone line | Servidumbres: línea telefónica |</v>
      </c>
    </row>
    <row r="108" spans="2:22" x14ac:dyDescent="0.55000000000000004">
      <c r="B108" s="1" t="s">
        <v>1230</v>
      </c>
      <c r="C108" s="1" t="s">
        <v>1231</v>
      </c>
      <c r="D108" s="1" t="s">
        <v>1232</v>
      </c>
      <c r="Q108" s="5" t="str">
        <f t="shared" si="10"/>
        <v>| C□-ESMT-ROAD | Easements: roadway | Servidumbres: carretera |</v>
      </c>
    </row>
    <row r="109" spans="2:22" x14ac:dyDescent="0.55000000000000004">
      <c r="B109" s="1" t="s">
        <v>1233</v>
      </c>
      <c r="C109" s="1" t="s">
        <v>1234</v>
      </c>
      <c r="D109" s="1" t="s">
        <v>1235</v>
      </c>
      <c r="Q109" s="5" t="str">
        <f t="shared" si="10"/>
        <v>| C□-ESMT-ROAD-PERM | Easements: roadway: permanent | Servidumbres: carretera: permanente |</v>
      </c>
    </row>
    <row r="110" spans="2:22" x14ac:dyDescent="0.55000000000000004">
      <c r="B110" s="1" t="s">
        <v>1236</v>
      </c>
      <c r="C110" s="1" t="s">
        <v>1237</v>
      </c>
      <c r="D110" s="1" t="s">
        <v>1238</v>
      </c>
      <c r="Q110" s="5" t="str">
        <f t="shared" si="10"/>
        <v>| C□-ESMT-ROAD-TEMP | Easements: roadway: temporary | Servidumbres: carretera: temporal |</v>
      </c>
    </row>
    <row r="111" spans="2:22" x14ac:dyDescent="0.55000000000000004">
      <c r="B111" s="1" t="s">
        <v>1239</v>
      </c>
      <c r="C111" s="1" t="s">
        <v>1240</v>
      </c>
      <c r="D111" s="1" t="s">
        <v>1241</v>
      </c>
      <c r="Q111" s="5" t="str">
        <f t="shared" si="10"/>
        <v>| C□-ESMT-RWAY | Easements: right-of-way (public access) | Servidumbres: derecho de paso (acceso público) |</v>
      </c>
    </row>
    <row r="112" spans="2:22" x14ac:dyDescent="0.55000000000000004">
      <c r="B112" s="1" t="s">
        <v>1242</v>
      </c>
      <c r="C112" s="1" t="s">
        <v>1243</v>
      </c>
      <c r="D112" s="1" t="s">
        <v>1244</v>
      </c>
      <c r="Q112" s="5" t="str">
        <f t="shared" si="10"/>
        <v>| C□-ESMT-SGHT | Easements: sight distance | Servidumbres: distancia de visibilidad |</v>
      </c>
    </row>
    <row r="113" spans="2:17" x14ac:dyDescent="0.55000000000000004">
      <c r="B113" s="1" t="s">
        <v>1245</v>
      </c>
      <c r="C113" s="1" t="s">
        <v>1246</v>
      </c>
      <c r="D113" s="1" t="s">
        <v>1247</v>
      </c>
      <c r="Q113" s="5" t="str">
        <f t="shared" si="10"/>
        <v>| C□-ESMT-SSWR | Easements: sanitary sewer | Servidumbres: alcantarillado sanitario |</v>
      </c>
    </row>
    <row r="114" spans="2:17" x14ac:dyDescent="0.55000000000000004">
      <c r="B114" s="1" t="s">
        <v>1248</v>
      </c>
      <c r="C114" s="1" t="s">
        <v>1249</v>
      </c>
      <c r="D114" s="1" t="s">
        <v>1250</v>
      </c>
      <c r="Q114" s="5" t="str">
        <f t="shared" si="10"/>
        <v>| C□-ESMT-STRM | Easements: storm sewer | Servidumbres: alcantarillado pluvial |</v>
      </c>
    </row>
    <row r="115" spans="2:17" x14ac:dyDescent="0.55000000000000004">
      <c r="B115" s="1" t="s">
        <v>1251</v>
      </c>
      <c r="C115" s="1" t="s">
        <v>1252</v>
      </c>
      <c r="D115" s="1" t="s">
        <v>1253</v>
      </c>
      <c r="Q115" s="5" t="str">
        <f t="shared" si="10"/>
        <v>| C□-ESMT-SWMT | Easements: storm water management | Servidumbres: gestión de aguas pluviales |</v>
      </c>
    </row>
    <row r="116" spans="2:17" x14ac:dyDescent="0.55000000000000004">
      <c r="B116" s="1" t="s">
        <v>1254</v>
      </c>
      <c r="C116" s="1" t="s">
        <v>1255</v>
      </c>
      <c r="D116" s="1" t="s">
        <v>1256</v>
      </c>
      <c r="Q116" s="5" t="str">
        <f t="shared" si="10"/>
        <v>| C□-ESMT-TRAL | Easements: trail or path (public access) | Servidumbres: sendero o camino (acceso público) |</v>
      </c>
    </row>
    <row r="117" spans="2:17" x14ac:dyDescent="0.55000000000000004">
      <c r="B117" s="1" t="s">
        <v>1257</v>
      </c>
      <c r="C117" s="1" t="s">
        <v>1258</v>
      </c>
      <c r="D117" s="1" t="s">
        <v>1259</v>
      </c>
      <c r="Q117" s="5" t="str">
        <f t="shared" si="10"/>
        <v>| C□-ESMT-UTIL | Easements: utility lines | Servidumbres: líneas de servicios públicos |</v>
      </c>
    </row>
    <row r="118" spans="2:17" x14ac:dyDescent="0.55000000000000004">
      <c r="B118" s="1" t="s">
        <v>1260</v>
      </c>
      <c r="C118" s="1" t="s">
        <v>1261</v>
      </c>
      <c r="D118" s="1" t="s">
        <v>1262</v>
      </c>
      <c r="Q118" s="5" t="str">
        <f t="shared" si="10"/>
        <v>| C□-ESMT-WATR | Easements: water supply | Servidumbres: suministro de agua |</v>
      </c>
    </row>
    <row r="119" spans="2:17" x14ac:dyDescent="0.55000000000000004">
      <c r="B119" s="1" t="s">
        <v>1263</v>
      </c>
      <c r="C119" s="1" t="s">
        <v>414</v>
      </c>
      <c r="D119" s="1" t="s">
        <v>415</v>
      </c>
      <c r="Q119" s="5" t="str">
        <f t="shared" si="10"/>
        <v>| C□-FENC | Fences | Cercas |</v>
      </c>
    </row>
    <row r="120" spans="2:17" x14ac:dyDescent="0.55000000000000004">
      <c r="B120" s="1" t="s">
        <v>1264</v>
      </c>
      <c r="C120" s="1" t="s">
        <v>1265</v>
      </c>
      <c r="D120" s="1" t="s">
        <v>1266</v>
      </c>
      <c r="Q120" s="5" t="str">
        <f t="shared" si="10"/>
        <v>| C□-FENC-GRAL | Fences: guard rail | Cercas: barandilla |</v>
      </c>
    </row>
    <row r="121" spans="2:17" x14ac:dyDescent="0.55000000000000004">
      <c r="B121" s="1" t="s">
        <v>1267</v>
      </c>
      <c r="C121" s="1" t="s">
        <v>1268</v>
      </c>
      <c r="D121" s="1" t="s">
        <v>1269</v>
      </c>
      <c r="Q121" s="5" t="str">
        <f t="shared" si="10"/>
        <v>| C□-FENC-POST | Fences: posts | Cercas: postes |</v>
      </c>
    </row>
    <row r="122" spans="2:17" x14ac:dyDescent="0.55000000000000004">
      <c r="B122" s="1" t="s">
        <v>1270</v>
      </c>
      <c r="C122" s="1" t="s">
        <v>1271</v>
      </c>
      <c r="D122" s="1" t="s">
        <v>1272</v>
      </c>
      <c r="Q122" s="5" t="str">
        <f t="shared" si="10"/>
        <v>| C -FENC-STEL | Fences: steel (barbed wire and/or chain link) | Cercas: acero (alambre de púas y/o malla metálica) |</v>
      </c>
    </row>
    <row r="123" spans="2:17" x14ac:dyDescent="0.55000000000000004">
      <c r="B123" s="1" t="s">
        <v>1273</v>
      </c>
      <c r="C123" s="1" t="s">
        <v>1274</v>
      </c>
      <c r="D123" s="1" t="s">
        <v>1275</v>
      </c>
      <c r="Q123" s="5" t="str">
        <f t="shared" si="10"/>
        <v>| C□-FENC-WOOD | Fences: wood | Cercas: madera |</v>
      </c>
    </row>
    <row r="124" spans="2:17" x14ac:dyDescent="0.55000000000000004">
      <c r="B124" s="1" t="s">
        <v>1276</v>
      </c>
      <c r="C124" s="1" t="s">
        <v>417</v>
      </c>
      <c r="D124" s="1" t="s">
        <v>59</v>
      </c>
      <c r="Q124" s="5" t="str">
        <f t="shared" si="10"/>
        <v>| C□-FIRE | Fire protection | Protección contra incendios |</v>
      </c>
    </row>
    <row r="125" spans="2:17" x14ac:dyDescent="0.55000000000000004">
      <c r="B125" s="1" t="s">
        <v>1277</v>
      </c>
      <c r="C125" s="1" t="s">
        <v>1278</v>
      </c>
      <c r="D125" s="1" t="s">
        <v>1279</v>
      </c>
      <c r="Q125" s="5" t="str">
        <f t="shared" si="10"/>
        <v>| C□-FIRE-HYDT | Fire protection: hydrants and connections | Protección contra incendios: Hidrantes y conexiones |</v>
      </c>
    </row>
    <row r="126" spans="2:17" x14ac:dyDescent="0.55000000000000004">
      <c r="B126" s="1" t="s">
        <v>1280</v>
      </c>
      <c r="C126" s="1" t="s">
        <v>1281</v>
      </c>
      <c r="D126" s="1" t="s">
        <v>1282</v>
      </c>
      <c r="Q126" s="5" t="str">
        <f t="shared" si="10"/>
        <v>| C□-FIRE-PIPE | Fire protection: piping | Protección contra incendios: tuberías |</v>
      </c>
    </row>
    <row r="127" spans="2:17" x14ac:dyDescent="0.55000000000000004">
      <c r="B127" s="1" t="s">
        <v>1283</v>
      </c>
      <c r="C127" s="1" t="s">
        <v>1284</v>
      </c>
      <c r="D127" s="1" t="s">
        <v>1285</v>
      </c>
      <c r="Q127" s="5" t="str">
        <f t="shared" si="10"/>
        <v>| C□-FIRE-UGND | Fire protection: underground | Protección contra incendios: subterránea |</v>
      </c>
    </row>
    <row r="128" spans="2:17" x14ac:dyDescent="0.55000000000000004">
      <c r="B128" s="1" t="s">
        <v>1286</v>
      </c>
      <c r="C128" s="1" t="s">
        <v>419</v>
      </c>
      <c r="D128" s="1" t="s">
        <v>1287</v>
      </c>
      <c r="Q128" s="5" t="str">
        <f t="shared" si="10"/>
        <v>| C□-FLHA | Flood hazard area | Zona de riesgo de inundación |</v>
      </c>
    </row>
    <row r="129" spans="2:17" x14ac:dyDescent="0.55000000000000004">
      <c r="B129" s="1" t="s">
        <v>1288</v>
      </c>
      <c r="C129" s="1" t="s">
        <v>1289</v>
      </c>
      <c r="D129" s="1" t="s">
        <v>1290</v>
      </c>
      <c r="Q129" s="5" t="str">
        <f t="shared" si="10"/>
        <v>| C□-FLHA-025Y | Flood hazard area: 25 year mark | Zona de riesgo de inundación: 25 años |</v>
      </c>
    </row>
    <row r="130" spans="2:17" x14ac:dyDescent="0.55000000000000004">
      <c r="B130" s="1" t="s">
        <v>1291</v>
      </c>
      <c r="C130" s="1" t="s">
        <v>1292</v>
      </c>
      <c r="D130" s="1" t="s">
        <v>1293</v>
      </c>
      <c r="Q130" s="5" t="str">
        <f t="shared" si="10"/>
        <v>| C□-FLHA-050Y | Flood hazard area: 50 year mark | Zona de riesgo de inundación: 50 años |</v>
      </c>
    </row>
    <row r="131" spans="2:17" x14ac:dyDescent="0.55000000000000004">
      <c r="B131" s="1" t="s">
        <v>1294</v>
      </c>
      <c r="C131" s="1" t="s">
        <v>1295</v>
      </c>
      <c r="D131" s="1" t="s">
        <v>1296</v>
      </c>
      <c r="Q131" s="5" t="str">
        <f t="shared" si="10"/>
        <v>| C□-FLHA-100Y | Flood hazard area: 100 year mark | Zona de riesgo de inundación: 100 años |</v>
      </c>
    </row>
    <row r="132" spans="2:17" x14ac:dyDescent="0.55000000000000004">
      <c r="B132" s="1" t="s">
        <v>1297</v>
      </c>
      <c r="C132" s="1" t="s">
        <v>1298</v>
      </c>
      <c r="D132" s="1" t="s">
        <v>1299</v>
      </c>
      <c r="Q132" s="5" t="str">
        <f t="shared" si="10"/>
        <v>| C□-FLHA-200Y | Flood hazard area: 200 year mark | Zona de riesgo de inundación: 200 años |</v>
      </c>
    </row>
    <row r="133" spans="2:17" x14ac:dyDescent="0.55000000000000004">
      <c r="B133" s="1" t="s">
        <v>1300</v>
      </c>
      <c r="C133" s="1" t="s">
        <v>437</v>
      </c>
      <c r="D133" s="1" t="s">
        <v>438</v>
      </c>
      <c r="Q133" s="5" t="str">
        <f t="shared" ref="Q133:Q196" si="13">_xlfn.CONCAT("| ",B133," | ",C133," | ",D133," |")</f>
        <v>| C□-FUEL | Fuel systems | Sistemas de combustible |</v>
      </c>
    </row>
    <row r="134" spans="2:17" x14ac:dyDescent="0.55000000000000004">
      <c r="B134" s="1" t="s">
        <v>1301</v>
      </c>
      <c r="C134" s="1" t="s">
        <v>1302</v>
      </c>
      <c r="D134" s="1" t="s">
        <v>1303</v>
      </c>
      <c r="Q134" s="5" t="str">
        <f t="shared" si="13"/>
        <v>| C□-FUEL-EQPM | Fuel systems: equipment (pumps, motors) | Sistemas de combustible: equipos (bombas, motores) |</v>
      </c>
    </row>
    <row r="135" spans="2:17" x14ac:dyDescent="0.55000000000000004">
      <c r="B135" s="1" t="s">
        <v>1304</v>
      </c>
      <c r="C135" s="1" t="s">
        <v>1305</v>
      </c>
      <c r="D135" s="1" t="s">
        <v>1306</v>
      </c>
      <c r="Q135" s="5" t="str">
        <f t="shared" si="13"/>
        <v>| C□-FUEL-INST | Fuel systems: instrumentation (meters, valves, etc.) | Sistemas de combustible: instrumentación (medidores, válvulas, etc.) |</v>
      </c>
    </row>
    <row r="136" spans="2:17" x14ac:dyDescent="0.55000000000000004">
      <c r="B136" s="1" t="s">
        <v>1307</v>
      </c>
      <c r="C136" s="1" t="s">
        <v>1308</v>
      </c>
      <c r="D136" s="1" t="s">
        <v>1309</v>
      </c>
      <c r="Q136" s="5" t="str">
        <f t="shared" si="13"/>
        <v>| C□-FUEL-MHOL | Fuel systems: manhole | Sistemas de combustible: pozo de registro |</v>
      </c>
    </row>
    <row r="137" spans="2:17" x14ac:dyDescent="0.55000000000000004">
      <c r="B137" s="1" t="s">
        <v>1310</v>
      </c>
      <c r="C137" s="1" t="s">
        <v>1311</v>
      </c>
      <c r="D137" s="1" t="s">
        <v>1312</v>
      </c>
      <c r="Q137" s="5" t="str">
        <f t="shared" si="13"/>
        <v>| C□-FUEL-PIPE | Fuel systems: piping | Sistemas de combustible: tuberías |</v>
      </c>
    </row>
    <row r="138" spans="2:17" x14ac:dyDescent="0.55000000000000004">
      <c r="B138" s="1" t="s">
        <v>1313</v>
      </c>
      <c r="C138" s="1" t="s">
        <v>1314</v>
      </c>
      <c r="D138" s="1" t="s">
        <v>1315</v>
      </c>
      <c r="Q138" s="5" t="str">
        <f t="shared" si="13"/>
        <v>| C□-FUEL-TANK | Fuel systems: storage tanks | Sistemas de combustible: tanques de almacenamiento |</v>
      </c>
    </row>
    <row r="139" spans="2:17" x14ac:dyDescent="0.55000000000000004">
      <c r="B139" s="1" t="s">
        <v>1316</v>
      </c>
      <c r="C139" s="1" t="s">
        <v>1317</v>
      </c>
      <c r="D139" s="1" t="s">
        <v>1318</v>
      </c>
      <c r="Q139" s="5" t="str">
        <f t="shared" si="13"/>
        <v>| C□-FUEL-UGND | Fuel systems: underground | Sistemas de combustible: subterráneos |</v>
      </c>
    </row>
    <row r="140" spans="2:17" x14ac:dyDescent="0.55000000000000004">
      <c r="B140" s="1" t="s">
        <v>1319</v>
      </c>
      <c r="C140" s="1" t="s">
        <v>475</v>
      </c>
      <c r="D140" s="1" t="s">
        <v>476</v>
      </c>
      <c r="Q140" s="5" t="str">
        <f t="shared" si="13"/>
        <v>| C□-HYDR | Hydraulic structure | Estructura hidráulica |</v>
      </c>
    </row>
    <row r="141" spans="2:17" x14ac:dyDescent="0.55000000000000004">
      <c r="B141" s="1" t="s">
        <v>1320</v>
      </c>
      <c r="C141" s="1" t="s">
        <v>1321</v>
      </c>
      <c r="D141" s="1" t="s">
        <v>1322</v>
      </c>
      <c r="Q141" s="5" t="str">
        <f t="shared" si="13"/>
        <v>| C□-HYDR-BAFL | Hydraulic structure: baffle block and splash pad  | Estructura hidráulica: bloque deflector y plataforma antisalpicaduras |</v>
      </c>
    </row>
    <row r="142" spans="2:17" x14ac:dyDescent="0.55000000000000004">
      <c r="B142" s="1" t="s">
        <v>1323</v>
      </c>
      <c r="C142" s="1" t="s">
        <v>1324</v>
      </c>
      <c r="D142" s="1" t="s">
        <v>1325</v>
      </c>
      <c r="Q142" s="5" t="str">
        <f t="shared" si="13"/>
        <v>| C□-HYDR-BASN | Hydraulic structure: stilling and settling basins | Estructura hidráulica: estanques de amortiguación y sedimentación |</v>
      </c>
    </row>
    <row r="143" spans="2:17" x14ac:dyDescent="0.55000000000000004">
      <c r="B143" s="1" t="s">
        <v>1326</v>
      </c>
      <c r="C143" s="1" t="s">
        <v>1327</v>
      </c>
      <c r="D143" s="1" t="s">
        <v>1328</v>
      </c>
      <c r="Q143" s="5" t="str">
        <f t="shared" si="13"/>
        <v>| C□-HYDR-CNDT | Hydraulic structure: diversion/bypass conduits/culvers | Estructura hidráulica: conductos de derivación/bypass/alcantarillas |</v>
      </c>
    </row>
    <row r="144" spans="2:17" x14ac:dyDescent="0.55000000000000004">
      <c r="B144" s="1" t="s">
        <v>1329</v>
      </c>
      <c r="C144" s="1" t="s">
        <v>1330</v>
      </c>
      <c r="D144" s="1" t="s">
        <v>1331</v>
      </c>
      <c r="Q144" s="5" t="str">
        <f t="shared" si="13"/>
        <v>| C□-HYDR-COFF | Hydraulic structure: coffer dam | Estructura hidráulica: ataguía |</v>
      </c>
    </row>
    <row r="145" spans="2:17" x14ac:dyDescent="0.55000000000000004">
      <c r="B145" s="1" t="s">
        <v>1332</v>
      </c>
      <c r="C145" s="1" t="s">
        <v>1333</v>
      </c>
      <c r="D145" s="1" t="s">
        <v>1334</v>
      </c>
      <c r="Q145" s="5" t="str">
        <f t="shared" si="13"/>
        <v>| C□-HYDR-DAM~ | Hydraulic structure: dam | Estructura hidráulica: presa |</v>
      </c>
    </row>
    <row r="146" spans="2:17" x14ac:dyDescent="0.55000000000000004">
      <c r="B146" s="1" t="s">
        <v>1335</v>
      </c>
      <c r="C146" s="1" t="s">
        <v>1336</v>
      </c>
      <c r="D146" s="1" t="s">
        <v>1337</v>
      </c>
      <c r="Q146" s="5" t="str">
        <f t="shared" si="13"/>
        <v>| C□-HYDR-FISH | Hydraulic structure: fish ladder/passage | Estructura hidráulica: escala/pasaje para peces |</v>
      </c>
    </row>
    <row r="147" spans="2:17" x14ac:dyDescent="0.55000000000000004">
      <c r="B147" s="1" t="s">
        <v>1338</v>
      </c>
      <c r="C147" s="1" t="s">
        <v>1339</v>
      </c>
      <c r="D147" s="1" t="s">
        <v>1340</v>
      </c>
      <c r="Q147" s="5" t="str">
        <f t="shared" si="13"/>
        <v>| C□-HYDR-FLUM | Hydraulic structure: flume | Estructura hidráulica: canal |</v>
      </c>
    </row>
    <row r="148" spans="2:17" x14ac:dyDescent="0.55000000000000004">
      <c r="B148" s="1" t="s">
        <v>1341</v>
      </c>
      <c r="C148" s="1" t="s">
        <v>1342</v>
      </c>
      <c r="D148" s="1" t="s">
        <v>1343</v>
      </c>
      <c r="Q148" s="5" t="str">
        <f t="shared" si="13"/>
        <v>| C□-HYDR-INTK | Hydraulic structure: intake | Hidráulica Estructura: Toma |</v>
      </c>
    </row>
    <row r="149" spans="2:17" x14ac:dyDescent="0.55000000000000004">
      <c r="B149" s="1" t="s">
        <v>1344</v>
      </c>
      <c r="C149" s="1" t="s">
        <v>1345</v>
      </c>
      <c r="D149" s="1" t="s">
        <v>1346</v>
      </c>
      <c r="Q149" s="5" t="str">
        <f t="shared" si="13"/>
        <v>| C□-HYDR-NOVR | Hydraulic structure: non-overflow structure | Estructura hidráulica: Estructura antidesbordamiento |</v>
      </c>
    </row>
    <row r="150" spans="2:17" x14ac:dyDescent="0.55000000000000004">
      <c r="B150" s="1" t="s">
        <v>1347</v>
      </c>
      <c r="C150" s="1" t="s">
        <v>1348</v>
      </c>
      <c r="D150" s="1" t="s">
        <v>1349</v>
      </c>
      <c r="Q150" s="5" t="str">
        <f t="shared" si="13"/>
        <v>|  C□-HYDR-PENS | Hydraulic structure: penstock | Estructura hidráulica: Tubería forzada |</v>
      </c>
    </row>
    <row r="151" spans="2:17" x14ac:dyDescent="0.55000000000000004">
      <c r="B151" s="1" t="s">
        <v>1350</v>
      </c>
      <c r="C151" s="1" t="s">
        <v>520</v>
      </c>
      <c r="D151" s="1" t="s">
        <v>521</v>
      </c>
      <c r="Q151" s="5" t="str">
        <f t="shared" si="13"/>
        <v>| C□-LOCN | Limits of construction | Límites de construcción |</v>
      </c>
    </row>
    <row r="152" spans="2:17" x14ac:dyDescent="0.55000000000000004">
      <c r="B152" s="1" t="s">
        <v>1351</v>
      </c>
      <c r="C152" s="1" t="s">
        <v>549</v>
      </c>
      <c r="D152" s="1" t="s">
        <v>550</v>
      </c>
      <c r="Q152" s="5" t="str">
        <f t="shared" si="13"/>
        <v>| C□-NGAS | Natural gas systems | Sistemas de gas natural |</v>
      </c>
    </row>
    <row r="153" spans="2:17" x14ac:dyDescent="0.55000000000000004">
      <c r="B153" s="1" t="s">
        <v>1352</v>
      </c>
      <c r="C153" s="1" t="s">
        <v>1353</v>
      </c>
      <c r="D153" s="1" t="s">
        <v>1354</v>
      </c>
      <c r="Q153" s="5" t="str">
        <f t="shared" si="13"/>
        <v>| C□-NGAS-EQPM | Natural gas systems: equipment (pumps, motors) | Sistemas de gas natural: Equipos (bombas, motores) |</v>
      </c>
    </row>
    <row r="154" spans="2:17" x14ac:dyDescent="0.55000000000000004">
      <c r="B154" s="1" t="s">
        <v>1355</v>
      </c>
      <c r="C154" s="1" t="s">
        <v>1356</v>
      </c>
      <c r="D154" s="1" t="s">
        <v>1357</v>
      </c>
      <c r="Q154" s="5" t="str">
        <f t="shared" si="13"/>
        <v>| C□-NGAS-INST | Natural gas systems: instrumentation (meters, valves, etc.) | Sistemas de gas natural: Instrumentación (medidores, válvulas, etc.) |</v>
      </c>
    </row>
    <row r="155" spans="2:17" x14ac:dyDescent="0.55000000000000004">
      <c r="B155" s="1" t="s">
        <v>1358</v>
      </c>
      <c r="C155" s="1" t="s">
        <v>1359</v>
      </c>
      <c r="D155" s="1" t="s">
        <v>1360</v>
      </c>
      <c r="Q155" s="5" t="str">
        <f t="shared" si="13"/>
        <v>| C□-NGAS-MHOL | Natural gas systems: manhole | Sistemas de gas natural: Pozo de registro |</v>
      </c>
    </row>
    <row r="156" spans="2:17" x14ac:dyDescent="0.55000000000000004">
      <c r="B156" s="1" t="s">
        <v>1361</v>
      </c>
      <c r="C156" s="1" t="s">
        <v>1362</v>
      </c>
      <c r="D156" s="1" t="s">
        <v>1363</v>
      </c>
      <c r="Q156" s="5" t="str">
        <f t="shared" si="13"/>
        <v>| C□-NGAS-PIPE | Natural gas systems: piping | Sistemas de gas natural: Tuberías |</v>
      </c>
    </row>
    <row r="157" spans="2:17" x14ac:dyDescent="0.55000000000000004">
      <c r="B157" s="1" t="s">
        <v>1364</v>
      </c>
      <c r="C157" s="1" t="s">
        <v>1365</v>
      </c>
      <c r="D157" s="1" t="s">
        <v>1366</v>
      </c>
      <c r="Q157" s="5" t="str">
        <f t="shared" si="13"/>
        <v>| C□-NGAS-TANK | Natural gas systems: storage tanks | Sistemas de gas natural: Tanques de almacenamiento |</v>
      </c>
    </row>
    <row r="158" spans="2:17" x14ac:dyDescent="0.55000000000000004">
      <c r="B158" s="1" t="s">
        <v>1367</v>
      </c>
      <c r="C158" s="1" t="s">
        <v>1368</v>
      </c>
      <c r="D158" s="1" t="s">
        <v>1369</v>
      </c>
      <c r="Q158" s="5" t="str">
        <f t="shared" si="13"/>
        <v>| C□-NGAS-UGND | Natural gas systems: underground | Sistemas de gas natural: Subterráneos |</v>
      </c>
    </row>
    <row r="159" spans="2:17" x14ac:dyDescent="0.55000000000000004">
      <c r="B159" s="1" t="s">
        <v>1370</v>
      </c>
      <c r="C159" s="1" t="s">
        <v>570</v>
      </c>
      <c r="D159" s="1" t="s">
        <v>1371</v>
      </c>
      <c r="Q159" s="5" t="str">
        <f t="shared" si="13"/>
        <v>| C□-PERC | Perc testing | Pruebas de percolación |</v>
      </c>
    </row>
    <row r="160" spans="2:17" x14ac:dyDescent="0.55000000000000004">
      <c r="B160" s="1" t="s">
        <v>1372</v>
      </c>
      <c r="C160" s="1" t="s">
        <v>1373</v>
      </c>
      <c r="D160" s="1" t="s">
        <v>1374</v>
      </c>
      <c r="Q160" s="5" t="str">
        <f t="shared" si="13"/>
        <v>| C□-PERC-HOLE | Perc testing: holes | Pruebas de percolación: Pozos |</v>
      </c>
    </row>
    <row r="161" spans="2:17" x14ac:dyDescent="0.55000000000000004">
      <c r="B161" s="1" t="s">
        <v>1375</v>
      </c>
      <c r="C161" s="1" t="s">
        <v>591</v>
      </c>
      <c r="D161" s="1" t="s">
        <v>592</v>
      </c>
      <c r="Q161" s="5" t="str">
        <f t="shared" si="13"/>
        <v>| C□-POND | Ponds | Estanques |</v>
      </c>
    </row>
    <row r="162" spans="2:17" x14ac:dyDescent="0.55000000000000004">
      <c r="B162" s="1" t="s">
        <v>1376</v>
      </c>
      <c r="C162" s="1" t="s">
        <v>1377</v>
      </c>
      <c r="D162" s="1" t="s">
        <v>1378</v>
      </c>
      <c r="Q162" s="5" t="str">
        <f t="shared" si="13"/>
        <v>| C□-POND-EDGE | Ponds: edge | Estanques: borde |</v>
      </c>
    </row>
    <row r="163" spans="2:17" x14ac:dyDescent="0.55000000000000004">
      <c r="B163" s="1" t="s">
        <v>1379</v>
      </c>
      <c r="C163" s="1" t="s">
        <v>1380</v>
      </c>
      <c r="D163" s="1" t="s">
        <v>1381</v>
      </c>
      <c r="Q163" s="5" t="str">
        <f t="shared" si="13"/>
        <v>| C□-POND-SWAY | Ponds: spillway | Estanques: aliviadero |</v>
      </c>
    </row>
    <row r="164" spans="2:17" x14ac:dyDescent="0.55000000000000004">
      <c r="B164" s="1" t="s">
        <v>1382</v>
      </c>
      <c r="C164" s="1" t="s">
        <v>1383</v>
      </c>
      <c r="D164" s="1" t="s">
        <v>1384</v>
      </c>
      <c r="Q164" s="5" t="str">
        <f t="shared" si="13"/>
        <v>| C□-POND-TOPB | Ponds: top of bank | Estanques: parte superior de la ribera |</v>
      </c>
    </row>
    <row r="165" spans="2:17" x14ac:dyDescent="0.55000000000000004">
      <c r="B165" s="1" t="s">
        <v>1385</v>
      </c>
      <c r="C165" s="1" t="s">
        <v>594</v>
      </c>
      <c r="D165" s="1" t="s">
        <v>595</v>
      </c>
      <c r="Q165" s="5" t="str">
        <f t="shared" si="13"/>
        <v>| C□-POWR | Power | Energía |</v>
      </c>
    </row>
    <row r="166" spans="2:17" x14ac:dyDescent="0.55000000000000004">
      <c r="B166" s="1" t="s">
        <v>1386</v>
      </c>
      <c r="C166" s="1" t="s">
        <v>1387</v>
      </c>
      <c r="D166" s="1" t="s">
        <v>1388</v>
      </c>
      <c r="Q166" s="5" t="str">
        <f t="shared" si="13"/>
        <v>| C□-POWR-FENC | Power: fences | Energía: cercas |</v>
      </c>
    </row>
    <row r="167" spans="2:17" x14ac:dyDescent="0.55000000000000004">
      <c r="B167" s="1" t="s">
        <v>1389</v>
      </c>
      <c r="C167" s="1" t="s">
        <v>1390</v>
      </c>
      <c r="D167" s="1" t="s">
        <v>1391</v>
      </c>
      <c r="Q167" s="5" t="str">
        <f t="shared" si="13"/>
        <v>| C□-POWR-INST | Power: instrumentation (meters, transformers)  | Energía: instrumentación (medidores, transformadores) |</v>
      </c>
    </row>
    <row r="168" spans="2:17" x14ac:dyDescent="0.55000000000000004">
      <c r="B168" s="1" t="s">
        <v>1392</v>
      </c>
      <c r="C168" s="1" t="s">
        <v>1393</v>
      </c>
      <c r="D168" s="1" t="s">
        <v>1394</v>
      </c>
      <c r="Q168" s="5" t="str">
        <f t="shared" si="13"/>
        <v>| C□-POWR-MHOL | Power: manhole | Energía: pozo de registro |</v>
      </c>
    </row>
    <row r="169" spans="2:17" x14ac:dyDescent="0.55000000000000004">
      <c r="B169" s="1" t="s">
        <v>1395</v>
      </c>
      <c r="C169" s="1" t="s">
        <v>1396</v>
      </c>
      <c r="D169" s="1" t="s">
        <v>1397</v>
      </c>
      <c r="Q169" s="5" t="str">
        <f t="shared" si="13"/>
        <v>| C□-POWR-OVHD | Power: overhead | Energía: aérea |</v>
      </c>
    </row>
    <row r="170" spans="2:17" x14ac:dyDescent="0.55000000000000004">
      <c r="B170" s="1" t="s">
        <v>1398</v>
      </c>
      <c r="C170" s="1" t="s">
        <v>1399</v>
      </c>
      <c r="D170" s="1" t="s">
        <v>1400</v>
      </c>
      <c r="Q170" s="5" t="str">
        <f t="shared" si="13"/>
        <v>| C□-POWR-POLE | Power: pole | Energía: poste |</v>
      </c>
    </row>
    <row r="171" spans="2:17" x14ac:dyDescent="0.55000000000000004">
      <c r="B171" s="1" t="s">
        <v>1401</v>
      </c>
      <c r="C171" s="1" t="s">
        <v>1402</v>
      </c>
      <c r="D171" s="1" t="s">
        <v>1403</v>
      </c>
      <c r="Q171" s="5" t="str">
        <f t="shared" si="13"/>
        <v>| C□-POWR-STRC | Power: structures | Energía: estructuras |</v>
      </c>
    </row>
    <row r="172" spans="2:17" x14ac:dyDescent="0.55000000000000004">
      <c r="B172" s="1" t="s">
        <v>1404</v>
      </c>
      <c r="C172" s="1" t="s">
        <v>1405</v>
      </c>
      <c r="D172" s="1" t="s">
        <v>1406</v>
      </c>
      <c r="Q172" s="5" t="str">
        <f t="shared" si="13"/>
        <v>| C□-POWR-UGND | Power: underground | Energía: subterránea |</v>
      </c>
    </row>
    <row r="173" spans="2:17" x14ac:dyDescent="0.55000000000000004">
      <c r="B173" s="1" t="s">
        <v>1407</v>
      </c>
      <c r="C173" s="1" t="s">
        <v>597</v>
      </c>
      <c r="D173" s="1" t="s">
        <v>598</v>
      </c>
      <c r="Q173" s="5" t="str">
        <f t="shared" si="13"/>
        <v>| C□-PRKG | Parking lots | Estacionamientos |</v>
      </c>
    </row>
    <row r="174" spans="2:17" x14ac:dyDescent="0.55000000000000004">
      <c r="B174" s="1" t="s">
        <v>1408</v>
      </c>
      <c r="C174" s="1" t="s">
        <v>1409</v>
      </c>
      <c r="D174" s="1" t="s">
        <v>1410</v>
      </c>
      <c r="Q174" s="5" t="str">
        <f t="shared" si="13"/>
        <v>| C□-PRKG-ASPH | Parking lots: asphalt | Estacionamientos: asfalto |</v>
      </c>
    </row>
    <row r="175" spans="2:17" x14ac:dyDescent="0.55000000000000004">
      <c r="B175" s="1" t="s">
        <v>1411</v>
      </c>
      <c r="C175" s="1" t="s">
        <v>1412</v>
      </c>
      <c r="D175" s="1" t="s">
        <v>1413</v>
      </c>
      <c r="Q175" s="5" t="str">
        <f t="shared" si="13"/>
        <v>| C□-PRKG-CARS | Parking lots: cars and other vehicles | Estacionamientos: automóviles y otros vehículos |</v>
      </c>
    </row>
    <row r="176" spans="2:17" x14ac:dyDescent="0.55000000000000004">
      <c r="B176" s="1" t="s">
        <v>1414</v>
      </c>
      <c r="C176" s="1" t="s">
        <v>1415</v>
      </c>
      <c r="D176" s="1" t="s">
        <v>1416</v>
      </c>
      <c r="Q176" s="5" t="str">
        <f t="shared" si="13"/>
        <v>| C□-PRKG-CONC | Parking lots: concrete | Estacionamientos: concreto |</v>
      </c>
    </row>
    <row r="177" spans="2:17" x14ac:dyDescent="0.55000000000000004">
      <c r="B177" s="1" t="s">
        <v>1417</v>
      </c>
      <c r="C177" s="1" t="s">
        <v>1418</v>
      </c>
      <c r="D177" s="1" t="s">
        <v>1419</v>
      </c>
      <c r="Q177" s="5" t="str">
        <f t="shared" si="13"/>
        <v>| C□-PRKG-CURB | Parking lots: curb | Estacionamientos: bordillo |</v>
      </c>
    </row>
    <row r="178" spans="2:17" x14ac:dyDescent="0.55000000000000004">
      <c r="B178" s="1" t="s">
        <v>1420</v>
      </c>
      <c r="C178" s="1" t="s">
        <v>1421</v>
      </c>
      <c r="D178" s="1" t="s">
        <v>1422</v>
      </c>
      <c r="Q178" s="5" t="str">
        <f t="shared" si="13"/>
        <v>| C□-PRKG-CURB-BACK | Parking lots: curb: back  | Estacionamientos: bordillo: trasero |</v>
      </c>
    </row>
    <row r="179" spans="2:17" x14ac:dyDescent="0.55000000000000004">
      <c r="B179" s="1" t="s">
        <v>1423</v>
      </c>
      <c r="C179" s="1" t="s">
        <v>1424</v>
      </c>
      <c r="D179" s="1" t="s">
        <v>1425</v>
      </c>
      <c r="Q179" s="5" t="str">
        <f t="shared" si="13"/>
        <v>| C□-PRKG-CURB-FACE | Parking lots: curb: face | Estacionamientos: bordillo: frente |</v>
      </c>
    </row>
    <row r="180" spans="2:17" x14ac:dyDescent="0.55000000000000004">
      <c r="B180" s="1" t="s">
        <v>1426</v>
      </c>
      <c r="C180" s="1" t="s">
        <v>1427</v>
      </c>
      <c r="D180" s="1" t="s">
        <v>1428</v>
      </c>
      <c r="Q180" s="5" t="str">
        <f t="shared" si="13"/>
        <v>| C□-PRKG-DRAN | Parking lots: drainage slope indications | Estacionamientos: indicaciones de pendiente de drenaje |</v>
      </c>
    </row>
    <row r="181" spans="2:17" x14ac:dyDescent="0.55000000000000004">
      <c r="B181" s="1" t="s">
        <v>1429</v>
      </c>
      <c r="C181" s="1" t="s">
        <v>1430</v>
      </c>
      <c r="D181" s="1" t="s">
        <v>1431</v>
      </c>
      <c r="Q181" s="5" t="str">
        <f t="shared" si="13"/>
        <v>| C□-PRKG-FIXT | Parking lots: fixtures (wheel stops, parking meters, etc.)  | Estacionamientos: accesorios (frenos de rueda, parquímetros, etc.) |</v>
      </c>
    </row>
    <row r="182" spans="2:17" x14ac:dyDescent="0.55000000000000004">
      <c r="B182" s="1" t="s">
        <v>1432</v>
      </c>
      <c r="C182" s="1" t="s">
        <v>1433</v>
      </c>
      <c r="D182" s="1" t="s">
        <v>1434</v>
      </c>
      <c r="Q182" s="5" t="str">
        <f t="shared" si="13"/>
        <v>| C□-PRKG-FLNE | Parking lots: fire lane | Estacionamientos: carril de incendios |</v>
      </c>
    </row>
    <row r="183" spans="2:17" x14ac:dyDescent="0.55000000000000004">
      <c r="B183" s="1" t="s">
        <v>1435</v>
      </c>
      <c r="C183" s="1" t="s">
        <v>1436</v>
      </c>
      <c r="D183" s="1" t="s">
        <v>1437</v>
      </c>
      <c r="Q183" s="5" t="str">
        <f t="shared" si="13"/>
        <v>| C□-PRKG-FLNE-MRKG | Parking lots: fire lane: pavement markings | Estacionamientos: carril de incendios: marcas en el pavimento |</v>
      </c>
    </row>
    <row r="184" spans="2:17" x14ac:dyDescent="0.55000000000000004">
      <c r="B184" s="1" t="s">
        <v>1438</v>
      </c>
      <c r="C184" s="1" t="s">
        <v>1439</v>
      </c>
      <c r="D184" s="1" t="s">
        <v>1440</v>
      </c>
      <c r="Q184" s="5" t="str">
        <f t="shared" si="13"/>
        <v>|  C□-PRKG-FLNE-SIGN | Parking lots: fire lane: signage | Estacionamientos: carril de incendios: señalización |</v>
      </c>
    </row>
    <row r="185" spans="2:17" x14ac:dyDescent="0.55000000000000004">
      <c r="B185" s="1" t="s">
        <v>1441</v>
      </c>
      <c r="C185" s="1" t="s">
        <v>1442</v>
      </c>
      <c r="D185" s="1" t="s">
        <v>1443</v>
      </c>
      <c r="Q185" s="5" t="str">
        <f t="shared" si="13"/>
        <v>| C□-PRKG-GRVL | Parking lots: gravel | Estacionamientos: grava |</v>
      </c>
    </row>
    <row r="186" spans="2:17" x14ac:dyDescent="0.55000000000000004">
      <c r="B186" s="1" t="s">
        <v>1444</v>
      </c>
      <c r="C186" s="1" t="s">
        <v>1445</v>
      </c>
      <c r="D186" s="1" t="s">
        <v>1446</v>
      </c>
      <c r="Q186" s="5" t="str">
        <f t="shared" si="13"/>
        <v>| C□-PRKG-MRKG | Parking lots: pavement markings | Estacionamientos: marcas en el pavimento |</v>
      </c>
    </row>
    <row r="187" spans="2:17" x14ac:dyDescent="0.55000000000000004">
      <c r="B187" s="1" t="s">
        <v>1447</v>
      </c>
      <c r="C187" s="1" t="s">
        <v>1448</v>
      </c>
      <c r="D187" s="1" t="s">
        <v>1449</v>
      </c>
      <c r="Q187" s="5" t="str">
        <f t="shared" si="13"/>
        <v>| C□-PRKG-SIGN | Parking lots: signage | Estacionamientos: señalización |</v>
      </c>
    </row>
    <row r="188" spans="2:17" x14ac:dyDescent="0.55000000000000004">
      <c r="B188" s="1" t="s">
        <v>1450</v>
      </c>
      <c r="C188" s="1" t="s">
        <v>1451</v>
      </c>
      <c r="D188" s="1" t="s">
        <v>1452</v>
      </c>
      <c r="Q188" s="5" t="str">
        <f t="shared" si="13"/>
        <v>| C□-PRKG-STRP | Parking lots: striping | Estacionamientos: líneas de señalización |</v>
      </c>
    </row>
    <row r="189" spans="2:17" x14ac:dyDescent="0.55000000000000004">
      <c r="B189" s="1" t="s">
        <v>1453</v>
      </c>
      <c r="C189" s="1" t="s">
        <v>1454</v>
      </c>
      <c r="D189" s="1" t="s">
        <v>1455</v>
      </c>
      <c r="Q189" s="5" t="str">
        <f t="shared" si="13"/>
        <v>| C□-PRKG-UPVD | Parking lots: unpaved surface | Estacionamientos: superficie sin pavimentar |</v>
      </c>
    </row>
    <row r="190" spans="2:17" x14ac:dyDescent="0.55000000000000004">
      <c r="B190" s="1" t="s">
        <v>1456</v>
      </c>
      <c r="C190" s="1" t="s">
        <v>1457</v>
      </c>
      <c r="D190" s="1" t="s">
        <v>1458</v>
      </c>
      <c r="Q190" s="5" t="str">
        <f t="shared" si="13"/>
        <v>| C□-PRKG-WHIT | Parking lots: white paint | Estacionamientos: pintura blanca |</v>
      </c>
    </row>
    <row r="191" spans="2:17" x14ac:dyDescent="0.55000000000000004">
      <c r="B191" s="1" t="s">
        <v>1459</v>
      </c>
      <c r="C191" s="1" t="s">
        <v>1460</v>
      </c>
      <c r="D191" s="1" t="s">
        <v>1461</v>
      </c>
      <c r="Q191" s="5" t="str">
        <f t="shared" si="13"/>
        <v>| C□-PRKG-WHIT-TICK | Parking lots: white paint: tick marks | Estacionamientos: pintura blanca: marcas de verificación |</v>
      </c>
    </row>
    <row r="192" spans="2:17" x14ac:dyDescent="0.55000000000000004">
      <c r="B192" s="1" t="s">
        <v>1462</v>
      </c>
      <c r="C192" s="1" t="s">
        <v>1463</v>
      </c>
      <c r="D192" s="1" t="s">
        <v>1464</v>
      </c>
      <c r="Q192" s="5" t="str">
        <f t="shared" si="13"/>
        <v>| C□-PRKG-YELO | Parking lots: yellow paint | Estacionamientos: pintura amarilla |</v>
      </c>
    </row>
    <row r="193" spans="2:17" x14ac:dyDescent="0.55000000000000004">
      <c r="B193" s="1" t="s">
        <v>1465</v>
      </c>
      <c r="C193" s="1" t="s">
        <v>1466</v>
      </c>
      <c r="D193" s="1" t="s">
        <v>1467</v>
      </c>
      <c r="Q193" s="5" t="str">
        <f t="shared" si="13"/>
        <v>| C□-PRKG-YELO-TICK | Parking lots: yellow paint: tick marks | Estacionamientos Lotes: pintura amarilla: marcas de verificación |</v>
      </c>
    </row>
    <row r="194" spans="2:17" x14ac:dyDescent="0.55000000000000004">
      <c r="B194" s="1" t="s">
        <v>1468</v>
      </c>
      <c r="C194" s="1" t="s">
        <v>606</v>
      </c>
      <c r="D194" s="1" t="s">
        <v>607</v>
      </c>
      <c r="Q194" s="5" t="str">
        <f t="shared" si="13"/>
        <v>|  C□-PROP | Property | Propiedad |</v>
      </c>
    </row>
    <row r="195" spans="2:17" x14ac:dyDescent="0.55000000000000004">
      <c r="B195" s="1" t="s">
        <v>1469</v>
      </c>
      <c r="C195" s="1" t="s">
        <v>1470</v>
      </c>
      <c r="D195" s="1" t="s">
        <v>1471</v>
      </c>
      <c r="Q195" s="5" t="str">
        <f t="shared" si="13"/>
        <v>| C□-PROP-LINE | Property: lines | Propiedad: líneas |</v>
      </c>
    </row>
    <row r="196" spans="2:17" x14ac:dyDescent="0.55000000000000004">
      <c r="B196" s="1" t="s">
        <v>1472</v>
      </c>
      <c r="C196" s="1" t="s">
        <v>1473</v>
      </c>
      <c r="D196" s="1" t="s">
        <v>1474</v>
      </c>
      <c r="Q196" s="5" t="str">
        <f t="shared" si="13"/>
        <v>| C□-PROP-SBCK | Property: setback lines | Propiedad: líneas de retranqueo |</v>
      </c>
    </row>
    <row r="197" spans="2:17" x14ac:dyDescent="0.55000000000000004">
      <c r="B197" s="1" t="s">
        <v>1475</v>
      </c>
      <c r="C197" s="1" t="s">
        <v>618</v>
      </c>
      <c r="D197" s="1" t="s">
        <v>619</v>
      </c>
      <c r="Q197" s="5" t="str">
        <f t="shared" ref="Q197:Q260" si="14">_xlfn.CONCAT("| ",B197," | ",C197," | ",D197," |")</f>
        <v>| C□-PVMT | Pavement | Pavimento |</v>
      </c>
    </row>
    <row r="198" spans="2:17" x14ac:dyDescent="0.55000000000000004">
      <c r="B198" s="1" t="s">
        <v>1476</v>
      </c>
      <c r="C198" s="1" t="s">
        <v>1477</v>
      </c>
      <c r="D198" s="1" t="s">
        <v>1478</v>
      </c>
      <c r="Q198" s="5" t="str">
        <f t="shared" si="14"/>
        <v>| C□-PVMT-ASPH | Pavement: asphalt | Pavimento: asfalto |</v>
      </c>
    </row>
    <row r="199" spans="2:17" x14ac:dyDescent="0.55000000000000004">
      <c r="B199" s="1" t="s">
        <v>1479</v>
      </c>
      <c r="C199" s="1" t="s">
        <v>1480</v>
      </c>
      <c r="D199" s="1" t="s">
        <v>1481</v>
      </c>
      <c r="Q199" s="5" t="str">
        <f t="shared" si="14"/>
        <v>| C□-PVMT-CONC | Pavement: concrete | Pavimento: concreto |</v>
      </c>
    </row>
    <row r="200" spans="2:17" x14ac:dyDescent="0.55000000000000004">
      <c r="B200" s="1" t="s">
        <v>1482</v>
      </c>
      <c r="C200" s="1" t="s">
        <v>1483</v>
      </c>
      <c r="D200" s="1" t="s">
        <v>1484</v>
      </c>
      <c r="Q200" s="5" t="str">
        <f t="shared" si="14"/>
        <v>| C□-PVMT-GRVL | Pavement: gravel | Pavimento: grava |</v>
      </c>
    </row>
    <row r="201" spans="2:17" x14ac:dyDescent="0.55000000000000004">
      <c r="B201" s="1" t="s">
        <v>1485</v>
      </c>
      <c r="C201" s="1" t="s">
        <v>621</v>
      </c>
      <c r="D201" s="1" t="s">
        <v>622</v>
      </c>
      <c r="Q201" s="5" t="str">
        <f t="shared" si="14"/>
        <v>| C□-RAIL | Railroad | Ferrocarril |</v>
      </c>
    </row>
    <row r="202" spans="2:17" x14ac:dyDescent="0.55000000000000004">
      <c r="B202" s="1" t="s">
        <v>1486</v>
      </c>
      <c r="C202" s="1" t="s">
        <v>1487</v>
      </c>
      <c r="D202" s="1" t="s">
        <v>1488</v>
      </c>
      <c r="Q202" s="5" t="str">
        <f t="shared" si="14"/>
        <v>| C□-RAIL-CNTR | Railroad: center | Ferrocarril: centro |</v>
      </c>
    </row>
    <row r="203" spans="2:17" x14ac:dyDescent="0.55000000000000004">
      <c r="B203" s="1" t="s">
        <v>1489</v>
      </c>
      <c r="C203" s="1" t="s">
        <v>1490</v>
      </c>
      <c r="D203" s="1" t="s">
        <v>1491</v>
      </c>
      <c r="Q203" s="5" t="str">
        <f t="shared" si="14"/>
        <v>| C□-RAIL-EQPM | Railroad: equipment (gates, signals, etc.) | Ferrocarril: equipo (barreras, señales, etc.) |</v>
      </c>
    </row>
    <row r="204" spans="2:17" x14ac:dyDescent="0.55000000000000004">
      <c r="B204" s="1" t="s">
        <v>1492</v>
      </c>
      <c r="C204" s="1" t="s">
        <v>1493</v>
      </c>
      <c r="D204" s="1" t="s">
        <v>1494</v>
      </c>
      <c r="Q204" s="5" t="str">
        <f t="shared" si="14"/>
        <v>| C□-RAIL-TRAK | Railroad: track | Ferrocarril: vía |</v>
      </c>
    </row>
    <row r="205" spans="2:17" x14ac:dyDescent="0.55000000000000004">
      <c r="B205" s="1" t="s">
        <v>1495</v>
      </c>
      <c r="C205" s="1" t="s">
        <v>636</v>
      </c>
      <c r="D205" s="1" t="s">
        <v>637</v>
      </c>
      <c r="Q205" s="5" t="str">
        <f t="shared" si="14"/>
        <v>| C□-RIVR | River | Río |</v>
      </c>
    </row>
    <row r="206" spans="2:17" x14ac:dyDescent="0.55000000000000004">
      <c r="B206" s="1" t="s">
        <v>1496</v>
      </c>
      <c r="C206" s="1" t="s">
        <v>1497</v>
      </c>
      <c r="D206" s="1" t="s">
        <v>1498</v>
      </c>
      <c r="Q206" s="5" t="str">
        <f t="shared" si="14"/>
        <v>| C□-RIVR-BOTM | River: bottom | Río: fondo |</v>
      </c>
    </row>
    <row r="207" spans="2:17" x14ac:dyDescent="0.55000000000000004">
      <c r="B207" s="1" t="s">
        <v>1499</v>
      </c>
      <c r="C207" s="1" t="s">
        <v>1500</v>
      </c>
      <c r="D207" s="1" t="s">
        <v>1501</v>
      </c>
      <c r="Q207" s="5" t="str">
        <f t="shared" si="14"/>
        <v>| C□-RIVR-CNTR | River: center | Río: centro |</v>
      </c>
    </row>
    <row r="208" spans="2:17" x14ac:dyDescent="0.55000000000000004">
      <c r="B208" s="1" t="s">
        <v>1502</v>
      </c>
      <c r="C208" s="1" t="s">
        <v>1503</v>
      </c>
      <c r="D208" s="1" t="s">
        <v>1504</v>
      </c>
      <c r="Q208" s="5" t="str">
        <f t="shared" si="14"/>
        <v>| C□-RIVR-EDGE | River: edge | Río: orilla |</v>
      </c>
    </row>
    <row r="209" spans="2:17" x14ac:dyDescent="0.55000000000000004">
      <c r="B209" s="1" t="s">
        <v>1505</v>
      </c>
      <c r="C209" s="1" t="s">
        <v>1506</v>
      </c>
      <c r="D209" s="1" t="s">
        <v>1507</v>
      </c>
      <c r="Q209" s="5" t="str">
        <f t="shared" si="14"/>
        <v>| C□-RIVR-TOPB | River: top of bank | Río: parte superior de la orilla |</v>
      </c>
    </row>
    <row r="210" spans="2:17" x14ac:dyDescent="0.55000000000000004">
      <c r="B210" s="1" t="s">
        <v>1508</v>
      </c>
      <c r="C210" s="1" t="s">
        <v>639</v>
      </c>
      <c r="D210" s="1" t="s">
        <v>640</v>
      </c>
      <c r="Q210" s="5" t="str">
        <f t="shared" si="14"/>
        <v>| C□-ROAD | Roadways | Carreteras |</v>
      </c>
    </row>
    <row r="211" spans="2:17" x14ac:dyDescent="0.55000000000000004">
      <c r="B211" s="1" t="s">
        <v>1509</v>
      </c>
      <c r="C211" s="1" t="s">
        <v>1510</v>
      </c>
      <c r="D211" s="1" t="s">
        <v>1511</v>
      </c>
      <c r="Q211" s="5" t="str">
        <f t="shared" si="14"/>
        <v>| C□-ROAD-ASPH | Roadways: asphalt | Carreteras: asfalto |</v>
      </c>
    </row>
    <row r="212" spans="2:17" x14ac:dyDescent="0.55000000000000004">
      <c r="B212" s="1" t="s">
        <v>1512</v>
      </c>
      <c r="C212" s="1" t="s">
        <v>1513</v>
      </c>
      <c r="D212" s="1" t="s">
        <v>1514</v>
      </c>
      <c r="Q212" s="5" t="str">
        <f t="shared" si="14"/>
        <v>| C□-ROAD-CNTR | Roadways: center | Carreteras: centro |</v>
      </c>
    </row>
    <row r="213" spans="2:17" x14ac:dyDescent="0.55000000000000004">
      <c r="B213" s="1" t="s">
        <v>1515</v>
      </c>
      <c r="C213" s="1" t="s">
        <v>1516</v>
      </c>
      <c r="D213" s="1" t="s">
        <v>1517</v>
      </c>
      <c r="Q213" s="5" t="str">
        <f t="shared" si="14"/>
        <v>| C□-ROAD-CONC | Roadways: concrete | Carreteras: concreto |</v>
      </c>
    </row>
    <row r="214" spans="2:17" x14ac:dyDescent="0.55000000000000004">
      <c r="B214" s="1" t="s">
        <v>1518</v>
      </c>
      <c r="C214" s="1" t="s">
        <v>1519</v>
      </c>
      <c r="D214" s="1" t="s">
        <v>1520</v>
      </c>
      <c r="Q214" s="5" t="str">
        <f t="shared" si="14"/>
        <v>| C□-ROAD-CURB | Roadways: curb | Carreteras: bordillo |</v>
      </c>
    </row>
    <row r="215" spans="2:17" x14ac:dyDescent="0.55000000000000004">
      <c r="B215" s="1" t="s">
        <v>1521</v>
      </c>
      <c r="C215" s="1" t="s">
        <v>1522</v>
      </c>
      <c r="D215" s="1" t="s">
        <v>1523</v>
      </c>
      <c r="Q215" s="5" t="str">
        <f t="shared" si="14"/>
        <v>| C□-ROAD-CURB-BACK | Roadways: curb: back  | Carreteras: bordillo: parte trasera |</v>
      </c>
    </row>
    <row r="216" spans="2:17" x14ac:dyDescent="0.55000000000000004">
      <c r="B216" s="1" t="s">
        <v>1524</v>
      </c>
      <c r="C216" s="1" t="s">
        <v>1525</v>
      </c>
      <c r="D216" s="1" t="s">
        <v>1526</v>
      </c>
      <c r="Q216" s="5" t="str">
        <f t="shared" si="14"/>
        <v>| C□-ROAD-CURB-FACE | Roadways: curb: face | Carreteras: bordillo: frente |</v>
      </c>
    </row>
    <row r="217" spans="2:17" x14ac:dyDescent="0.55000000000000004">
      <c r="B217" s="1" t="s">
        <v>1527</v>
      </c>
      <c r="C217" s="1" t="s">
        <v>1528</v>
      </c>
      <c r="D217" s="1" t="s">
        <v>1529</v>
      </c>
      <c r="Q217" s="5" t="str">
        <f t="shared" si="14"/>
        <v>|  C□-ROAD-FLNE | Roadways: fire lane | Carreteras: carril de incendios |</v>
      </c>
    </row>
    <row r="218" spans="2:17" x14ac:dyDescent="0.55000000000000004">
      <c r="B218" s="1" t="s">
        <v>1530</v>
      </c>
      <c r="C218" s="1" t="s">
        <v>1531</v>
      </c>
      <c r="D218" s="1" t="s">
        <v>1532</v>
      </c>
      <c r="Q218" s="5" t="str">
        <f t="shared" si="14"/>
        <v>| C□-ROAD-FLNE-MRKG | Roadways: fire lane: pavement markings | Carreteras: carril de incendios: marcas en el pavimento |</v>
      </c>
    </row>
    <row r="219" spans="2:17" x14ac:dyDescent="0.55000000000000004">
      <c r="B219" s="1" t="s">
        <v>1533</v>
      </c>
      <c r="C219" s="1" t="s">
        <v>1534</v>
      </c>
      <c r="D219" s="1" t="s">
        <v>1535</v>
      </c>
      <c r="Q219" s="5" t="str">
        <f t="shared" si="14"/>
        <v>|  C□-ROAD-FLNE-SIGN | Roadways: fire lane: signage | Carreteras: carril de incendios: señalización |</v>
      </c>
    </row>
    <row r="220" spans="2:17" x14ac:dyDescent="0.55000000000000004">
      <c r="B220" s="1" t="s">
        <v>1536</v>
      </c>
      <c r="C220" s="1" t="s">
        <v>1537</v>
      </c>
      <c r="D220" s="1" t="s">
        <v>1538</v>
      </c>
      <c r="Q220" s="5" t="str">
        <f t="shared" si="14"/>
        <v>| C□-ROAD-GRVL | Roadways: gravel | Carreteras: grava |</v>
      </c>
    </row>
    <row r="221" spans="2:17" x14ac:dyDescent="0.55000000000000004">
      <c r="B221" s="1" t="s">
        <v>1539</v>
      </c>
      <c r="C221" s="1" t="s">
        <v>1540</v>
      </c>
      <c r="D221" s="1" t="s">
        <v>1541</v>
      </c>
      <c r="Q221" s="5" t="str">
        <f t="shared" si="14"/>
        <v>| C□-ROAD-MRKG | Roadways: pavement markings | Carreteras: marcas en el pavimento |</v>
      </c>
    </row>
    <row r="222" spans="2:17" x14ac:dyDescent="0.55000000000000004">
      <c r="B222" s="1" t="s">
        <v>1542</v>
      </c>
      <c r="C222" s="1" t="s">
        <v>1543</v>
      </c>
      <c r="D222" s="1" t="s">
        <v>1544</v>
      </c>
      <c r="Q222" s="5" t="str">
        <f t="shared" si="14"/>
        <v>| C□-ROAD-PROF | Roadways: profile | Carreteras: perfil |</v>
      </c>
    </row>
    <row r="223" spans="2:17" x14ac:dyDescent="0.55000000000000004">
      <c r="B223" s="1" t="s">
        <v>1545</v>
      </c>
      <c r="C223" s="1" t="s">
        <v>1546</v>
      </c>
      <c r="D223" s="1" t="s">
        <v>1547</v>
      </c>
      <c r="Q223" s="5" t="str">
        <f t="shared" si="14"/>
        <v>| C□-ROAD-SIGN | Roadways: signage | Carreteras: señalización |</v>
      </c>
    </row>
    <row r="224" spans="2:17" x14ac:dyDescent="0.55000000000000004">
      <c r="B224" s="1" t="s">
        <v>1548</v>
      </c>
      <c r="C224" s="1" t="s">
        <v>1549</v>
      </c>
      <c r="D224" s="1" t="s">
        <v>1550</v>
      </c>
      <c r="Q224" s="5" t="str">
        <f t="shared" si="14"/>
        <v>| C□-ROAD-STAN | Roadways: stationing | Carreteras: estacionamiento |</v>
      </c>
    </row>
    <row r="225" spans="2:17" x14ac:dyDescent="0.55000000000000004">
      <c r="B225" s="1" t="s">
        <v>1551</v>
      </c>
      <c r="C225" s="1" t="s">
        <v>1552</v>
      </c>
      <c r="D225" s="1" t="s">
        <v>1553</v>
      </c>
      <c r="Q225" s="5" t="str">
        <f t="shared" si="14"/>
        <v>| C□-ROAD-UPVD | Roadways: unpaved surface | Carreteras: superficie sin pavimentar |</v>
      </c>
    </row>
    <row r="226" spans="2:17" x14ac:dyDescent="0.55000000000000004">
      <c r="B226" s="1" t="s">
        <v>1554</v>
      </c>
      <c r="C226" s="1" t="s">
        <v>1555</v>
      </c>
      <c r="D226" s="1" t="s">
        <v>1556</v>
      </c>
      <c r="Q226" s="5" t="str">
        <f t="shared" si="14"/>
        <v>| C□-ROAD-WHIT | Roadways: white paint | Carreteras: pintura blanca |</v>
      </c>
    </row>
    <row r="227" spans="2:17" x14ac:dyDescent="0.55000000000000004">
      <c r="B227" s="1" t="s">
        <v>1557</v>
      </c>
      <c r="C227" s="1" t="s">
        <v>1558</v>
      </c>
      <c r="D227" s="1" t="s">
        <v>1559</v>
      </c>
      <c r="Q227" s="5" t="str">
        <f t="shared" si="14"/>
        <v>| C□-ROAD-WHIT-TICK | Roadways: white paint: tick marks | Carreteras: pintura blanca Marcas de verificación |</v>
      </c>
    </row>
    <row r="228" spans="2:17" x14ac:dyDescent="0.55000000000000004">
      <c r="B228" s="1" t="s">
        <v>1560</v>
      </c>
      <c r="C228" s="1" t="s">
        <v>1561</v>
      </c>
      <c r="D228" s="1" t="s">
        <v>1562</v>
      </c>
      <c r="Q228" s="5" t="str">
        <f t="shared" si="14"/>
        <v>|  C□-ROAD-YELO | Roadways: yellow paint | Carreteras: pintura amarilla |</v>
      </c>
    </row>
    <row r="229" spans="2:17" x14ac:dyDescent="0.55000000000000004">
      <c r="B229" s="1" t="s">
        <v>1563</v>
      </c>
      <c r="C229" s="1" t="s">
        <v>1564</v>
      </c>
      <c r="D229" s="1" t="s">
        <v>1565</v>
      </c>
      <c r="Q229" s="5" t="str">
        <f t="shared" si="14"/>
        <v>| C□-ROAD-YELO-TICK | Roadways: yellow paint: tick marks  | Carreteras: pintura amarilla: marcas de verificación |</v>
      </c>
    </row>
    <row r="230" spans="2:17" x14ac:dyDescent="0.55000000000000004">
      <c r="B230" s="1" t="s">
        <v>1566</v>
      </c>
      <c r="C230" s="1" t="s">
        <v>644</v>
      </c>
      <c r="D230" s="1" t="s">
        <v>645</v>
      </c>
      <c r="Q230" s="5" t="str">
        <f t="shared" si="14"/>
        <v>| C□-RRAP | Riprap | Escalones |</v>
      </c>
    </row>
    <row r="231" spans="2:17" x14ac:dyDescent="0.55000000000000004">
      <c r="B231" s="1" t="s">
        <v>1567</v>
      </c>
      <c r="C231" s="1" t="s">
        <v>659</v>
      </c>
      <c r="D231" s="1" t="s">
        <v>660</v>
      </c>
      <c r="Q231" s="5" t="str">
        <f t="shared" si="14"/>
        <v>| C□-SGHT | Sight distance | Distancia visual |</v>
      </c>
    </row>
    <row r="232" spans="2:17" x14ac:dyDescent="0.55000000000000004">
      <c r="B232" s="1" t="s">
        <v>1568</v>
      </c>
      <c r="C232" s="1" t="s">
        <v>1569</v>
      </c>
      <c r="D232" s="1" t="s">
        <v>1570</v>
      </c>
      <c r="Q232" s="5" t="str">
        <f t="shared" si="14"/>
        <v>| C□-SGHT-PROF | Sight distance: profile | Distancia visual: perfil |</v>
      </c>
    </row>
    <row r="233" spans="2:17" x14ac:dyDescent="0.55000000000000004">
      <c r="B233" s="1" t="s">
        <v>1571</v>
      </c>
      <c r="C233" s="1" t="s">
        <v>677</v>
      </c>
      <c r="D233" s="1" t="s">
        <v>678</v>
      </c>
      <c r="Q233" s="5" t="str">
        <f t="shared" si="14"/>
        <v>| C□-SOIL | Soils | Suelos |</v>
      </c>
    </row>
    <row r="234" spans="2:17" x14ac:dyDescent="0.55000000000000004">
      <c r="B234" s="1" t="s">
        <v>1572</v>
      </c>
      <c r="C234" s="1" t="s">
        <v>692</v>
      </c>
      <c r="D234" s="1" t="s">
        <v>693</v>
      </c>
      <c r="Q234" s="5" t="str">
        <f t="shared" si="14"/>
        <v>| C□-SSWR | Sanitary sewer | Alcantarillado sanitario |</v>
      </c>
    </row>
    <row r="235" spans="2:17" x14ac:dyDescent="0.55000000000000004">
      <c r="B235" s="1" t="s">
        <v>1573</v>
      </c>
      <c r="C235" s="1" t="s">
        <v>1574</v>
      </c>
      <c r="D235" s="1" t="s">
        <v>1575</v>
      </c>
      <c r="Q235" s="5" t="str">
        <f t="shared" si="14"/>
        <v>| C□-SSWR-DIAG | Sanitary sewer: diagrams | Alcantarillado sanitario: diagramas |</v>
      </c>
    </row>
    <row r="236" spans="2:17" x14ac:dyDescent="0.55000000000000004">
      <c r="B236" s="1" t="s">
        <v>1576</v>
      </c>
      <c r="C236" s="1" t="s">
        <v>1577</v>
      </c>
      <c r="D236" s="1" t="s">
        <v>1578</v>
      </c>
      <c r="Q236" s="5" t="str">
        <f t="shared" si="14"/>
        <v>| C□-SSWR-FORC | Sanitary sewer: force main | Alcantarillado sanitario: tubería de impulsión |</v>
      </c>
    </row>
    <row r="237" spans="2:17" x14ac:dyDescent="0.55000000000000004">
      <c r="B237" s="1" t="s">
        <v>1579</v>
      </c>
      <c r="C237" s="1" t="s">
        <v>1580</v>
      </c>
      <c r="D237" s="1" t="s">
        <v>1581</v>
      </c>
      <c r="Q237" s="5" t="str">
        <f t="shared" si="14"/>
        <v>| C□-SSWR-LATL | Sanitary sewer: lateral line | Alcantarillado sanitario: línea lateral |</v>
      </c>
    </row>
    <row r="238" spans="2:17" x14ac:dyDescent="0.55000000000000004">
      <c r="B238" s="1" t="s">
        <v>1582</v>
      </c>
      <c r="C238" s="1" t="s">
        <v>1583</v>
      </c>
      <c r="D238" s="1" t="s">
        <v>1584</v>
      </c>
      <c r="Q238" s="5" t="str">
        <f t="shared" si="14"/>
        <v>| C□-SSWR-MHOL | Sanitary sewer: manhole | Alcantarillado sanitario: pozo de registro |</v>
      </c>
    </row>
    <row r="239" spans="2:17" x14ac:dyDescent="0.55000000000000004">
      <c r="B239" s="1" t="s">
        <v>1585</v>
      </c>
      <c r="C239" s="1" t="s">
        <v>1586</v>
      </c>
      <c r="D239" s="1" t="s">
        <v>1587</v>
      </c>
      <c r="Q239" s="5" t="str">
        <f t="shared" si="14"/>
        <v>| C□-SSWR-PIPE | Sanitary sewer: piping | Alcantarillado sanitario: tuberías |</v>
      </c>
    </row>
    <row r="240" spans="2:17" x14ac:dyDescent="0.55000000000000004">
      <c r="B240" s="1" t="s">
        <v>1588</v>
      </c>
      <c r="C240" s="1" t="s">
        <v>1589</v>
      </c>
      <c r="D240" s="1" t="s">
        <v>1590</v>
      </c>
      <c r="Q240" s="5" t="str">
        <f t="shared" si="14"/>
        <v>| C□-SSWR-PIPE-RCON | Sanitary sewer: piping: reinforced concrete | Alcantarillado sanitario: tuberías: hormigón armado |</v>
      </c>
    </row>
    <row r="241" spans="2:17" x14ac:dyDescent="0.55000000000000004">
      <c r="B241" s="1" t="s">
        <v>1591</v>
      </c>
      <c r="C241" s="1" t="s">
        <v>1592</v>
      </c>
      <c r="D241" s="1" t="s">
        <v>1593</v>
      </c>
      <c r="Q241" s="5" t="str">
        <f t="shared" si="14"/>
        <v>|  C□-SSWR-PIPE-STEL | Sanitary sewer: piping: steel | Alcantarillado sanitario: tuberías: acero |</v>
      </c>
    </row>
    <row r="242" spans="2:17" x14ac:dyDescent="0.55000000000000004">
      <c r="B242" s="1" t="s">
        <v>1594</v>
      </c>
      <c r="C242" s="1" t="s">
        <v>1595</v>
      </c>
      <c r="D242" s="1" t="s">
        <v>1596</v>
      </c>
      <c r="Q242" s="5" t="str">
        <f t="shared" si="14"/>
        <v>| C□-SSWR-PROF | Sanitary sewer: profile | Alcantarillado sanitario: perfil |</v>
      </c>
    </row>
    <row r="243" spans="2:17" x14ac:dyDescent="0.55000000000000004">
      <c r="B243" s="1" t="s">
        <v>1597</v>
      </c>
      <c r="C243" s="1" t="s">
        <v>1598</v>
      </c>
      <c r="D243" s="1" t="s">
        <v>1599</v>
      </c>
      <c r="Q243" s="5" t="str">
        <f t="shared" si="14"/>
        <v>| C□-SSWR-STAN | Sanitary sewer: stationing | Alcantarillado sanitario: estacionamiento |</v>
      </c>
    </row>
    <row r="244" spans="2:17" x14ac:dyDescent="0.55000000000000004">
      <c r="B244" s="1" t="s">
        <v>1600</v>
      </c>
      <c r="C244" s="1" t="s">
        <v>1601</v>
      </c>
      <c r="D244" s="1" t="s">
        <v>1602</v>
      </c>
      <c r="Q244" s="5" t="str">
        <f t="shared" si="14"/>
        <v>| C□-SSWR-STRC | Sanitary sewer: structures | Alcantarillado sanitario: estructuras |</v>
      </c>
    </row>
    <row r="245" spans="2:17" x14ac:dyDescent="0.55000000000000004">
      <c r="B245" s="1" t="s">
        <v>1603</v>
      </c>
      <c r="C245" s="1" t="s">
        <v>1604</v>
      </c>
      <c r="D245" s="1" t="s">
        <v>1605</v>
      </c>
      <c r="Q245" s="5" t="str">
        <f t="shared" si="14"/>
        <v>| C□-SSWR-UGND | Sanitary sewer: underground | Alcantarillado sanitario: subterráneo |</v>
      </c>
    </row>
    <row r="246" spans="2:17" x14ac:dyDescent="0.55000000000000004">
      <c r="B246" s="1" t="s">
        <v>1606</v>
      </c>
      <c r="C246" s="1" t="s">
        <v>695</v>
      </c>
      <c r="D246" s="1" t="s">
        <v>696</v>
      </c>
      <c r="Q246" s="5" t="str">
        <f t="shared" si="14"/>
        <v>| C□-STEM | Steam system | Sistema de vapor |</v>
      </c>
    </row>
    <row r="247" spans="2:17" x14ac:dyDescent="0.55000000000000004">
      <c r="B247" s="1" t="s">
        <v>1607</v>
      </c>
      <c r="C247" s="1" t="s">
        <v>1608</v>
      </c>
      <c r="D247" s="1" t="s">
        <v>1609</v>
      </c>
      <c r="Q247" s="5" t="str">
        <f t="shared" si="14"/>
        <v>| C□-STEM-INST | Steam system: instrumentation (meters, valves, etc.)  | Sistema de vapor: instrumentación (medidores, válvulas, etc.) |</v>
      </c>
    </row>
    <row r="248" spans="2:17" x14ac:dyDescent="0.55000000000000004">
      <c r="B248" s="1" t="s">
        <v>1610</v>
      </c>
      <c r="C248" s="1" t="s">
        <v>1611</v>
      </c>
      <c r="D248" s="1" t="s">
        <v>1612</v>
      </c>
      <c r="Q248" s="5" t="str">
        <f t="shared" si="14"/>
        <v>| C□-STEM-MHOL | Steam system: manhole | Sistema de vapor: pozo de registro |</v>
      </c>
    </row>
    <row r="249" spans="2:17" x14ac:dyDescent="0.55000000000000004">
      <c r="B249" s="1" t="s">
        <v>1613</v>
      </c>
      <c r="C249" s="1" t="s">
        <v>1614</v>
      </c>
      <c r="D249" s="1" t="s">
        <v>1615</v>
      </c>
      <c r="Q249" s="5" t="str">
        <f t="shared" si="14"/>
        <v>| C□-STEM-PIPE | Steam system: piping | Sistema de vapor: tuberías |</v>
      </c>
    </row>
    <row r="250" spans="2:17" x14ac:dyDescent="0.55000000000000004">
      <c r="B250" s="1" t="s">
        <v>1616</v>
      </c>
      <c r="C250" s="1" t="s">
        <v>1617</v>
      </c>
      <c r="D250" s="1" t="s">
        <v>1618</v>
      </c>
      <c r="Q250" s="5" t="str">
        <f t="shared" si="14"/>
        <v>| C□-STEM-STRC | Steam system: structures | Sistema de vapor: estructuras |</v>
      </c>
    </row>
    <row r="251" spans="2:17" x14ac:dyDescent="0.55000000000000004">
      <c r="B251" s="1" t="s">
        <v>1619</v>
      </c>
      <c r="C251" s="1" t="s">
        <v>1620</v>
      </c>
      <c r="D251" s="1" t="s">
        <v>1621</v>
      </c>
      <c r="Q251" s="5" t="str">
        <f t="shared" si="14"/>
        <v>| C□-STEM-UGND | Steam system: underground | Sistema de vapor: subterráneo |</v>
      </c>
    </row>
    <row r="252" spans="2:17" x14ac:dyDescent="0.55000000000000004">
      <c r="B252" s="1" t="s">
        <v>1622</v>
      </c>
      <c r="C252" s="1" t="s">
        <v>701</v>
      </c>
      <c r="D252" s="1" t="s">
        <v>702</v>
      </c>
      <c r="Q252" s="5" t="str">
        <f t="shared" si="14"/>
        <v>| C□-STRM | Storm sewer | Alcantarillado pluvial |</v>
      </c>
    </row>
    <row r="253" spans="2:17" x14ac:dyDescent="0.55000000000000004">
      <c r="B253" s="1" t="s">
        <v>1623</v>
      </c>
      <c r="C253" s="1" t="s">
        <v>1624</v>
      </c>
      <c r="D253" s="1" t="s">
        <v>1625</v>
      </c>
      <c r="Q253" s="5" t="str">
        <f t="shared" si="14"/>
        <v>| C□-STRM-CNTR | Storm sewer: center | Alcantarillado pluvial: centro |</v>
      </c>
    </row>
    <row r="254" spans="2:17" x14ac:dyDescent="0.55000000000000004">
      <c r="B254" s="1" t="s">
        <v>1626</v>
      </c>
      <c r="C254" s="1" t="s">
        <v>1627</v>
      </c>
      <c r="D254" s="1" t="s">
        <v>1628</v>
      </c>
      <c r="Q254" s="5" t="str">
        <f t="shared" si="14"/>
        <v>| C□-STRM-DIAG | Storm sewer: diagrams | Alcantarillado pluvial: diagramas |</v>
      </c>
    </row>
    <row r="255" spans="2:17" x14ac:dyDescent="0.55000000000000004">
      <c r="B255" s="1" t="s">
        <v>1629</v>
      </c>
      <c r="C255" s="1" t="s">
        <v>1630</v>
      </c>
      <c r="D255" s="1" t="s">
        <v>1631</v>
      </c>
      <c r="Q255" s="5" t="str">
        <f t="shared" si="14"/>
        <v>| C□-STRM-HWAL | Storm sewer: headwall | Alcantarillado pluvial: muro de cabecera |</v>
      </c>
    </row>
    <row r="256" spans="2:17" x14ac:dyDescent="0.55000000000000004">
      <c r="B256" s="1" t="s">
        <v>1632</v>
      </c>
      <c r="C256" s="1" t="s">
        <v>1633</v>
      </c>
      <c r="D256" s="1" t="s">
        <v>1634</v>
      </c>
      <c r="Q256" s="5" t="str">
        <f t="shared" si="14"/>
        <v>| C□-STRM-MHOL | Storm sewer: manhole | Alcantarillado pluvial: pozo de registro |</v>
      </c>
    </row>
    <row r="257" spans="2:17" x14ac:dyDescent="0.55000000000000004">
      <c r="B257" s="1" t="s">
        <v>1635</v>
      </c>
      <c r="C257" s="1" t="s">
        <v>1636</v>
      </c>
      <c r="D257" s="1" t="s">
        <v>1637</v>
      </c>
      <c r="Q257" s="5" t="str">
        <f t="shared" si="14"/>
        <v>| C□-STRM-PIPE | Storm sewer: piping | Alcantarillado pluvial: tuberías |</v>
      </c>
    </row>
    <row r="258" spans="2:17" x14ac:dyDescent="0.55000000000000004">
      <c r="B258" s="1" t="s">
        <v>1638</v>
      </c>
      <c r="C258" s="1" t="s">
        <v>1639</v>
      </c>
      <c r="D258" s="1" t="s">
        <v>1640</v>
      </c>
      <c r="Q258" s="5" t="str">
        <f t="shared" si="14"/>
        <v>| C□-STRM-PIPE-CMTL | Storm sewer: piping: corrugated metal | Alcantarillado pluvial: tuberías: metal corrugado |</v>
      </c>
    </row>
    <row r="259" spans="2:17" x14ac:dyDescent="0.55000000000000004">
      <c r="B259" s="1" t="s">
        <v>1641</v>
      </c>
      <c r="C259" s="1" t="s">
        <v>1642</v>
      </c>
      <c r="D259" s="1" t="s">
        <v>1643</v>
      </c>
      <c r="Q259" s="5" t="str">
        <f t="shared" si="14"/>
        <v>|  C□-STRM-PIPE-RCON | Storm sewer: piping: reinforced concrete | Alcantarillado pluvial: tuberías: hormigón armado |</v>
      </c>
    </row>
    <row r="260" spans="2:17" x14ac:dyDescent="0.55000000000000004">
      <c r="B260" s="1" t="s">
        <v>1644</v>
      </c>
      <c r="C260" s="1" t="s">
        <v>1645</v>
      </c>
      <c r="D260" s="1" t="s">
        <v>1646</v>
      </c>
      <c r="Q260" s="5" t="str">
        <f t="shared" si="14"/>
        <v>|  C□-STRM-PROF | Storm sewer: profile | Alcantarillado pluvial: perfil |</v>
      </c>
    </row>
    <row r="261" spans="2:17" x14ac:dyDescent="0.55000000000000004">
      <c r="B261" s="1" t="s">
        <v>1647</v>
      </c>
      <c r="C261" s="1" t="s">
        <v>1648</v>
      </c>
      <c r="D261" s="1" t="s">
        <v>1649</v>
      </c>
      <c r="Q261" s="5" t="str">
        <f t="shared" ref="Q261:Q320" si="15">_xlfn.CONCAT("| ",B261," | ",C261," | ",D261," |")</f>
        <v>| C□-STRM-STAN | Storm sewer: stationing | Alcantarillado pluvial: estacionamiento |</v>
      </c>
    </row>
    <row r="262" spans="2:17" x14ac:dyDescent="0.55000000000000004">
      <c r="B262" s="1" t="s">
        <v>1650</v>
      </c>
      <c r="C262" s="1" t="s">
        <v>1651</v>
      </c>
      <c r="D262" s="1" t="s">
        <v>1652</v>
      </c>
      <c r="Q262" s="5" t="str">
        <f t="shared" si="15"/>
        <v>| C□-STRM-STRC | Storm sewer: structures | Alcantarillado pluvial: estructuras |</v>
      </c>
    </row>
    <row r="263" spans="2:17" x14ac:dyDescent="0.55000000000000004">
      <c r="B263" s="1" t="s">
        <v>1653</v>
      </c>
      <c r="C263" s="1" t="s">
        <v>1654</v>
      </c>
      <c r="D263" s="1" t="s">
        <v>1655</v>
      </c>
      <c r="Q263" s="5" t="str">
        <f t="shared" si="15"/>
        <v>| C□-STRM-UGND | Storm sewer: underground | Alcantarillado pluvial: subterráneo |</v>
      </c>
    </row>
    <row r="264" spans="2:17" x14ac:dyDescent="0.55000000000000004">
      <c r="B264" s="1" t="s">
        <v>1656</v>
      </c>
      <c r="C264" s="1" t="s">
        <v>710</v>
      </c>
      <c r="D264" s="1" t="s">
        <v>711</v>
      </c>
      <c r="Q264" s="5" t="str">
        <f t="shared" si="15"/>
        <v>| C□-SWLK | Sidewalks | Aceras |</v>
      </c>
    </row>
    <row r="265" spans="2:17" x14ac:dyDescent="0.55000000000000004">
      <c r="B265" s="1" t="s">
        <v>1657</v>
      </c>
      <c r="C265" s="1" t="s">
        <v>1658</v>
      </c>
      <c r="D265" s="1" t="s">
        <v>1659</v>
      </c>
      <c r="Q265" s="5" t="str">
        <f t="shared" si="15"/>
        <v>| C□-SWLK-ASPH | Sidewalks: asphalt | Aceras: asfalto |</v>
      </c>
    </row>
    <row r="266" spans="2:17" x14ac:dyDescent="0.55000000000000004">
      <c r="B266" s="1" t="s">
        <v>1660</v>
      </c>
      <c r="C266" s="1" t="s">
        <v>1661</v>
      </c>
      <c r="D266" s="1" t="s">
        <v>1662</v>
      </c>
      <c r="Q266" s="5" t="str">
        <f t="shared" si="15"/>
        <v>| C□-SWLK-CONC | Sidewalks: concrete | Aceras: hormigón |</v>
      </c>
    </row>
    <row r="267" spans="2:17" x14ac:dyDescent="0.55000000000000004">
      <c r="B267" s="1" t="s">
        <v>1663</v>
      </c>
      <c r="C267" s="1" t="s">
        <v>719</v>
      </c>
      <c r="D267" s="1" t="s">
        <v>1664</v>
      </c>
      <c r="Q267" s="5" t="str">
        <f t="shared" si="15"/>
        <v>| C□-TINN | Triangulated irregular network | Red irregular triangulada |</v>
      </c>
    </row>
    <row r="268" spans="2:17" x14ac:dyDescent="0.55000000000000004">
      <c r="B268" s="1" t="s">
        <v>1665</v>
      </c>
      <c r="C268" s="1" t="s">
        <v>1666</v>
      </c>
      <c r="D268" s="1" t="s">
        <v>1667</v>
      </c>
      <c r="Q268" s="5" t="str">
        <f t="shared" si="15"/>
        <v>| C□-TINN-BNDY | Triangulated irregular network: boundary | Red irregular triangulada: límite |</v>
      </c>
    </row>
    <row r="269" spans="2:17" x14ac:dyDescent="0.55000000000000004">
      <c r="B269" s="1" t="s">
        <v>1668</v>
      </c>
      <c r="C269" s="1" t="s">
        <v>1669</v>
      </c>
      <c r="D269" s="1" t="s">
        <v>1670</v>
      </c>
      <c r="Q269" s="5" t="str">
        <f t="shared" si="15"/>
        <v>| C□-TINN-FALT | Triangulated irregular network: fault/break lines | Red irregular triangulada: líneas de falla/ruptura |</v>
      </c>
    </row>
    <row r="270" spans="2:17" x14ac:dyDescent="0.55000000000000004">
      <c r="B270" s="1" t="s">
        <v>1671</v>
      </c>
      <c r="C270" s="1" t="s">
        <v>1672</v>
      </c>
      <c r="D270" s="1" t="s">
        <v>1673</v>
      </c>
      <c r="Q270" s="5" t="str">
        <f t="shared" si="15"/>
        <v>| C□-TINN-VIEW | Triangulated irregular network: triangulation view | Red irregular triangulada: vista de triangulación |</v>
      </c>
    </row>
    <row r="271" spans="2:17" x14ac:dyDescent="0.55000000000000004">
      <c r="B271" s="1" t="s">
        <v>1674</v>
      </c>
      <c r="C271" s="1" t="s">
        <v>1675</v>
      </c>
      <c r="D271" s="1" t="s">
        <v>1676</v>
      </c>
      <c r="Q271" s="5" t="str">
        <f t="shared" si="15"/>
        <v>| C□-TINN-VOID | Triangulated irregular network: void regions | Red irregular triangulada: regiones vacías |</v>
      </c>
    </row>
    <row r="272" spans="2:17" x14ac:dyDescent="0.55000000000000004">
      <c r="B272" s="1" t="s">
        <v>1677</v>
      </c>
      <c r="C272" s="1" t="s">
        <v>722</v>
      </c>
      <c r="D272" s="1" t="s">
        <v>723</v>
      </c>
      <c r="Q272" s="5" t="str">
        <f t="shared" si="15"/>
        <v>| C□-TOPO | Topographic feature | Característica topográfica |</v>
      </c>
    </row>
    <row r="273" spans="2:17" x14ac:dyDescent="0.55000000000000004">
      <c r="B273" s="1" t="s">
        <v>1678</v>
      </c>
      <c r="C273" s="1" t="s">
        <v>1679</v>
      </c>
      <c r="D273" s="1" t="s">
        <v>1680</v>
      </c>
      <c r="Q273" s="5" t="str">
        <f t="shared" si="15"/>
        <v>| C□-TOPO-DEPR | Topographic feature: depression | Característica topográfica: depresión |</v>
      </c>
    </row>
    <row r="274" spans="2:17" x14ac:dyDescent="0.55000000000000004">
      <c r="B274" s="1" t="s">
        <v>1681</v>
      </c>
      <c r="C274" s="1" t="s">
        <v>1682</v>
      </c>
      <c r="D274" s="1" t="s">
        <v>1683</v>
      </c>
      <c r="Q274" s="5" t="str">
        <f t="shared" si="15"/>
        <v>| C□-TOPO-MAJR | Topographic feature: major (contours) | Característica topográfica: principal (curvas de nivel) |</v>
      </c>
    </row>
    <row r="275" spans="2:17" x14ac:dyDescent="0.55000000000000004">
      <c r="B275" s="1" t="s">
        <v>1684</v>
      </c>
      <c r="C275" s="1" t="s">
        <v>1685</v>
      </c>
      <c r="D275" s="1" t="s">
        <v>1686</v>
      </c>
      <c r="Q275" s="5" t="str">
        <f t="shared" si="15"/>
        <v>| C□-TOPO-MINR | Topographic feature: minor (contours) | Característica topográfica: menor (curvas de nivel) |</v>
      </c>
    </row>
    <row r="276" spans="2:17" x14ac:dyDescent="0.55000000000000004">
      <c r="B276" s="1" t="s">
        <v>1687</v>
      </c>
      <c r="C276" s="1" t="s">
        <v>1688</v>
      </c>
      <c r="D276" s="1" t="s">
        <v>1689</v>
      </c>
      <c r="Q276" s="5" t="str">
        <f t="shared" si="15"/>
        <v>| C□-TOPO-SPOT | Topographic feature: spot elevations | Característica topográfica: elevaciones puntuales |</v>
      </c>
    </row>
    <row r="277" spans="2:17" x14ac:dyDescent="0.55000000000000004">
      <c r="B277" s="1" t="s">
        <v>1690</v>
      </c>
      <c r="C277" s="1" t="s">
        <v>1691</v>
      </c>
      <c r="D277" s="1" t="s">
        <v>1692</v>
      </c>
      <c r="Q277" s="5" t="str">
        <f t="shared" si="15"/>
        <v>| C□-TOPO-TPIT | Topographic feature: test pits | Característica topográfica: pozos de sondeo |</v>
      </c>
    </row>
    <row r="278" spans="2:17" x14ac:dyDescent="0.55000000000000004">
      <c r="B278" s="1" t="s">
        <v>1693</v>
      </c>
      <c r="C278" s="1" t="s">
        <v>725</v>
      </c>
      <c r="D278" s="1" t="s">
        <v>726</v>
      </c>
      <c r="Q278" s="5" t="str">
        <f t="shared" si="15"/>
        <v>| C□-TRAL | Trails or paths | Senderos o caminos |</v>
      </c>
    </row>
    <row r="279" spans="2:17" x14ac:dyDescent="0.55000000000000004">
      <c r="B279" s="1" t="s">
        <v>1694</v>
      </c>
      <c r="C279" s="1" t="s">
        <v>1695</v>
      </c>
      <c r="D279" s="1" t="s">
        <v>1696</v>
      </c>
      <c r="Q279" s="5" t="str">
        <f t="shared" si="15"/>
        <v>| C□-TRAL-ASPH | Trails or paths: asphalt | Senderos o caminos: asfalto |</v>
      </c>
    </row>
    <row r="280" spans="2:17" x14ac:dyDescent="0.55000000000000004">
      <c r="B280" s="1" t="s">
        <v>1697</v>
      </c>
      <c r="C280" s="1" t="s">
        <v>1698</v>
      </c>
      <c r="D280" s="1" t="s">
        <v>1699</v>
      </c>
      <c r="Q280" s="5" t="str">
        <f t="shared" si="15"/>
        <v>| C□-TRAL-CONC | Trails or paths: concrete | Senderos o caminos: hormigón |</v>
      </c>
    </row>
    <row r="281" spans="2:17" x14ac:dyDescent="0.55000000000000004">
      <c r="B281" s="1" t="s">
        <v>1700</v>
      </c>
      <c r="C281" s="1" t="s">
        <v>1701</v>
      </c>
      <c r="D281" s="1" t="s">
        <v>1702</v>
      </c>
      <c r="Q281" s="5" t="str">
        <f t="shared" si="15"/>
        <v>| C□-TRAL-GRVL | Trails or paths: gravel | Senderos o Caminos: grava |</v>
      </c>
    </row>
    <row r="282" spans="2:17" x14ac:dyDescent="0.55000000000000004">
      <c r="B282" s="1" t="s">
        <v>1703</v>
      </c>
      <c r="C282" s="1" t="s">
        <v>1704</v>
      </c>
      <c r="D282" s="1" t="s">
        <v>1705</v>
      </c>
      <c r="Q282" s="5" t="str">
        <f t="shared" si="15"/>
        <v>| C□-TRAL-MRKG | Trails or paths: pavement markings | Senderos o senderos: marcas en el pavimento |</v>
      </c>
    </row>
    <row r="283" spans="2:17" x14ac:dyDescent="0.55000000000000004">
      <c r="B283" s="1" t="s">
        <v>1706</v>
      </c>
      <c r="C283" s="1" t="s">
        <v>1707</v>
      </c>
      <c r="D283" s="1" t="s">
        <v>1708</v>
      </c>
      <c r="Q283" s="5" t="str">
        <f t="shared" si="15"/>
        <v>| C□-TRAL-SIGN | Trails or paths: signage | Senderos o senderos: señalización |</v>
      </c>
    </row>
    <row r="284" spans="2:17" x14ac:dyDescent="0.55000000000000004">
      <c r="B284" s="1" t="s">
        <v>1709</v>
      </c>
      <c r="C284" s="1" t="s">
        <v>1710</v>
      </c>
      <c r="D284" s="1" t="s">
        <v>1711</v>
      </c>
      <c r="Q284" s="5" t="str">
        <f t="shared" si="15"/>
        <v>| C□-TRAL-UPVD | Trails or paths: unpaved surface | Senderos o senderos: superficie sin pavimentar |</v>
      </c>
    </row>
    <row r="285" spans="2:17" x14ac:dyDescent="0.55000000000000004">
      <c r="B285" s="1" t="s">
        <v>1712</v>
      </c>
      <c r="C285" s="1" t="s">
        <v>752</v>
      </c>
      <c r="D285" s="1" t="s">
        <v>753</v>
      </c>
      <c r="Q285" s="5" t="str">
        <f t="shared" si="15"/>
        <v>| C□-WALL | Walls | Muros |</v>
      </c>
    </row>
    <row r="286" spans="2:17" x14ac:dyDescent="0.55000000000000004">
      <c r="B286" s="1" t="s">
        <v>1713</v>
      </c>
      <c r="C286" s="1" t="s">
        <v>1714</v>
      </c>
      <c r="D286" s="1" t="s">
        <v>1715</v>
      </c>
      <c r="Q286" s="5" t="str">
        <f t="shared" si="15"/>
        <v>| C□-WALL-CTLJ | Walls: control joint | Muros: junta de control |</v>
      </c>
    </row>
    <row r="287" spans="2:17" x14ac:dyDescent="0.55000000000000004">
      <c r="B287" s="1" t="s">
        <v>1716</v>
      </c>
      <c r="C287" s="1" t="s">
        <v>1717</v>
      </c>
      <c r="D287" s="1" t="s">
        <v>1718</v>
      </c>
      <c r="Q287" s="5" t="str">
        <f t="shared" si="15"/>
        <v>| C□-WALL-NSBR | Walls: noise barrier | Muros: barrera acústica |</v>
      </c>
    </row>
    <row r="288" spans="2:17" x14ac:dyDescent="0.55000000000000004">
      <c r="B288" s="1" t="s">
        <v>1719</v>
      </c>
      <c r="C288" s="1" t="s">
        <v>1720</v>
      </c>
      <c r="D288" s="1" t="s">
        <v>1721</v>
      </c>
      <c r="Q288" s="5" t="str">
        <f t="shared" si="15"/>
        <v>| C□-WALL-RTWL | Walls: retaining wall | Muros: muro de contención |</v>
      </c>
    </row>
    <row r="289" spans="2:17" x14ac:dyDescent="0.55000000000000004">
      <c r="B289" s="1" t="s">
        <v>1722</v>
      </c>
      <c r="C289" s="1" t="s">
        <v>1723</v>
      </c>
      <c r="D289" s="1" t="s">
        <v>1724</v>
      </c>
      <c r="Q289" s="5" t="str">
        <f t="shared" si="15"/>
        <v>| C□-WALL-SHEA | Walls: structural bearing or shear walls | Muros: muros de carga o de corte |</v>
      </c>
    </row>
    <row r="290" spans="2:17" x14ac:dyDescent="0.55000000000000004">
      <c r="B290" s="1" t="s">
        <v>1725</v>
      </c>
      <c r="C290" s="1" t="s">
        <v>755</v>
      </c>
      <c r="D290" s="1" t="s">
        <v>756</v>
      </c>
      <c r="Q290" s="5" t="str">
        <f t="shared" si="15"/>
        <v>| C□-WATR | Water supply | Suministro de agua |</v>
      </c>
    </row>
    <row r="291" spans="2:17" x14ac:dyDescent="0.55000000000000004">
      <c r="B291" s="1" t="s">
        <v>1726</v>
      </c>
      <c r="C291" s="1" t="s">
        <v>1727</v>
      </c>
      <c r="D291" s="1" t="s">
        <v>1728</v>
      </c>
      <c r="Q291" s="5" t="str">
        <f t="shared" si="15"/>
        <v>| C□-WATR-DIAG | Water supply: diagrams | Suministro de agua: diagramas |</v>
      </c>
    </row>
    <row r="292" spans="2:17" x14ac:dyDescent="0.55000000000000004">
      <c r="B292" s="1" t="s">
        <v>1729</v>
      </c>
      <c r="C292" s="1" t="s">
        <v>1730</v>
      </c>
      <c r="D292" s="1" t="s">
        <v>1731</v>
      </c>
      <c r="Q292" s="5" t="str">
        <f t="shared" si="15"/>
        <v>| C□-WATR-INST | Water supply: instrumentation (meters, valves, etc.)  | Suministro de agua: instrumentación (medidores, válvulas, etc.) |</v>
      </c>
    </row>
    <row r="293" spans="2:17" x14ac:dyDescent="0.55000000000000004">
      <c r="B293" s="1" t="s">
        <v>1732</v>
      </c>
      <c r="C293" s="1" t="s">
        <v>1733</v>
      </c>
      <c r="D293" s="1" t="s">
        <v>1734</v>
      </c>
      <c r="Q293" s="5" t="str">
        <f t="shared" si="15"/>
        <v>| C□-WATR-PIPE | Water supply: piping | Suministro de agua: tuberías |</v>
      </c>
    </row>
    <row r="294" spans="2:17" x14ac:dyDescent="0.55000000000000004">
      <c r="B294" s="1" t="s">
        <v>1735</v>
      </c>
      <c r="C294" s="1" t="s">
        <v>1736</v>
      </c>
      <c r="D294" s="1" t="s">
        <v>1737</v>
      </c>
      <c r="Q294" s="5" t="str">
        <f t="shared" si="15"/>
        <v>| C□-WATR-PROF | Water supply: profile | Suministro de agua: perfil |</v>
      </c>
    </row>
    <row r="295" spans="2:17" x14ac:dyDescent="0.55000000000000004">
      <c r="B295" s="1" t="s">
        <v>1738</v>
      </c>
      <c r="C295" s="1" t="s">
        <v>1739</v>
      </c>
      <c r="D295" s="1" t="s">
        <v>1740</v>
      </c>
      <c r="Q295" s="5" t="str">
        <f t="shared" si="15"/>
        <v>| C□-WATR-STAN | Water supply: stationing | Suministro de agua: estacionamiento |</v>
      </c>
    </row>
    <row r="296" spans="2:17" x14ac:dyDescent="0.55000000000000004">
      <c r="B296" s="1" t="s">
        <v>1741</v>
      </c>
      <c r="C296" s="1" t="s">
        <v>1742</v>
      </c>
      <c r="D296" s="1" t="s">
        <v>1743</v>
      </c>
      <c r="Q296" s="5" t="str">
        <f t="shared" si="15"/>
        <v>| C□-WATR-STRC | Water supply: structures | Suministro de agua: estructuras |</v>
      </c>
    </row>
    <row r="297" spans="2:17" x14ac:dyDescent="0.55000000000000004">
      <c r="B297" s="1" t="s">
        <v>1744</v>
      </c>
      <c r="C297" s="1" t="s">
        <v>1745</v>
      </c>
      <c r="D297" s="1" t="s">
        <v>1746</v>
      </c>
      <c r="Q297" s="5" t="str">
        <f t="shared" si="15"/>
        <v>| C□-WATR-UGND | Water supply: underground | Suministro de agua: subterráneo |</v>
      </c>
    </row>
    <row r="298" spans="2:17" x14ac:dyDescent="0.55000000000000004">
      <c r="B298" s="1" t="s">
        <v>1747</v>
      </c>
      <c r="C298" s="1" t="s">
        <v>1748</v>
      </c>
      <c r="D298" s="1" t="s">
        <v>1749</v>
      </c>
      <c r="Q298" s="5" t="str">
        <f t="shared" si="15"/>
        <v>| C□-WATR-WELL | Water supply: well | Suministro de agua: pozo |</v>
      </c>
    </row>
    <row r="299" spans="2:17" x14ac:dyDescent="0.55000000000000004">
      <c r="B299" s="1" t="s">
        <v>1750</v>
      </c>
      <c r="C299" s="1" t="s">
        <v>758</v>
      </c>
      <c r="D299" s="1" t="s">
        <v>759</v>
      </c>
      <c r="Q299" s="5" t="str">
        <f t="shared" si="15"/>
        <v>| C□-WETL | Wetlands | Humedales |</v>
      </c>
    </row>
    <row r="300" spans="2:17" x14ac:dyDescent="0.55000000000000004">
      <c r="B300" s="1" t="s">
        <v>1751</v>
      </c>
      <c r="C300" s="1" t="s">
        <v>764</v>
      </c>
      <c r="D300" s="1" t="s">
        <v>765</v>
      </c>
      <c r="Q300" s="5" t="str">
        <f t="shared" si="15"/>
        <v>| C□-WWAY | Waterway | Vía fluvial |</v>
      </c>
    </row>
    <row r="301" spans="2:17" x14ac:dyDescent="0.55000000000000004">
      <c r="B301" s="1" t="s">
        <v>1752</v>
      </c>
      <c r="C301" s="1" t="s">
        <v>1753</v>
      </c>
      <c r="D301" s="1" t="s">
        <v>1754</v>
      </c>
      <c r="Q301" s="5" t="str">
        <f t="shared" si="15"/>
        <v>| C□-WWAY-DLPH | Waterway: dolphin | Vía fluvial: delfín |</v>
      </c>
    </row>
    <row r="302" spans="2:17" x14ac:dyDescent="0.55000000000000004">
      <c r="B302" s="1" t="s">
        <v>1755</v>
      </c>
      <c r="C302" s="1" t="s">
        <v>1756</v>
      </c>
      <c r="D302" s="1" t="s">
        <v>1757</v>
      </c>
      <c r="Q302" s="5" t="str">
        <f t="shared" si="15"/>
        <v>| C□-WWAY-FEND | Waterway: fender | Vía fluvial: defensa |</v>
      </c>
    </row>
    <row r="303" spans="2:17" x14ac:dyDescent="0.55000000000000004">
      <c r="B303" s="1" t="s">
        <v>1758</v>
      </c>
      <c r="C303" s="1" t="s">
        <v>1759</v>
      </c>
      <c r="D303" s="1" t="s">
        <v>1760</v>
      </c>
      <c r="Q303" s="5" t="str">
        <f t="shared" si="15"/>
        <v>| C□-WWAY-MOOR | Waterway: mooring | Vía fluvial: amarre |</v>
      </c>
    </row>
    <row r="304" spans="2:17" x14ac:dyDescent="0.55000000000000004">
      <c r="Q304" s="5" t="str">
        <f t="shared" si="15"/>
        <v>|  |  |  |</v>
      </c>
    </row>
    <row r="305" spans="17:17" x14ac:dyDescent="0.55000000000000004">
      <c r="Q305" s="5" t="str">
        <f t="shared" si="15"/>
        <v>|  |  |  |</v>
      </c>
    </row>
    <row r="306" spans="17:17" x14ac:dyDescent="0.55000000000000004">
      <c r="Q306" s="5" t="str">
        <f t="shared" si="15"/>
        <v>|  |  |  |</v>
      </c>
    </row>
    <row r="307" spans="17:17" x14ac:dyDescent="0.55000000000000004">
      <c r="Q307" s="5" t="str">
        <f t="shared" si="15"/>
        <v>|  |  |  |</v>
      </c>
    </row>
    <row r="308" spans="17:17" x14ac:dyDescent="0.55000000000000004">
      <c r="Q308" s="5" t="str">
        <f t="shared" si="15"/>
        <v>|  |  |  |</v>
      </c>
    </row>
    <row r="309" spans="17:17" x14ac:dyDescent="0.55000000000000004">
      <c r="Q309" s="5" t="str">
        <f t="shared" si="15"/>
        <v>|  |  |  |</v>
      </c>
    </row>
    <row r="310" spans="17:17" x14ac:dyDescent="0.55000000000000004">
      <c r="Q310" s="5" t="str">
        <f t="shared" si="15"/>
        <v>|  |  |  |</v>
      </c>
    </row>
    <row r="311" spans="17:17" x14ac:dyDescent="0.55000000000000004">
      <c r="Q311" s="5" t="str">
        <f t="shared" si="15"/>
        <v>|  |  |  |</v>
      </c>
    </row>
    <row r="312" spans="17:17" x14ac:dyDescent="0.55000000000000004">
      <c r="Q312" s="5" t="str">
        <f t="shared" si="15"/>
        <v>|  |  |  |</v>
      </c>
    </row>
    <row r="313" spans="17:17" x14ac:dyDescent="0.55000000000000004">
      <c r="Q313" s="5" t="str">
        <f t="shared" si="15"/>
        <v>|  |  |  |</v>
      </c>
    </row>
    <row r="314" spans="17:17" x14ac:dyDescent="0.55000000000000004">
      <c r="Q314" s="5" t="str">
        <f t="shared" si="15"/>
        <v>|  |  |  |</v>
      </c>
    </row>
    <row r="315" spans="17:17" x14ac:dyDescent="0.55000000000000004">
      <c r="Q315" s="5" t="str">
        <f t="shared" si="15"/>
        <v>|  |  |  |</v>
      </c>
    </row>
    <row r="316" spans="17:17" x14ac:dyDescent="0.55000000000000004">
      <c r="Q316" s="5" t="str">
        <f t="shared" si="15"/>
        <v>|  |  |  |</v>
      </c>
    </row>
    <row r="317" spans="17:17" x14ac:dyDescent="0.55000000000000004">
      <c r="Q317" s="5" t="str">
        <f t="shared" si="15"/>
        <v>|  |  |  |</v>
      </c>
    </row>
    <row r="318" spans="17:17" x14ac:dyDescent="0.55000000000000004">
      <c r="Q318" s="5" t="str">
        <f t="shared" si="15"/>
        <v>|  |  |  |</v>
      </c>
    </row>
    <row r="319" spans="17:17" x14ac:dyDescent="0.55000000000000004">
      <c r="Q319" s="5" t="str">
        <f t="shared" si="15"/>
        <v>|  |  |  |</v>
      </c>
    </row>
    <row r="320" spans="17:17" x14ac:dyDescent="0.55000000000000004">
      <c r="Q320" s="5" t="str">
        <f t="shared" si="15"/>
        <v>|  |  |  |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Sample</vt:lpstr>
      <vt:lpstr>LayerL1</vt:lpstr>
      <vt:lpstr>LayerL2</vt:lpstr>
      <vt:lpstr>Group</vt:lpstr>
      <vt:lpstr>Estado</vt:lpstr>
      <vt:lpstr>Arch</vt:lpstr>
      <vt:lpstr>Civil</vt:lpstr>
      <vt:lpstr>Arch!_Toc107986980</vt:lpstr>
      <vt:lpstr>Civil!_Toc107986980</vt:lpstr>
      <vt:lpstr>Estado!_Toc107986980</vt:lpstr>
      <vt:lpstr>Group!_Toc107986980</vt:lpstr>
      <vt:lpstr>LayerL1!_Toc107986980</vt:lpstr>
      <vt:lpstr>LayerL2!_Toc107986980</vt:lpstr>
      <vt:lpstr>Sample!_Toc107986980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 R ]</dc:creator>
  <cp:lastModifiedBy>WILLIAM RICARDO AGUILAR PIÑA</cp:lastModifiedBy>
  <dcterms:created xsi:type="dcterms:W3CDTF">2021-12-14T17:59:01Z</dcterms:created>
  <dcterms:modified xsi:type="dcterms:W3CDTF">2025-06-23T22:23:55Z</dcterms:modified>
</cp:coreProperties>
</file>