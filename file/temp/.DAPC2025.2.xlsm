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pruebacorreoescuelaingeduco-my.sharepoint.com/personal/william_aguilar_escuelaing_edu_co/Documents/UECIJG.Student/DAPC2025.2/"/>
    </mc:Choice>
  </mc:AlternateContent>
  <xr:revisionPtr revIDLastSave="464" documentId="13_ncr:1_{D598BAA0-81DB-4BA2-8BAF-6526EC43DE80}" xr6:coauthVersionLast="47" xr6:coauthVersionMax="47" xr10:uidLastSave="{CE440284-8D26-49CA-99CD-8CABDD841E87}"/>
  <bookViews>
    <workbookView xWindow="-108" yWindow="-108" windowWidth="23256" windowHeight="12456" tabRatio="851" activeTab="1" xr2:uid="{00000000-000D-0000-FFFF-FFFF00000000}"/>
  </bookViews>
  <sheets>
    <sheet name="Alumnos" sheetId="8" r:id="rId1"/>
    <sheet name="GrupoProy" sheetId="165" r:id="rId2"/>
    <sheet name="Asistencia" sheetId="163" r:id="rId3"/>
    <sheet name="0C" sheetId="161" r:id="rId4"/>
    <sheet name="4TI(no borrar)" sheetId="125" r:id="rId5"/>
    <sheet name="Licencias" sheetId="162" r:id="rId6"/>
    <sheet name="Autodesk" sheetId="164" r:id="rId7"/>
  </sheets>
  <definedNames>
    <definedName name="_xlnm._FilterDatabase" localSheetId="0" hidden="1">Alumnos!$B$5:$DH$46</definedName>
    <definedName name="_xlnm._FilterDatabase" localSheetId="1" hidden="1">GrupoProy!$B$3:$G$34</definedName>
    <definedName name="_xlnm.Print_Area" localSheetId="2">Asistencia!$B$1:$D$34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165" l="1"/>
  <c r="E6" i="165"/>
  <c r="E7" i="165"/>
  <c r="E8" i="165"/>
  <c r="E9" i="165"/>
  <c r="E10" i="165"/>
  <c r="F10" i="165" s="1"/>
  <c r="E11" i="165"/>
  <c r="E12" i="165"/>
  <c r="E13" i="165"/>
  <c r="E14" i="165"/>
  <c r="E15" i="165"/>
  <c r="E16" i="165"/>
  <c r="F16" i="165" s="1"/>
  <c r="E17" i="165"/>
  <c r="E18" i="165"/>
  <c r="E19" i="165"/>
  <c r="E20" i="165"/>
  <c r="E21" i="165"/>
  <c r="E4" i="165"/>
  <c r="F4" i="165" l="1"/>
  <c r="O7" i="8" l="1"/>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6" i="8"/>
  <c r="AT6" i="8"/>
  <c r="AT7" i="8"/>
  <c r="AT8" i="8"/>
  <c r="AT9" i="8"/>
  <c r="AT10" i="8"/>
  <c r="AT11" i="8"/>
  <c r="AT12" i="8"/>
  <c r="AT13" i="8"/>
  <c r="AT14" i="8"/>
  <c r="AT15" i="8"/>
  <c r="AT16" i="8"/>
  <c r="AT17" i="8"/>
  <c r="AT18" i="8"/>
  <c r="AT19" i="8"/>
  <c r="AT20" i="8"/>
  <c r="AT21" i="8"/>
  <c r="AT22" i="8"/>
  <c r="AT23" i="8"/>
  <c r="AT24" i="8"/>
  <c r="AT25" i="8"/>
  <c r="AT26" i="8"/>
  <c r="AT27" i="8"/>
  <c r="AT28" i="8"/>
  <c r="AT29" i="8"/>
  <c r="AT30" i="8"/>
  <c r="AT31" i="8"/>
  <c r="AT32" i="8"/>
  <c r="AT33" i="8"/>
  <c r="AT34" i="8"/>
  <c r="AT35" i="8"/>
  <c r="AR46" i="8"/>
  <c r="AS46" i="8"/>
  <c r="DB35" i="8"/>
  <c r="CY35" i="8"/>
  <c r="CQ35" i="8"/>
  <c r="BX35" i="8"/>
  <c r="BU35" i="8"/>
  <c r="BM35" i="8"/>
  <c r="AQ35" i="8"/>
  <c r="AI35" i="8"/>
  <c r="D35" i="8"/>
  <c r="DB34" i="8"/>
  <c r="CY34" i="8"/>
  <c r="CQ34" i="8"/>
  <c r="BX34" i="8"/>
  <c r="BU34" i="8"/>
  <c r="BM34" i="8"/>
  <c r="AQ34" i="8"/>
  <c r="AI34" i="8"/>
  <c r="D34" i="8"/>
  <c r="DB33" i="8"/>
  <c r="CY33" i="8"/>
  <c r="CQ33" i="8"/>
  <c r="BX33" i="8"/>
  <c r="BU33" i="8"/>
  <c r="BM33" i="8"/>
  <c r="AQ33" i="8"/>
  <c r="AI33" i="8"/>
  <c r="D33" i="8"/>
  <c r="DB32" i="8"/>
  <c r="CY32" i="8"/>
  <c r="CQ32" i="8"/>
  <c r="BX32" i="8"/>
  <c r="BU32" i="8"/>
  <c r="BM32" i="8"/>
  <c r="AQ32" i="8"/>
  <c r="AI32" i="8"/>
  <c r="D32" i="8"/>
  <c r="DB31" i="8"/>
  <c r="CY31" i="8"/>
  <c r="CQ31" i="8"/>
  <c r="BX31" i="8"/>
  <c r="BU31" i="8"/>
  <c r="BM31" i="8"/>
  <c r="AQ31" i="8"/>
  <c r="AI31" i="8"/>
  <c r="D31" i="8"/>
  <c r="DB30" i="8"/>
  <c r="CY30" i="8"/>
  <c r="CQ30" i="8"/>
  <c r="BX30" i="8"/>
  <c r="BU30" i="8"/>
  <c r="BM30" i="8"/>
  <c r="AQ30" i="8"/>
  <c r="AI30" i="8"/>
  <c r="D30" i="8"/>
  <c r="DB29" i="8"/>
  <c r="CY29" i="8"/>
  <c r="CQ29" i="8"/>
  <c r="BX29" i="8"/>
  <c r="BU29" i="8"/>
  <c r="BM29" i="8"/>
  <c r="AQ29" i="8"/>
  <c r="AI29" i="8"/>
  <c r="D29" i="8"/>
  <c r="DB28" i="8"/>
  <c r="CY28" i="8"/>
  <c r="CQ28" i="8"/>
  <c r="BX28" i="8"/>
  <c r="BU28" i="8"/>
  <c r="BM28" i="8"/>
  <c r="AQ28" i="8"/>
  <c r="AI28" i="8"/>
  <c r="D28" i="8"/>
  <c r="DB27" i="8"/>
  <c r="CY27" i="8"/>
  <c r="CQ27" i="8"/>
  <c r="BX27" i="8"/>
  <c r="BU27" i="8"/>
  <c r="BM27" i="8"/>
  <c r="AQ27" i="8"/>
  <c r="AI27" i="8"/>
  <c r="D27" i="8"/>
  <c r="DB26" i="8"/>
  <c r="CY26" i="8"/>
  <c r="CQ26" i="8"/>
  <c r="BX26" i="8"/>
  <c r="BU26" i="8"/>
  <c r="BM26" i="8"/>
  <c r="AQ26" i="8"/>
  <c r="AI26" i="8"/>
  <c r="D26" i="8"/>
  <c r="DB25" i="8"/>
  <c r="CY25" i="8"/>
  <c r="CQ25" i="8"/>
  <c r="BX25" i="8"/>
  <c r="BU25" i="8"/>
  <c r="BM25" i="8"/>
  <c r="AQ25" i="8"/>
  <c r="AI25" i="8"/>
  <c r="D25" i="8"/>
  <c r="DB24" i="8"/>
  <c r="CY24" i="8"/>
  <c r="CQ24" i="8"/>
  <c r="BX24" i="8"/>
  <c r="BU24" i="8"/>
  <c r="BM24" i="8"/>
  <c r="AQ24" i="8"/>
  <c r="AI24" i="8"/>
  <c r="D24" i="8"/>
  <c r="DB23" i="8"/>
  <c r="CY23" i="8"/>
  <c r="CQ23" i="8"/>
  <c r="BX23" i="8"/>
  <c r="BU23" i="8"/>
  <c r="BM23" i="8"/>
  <c r="AQ23" i="8"/>
  <c r="AI23" i="8"/>
  <c r="D23" i="8"/>
  <c r="DB22" i="8"/>
  <c r="CY22" i="8"/>
  <c r="CQ22" i="8"/>
  <c r="BX22" i="8"/>
  <c r="BU22" i="8"/>
  <c r="BM22" i="8"/>
  <c r="AQ22" i="8"/>
  <c r="AI22" i="8"/>
  <c r="D22" i="8"/>
  <c r="DB21" i="8"/>
  <c r="CY21" i="8"/>
  <c r="CQ21" i="8"/>
  <c r="BX21" i="8"/>
  <c r="BU21" i="8"/>
  <c r="BM21" i="8"/>
  <c r="AQ21" i="8"/>
  <c r="AI21" i="8"/>
  <c r="D21" i="8"/>
  <c r="DB20" i="8"/>
  <c r="CY20" i="8"/>
  <c r="CQ20" i="8"/>
  <c r="BX20" i="8"/>
  <c r="BU20" i="8"/>
  <c r="BM20" i="8"/>
  <c r="AQ20" i="8"/>
  <c r="AI20" i="8"/>
  <c r="D20" i="8"/>
  <c r="DB19" i="8"/>
  <c r="CY19" i="8"/>
  <c r="CQ19" i="8"/>
  <c r="BX19" i="8"/>
  <c r="BU19" i="8"/>
  <c r="BM19" i="8"/>
  <c r="AQ19" i="8"/>
  <c r="AI19" i="8"/>
  <c r="D19" i="8"/>
  <c r="DB18" i="8"/>
  <c r="CY18" i="8"/>
  <c r="CQ18" i="8"/>
  <c r="BX18" i="8"/>
  <c r="BU18" i="8"/>
  <c r="BM18" i="8"/>
  <c r="AQ18" i="8"/>
  <c r="AI18" i="8"/>
  <c r="D18" i="8"/>
  <c r="DB17" i="8"/>
  <c r="CY17" i="8"/>
  <c r="CQ17" i="8"/>
  <c r="BX17" i="8"/>
  <c r="BU17" i="8"/>
  <c r="BM17" i="8"/>
  <c r="AQ17" i="8"/>
  <c r="AI17" i="8"/>
  <c r="D17" i="8"/>
  <c r="DB16" i="8"/>
  <c r="CY16" i="8"/>
  <c r="CQ16" i="8"/>
  <c r="BX16" i="8"/>
  <c r="BU16" i="8"/>
  <c r="BM16" i="8"/>
  <c r="AQ16" i="8"/>
  <c r="AI16" i="8"/>
  <c r="D16" i="8"/>
  <c r="DB15" i="8"/>
  <c r="CY15" i="8"/>
  <c r="CQ15" i="8"/>
  <c r="BX15" i="8"/>
  <c r="BU15" i="8"/>
  <c r="BM15" i="8"/>
  <c r="AQ15" i="8"/>
  <c r="AI15" i="8"/>
  <c r="D15" i="8"/>
  <c r="DB14" i="8"/>
  <c r="CY14" i="8"/>
  <c r="CQ14" i="8"/>
  <c r="BX14" i="8"/>
  <c r="BU14" i="8"/>
  <c r="BM14" i="8"/>
  <c r="AQ14" i="8"/>
  <c r="AI14" i="8"/>
  <c r="D14" i="8"/>
  <c r="G11" i="161"/>
  <c r="G10" i="161"/>
  <c r="G9" i="161"/>
  <c r="DB13" i="8"/>
  <c r="DB12" i="8"/>
  <c r="CY13" i="8"/>
  <c r="CY12" i="8"/>
  <c r="CQ13" i="8"/>
  <c r="CQ12" i="8"/>
  <c r="BX13" i="8"/>
  <c r="BX12" i="8"/>
  <c r="BU13" i="8"/>
  <c r="BU12" i="8"/>
  <c r="BM13" i="8"/>
  <c r="BM12" i="8"/>
  <c r="AQ13" i="8"/>
  <c r="AQ12" i="8"/>
  <c r="B48" i="8"/>
  <c r="AT46" i="8" l="1"/>
  <c r="AI13" i="8"/>
  <c r="AI12" i="8"/>
  <c r="D13" i="8"/>
  <c r="D12" i="8"/>
  <c r="D11" i="8" l="1"/>
  <c r="D10" i="8"/>
  <c r="D9" i="8"/>
  <c r="D8" i="8"/>
  <c r="D7" i="8"/>
  <c r="D6" i="8"/>
  <c r="DB11" i="8"/>
  <c r="CY11" i="8"/>
  <c r="CQ11" i="8"/>
  <c r="BX11" i="8"/>
  <c r="BU11" i="8"/>
  <c r="BM11" i="8"/>
  <c r="AQ11" i="8"/>
  <c r="AI11" i="8"/>
  <c r="G8" i="161"/>
  <c r="G7" i="161"/>
  <c r="Y46" i="8" l="1"/>
  <c r="G4" i="161"/>
  <c r="L46" i="8"/>
  <c r="K46" i="8"/>
  <c r="DB10" i="8" l="1"/>
  <c r="CY10" i="8"/>
  <c r="CQ10" i="8"/>
  <c r="BX10" i="8"/>
  <c r="BU10" i="8"/>
  <c r="BM10" i="8"/>
  <c r="AQ10" i="8"/>
  <c r="AI10" i="8"/>
  <c r="DB9" i="8"/>
  <c r="CY9" i="8"/>
  <c r="CQ9" i="8"/>
  <c r="BX9" i="8"/>
  <c r="BU9" i="8"/>
  <c r="BM9" i="8"/>
  <c r="AQ9" i="8"/>
  <c r="AI9" i="8"/>
  <c r="K34" i="161"/>
  <c r="J34" i="161"/>
  <c r="I34" i="161"/>
  <c r="H34" i="161"/>
  <c r="F34" i="161"/>
  <c r="E34" i="161"/>
  <c r="G6" i="161"/>
  <c r="G5" i="161"/>
  <c r="AX46" i="8"/>
  <c r="AQ8" i="8"/>
  <c r="AQ7" i="8"/>
  <c r="AQ6" i="8"/>
  <c r="CJ46" i="8"/>
  <c r="G34" i="161" l="1"/>
  <c r="E34" i="125" l="1"/>
  <c r="J34" i="125"/>
  <c r="I34" i="125"/>
  <c r="H34" i="125"/>
  <c r="F34" i="125"/>
  <c r="G16" i="125"/>
  <c r="G15" i="125"/>
  <c r="G14" i="125"/>
  <c r="G13" i="125"/>
  <c r="G12" i="125"/>
  <c r="G11" i="125"/>
  <c r="G10" i="125"/>
  <c r="G9" i="125"/>
  <c r="G8" i="125"/>
  <c r="G7" i="125"/>
  <c r="G6" i="125"/>
  <c r="G5" i="125"/>
  <c r="G4" i="125"/>
  <c r="G34" i="125" l="1"/>
  <c r="CQ8" i="8" l="1"/>
  <c r="CQ7" i="8"/>
  <c r="CQ6" i="8"/>
  <c r="DF4" i="8" l="1"/>
  <c r="CA33" i="8" l="1"/>
  <c r="CA21" i="8"/>
  <c r="CA17" i="8"/>
  <c r="CA16" i="8"/>
  <c r="CA20" i="8"/>
  <c r="CA26" i="8"/>
  <c r="CA28" i="8"/>
  <c r="CA22" i="8"/>
  <c r="CA31" i="8"/>
  <c r="CA19" i="8"/>
  <c r="CA14" i="8"/>
  <c r="CA23" i="8"/>
  <c r="CA30" i="8"/>
  <c r="CA25" i="8"/>
  <c r="CA32" i="8"/>
  <c r="CA24" i="8"/>
  <c r="CA35" i="8"/>
  <c r="CA18" i="8"/>
  <c r="CA27" i="8"/>
  <c r="CA34" i="8"/>
  <c r="CA29" i="8"/>
  <c r="CA15" i="8"/>
  <c r="DC17" i="8"/>
  <c r="DC29" i="8"/>
  <c r="DC23" i="8"/>
  <c r="DC18" i="8"/>
  <c r="DC21" i="8"/>
  <c r="DC14" i="8"/>
  <c r="DC25" i="8"/>
  <c r="DC19" i="8"/>
  <c r="DC16" i="8"/>
  <c r="DC15" i="8"/>
  <c r="DC20" i="8"/>
  <c r="DC31" i="8"/>
  <c r="DC22" i="8"/>
  <c r="DC26" i="8"/>
  <c r="DC30" i="8"/>
  <c r="DC28" i="8"/>
  <c r="DC32" i="8"/>
  <c r="DC24" i="8"/>
  <c r="DC34" i="8"/>
  <c r="DC27" i="8"/>
  <c r="DC33" i="8"/>
  <c r="DC35" i="8"/>
  <c r="CA11" i="8"/>
  <c r="CA12" i="8"/>
  <c r="CA13" i="8"/>
  <c r="DC11" i="8"/>
  <c r="DC13" i="8"/>
  <c r="DC12" i="8"/>
  <c r="CA10" i="8"/>
  <c r="CA9" i="8"/>
  <c r="DC9" i="8"/>
  <c r="DC10" i="8"/>
  <c r="CA4" i="8"/>
  <c r="AW32" i="8" l="1"/>
  <c r="DG32" i="8" s="1"/>
  <c r="DH32" i="8" s="1"/>
  <c r="DF32" i="8" s="1"/>
  <c r="DI32" i="8" s="1"/>
  <c r="AW34" i="8"/>
  <c r="DG34" i="8" s="1"/>
  <c r="DH34" i="8" s="1"/>
  <c r="DF34" i="8" s="1"/>
  <c r="DI34" i="8" s="1"/>
  <c r="AW29" i="8"/>
  <c r="DG29" i="8" s="1"/>
  <c r="DH29" i="8" s="1"/>
  <c r="DF29" i="8" s="1"/>
  <c r="DI29" i="8" s="1"/>
  <c r="AW17" i="8"/>
  <c r="DG17" i="8" s="1"/>
  <c r="DH17" i="8" s="1"/>
  <c r="DF17" i="8" s="1"/>
  <c r="DI17" i="8" s="1"/>
  <c r="AW22" i="8"/>
  <c r="DG22" i="8" s="1"/>
  <c r="DH22" i="8" s="1"/>
  <c r="DF22" i="8" s="1"/>
  <c r="DI22" i="8" s="1"/>
  <c r="AW35" i="8"/>
  <c r="DG35" i="8" s="1"/>
  <c r="DH35" i="8" s="1"/>
  <c r="DF35" i="8" s="1"/>
  <c r="DI35" i="8" s="1"/>
  <c r="AW23" i="8"/>
  <c r="DG23" i="8" s="1"/>
  <c r="DH23" i="8" s="1"/>
  <c r="DF23" i="8" s="1"/>
  <c r="DI23" i="8" s="1"/>
  <c r="AW24" i="8"/>
  <c r="DG24" i="8" s="1"/>
  <c r="DH24" i="8" s="1"/>
  <c r="DF24" i="8" s="1"/>
  <c r="DI24" i="8" s="1"/>
  <c r="AW14" i="8"/>
  <c r="AW18" i="8"/>
  <c r="DG18" i="8" s="1"/>
  <c r="DH18" i="8" s="1"/>
  <c r="DF18" i="8" s="1"/>
  <c r="DI18" i="8" s="1"/>
  <c r="AW28" i="8"/>
  <c r="DG28" i="8" s="1"/>
  <c r="DH28" i="8" s="1"/>
  <c r="DF28" i="8" s="1"/>
  <c r="DI28" i="8" s="1"/>
  <c r="AW20" i="8"/>
  <c r="DG20" i="8" s="1"/>
  <c r="DH20" i="8" s="1"/>
  <c r="DF20" i="8" s="1"/>
  <c r="DI20" i="8" s="1"/>
  <c r="AW30" i="8"/>
  <c r="DG30" i="8" s="1"/>
  <c r="DH30" i="8" s="1"/>
  <c r="DF30" i="8" s="1"/>
  <c r="DI30" i="8" s="1"/>
  <c r="AW19" i="8"/>
  <c r="DG19" i="8" s="1"/>
  <c r="DH19" i="8" s="1"/>
  <c r="DF19" i="8" s="1"/>
  <c r="DI19" i="8" s="1"/>
  <c r="AW26" i="8"/>
  <c r="DG26" i="8" s="1"/>
  <c r="DH26" i="8" s="1"/>
  <c r="DF26" i="8" s="1"/>
  <c r="DI26" i="8" s="1"/>
  <c r="AW31" i="8"/>
  <c r="DG31" i="8" s="1"/>
  <c r="DH31" i="8" s="1"/>
  <c r="DF31" i="8" s="1"/>
  <c r="DI31" i="8" s="1"/>
  <c r="AW33" i="8"/>
  <c r="DG33" i="8" s="1"/>
  <c r="DH33" i="8" s="1"/>
  <c r="DF33" i="8" s="1"/>
  <c r="DI33" i="8" s="1"/>
  <c r="AW21" i="8"/>
  <c r="DG21" i="8" s="1"/>
  <c r="DH21" i="8" s="1"/>
  <c r="DF21" i="8" s="1"/>
  <c r="DI21" i="8" s="1"/>
  <c r="AW27" i="8"/>
  <c r="DG27" i="8" s="1"/>
  <c r="DH27" i="8" s="1"/>
  <c r="DF27" i="8" s="1"/>
  <c r="DI27" i="8" s="1"/>
  <c r="AW25" i="8"/>
  <c r="AW15" i="8"/>
  <c r="DG15" i="8" s="1"/>
  <c r="DH15" i="8" s="1"/>
  <c r="DF15" i="8" s="1"/>
  <c r="DI15" i="8" s="1"/>
  <c r="AW16" i="8"/>
  <c r="DG16" i="8" s="1"/>
  <c r="DH16" i="8" s="1"/>
  <c r="DF16" i="8" s="1"/>
  <c r="DI16" i="8" s="1"/>
  <c r="AW12" i="8"/>
  <c r="DG12" i="8" s="1"/>
  <c r="DH12" i="8" s="1"/>
  <c r="DF12" i="8" s="1"/>
  <c r="AW13" i="8"/>
  <c r="AW11" i="8"/>
  <c r="DG11" i="8" s="1"/>
  <c r="DH11" i="8" s="1"/>
  <c r="DF11" i="8" s="1"/>
  <c r="DI11" i="8" s="1"/>
  <c r="AW9" i="8"/>
  <c r="DG9" i="8" s="1"/>
  <c r="AW10" i="8"/>
  <c r="DG10" i="8" s="1"/>
  <c r="AW4" i="8"/>
  <c r="DG14" i="8" l="1"/>
  <c r="DH14" i="8" s="1"/>
  <c r="DF14" i="8" s="1"/>
  <c r="DI14" i="8" s="1"/>
  <c r="DG25" i="8"/>
  <c r="DH25" i="8" s="1"/>
  <c r="DF25" i="8" s="1"/>
  <c r="DI25" i="8" s="1"/>
  <c r="DI12" i="8"/>
  <c r="DG13" i="8"/>
  <c r="DH13" i="8" s="1"/>
  <c r="DF13" i="8" s="1"/>
  <c r="DI13" i="8" s="1"/>
  <c r="CU46" i="8"/>
  <c r="CV46" i="8"/>
  <c r="CW46" i="8"/>
  <c r="CX46" i="8"/>
  <c r="BT46" i="8" l="1"/>
  <c r="J46" i="8" l="1"/>
  <c r="DB8" i="8" l="1"/>
  <c r="DB7" i="8"/>
  <c r="DB6" i="8"/>
  <c r="CZ46" i="8"/>
  <c r="BW46" i="8"/>
  <c r="BV46" i="8"/>
  <c r="BX8" i="8"/>
  <c r="BX7" i="8"/>
  <c r="BX6" i="8"/>
  <c r="BX46" i="8" l="1"/>
  <c r="DB46" i="8"/>
  <c r="BQ46" i="8" l="1"/>
  <c r="AI6" i="8" l="1"/>
  <c r="AW6" i="8" s="1"/>
  <c r="AI7" i="8"/>
  <c r="AW7" i="8" s="1"/>
  <c r="AI8" i="8"/>
  <c r="AW8" i="8" s="1"/>
  <c r="AW46" i="8" l="1"/>
  <c r="CY8" i="8"/>
  <c r="BU8" i="8" l="1"/>
  <c r="BU7" i="8"/>
  <c r="CR46" i="8" l="1"/>
  <c r="CP46" i="8"/>
  <c r="CL46" i="8"/>
  <c r="CK46" i="8"/>
  <c r="CI46" i="8"/>
  <c r="CH46" i="8"/>
  <c r="CG46" i="8"/>
  <c r="CF46" i="8"/>
  <c r="CE46" i="8"/>
  <c r="CD46" i="8"/>
  <c r="CC46" i="8"/>
  <c r="CB46" i="8"/>
  <c r="DC8" i="8"/>
  <c r="CY7" i="8"/>
  <c r="DC7" i="8" s="1"/>
  <c r="CY6" i="8"/>
  <c r="DC6" i="8" l="1"/>
  <c r="CY46" i="8"/>
  <c r="CQ46" i="8"/>
  <c r="BS46" i="8"/>
  <c r="BR46" i="8"/>
  <c r="BP46" i="8"/>
  <c r="BO46" i="8"/>
  <c r="BN46" i="8"/>
  <c r="BL46" i="8"/>
  <c r="BH46" i="8"/>
  <c r="BG46" i="8"/>
  <c r="BF46" i="8"/>
  <c r="BE46" i="8"/>
  <c r="BD46" i="8"/>
  <c r="BC46" i="8"/>
  <c r="BB46" i="8"/>
  <c r="BA46" i="8"/>
  <c r="AZ46" i="8"/>
  <c r="AY46" i="8"/>
  <c r="BM8" i="8"/>
  <c r="CA8" i="8" s="1"/>
  <c r="DG8" i="8" s="1"/>
  <c r="BM7" i="8"/>
  <c r="CA7" i="8" s="1"/>
  <c r="DG7" i="8" s="1"/>
  <c r="BU6" i="8"/>
  <c r="BU46" i="8" s="1"/>
  <c r="BM6" i="8"/>
  <c r="BM46" i="8" l="1"/>
  <c r="CA6" i="8"/>
  <c r="DG6" i="8" s="1"/>
  <c r="DH6" i="8" s="1"/>
  <c r="DF6" i="8" s="1"/>
  <c r="DI6" i="8" l="1"/>
  <c r="AP46" i="8"/>
  <c r="AO46" i="8"/>
  <c r="AN46" i="8"/>
  <c r="AM46" i="8"/>
  <c r="AL46" i="8"/>
  <c r="AK46" i="8"/>
  <c r="AJ46" i="8"/>
  <c r="AH46" i="8"/>
  <c r="AC46" i="8"/>
  <c r="AB46" i="8"/>
  <c r="AA46" i="8"/>
  <c r="Z46" i="8"/>
  <c r="X46" i="8"/>
  <c r="W46" i="8"/>
  <c r="V46" i="8"/>
  <c r="U46" i="8"/>
  <c r="T46" i="8"/>
  <c r="AI46" i="8"/>
  <c r="AQ46" i="8" l="1"/>
  <c r="DH8" i="8" l="1"/>
  <c r="DF8" i="8" s="1"/>
  <c r="DI8" i="8" s="1"/>
  <c r="DH9" i="8"/>
  <c r="DF9" i="8" s="1"/>
  <c r="DI9" i="8" s="1"/>
  <c r="DH10" i="8"/>
  <c r="DF10" i="8" s="1"/>
  <c r="DI10" i="8" s="1"/>
  <c r="DH7" i="8"/>
  <c r="DF7" i="8" s="1"/>
  <c r="DI7" i="8" s="1"/>
  <c r="DF46"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User</author>
    <author>Test</author>
  </authors>
  <commentList>
    <comment ref="T3" authorId="0" shapeId="0" xr:uid="{BC4016C5-D30E-41B7-9BB9-3EB9CE888DF7}">
      <text>
        <r>
          <rPr>
            <sz val="9"/>
            <color indexed="81"/>
            <rFont val="Calibri Light"/>
            <family val="2"/>
          </rPr>
          <t xml:space="preserve">5: Estuvo durante toda la clase
4: Llego a tiempo y salio temprano
4: Llego tarde y estuvo hasta el final de la clase
0: No asistió
</t>
        </r>
      </text>
    </comment>
    <comment ref="AX3" authorId="0" shapeId="0" xr:uid="{AA20586B-A688-416F-A126-162D475918B3}">
      <text>
        <r>
          <rPr>
            <sz val="9"/>
            <color indexed="81"/>
            <rFont val="Calibri Light"/>
            <family val="2"/>
          </rPr>
          <t>5: Estuvo durante toda la clase
4: Llego a tiempo y salio temprano
3.5: Llego tarde y estuvo hasta el final de la clase
0: No asistió</t>
        </r>
      </text>
    </comment>
    <comment ref="CB3" authorId="0" shapeId="0" xr:uid="{98892150-F8ED-4939-ABF1-A22E2E999010}">
      <text>
        <r>
          <rPr>
            <sz val="9"/>
            <color indexed="81"/>
            <rFont val="Calibri Light"/>
            <family val="2"/>
          </rPr>
          <t>5: Estuvo durante toda la clase
4: Llego a tiempo y salio temprano
3.5: Llego tarde y estuvo hasta el final de la clase
0: No asistió</t>
        </r>
      </text>
    </comment>
    <comment ref="DG3" authorId="0" shapeId="0" xr:uid="{AA43F893-629C-4B05-BBE2-8A9550B9CB82}">
      <text>
        <r>
          <rPr>
            <sz val="9"/>
            <color indexed="81"/>
            <rFont val="Segoe UI Light"/>
            <family val="2"/>
          </rPr>
          <t>ellaxxxxxxx, felicitaciones; por tú rendimiento académico, por la dedicación y empeño en la realización de las diferentes pruebas técnicas del curso PYAS y por el promedio obtenido en los dos primeros tercios y las calificaciones de las pruebas de evaluación del último tercio, has sido eximida de la presentación del examen final. La nota a reportar en este tercio es 5.0, los mejores éxitos en las demás asignaturas que vienes cursando y gracias por haber tomado este curso.
elxxxxxx, felicitaciones; por su rendimiento académico, por la dedicación y empeño en la realización de las diferentes pruebas técnicas del curso PYAS y por el promedio obtenido en los dos primeros tercios y las calificaciones de las pruebas de evaluación del último tercio, ha sido eximido de la presentación del examen final. La nota a reportar en este tercio es 4.7, los mejores éxitos en las demás asignaturas que viene cursando y gracias por haber tomado este curso.</t>
        </r>
      </text>
    </comment>
    <comment ref="B5" authorId="0" shapeId="0" xr:uid="{97D05C40-B9E2-41C8-A629-F6A8EC2C4D35}">
      <text>
        <r>
          <rPr>
            <sz val="9"/>
            <color indexed="81"/>
            <rFont val="Tahoma"/>
            <family val="2"/>
          </rPr>
          <t>Enlace Académico</t>
        </r>
      </text>
    </comment>
    <comment ref="H5" authorId="1" shapeId="0" xr:uid="{86271ADC-29F0-418B-9475-7ABBD900B6E7}">
      <text>
        <r>
          <rPr>
            <sz val="9"/>
            <color indexed="81"/>
            <rFont val="Segoe UI Light"/>
            <family val="2"/>
          </rPr>
          <t>Autopresentación</t>
        </r>
      </text>
    </comment>
    <comment ref="J5" authorId="1" shapeId="0" xr:uid="{72D2466B-E14E-4620-BC6C-36248B664769}">
      <text>
        <r>
          <rPr>
            <sz val="9"/>
            <color indexed="81"/>
            <rFont val="Segoe UI Light"/>
            <family val="2"/>
          </rPr>
          <t>Total créditos semestre actual.</t>
        </r>
      </text>
    </comment>
    <comment ref="AU5" authorId="0" shapeId="0" xr:uid="{2880EE39-782B-4CBF-A342-E48F68C5AC20}">
      <text>
        <r>
          <rPr>
            <sz val="9"/>
            <color indexed="81"/>
            <rFont val="Segoe UI Light"/>
            <family val="2"/>
          </rPr>
          <t>Obligatorio para promedio en pruebas técnicas inferior a 3.0.
Opcional para los demás participantes.</t>
        </r>
      </text>
    </comment>
    <comment ref="BY5" authorId="0" shapeId="0" xr:uid="{D6C230D8-8FE1-4B4C-8791-EF36947A73BD}">
      <text>
        <r>
          <rPr>
            <sz val="9"/>
            <color indexed="81"/>
            <rFont val="Segoe UI Light"/>
            <family val="2"/>
          </rPr>
          <t>Obligatorio para promedio en pruebas técnicas inferior a 3.0.
Opcional para los demás participantes.</t>
        </r>
      </text>
    </comment>
    <comment ref="DE5" authorId="2" shapeId="0" xr:uid="{36D301E7-6E21-43C5-8670-4560F20D9612}">
      <text>
        <r>
          <rPr>
            <sz val="9"/>
            <color indexed="81"/>
            <rFont val="Tahoma"/>
            <family val="2"/>
          </rPr>
          <t>1. Asistencia
2. Participación en clase
3. Lectura de guías de clase
4. Desarrollo de talleres
5. Investigación complementaria</t>
        </r>
      </text>
    </comment>
    <comment ref="DI5" authorId="0" shapeId="0" xr:uid="{E387787B-E8D8-4395-ABD8-477CA7421FDD}">
      <text>
        <r>
          <rPr>
            <sz val="9"/>
            <color indexed="81"/>
            <rFont val="Segoe UI Light"/>
            <family val="2"/>
          </rPr>
          <t>Artículo 72. Calificación definitiva. En toda asignatura hay una calificación definitiva, que resulta de computar las calificaciones parciales de los dos primeros
tercios (con un valor de 30% cada una) y el último tercio (con un valor de 40%). Las
calificaciones definitivas de cada tercio del período académico deben ser ingresadas por los profesores al sistema de registro dispuesto por la Secretaría General
en los plazos fijados en el calendario académico.</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<sst xmlns="http://schemas.openxmlformats.org/spreadsheetml/2006/main" count="504" uniqueCount="168">
  <si>
    <t>Min</t>
  </si>
  <si>
    <t>Max</t>
  </si>
  <si>
    <t>Tercio 1 (30%)</t>
  </si>
  <si>
    <t>Tercio 2 (30%)</t>
  </si>
  <si>
    <t>Tercio 3 (40%)</t>
  </si>
  <si>
    <t>Asistencia</t>
  </si>
  <si>
    <t>Examen</t>
  </si>
  <si>
    <t>Nota final</t>
  </si>
  <si>
    <t>Avance tercio</t>
  </si>
  <si>
    <t>Presenta examen final</t>
  </si>
  <si>
    <t>Código</t>
  </si>
  <si>
    <t>Nombre</t>
  </si>
  <si>
    <t>Programa</t>
  </si>
  <si>
    <t>email</t>
  </si>
  <si>
    <t>Avanzado</t>
  </si>
  <si>
    <t>AP</t>
  </si>
  <si>
    <t>Inglés</t>
  </si>
  <si>
    <t>Créditos</t>
  </si>
  <si>
    <t>Nivel</t>
  </si>
  <si>
    <t>Dificultad</t>
  </si>
  <si>
    <t>Equipo</t>
  </si>
  <si>
    <t>Motivación / Expectativa</t>
  </si>
  <si>
    <t>Observaciones</t>
  </si>
  <si>
    <t>T</t>
  </si>
  <si>
    <t>Presenta (Sí/No)</t>
  </si>
  <si>
    <t>Calif</t>
  </si>
  <si>
    <t>Nota avance tercio sin examen</t>
  </si>
  <si>
    <t>Apreciativa</t>
  </si>
  <si>
    <t>Nota Final Tercio</t>
  </si>
  <si>
    <t>Promedio tercios sin examen</t>
  </si>
  <si>
    <t>Presenta</t>
  </si>
  <si>
    <t>Promedio final curso (30/30/40)</t>
  </si>
  <si>
    <t>No</t>
  </si>
  <si>
    <t>Promedio</t>
  </si>
  <si>
    <t>Puntaje máx:</t>
  </si>
  <si>
    <t>Alumno</t>
  </si>
  <si>
    <t>RGB</t>
  </si>
  <si>
    <t>Puntaje obtenido</t>
  </si>
  <si>
    <t>Calificar sobre</t>
  </si>
  <si>
    <t>Calificación</t>
  </si>
  <si>
    <t>Promedio tercio con asistencia y sin examen</t>
  </si>
  <si>
    <t>Auto calificación</t>
  </si>
  <si>
    <t>Dedicación, hr</t>
  </si>
  <si>
    <t>Promedio clase</t>
  </si>
  <si>
    <t>Calificación Quiz 0. Conocimiento</t>
  </si>
  <si>
    <t>Calificación Taller Individual 4</t>
  </si>
  <si>
    <t>Predio</t>
  </si>
  <si>
    <t>Constr.</t>
  </si>
  <si>
    <t>Vias</t>
  </si>
  <si>
    <t>Árboles</t>
  </si>
  <si>
    <t>Indice Ocup</t>
  </si>
  <si>
    <t>Indice Veg</t>
  </si>
  <si>
    <t>Scene 3D</t>
  </si>
  <si>
    <t>Curso: Principios y aplicaciones de SIG - PYAS</t>
  </si>
  <si>
    <t>e-mail</t>
  </si>
  <si>
    <t>Semestre &gt;=</t>
  </si>
  <si>
    <t>BRAYAN ALEXANDER LACHE ACOSTA</t>
  </si>
  <si>
    <t>FELIX ANDRÉS ARENAS PARRA</t>
  </si>
  <si>
    <t>JUAN DAVID DIAZ RAMÍREZ</t>
  </si>
  <si>
    <t>LUISA FERNANDA FORERO UREÑA</t>
  </si>
  <si>
    <t>LUISA FERNANDA SANCHEZ TORRES</t>
  </si>
  <si>
    <t>PAULA CATALINA SALAMANCA SANABRIA</t>
  </si>
  <si>
    <t>SARA VALENTINA BLANCO VANEGAS</t>
  </si>
  <si>
    <t>VALENTINA JIMENEZ CASALLAS</t>
  </si>
  <si>
    <t>Dibujo asistido por computador - DAPC</t>
  </si>
  <si>
    <t>https://github.com/rcfdtools/R.DAPC</t>
  </si>
  <si>
    <t>ALVARO JOSE OSPINA PINTO</t>
  </si>
  <si>
    <t>ANA MILENA MARTINEZ CRUZ</t>
  </si>
  <si>
    <t>ANDRES FELIPE MACIAS CAMARGO</t>
  </si>
  <si>
    <t>ANDREY NICOLAS SANTIAGO CASTRO</t>
  </si>
  <si>
    <t>ANGELA NATHALIA MONROY CORDOBA</t>
  </si>
  <si>
    <t>CRISTIAN FABIAN CADENA SUAREZ</t>
  </si>
  <si>
    <t>DAMIAN SANTIAGO CARDOZO JIMENEZ</t>
  </si>
  <si>
    <t>DARIA PAULA LORENA MARIN GUTIERREZ</t>
  </si>
  <si>
    <t>DAVID SANTIAGO GOMEZ DELGADO</t>
  </si>
  <si>
    <t>ESTEBAN JIMENEZ AREVALO</t>
  </si>
  <si>
    <t>JUAN ESTEBAN BAHAMON MONJE</t>
  </si>
  <si>
    <t>JUAN JOSE MENDEZ PINILLA</t>
  </si>
  <si>
    <t>JUAN PABLO RODRIGUEZ PERDOMO</t>
  </si>
  <si>
    <t>JUAN SEBASTIAN MANOSALVA SEPULVEDA</t>
  </si>
  <si>
    <t>JUANITA CARLOS PRIETO</t>
  </si>
  <si>
    <t>JULIAN CAMILO NOBZA ARIAS</t>
  </si>
  <si>
    <t>JULIAN CAMILO RUBIANO ROA</t>
  </si>
  <si>
    <t>KAREN SOFIA MORENO QUEMBA</t>
  </si>
  <si>
    <t>KAREN SOFIA VIVAS CARDENAS</t>
  </si>
  <si>
    <t>MIGUEL ANGEL RODRIGUEZ ALVAREZ</t>
  </si>
  <si>
    <t>NASLY DAYANA ANTOLINEZ FERNANDEZ</t>
  </si>
  <si>
    <t>OSCAR EDUARDO PEÑA CASTRO</t>
  </si>
  <si>
    <t>OSCAR SANTIAGO MORA RODRIGUEZ</t>
  </si>
  <si>
    <t>PAULA ANDREA CUBILLOS PARRA</t>
  </si>
  <si>
    <t>SAMUEL DAVID GONZALEZ BUENO</t>
  </si>
  <si>
    <t>SAMUEL GUALDRON REY</t>
  </si>
  <si>
    <t>SANTIAGO CABRERA BARBOSA</t>
  </si>
  <si>
    <t>SANTIAGO JUZGA UCHUVO</t>
  </si>
  <si>
    <t>TOMAS DOMINGUEZ RESTREPO</t>
  </si>
  <si>
    <t>YSHNOFRET VALENTINA RUIZ ALDANA</t>
  </si>
  <si>
    <t>Ingeniería Eléctrica</t>
  </si>
  <si>
    <t>alvaro.ospina-p@mail.escuelaing.edu.co</t>
  </si>
  <si>
    <t>ana.martinez-c@mail.escuelaing.edu.co</t>
  </si>
  <si>
    <t>andres.macias-c@mail.escuelaing.edu.co</t>
  </si>
  <si>
    <t>andrey.santiago-c@mail.escuelaing.edu.co</t>
  </si>
  <si>
    <t>angela.monroy-c@mail.escuelaing.edu.co</t>
  </si>
  <si>
    <t>cristian.cadena-s@mail.escuelaing.edu.co</t>
  </si>
  <si>
    <t>damian.cardozo-j@mail.escuelaing.edu.co</t>
  </si>
  <si>
    <t>daria.marin-g@mail.escuelaing.edu.co</t>
  </si>
  <si>
    <t>david.gomez-d@mail.escuelaing.edu.co</t>
  </si>
  <si>
    <t>esteban.jimenez-a@mail.escuelaing.edu.co</t>
  </si>
  <si>
    <t>juan.bahamon-m@mail.escuelaing.edu.co</t>
  </si>
  <si>
    <t>juan.mpinilla@mail.escuelaing.edu.co</t>
  </si>
  <si>
    <t>juan.rodriguez-pe@mail.escuelaing.edu.co</t>
  </si>
  <si>
    <t>juan.manosalva-s@mail.escuelaing.edu.co</t>
  </si>
  <si>
    <t>juanita.carlos-p@mail.escuelaing.edu.co</t>
  </si>
  <si>
    <t>julian.nobza-a@mail.escuelaing.edu.co</t>
  </si>
  <si>
    <t>julian.rubiano-r@mail.escuelaing.edu.co</t>
  </si>
  <si>
    <t>karen.moreno-q@mail.escuelaing.edu.co</t>
  </si>
  <si>
    <t>karen.vivas-c@mail.escuelaing.edu.co</t>
  </si>
  <si>
    <t>miguel.ralvarez@mail.escuelaing.edu.co</t>
  </si>
  <si>
    <t>nasly.antolinez-f@mail.escuelaing.edu.co</t>
  </si>
  <si>
    <t>oscar.pena-c@mail.escuelaing.edu.co</t>
  </si>
  <si>
    <t>oscar.mora-r@mail.escuelaing.edu.co</t>
  </si>
  <si>
    <t>paula.cubillos-p@mail.escuelaing.edu.co</t>
  </si>
  <si>
    <t>samuel.gonzalez-b@mail.escuelaing.edu.co</t>
  </si>
  <si>
    <t>samuel.gualdron-r@mail.escuelaing.edu.co</t>
  </si>
  <si>
    <t>santiago.cabrera-b@mail.escuelaing.edu.co</t>
  </si>
  <si>
    <t>santiago.juzga-u@mail.escuelaing.edu.co</t>
  </si>
  <si>
    <t>tomas.dominguez-r@mail.escuelaing.edu.co</t>
  </si>
  <si>
    <t>yshnofret.ruiz-a@mail.escuelaing.edu.co</t>
  </si>
  <si>
    <t>M01A01-1</t>
  </si>
  <si>
    <t>M01A01-2</t>
  </si>
  <si>
    <t>M01A02b-1</t>
  </si>
  <si>
    <t>M01A02b-2</t>
  </si>
  <si>
    <t>M01A02b-3</t>
  </si>
  <si>
    <t>M01A02c-1</t>
  </si>
  <si>
    <t>M01A02d-1</t>
  </si>
  <si>
    <t>Proyecto</t>
  </si>
  <si>
    <t>Quiz individual</t>
  </si>
  <si>
    <t>Proyecto y ejercicios en grupo</t>
  </si>
  <si>
    <t>Ejercicios</t>
  </si>
  <si>
    <t>M02A01-1</t>
  </si>
  <si>
    <t>M02A01-2</t>
  </si>
  <si>
    <t>1000107941</t>
  </si>
  <si>
    <t>Firma</t>
  </si>
  <si>
    <t xml:space="preserve">Fecha: </t>
  </si>
  <si>
    <t>First name</t>
  </si>
  <si>
    <t>Lastname</t>
  </si>
  <si>
    <t>E-mail address</t>
  </si>
  <si>
    <t>DAPC</t>
  </si>
  <si>
    <t>Grupo</t>
  </si>
  <si>
    <t>RepoLink</t>
  </si>
  <si>
    <t>Grupos de proyecto</t>
  </si>
  <si>
    <t>Nombre corporativo</t>
  </si>
  <si>
    <t>https://shorturl.at/8lPad</t>
  </si>
  <si>
    <t>ElectraLine</t>
  </si>
  <si>
    <t>ElectroCAD Solutions</t>
  </si>
  <si>
    <t>https://shorturl.at/46wMU</t>
  </si>
  <si>
    <t>TOMAS DOMINGUEZ RESTREPO (A)</t>
  </si>
  <si>
    <t>JUANITA CARLOS PRIETO (A)</t>
  </si>
  <si>
    <t>Sin grupo</t>
  </si>
  <si>
    <t>(A) Administrador del repositorio de archivos</t>
  </si>
  <si>
    <t>https://pruebacorreoescuelaingeduco-my.sharepoint.com/:f:/g/personal/nasly_antolinez-f_mail_escuelaing_edu_co/EqAtbstLvzpBqUHYQsHfOtsBxUjFgXb5lIr8NpRf9jHPQg?e=oC1zPX</t>
  </si>
  <si>
    <r>
      <rPr>
        <b/>
        <sz val="11"/>
        <color theme="1"/>
        <rFont val="Segoe UI Light"/>
        <family val="2"/>
      </rPr>
      <t xml:space="preserve">Dibujo asistido por computador - DAPC
</t>
    </r>
    <r>
      <rPr>
        <sz val="11"/>
        <color theme="1"/>
        <rFont val="Segoe UI Light"/>
        <family val="2"/>
      </rPr>
      <t>Control de asistencia 2025-02</t>
    </r>
  </si>
  <si>
    <t>Punto orígen XY Quiz</t>
  </si>
  <si>
    <t>Punto orígen XY Ejercicio</t>
  </si>
  <si>
    <t>http://bit.ly/4ltHbSK</t>
  </si>
  <si>
    <t>ElectricSASJEP</t>
  </si>
  <si>
    <t>Udig</t>
  </si>
  <si>
    <t>∑Udig</t>
  </si>
  <si>
    <t>SAMUEL GUALDRON REY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</si>
</sst>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21" x14ac:knownFonts="1">
    <font>
      <sz val="11"/>
      <color theme="1"/>
      <name val="Calibri"/>
      <family val="2"/>
      <scheme val="minor"/>
    </font>
    <font>
      <sz val="11"/>
      <color theme="1"/>
      <name val="Segoe UI Light"/>
      <family val="2"/>
    </font>
    <font>
      <u/>
      <sz val="11"/>
      <color theme="10"/>
      <name val="Calibri"/>
      <family val="2"/>
      <scheme val="minor"/>
    </font>
    <font>
      <sz val="11"/>
      <color theme="1"/>
      <name val="Calibri"/>
      <family val="2"/>
      <scheme val="minor"/>
    </font>
    <font>
      <sz val="9"/>
      <color indexed="81"/>
      <name val="Calibri Light"/>
      <family val="2"/>
    </font>
    <font>
      <sz val="9"/>
      <color indexed="81"/>
      <name val="Tahoma"/>
      <family val="2"/>
    </font>
    <font>
      <sz val="11"/>
      <color theme="0" tint="-0.14999847407452621"/>
      <name val="Segoe UI Light"/>
      <family val="2"/>
    </font>
    <font>
      <sz val="11"/>
      <name val="Segoe UI Light"/>
      <family val="2"/>
    </font>
    <font>
      <sz val="11"/>
      <color theme="0" tint="-0.249977111117893"/>
      <name val="Segoe UI Light"/>
      <family val="2"/>
    </font>
    <font>
      <sz val="11"/>
      <color indexed="8"/>
      <name val="Segoe UI Light"/>
      <family val="2"/>
    </font>
    <font>
      <sz val="11"/>
      <color theme="0" tint="-4.9989318521683403E-2"/>
      <name val="Segoe UI Light"/>
      <family val="2"/>
    </font>
    <font>
      <sz val="9"/>
      <color indexed="81"/>
      <name val="Segoe UI Light"/>
      <family val="2"/>
    </font>
    <font>
      <sz val="8"/>
      <name val="Segoe UI Light"/>
      <family val="2"/>
    </font>
    <font>
      <sz val="11"/>
      <color rgb="FF0070C0"/>
      <name val="Segoe UI Light"/>
      <family val="2"/>
    </font>
    <font>
      <sz val="11"/>
      <color theme="10"/>
      <name val="Segoe UI Light"/>
      <family val="2"/>
    </font>
    <font>
      <sz val="8"/>
      <color theme="1"/>
      <name val="Segoe UI Light"/>
      <family val="2"/>
    </font>
    <font>
      <b/>
      <sz val="11"/>
      <name val="Segoe UI Light"/>
      <family val="2"/>
    </font>
    <font>
      <sz val="8"/>
      <color rgb="FFC00000"/>
      <name val="Segoe UI Light"/>
      <family val="2"/>
    </font>
    <font>
      <sz val="11"/>
      <color rgb="FFC00000"/>
      <name val="Segoe UI Light"/>
      <family val="2"/>
    </font>
    <font>
      <b/>
      <sz val="11"/>
      <color theme="1"/>
      <name val="Segoe UI Light"/>
      <family val="2"/>
    </font>
    <font>
      <b/>
      <sz val="18"/>
      <color theme="1"/>
      <name val="Segoe UI Light"/>
      <family val="2"/>
    </font>
  </fonts>
  <fills count="24">
    <fill>
      <patternFill patternType="none"/>
    </fill>
    <fill>
      <patternFill patternType="gray125"/>
    </fill>
    <fill>
      <patternFill patternType="solid">
        <fgColor theme="0" tint="-4.9989318521683403E-2"/>
        <bgColor indexed="64"/>
      </patternFill>
    </fill>
    <fill>
      <patternFill patternType="solid">
        <fgColor rgb="FFB5BCD4"/>
        <bgColor indexed="64"/>
      </patternFill>
    </fill>
    <fill>
      <patternFill patternType="solid">
        <fgColor rgb="FFE1C0F9"/>
        <bgColor indexed="64"/>
      </patternFill>
    </fill>
    <fill>
      <patternFill patternType="solid">
        <fgColor rgb="FFDECAD8"/>
        <bgColor indexed="64"/>
      </patternFill>
    </fill>
    <fill>
      <patternFill patternType="solid">
        <fgColor rgb="FFC0E5DD"/>
        <bgColor indexed="64"/>
      </patternFill>
    </fill>
    <fill>
      <patternFill patternType="solid">
        <fgColor rgb="FFD3BFD2"/>
        <bgColor indexed="64"/>
      </patternFill>
    </fill>
    <fill>
      <patternFill patternType="solid">
        <fgColor rgb="FFF1D6D2"/>
        <bgColor indexed="64"/>
      </patternFill>
    </fill>
    <fill>
      <patternFill patternType="solid">
        <fgColor rgb="FFE4F3B0"/>
        <bgColor indexed="64"/>
      </patternFill>
    </fill>
    <fill>
      <patternFill patternType="solid">
        <fgColor rgb="FFB6BCD9"/>
        <bgColor indexed="64"/>
      </patternFill>
    </fill>
    <fill>
      <patternFill patternType="solid">
        <fgColor rgb="FFA3F6EA"/>
        <bgColor indexed="64"/>
      </patternFill>
    </fill>
    <fill>
      <patternFill patternType="solid">
        <fgColor rgb="FFD0E7B3"/>
        <bgColor indexed="64"/>
      </patternFill>
    </fill>
    <fill>
      <patternFill patternType="solid">
        <fgColor rgb="FFEBF3FA"/>
        <bgColor indexed="64"/>
      </patternFill>
    </fill>
    <fill>
      <patternFill patternType="solid">
        <fgColor rgb="FFADEDE9"/>
        <bgColor indexed="64"/>
      </patternFill>
    </fill>
    <fill>
      <patternFill patternType="solid">
        <fgColor rgb="FFCFD3AF"/>
        <bgColor indexed="64"/>
      </patternFill>
    </fill>
    <fill>
      <patternFill patternType="solid">
        <fgColor rgb="FFDBFCBA"/>
        <bgColor indexed="64"/>
      </patternFill>
    </fill>
    <fill>
      <patternFill patternType="solid">
        <fgColor rgb="FFD2BFCC"/>
        <bgColor indexed="64"/>
      </patternFill>
    </fill>
    <fill>
      <patternFill patternType="solid">
        <fgColor rgb="FFF9CDC3"/>
        <bgColor indexed="64"/>
      </patternFill>
    </fill>
    <fill>
      <patternFill patternType="solid">
        <fgColor rgb="FFAAA7C4"/>
        <bgColor indexed="64"/>
      </patternFill>
    </fill>
    <fill>
      <patternFill patternType="solid">
        <fgColor rgb="FFF3B8E8"/>
        <bgColor indexed="64"/>
      </patternFill>
    </fill>
    <fill>
      <patternFill patternType="solid">
        <fgColor rgb="FFE4FDB7"/>
        <bgColor indexed="64"/>
      </patternFill>
    </fill>
    <fill>
      <patternFill patternType="solid">
        <fgColor rgb="FFDBFCBC"/>
        <bgColor indexed="64"/>
      </patternFill>
    </fill>
    <fill>
      <patternFill patternType="solid">
        <fgColor rgb="FFE1FCFF"/>
        <bgColor indexed="64"/>
      </patternFill>
    </fill>
  </fills>
  <borders count="53">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top style="thin">
        <color indexed="64"/>
      </top>
      <bottom style="thin">
        <color theme="0" tint="-4.9989318521683403E-2"/>
      </bottom>
      <diagonal/>
    </border>
    <border>
      <left/>
      <right/>
      <top style="thin">
        <color theme="0" tint="-4.9989318521683403E-2"/>
      </top>
      <bottom style="thin">
        <color theme="0" tint="-4.9989318521683403E-2"/>
      </bottom>
      <diagonal/>
    </border>
    <border>
      <left/>
      <right/>
      <top style="thin">
        <color theme="0" tint="-4.9989318521683403E-2"/>
      </top>
      <bottom style="thin">
        <color indexed="64"/>
      </bottom>
      <diagonal/>
    </border>
    <border>
      <left style="thin">
        <color theme="0" tint="-4.9989318521683403E-2"/>
      </left>
      <right/>
      <top style="thin">
        <color indexed="64"/>
      </top>
      <bottom/>
      <diagonal/>
    </border>
    <border>
      <left style="thin">
        <color indexed="64"/>
      </left>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indexed="64"/>
      </right>
      <top style="thin">
        <color theme="0" tint="-4.9989318521683403E-2"/>
      </top>
      <bottom style="thin">
        <color theme="0" tint="-4.9989318521683403E-2"/>
      </bottom>
      <diagonal/>
    </border>
    <border>
      <left/>
      <right style="thin">
        <color indexed="64"/>
      </right>
      <top style="thin">
        <color indexed="64"/>
      </top>
      <bottom style="thin">
        <color theme="0" tint="-4.9989318521683403E-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indexed="64"/>
      </right>
      <top style="thin">
        <color indexed="64"/>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top/>
      <bottom style="thin">
        <color theme="0" tint="-4.9989318521683403E-2"/>
      </bottom>
      <diagonal/>
    </border>
    <border>
      <left style="thin">
        <color indexed="64"/>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tint="-4.9989318521683403E-2"/>
      </right>
      <top style="thin">
        <color indexed="64"/>
      </top>
      <bottom/>
      <diagonal/>
    </border>
    <border>
      <left style="thin">
        <color indexed="64"/>
      </left>
      <right style="thin">
        <color theme="0" tint="-4.9989318521683403E-2"/>
      </right>
      <top/>
      <bottom/>
      <diagonal/>
    </border>
    <border>
      <left style="thin">
        <color theme="0" tint="-4.9989318521683403E-2"/>
      </left>
      <right style="thin">
        <color theme="0" tint="-4.9989318521683403E-2"/>
      </right>
      <top/>
      <bottom/>
      <diagonal/>
    </border>
    <border>
      <left style="thin">
        <color indexed="64"/>
      </left>
      <right style="thin">
        <color theme="0" tint="-4.9989318521683403E-2"/>
      </right>
      <top/>
      <bottom style="thin">
        <color indexed="64"/>
      </bottom>
      <diagonal/>
    </border>
    <border>
      <left style="thin">
        <color theme="0" tint="-4.9989318521683403E-2"/>
      </left>
      <right style="thin">
        <color theme="0" tint="-4.9989318521683403E-2"/>
      </right>
      <top/>
      <bottom style="thin">
        <color indexed="64"/>
      </bottom>
      <diagonal/>
    </border>
    <border>
      <left style="thin">
        <color theme="0" tint="-4.9989318521683403E-2"/>
      </left>
      <right style="thin">
        <color indexed="64"/>
      </right>
      <top/>
      <bottom style="thin">
        <color theme="0" tint="-4.9989318521683403E-2"/>
      </bottom>
      <diagonal/>
    </border>
    <border>
      <left/>
      <right/>
      <top/>
      <bottom style="thin">
        <color indexed="64"/>
      </bottom>
      <diagonal/>
    </border>
  </borders>
  <cellStyleXfs count="4">
    <xf numFmtId="0" fontId="0" fillId="0" borderId="0"/>
    <xf numFmtId="0" fontId="2" fillId="0" borderId="0" applyNumberFormat="0" applyFill="0" applyBorder="0" applyAlignment="0" applyProtection="0"/>
    <xf numFmtId="9" fontId="3" fillId="0" borderId="0" applyFont="0" applyFill="0" applyBorder="0" applyAlignment="0" applyProtection="0"/>
    <xf numFmtId="43" fontId="3" fillId="0" borderId="0" applyFont="0" applyFill="0" applyBorder="0" applyAlignment="0" applyProtection="0"/>
  </cellStyleXfs>
  <cellXfs count="252">
    <xf numFmtId="0" fontId="0" fillId="0" borderId="0" xfId="0"/>
    <xf numFmtId="0" fontId="7" fillId="0" borderId="0" xfId="0" applyFont="1" applyAlignment="1">
      <alignment horizontal="center" vertical="top" wrapText="1"/>
    </xf>
    <xf numFmtId="0" fontId="7" fillId="2" borderId="1" xfId="0" applyFont="1" applyFill="1" applyBorder="1" applyAlignment="1">
      <alignment horizontal="center" vertical="top" wrapText="1"/>
    </xf>
    <xf numFmtId="0" fontId="7" fillId="2" borderId="6" xfId="0" applyFont="1" applyFill="1" applyBorder="1" applyAlignment="1">
      <alignment horizontal="center" vertical="top" wrapText="1"/>
    </xf>
    <xf numFmtId="0" fontId="7" fillId="2" borderId="5" xfId="0" applyFont="1" applyFill="1" applyBorder="1" applyAlignment="1">
      <alignment horizontal="center" vertical="top" wrapText="1"/>
    </xf>
    <xf numFmtId="0" fontId="7" fillId="2" borderId="14" xfId="0" applyFont="1" applyFill="1" applyBorder="1" applyAlignment="1">
      <alignment horizontal="center" vertical="top" wrapText="1"/>
    </xf>
    <xf numFmtId="0" fontId="1" fillId="0" borderId="0" xfId="0" applyFont="1" applyAlignment="1">
      <alignment vertical="top"/>
    </xf>
    <xf numFmtId="0" fontId="1" fillId="2" borderId="13" xfId="0" applyFont="1" applyFill="1" applyBorder="1" applyAlignment="1">
      <alignment vertical="top"/>
    </xf>
    <xf numFmtId="0" fontId="1" fillId="0" borderId="0" xfId="0" applyFont="1" applyAlignment="1">
      <alignment vertical="top" wrapText="1"/>
    </xf>
    <xf numFmtId="0" fontId="1" fillId="2" borderId="14" xfId="0" applyFont="1" applyFill="1" applyBorder="1" applyAlignment="1">
      <alignment horizontal="right" vertical="top"/>
    </xf>
    <xf numFmtId="0" fontId="14" fillId="0" borderId="0" xfId="1" applyFont="1" applyFill="1" applyBorder="1" applyAlignment="1">
      <alignment vertical="top" wrapText="1"/>
    </xf>
    <xf numFmtId="0" fontId="1" fillId="2" borderId="5" xfId="0" applyFont="1" applyFill="1" applyBorder="1" applyAlignment="1">
      <alignment horizontal="right" vertical="top"/>
    </xf>
    <xf numFmtId="0" fontId="1" fillId="2" borderId="14" xfId="0" applyFont="1" applyFill="1" applyBorder="1" applyAlignment="1">
      <alignment vertical="top"/>
    </xf>
    <xf numFmtId="0" fontId="1" fillId="2" borderId="6" xfId="0" applyFont="1" applyFill="1" applyBorder="1" applyAlignment="1">
      <alignment horizontal="center" vertical="top"/>
    </xf>
    <xf numFmtId="9" fontId="1" fillId="0" borderId="0" xfId="2" applyFont="1" applyAlignment="1">
      <alignment horizontal="center" vertical="top" wrapText="1"/>
    </xf>
    <xf numFmtId="0" fontId="1" fillId="0" borderId="0" xfId="0" applyFont="1" applyAlignment="1">
      <alignment horizontal="center" vertical="top" wrapText="1"/>
    </xf>
    <xf numFmtId="0" fontId="1" fillId="0" borderId="0" xfId="0" applyFont="1" applyAlignment="1">
      <alignment horizontal="center" vertical="top"/>
    </xf>
    <xf numFmtId="0" fontId="7" fillId="2" borderId="3" xfId="0" applyFont="1" applyFill="1" applyBorder="1" applyAlignment="1">
      <alignment horizontal="left" vertical="top" wrapText="1"/>
    </xf>
    <xf numFmtId="0" fontId="7" fillId="2" borderId="4" xfId="0" applyFont="1" applyFill="1" applyBorder="1" applyAlignment="1">
      <alignment horizontal="left" vertical="top" wrapText="1"/>
    </xf>
    <xf numFmtId="0" fontId="7" fillId="0" borderId="5" xfId="0" applyFont="1" applyBorder="1" applyAlignment="1">
      <alignment horizontal="left" vertical="top"/>
    </xf>
    <xf numFmtId="0" fontId="7" fillId="0" borderId="1" xfId="0" applyFont="1" applyBorder="1" applyAlignment="1">
      <alignment horizontal="left" vertical="top"/>
    </xf>
    <xf numFmtId="164" fontId="7" fillId="0" borderId="6" xfId="0" applyNumberFormat="1" applyFont="1" applyBorder="1" applyAlignment="1">
      <alignment horizontal="left" vertical="top" wrapText="1"/>
    </xf>
    <xf numFmtId="0" fontId="7" fillId="2" borderId="8" xfId="0" applyFont="1" applyFill="1" applyBorder="1" applyAlignment="1">
      <alignment horizontal="left" vertical="top"/>
    </xf>
    <xf numFmtId="2" fontId="7" fillId="2" borderId="9" xfId="0" applyNumberFormat="1" applyFont="1" applyFill="1" applyBorder="1" applyAlignment="1">
      <alignment horizontal="left" vertical="top"/>
    </xf>
    <xf numFmtId="0" fontId="7" fillId="2" borderId="2" xfId="0" applyFont="1" applyFill="1" applyBorder="1" applyAlignment="1">
      <alignment horizontal="left" vertical="top" wrapText="1"/>
    </xf>
    <xf numFmtId="0" fontId="7" fillId="2" borderId="7" xfId="0" applyFont="1" applyFill="1" applyBorder="1" applyAlignment="1">
      <alignment horizontal="left" vertical="top"/>
    </xf>
    <xf numFmtId="0" fontId="7" fillId="0" borderId="0" xfId="0" applyFont="1" applyAlignment="1">
      <alignment vertical="top" wrapText="1"/>
    </xf>
    <xf numFmtId="2" fontId="7" fillId="0" borderId="1" xfId="0" applyNumberFormat="1" applyFont="1" applyBorder="1" applyAlignment="1">
      <alignment horizontal="center" vertical="top" wrapText="1"/>
    </xf>
    <xf numFmtId="0" fontId="1" fillId="0" borderId="17" xfId="0" applyFont="1" applyBorder="1" applyAlignment="1">
      <alignment horizontal="left" vertical="top"/>
    </xf>
    <xf numFmtId="0" fontId="7" fillId="2" borderId="3" xfId="0" applyFont="1" applyFill="1" applyBorder="1" applyAlignment="1">
      <alignment horizontal="center" vertical="top" wrapText="1"/>
    </xf>
    <xf numFmtId="0" fontId="7" fillId="2" borderId="4" xfId="0" applyFont="1" applyFill="1" applyBorder="1" applyAlignment="1">
      <alignment horizontal="center" vertical="top" wrapText="1"/>
    </xf>
    <xf numFmtId="0" fontId="7" fillId="0" borderId="0" xfId="0" applyFont="1" applyAlignment="1">
      <alignment horizontal="center" vertical="top"/>
    </xf>
    <xf numFmtId="0" fontId="7" fillId="0" borderId="1" xfId="0" applyFont="1" applyBorder="1" applyAlignment="1">
      <alignment horizontal="center" vertical="top"/>
    </xf>
    <xf numFmtId="0" fontId="7" fillId="2" borderId="19" xfId="0" applyFont="1" applyFill="1" applyBorder="1" applyAlignment="1">
      <alignment horizontal="center" vertical="top" wrapText="1"/>
    </xf>
    <xf numFmtId="9" fontId="7" fillId="2" borderId="20" xfId="2" applyFont="1" applyFill="1" applyBorder="1" applyAlignment="1">
      <alignment horizontal="center" vertical="top" wrapText="1"/>
    </xf>
    <xf numFmtId="0" fontId="7" fillId="2" borderId="20" xfId="0" applyFont="1" applyFill="1" applyBorder="1" applyAlignment="1">
      <alignment horizontal="center" vertical="top" wrapText="1"/>
    </xf>
    <xf numFmtId="0" fontId="7" fillId="2" borderId="16" xfId="0" applyFont="1" applyFill="1" applyBorder="1" applyAlignment="1">
      <alignment horizontal="center" vertical="top" wrapText="1"/>
    </xf>
    <xf numFmtId="0" fontId="15" fillId="0" borderId="17" xfId="0" applyFont="1" applyBorder="1" applyAlignment="1">
      <alignment horizontal="left" vertical="top"/>
    </xf>
    <xf numFmtId="0" fontId="15" fillId="0" borderId="17" xfId="0" applyFont="1" applyBorder="1" applyAlignment="1">
      <alignment horizontal="left" vertical="top" wrapText="1"/>
    </xf>
    <xf numFmtId="0" fontId="7" fillId="2" borderId="2" xfId="0" applyFont="1" applyFill="1" applyBorder="1" applyAlignment="1">
      <alignment horizontal="center" vertical="top" wrapText="1"/>
    </xf>
    <xf numFmtId="9" fontId="7" fillId="2" borderId="5" xfId="2" applyFont="1" applyFill="1" applyBorder="1" applyAlignment="1">
      <alignment horizontal="center" vertical="top" wrapText="1"/>
    </xf>
    <xf numFmtId="9" fontId="7" fillId="2" borderId="1" xfId="2" applyFont="1" applyFill="1" applyBorder="1" applyAlignment="1">
      <alignment horizontal="center" vertical="top" wrapText="1"/>
    </xf>
    <xf numFmtId="9" fontId="7" fillId="2" borderId="6" xfId="2" applyFont="1" applyFill="1" applyBorder="1" applyAlignment="1">
      <alignment horizontal="center" vertical="top" wrapText="1"/>
    </xf>
    <xf numFmtId="0" fontId="1" fillId="0" borderId="0" xfId="0" applyFont="1" applyAlignment="1">
      <alignment horizontal="left" vertical="top"/>
    </xf>
    <xf numFmtId="0" fontId="7" fillId="0" borderId="0" xfId="0" applyFont="1" applyAlignment="1">
      <alignment horizontal="right" vertical="top"/>
    </xf>
    <xf numFmtId="0" fontId="7" fillId="0" borderId="0" xfId="0" applyFont="1" applyAlignment="1">
      <alignment horizontal="left" vertical="top" wrapText="1"/>
    </xf>
    <xf numFmtId="0" fontId="1" fillId="0" borderId="0" xfId="0" applyFont="1" applyAlignment="1">
      <alignment horizontal="right" vertical="top"/>
    </xf>
    <xf numFmtId="0" fontId="1" fillId="0" borderId="0" xfId="0" applyFont="1" applyAlignment="1">
      <alignment horizontal="center" vertical="top" textRotation="90" wrapText="1"/>
    </xf>
    <xf numFmtId="0" fontId="1" fillId="2" borderId="6" xfId="0" applyFont="1" applyFill="1" applyBorder="1" applyAlignment="1">
      <alignment horizontal="left" vertical="top"/>
    </xf>
    <xf numFmtId="0" fontId="15" fillId="0" borderId="0" xfId="0" applyFont="1" applyAlignment="1">
      <alignment horizontal="center" vertical="top"/>
    </xf>
    <xf numFmtId="0" fontId="1" fillId="0" borderId="5" xfId="0" applyFont="1" applyBorder="1" applyAlignment="1">
      <alignment horizontal="left" vertical="top"/>
    </xf>
    <xf numFmtId="0" fontId="1" fillId="0" borderId="1" xfId="0" applyFont="1" applyBorder="1" applyAlignment="1">
      <alignment horizontal="left" vertical="top" wrapText="1"/>
    </xf>
    <xf numFmtId="0" fontId="1" fillId="0" borderId="1" xfId="0" applyFont="1" applyBorder="1" applyAlignment="1">
      <alignment horizontal="left" vertical="top"/>
    </xf>
    <xf numFmtId="0" fontId="13" fillId="0" borderId="1" xfId="1" applyFont="1" applyBorder="1" applyAlignment="1">
      <alignment horizontal="left" vertical="top"/>
    </xf>
    <xf numFmtId="0" fontId="1" fillId="0" borderId="1" xfId="0" applyFont="1" applyBorder="1" applyAlignment="1">
      <alignment horizontal="center" vertical="top"/>
    </xf>
    <xf numFmtId="0" fontId="7" fillId="0" borderId="5" xfId="1" applyFont="1" applyBorder="1" applyAlignment="1">
      <alignment horizontal="center" vertical="top" wrapText="1"/>
    </xf>
    <xf numFmtId="0" fontId="7" fillId="0" borderId="1" xfId="1" applyFont="1" applyBorder="1" applyAlignment="1">
      <alignment horizontal="center" vertical="top" wrapText="1"/>
    </xf>
    <xf numFmtId="0" fontId="7" fillId="2" borderId="6" xfId="1" applyFont="1" applyFill="1" applyBorder="1" applyAlignment="1">
      <alignment horizontal="center" vertical="top" wrapText="1"/>
    </xf>
    <xf numFmtId="0" fontId="7" fillId="0" borderId="5" xfId="0" applyFont="1" applyBorder="1" applyAlignment="1">
      <alignment horizontal="center" vertical="top" wrapText="1"/>
    </xf>
    <xf numFmtId="0" fontId="7" fillId="0" borderId="1" xfId="0" applyFont="1" applyBorder="1" applyAlignment="1">
      <alignment horizontal="center" vertical="top" wrapText="1"/>
    </xf>
    <xf numFmtId="0" fontId="7" fillId="0" borderId="20" xfId="0" applyFont="1" applyBorder="1" applyAlignment="1">
      <alignment horizontal="center" vertical="top" wrapText="1"/>
    </xf>
    <xf numFmtId="164" fontId="7" fillId="2" borderId="6" xfId="0" applyNumberFormat="1" applyFont="1" applyFill="1" applyBorder="1" applyAlignment="1">
      <alignment horizontal="center" vertical="top"/>
    </xf>
    <xf numFmtId="164" fontId="7" fillId="2" borderId="6" xfId="1" applyNumberFormat="1" applyFont="1" applyFill="1" applyBorder="1" applyAlignment="1">
      <alignment horizontal="center" vertical="top" wrapText="1"/>
    </xf>
    <xf numFmtId="2" fontId="7" fillId="2" borderId="6" xfId="0" applyNumberFormat="1" applyFont="1" applyFill="1" applyBorder="1" applyAlignment="1">
      <alignment horizontal="center" vertical="top" wrapText="1"/>
    </xf>
    <xf numFmtId="164" fontId="7" fillId="0" borderId="6" xfId="0" applyNumberFormat="1" applyFont="1" applyBorder="1" applyAlignment="1">
      <alignment horizontal="center" vertical="top"/>
    </xf>
    <xf numFmtId="0" fontId="7" fillId="0" borderId="6" xfId="0" applyFont="1" applyBorder="1" applyAlignment="1">
      <alignment horizontal="center" vertical="top"/>
    </xf>
    <xf numFmtId="164" fontId="1" fillId="0" borderId="0" xfId="0" applyNumberFormat="1" applyFont="1" applyAlignment="1">
      <alignment horizontal="center" vertical="top"/>
    </xf>
    <xf numFmtId="1" fontId="7" fillId="2" borderId="6" xfId="0" applyNumberFormat="1" applyFont="1" applyFill="1" applyBorder="1" applyAlignment="1">
      <alignment horizontal="center" vertical="top"/>
    </xf>
    <xf numFmtId="1" fontId="7" fillId="0" borderId="5" xfId="0" applyNumberFormat="1" applyFont="1" applyBorder="1" applyAlignment="1">
      <alignment horizontal="center" vertical="top"/>
    </xf>
    <xf numFmtId="1" fontId="7" fillId="0" borderId="14" xfId="0" applyNumberFormat="1" applyFont="1" applyBorder="1" applyAlignment="1">
      <alignment horizontal="center" vertical="top"/>
    </xf>
    <xf numFmtId="0" fontId="1" fillId="2" borderId="7" xfId="0" applyFont="1" applyFill="1" applyBorder="1" applyAlignment="1">
      <alignment vertical="top"/>
    </xf>
    <xf numFmtId="0" fontId="1" fillId="2" borderId="8" xfId="0" applyFont="1" applyFill="1" applyBorder="1" applyAlignment="1">
      <alignment vertical="top"/>
    </xf>
    <xf numFmtId="0" fontId="1" fillId="2" borderId="8" xfId="0" applyFont="1" applyFill="1" applyBorder="1" applyAlignment="1">
      <alignment horizontal="left" vertical="top"/>
    </xf>
    <xf numFmtId="0" fontId="1" fillId="2" borderId="8" xfId="0" applyFont="1" applyFill="1" applyBorder="1" applyAlignment="1">
      <alignment horizontal="center" vertical="top" wrapText="1"/>
    </xf>
    <xf numFmtId="0" fontId="1" fillId="2" borderId="8" xfId="0" applyFont="1" applyFill="1" applyBorder="1" applyAlignment="1">
      <alignment vertical="top" wrapText="1"/>
    </xf>
    <xf numFmtId="0" fontId="1" fillId="2" borderId="18" xfId="0" applyFont="1" applyFill="1" applyBorder="1" applyAlignment="1">
      <alignment vertical="top" wrapText="1"/>
    </xf>
    <xf numFmtId="164" fontId="7" fillId="2" borderId="7" xfId="0" applyNumberFormat="1" applyFont="1" applyFill="1" applyBorder="1" applyAlignment="1">
      <alignment horizontal="center" vertical="top"/>
    </xf>
    <xf numFmtId="164" fontId="7" fillId="2" borderId="8" xfId="0" applyNumberFormat="1" applyFont="1" applyFill="1" applyBorder="1" applyAlignment="1">
      <alignment horizontal="center" vertical="top"/>
    </xf>
    <xf numFmtId="164" fontId="7" fillId="2" borderId="9" xfId="0" applyNumberFormat="1" applyFont="1" applyFill="1" applyBorder="1" applyAlignment="1">
      <alignment horizontal="center" vertical="top"/>
    </xf>
    <xf numFmtId="164" fontId="7" fillId="2" borderId="21" xfId="0" applyNumberFormat="1" applyFont="1" applyFill="1" applyBorder="1" applyAlignment="1">
      <alignment horizontal="center" vertical="top"/>
    </xf>
    <xf numFmtId="2" fontId="7" fillId="2" borderId="7" xfId="0" applyNumberFormat="1" applyFont="1" applyFill="1" applyBorder="1" applyAlignment="1">
      <alignment horizontal="center" vertical="top"/>
    </xf>
    <xf numFmtId="2" fontId="7" fillId="2" borderId="8" xfId="0" applyNumberFormat="1" applyFont="1" applyFill="1" applyBorder="1" applyAlignment="1">
      <alignment horizontal="center" vertical="top"/>
    </xf>
    <xf numFmtId="1" fontId="7" fillId="2" borderId="7" xfId="0" applyNumberFormat="1" applyFont="1" applyFill="1" applyBorder="1" applyAlignment="1">
      <alignment horizontal="center" vertical="top"/>
    </xf>
    <xf numFmtId="0" fontId="7" fillId="2" borderId="9" xfId="0" applyFont="1" applyFill="1" applyBorder="1" applyAlignment="1">
      <alignment horizontal="center" vertical="top"/>
    </xf>
    <xf numFmtId="1" fontId="7" fillId="2" borderId="15" xfId="0" applyNumberFormat="1" applyFont="1" applyFill="1" applyBorder="1" applyAlignment="1">
      <alignment horizontal="center" vertical="top"/>
    </xf>
    <xf numFmtId="1" fontId="1" fillId="0" borderId="0" xfId="0" applyNumberFormat="1" applyFont="1" applyAlignment="1">
      <alignment horizontal="center" vertical="top"/>
    </xf>
    <xf numFmtId="0" fontId="7" fillId="0" borderId="0" xfId="0" applyFont="1" applyAlignment="1">
      <alignment horizontal="left" vertical="top"/>
    </xf>
    <xf numFmtId="0" fontId="12" fillId="0" borderId="0" xfId="0" applyFont="1" applyAlignment="1">
      <alignment horizontal="left" vertical="top"/>
    </xf>
    <xf numFmtId="0" fontId="13" fillId="0" borderId="1" xfId="0" applyFont="1" applyBorder="1" applyAlignment="1">
      <alignment horizontal="center" vertical="top"/>
    </xf>
    <xf numFmtId="2" fontId="13" fillId="0" borderId="1" xfId="0" applyNumberFormat="1" applyFont="1" applyBorder="1" applyAlignment="1">
      <alignment horizontal="center" vertical="top" wrapText="1"/>
    </xf>
    <xf numFmtId="2" fontId="7" fillId="0" borderId="5" xfId="0" applyNumberFormat="1" applyFont="1" applyBorder="1" applyAlignment="1">
      <alignment horizontal="center" vertical="top" wrapText="1"/>
    </xf>
    <xf numFmtId="2" fontId="7" fillId="0" borderId="1" xfId="1" applyNumberFormat="1" applyFont="1" applyBorder="1" applyAlignment="1">
      <alignment horizontal="center" vertical="top" wrapText="1"/>
    </xf>
    <xf numFmtId="2" fontId="7" fillId="0" borderId="20" xfId="0" applyNumberFormat="1" applyFont="1" applyBorder="1" applyAlignment="1">
      <alignment horizontal="center" vertical="top" wrapText="1"/>
    </xf>
    <xf numFmtId="9" fontId="7" fillId="2" borderId="17" xfId="2" applyFont="1" applyFill="1" applyBorder="1" applyAlignment="1">
      <alignment horizontal="center" vertical="top" wrapText="1"/>
    </xf>
    <xf numFmtId="0" fontId="7" fillId="2" borderId="17" xfId="0" applyFont="1" applyFill="1" applyBorder="1" applyAlignment="1">
      <alignment horizontal="center" vertical="top" wrapText="1"/>
    </xf>
    <xf numFmtId="0" fontId="7" fillId="0" borderId="17" xfId="0" applyFont="1" applyBorder="1" applyAlignment="1">
      <alignment horizontal="center" vertical="top" wrapText="1"/>
    </xf>
    <xf numFmtId="164" fontId="7" fillId="2" borderId="18" xfId="0" applyNumberFormat="1" applyFont="1" applyFill="1" applyBorder="1" applyAlignment="1">
      <alignment horizontal="center" vertical="top"/>
    </xf>
    <xf numFmtId="164" fontId="7" fillId="2" borderId="5" xfId="0" applyNumberFormat="1" applyFont="1" applyFill="1" applyBorder="1" applyAlignment="1">
      <alignment horizontal="center" vertical="top" wrapText="1"/>
    </xf>
    <xf numFmtId="164" fontId="16" fillId="0" borderId="14" xfId="0" applyNumberFormat="1" applyFont="1" applyBorder="1" applyAlignment="1">
      <alignment horizontal="center" vertical="top"/>
    </xf>
    <xf numFmtId="164" fontId="7" fillId="2" borderId="6" xfId="0" applyNumberFormat="1" applyFont="1" applyFill="1" applyBorder="1" applyAlignment="1">
      <alignment horizontal="center" vertical="top" wrapText="1"/>
    </xf>
    <xf numFmtId="0" fontId="15" fillId="0" borderId="1" xfId="0" applyFont="1" applyBorder="1" applyAlignment="1">
      <alignment horizontal="left" vertical="top" wrapText="1"/>
    </xf>
    <xf numFmtId="2" fontId="13" fillId="0" borderId="17" xfId="0" applyNumberFormat="1" applyFont="1" applyBorder="1" applyAlignment="1">
      <alignment horizontal="center" vertical="top" wrapText="1"/>
    </xf>
    <xf numFmtId="2" fontId="16" fillId="0" borderId="1" xfId="0" applyNumberFormat="1" applyFont="1" applyBorder="1" applyAlignment="1">
      <alignment horizontal="center" vertical="top" wrapText="1"/>
    </xf>
    <xf numFmtId="164" fontId="7" fillId="0" borderId="5" xfId="0" applyNumberFormat="1" applyFont="1" applyBorder="1" applyAlignment="1">
      <alignment horizontal="center" vertical="top"/>
    </xf>
    <xf numFmtId="0" fontId="7" fillId="3" borderId="1" xfId="1" applyFont="1" applyFill="1" applyBorder="1" applyAlignment="1">
      <alignment horizontal="left" vertical="top"/>
    </xf>
    <xf numFmtId="0" fontId="7" fillId="4" borderId="1" xfId="1" applyFont="1" applyFill="1" applyBorder="1" applyAlignment="1">
      <alignment horizontal="left" vertical="top"/>
    </xf>
    <xf numFmtId="0" fontId="7" fillId="5" borderId="1" xfId="1" applyFont="1" applyFill="1" applyBorder="1" applyAlignment="1">
      <alignment horizontal="left" vertical="top"/>
    </xf>
    <xf numFmtId="0" fontId="7" fillId="6" borderId="1" xfId="1" applyFont="1" applyFill="1" applyBorder="1" applyAlignment="1">
      <alignment horizontal="left" vertical="top"/>
    </xf>
    <xf numFmtId="0" fontId="7" fillId="7" borderId="1" xfId="1" applyFont="1" applyFill="1" applyBorder="1" applyAlignment="1">
      <alignment horizontal="left" vertical="top"/>
    </xf>
    <xf numFmtId="0" fontId="7" fillId="8" borderId="1" xfId="1" applyFont="1" applyFill="1" applyBorder="1" applyAlignment="1">
      <alignment horizontal="left" vertical="top"/>
    </xf>
    <xf numFmtId="0" fontId="7" fillId="9" borderId="1" xfId="1" applyFont="1" applyFill="1" applyBorder="1" applyAlignment="1">
      <alignment horizontal="left" vertical="top"/>
    </xf>
    <xf numFmtId="0" fontId="7" fillId="10" borderId="1" xfId="1" applyFont="1" applyFill="1" applyBorder="1" applyAlignment="1">
      <alignment horizontal="left" vertical="top"/>
    </xf>
    <xf numFmtId="0" fontId="7" fillId="11" borderId="1" xfId="1" applyFont="1" applyFill="1" applyBorder="1" applyAlignment="1">
      <alignment horizontal="left" vertical="top"/>
    </xf>
    <xf numFmtId="0" fontId="7" fillId="12" borderId="1" xfId="1" applyFont="1" applyFill="1" applyBorder="1" applyAlignment="1">
      <alignment horizontal="left" vertical="top"/>
    </xf>
    <xf numFmtId="0" fontId="7" fillId="13" borderId="1" xfId="1" applyFont="1" applyFill="1" applyBorder="1" applyAlignment="1">
      <alignment horizontal="left" vertical="top"/>
    </xf>
    <xf numFmtId="0" fontId="7" fillId="14" borderId="1" xfId="1" applyFont="1" applyFill="1" applyBorder="1" applyAlignment="1">
      <alignment horizontal="left" vertical="top"/>
    </xf>
    <xf numFmtId="0" fontId="7" fillId="15" borderId="1" xfId="1" applyFont="1" applyFill="1" applyBorder="1" applyAlignment="1">
      <alignment horizontal="left" vertical="top"/>
    </xf>
    <xf numFmtId="0" fontId="9" fillId="0" borderId="0" xfId="0" applyFont="1" applyAlignment="1">
      <alignment horizontal="left" vertical="top" wrapText="1"/>
    </xf>
    <xf numFmtId="0" fontId="7" fillId="2" borderId="3" xfId="0" applyFont="1" applyFill="1" applyBorder="1" applyAlignment="1">
      <alignment horizontal="left" vertical="top" textRotation="90" wrapText="1"/>
    </xf>
    <xf numFmtId="2" fontId="7" fillId="2" borderId="18" xfId="0" applyNumberFormat="1" applyFont="1" applyFill="1" applyBorder="1" applyAlignment="1">
      <alignment horizontal="center" vertical="top"/>
    </xf>
    <xf numFmtId="0" fontId="7" fillId="2" borderId="16" xfId="0" applyFont="1" applyFill="1" applyBorder="1" applyAlignment="1">
      <alignment horizontal="center" vertical="top" textRotation="90" wrapText="1"/>
    </xf>
    <xf numFmtId="164" fontId="13" fillId="0" borderId="17" xfId="0" applyNumberFormat="1" applyFont="1" applyBorder="1" applyAlignment="1">
      <alignment horizontal="center" vertical="top" wrapText="1"/>
    </xf>
    <xf numFmtId="1" fontId="13" fillId="0" borderId="17" xfId="0" applyNumberFormat="1" applyFont="1" applyBorder="1" applyAlignment="1">
      <alignment horizontal="center" vertical="top" wrapText="1"/>
    </xf>
    <xf numFmtId="0" fontId="17" fillId="0" borderId="1" xfId="0" applyFont="1" applyBorder="1" applyAlignment="1">
      <alignment horizontal="left" vertical="top" wrapText="1"/>
    </xf>
    <xf numFmtId="0" fontId="17" fillId="0" borderId="1" xfId="0" applyFont="1" applyBorder="1" applyAlignment="1">
      <alignment horizontal="left" vertical="top"/>
    </xf>
    <xf numFmtId="164" fontId="18" fillId="0" borderId="6" xfId="0" applyNumberFormat="1" applyFont="1" applyBorder="1" applyAlignment="1">
      <alignment horizontal="left" vertical="top" wrapText="1"/>
    </xf>
    <xf numFmtId="0" fontId="7" fillId="0" borderId="26" xfId="0" applyFont="1" applyBorder="1" applyAlignment="1">
      <alignment horizontal="center" vertical="top" wrapText="1"/>
    </xf>
    <xf numFmtId="2" fontId="7" fillId="2" borderId="27" xfId="0" applyNumberFormat="1" applyFont="1" applyFill="1" applyBorder="1" applyAlignment="1">
      <alignment horizontal="center" vertical="top"/>
    </xf>
    <xf numFmtId="0" fontId="1" fillId="0" borderId="1" xfId="0" applyFont="1" applyBorder="1" applyAlignment="1">
      <alignment horizontal="center" vertical="top" wrapText="1"/>
    </xf>
    <xf numFmtId="0" fontId="17" fillId="0" borderId="17" xfId="0" applyFont="1" applyBorder="1" applyAlignment="1">
      <alignment horizontal="left" vertical="top" wrapText="1"/>
    </xf>
    <xf numFmtId="0" fontId="13" fillId="0" borderId="1" xfId="1" applyFont="1" applyFill="1" applyBorder="1" applyAlignment="1">
      <alignment horizontal="left" vertical="top"/>
    </xf>
    <xf numFmtId="0" fontId="13" fillId="0" borderId="0" xfId="1" applyFont="1" applyFill="1" applyBorder="1" applyAlignment="1">
      <alignment vertical="top" wrapText="1"/>
    </xf>
    <xf numFmtId="0" fontId="7" fillId="16" borderId="1" xfId="1" applyFont="1" applyFill="1" applyBorder="1" applyAlignment="1">
      <alignment horizontal="center" vertical="top"/>
    </xf>
    <xf numFmtId="0" fontId="7" fillId="17" borderId="1" xfId="1" applyFont="1" applyFill="1" applyBorder="1" applyAlignment="1">
      <alignment horizontal="center" vertical="top"/>
    </xf>
    <xf numFmtId="0" fontId="7" fillId="18" borderId="1" xfId="1" applyFont="1" applyFill="1" applyBorder="1" applyAlignment="1">
      <alignment horizontal="center" vertical="top"/>
    </xf>
    <xf numFmtId="0" fontId="7" fillId="19" borderId="1" xfId="1" applyFont="1" applyFill="1" applyBorder="1" applyAlignment="1">
      <alignment horizontal="center" vertical="top"/>
    </xf>
    <xf numFmtId="0" fontId="7" fillId="20" borderId="1" xfId="1" applyFont="1" applyFill="1" applyBorder="1" applyAlignment="1">
      <alignment horizontal="center" vertical="top"/>
    </xf>
    <xf numFmtId="0" fontId="7" fillId="21" borderId="1" xfId="1" applyFont="1" applyFill="1" applyBorder="1" applyAlignment="1">
      <alignment horizontal="center" vertical="top"/>
    </xf>
    <xf numFmtId="0" fontId="7" fillId="22" borderId="1" xfId="1" applyFont="1" applyFill="1" applyBorder="1" applyAlignment="1">
      <alignment horizontal="center" vertical="top"/>
    </xf>
    <xf numFmtId="0" fontId="7" fillId="23" borderId="1" xfId="1" applyFont="1" applyFill="1" applyBorder="1" applyAlignment="1">
      <alignment horizontal="center" vertical="top"/>
    </xf>
    <xf numFmtId="0" fontId="7" fillId="2" borderId="5" xfId="0" applyFont="1" applyFill="1" applyBorder="1" applyAlignment="1">
      <alignment horizontal="center" vertical="top" textRotation="90" wrapText="1"/>
    </xf>
    <xf numFmtId="0" fontId="7" fillId="2" borderId="1" xfId="0" applyFont="1" applyFill="1" applyBorder="1" applyAlignment="1">
      <alignment horizontal="center" vertical="top" textRotation="90" wrapText="1"/>
    </xf>
    <xf numFmtId="0" fontId="1" fillId="0" borderId="0" xfId="0" applyFont="1"/>
    <xf numFmtId="0" fontId="1" fillId="0" borderId="30" xfId="0" applyFont="1" applyBorder="1"/>
    <xf numFmtId="0" fontId="1" fillId="0" borderId="35" xfId="0" applyFont="1" applyBorder="1"/>
    <xf numFmtId="0" fontId="1" fillId="0" borderId="37" xfId="0" applyFont="1" applyBorder="1"/>
    <xf numFmtId="0" fontId="1" fillId="0" borderId="38" xfId="0" applyFont="1" applyBorder="1"/>
    <xf numFmtId="0" fontId="1" fillId="2" borderId="32" xfId="0" applyFont="1" applyFill="1" applyBorder="1"/>
    <xf numFmtId="0" fontId="1" fillId="2" borderId="33" xfId="0" applyFont="1" applyFill="1" applyBorder="1"/>
    <xf numFmtId="0" fontId="1" fillId="0" borderId="0" xfId="0" applyFont="1" applyAlignment="1">
      <alignment horizontal="left"/>
    </xf>
    <xf numFmtId="0" fontId="1" fillId="2" borderId="31" xfId="0" applyFont="1" applyFill="1" applyBorder="1" applyAlignment="1">
      <alignment horizontal="left"/>
    </xf>
    <xf numFmtId="49" fontId="1" fillId="0" borderId="34" xfId="0" applyNumberFormat="1" applyFont="1" applyBorder="1" applyAlignment="1">
      <alignment horizontal="left"/>
    </xf>
    <xf numFmtId="49" fontId="1" fillId="0" borderId="36" xfId="0" applyNumberFormat="1" applyFont="1" applyBorder="1" applyAlignment="1">
      <alignment horizontal="left"/>
    </xf>
    <xf numFmtId="0" fontId="6" fillId="0" borderId="0" xfId="0" applyFont="1" applyAlignment="1">
      <alignment horizontal="left" vertical="top" wrapText="1"/>
    </xf>
    <xf numFmtId="0" fontId="15" fillId="0" borderId="20" xfId="0" applyFont="1" applyBorder="1" applyAlignment="1">
      <alignment horizontal="left" vertical="top"/>
    </xf>
    <xf numFmtId="0" fontId="1" fillId="0" borderId="20" xfId="0" applyFont="1" applyBorder="1" applyAlignment="1">
      <alignment horizontal="left" vertical="top"/>
    </xf>
    <xf numFmtId="0" fontId="1" fillId="2" borderId="21" xfId="0" applyFont="1" applyFill="1" applyBorder="1" applyAlignment="1">
      <alignment vertical="top" wrapText="1"/>
    </xf>
    <xf numFmtId="0" fontId="1" fillId="0" borderId="39" xfId="0" applyFont="1" applyBorder="1" applyAlignment="1">
      <alignment horizontal="left" vertical="top"/>
    </xf>
    <xf numFmtId="0" fontId="1" fillId="0" borderId="40" xfId="0" applyFont="1" applyBorder="1" applyAlignment="1">
      <alignment horizontal="left" vertical="top" wrapText="1"/>
    </xf>
    <xf numFmtId="0" fontId="1" fillId="0" borderId="40" xfId="0" applyFont="1" applyBorder="1" applyAlignment="1">
      <alignment horizontal="left" vertical="top"/>
    </xf>
    <xf numFmtId="0" fontId="13" fillId="0" borderId="40" xfId="1" applyFont="1" applyBorder="1" applyAlignment="1">
      <alignment horizontal="left" vertical="top"/>
    </xf>
    <xf numFmtId="0" fontId="1" fillId="0" borderId="40" xfId="0" applyFont="1" applyBorder="1" applyAlignment="1">
      <alignment horizontal="center" vertical="top"/>
    </xf>
    <xf numFmtId="0" fontId="17" fillId="0" borderId="40" xfId="0" applyFont="1" applyBorder="1" applyAlignment="1">
      <alignment horizontal="left" vertical="top" wrapText="1"/>
    </xf>
    <xf numFmtId="0" fontId="15" fillId="0" borderId="41" xfId="0" applyFont="1" applyBorder="1" applyAlignment="1">
      <alignment horizontal="left" vertical="top" wrapText="1"/>
    </xf>
    <xf numFmtId="0" fontId="1" fillId="2" borderId="42" xfId="0" applyFont="1" applyFill="1" applyBorder="1" applyAlignment="1">
      <alignment horizontal="left" vertical="top" wrapText="1"/>
    </xf>
    <xf numFmtId="0" fontId="1" fillId="2" borderId="43" xfId="0" applyFont="1" applyFill="1" applyBorder="1" applyAlignment="1">
      <alignment vertical="top" wrapText="1"/>
    </xf>
    <xf numFmtId="0" fontId="7" fillId="2" borderId="43" xfId="0" applyFont="1" applyFill="1" applyBorder="1" applyAlignment="1">
      <alignment horizontal="center" vertical="top" textRotation="180"/>
    </xf>
    <xf numFmtId="0" fontId="7" fillId="2" borderId="43" xfId="0" applyFont="1" applyFill="1" applyBorder="1" applyAlignment="1">
      <alignment vertical="top" textRotation="180"/>
    </xf>
    <xf numFmtId="0" fontId="7" fillId="2" borderId="43" xfId="0" applyFont="1" applyFill="1" applyBorder="1" applyAlignment="1">
      <alignment vertical="top" wrapText="1"/>
    </xf>
    <xf numFmtId="0" fontId="7" fillId="2" borderId="44" xfId="0" applyFont="1" applyFill="1" applyBorder="1" applyAlignment="1">
      <alignment vertical="top" wrapText="1"/>
    </xf>
    <xf numFmtId="0" fontId="12" fillId="2" borderId="43" xfId="0" applyFont="1" applyFill="1" applyBorder="1" applyAlignment="1">
      <alignment horizontal="center" vertical="top" textRotation="180" wrapText="1"/>
    </xf>
    <xf numFmtId="0" fontId="7" fillId="2" borderId="45" xfId="0" applyFont="1" applyFill="1" applyBorder="1" applyAlignment="1">
      <alignment vertical="top" wrapText="1"/>
    </xf>
    <xf numFmtId="0" fontId="9" fillId="0" borderId="0" xfId="0" applyFont="1" applyAlignment="1">
      <alignment vertical="center"/>
    </xf>
    <xf numFmtId="0" fontId="1" fillId="2" borderId="10" xfId="0" applyFont="1" applyFill="1" applyBorder="1" applyAlignment="1">
      <alignment horizontal="left" vertical="center" wrapText="1"/>
    </xf>
    <xf numFmtId="0" fontId="1" fillId="2" borderId="46" xfId="0" applyFont="1" applyFill="1" applyBorder="1" applyAlignment="1">
      <alignment horizontal="left" vertical="center" wrapText="1"/>
    </xf>
    <xf numFmtId="0" fontId="1" fillId="2" borderId="11" xfId="0" applyFont="1" applyFill="1" applyBorder="1" applyAlignment="1">
      <alignment horizontal="left" vertical="center" wrapText="1"/>
    </xf>
    <xf numFmtId="0" fontId="1" fillId="2" borderId="12" xfId="0" applyFont="1" applyFill="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1" xfId="0" applyFont="1" applyBorder="1" applyAlignment="1">
      <alignment horizontal="left" vertical="center" wrapText="1"/>
    </xf>
    <xf numFmtId="0" fontId="1" fillId="0" borderId="6" xfId="0" applyFont="1" applyBorder="1" applyAlignment="1">
      <alignment horizontal="left" vertical="center" wrapText="1"/>
    </xf>
    <xf numFmtId="0" fontId="1" fillId="0" borderId="8" xfId="0" applyFont="1" applyBorder="1" applyAlignment="1">
      <alignment horizontal="left" vertical="center" wrapText="1"/>
    </xf>
    <xf numFmtId="0" fontId="1" fillId="0" borderId="9" xfId="0" applyFont="1" applyBorder="1" applyAlignment="1">
      <alignment horizontal="left" vertical="center" wrapText="1"/>
    </xf>
    <xf numFmtId="0" fontId="1" fillId="0" borderId="47" xfId="0" applyFont="1" applyBorder="1" applyAlignment="1">
      <alignment vertical="center"/>
    </xf>
    <xf numFmtId="0" fontId="1" fillId="0" borderId="49" xfId="0" applyFont="1" applyBorder="1" applyAlignment="1">
      <alignment vertical="center"/>
    </xf>
    <xf numFmtId="0" fontId="17" fillId="0" borderId="20" xfId="0" applyFont="1" applyBorder="1" applyAlignment="1">
      <alignment horizontal="center" vertical="top" wrapText="1"/>
    </xf>
    <xf numFmtId="0" fontId="15" fillId="0" borderId="20" xfId="0" applyFont="1" applyBorder="1" applyAlignment="1">
      <alignment horizontal="center" vertical="top" wrapText="1"/>
    </xf>
    <xf numFmtId="0" fontId="15" fillId="0" borderId="20" xfId="0" applyFont="1" applyBorder="1" applyAlignment="1">
      <alignment horizontal="center" vertical="top"/>
    </xf>
    <xf numFmtId="0" fontId="1" fillId="0" borderId="20" xfId="0" applyFont="1" applyBorder="1" applyAlignment="1">
      <alignment horizontal="center" vertical="top"/>
    </xf>
    <xf numFmtId="0" fontId="1" fillId="2" borderId="21" xfId="0" applyFont="1" applyFill="1" applyBorder="1" applyAlignment="1">
      <alignment horizontal="center" vertical="top" wrapText="1"/>
    </xf>
    <xf numFmtId="0" fontId="6" fillId="0" borderId="0" xfId="0" applyFont="1" applyAlignment="1">
      <alignment horizontal="center" vertical="top" wrapText="1"/>
    </xf>
    <xf numFmtId="0" fontId="17" fillId="0" borderId="20" xfId="0" applyFont="1" applyBorder="1" applyAlignment="1">
      <alignment horizontal="left" vertical="top"/>
    </xf>
    <xf numFmtId="0" fontId="2" fillId="0" borderId="20" xfId="1" applyBorder="1" applyAlignment="1">
      <alignment horizontal="left" vertical="top"/>
    </xf>
    <xf numFmtId="0" fontId="18" fillId="0" borderId="48" xfId="0" applyFont="1" applyBorder="1" applyAlignment="1">
      <alignment vertical="center"/>
    </xf>
    <xf numFmtId="0" fontId="18" fillId="0" borderId="1" xfId="0" applyFont="1" applyBorder="1" applyAlignment="1">
      <alignment horizontal="left" vertical="center" wrapText="1"/>
    </xf>
    <xf numFmtId="0" fontId="18" fillId="0" borderId="6" xfId="0" applyFont="1" applyBorder="1" applyAlignment="1">
      <alignment horizontal="left" vertical="center" wrapText="1"/>
    </xf>
    <xf numFmtId="0" fontId="18" fillId="0" borderId="40" xfId="0" applyFont="1" applyBorder="1" applyAlignment="1">
      <alignment horizontal="left" vertical="center" wrapText="1"/>
    </xf>
    <xf numFmtId="0" fontId="18" fillId="0" borderId="51" xfId="0" applyFont="1" applyBorder="1" applyAlignment="1">
      <alignment horizontal="left" vertical="center" wrapText="1"/>
    </xf>
    <xf numFmtId="0" fontId="18" fillId="0" borderId="50" xfId="0" applyFont="1" applyBorder="1" applyAlignment="1">
      <alignment vertical="center"/>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0" fontId="9" fillId="0" borderId="0" xfId="0" applyFont="1" applyAlignment="1">
      <alignment wrapText="1"/>
    </xf>
    <xf numFmtId="0" fontId="1" fillId="0" borderId="0" xfId="0" applyFont="1" applyAlignment="1">
      <alignment horizontal="center"/>
    </xf>
    <xf numFmtId="0" fontId="20" fillId="0" borderId="0" xfId="0" applyFont="1" applyAlignment="1">
      <alignment horizontal="center" vertical="center" wrapText="1"/>
    </xf>
    <xf numFmtId="0" fontId="20" fillId="0" borderId="52" xfId="0" applyFont="1" applyBorder="1" applyAlignment="1">
      <alignment horizontal="center" vertical="center" wrapText="1"/>
    </xf>
    <xf numFmtId="0" fontId="10" fillId="0" borderId="0" xfId="0" applyFont="1" applyAlignment="1">
      <alignment horizontal="left" vertical="top" wrapText="1"/>
    </xf>
    <xf numFmtId="0" fontId="6" fillId="0" borderId="0" xfId="0" applyFont="1" applyAlignment="1">
      <alignment horizontal="left" vertical="top" wrapText="1"/>
    </xf>
    <xf numFmtId="9" fontId="8" fillId="0" borderId="0" xfId="2" applyFont="1" applyBorder="1" applyAlignment="1">
      <alignment horizontal="center" vertical="top" wrapText="1"/>
    </xf>
    <xf numFmtId="0" fontId="7" fillId="2" borderId="10" xfId="0" applyFont="1" applyFill="1" applyBorder="1" applyAlignment="1">
      <alignment horizontal="center" vertical="top" wrapText="1"/>
    </xf>
    <xf numFmtId="0" fontId="7" fillId="2" borderId="11" xfId="0" applyFont="1" applyFill="1" applyBorder="1" applyAlignment="1">
      <alignment horizontal="center" vertical="top" wrapText="1"/>
    </xf>
    <xf numFmtId="0" fontId="7" fillId="2" borderId="22" xfId="0" applyFont="1" applyFill="1" applyBorder="1" applyAlignment="1">
      <alignment horizontal="center" vertical="top" wrapText="1"/>
    </xf>
    <xf numFmtId="0" fontId="7" fillId="2" borderId="12" xfId="0" applyFont="1" applyFill="1" applyBorder="1" applyAlignment="1">
      <alignment horizontal="center" vertical="top" wrapText="1"/>
    </xf>
    <xf numFmtId="0" fontId="7" fillId="2" borderId="2" xfId="0" applyFont="1" applyFill="1" applyBorder="1" applyAlignment="1">
      <alignment horizontal="center" vertical="top" wrapText="1"/>
    </xf>
    <xf numFmtId="0" fontId="7" fillId="2" borderId="3" xfId="0" applyFont="1" applyFill="1" applyBorder="1" applyAlignment="1">
      <alignment horizontal="center" vertical="top" wrapText="1"/>
    </xf>
    <xf numFmtId="0" fontId="7" fillId="2" borderId="4" xfId="0" applyFont="1" applyFill="1" applyBorder="1" applyAlignment="1">
      <alignment horizontal="center" vertical="top" wrapText="1"/>
    </xf>
    <xf numFmtId="9" fontId="7" fillId="2" borderId="5" xfId="2" applyFont="1" applyFill="1" applyBorder="1" applyAlignment="1">
      <alignment horizontal="center" vertical="top" wrapText="1"/>
    </xf>
    <xf numFmtId="9" fontId="7" fillId="2" borderId="1" xfId="2" applyFont="1" applyFill="1" applyBorder="1" applyAlignment="1">
      <alignment horizontal="center" vertical="top" wrapText="1"/>
    </xf>
    <xf numFmtId="9" fontId="7" fillId="2" borderId="6" xfId="2" applyFont="1" applyFill="1" applyBorder="1" applyAlignment="1">
      <alignment horizontal="center" vertical="top" wrapText="1"/>
    </xf>
    <xf numFmtId="0" fontId="7" fillId="2" borderId="23" xfId="0" applyFont="1" applyFill="1" applyBorder="1" applyAlignment="1">
      <alignment horizontal="center" vertical="top" wrapText="1"/>
    </xf>
    <xf numFmtId="0" fontId="7" fillId="2" borderId="19" xfId="0" applyFont="1" applyFill="1" applyBorder="1" applyAlignment="1">
      <alignment horizontal="center" vertical="top" wrapText="1"/>
    </xf>
    <xf numFmtId="0" fontId="7" fillId="2" borderId="29" xfId="0" applyFont="1" applyFill="1" applyBorder="1" applyAlignment="1">
      <alignment horizontal="center" vertical="top" wrapText="1"/>
    </xf>
    <xf numFmtId="9" fontId="7" fillId="2" borderId="24" xfId="2" applyFont="1" applyFill="1" applyBorder="1" applyAlignment="1">
      <alignment horizontal="center" vertical="top" wrapText="1"/>
    </xf>
    <xf numFmtId="9" fontId="7" fillId="2" borderId="20" xfId="2" applyFont="1" applyFill="1" applyBorder="1" applyAlignment="1">
      <alignment horizontal="center" vertical="top" wrapText="1"/>
    </xf>
    <xf numFmtId="9" fontId="7" fillId="2" borderId="28" xfId="2" applyFont="1" applyFill="1" applyBorder="1" applyAlignment="1">
      <alignment horizontal="center" vertical="top" wrapText="1"/>
    </xf>
    <xf numFmtId="0" fontId="7" fillId="2" borderId="25" xfId="0" applyFont="1" applyFill="1" applyBorder="1" applyAlignment="1">
      <alignment horizontal="center" vertical="top" wrapText="1"/>
    </xf>
    <xf numFmtId="9" fontId="7" fillId="2" borderId="26" xfId="2" applyFont="1" applyFill="1" applyBorder="1" applyAlignment="1">
      <alignment horizontal="center" vertical="top" wrapText="1"/>
    </xf>
    <xf numFmtId="0" fontId="1" fillId="2" borderId="2" xfId="0" applyFont="1" applyFill="1" applyBorder="1" applyAlignment="1">
      <alignment horizontal="center" vertical="top" wrapText="1"/>
    </xf>
    <xf numFmtId="0" fontId="1" fillId="2" borderId="4" xfId="0" applyFont="1" applyFill="1" applyBorder="1" applyAlignment="1">
      <alignment horizontal="center" vertical="top" wrapText="1"/>
    </xf>
    <xf numFmtId="0" fontId="7" fillId="2" borderId="16" xfId="0" applyFont="1" applyFill="1" applyBorder="1" applyAlignment="1">
      <alignment horizontal="center" vertical="top" wrapText="1"/>
    </xf>
    <xf numFmtId="0" fontId="1" fillId="0" borderId="10" xfId="0" applyFont="1" applyBorder="1" applyAlignment="1">
      <alignment horizontal="center" vertical="center"/>
    </xf>
    <xf numFmtId="0" fontId="1" fillId="0" borderId="47" xfId="0" applyFont="1" applyBorder="1" applyAlignment="1">
      <alignment horizontal="center" vertical="center"/>
    </xf>
    <xf numFmtId="0" fontId="1" fillId="0" borderId="49" xfId="0" applyFont="1" applyBorder="1" applyAlignment="1">
      <alignment horizontal="center" vertical="center"/>
    </xf>
    <xf numFmtId="0" fontId="1" fillId="0" borderId="11" xfId="0" applyFont="1" applyBorder="1" applyAlignment="1">
      <alignment horizontal="center" vertical="center"/>
    </xf>
    <xf numFmtId="0" fontId="1" fillId="0" borderId="48" xfId="0" applyFont="1" applyBorder="1" applyAlignment="1">
      <alignment horizontal="center" vertical="center"/>
    </xf>
    <xf numFmtId="0" fontId="1" fillId="0" borderId="50" xfId="0" applyFont="1" applyBorder="1" applyAlignment="1">
      <alignment horizontal="center" vertical="center"/>
    </xf>
    <xf numFmtId="0" fontId="1" fillId="0" borderId="0" xfId="0" applyFont="1" applyAlignment="1">
      <alignment horizontal="left" wrapText="1"/>
    </xf>
    <xf numFmtId="0" fontId="1" fillId="0" borderId="52" xfId="0" applyFont="1" applyBorder="1" applyAlignment="1">
      <alignment horizontal="left" wrapText="1"/>
    </xf>
    <xf numFmtId="0" fontId="1" fillId="0" borderId="0" xfId="0" applyFont="1" applyAlignment="1">
      <alignment horizontal="center"/>
    </xf>
    <xf numFmtId="0" fontId="1" fillId="0" borderId="52" xfId="0" applyFont="1" applyBorder="1" applyAlignment="1">
      <alignment horizontal="center"/>
    </xf>
    <xf numFmtId="0" fontId="7" fillId="2" borderId="44" xfId="0" applyFont="1" applyFill="1" applyBorder="1" applyAlignment="1">
      <alignment horizontal="center" vertical="top" wrapText="1"/>
    </xf>
    <xf numFmtId="0" fontId="15" fillId="0" borderId="41" xfId="0" applyFont="1" applyBorder="1" applyAlignment="1">
      <alignment horizontal="center" vertical="top" wrapText="1"/>
    </xf>
    <xf numFmtId="0" fontId="1" fillId="2" borderId="18" xfId="0" applyFont="1" applyFill="1" applyBorder="1" applyAlignment="1">
      <alignment horizontal="center" vertical="top" wrapText="1"/>
    </xf>
    <xf numFmtId="0" fontId="1" fillId="0" borderId="11" xfId="0" applyFont="1" applyBorder="1" applyAlignment="1">
      <alignment horizontal="center" vertical="center" wrapText="1"/>
    </xf>
    <xf numFmtId="0" fontId="1" fillId="0" borderId="48" xfId="0" applyFont="1" applyBorder="1" applyAlignment="1">
      <alignment horizontal="center" vertical="center" wrapText="1"/>
    </xf>
    <xf numFmtId="0" fontId="1" fillId="0" borderId="50" xfId="0" applyFont="1" applyBorder="1" applyAlignment="1">
      <alignment horizontal="center" vertical="center" wrapText="1"/>
    </xf>
    <xf numFmtId="0" fontId="1" fillId="2" borderId="22" xfId="0" applyFont="1" applyFill="1" applyBorder="1" applyAlignment="1">
      <alignment horizontal="center" vertical="center" wrapText="1"/>
    </xf>
    <xf numFmtId="0" fontId="7" fillId="0" borderId="17" xfId="0" applyFont="1" applyBorder="1" applyAlignment="1">
      <alignment horizontal="center" vertical="center" wrapText="1"/>
    </xf>
    <xf numFmtId="0" fontId="18" fillId="0" borderId="41" xfId="0" applyFont="1" applyBorder="1" applyAlignment="1">
      <alignment horizontal="center" vertical="center" wrapText="1"/>
    </xf>
    <xf numFmtId="0" fontId="18" fillId="0" borderId="17" xfId="0" applyFont="1" applyBorder="1" applyAlignment="1">
      <alignment horizontal="center" vertical="center" wrapText="1"/>
    </xf>
    <xf numFmtId="0" fontId="18" fillId="0" borderId="18"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8" xfId="0" applyFont="1" applyBorder="1" applyAlignment="1">
      <alignment horizontal="center" vertical="center" wrapText="1"/>
    </xf>
  </cellXfs>
  <cellStyles count="4">
    <cellStyle name="Hyperlink" xfId="1" builtinId="8"/>
    <cellStyle name="Millares 2" xfId="3" xr:uid="{B0E897DB-BB24-4A57-9D95-A828922C2E73}"/>
    <cellStyle name="Normal" xfId="0" builtinId="0"/>
    <cellStyle name="Percent" xfId="2" builtinId="5"/>
  </cellStyles>
  <dxfs count="0"/>
  <tableStyles count="0" defaultTableStyle="TableStyleMedium2" defaultPivotStyle="PivotStyleLight16"/>
  <colors>
    <mruColors>
      <color rgb="FFC4C198"/>
      <color rgb="FF90AEB6"/>
      <color rgb="FFEED8EC"/>
      <color rgb="FFEED8EF"/>
      <color rgb="FFFADF9C"/>
      <color rgb="FFEDA595"/>
      <color rgb="FFF8D47A"/>
      <color rgb="FFA5D9DB"/>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79513</xdr:colOff>
      <xdr:row>1</xdr:row>
      <xdr:rowOff>0</xdr:rowOff>
    </xdr:from>
    <xdr:to>
      <xdr:col>1</xdr:col>
      <xdr:colOff>742122</xdr:colOff>
      <xdr:row>3</xdr:row>
      <xdr:rowOff>107323</xdr:rowOff>
    </xdr:to>
    <xdr:pic>
      <xdr:nvPicPr>
        <xdr:cNvPr id="3" name="Picture 2">
          <a:extLst>
            <a:ext uri="{FF2B5EF4-FFF2-40B4-BE49-F238E27FC236}">
              <a16:creationId xmlns:a16="http://schemas.microsoft.com/office/drawing/2014/main" id="{4CAA6650-5B1E-71C1-BD0D-98C168196B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165" y="205409"/>
          <a:ext cx="662609" cy="7368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7620</xdr:colOff>
      <xdr:row>0</xdr:row>
      <xdr:rowOff>182881</xdr:rowOff>
    </xdr:from>
    <xdr:to>
      <xdr:col>2</xdr:col>
      <xdr:colOff>37759</xdr:colOff>
      <xdr:row>2</xdr:row>
      <xdr:rowOff>160021</xdr:rowOff>
    </xdr:to>
    <xdr:pic>
      <xdr:nvPicPr>
        <xdr:cNvPr id="3" name="Picture 2">
          <a:extLst>
            <a:ext uri="{FF2B5EF4-FFF2-40B4-BE49-F238E27FC236}">
              <a16:creationId xmlns:a16="http://schemas.microsoft.com/office/drawing/2014/main" id="{8D9501BC-0839-8E3C-DC24-57506C073D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2880" y="182881"/>
          <a:ext cx="891199" cy="40386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9</v>
    <v>0</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horturl.at/46wMU" TargetMode="External"/><Relationship Id="rId13" Type="http://schemas.openxmlformats.org/officeDocument/2006/relationships/hyperlink" Target="https://shorturl.at/46wMU" TargetMode="External"/><Relationship Id="rId18" Type="http://schemas.openxmlformats.org/officeDocument/2006/relationships/hyperlink" Target="http://bit.ly/4ltHbSK" TargetMode="External"/><Relationship Id="rId3" Type="http://schemas.openxmlformats.org/officeDocument/2006/relationships/hyperlink" Target="https://shorturl.at/8lPad" TargetMode="External"/><Relationship Id="rId21" Type="http://schemas.openxmlformats.org/officeDocument/2006/relationships/printerSettings" Target="../printerSettings/printerSettings1.bin"/><Relationship Id="rId7" Type="http://schemas.openxmlformats.org/officeDocument/2006/relationships/hyperlink" Target="https://shorturl.at/8lPad" TargetMode="External"/><Relationship Id="rId12" Type="http://schemas.openxmlformats.org/officeDocument/2006/relationships/hyperlink" Target="https://shorturl.at/46wMU" TargetMode="External"/><Relationship Id="rId17" Type="http://schemas.openxmlformats.org/officeDocument/2006/relationships/hyperlink" Target="http://bit.ly/4ltHbSK" TargetMode="External"/><Relationship Id="rId2" Type="http://schemas.openxmlformats.org/officeDocument/2006/relationships/hyperlink" Target="https://shorturl.at/8lPad" TargetMode="External"/><Relationship Id="rId16" Type="http://schemas.openxmlformats.org/officeDocument/2006/relationships/hyperlink" Target="http://bit.ly/4ltHbSK" TargetMode="External"/><Relationship Id="rId20" Type="http://schemas.openxmlformats.org/officeDocument/2006/relationships/hyperlink" Target="http://bit.ly/4ltHbSK" TargetMode="External"/><Relationship Id="rId1" Type="http://schemas.openxmlformats.org/officeDocument/2006/relationships/hyperlink" Target="https://github.com/rcfdtools/R.DAPC" TargetMode="External"/><Relationship Id="rId6" Type="http://schemas.openxmlformats.org/officeDocument/2006/relationships/hyperlink" Target="https://shorturl.at/8lPad" TargetMode="External"/><Relationship Id="rId11" Type="http://schemas.openxmlformats.org/officeDocument/2006/relationships/hyperlink" Target="https://shorturl.at/46wMU" TargetMode="External"/><Relationship Id="rId24" Type="http://schemas.openxmlformats.org/officeDocument/2006/relationships/comments" Target="../comments1.xml"/><Relationship Id="rId5" Type="http://schemas.openxmlformats.org/officeDocument/2006/relationships/hyperlink" Target="https://shorturl.at/8lPad" TargetMode="External"/><Relationship Id="rId15" Type="http://schemas.openxmlformats.org/officeDocument/2006/relationships/hyperlink" Target="http://bit.ly/4ltHbSK" TargetMode="External"/><Relationship Id="rId23" Type="http://schemas.openxmlformats.org/officeDocument/2006/relationships/vmlDrawing" Target="../drawings/vmlDrawing1.vml"/><Relationship Id="rId10" Type="http://schemas.openxmlformats.org/officeDocument/2006/relationships/hyperlink" Target="https://shorturl.at/46wMU" TargetMode="External"/><Relationship Id="rId19" Type="http://schemas.openxmlformats.org/officeDocument/2006/relationships/hyperlink" Target="http://bit.ly/4ltHbSK" TargetMode="External"/><Relationship Id="rId4" Type="http://schemas.openxmlformats.org/officeDocument/2006/relationships/hyperlink" Target="https://shorturl.at/8lPad" TargetMode="External"/><Relationship Id="rId9" Type="http://schemas.openxmlformats.org/officeDocument/2006/relationships/hyperlink" Target="https://shorturl.at/46wMU" TargetMode="External"/><Relationship Id="rId14" Type="http://schemas.openxmlformats.org/officeDocument/2006/relationships/hyperlink" Target="../../../../../:f:/g/personal/nasly_antolinez-f_mail_escuelaing_edu_co/EqAtbstLvzpBqUHYQsHfOtsBxUjFgXb5lIr8NpRf9jHPQg?e=oC1zPX" TargetMode="External"/><Relationship Id="rId2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DJ62"/>
  <sheetViews>
    <sheetView showGridLines="0" zoomScale="160" zoomScaleNormal="160" workbookViewId="0">
      <pane xSplit="3" ySplit="5" topLeftCell="D6" activePane="bottomRight" state="frozen"/>
      <selection pane="topRight" activeCell="D1" sqref="D1"/>
      <selection pane="bottomLeft" activeCell="A6" sqref="A6"/>
      <selection pane="bottomRight" activeCell="B48" sqref="B48:Q59"/>
    </sheetView>
  </sheetViews>
  <sheetFormatPr defaultColWidth="11.44140625" defaultRowHeight="16.8" x14ac:dyDescent="0.3"/>
  <cols>
    <col min="1" max="1" width="2.44140625" style="16" customWidth="1"/>
    <col min="2" max="2" width="12.44140625" style="6" customWidth="1"/>
    <col min="3" max="3" width="42.5546875" style="6" customWidth="1"/>
    <col min="4" max="4" width="4.109375" style="6" customWidth="1"/>
    <col min="5" max="5" width="14.5546875" style="43" customWidth="1"/>
    <col min="6" max="6" width="6.44140625" style="6" customWidth="1"/>
    <col min="7" max="7" width="4.44140625" style="16" customWidth="1"/>
    <col min="8" max="8" width="2.44140625" style="6" hidden="1" customWidth="1"/>
    <col min="9" max="12" width="3.44140625" style="6" hidden="1" customWidth="1"/>
    <col min="13" max="13" width="7.44140625" style="6" hidden="1" customWidth="1"/>
    <col min="14" max="14" width="9.44140625" style="6" hidden="1" customWidth="1"/>
    <col min="15" max="16" width="9.44140625" style="16" customWidth="1"/>
    <col min="17" max="17" width="14.44140625" style="6" customWidth="1"/>
    <col min="18" max="18" width="3.88671875" style="16" customWidth="1"/>
    <col min="19" max="19" width="9.44140625" style="6" customWidth="1"/>
    <col min="20" max="24" width="3.44140625" style="6" customWidth="1"/>
    <col min="25" max="25" width="3.21875" style="6" customWidth="1"/>
    <col min="26" max="33" width="3.44140625" style="6" customWidth="1"/>
    <col min="34" max="34" width="4" style="6" customWidth="1"/>
    <col min="35" max="35" width="5.44140625" style="16" customWidth="1"/>
    <col min="36" max="46" width="4.44140625" style="16" customWidth="1"/>
    <col min="47" max="47" width="10" style="16" customWidth="1"/>
    <col min="48" max="48" width="6" style="16" customWidth="1"/>
    <col min="49" max="49" width="8" style="16" customWidth="1"/>
    <col min="50" max="64" width="4" style="6" customWidth="1"/>
    <col min="65" max="65" width="4" style="16" customWidth="1"/>
    <col min="66" max="66" width="6.44140625" style="16" customWidth="1"/>
    <col min="67" max="67" width="7.44140625" style="16" customWidth="1"/>
    <col min="68" max="70" width="5.44140625" style="16" customWidth="1"/>
    <col min="71" max="71" width="5" style="16" customWidth="1"/>
    <col min="72" max="72" width="5.44140625" style="16" customWidth="1"/>
    <col min="73" max="73" width="6.33203125" style="16" customWidth="1"/>
    <col min="74" max="74" width="6.44140625" style="16" customWidth="1"/>
    <col min="75" max="75" width="7.44140625" style="16" customWidth="1"/>
    <col min="76" max="76" width="5.88671875" style="16" customWidth="1"/>
    <col min="77" max="77" width="10.44140625" style="16" customWidth="1"/>
    <col min="78" max="78" width="8" style="16" customWidth="1"/>
    <col min="79" max="79" width="7.77734375" style="16" customWidth="1"/>
    <col min="80" max="94" width="4" style="6" customWidth="1"/>
    <col min="95" max="95" width="5" style="16" customWidth="1"/>
    <col min="96" max="106" width="5.44140625" style="16" customWidth="1"/>
    <col min="107" max="107" width="12.44140625" style="16" customWidth="1"/>
    <col min="108" max="108" width="8" style="16" customWidth="1"/>
    <col min="109" max="109" width="8.44140625" style="16" customWidth="1"/>
    <col min="110" max="110" width="12.109375" style="16" customWidth="1"/>
    <col min="111" max="111" width="14.44140625" style="16" customWidth="1"/>
    <col min="112" max="113" width="10.77734375" style="16" customWidth="1"/>
    <col min="114" max="114" width="11.44140625" style="6" customWidth="1"/>
    <col min="115" max="16384" width="11.44140625" style="6"/>
  </cols>
  <sheetData>
    <row r="1" spans="1:114" ht="16.5" customHeight="1" x14ac:dyDescent="0.3">
      <c r="F1" s="44" t="s">
        <v>0</v>
      </c>
      <c r="G1" s="1">
        <v>0</v>
      </c>
      <c r="J1" s="45"/>
      <c r="K1" s="45"/>
      <c r="L1" s="45"/>
      <c r="M1" s="26"/>
      <c r="N1" s="26"/>
      <c r="O1" s="1"/>
      <c r="P1" s="1"/>
      <c r="Q1" s="26"/>
      <c r="R1" s="1"/>
      <c r="S1" s="26"/>
      <c r="T1" s="45"/>
      <c r="U1" s="45"/>
      <c r="V1" s="45"/>
      <c r="W1" s="45"/>
      <c r="X1" s="45"/>
      <c r="Y1" s="45"/>
      <c r="Z1" s="45"/>
      <c r="AA1" s="45"/>
      <c r="AB1" s="45"/>
      <c r="AC1" s="45"/>
      <c r="AD1" s="45"/>
      <c r="AE1" s="45"/>
      <c r="AF1" s="45"/>
      <c r="AG1" s="45"/>
      <c r="AH1" s="45"/>
      <c r="AI1" s="1"/>
      <c r="AJ1" s="207"/>
      <c r="AK1" s="207"/>
      <c r="AL1" s="207"/>
      <c r="AM1" s="207"/>
      <c r="AN1" s="207"/>
      <c r="AO1" s="207"/>
      <c r="AP1" s="207"/>
      <c r="AQ1" s="207"/>
      <c r="AR1" s="207"/>
      <c r="AS1" s="207"/>
      <c r="AT1" s="207"/>
      <c r="AU1" s="207"/>
      <c r="AV1" s="207"/>
      <c r="AW1" s="207"/>
      <c r="AX1" s="45"/>
      <c r="AY1" s="45"/>
      <c r="AZ1" s="45"/>
      <c r="BA1" s="45"/>
      <c r="BB1" s="45"/>
      <c r="BC1" s="45"/>
      <c r="BD1" s="45"/>
      <c r="BE1" s="45"/>
      <c r="BF1" s="45"/>
      <c r="BG1" s="45"/>
      <c r="BH1" s="45"/>
      <c r="BI1" s="45"/>
      <c r="BJ1" s="45"/>
      <c r="BK1" s="45"/>
      <c r="BL1" s="45"/>
      <c r="BM1" s="1"/>
      <c r="BN1" s="207"/>
      <c r="BO1" s="207"/>
      <c r="BP1" s="207"/>
      <c r="BQ1" s="207"/>
      <c r="BR1" s="207"/>
      <c r="BS1" s="207"/>
      <c r="BT1" s="207"/>
      <c r="BU1" s="207"/>
      <c r="BV1" s="207"/>
      <c r="BW1" s="207"/>
      <c r="BX1" s="207"/>
      <c r="BY1" s="207"/>
      <c r="BZ1" s="207"/>
      <c r="CA1" s="207"/>
      <c r="CB1" s="45"/>
      <c r="CC1" s="45"/>
      <c r="CD1" s="45"/>
      <c r="CE1" s="45"/>
      <c r="CF1" s="45"/>
      <c r="CG1" s="45"/>
      <c r="CH1" s="45"/>
      <c r="CI1" s="45"/>
      <c r="CJ1" s="45"/>
      <c r="CK1" s="45"/>
      <c r="CL1" s="45"/>
      <c r="CM1" s="45"/>
      <c r="CN1" s="45"/>
      <c r="CO1" s="45"/>
      <c r="CP1" s="45"/>
      <c r="CQ1" s="1"/>
      <c r="CR1" s="207"/>
      <c r="CS1" s="207"/>
      <c r="CT1" s="207"/>
      <c r="CU1" s="207"/>
      <c r="CV1" s="207"/>
      <c r="CW1" s="207"/>
      <c r="CX1" s="207"/>
      <c r="CY1" s="207"/>
      <c r="CZ1" s="207"/>
      <c r="DA1" s="207"/>
      <c r="DB1" s="207"/>
      <c r="DC1" s="207"/>
      <c r="DD1" s="207"/>
      <c r="DE1" s="207"/>
      <c r="DF1" s="207"/>
      <c r="DG1" s="46"/>
      <c r="DI1" s="46"/>
    </row>
    <row r="2" spans="1:114" ht="16.5" customHeight="1" x14ac:dyDescent="0.3">
      <c r="B2" s="203"/>
      <c r="D2" s="117"/>
      <c r="E2" s="6"/>
      <c r="F2" s="44" t="s">
        <v>1</v>
      </c>
      <c r="G2" s="1">
        <v>5</v>
      </c>
      <c r="T2" s="208" t="s">
        <v>2</v>
      </c>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09"/>
      <c r="AS2" s="209"/>
      <c r="AT2" s="209"/>
      <c r="AU2" s="209"/>
      <c r="AV2" s="210"/>
      <c r="AW2" s="211"/>
      <c r="AX2" s="208" t="s">
        <v>3</v>
      </c>
      <c r="AY2" s="209"/>
      <c r="AZ2" s="209"/>
      <c r="BA2" s="209"/>
      <c r="BB2" s="209"/>
      <c r="BC2" s="209"/>
      <c r="BD2" s="209"/>
      <c r="BE2" s="209"/>
      <c r="BF2" s="209"/>
      <c r="BG2" s="209"/>
      <c r="BH2" s="209"/>
      <c r="BI2" s="209"/>
      <c r="BJ2" s="209"/>
      <c r="BK2" s="209"/>
      <c r="BL2" s="209"/>
      <c r="BM2" s="209"/>
      <c r="BN2" s="209"/>
      <c r="BO2" s="209"/>
      <c r="BP2" s="209"/>
      <c r="BQ2" s="209"/>
      <c r="BR2" s="209"/>
      <c r="BS2" s="209"/>
      <c r="BT2" s="209"/>
      <c r="BU2" s="209"/>
      <c r="BV2" s="209"/>
      <c r="BW2" s="209"/>
      <c r="BX2" s="209"/>
      <c r="BY2" s="209"/>
      <c r="BZ2" s="210"/>
      <c r="CA2" s="211"/>
      <c r="CB2" s="208" t="s">
        <v>4</v>
      </c>
      <c r="CC2" s="209"/>
      <c r="CD2" s="209"/>
      <c r="CE2" s="209"/>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11"/>
      <c r="DI2" s="7"/>
    </row>
    <row r="3" spans="1:114" ht="33.6" x14ac:dyDescent="0.4">
      <c r="A3" s="47"/>
      <c r="B3" s="203"/>
      <c r="C3" s="201" t="s">
        <v>64</v>
      </c>
      <c r="D3" s="117"/>
      <c r="E3" s="8"/>
      <c r="F3" s="8"/>
      <c r="G3" s="8"/>
      <c r="H3" s="8"/>
      <c r="I3" s="8"/>
      <c r="J3" s="8"/>
      <c r="K3" s="8"/>
      <c r="L3" s="8"/>
      <c r="M3" s="8"/>
      <c r="N3" s="8"/>
      <c r="O3" s="15"/>
      <c r="P3" s="15"/>
      <c r="Q3" s="8"/>
      <c r="R3" s="15"/>
      <c r="S3" s="8"/>
      <c r="T3" s="212" t="s">
        <v>5</v>
      </c>
      <c r="U3" s="213"/>
      <c r="V3" s="213"/>
      <c r="W3" s="213"/>
      <c r="X3" s="213"/>
      <c r="Y3" s="213"/>
      <c r="Z3" s="213"/>
      <c r="AA3" s="213"/>
      <c r="AB3" s="213"/>
      <c r="AC3" s="213"/>
      <c r="AD3" s="213"/>
      <c r="AE3" s="213"/>
      <c r="AF3" s="213"/>
      <c r="AG3" s="213"/>
      <c r="AH3" s="213"/>
      <c r="AI3" s="214"/>
      <c r="AJ3" s="212" t="s">
        <v>135</v>
      </c>
      <c r="AK3" s="213"/>
      <c r="AL3" s="213"/>
      <c r="AM3" s="213"/>
      <c r="AN3" s="213"/>
      <c r="AO3" s="213"/>
      <c r="AP3" s="213"/>
      <c r="AQ3" s="214"/>
      <c r="AR3" s="218" t="s">
        <v>136</v>
      </c>
      <c r="AS3" s="219"/>
      <c r="AT3" s="220"/>
      <c r="AU3" s="39" t="s">
        <v>6</v>
      </c>
      <c r="AV3" s="33"/>
      <c r="AW3" s="30" t="s">
        <v>7</v>
      </c>
      <c r="AX3" s="212" t="s">
        <v>5</v>
      </c>
      <c r="AY3" s="213"/>
      <c r="AZ3" s="213"/>
      <c r="BA3" s="213"/>
      <c r="BB3" s="213"/>
      <c r="BC3" s="213"/>
      <c r="BD3" s="213"/>
      <c r="BE3" s="213"/>
      <c r="BF3" s="213"/>
      <c r="BG3" s="213"/>
      <c r="BH3" s="213"/>
      <c r="BI3" s="213"/>
      <c r="BJ3" s="213"/>
      <c r="BK3" s="213"/>
      <c r="BL3" s="213"/>
      <c r="BM3" s="214"/>
      <c r="BN3" s="212" t="s">
        <v>135</v>
      </c>
      <c r="BO3" s="213"/>
      <c r="BP3" s="213"/>
      <c r="BQ3" s="213"/>
      <c r="BR3" s="213"/>
      <c r="BS3" s="213"/>
      <c r="BT3" s="213"/>
      <c r="BU3" s="214"/>
      <c r="BV3" s="212" t="s">
        <v>136</v>
      </c>
      <c r="BW3" s="213"/>
      <c r="BX3" s="214"/>
      <c r="BY3" s="39" t="s">
        <v>6</v>
      </c>
      <c r="BZ3" s="33"/>
      <c r="CA3" s="30" t="s">
        <v>7</v>
      </c>
      <c r="CB3" s="212" t="s">
        <v>5</v>
      </c>
      <c r="CC3" s="213"/>
      <c r="CD3" s="213"/>
      <c r="CE3" s="213"/>
      <c r="CF3" s="213"/>
      <c r="CG3" s="213"/>
      <c r="CH3" s="213"/>
      <c r="CI3" s="213"/>
      <c r="CJ3" s="213"/>
      <c r="CK3" s="213"/>
      <c r="CL3" s="213"/>
      <c r="CM3" s="213"/>
      <c r="CN3" s="213"/>
      <c r="CO3" s="213"/>
      <c r="CP3" s="213"/>
      <c r="CQ3" s="214"/>
      <c r="CR3" s="212" t="s">
        <v>135</v>
      </c>
      <c r="CS3" s="224"/>
      <c r="CT3" s="224"/>
      <c r="CU3" s="213"/>
      <c r="CV3" s="213"/>
      <c r="CW3" s="213"/>
      <c r="CX3" s="213"/>
      <c r="CY3" s="214"/>
      <c r="CZ3" s="212" t="s">
        <v>136</v>
      </c>
      <c r="DA3" s="224"/>
      <c r="DB3" s="214"/>
      <c r="DC3" s="212" t="s">
        <v>8</v>
      </c>
      <c r="DD3" s="213"/>
      <c r="DE3" s="228"/>
      <c r="DF3" s="214"/>
      <c r="DG3" s="226" t="s">
        <v>9</v>
      </c>
      <c r="DH3" s="227"/>
      <c r="DI3" s="9"/>
    </row>
    <row r="4" spans="1:114" ht="16.5" customHeight="1" x14ac:dyDescent="0.3">
      <c r="A4" s="47"/>
      <c r="B4" s="204"/>
      <c r="C4" s="131" t="s">
        <v>65</v>
      </c>
      <c r="D4" s="10"/>
      <c r="E4" s="6"/>
      <c r="G4" s="8"/>
      <c r="H4" s="8"/>
      <c r="I4" s="8"/>
      <c r="J4" s="8"/>
      <c r="K4" s="8"/>
      <c r="L4" s="8"/>
      <c r="M4" s="8"/>
      <c r="N4" s="8"/>
      <c r="O4" s="15"/>
      <c r="P4" s="15"/>
      <c r="Q4" s="8"/>
      <c r="R4" s="15"/>
      <c r="S4" s="8"/>
      <c r="T4" s="215">
        <v>0.05</v>
      </c>
      <c r="U4" s="216"/>
      <c r="V4" s="216"/>
      <c r="W4" s="216"/>
      <c r="X4" s="216"/>
      <c r="Y4" s="216"/>
      <c r="Z4" s="216"/>
      <c r="AA4" s="216"/>
      <c r="AB4" s="216"/>
      <c r="AC4" s="216"/>
      <c r="AD4" s="216"/>
      <c r="AE4" s="216"/>
      <c r="AF4" s="216"/>
      <c r="AG4" s="216"/>
      <c r="AH4" s="216"/>
      <c r="AI4" s="217"/>
      <c r="AJ4" s="215">
        <v>0.35</v>
      </c>
      <c r="AK4" s="216"/>
      <c r="AL4" s="216"/>
      <c r="AM4" s="216"/>
      <c r="AN4" s="216"/>
      <c r="AO4" s="216"/>
      <c r="AP4" s="216"/>
      <c r="AQ4" s="217"/>
      <c r="AR4" s="221">
        <v>0.6</v>
      </c>
      <c r="AS4" s="222"/>
      <c r="AT4" s="223"/>
      <c r="AU4" s="40">
        <v>0.3</v>
      </c>
      <c r="AV4" s="34">
        <v>0.65</v>
      </c>
      <c r="AW4" s="42">
        <f>SUM(T4:AT4)</f>
        <v>1</v>
      </c>
      <c r="AX4" s="215">
        <v>0.05</v>
      </c>
      <c r="AY4" s="216"/>
      <c r="AZ4" s="216"/>
      <c r="BA4" s="216"/>
      <c r="BB4" s="216"/>
      <c r="BC4" s="216"/>
      <c r="BD4" s="216"/>
      <c r="BE4" s="216"/>
      <c r="BF4" s="216"/>
      <c r="BG4" s="216"/>
      <c r="BH4" s="216"/>
      <c r="BI4" s="216"/>
      <c r="BJ4" s="216"/>
      <c r="BK4" s="216"/>
      <c r="BL4" s="216"/>
      <c r="BM4" s="217"/>
      <c r="BN4" s="215">
        <v>0.35</v>
      </c>
      <c r="BO4" s="216"/>
      <c r="BP4" s="216"/>
      <c r="BQ4" s="216"/>
      <c r="BR4" s="216"/>
      <c r="BS4" s="216"/>
      <c r="BT4" s="216"/>
      <c r="BU4" s="217"/>
      <c r="BV4" s="215">
        <v>0.6</v>
      </c>
      <c r="BW4" s="216"/>
      <c r="BX4" s="217"/>
      <c r="BY4" s="40">
        <v>0.3</v>
      </c>
      <c r="BZ4" s="34">
        <v>0.65</v>
      </c>
      <c r="CA4" s="42">
        <f>SUM(AX4:BX4)</f>
        <v>1</v>
      </c>
      <c r="CB4" s="215">
        <v>0.05</v>
      </c>
      <c r="CC4" s="216"/>
      <c r="CD4" s="216"/>
      <c r="CE4" s="216"/>
      <c r="CF4" s="216"/>
      <c r="CG4" s="216"/>
      <c r="CH4" s="216"/>
      <c r="CI4" s="216"/>
      <c r="CJ4" s="216"/>
      <c r="CK4" s="216"/>
      <c r="CL4" s="216"/>
      <c r="CM4" s="216"/>
      <c r="CN4" s="216"/>
      <c r="CO4" s="216"/>
      <c r="CP4" s="216"/>
      <c r="CQ4" s="217"/>
      <c r="CR4" s="215">
        <v>0.35</v>
      </c>
      <c r="CS4" s="225"/>
      <c r="CT4" s="225"/>
      <c r="CU4" s="216"/>
      <c r="CV4" s="216"/>
      <c r="CW4" s="216"/>
      <c r="CX4" s="216"/>
      <c r="CY4" s="217"/>
      <c r="CZ4" s="215">
        <v>0.6</v>
      </c>
      <c r="DA4" s="225"/>
      <c r="DB4" s="217"/>
      <c r="DC4" s="40">
        <v>0.65</v>
      </c>
      <c r="DD4" s="41">
        <v>0.3</v>
      </c>
      <c r="DE4" s="93"/>
      <c r="DF4" s="42">
        <f>CB4+DC4+DD4</f>
        <v>1</v>
      </c>
      <c r="DG4" s="11" t="s">
        <v>55</v>
      </c>
      <c r="DH4" s="48">
        <v>3</v>
      </c>
      <c r="DI4" s="12"/>
    </row>
    <row r="5" spans="1:114" ht="67.2" x14ac:dyDescent="0.3">
      <c r="A5" s="47"/>
      <c r="B5" s="164" t="s">
        <v>10</v>
      </c>
      <c r="C5" s="165" t="s">
        <v>11</v>
      </c>
      <c r="D5" s="165"/>
      <c r="E5" s="165" t="s">
        <v>12</v>
      </c>
      <c r="F5" s="165" t="s">
        <v>13</v>
      </c>
      <c r="G5" s="166" t="s">
        <v>14</v>
      </c>
      <c r="H5" s="166" t="s">
        <v>15</v>
      </c>
      <c r="I5" s="167" t="s">
        <v>16</v>
      </c>
      <c r="J5" s="167" t="s">
        <v>17</v>
      </c>
      <c r="K5" s="167" t="s">
        <v>18</v>
      </c>
      <c r="L5" s="167" t="s">
        <v>19</v>
      </c>
      <c r="M5" s="168" t="s">
        <v>20</v>
      </c>
      <c r="N5" s="169" t="s">
        <v>21</v>
      </c>
      <c r="O5" s="239" t="s">
        <v>161</v>
      </c>
      <c r="P5" s="239" t="s">
        <v>162</v>
      </c>
      <c r="Q5" s="169" t="s">
        <v>22</v>
      </c>
      <c r="R5" s="170" t="s">
        <v>147</v>
      </c>
      <c r="S5" s="171" t="s">
        <v>148</v>
      </c>
      <c r="T5" s="4">
        <v>1</v>
      </c>
      <c r="U5" s="2">
        <v>2</v>
      </c>
      <c r="V5" s="2">
        <v>3</v>
      </c>
      <c r="W5" s="2">
        <v>4</v>
      </c>
      <c r="X5" s="2">
        <v>5</v>
      </c>
      <c r="Y5" s="2">
        <v>6</v>
      </c>
      <c r="Z5" s="2">
        <v>7</v>
      </c>
      <c r="AA5" s="2">
        <v>8</v>
      </c>
      <c r="AB5" s="2">
        <v>9</v>
      </c>
      <c r="AC5" s="2">
        <v>10</v>
      </c>
      <c r="AD5" s="2">
        <v>11</v>
      </c>
      <c r="AE5" s="2">
        <v>12</v>
      </c>
      <c r="AF5" s="2">
        <v>13</v>
      </c>
      <c r="AG5" s="2">
        <v>14</v>
      </c>
      <c r="AH5" s="2">
        <v>15</v>
      </c>
      <c r="AI5" s="3" t="s">
        <v>23</v>
      </c>
      <c r="AJ5" s="140" t="s">
        <v>127</v>
      </c>
      <c r="AK5" s="141" t="s">
        <v>128</v>
      </c>
      <c r="AL5" s="141" t="s">
        <v>129</v>
      </c>
      <c r="AM5" s="141" t="s">
        <v>130</v>
      </c>
      <c r="AN5" s="141" t="s">
        <v>131</v>
      </c>
      <c r="AO5" s="141" t="s">
        <v>132</v>
      </c>
      <c r="AP5" s="141" t="s">
        <v>133</v>
      </c>
      <c r="AQ5" s="3" t="s">
        <v>23</v>
      </c>
      <c r="AR5" s="140" t="s">
        <v>137</v>
      </c>
      <c r="AS5" s="141" t="s">
        <v>134</v>
      </c>
      <c r="AT5" s="3" t="s">
        <v>23</v>
      </c>
      <c r="AU5" s="4" t="s">
        <v>24</v>
      </c>
      <c r="AV5" s="35" t="s">
        <v>25</v>
      </c>
      <c r="AW5" s="3"/>
      <c r="AX5" s="4">
        <v>1</v>
      </c>
      <c r="AY5" s="2">
        <v>2</v>
      </c>
      <c r="AZ5" s="2">
        <v>3</v>
      </c>
      <c r="BA5" s="2">
        <v>4</v>
      </c>
      <c r="BB5" s="2">
        <v>5</v>
      </c>
      <c r="BC5" s="2">
        <v>6</v>
      </c>
      <c r="BD5" s="2">
        <v>7</v>
      </c>
      <c r="BE5" s="2">
        <v>8</v>
      </c>
      <c r="BF5" s="2">
        <v>9</v>
      </c>
      <c r="BG5" s="2">
        <v>10</v>
      </c>
      <c r="BH5" s="2">
        <v>11</v>
      </c>
      <c r="BI5" s="2">
        <v>12</v>
      </c>
      <c r="BJ5" s="2">
        <v>13</v>
      </c>
      <c r="BK5" s="2">
        <v>14</v>
      </c>
      <c r="BL5" s="2">
        <v>15</v>
      </c>
      <c r="BM5" s="3" t="s">
        <v>23</v>
      </c>
      <c r="BN5" s="140" t="s">
        <v>138</v>
      </c>
      <c r="BO5" s="141" t="s">
        <v>139</v>
      </c>
      <c r="BP5" s="141" t="s">
        <v>139</v>
      </c>
      <c r="BQ5" s="141" t="s">
        <v>139</v>
      </c>
      <c r="BR5" s="141" t="s">
        <v>139</v>
      </c>
      <c r="BS5" s="141" t="s">
        <v>139</v>
      </c>
      <c r="BT5" s="141" t="s">
        <v>139</v>
      </c>
      <c r="BU5" s="3" t="s">
        <v>23</v>
      </c>
      <c r="BV5" s="140" t="s">
        <v>137</v>
      </c>
      <c r="BW5" s="141" t="s">
        <v>134</v>
      </c>
      <c r="BX5" s="3" t="s">
        <v>23</v>
      </c>
      <c r="BY5" s="4" t="s">
        <v>24</v>
      </c>
      <c r="BZ5" s="35" t="s">
        <v>25</v>
      </c>
      <c r="CA5" s="3"/>
      <c r="CB5" s="4">
        <v>1</v>
      </c>
      <c r="CC5" s="2">
        <v>2</v>
      </c>
      <c r="CD5" s="2">
        <v>3</v>
      </c>
      <c r="CE5" s="2">
        <v>4</v>
      </c>
      <c r="CF5" s="2">
        <v>5</v>
      </c>
      <c r="CG5" s="2">
        <v>6</v>
      </c>
      <c r="CH5" s="2">
        <v>7</v>
      </c>
      <c r="CI5" s="2">
        <v>8</v>
      </c>
      <c r="CJ5" s="2">
        <v>9</v>
      </c>
      <c r="CK5" s="2">
        <v>10</v>
      </c>
      <c r="CL5" s="2">
        <v>11</v>
      </c>
      <c r="CM5" s="2">
        <v>12</v>
      </c>
      <c r="CN5" s="2">
        <v>13</v>
      </c>
      <c r="CO5" s="2">
        <v>14</v>
      </c>
      <c r="CP5" s="2">
        <v>15</v>
      </c>
      <c r="CQ5" s="3" t="s">
        <v>23</v>
      </c>
      <c r="CR5" s="140" t="s">
        <v>138</v>
      </c>
      <c r="CS5" s="141" t="s">
        <v>139</v>
      </c>
      <c r="CT5" s="141" t="s">
        <v>139</v>
      </c>
      <c r="CU5" s="141" t="s">
        <v>139</v>
      </c>
      <c r="CV5" s="141" t="s">
        <v>139</v>
      </c>
      <c r="CW5" s="141" t="s">
        <v>139</v>
      </c>
      <c r="CX5" s="141" t="s">
        <v>139</v>
      </c>
      <c r="CY5" s="3" t="s">
        <v>23</v>
      </c>
      <c r="CZ5" s="140" t="s">
        <v>137</v>
      </c>
      <c r="DA5" s="141" t="s">
        <v>134</v>
      </c>
      <c r="DB5" s="3" t="s">
        <v>23</v>
      </c>
      <c r="DC5" s="4" t="s">
        <v>26</v>
      </c>
      <c r="DD5" s="2" t="s">
        <v>6</v>
      </c>
      <c r="DE5" s="94" t="s">
        <v>27</v>
      </c>
      <c r="DF5" s="3" t="s">
        <v>28</v>
      </c>
      <c r="DG5" s="4" t="s">
        <v>29</v>
      </c>
      <c r="DH5" s="13" t="s">
        <v>30</v>
      </c>
      <c r="DI5" s="5" t="s">
        <v>31</v>
      </c>
    </row>
    <row r="6" spans="1:114" s="16" customFormat="1" x14ac:dyDescent="0.3">
      <c r="A6" s="49">
        <v>1</v>
      </c>
      <c r="B6" s="157">
        <v>1000108883</v>
      </c>
      <c r="C6" s="158" t="s">
        <v>66</v>
      </c>
      <c r="D6" s="158" t="e" vm="1">
        <f t="shared" ref="D6:D13" ca="1" si="0">_xlfn.IMAGE(_xlfn.CONCAT("https://github.com/rcfdtools/R.TeachingResearchGuide/blob/main/CaseUse/.student/",B6,".jpg?raw=true"))</f>
        <v>#VALUE!</v>
      </c>
      <c r="E6" s="159" t="s">
        <v>96</v>
      </c>
      <c r="F6" s="160" t="s">
        <v>97</v>
      </c>
      <c r="G6" s="161">
        <v>0</v>
      </c>
      <c r="H6" s="161">
        <v>0</v>
      </c>
      <c r="I6" s="161"/>
      <c r="J6" s="161"/>
      <c r="K6" s="161"/>
      <c r="L6" s="161"/>
      <c r="M6" s="162"/>
      <c r="N6" s="163"/>
      <c r="O6" s="240" t="str">
        <f>RIGHT(B6,3)</f>
        <v>883</v>
      </c>
      <c r="P6" s="240">
        <v>26</v>
      </c>
      <c r="Q6" s="38" t="s">
        <v>152</v>
      </c>
      <c r="R6" s="186">
        <v>1</v>
      </c>
      <c r="S6" s="192" t="s">
        <v>151</v>
      </c>
      <c r="T6" s="55">
        <v>5</v>
      </c>
      <c r="U6" s="56">
        <v>5</v>
      </c>
      <c r="V6" s="56"/>
      <c r="W6" s="56"/>
      <c r="X6" s="56"/>
      <c r="Y6" s="56"/>
      <c r="Z6" s="56"/>
      <c r="AA6" s="56"/>
      <c r="AB6" s="56"/>
      <c r="AC6" s="56"/>
      <c r="AD6" s="56"/>
      <c r="AE6" s="56"/>
      <c r="AF6" s="56"/>
      <c r="AG6" s="56"/>
      <c r="AH6" s="56"/>
      <c r="AI6" s="57">
        <f t="shared" ref="AI6:AI35" si="1">AVERAGE(T6:AH6)</f>
        <v>5</v>
      </c>
      <c r="AJ6" s="58">
        <v>0</v>
      </c>
      <c r="AK6" s="59"/>
      <c r="AL6" s="59"/>
      <c r="AM6" s="59"/>
      <c r="AN6" s="59"/>
      <c r="AO6" s="59"/>
      <c r="AP6" s="59"/>
      <c r="AQ6" s="3">
        <f t="shared" ref="AQ6:AQ35" si="2">AVERAGE(AJ6:AP6)</f>
        <v>0</v>
      </c>
      <c r="AR6" s="58">
        <v>0</v>
      </c>
      <c r="AS6" s="59"/>
      <c r="AT6" s="3">
        <f t="shared" ref="AT6:AT35" si="3">AVERAGE(AR6:AS6)</f>
        <v>0</v>
      </c>
      <c r="AU6" s="58" t="s">
        <v>32</v>
      </c>
      <c r="AV6" s="60"/>
      <c r="AW6" s="61">
        <f t="shared" ref="AW6:AW35" si="4">IF(AU6="Sí",ROUND($T$4*AI6+$AV$4*AQ6+$AU$4*AV6+$AR$4*AT6,1),ROUND($T$4*AI6+$AJ$4*AQ6+$AR$4*AT6,1))</f>
        <v>0.3</v>
      </c>
      <c r="AX6" s="55">
        <v>0</v>
      </c>
      <c r="AY6" s="56"/>
      <c r="AZ6" s="56"/>
      <c r="BA6" s="56"/>
      <c r="BB6" s="56"/>
      <c r="BC6" s="56"/>
      <c r="BD6" s="56"/>
      <c r="BE6" s="56"/>
      <c r="BF6" s="56"/>
      <c r="BG6" s="56"/>
      <c r="BH6" s="56"/>
      <c r="BI6" s="56"/>
      <c r="BJ6" s="56"/>
      <c r="BK6" s="56"/>
      <c r="BL6" s="56"/>
      <c r="BM6" s="62">
        <f t="shared" ref="BM6:BM8" si="5">AVERAGE(AX6:BL6)</f>
        <v>0</v>
      </c>
      <c r="BN6" s="55">
        <v>0</v>
      </c>
      <c r="BO6" s="27"/>
      <c r="BP6" s="27"/>
      <c r="BQ6" s="27"/>
      <c r="BR6" s="27"/>
      <c r="BS6" s="27"/>
      <c r="BT6" s="27"/>
      <c r="BU6" s="63">
        <f t="shared" ref="BU6:BU35" si="6">AVERAGE(BN6:BT6)</f>
        <v>0</v>
      </c>
      <c r="BV6" s="55">
        <v>0</v>
      </c>
      <c r="BW6" s="27"/>
      <c r="BX6" s="63">
        <f t="shared" ref="BX6:BX35" si="7">AVERAGE(BV6:BW6)</f>
        <v>0</v>
      </c>
      <c r="BY6" s="90" t="s">
        <v>32</v>
      </c>
      <c r="BZ6" s="92"/>
      <c r="CA6" s="61">
        <f t="shared" ref="CA6:CA35" si="8">IF(BY6="Sí",ROUND($AX$4*BM6+$BZ$4*BU6+$BY$4*BZ6+$BV$4*BX6,1),ROUND($AX$4*BM6+$BN$4*BU6+$BV$4*BX6,1))</f>
        <v>0</v>
      </c>
      <c r="CB6" s="55">
        <v>0</v>
      </c>
      <c r="CC6" s="59"/>
      <c r="CD6" s="59"/>
      <c r="CE6" s="56"/>
      <c r="CF6" s="56"/>
      <c r="CG6" s="56"/>
      <c r="CH6" s="56"/>
      <c r="CI6" s="56"/>
      <c r="CJ6" s="56"/>
      <c r="CK6" s="56"/>
      <c r="CL6" s="56"/>
      <c r="CM6" s="56"/>
      <c r="CN6" s="56"/>
      <c r="CO6" s="56"/>
      <c r="CP6" s="56"/>
      <c r="CQ6" s="62">
        <f>AVERAGE(CB6:CP6)</f>
        <v>0</v>
      </c>
      <c r="CR6" s="55">
        <v>0</v>
      </c>
      <c r="CS6" s="126"/>
      <c r="CT6" s="126"/>
      <c r="CU6" s="59"/>
      <c r="CV6" s="59"/>
      <c r="CW6" s="59"/>
      <c r="CX6" s="59"/>
      <c r="CY6" s="99">
        <f t="shared" ref="CY6:CY35" si="9">AVERAGE(CR6:CX6)</f>
        <v>0</v>
      </c>
      <c r="CZ6" s="55">
        <v>0</v>
      </c>
      <c r="DA6" s="126"/>
      <c r="DB6" s="3">
        <f t="shared" ref="DB6:DB35" si="10">AVERAGE(CZ6:DA6)</f>
        <v>0</v>
      </c>
      <c r="DC6" s="97">
        <f t="shared" ref="DC6:DC35" si="11">$CB$4*CQ6+$CR$4*CY6+$CZ$4*DB6</f>
        <v>0</v>
      </c>
      <c r="DD6" s="59"/>
      <c r="DE6" s="95">
        <v>0</v>
      </c>
      <c r="DF6" s="64">
        <f t="shared" ref="DF6:DF35" si="12">IF(DH6="Sí",ROUND($CB$4*CQ6+$DC$4*CY6+$DD$4*DD6+$CZ$4*DB6,1),ROUND(DC6,1))+DE6</f>
        <v>0</v>
      </c>
      <c r="DG6" s="103">
        <f t="shared" ref="DG6:DG35" si="13">ROUND(AW6,1)*0.3+ROUND(CA6,1)*0.3+ROUND(DC6,1)*0.4</f>
        <v>0.09</v>
      </c>
      <c r="DH6" s="65" t="str">
        <f t="shared" ref="DH6:DH8" si="14">IF(DG6&gt;=$DH$4,"No","Sí")</f>
        <v>Sí</v>
      </c>
      <c r="DI6" s="98">
        <f t="shared" ref="DI6:DI35" si="15">ROUND(AW6,1)*0.3+ROUND(CA6,1)*0.3+ROUND(DF6,1)*0.4</f>
        <v>0.09</v>
      </c>
      <c r="DJ6" s="66"/>
    </row>
    <row r="7" spans="1:114" s="16" customFormat="1" x14ac:dyDescent="0.3">
      <c r="A7" s="49">
        <v>2</v>
      </c>
      <c r="B7" s="50">
        <v>1000110139</v>
      </c>
      <c r="C7" s="51" t="s">
        <v>67</v>
      </c>
      <c r="D7" s="51" t="e" vm="1">
        <f t="shared" ca="1" si="0"/>
        <v>#VALUE!</v>
      </c>
      <c r="E7" s="52" t="s">
        <v>96</v>
      </c>
      <c r="F7" s="130" t="s">
        <v>98</v>
      </c>
      <c r="G7" s="54">
        <v>0</v>
      </c>
      <c r="H7" s="54">
        <v>0</v>
      </c>
      <c r="I7" s="54"/>
      <c r="J7" s="54"/>
      <c r="K7" s="54"/>
      <c r="L7" s="54"/>
      <c r="M7" s="100"/>
      <c r="N7" s="38"/>
      <c r="O7" s="240" t="str">
        <f t="shared" ref="O7:O45" si="16">RIGHT(B7,3)</f>
        <v>139</v>
      </c>
      <c r="P7" s="240"/>
      <c r="Q7" s="129"/>
      <c r="R7" s="185"/>
      <c r="S7" s="191"/>
      <c r="T7" s="55">
        <v>5</v>
      </c>
      <c r="U7" s="56">
        <v>5</v>
      </c>
      <c r="V7" s="56"/>
      <c r="W7" s="56"/>
      <c r="X7" s="56"/>
      <c r="Y7" s="56"/>
      <c r="Z7" s="56"/>
      <c r="AA7" s="56"/>
      <c r="AB7" s="56"/>
      <c r="AC7" s="56"/>
      <c r="AD7" s="56"/>
      <c r="AE7" s="56"/>
      <c r="AF7" s="56"/>
      <c r="AG7" s="56"/>
      <c r="AH7" s="56"/>
      <c r="AI7" s="57">
        <f t="shared" si="1"/>
        <v>5</v>
      </c>
      <c r="AJ7" s="55">
        <v>0</v>
      </c>
      <c r="AK7" s="56"/>
      <c r="AL7" s="56"/>
      <c r="AM7" s="56"/>
      <c r="AN7" s="59"/>
      <c r="AO7" s="56"/>
      <c r="AP7" s="59"/>
      <c r="AQ7" s="3">
        <f t="shared" si="2"/>
        <v>0</v>
      </c>
      <c r="AR7" s="55">
        <v>0</v>
      </c>
      <c r="AS7" s="56"/>
      <c r="AT7" s="3">
        <f t="shared" si="3"/>
        <v>0</v>
      </c>
      <c r="AU7" s="58" t="s">
        <v>32</v>
      </c>
      <c r="AV7" s="60"/>
      <c r="AW7" s="61">
        <f t="shared" si="4"/>
        <v>0.3</v>
      </c>
      <c r="AX7" s="55">
        <v>0</v>
      </c>
      <c r="AY7" s="56"/>
      <c r="AZ7" s="56"/>
      <c r="BA7" s="56"/>
      <c r="BB7" s="56"/>
      <c r="BC7" s="56"/>
      <c r="BD7" s="56"/>
      <c r="BE7" s="56"/>
      <c r="BF7" s="56"/>
      <c r="BG7" s="56"/>
      <c r="BH7" s="56"/>
      <c r="BI7" s="56"/>
      <c r="BJ7" s="56"/>
      <c r="BK7" s="56"/>
      <c r="BL7" s="56"/>
      <c r="BM7" s="62">
        <f t="shared" si="5"/>
        <v>0</v>
      </c>
      <c r="BN7" s="55">
        <v>0</v>
      </c>
      <c r="BO7" s="91"/>
      <c r="BP7" s="91"/>
      <c r="BQ7" s="91"/>
      <c r="BR7" s="91"/>
      <c r="BS7" s="91"/>
      <c r="BT7" s="91"/>
      <c r="BU7" s="63">
        <f t="shared" si="6"/>
        <v>0</v>
      </c>
      <c r="BV7" s="55">
        <v>0</v>
      </c>
      <c r="BW7" s="27"/>
      <c r="BX7" s="63">
        <f t="shared" si="7"/>
        <v>0</v>
      </c>
      <c r="BY7" s="90" t="s">
        <v>32</v>
      </c>
      <c r="BZ7" s="92"/>
      <c r="CA7" s="61">
        <f t="shared" si="8"/>
        <v>0</v>
      </c>
      <c r="CB7" s="55">
        <v>0</v>
      </c>
      <c r="CC7" s="56"/>
      <c r="CD7" s="56"/>
      <c r="CE7" s="56"/>
      <c r="CF7" s="56"/>
      <c r="CG7" s="56"/>
      <c r="CH7" s="56"/>
      <c r="CI7" s="56"/>
      <c r="CJ7" s="56"/>
      <c r="CK7" s="56"/>
      <c r="CL7" s="56"/>
      <c r="CM7" s="56"/>
      <c r="CN7" s="56"/>
      <c r="CO7" s="56"/>
      <c r="CP7" s="56"/>
      <c r="CQ7" s="62">
        <f>AVERAGE(CB7:CP7)</f>
        <v>0</v>
      </c>
      <c r="CR7" s="55">
        <v>0</v>
      </c>
      <c r="CS7" s="126"/>
      <c r="CT7" s="126"/>
      <c r="CU7" s="59"/>
      <c r="CV7" s="56"/>
      <c r="CW7" s="56"/>
      <c r="CX7" s="56"/>
      <c r="CY7" s="99">
        <f t="shared" si="9"/>
        <v>0</v>
      </c>
      <c r="CZ7" s="55">
        <v>0</v>
      </c>
      <c r="DA7" s="126"/>
      <c r="DB7" s="3">
        <f t="shared" si="10"/>
        <v>0</v>
      </c>
      <c r="DC7" s="97">
        <f t="shared" si="11"/>
        <v>0</v>
      </c>
      <c r="DD7" s="59"/>
      <c r="DE7" s="95">
        <v>0</v>
      </c>
      <c r="DF7" s="64">
        <f t="shared" si="12"/>
        <v>0</v>
      </c>
      <c r="DG7" s="103">
        <f t="shared" si="13"/>
        <v>0.09</v>
      </c>
      <c r="DH7" s="65" t="str">
        <f t="shared" si="14"/>
        <v>Sí</v>
      </c>
      <c r="DI7" s="98">
        <f t="shared" si="15"/>
        <v>0.09</v>
      </c>
      <c r="DJ7" s="66"/>
    </row>
    <row r="8" spans="1:114" s="16" customFormat="1" x14ac:dyDescent="0.3">
      <c r="A8" s="49">
        <v>3</v>
      </c>
      <c r="B8" s="50">
        <v>1000109473</v>
      </c>
      <c r="C8" s="51" t="s">
        <v>68</v>
      </c>
      <c r="D8" s="51" t="e" vm="1">
        <f t="shared" ca="1" si="0"/>
        <v>#VALUE!</v>
      </c>
      <c r="E8" s="52" t="s">
        <v>96</v>
      </c>
      <c r="F8" s="53" t="s">
        <v>99</v>
      </c>
      <c r="G8" s="54">
        <v>0</v>
      </c>
      <c r="H8" s="54">
        <v>0</v>
      </c>
      <c r="I8" s="54"/>
      <c r="J8" s="54"/>
      <c r="K8" s="54"/>
      <c r="L8" s="54"/>
      <c r="M8" s="123"/>
      <c r="N8" s="38"/>
      <c r="O8" s="240" t="str">
        <f t="shared" si="16"/>
        <v>473</v>
      </c>
      <c r="P8" s="240">
        <v>19</v>
      </c>
      <c r="Q8" s="38" t="s">
        <v>164</v>
      </c>
      <c r="R8" s="186">
        <v>3</v>
      </c>
      <c r="S8" s="192" t="s">
        <v>163</v>
      </c>
      <c r="T8" s="55">
        <v>5</v>
      </c>
      <c r="U8" s="56">
        <v>5</v>
      </c>
      <c r="V8" s="56"/>
      <c r="W8" s="56"/>
      <c r="X8" s="56"/>
      <c r="Y8" s="56"/>
      <c r="Z8" s="56"/>
      <c r="AA8" s="56"/>
      <c r="AB8" s="56"/>
      <c r="AC8" s="56"/>
      <c r="AD8" s="56"/>
      <c r="AE8" s="56"/>
      <c r="AF8" s="56"/>
      <c r="AG8" s="56"/>
      <c r="AH8" s="56"/>
      <c r="AI8" s="57">
        <f t="shared" si="1"/>
        <v>5</v>
      </c>
      <c r="AJ8" s="58">
        <v>0</v>
      </c>
      <c r="AK8" s="59"/>
      <c r="AL8" s="56"/>
      <c r="AM8" s="56"/>
      <c r="AN8" s="59"/>
      <c r="AO8" s="59"/>
      <c r="AP8" s="59"/>
      <c r="AQ8" s="3">
        <f t="shared" si="2"/>
        <v>0</v>
      </c>
      <c r="AR8" s="58">
        <v>0</v>
      </c>
      <c r="AS8" s="59"/>
      <c r="AT8" s="3">
        <f t="shared" si="3"/>
        <v>0</v>
      </c>
      <c r="AU8" s="58" t="s">
        <v>32</v>
      </c>
      <c r="AV8" s="60"/>
      <c r="AW8" s="61">
        <f t="shared" si="4"/>
        <v>0.3</v>
      </c>
      <c r="AX8" s="55">
        <v>0</v>
      </c>
      <c r="AY8" s="56"/>
      <c r="AZ8" s="56"/>
      <c r="BA8" s="56"/>
      <c r="BB8" s="56"/>
      <c r="BC8" s="56"/>
      <c r="BD8" s="56"/>
      <c r="BE8" s="56"/>
      <c r="BF8" s="56"/>
      <c r="BG8" s="56"/>
      <c r="BH8" s="56"/>
      <c r="BI8" s="56"/>
      <c r="BJ8" s="56"/>
      <c r="BK8" s="56"/>
      <c r="BL8" s="56"/>
      <c r="BM8" s="62">
        <f t="shared" si="5"/>
        <v>0</v>
      </c>
      <c r="BN8" s="55">
        <v>0</v>
      </c>
      <c r="BO8" s="27"/>
      <c r="BP8" s="91"/>
      <c r="BQ8" s="91"/>
      <c r="BR8" s="27"/>
      <c r="BS8" s="27"/>
      <c r="BT8" s="27"/>
      <c r="BU8" s="63">
        <f t="shared" si="6"/>
        <v>0</v>
      </c>
      <c r="BV8" s="55">
        <v>0</v>
      </c>
      <c r="BW8" s="27"/>
      <c r="BX8" s="63">
        <f t="shared" si="7"/>
        <v>0</v>
      </c>
      <c r="BY8" s="90" t="s">
        <v>32</v>
      </c>
      <c r="BZ8" s="92"/>
      <c r="CA8" s="61">
        <f t="shared" si="8"/>
        <v>0</v>
      </c>
      <c r="CB8" s="55">
        <v>0</v>
      </c>
      <c r="CC8" s="56"/>
      <c r="CD8" s="59"/>
      <c r="CE8" s="56"/>
      <c r="CF8" s="56"/>
      <c r="CG8" s="56"/>
      <c r="CH8" s="56"/>
      <c r="CI8" s="56"/>
      <c r="CJ8" s="56"/>
      <c r="CK8" s="56"/>
      <c r="CL8" s="56"/>
      <c r="CM8" s="56"/>
      <c r="CN8" s="56"/>
      <c r="CO8" s="56"/>
      <c r="CP8" s="56"/>
      <c r="CQ8" s="62">
        <f>AVERAGE(CB8:CP8)</f>
        <v>0</v>
      </c>
      <c r="CR8" s="55">
        <v>0</v>
      </c>
      <c r="CS8" s="126"/>
      <c r="CT8" s="126"/>
      <c r="CU8" s="59"/>
      <c r="CV8" s="56"/>
      <c r="CW8" s="56"/>
      <c r="CX8" s="59"/>
      <c r="CY8" s="99">
        <f t="shared" si="9"/>
        <v>0</v>
      </c>
      <c r="CZ8" s="55">
        <v>0</v>
      </c>
      <c r="DA8" s="126"/>
      <c r="DB8" s="3">
        <f t="shared" si="10"/>
        <v>0</v>
      </c>
      <c r="DC8" s="97">
        <f t="shared" si="11"/>
        <v>0</v>
      </c>
      <c r="DD8" s="59"/>
      <c r="DE8" s="95">
        <v>0</v>
      </c>
      <c r="DF8" s="64">
        <f t="shared" si="12"/>
        <v>0</v>
      </c>
      <c r="DG8" s="103">
        <f t="shared" si="13"/>
        <v>0.09</v>
      </c>
      <c r="DH8" s="65" t="str">
        <f t="shared" si="14"/>
        <v>Sí</v>
      </c>
      <c r="DI8" s="98">
        <f t="shared" si="15"/>
        <v>0.09</v>
      </c>
      <c r="DJ8" s="66"/>
    </row>
    <row r="9" spans="1:114" s="16" customFormat="1" x14ac:dyDescent="0.3">
      <c r="A9" s="49">
        <v>4</v>
      </c>
      <c r="B9" s="50">
        <v>1000109401</v>
      </c>
      <c r="C9" s="51" t="s">
        <v>69</v>
      </c>
      <c r="D9" s="51" t="e" vm="1">
        <f t="shared" ca="1" si="0"/>
        <v>#VALUE!</v>
      </c>
      <c r="E9" s="52" t="s">
        <v>96</v>
      </c>
      <c r="F9" s="53" t="s">
        <v>100</v>
      </c>
      <c r="G9" s="54">
        <v>0</v>
      </c>
      <c r="H9" s="54">
        <v>0</v>
      </c>
      <c r="I9" s="54"/>
      <c r="J9" s="128"/>
      <c r="K9" s="54"/>
      <c r="L9" s="54"/>
      <c r="M9" s="123"/>
      <c r="N9" s="38"/>
      <c r="O9" s="240" t="str">
        <f t="shared" si="16"/>
        <v>401</v>
      </c>
      <c r="P9" s="240">
        <v>29</v>
      </c>
      <c r="Q9" s="38" t="s">
        <v>153</v>
      </c>
      <c r="R9" s="186">
        <v>2</v>
      </c>
      <c r="S9" s="192" t="s">
        <v>154</v>
      </c>
      <c r="T9" s="55">
        <v>5</v>
      </c>
      <c r="U9" s="56">
        <v>5</v>
      </c>
      <c r="V9" s="56"/>
      <c r="W9" s="56"/>
      <c r="X9" s="56"/>
      <c r="Y9" s="56"/>
      <c r="Z9" s="56"/>
      <c r="AA9" s="56"/>
      <c r="AB9" s="56"/>
      <c r="AC9" s="56"/>
      <c r="AD9" s="56"/>
      <c r="AE9" s="56"/>
      <c r="AF9" s="56"/>
      <c r="AG9" s="56"/>
      <c r="AH9" s="56"/>
      <c r="AI9" s="57">
        <f t="shared" si="1"/>
        <v>5</v>
      </c>
      <c r="AJ9" s="58">
        <v>0</v>
      </c>
      <c r="AK9" s="59"/>
      <c r="AL9" s="56"/>
      <c r="AM9" s="56"/>
      <c r="AN9" s="59"/>
      <c r="AO9" s="59"/>
      <c r="AP9" s="59"/>
      <c r="AQ9" s="3">
        <f t="shared" si="2"/>
        <v>0</v>
      </c>
      <c r="AR9" s="58">
        <v>0</v>
      </c>
      <c r="AS9" s="59"/>
      <c r="AT9" s="3">
        <f t="shared" si="3"/>
        <v>0</v>
      </c>
      <c r="AU9" s="58" t="s">
        <v>32</v>
      </c>
      <c r="AV9" s="60"/>
      <c r="AW9" s="61">
        <f t="shared" si="4"/>
        <v>0.3</v>
      </c>
      <c r="AX9" s="55">
        <v>0</v>
      </c>
      <c r="AY9" s="56"/>
      <c r="AZ9" s="56"/>
      <c r="BA9" s="56"/>
      <c r="BB9" s="56"/>
      <c r="BC9" s="56"/>
      <c r="BD9" s="56"/>
      <c r="BE9" s="56"/>
      <c r="BF9" s="56"/>
      <c r="BG9" s="56"/>
      <c r="BH9" s="56"/>
      <c r="BI9" s="56"/>
      <c r="BJ9" s="56"/>
      <c r="BK9" s="56"/>
      <c r="BL9" s="56"/>
      <c r="BM9" s="62">
        <f t="shared" ref="BM9:BM10" si="17">AVERAGE(AX9:BL9)</f>
        <v>0</v>
      </c>
      <c r="BN9" s="55">
        <v>0</v>
      </c>
      <c r="BO9" s="27"/>
      <c r="BP9" s="91"/>
      <c r="BQ9" s="91"/>
      <c r="BR9" s="27"/>
      <c r="BS9" s="27"/>
      <c r="BT9" s="27"/>
      <c r="BU9" s="63">
        <f t="shared" si="6"/>
        <v>0</v>
      </c>
      <c r="BV9" s="55">
        <v>0</v>
      </c>
      <c r="BW9" s="27"/>
      <c r="BX9" s="63">
        <f t="shared" si="7"/>
        <v>0</v>
      </c>
      <c r="BY9" s="90" t="s">
        <v>32</v>
      </c>
      <c r="BZ9" s="92"/>
      <c r="CA9" s="61">
        <f t="shared" si="8"/>
        <v>0</v>
      </c>
      <c r="CB9" s="55">
        <v>0</v>
      </c>
      <c r="CC9" s="56"/>
      <c r="CD9" s="59"/>
      <c r="CE9" s="56"/>
      <c r="CF9" s="56"/>
      <c r="CG9" s="56"/>
      <c r="CH9" s="56"/>
      <c r="CI9" s="56"/>
      <c r="CJ9" s="56"/>
      <c r="CK9" s="56"/>
      <c r="CL9" s="56"/>
      <c r="CM9" s="56"/>
      <c r="CN9" s="56"/>
      <c r="CO9" s="56"/>
      <c r="CP9" s="56"/>
      <c r="CQ9" s="62">
        <f t="shared" ref="CQ9:CQ10" si="18">AVERAGE(CB9:CP9)</f>
        <v>0</v>
      </c>
      <c r="CR9" s="55">
        <v>0</v>
      </c>
      <c r="CS9" s="126"/>
      <c r="CT9" s="126"/>
      <c r="CU9" s="59"/>
      <c r="CV9" s="56"/>
      <c r="CW9" s="56"/>
      <c r="CX9" s="59"/>
      <c r="CY9" s="99">
        <f t="shared" si="9"/>
        <v>0</v>
      </c>
      <c r="CZ9" s="55">
        <v>0</v>
      </c>
      <c r="DA9" s="126"/>
      <c r="DB9" s="3">
        <f t="shared" si="10"/>
        <v>0</v>
      </c>
      <c r="DC9" s="97">
        <f t="shared" si="11"/>
        <v>0</v>
      </c>
      <c r="DD9" s="59"/>
      <c r="DE9" s="95">
        <v>0</v>
      </c>
      <c r="DF9" s="64">
        <f t="shared" si="12"/>
        <v>0</v>
      </c>
      <c r="DG9" s="103">
        <f t="shared" si="13"/>
        <v>0.09</v>
      </c>
      <c r="DH9" s="65" t="str">
        <f t="shared" ref="DH9:DH10" si="19">IF(DG9&gt;=$DH$4,"No","Sí")</f>
        <v>Sí</v>
      </c>
      <c r="DI9" s="98">
        <f t="shared" si="15"/>
        <v>0.09</v>
      </c>
      <c r="DJ9" s="66"/>
    </row>
    <row r="10" spans="1:114" s="16" customFormat="1" x14ac:dyDescent="0.3">
      <c r="A10" s="49">
        <v>5</v>
      </c>
      <c r="B10" s="50">
        <v>1000105803</v>
      </c>
      <c r="C10" s="51" t="s">
        <v>70</v>
      </c>
      <c r="D10" s="51" t="e" vm="1">
        <f t="shared" ca="1" si="0"/>
        <v>#VALUE!</v>
      </c>
      <c r="E10" s="52" t="s">
        <v>96</v>
      </c>
      <c r="F10" s="53" t="s">
        <v>101</v>
      </c>
      <c r="G10" s="54">
        <v>0</v>
      </c>
      <c r="H10" s="54">
        <v>0</v>
      </c>
      <c r="I10" s="54"/>
      <c r="J10" s="54"/>
      <c r="K10" s="54"/>
      <c r="L10" s="54"/>
      <c r="M10" s="123"/>
      <c r="N10" s="38"/>
      <c r="O10" s="240" t="str">
        <f t="shared" si="16"/>
        <v>803</v>
      </c>
      <c r="P10" s="240"/>
      <c r="Q10" s="37"/>
      <c r="R10" s="187"/>
      <c r="S10" s="154"/>
      <c r="T10" s="55">
        <v>5</v>
      </c>
      <c r="U10" s="56">
        <v>5</v>
      </c>
      <c r="V10" s="56"/>
      <c r="W10" s="56"/>
      <c r="X10" s="56"/>
      <c r="Y10" s="56"/>
      <c r="Z10" s="56"/>
      <c r="AA10" s="56"/>
      <c r="AB10" s="56"/>
      <c r="AC10" s="56"/>
      <c r="AD10" s="56"/>
      <c r="AE10" s="56"/>
      <c r="AF10" s="56"/>
      <c r="AG10" s="56"/>
      <c r="AH10" s="56"/>
      <c r="AI10" s="57">
        <f t="shared" si="1"/>
        <v>5</v>
      </c>
      <c r="AJ10" s="58">
        <v>0</v>
      </c>
      <c r="AK10" s="59"/>
      <c r="AL10" s="56"/>
      <c r="AM10" s="56"/>
      <c r="AN10" s="59"/>
      <c r="AO10" s="59"/>
      <c r="AP10" s="59"/>
      <c r="AQ10" s="3">
        <f t="shared" si="2"/>
        <v>0</v>
      </c>
      <c r="AR10" s="58">
        <v>0</v>
      </c>
      <c r="AS10" s="59"/>
      <c r="AT10" s="3">
        <f t="shared" si="3"/>
        <v>0</v>
      </c>
      <c r="AU10" s="58" t="s">
        <v>32</v>
      </c>
      <c r="AV10" s="60"/>
      <c r="AW10" s="61">
        <f t="shared" si="4"/>
        <v>0.3</v>
      </c>
      <c r="AX10" s="55">
        <v>0</v>
      </c>
      <c r="AY10" s="56"/>
      <c r="AZ10" s="56"/>
      <c r="BA10" s="56"/>
      <c r="BB10" s="56"/>
      <c r="BC10" s="56"/>
      <c r="BD10" s="56"/>
      <c r="BE10" s="56"/>
      <c r="BF10" s="56"/>
      <c r="BG10" s="56"/>
      <c r="BH10" s="56"/>
      <c r="BI10" s="56"/>
      <c r="BJ10" s="56"/>
      <c r="BK10" s="56"/>
      <c r="BL10" s="56"/>
      <c r="BM10" s="62">
        <f t="shared" si="17"/>
        <v>0</v>
      </c>
      <c r="BN10" s="55">
        <v>0</v>
      </c>
      <c r="BO10" s="27"/>
      <c r="BP10" s="91"/>
      <c r="BQ10" s="91"/>
      <c r="BR10" s="27"/>
      <c r="BS10" s="27"/>
      <c r="BT10" s="27"/>
      <c r="BU10" s="63">
        <f t="shared" si="6"/>
        <v>0</v>
      </c>
      <c r="BV10" s="55">
        <v>0</v>
      </c>
      <c r="BW10" s="27"/>
      <c r="BX10" s="63">
        <f t="shared" si="7"/>
        <v>0</v>
      </c>
      <c r="BY10" s="90" t="s">
        <v>32</v>
      </c>
      <c r="BZ10" s="92"/>
      <c r="CA10" s="61">
        <f t="shared" si="8"/>
        <v>0</v>
      </c>
      <c r="CB10" s="55">
        <v>0</v>
      </c>
      <c r="CC10" s="56"/>
      <c r="CD10" s="59"/>
      <c r="CE10" s="56"/>
      <c r="CF10" s="56"/>
      <c r="CG10" s="56"/>
      <c r="CH10" s="56"/>
      <c r="CI10" s="56"/>
      <c r="CJ10" s="56"/>
      <c r="CK10" s="56"/>
      <c r="CL10" s="56"/>
      <c r="CM10" s="56"/>
      <c r="CN10" s="56"/>
      <c r="CO10" s="56"/>
      <c r="CP10" s="56"/>
      <c r="CQ10" s="62">
        <f t="shared" si="18"/>
        <v>0</v>
      </c>
      <c r="CR10" s="55">
        <v>0</v>
      </c>
      <c r="CS10" s="126"/>
      <c r="CT10" s="126"/>
      <c r="CU10" s="59"/>
      <c r="CV10" s="56"/>
      <c r="CW10" s="56"/>
      <c r="CX10" s="59"/>
      <c r="CY10" s="99">
        <f t="shared" si="9"/>
        <v>0</v>
      </c>
      <c r="CZ10" s="55">
        <v>0</v>
      </c>
      <c r="DA10" s="126"/>
      <c r="DB10" s="3">
        <f t="shared" si="10"/>
        <v>0</v>
      </c>
      <c r="DC10" s="97">
        <f t="shared" si="11"/>
        <v>0</v>
      </c>
      <c r="DD10" s="59"/>
      <c r="DE10" s="95">
        <v>0</v>
      </c>
      <c r="DF10" s="64">
        <f t="shared" si="12"/>
        <v>0</v>
      </c>
      <c r="DG10" s="103">
        <f t="shared" si="13"/>
        <v>0.09</v>
      </c>
      <c r="DH10" s="65" t="str">
        <f t="shared" si="19"/>
        <v>Sí</v>
      </c>
      <c r="DI10" s="98">
        <f t="shared" si="15"/>
        <v>0.09</v>
      </c>
      <c r="DJ10" s="66"/>
    </row>
    <row r="11" spans="1:114" s="16" customFormat="1" x14ac:dyDescent="0.3">
      <c r="A11" s="49">
        <v>6</v>
      </c>
      <c r="B11" s="50">
        <v>1000109945</v>
      </c>
      <c r="C11" s="51" t="s">
        <v>71</v>
      </c>
      <c r="D11" s="51" t="e" vm="1">
        <f t="shared" ca="1" si="0"/>
        <v>#VALUE!</v>
      </c>
      <c r="E11" s="52" t="s">
        <v>96</v>
      </c>
      <c r="F11" s="53" t="s">
        <v>102</v>
      </c>
      <c r="G11" s="54">
        <v>0</v>
      </c>
      <c r="H11" s="54">
        <v>0</v>
      </c>
      <c r="I11" s="54"/>
      <c r="J11" s="54"/>
      <c r="K11" s="54"/>
      <c r="L11" s="54"/>
      <c r="M11" s="100"/>
      <c r="N11" s="38"/>
      <c r="O11" s="240" t="str">
        <f t="shared" si="16"/>
        <v>945</v>
      </c>
      <c r="P11" s="240">
        <v>29</v>
      </c>
      <c r="Q11" s="38" t="s">
        <v>153</v>
      </c>
      <c r="R11" s="186">
        <v>2</v>
      </c>
      <c r="S11" s="192" t="s">
        <v>154</v>
      </c>
      <c r="T11" s="55">
        <v>5</v>
      </c>
      <c r="U11" s="56">
        <v>5</v>
      </c>
      <c r="V11" s="56"/>
      <c r="W11" s="56"/>
      <c r="X11" s="56"/>
      <c r="Y11" s="56"/>
      <c r="Z11" s="56"/>
      <c r="AA11" s="56"/>
      <c r="AB11" s="56"/>
      <c r="AC11" s="56"/>
      <c r="AD11" s="56"/>
      <c r="AE11" s="56"/>
      <c r="AF11" s="56"/>
      <c r="AG11" s="56"/>
      <c r="AH11" s="56"/>
      <c r="AI11" s="57">
        <f t="shared" si="1"/>
        <v>5</v>
      </c>
      <c r="AJ11" s="58">
        <v>0</v>
      </c>
      <c r="AK11" s="59"/>
      <c r="AL11" s="56"/>
      <c r="AM11" s="59"/>
      <c r="AN11" s="59"/>
      <c r="AO11" s="59"/>
      <c r="AP11" s="59"/>
      <c r="AQ11" s="3">
        <f t="shared" si="2"/>
        <v>0</v>
      </c>
      <c r="AR11" s="58">
        <v>0</v>
      </c>
      <c r="AS11" s="59"/>
      <c r="AT11" s="3">
        <f t="shared" si="3"/>
        <v>0</v>
      </c>
      <c r="AU11" s="58" t="s">
        <v>32</v>
      </c>
      <c r="AV11" s="60"/>
      <c r="AW11" s="61">
        <f t="shared" si="4"/>
        <v>0.3</v>
      </c>
      <c r="AX11" s="55">
        <v>0</v>
      </c>
      <c r="AY11" s="56"/>
      <c r="AZ11" s="56"/>
      <c r="BA11" s="56"/>
      <c r="BB11" s="56"/>
      <c r="BC11" s="56"/>
      <c r="BD11" s="56"/>
      <c r="BE11" s="56"/>
      <c r="BF11" s="56"/>
      <c r="BG11" s="56"/>
      <c r="BH11" s="56"/>
      <c r="BI11" s="56"/>
      <c r="BJ11" s="56"/>
      <c r="BK11" s="56"/>
      <c r="BL11" s="56"/>
      <c r="BM11" s="62">
        <f t="shared" ref="BM11:BM13" si="20">AVERAGE(AX11:BL11)</f>
        <v>0</v>
      </c>
      <c r="BN11" s="55">
        <v>0</v>
      </c>
      <c r="BO11" s="27"/>
      <c r="BP11" s="91"/>
      <c r="BQ11" s="91"/>
      <c r="BR11" s="27"/>
      <c r="BS11" s="27"/>
      <c r="BT11" s="27"/>
      <c r="BU11" s="63">
        <f t="shared" si="6"/>
        <v>0</v>
      </c>
      <c r="BV11" s="55">
        <v>0</v>
      </c>
      <c r="BW11" s="27"/>
      <c r="BX11" s="63">
        <f t="shared" si="7"/>
        <v>0</v>
      </c>
      <c r="BY11" s="90" t="s">
        <v>32</v>
      </c>
      <c r="BZ11" s="92"/>
      <c r="CA11" s="61">
        <f t="shared" si="8"/>
        <v>0</v>
      </c>
      <c r="CB11" s="55">
        <v>0</v>
      </c>
      <c r="CC11" s="56"/>
      <c r="CD11" s="59"/>
      <c r="CE11" s="56"/>
      <c r="CF11" s="56"/>
      <c r="CG11" s="56"/>
      <c r="CH11" s="56"/>
      <c r="CI11" s="56"/>
      <c r="CJ11" s="56"/>
      <c r="CK11" s="56"/>
      <c r="CL11" s="56"/>
      <c r="CM11" s="56"/>
      <c r="CN11" s="56"/>
      <c r="CO11" s="56"/>
      <c r="CP11" s="56"/>
      <c r="CQ11" s="62">
        <f t="shared" ref="CQ11:CQ13" si="21">AVERAGE(CB11:CP11)</f>
        <v>0</v>
      </c>
      <c r="CR11" s="55">
        <v>0</v>
      </c>
      <c r="CS11" s="126"/>
      <c r="CT11" s="126"/>
      <c r="CU11" s="59"/>
      <c r="CV11" s="56"/>
      <c r="CW11" s="56"/>
      <c r="CX11" s="59"/>
      <c r="CY11" s="99">
        <f t="shared" si="9"/>
        <v>0</v>
      </c>
      <c r="CZ11" s="55">
        <v>0</v>
      </c>
      <c r="DA11" s="126"/>
      <c r="DB11" s="3">
        <f t="shared" si="10"/>
        <v>0</v>
      </c>
      <c r="DC11" s="97">
        <f t="shared" si="11"/>
        <v>0</v>
      </c>
      <c r="DD11" s="59"/>
      <c r="DE11" s="95">
        <v>0</v>
      </c>
      <c r="DF11" s="64">
        <f t="shared" si="12"/>
        <v>0</v>
      </c>
      <c r="DG11" s="103">
        <f t="shared" si="13"/>
        <v>0.09</v>
      </c>
      <c r="DH11" s="65" t="str">
        <f t="shared" ref="DH11:DH13" si="22">IF(DG11&gt;=$DH$4,"No","Sí")</f>
        <v>Sí</v>
      </c>
      <c r="DI11" s="98">
        <f t="shared" si="15"/>
        <v>0.09</v>
      </c>
      <c r="DJ11" s="66"/>
    </row>
    <row r="12" spans="1:114" s="16" customFormat="1" x14ac:dyDescent="0.3">
      <c r="A12" s="49">
        <v>7</v>
      </c>
      <c r="B12" s="50">
        <v>1000109969</v>
      </c>
      <c r="C12" s="51" t="s">
        <v>72</v>
      </c>
      <c r="D12" s="51" t="e" vm="1">
        <f t="shared" ca="1" si="0"/>
        <v>#VALUE!</v>
      </c>
      <c r="E12" s="52" t="s">
        <v>96</v>
      </c>
      <c r="F12" s="53" t="s">
        <v>103</v>
      </c>
      <c r="G12" s="54">
        <v>0</v>
      </c>
      <c r="H12" s="54">
        <v>0</v>
      </c>
      <c r="I12" s="54"/>
      <c r="J12" s="54"/>
      <c r="K12" s="54"/>
      <c r="L12" s="54"/>
      <c r="M12" s="100"/>
      <c r="N12" s="38"/>
      <c r="O12" s="240" t="str">
        <f t="shared" si="16"/>
        <v>969</v>
      </c>
      <c r="P12" s="240"/>
      <c r="Q12" s="38"/>
      <c r="R12" s="186"/>
      <c r="S12" s="154"/>
      <c r="T12" s="55">
        <v>5</v>
      </c>
      <c r="U12" s="56">
        <v>5</v>
      </c>
      <c r="V12" s="56"/>
      <c r="W12" s="56"/>
      <c r="X12" s="56"/>
      <c r="Y12" s="56"/>
      <c r="Z12" s="56"/>
      <c r="AA12" s="56"/>
      <c r="AB12" s="56"/>
      <c r="AC12" s="56"/>
      <c r="AD12" s="56"/>
      <c r="AE12" s="56"/>
      <c r="AF12" s="56"/>
      <c r="AG12" s="56"/>
      <c r="AH12" s="56"/>
      <c r="AI12" s="57">
        <f t="shared" si="1"/>
        <v>5</v>
      </c>
      <c r="AJ12" s="58">
        <v>0</v>
      </c>
      <c r="AK12" s="59"/>
      <c r="AL12" s="56"/>
      <c r="AM12" s="59"/>
      <c r="AN12" s="59"/>
      <c r="AO12" s="59"/>
      <c r="AP12" s="59"/>
      <c r="AQ12" s="3">
        <f t="shared" si="2"/>
        <v>0</v>
      </c>
      <c r="AR12" s="58">
        <v>0</v>
      </c>
      <c r="AS12" s="59"/>
      <c r="AT12" s="3">
        <f t="shared" si="3"/>
        <v>0</v>
      </c>
      <c r="AU12" s="58" t="s">
        <v>32</v>
      </c>
      <c r="AV12" s="60"/>
      <c r="AW12" s="61">
        <f t="shared" si="4"/>
        <v>0.3</v>
      </c>
      <c r="AX12" s="55">
        <v>0</v>
      </c>
      <c r="AY12" s="56"/>
      <c r="AZ12" s="56"/>
      <c r="BA12" s="56"/>
      <c r="BB12" s="56"/>
      <c r="BC12" s="56"/>
      <c r="BD12" s="56"/>
      <c r="BE12" s="56"/>
      <c r="BF12" s="56"/>
      <c r="BG12" s="56"/>
      <c r="BH12" s="56"/>
      <c r="BI12" s="56"/>
      <c r="BJ12" s="56"/>
      <c r="BK12" s="56"/>
      <c r="BL12" s="56"/>
      <c r="BM12" s="62">
        <f t="shared" si="20"/>
        <v>0</v>
      </c>
      <c r="BN12" s="55">
        <v>0</v>
      </c>
      <c r="BO12" s="27"/>
      <c r="BP12" s="91"/>
      <c r="BQ12" s="91"/>
      <c r="BR12" s="27"/>
      <c r="BS12" s="27"/>
      <c r="BT12" s="27"/>
      <c r="BU12" s="63">
        <f t="shared" si="6"/>
        <v>0</v>
      </c>
      <c r="BV12" s="55">
        <v>0</v>
      </c>
      <c r="BW12" s="27"/>
      <c r="BX12" s="63">
        <f t="shared" si="7"/>
        <v>0</v>
      </c>
      <c r="BY12" s="90" t="s">
        <v>32</v>
      </c>
      <c r="BZ12" s="92"/>
      <c r="CA12" s="61">
        <f t="shared" si="8"/>
        <v>0</v>
      </c>
      <c r="CB12" s="55">
        <v>0</v>
      </c>
      <c r="CC12" s="56"/>
      <c r="CD12" s="59"/>
      <c r="CE12" s="56"/>
      <c r="CF12" s="56"/>
      <c r="CG12" s="56"/>
      <c r="CH12" s="56"/>
      <c r="CI12" s="56"/>
      <c r="CJ12" s="56"/>
      <c r="CK12" s="56"/>
      <c r="CL12" s="56"/>
      <c r="CM12" s="56"/>
      <c r="CN12" s="56"/>
      <c r="CO12" s="56"/>
      <c r="CP12" s="56"/>
      <c r="CQ12" s="62">
        <f t="shared" si="21"/>
        <v>0</v>
      </c>
      <c r="CR12" s="55">
        <v>0</v>
      </c>
      <c r="CS12" s="126"/>
      <c r="CT12" s="126"/>
      <c r="CU12" s="59"/>
      <c r="CV12" s="56"/>
      <c r="CW12" s="56"/>
      <c r="CX12" s="59"/>
      <c r="CY12" s="99">
        <f t="shared" si="9"/>
        <v>0</v>
      </c>
      <c r="CZ12" s="55">
        <v>0</v>
      </c>
      <c r="DA12" s="126"/>
      <c r="DB12" s="3">
        <f t="shared" si="10"/>
        <v>0</v>
      </c>
      <c r="DC12" s="97">
        <f t="shared" si="11"/>
        <v>0</v>
      </c>
      <c r="DD12" s="59"/>
      <c r="DE12" s="95">
        <v>0</v>
      </c>
      <c r="DF12" s="64">
        <f t="shared" si="12"/>
        <v>0</v>
      </c>
      <c r="DG12" s="103">
        <f t="shared" si="13"/>
        <v>0.09</v>
      </c>
      <c r="DH12" s="65" t="str">
        <f t="shared" si="22"/>
        <v>Sí</v>
      </c>
      <c r="DI12" s="98">
        <f t="shared" si="15"/>
        <v>0.09</v>
      </c>
      <c r="DJ12" s="66"/>
    </row>
    <row r="13" spans="1:114" s="16" customFormat="1" x14ac:dyDescent="0.3">
      <c r="A13" s="49">
        <v>8</v>
      </c>
      <c r="B13" s="50">
        <v>1000105775</v>
      </c>
      <c r="C13" s="51" t="s">
        <v>73</v>
      </c>
      <c r="D13" s="51" t="e" vm="1">
        <f t="shared" ca="1" si="0"/>
        <v>#VALUE!</v>
      </c>
      <c r="E13" s="52" t="s">
        <v>96</v>
      </c>
      <c r="F13" s="53" t="s">
        <v>104</v>
      </c>
      <c r="G13" s="54">
        <v>0</v>
      </c>
      <c r="H13" s="54">
        <v>0</v>
      </c>
      <c r="I13" s="54"/>
      <c r="J13" s="54"/>
      <c r="K13" s="54"/>
      <c r="L13" s="54"/>
      <c r="M13" s="124"/>
      <c r="N13" s="38"/>
      <c r="O13" s="240" t="str">
        <f t="shared" si="16"/>
        <v>775</v>
      </c>
      <c r="P13" s="240">
        <v>26</v>
      </c>
      <c r="Q13" s="38" t="s">
        <v>152</v>
      </c>
      <c r="R13" s="186">
        <v>1</v>
      </c>
      <c r="S13" s="192" t="s">
        <v>151</v>
      </c>
      <c r="T13" s="55">
        <v>5</v>
      </c>
      <c r="U13" s="56">
        <v>5</v>
      </c>
      <c r="V13" s="56"/>
      <c r="W13" s="56"/>
      <c r="X13" s="56"/>
      <c r="Y13" s="56"/>
      <c r="Z13" s="56"/>
      <c r="AA13" s="56"/>
      <c r="AB13" s="56"/>
      <c r="AC13" s="56"/>
      <c r="AD13" s="56"/>
      <c r="AE13" s="56"/>
      <c r="AF13" s="56"/>
      <c r="AG13" s="56"/>
      <c r="AH13" s="56"/>
      <c r="AI13" s="57">
        <f t="shared" si="1"/>
        <v>5</v>
      </c>
      <c r="AJ13" s="58">
        <v>0</v>
      </c>
      <c r="AK13" s="59"/>
      <c r="AL13" s="56"/>
      <c r="AM13" s="59"/>
      <c r="AN13" s="59"/>
      <c r="AO13" s="59"/>
      <c r="AP13" s="59"/>
      <c r="AQ13" s="3">
        <f t="shared" si="2"/>
        <v>0</v>
      </c>
      <c r="AR13" s="58">
        <v>0</v>
      </c>
      <c r="AS13" s="59"/>
      <c r="AT13" s="3">
        <f t="shared" si="3"/>
        <v>0</v>
      </c>
      <c r="AU13" s="58" t="s">
        <v>32</v>
      </c>
      <c r="AV13" s="60"/>
      <c r="AW13" s="61">
        <f t="shared" si="4"/>
        <v>0.3</v>
      </c>
      <c r="AX13" s="55">
        <v>0</v>
      </c>
      <c r="AY13" s="56"/>
      <c r="AZ13" s="56"/>
      <c r="BA13" s="56"/>
      <c r="BB13" s="56"/>
      <c r="BC13" s="56"/>
      <c r="BD13" s="56"/>
      <c r="BE13" s="56"/>
      <c r="BF13" s="56"/>
      <c r="BG13" s="56"/>
      <c r="BH13" s="56"/>
      <c r="BI13" s="56"/>
      <c r="BJ13" s="56"/>
      <c r="BK13" s="56"/>
      <c r="BL13" s="56"/>
      <c r="BM13" s="62">
        <f t="shared" si="20"/>
        <v>0</v>
      </c>
      <c r="BN13" s="55">
        <v>0</v>
      </c>
      <c r="BO13" s="27"/>
      <c r="BP13" s="91"/>
      <c r="BQ13" s="91"/>
      <c r="BR13" s="27"/>
      <c r="BS13" s="27"/>
      <c r="BT13" s="27"/>
      <c r="BU13" s="63">
        <f t="shared" si="6"/>
        <v>0</v>
      </c>
      <c r="BV13" s="55">
        <v>0</v>
      </c>
      <c r="BW13" s="27"/>
      <c r="BX13" s="63">
        <f t="shared" si="7"/>
        <v>0</v>
      </c>
      <c r="BY13" s="90" t="s">
        <v>32</v>
      </c>
      <c r="BZ13" s="92"/>
      <c r="CA13" s="61">
        <f t="shared" si="8"/>
        <v>0</v>
      </c>
      <c r="CB13" s="55">
        <v>0</v>
      </c>
      <c r="CC13" s="56"/>
      <c r="CD13" s="59"/>
      <c r="CE13" s="56"/>
      <c r="CF13" s="56"/>
      <c r="CG13" s="56"/>
      <c r="CH13" s="56"/>
      <c r="CI13" s="56"/>
      <c r="CJ13" s="56"/>
      <c r="CK13" s="56"/>
      <c r="CL13" s="56"/>
      <c r="CM13" s="56"/>
      <c r="CN13" s="56"/>
      <c r="CO13" s="56"/>
      <c r="CP13" s="56"/>
      <c r="CQ13" s="62">
        <f t="shared" si="21"/>
        <v>0</v>
      </c>
      <c r="CR13" s="58">
        <v>0</v>
      </c>
      <c r="CS13" s="126"/>
      <c r="CT13" s="126"/>
      <c r="CU13" s="59"/>
      <c r="CV13" s="56"/>
      <c r="CW13" s="56"/>
      <c r="CX13" s="59"/>
      <c r="CY13" s="99">
        <f t="shared" si="9"/>
        <v>0</v>
      </c>
      <c r="CZ13" s="58">
        <v>0</v>
      </c>
      <c r="DA13" s="126"/>
      <c r="DB13" s="3">
        <f t="shared" si="10"/>
        <v>0</v>
      </c>
      <c r="DC13" s="97">
        <f t="shared" si="11"/>
        <v>0</v>
      </c>
      <c r="DD13" s="59"/>
      <c r="DE13" s="95">
        <v>0</v>
      </c>
      <c r="DF13" s="64">
        <f t="shared" si="12"/>
        <v>0</v>
      </c>
      <c r="DG13" s="103">
        <f t="shared" si="13"/>
        <v>0.09</v>
      </c>
      <c r="DH13" s="65" t="str">
        <f t="shared" si="22"/>
        <v>Sí</v>
      </c>
      <c r="DI13" s="98">
        <f t="shared" si="15"/>
        <v>0.09</v>
      </c>
      <c r="DJ13" s="66"/>
    </row>
    <row r="14" spans="1:114" s="16" customFormat="1" x14ac:dyDescent="0.3">
      <c r="A14" s="49">
        <v>9</v>
      </c>
      <c r="B14" s="50">
        <v>1000109704</v>
      </c>
      <c r="C14" s="51" t="s">
        <v>74</v>
      </c>
      <c r="D14" s="51" t="e" vm="1">
        <f t="shared" ref="D14:D33" ca="1" si="23">_xlfn.IMAGE(_xlfn.CONCAT("https://github.com/rcfdtools/R.TeachingResearchGuide/blob/main/CaseUse/.student/",B14,".jpg?raw=true"))</f>
        <v>#VALUE!</v>
      </c>
      <c r="E14" s="52" t="s">
        <v>96</v>
      </c>
      <c r="F14" s="53" t="s">
        <v>105</v>
      </c>
      <c r="G14" s="54">
        <v>0</v>
      </c>
      <c r="H14" s="54">
        <v>0</v>
      </c>
      <c r="I14" s="54"/>
      <c r="J14" s="54"/>
      <c r="K14" s="54"/>
      <c r="L14" s="54"/>
      <c r="M14" s="124"/>
      <c r="N14" s="38"/>
      <c r="O14" s="240" t="str">
        <f t="shared" si="16"/>
        <v>704</v>
      </c>
      <c r="P14" s="240"/>
      <c r="Q14" s="38"/>
      <c r="R14" s="186"/>
      <c r="S14" s="154"/>
      <c r="T14" s="55">
        <v>5</v>
      </c>
      <c r="U14" s="56">
        <v>5</v>
      </c>
      <c r="V14" s="56"/>
      <c r="W14" s="56"/>
      <c r="X14" s="56"/>
      <c r="Y14" s="56"/>
      <c r="Z14" s="56"/>
      <c r="AA14" s="56"/>
      <c r="AB14" s="56"/>
      <c r="AC14" s="56"/>
      <c r="AD14" s="56"/>
      <c r="AE14" s="56"/>
      <c r="AF14" s="56"/>
      <c r="AG14" s="56"/>
      <c r="AH14" s="56"/>
      <c r="AI14" s="57">
        <f t="shared" si="1"/>
        <v>5</v>
      </c>
      <c r="AJ14" s="58">
        <v>0</v>
      </c>
      <c r="AK14" s="59"/>
      <c r="AL14" s="56"/>
      <c r="AM14" s="59"/>
      <c r="AN14" s="59"/>
      <c r="AO14" s="59"/>
      <c r="AP14" s="59"/>
      <c r="AQ14" s="3">
        <f t="shared" si="2"/>
        <v>0</v>
      </c>
      <c r="AR14" s="58">
        <v>0</v>
      </c>
      <c r="AS14" s="59"/>
      <c r="AT14" s="3">
        <f t="shared" si="3"/>
        <v>0</v>
      </c>
      <c r="AU14" s="58" t="s">
        <v>32</v>
      </c>
      <c r="AV14" s="60"/>
      <c r="AW14" s="61">
        <f t="shared" si="4"/>
        <v>0.3</v>
      </c>
      <c r="AX14" s="55">
        <v>0</v>
      </c>
      <c r="AY14" s="56"/>
      <c r="AZ14" s="56"/>
      <c r="BA14" s="56"/>
      <c r="BB14" s="56"/>
      <c r="BC14" s="56"/>
      <c r="BD14" s="56"/>
      <c r="BE14" s="56"/>
      <c r="BF14" s="56"/>
      <c r="BG14" s="56"/>
      <c r="BH14" s="56"/>
      <c r="BI14" s="56"/>
      <c r="BJ14" s="56"/>
      <c r="BK14" s="56"/>
      <c r="BL14" s="56"/>
      <c r="BM14" s="62">
        <f t="shared" ref="BM14:BM35" si="24">AVERAGE(AX14:BL14)</f>
        <v>0</v>
      </c>
      <c r="BN14" s="55">
        <v>0</v>
      </c>
      <c r="BO14" s="27"/>
      <c r="BP14" s="91"/>
      <c r="BQ14" s="91"/>
      <c r="BR14" s="27"/>
      <c r="BS14" s="27"/>
      <c r="BT14" s="27"/>
      <c r="BU14" s="63">
        <f t="shared" si="6"/>
        <v>0</v>
      </c>
      <c r="BV14" s="55">
        <v>0</v>
      </c>
      <c r="BW14" s="27"/>
      <c r="BX14" s="63">
        <f t="shared" si="7"/>
        <v>0</v>
      </c>
      <c r="BY14" s="90" t="s">
        <v>32</v>
      </c>
      <c r="BZ14" s="92"/>
      <c r="CA14" s="61">
        <f t="shared" si="8"/>
        <v>0</v>
      </c>
      <c r="CB14" s="55">
        <v>0</v>
      </c>
      <c r="CC14" s="56"/>
      <c r="CD14" s="59"/>
      <c r="CE14" s="56"/>
      <c r="CF14" s="56"/>
      <c r="CG14" s="56"/>
      <c r="CH14" s="56"/>
      <c r="CI14" s="56"/>
      <c r="CJ14" s="56"/>
      <c r="CK14" s="56"/>
      <c r="CL14" s="56"/>
      <c r="CM14" s="56"/>
      <c r="CN14" s="56"/>
      <c r="CO14" s="56"/>
      <c r="CP14" s="56"/>
      <c r="CQ14" s="62">
        <f t="shared" ref="CQ14:CQ35" si="25">AVERAGE(CB14:CP14)</f>
        <v>0</v>
      </c>
      <c r="CR14" s="58">
        <v>0</v>
      </c>
      <c r="CS14" s="126"/>
      <c r="CT14" s="126"/>
      <c r="CU14" s="59"/>
      <c r="CV14" s="56"/>
      <c r="CW14" s="56"/>
      <c r="CX14" s="59"/>
      <c r="CY14" s="99">
        <f t="shared" si="9"/>
        <v>0</v>
      </c>
      <c r="CZ14" s="58">
        <v>0</v>
      </c>
      <c r="DA14" s="126"/>
      <c r="DB14" s="3">
        <f t="shared" si="10"/>
        <v>0</v>
      </c>
      <c r="DC14" s="97">
        <f t="shared" si="11"/>
        <v>0</v>
      </c>
      <c r="DD14" s="59"/>
      <c r="DE14" s="95">
        <v>0</v>
      </c>
      <c r="DF14" s="64">
        <f t="shared" si="12"/>
        <v>0</v>
      </c>
      <c r="DG14" s="103">
        <f t="shared" si="13"/>
        <v>0.09</v>
      </c>
      <c r="DH14" s="65" t="str">
        <f t="shared" ref="DH14:DH35" si="26">IF(DG14&gt;=$DH$4,"No","Sí")</f>
        <v>Sí</v>
      </c>
      <c r="DI14" s="98">
        <f t="shared" si="15"/>
        <v>0.09</v>
      </c>
      <c r="DJ14" s="66"/>
    </row>
    <row r="15" spans="1:114" s="16" customFormat="1" x14ac:dyDescent="0.3">
      <c r="A15" s="49">
        <v>10</v>
      </c>
      <c r="B15" s="50">
        <v>1000110144</v>
      </c>
      <c r="C15" s="51" t="s">
        <v>75</v>
      </c>
      <c r="D15" s="51" t="e" vm="1">
        <f t="shared" ca="1" si="23"/>
        <v>#VALUE!</v>
      </c>
      <c r="E15" s="52" t="s">
        <v>96</v>
      </c>
      <c r="F15" s="53" t="s">
        <v>106</v>
      </c>
      <c r="G15" s="54">
        <v>0</v>
      </c>
      <c r="H15" s="54">
        <v>0</v>
      </c>
      <c r="I15" s="54"/>
      <c r="J15" s="54"/>
      <c r="K15" s="54"/>
      <c r="L15" s="54"/>
      <c r="M15" s="124"/>
      <c r="N15" s="38"/>
      <c r="O15" s="240" t="str">
        <f t="shared" si="16"/>
        <v>144</v>
      </c>
      <c r="P15" s="240">
        <v>19</v>
      </c>
      <c r="Q15" s="38" t="s">
        <v>164</v>
      </c>
      <c r="R15" s="186">
        <v>3</v>
      </c>
      <c r="S15" s="192" t="s">
        <v>163</v>
      </c>
      <c r="T15" s="55">
        <v>5</v>
      </c>
      <c r="U15" s="56">
        <v>5</v>
      </c>
      <c r="V15" s="56"/>
      <c r="W15" s="56"/>
      <c r="X15" s="56"/>
      <c r="Y15" s="56"/>
      <c r="Z15" s="56"/>
      <c r="AA15" s="56"/>
      <c r="AB15" s="56"/>
      <c r="AC15" s="56"/>
      <c r="AD15" s="56"/>
      <c r="AE15" s="56"/>
      <c r="AF15" s="56"/>
      <c r="AG15" s="56"/>
      <c r="AH15" s="56"/>
      <c r="AI15" s="57">
        <f t="shared" si="1"/>
        <v>5</v>
      </c>
      <c r="AJ15" s="58">
        <v>0</v>
      </c>
      <c r="AK15" s="59"/>
      <c r="AL15" s="56"/>
      <c r="AM15" s="59"/>
      <c r="AN15" s="59"/>
      <c r="AO15" s="59"/>
      <c r="AP15" s="59"/>
      <c r="AQ15" s="3">
        <f t="shared" si="2"/>
        <v>0</v>
      </c>
      <c r="AR15" s="58">
        <v>0</v>
      </c>
      <c r="AS15" s="59"/>
      <c r="AT15" s="3">
        <f t="shared" si="3"/>
        <v>0</v>
      </c>
      <c r="AU15" s="58" t="s">
        <v>32</v>
      </c>
      <c r="AV15" s="60"/>
      <c r="AW15" s="61">
        <f t="shared" si="4"/>
        <v>0.3</v>
      </c>
      <c r="AX15" s="55">
        <v>0</v>
      </c>
      <c r="AY15" s="56"/>
      <c r="AZ15" s="56"/>
      <c r="BA15" s="56"/>
      <c r="BB15" s="56"/>
      <c r="BC15" s="56"/>
      <c r="BD15" s="56"/>
      <c r="BE15" s="56"/>
      <c r="BF15" s="56"/>
      <c r="BG15" s="56"/>
      <c r="BH15" s="56"/>
      <c r="BI15" s="56"/>
      <c r="BJ15" s="56"/>
      <c r="BK15" s="56"/>
      <c r="BL15" s="56"/>
      <c r="BM15" s="62">
        <f t="shared" si="24"/>
        <v>0</v>
      </c>
      <c r="BN15" s="55">
        <v>0</v>
      </c>
      <c r="BO15" s="27"/>
      <c r="BP15" s="91"/>
      <c r="BQ15" s="91"/>
      <c r="BR15" s="27"/>
      <c r="BS15" s="27"/>
      <c r="BT15" s="27"/>
      <c r="BU15" s="63">
        <f t="shared" si="6"/>
        <v>0</v>
      </c>
      <c r="BV15" s="55">
        <v>0</v>
      </c>
      <c r="BW15" s="27"/>
      <c r="BX15" s="63">
        <f t="shared" si="7"/>
        <v>0</v>
      </c>
      <c r="BY15" s="90" t="s">
        <v>32</v>
      </c>
      <c r="BZ15" s="92"/>
      <c r="CA15" s="61">
        <f t="shared" si="8"/>
        <v>0</v>
      </c>
      <c r="CB15" s="55">
        <v>0</v>
      </c>
      <c r="CC15" s="56"/>
      <c r="CD15" s="59"/>
      <c r="CE15" s="56"/>
      <c r="CF15" s="56"/>
      <c r="CG15" s="56"/>
      <c r="CH15" s="56"/>
      <c r="CI15" s="56"/>
      <c r="CJ15" s="56"/>
      <c r="CK15" s="56"/>
      <c r="CL15" s="56"/>
      <c r="CM15" s="56"/>
      <c r="CN15" s="56"/>
      <c r="CO15" s="56"/>
      <c r="CP15" s="56"/>
      <c r="CQ15" s="62">
        <f t="shared" si="25"/>
        <v>0</v>
      </c>
      <c r="CR15" s="58">
        <v>0</v>
      </c>
      <c r="CS15" s="126"/>
      <c r="CT15" s="126"/>
      <c r="CU15" s="59"/>
      <c r="CV15" s="56"/>
      <c r="CW15" s="56"/>
      <c r="CX15" s="59"/>
      <c r="CY15" s="99">
        <f t="shared" si="9"/>
        <v>0</v>
      </c>
      <c r="CZ15" s="58">
        <v>0</v>
      </c>
      <c r="DA15" s="126"/>
      <c r="DB15" s="3">
        <f t="shared" si="10"/>
        <v>0</v>
      </c>
      <c r="DC15" s="97">
        <f t="shared" si="11"/>
        <v>0</v>
      </c>
      <c r="DD15" s="59"/>
      <c r="DE15" s="95">
        <v>0</v>
      </c>
      <c r="DF15" s="64">
        <f t="shared" si="12"/>
        <v>0</v>
      </c>
      <c r="DG15" s="103">
        <f t="shared" si="13"/>
        <v>0.09</v>
      </c>
      <c r="DH15" s="65" t="str">
        <f t="shared" si="26"/>
        <v>Sí</v>
      </c>
      <c r="DI15" s="98">
        <f t="shared" si="15"/>
        <v>0.09</v>
      </c>
      <c r="DJ15" s="66"/>
    </row>
    <row r="16" spans="1:114" s="16" customFormat="1" x14ac:dyDescent="0.3">
      <c r="A16" s="49">
        <v>11</v>
      </c>
      <c r="B16" s="50">
        <v>1000109428</v>
      </c>
      <c r="C16" s="51" t="s">
        <v>76</v>
      </c>
      <c r="D16" s="51" t="e" vm="1">
        <f t="shared" ca="1" si="23"/>
        <v>#VALUE!</v>
      </c>
      <c r="E16" s="52" t="s">
        <v>96</v>
      </c>
      <c r="F16" s="53" t="s">
        <v>107</v>
      </c>
      <c r="G16" s="54">
        <v>0</v>
      </c>
      <c r="H16" s="54">
        <v>0</v>
      </c>
      <c r="I16" s="54"/>
      <c r="J16" s="54"/>
      <c r="K16" s="54"/>
      <c r="L16" s="54"/>
      <c r="M16" s="124"/>
      <c r="N16" s="38"/>
      <c r="O16" s="240" t="str">
        <f t="shared" si="16"/>
        <v>428</v>
      </c>
      <c r="P16" s="240">
        <v>26</v>
      </c>
      <c r="Q16" s="38" t="s">
        <v>152</v>
      </c>
      <c r="R16" s="186">
        <v>1</v>
      </c>
      <c r="S16" s="192" t="s">
        <v>151</v>
      </c>
      <c r="T16" s="55">
        <v>5</v>
      </c>
      <c r="U16" s="56">
        <v>5</v>
      </c>
      <c r="V16" s="56"/>
      <c r="W16" s="56"/>
      <c r="X16" s="56"/>
      <c r="Y16" s="56"/>
      <c r="Z16" s="56"/>
      <c r="AA16" s="56"/>
      <c r="AB16" s="56"/>
      <c r="AC16" s="56"/>
      <c r="AD16" s="56"/>
      <c r="AE16" s="56"/>
      <c r="AF16" s="56"/>
      <c r="AG16" s="56"/>
      <c r="AH16" s="56"/>
      <c r="AI16" s="57">
        <f t="shared" si="1"/>
        <v>5</v>
      </c>
      <c r="AJ16" s="58">
        <v>0</v>
      </c>
      <c r="AK16" s="59"/>
      <c r="AL16" s="56"/>
      <c r="AM16" s="59"/>
      <c r="AN16" s="59"/>
      <c r="AO16" s="59"/>
      <c r="AP16" s="59"/>
      <c r="AQ16" s="3">
        <f t="shared" si="2"/>
        <v>0</v>
      </c>
      <c r="AR16" s="58">
        <v>0</v>
      </c>
      <c r="AS16" s="59"/>
      <c r="AT16" s="3">
        <f t="shared" si="3"/>
        <v>0</v>
      </c>
      <c r="AU16" s="58" t="s">
        <v>32</v>
      </c>
      <c r="AV16" s="60"/>
      <c r="AW16" s="61">
        <f t="shared" si="4"/>
        <v>0.3</v>
      </c>
      <c r="AX16" s="55">
        <v>0</v>
      </c>
      <c r="AY16" s="56"/>
      <c r="AZ16" s="56"/>
      <c r="BA16" s="56"/>
      <c r="BB16" s="56"/>
      <c r="BC16" s="56"/>
      <c r="BD16" s="56"/>
      <c r="BE16" s="56"/>
      <c r="BF16" s="56"/>
      <c r="BG16" s="56"/>
      <c r="BH16" s="56"/>
      <c r="BI16" s="56"/>
      <c r="BJ16" s="56"/>
      <c r="BK16" s="56"/>
      <c r="BL16" s="56"/>
      <c r="BM16" s="62">
        <f t="shared" si="24"/>
        <v>0</v>
      </c>
      <c r="BN16" s="55">
        <v>0</v>
      </c>
      <c r="BO16" s="27"/>
      <c r="BP16" s="91"/>
      <c r="BQ16" s="91"/>
      <c r="BR16" s="27"/>
      <c r="BS16" s="27"/>
      <c r="BT16" s="27"/>
      <c r="BU16" s="63">
        <f t="shared" si="6"/>
        <v>0</v>
      </c>
      <c r="BV16" s="55">
        <v>0</v>
      </c>
      <c r="BW16" s="27"/>
      <c r="BX16" s="63">
        <f t="shared" si="7"/>
        <v>0</v>
      </c>
      <c r="BY16" s="90" t="s">
        <v>32</v>
      </c>
      <c r="BZ16" s="92"/>
      <c r="CA16" s="61">
        <f t="shared" si="8"/>
        <v>0</v>
      </c>
      <c r="CB16" s="55">
        <v>0</v>
      </c>
      <c r="CC16" s="56"/>
      <c r="CD16" s="59"/>
      <c r="CE16" s="56"/>
      <c r="CF16" s="56"/>
      <c r="CG16" s="56"/>
      <c r="CH16" s="56"/>
      <c r="CI16" s="56"/>
      <c r="CJ16" s="56"/>
      <c r="CK16" s="56"/>
      <c r="CL16" s="56"/>
      <c r="CM16" s="56"/>
      <c r="CN16" s="56"/>
      <c r="CO16" s="56"/>
      <c r="CP16" s="56"/>
      <c r="CQ16" s="62">
        <f t="shared" si="25"/>
        <v>0</v>
      </c>
      <c r="CR16" s="58">
        <v>0</v>
      </c>
      <c r="CS16" s="126"/>
      <c r="CT16" s="126"/>
      <c r="CU16" s="59"/>
      <c r="CV16" s="56"/>
      <c r="CW16" s="56"/>
      <c r="CX16" s="59"/>
      <c r="CY16" s="99">
        <f t="shared" si="9"/>
        <v>0</v>
      </c>
      <c r="CZ16" s="58">
        <v>0</v>
      </c>
      <c r="DA16" s="126"/>
      <c r="DB16" s="3">
        <f t="shared" si="10"/>
        <v>0</v>
      </c>
      <c r="DC16" s="97">
        <f t="shared" si="11"/>
        <v>0</v>
      </c>
      <c r="DD16" s="59"/>
      <c r="DE16" s="95">
        <v>0</v>
      </c>
      <c r="DF16" s="64">
        <f t="shared" si="12"/>
        <v>0</v>
      </c>
      <c r="DG16" s="103">
        <f t="shared" si="13"/>
        <v>0.09</v>
      </c>
      <c r="DH16" s="65" t="str">
        <f t="shared" si="26"/>
        <v>Sí</v>
      </c>
      <c r="DI16" s="98">
        <f t="shared" si="15"/>
        <v>0.09</v>
      </c>
      <c r="DJ16" s="66"/>
    </row>
    <row r="17" spans="1:114" s="16" customFormat="1" x14ac:dyDescent="0.3">
      <c r="A17" s="49">
        <v>12</v>
      </c>
      <c r="B17" s="50">
        <v>1000107929</v>
      </c>
      <c r="C17" s="51" t="s">
        <v>77</v>
      </c>
      <c r="D17" s="51" t="e" vm="1">
        <f t="shared" ca="1" si="23"/>
        <v>#VALUE!</v>
      </c>
      <c r="E17" s="52" t="s">
        <v>96</v>
      </c>
      <c r="F17" s="53" t="s">
        <v>108</v>
      </c>
      <c r="G17" s="54">
        <v>0</v>
      </c>
      <c r="H17" s="54">
        <v>0</v>
      </c>
      <c r="I17" s="54"/>
      <c r="J17" s="54"/>
      <c r="K17" s="54"/>
      <c r="L17" s="54"/>
      <c r="M17" s="124"/>
      <c r="N17" s="38"/>
      <c r="O17" s="240" t="str">
        <f t="shared" si="16"/>
        <v>929</v>
      </c>
      <c r="P17" s="240">
        <v>29</v>
      </c>
      <c r="Q17" s="38" t="s">
        <v>153</v>
      </c>
      <c r="R17" s="186">
        <v>2</v>
      </c>
      <c r="S17" s="192" t="s">
        <v>154</v>
      </c>
      <c r="T17" s="55">
        <v>5</v>
      </c>
      <c r="U17" s="56">
        <v>5</v>
      </c>
      <c r="V17" s="56"/>
      <c r="W17" s="56"/>
      <c r="X17" s="56"/>
      <c r="Y17" s="56"/>
      <c r="Z17" s="56"/>
      <c r="AA17" s="56"/>
      <c r="AB17" s="56"/>
      <c r="AC17" s="56"/>
      <c r="AD17" s="56"/>
      <c r="AE17" s="56"/>
      <c r="AF17" s="56"/>
      <c r="AG17" s="56"/>
      <c r="AH17" s="56"/>
      <c r="AI17" s="57">
        <f t="shared" si="1"/>
        <v>5</v>
      </c>
      <c r="AJ17" s="58">
        <v>0</v>
      </c>
      <c r="AK17" s="59"/>
      <c r="AL17" s="56"/>
      <c r="AM17" s="59"/>
      <c r="AN17" s="59"/>
      <c r="AO17" s="59"/>
      <c r="AP17" s="59"/>
      <c r="AQ17" s="3">
        <f t="shared" si="2"/>
        <v>0</v>
      </c>
      <c r="AR17" s="58">
        <v>0</v>
      </c>
      <c r="AS17" s="59"/>
      <c r="AT17" s="3">
        <f t="shared" si="3"/>
        <v>0</v>
      </c>
      <c r="AU17" s="58" t="s">
        <v>32</v>
      </c>
      <c r="AV17" s="60"/>
      <c r="AW17" s="61">
        <f t="shared" si="4"/>
        <v>0.3</v>
      </c>
      <c r="AX17" s="55">
        <v>0</v>
      </c>
      <c r="AY17" s="56"/>
      <c r="AZ17" s="56"/>
      <c r="BA17" s="56"/>
      <c r="BB17" s="56"/>
      <c r="BC17" s="56"/>
      <c r="BD17" s="56"/>
      <c r="BE17" s="56"/>
      <c r="BF17" s="56"/>
      <c r="BG17" s="56"/>
      <c r="BH17" s="56"/>
      <c r="BI17" s="56"/>
      <c r="BJ17" s="56"/>
      <c r="BK17" s="56"/>
      <c r="BL17" s="56"/>
      <c r="BM17" s="62">
        <f t="shared" si="24"/>
        <v>0</v>
      </c>
      <c r="BN17" s="55">
        <v>0</v>
      </c>
      <c r="BO17" s="27"/>
      <c r="BP17" s="91"/>
      <c r="BQ17" s="91"/>
      <c r="BR17" s="27"/>
      <c r="BS17" s="27"/>
      <c r="BT17" s="27"/>
      <c r="BU17" s="63">
        <f t="shared" si="6"/>
        <v>0</v>
      </c>
      <c r="BV17" s="55">
        <v>0</v>
      </c>
      <c r="BW17" s="27"/>
      <c r="BX17" s="63">
        <f t="shared" si="7"/>
        <v>0</v>
      </c>
      <c r="BY17" s="90" t="s">
        <v>32</v>
      </c>
      <c r="BZ17" s="92"/>
      <c r="CA17" s="61">
        <f t="shared" si="8"/>
        <v>0</v>
      </c>
      <c r="CB17" s="55">
        <v>0</v>
      </c>
      <c r="CC17" s="56"/>
      <c r="CD17" s="59"/>
      <c r="CE17" s="56"/>
      <c r="CF17" s="56"/>
      <c r="CG17" s="56"/>
      <c r="CH17" s="56"/>
      <c r="CI17" s="56"/>
      <c r="CJ17" s="56"/>
      <c r="CK17" s="56"/>
      <c r="CL17" s="56"/>
      <c r="CM17" s="56"/>
      <c r="CN17" s="56"/>
      <c r="CO17" s="56"/>
      <c r="CP17" s="56"/>
      <c r="CQ17" s="62">
        <f t="shared" si="25"/>
        <v>0</v>
      </c>
      <c r="CR17" s="58">
        <v>0</v>
      </c>
      <c r="CS17" s="126"/>
      <c r="CT17" s="126"/>
      <c r="CU17" s="59"/>
      <c r="CV17" s="56"/>
      <c r="CW17" s="56"/>
      <c r="CX17" s="59"/>
      <c r="CY17" s="99">
        <f t="shared" si="9"/>
        <v>0</v>
      </c>
      <c r="CZ17" s="58">
        <v>0</v>
      </c>
      <c r="DA17" s="126"/>
      <c r="DB17" s="3">
        <f t="shared" si="10"/>
        <v>0</v>
      </c>
      <c r="DC17" s="97">
        <f t="shared" si="11"/>
        <v>0</v>
      </c>
      <c r="DD17" s="59"/>
      <c r="DE17" s="95">
        <v>0</v>
      </c>
      <c r="DF17" s="64">
        <f t="shared" si="12"/>
        <v>0</v>
      </c>
      <c r="DG17" s="103">
        <f t="shared" si="13"/>
        <v>0.09</v>
      </c>
      <c r="DH17" s="65" t="str">
        <f t="shared" si="26"/>
        <v>Sí</v>
      </c>
      <c r="DI17" s="98">
        <f t="shared" si="15"/>
        <v>0.09</v>
      </c>
      <c r="DJ17" s="66"/>
    </row>
    <row r="18" spans="1:114" s="16" customFormat="1" x14ac:dyDescent="0.3">
      <c r="A18" s="49">
        <v>13</v>
      </c>
      <c r="B18" s="50">
        <v>1000110121</v>
      </c>
      <c r="C18" s="51" t="s">
        <v>78</v>
      </c>
      <c r="D18" s="51" t="e" vm="1">
        <f t="shared" ca="1" si="23"/>
        <v>#VALUE!</v>
      </c>
      <c r="E18" s="52" t="s">
        <v>96</v>
      </c>
      <c r="F18" s="53" t="s">
        <v>109</v>
      </c>
      <c r="G18" s="54">
        <v>0</v>
      </c>
      <c r="H18" s="54">
        <v>0</v>
      </c>
      <c r="I18" s="54"/>
      <c r="J18" s="54"/>
      <c r="K18" s="54"/>
      <c r="L18" s="54"/>
      <c r="M18" s="124"/>
      <c r="N18" s="38"/>
      <c r="O18" s="240" t="str">
        <f t="shared" si="16"/>
        <v>121</v>
      </c>
      <c r="P18" s="240">
        <v>19</v>
      </c>
      <c r="Q18" s="38" t="s">
        <v>164</v>
      </c>
      <c r="R18" s="186">
        <v>3</v>
      </c>
      <c r="S18" s="192" t="s">
        <v>163</v>
      </c>
      <c r="T18" s="55">
        <v>5</v>
      </c>
      <c r="U18" s="56">
        <v>5</v>
      </c>
      <c r="V18" s="56"/>
      <c r="W18" s="56"/>
      <c r="X18" s="56"/>
      <c r="Y18" s="56"/>
      <c r="Z18" s="56"/>
      <c r="AA18" s="56"/>
      <c r="AB18" s="56"/>
      <c r="AC18" s="56"/>
      <c r="AD18" s="56"/>
      <c r="AE18" s="56"/>
      <c r="AF18" s="56"/>
      <c r="AG18" s="56"/>
      <c r="AH18" s="56"/>
      <c r="AI18" s="57">
        <f t="shared" si="1"/>
        <v>5</v>
      </c>
      <c r="AJ18" s="58">
        <v>0</v>
      </c>
      <c r="AK18" s="59"/>
      <c r="AL18" s="56"/>
      <c r="AM18" s="59"/>
      <c r="AN18" s="59"/>
      <c r="AO18" s="59"/>
      <c r="AP18" s="59"/>
      <c r="AQ18" s="3">
        <f t="shared" si="2"/>
        <v>0</v>
      </c>
      <c r="AR18" s="58">
        <v>0</v>
      </c>
      <c r="AS18" s="59"/>
      <c r="AT18" s="3">
        <f t="shared" si="3"/>
        <v>0</v>
      </c>
      <c r="AU18" s="58" t="s">
        <v>32</v>
      </c>
      <c r="AV18" s="60"/>
      <c r="AW18" s="61">
        <f t="shared" si="4"/>
        <v>0.3</v>
      </c>
      <c r="AX18" s="55">
        <v>0</v>
      </c>
      <c r="AY18" s="56"/>
      <c r="AZ18" s="56"/>
      <c r="BA18" s="56"/>
      <c r="BB18" s="56"/>
      <c r="BC18" s="56"/>
      <c r="BD18" s="56"/>
      <c r="BE18" s="56"/>
      <c r="BF18" s="56"/>
      <c r="BG18" s="56"/>
      <c r="BH18" s="56"/>
      <c r="BI18" s="56"/>
      <c r="BJ18" s="56"/>
      <c r="BK18" s="56"/>
      <c r="BL18" s="56"/>
      <c r="BM18" s="62">
        <f t="shared" si="24"/>
        <v>0</v>
      </c>
      <c r="BN18" s="55">
        <v>0</v>
      </c>
      <c r="BO18" s="27"/>
      <c r="BP18" s="91"/>
      <c r="BQ18" s="91"/>
      <c r="BR18" s="27"/>
      <c r="BS18" s="27"/>
      <c r="BT18" s="27"/>
      <c r="BU18" s="63">
        <f t="shared" si="6"/>
        <v>0</v>
      </c>
      <c r="BV18" s="55">
        <v>0</v>
      </c>
      <c r="BW18" s="27"/>
      <c r="BX18" s="63">
        <f t="shared" si="7"/>
        <v>0</v>
      </c>
      <c r="BY18" s="90" t="s">
        <v>32</v>
      </c>
      <c r="BZ18" s="92"/>
      <c r="CA18" s="61">
        <f t="shared" si="8"/>
        <v>0</v>
      </c>
      <c r="CB18" s="55">
        <v>0</v>
      </c>
      <c r="CC18" s="56"/>
      <c r="CD18" s="59"/>
      <c r="CE18" s="56"/>
      <c r="CF18" s="56"/>
      <c r="CG18" s="56"/>
      <c r="CH18" s="56"/>
      <c r="CI18" s="56"/>
      <c r="CJ18" s="56"/>
      <c r="CK18" s="56"/>
      <c r="CL18" s="56"/>
      <c r="CM18" s="56"/>
      <c r="CN18" s="56"/>
      <c r="CO18" s="56"/>
      <c r="CP18" s="56"/>
      <c r="CQ18" s="62">
        <f t="shared" si="25"/>
        <v>0</v>
      </c>
      <c r="CR18" s="58">
        <v>0</v>
      </c>
      <c r="CS18" s="126"/>
      <c r="CT18" s="126"/>
      <c r="CU18" s="59"/>
      <c r="CV18" s="56"/>
      <c r="CW18" s="56"/>
      <c r="CX18" s="59"/>
      <c r="CY18" s="99">
        <f t="shared" si="9"/>
        <v>0</v>
      </c>
      <c r="CZ18" s="58">
        <v>0</v>
      </c>
      <c r="DA18" s="126"/>
      <c r="DB18" s="3">
        <f t="shared" si="10"/>
        <v>0</v>
      </c>
      <c r="DC18" s="97">
        <f t="shared" si="11"/>
        <v>0</v>
      </c>
      <c r="DD18" s="59"/>
      <c r="DE18" s="95">
        <v>0</v>
      </c>
      <c r="DF18" s="64">
        <f t="shared" si="12"/>
        <v>0</v>
      </c>
      <c r="DG18" s="103">
        <f t="shared" si="13"/>
        <v>0.09</v>
      </c>
      <c r="DH18" s="65" t="str">
        <f t="shared" si="26"/>
        <v>Sí</v>
      </c>
      <c r="DI18" s="98">
        <f t="shared" si="15"/>
        <v>0.09</v>
      </c>
      <c r="DJ18" s="66"/>
    </row>
    <row r="19" spans="1:114" s="16" customFormat="1" x14ac:dyDescent="0.3">
      <c r="A19" s="49">
        <v>14</v>
      </c>
      <c r="B19" s="50">
        <v>1000108372</v>
      </c>
      <c r="C19" s="51" t="s">
        <v>79</v>
      </c>
      <c r="D19" s="51" t="e" vm="1">
        <f t="shared" ca="1" si="23"/>
        <v>#VALUE!</v>
      </c>
      <c r="E19" s="52" t="s">
        <v>96</v>
      </c>
      <c r="F19" s="53" t="s">
        <v>110</v>
      </c>
      <c r="G19" s="54">
        <v>0</v>
      </c>
      <c r="H19" s="54">
        <v>0</v>
      </c>
      <c r="I19" s="54"/>
      <c r="J19" s="54"/>
      <c r="K19" s="54"/>
      <c r="L19" s="54"/>
      <c r="M19" s="124"/>
      <c r="N19" s="38"/>
      <c r="O19" s="240" t="str">
        <f t="shared" si="16"/>
        <v>372</v>
      </c>
      <c r="P19" s="240"/>
      <c r="Q19" s="38"/>
      <c r="R19" s="186"/>
      <c r="S19" s="154"/>
      <c r="T19" s="55">
        <v>5</v>
      </c>
      <c r="U19" s="56">
        <v>5</v>
      </c>
      <c r="V19" s="56"/>
      <c r="W19" s="56"/>
      <c r="X19" s="56"/>
      <c r="Y19" s="56"/>
      <c r="Z19" s="56"/>
      <c r="AA19" s="56"/>
      <c r="AB19" s="56"/>
      <c r="AC19" s="56"/>
      <c r="AD19" s="56"/>
      <c r="AE19" s="56"/>
      <c r="AF19" s="56"/>
      <c r="AG19" s="56"/>
      <c r="AH19" s="56"/>
      <c r="AI19" s="57">
        <f t="shared" si="1"/>
        <v>5</v>
      </c>
      <c r="AJ19" s="58">
        <v>0</v>
      </c>
      <c r="AK19" s="59"/>
      <c r="AL19" s="56"/>
      <c r="AM19" s="59"/>
      <c r="AN19" s="59"/>
      <c r="AO19" s="59"/>
      <c r="AP19" s="59"/>
      <c r="AQ19" s="3">
        <f t="shared" si="2"/>
        <v>0</v>
      </c>
      <c r="AR19" s="58">
        <v>0</v>
      </c>
      <c r="AS19" s="59"/>
      <c r="AT19" s="3">
        <f t="shared" si="3"/>
        <v>0</v>
      </c>
      <c r="AU19" s="58" t="s">
        <v>32</v>
      </c>
      <c r="AV19" s="60"/>
      <c r="AW19" s="61">
        <f t="shared" si="4"/>
        <v>0.3</v>
      </c>
      <c r="AX19" s="55">
        <v>0</v>
      </c>
      <c r="AY19" s="56"/>
      <c r="AZ19" s="56"/>
      <c r="BA19" s="56"/>
      <c r="BB19" s="56"/>
      <c r="BC19" s="56"/>
      <c r="BD19" s="56"/>
      <c r="BE19" s="56"/>
      <c r="BF19" s="56"/>
      <c r="BG19" s="56"/>
      <c r="BH19" s="56"/>
      <c r="BI19" s="56"/>
      <c r="BJ19" s="56"/>
      <c r="BK19" s="56"/>
      <c r="BL19" s="56"/>
      <c r="BM19" s="62">
        <f t="shared" si="24"/>
        <v>0</v>
      </c>
      <c r="BN19" s="55">
        <v>0</v>
      </c>
      <c r="BO19" s="27"/>
      <c r="BP19" s="91"/>
      <c r="BQ19" s="91"/>
      <c r="BR19" s="27"/>
      <c r="BS19" s="27"/>
      <c r="BT19" s="27"/>
      <c r="BU19" s="63">
        <f t="shared" si="6"/>
        <v>0</v>
      </c>
      <c r="BV19" s="55">
        <v>0</v>
      </c>
      <c r="BW19" s="27"/>
      <c r="BX19" s="63">
        <f t="shared" si="7"/>
        <v>0</v>
      </c>
      <c r="BY19" s="90" t="s">
        <v>32</v>
      </c>
      <c r="BZ19" s="92"/>
      <c r="CA19" s="61">
        <f t="shared" si="8"/>
        <v>0</v>
      </c>
      <c r="CB19" s="55">
        <v>0</v>
      </c>
      <c r="CC19" s="56"/>
      <c r="CD19" s="59"/>
      <c r="CE19" s="56"/>
      <c r="CF19" s="56"/>
      <c r="CG19" s="56"/>
      <c r="CH19" s="56"/>
      <c r="CI19" s="56"/>
      <c r="CJ19" s="56"/>
      <c r="CK19" s="56"/>
      <c r="CL19" s="56"/>
      <c r="CM19" s="56"/>
      <c r="CN19" s="56"/>
      <c r="CO19" s="56"/>
      <c r="CP19" s="56"/>
      <c r="CQ19" s="62">
        <f t="shared" si="25"/>
        <v>0</v>
      </c>
      <c r="CR19" s="58">
        <v>0</v>
      </c>
      <c r="CS19" s="126"/>
      <c r="CT19" s="126"/>
      <c r="CU19" s="59"/>
      <c r="CV19" s="56"/>
      <c r="CW19" s="56"/>
      <c r="CX19" s="59"/>
      <c r="CY19" s="99">
        <f t="shared" si="9"/>
        <v>0</v>
      </c>
      <c r="CZ19" s="58">
        <v>0</v>
      </c>
      <c r="DA19" s="126"/>
      <c r="DB19" s="3">
        <f t="shared" si="10"/>
        <v>0</v>
      </c>
      <c r="DC19" s="97">
        <f t="shared" si="11"/>
        <v>0</v>
      </c>
      <c r="DD19" s="59"/>
      <c r="DE19" s="95">
        <v>0</v>
      </c>
      <c r="DF19" s="64">
        <f t="shared" si="12"/>
        <v>0</v>
      </c>
      <c r="DG19" s="103">
        <f t="shared" si="13"/>
        <v>0.09</v>
      </c>
      <c r="DH19" s="65" t="str">
        <f t="shared" si="26"/>
        <v>Sí</v>
      </c>
      <c r="DI19" s="98">
        <f t="shared" si="15"/>
        <v>0.09</v>
      </c>
      <c r="DJ19" s="66"/>
    </row>
    <row r="20" spans="1:114" s="16" customFormat="1" x14ac:dyDescent="0.3">
      <c r="A20" s="49">
        <v>15</v>
      </c>
      <c r="B20" s="50">
        <v>1000105722</v>
      </c>
      <c r="C20" s="51" t="s">
        <v>156</v>
      </c>
      <c r="D20" s="51" t="e" vm="1">
        <f t="shared" ca="1" si="23"/>
        <v>#VALUE!</v>
      </c>
      <c r="E20" s="52" t="s">
        <v>96</v>
      </c>
      <c r="F20" s="53" t="s">
        <v>111</v>
      </c>
      <c r="G20" s="54">
        <v>0</v>
      </c>
      <c r="H20" s="54">
        <v>0</v>
      </c>
      <c r="I20" s="54"/>
      <c r="J20" s="54"/>
      <c r="K20" s="54"/>
      <c r="L20" s="54"/>
      <c r="M20" s="124"/>
      <c r="N20" s="38"/>
      <c r="O20" s="240" t="str">
        <f t="shared" si="16"/>
        <v>722</v>
      </c>
      <c r="P20" s="240">
        <v>26</v>
      </c>
      <c r="Q20" s="38" t="s">
        <v>152</v>
      </c>
      <c r="R20" s="186">
        <v>1</v>
      </c>
      <c r="S20" s="192" t="s">
        <v>151</v>
      </c>
      <c r="T20" s="55">
        <v>5</v>
      </c>
      <c r="U20" s="56">
        <v>5</v>
      </c>
      <c r="V20" s="56"/>
      <c r="W20" s="56"/>
      <c r="X20" s="56"/>
      <c r="Y20" s="56"/>
      <c r="Z20" s="56"/>
      <c r="AA20" s="56"/>
      <c r="AB20" s="56"/>
      <c r="AC20" s="56"/>
      <c r="AD20" s="56"/>
      <c r="AE20" s="56"/>
      <c r="AF20" s="56"/>
      <c r="AG20" s="56"/>
      <c r="AH20" s="56"/>
      <c r="AI20" s="57">
        <f t="shared" si="1"/>
        <v>5</v>
      </c>
      <c r="AJ20" s="58">
        <v>0</v>
      </c>
      <c r="AK20" s="59"/>
      <c r="AL20" s="56"/>
      <c r="AM20" s="59"/>
      <c r="AN20" s="59"/>
      <c r="AO20" s="59"/>
      <c r="AP20" s="59"/>
      <c r="AQ20" s="3">
        <f t="shared" si="2"/>
        <v>0</v>
      </c>
      <c r="AR20" s="58">
        <v>0</v>
      </c>
      <c r="AS20" s="59"/>
      <c r="AT20" s="3">
        <f t="shared" si="3"/>
        <v>0</v>
      </c>
      <c r="AU20" s="58" t="s">
        <v>32</v>
      </c>
      <c r="AV20" s="60"/>
      <c r="AW20" s="61">
        <f t="shared" si="4"/>
        <v>0.3</v>
      </c>
      <c r="AX20" s="55">
        <v>0</v>
      </c>
      <c r="AY20" s="56"/>
      <c r="AZ20" s="56"/>
      <c r="BA20" s="56"/>
      <c r="BB20" s="56"/>
      <c r="BC20" s="56"/>
      <c r="BD20" s="56"/>
      <c r="BE20" s="56"/>
      <c r="BF20" s="56"/>
      <c r="BG20" s="56"/>
      <c r="BH20" s="56"/>
      <c r="BI20" s="56"/>
      <c r="BJ20" s="56"/>
      <c r="BK20" s="56"/>
      <c r="BL20" s="56"/>
      <c r="BM20" s="62">
        <f t="shared" si="24"/>
        <v>0</v>
      </c>
      <c r="BN20" s="55">
        <v>0</v>
      </c>
      <c r="BO20" s="27"/>
      <c r="BP20" s="91"/>
      <c r="BQ20" s="91"/>
      <c r="BR20" s="27"/>
      <c r="BS20" s="27"/>
      <c r="BT20" s="27"/>
      <c r="BU20" s="63">
        <f t="shared" si="6"/>
        <v>0</v>
      </c>
      <c r="BV20" s="55">
        <v>0</v>
      </c>
      <c r="BW20" s="27"/>
      <c r="BX20" s="63">
        <f t="shared" si="7"/>
        <v>0</v>
      </c>
      <c r="BY20" s="90" t="s">
        <v>32</v>
      </c>
      <c r="BZ20" s="92"/>
      <c r="CA20" s="61">
        <f t="shared" si="8"/>
        <v>0</v>
      </c>
      <c r="CB20" s="55">
        <v>0</v>
      </c>
      <c r="CC20" s="56"/>
      <c r="CD20" s="59"/>
      <c r="CE20" s="56"/>
      <c r="CF20" s="56"/>
      <c r="CG20" s="56"/>
      <c r="CH20" s="56"/>
      <c r="CI20" s="56"/>
      <c r="CJ20" s="56"/>
      <c r="CK20" s="56"/>
      <c r="CL20" s="56"/>
      <c r="CM20" s="56"/>
      <c r="CN20" s="56"/>
      <c r="CO20" s="56"/>
      <c r="CP20" s="56"/>
      <c r="CQ20" s="62">
        <f t="shared" si="25"/>
        <v>0</v>
      </c>
      <c r="CR20" s="58">
        <v>0</v>
      </c>
      <c r="CS20" s="126"/>
      <c r="CT20" s="126"/>
      <c r="CU20" s="59"/>
      <c r="CV20" s="56"/>
      <c r="CW20" s="56"/>
      <c r="CX20" s="59"/>
      <c r="CY20" s="99">
        <f t="shared" si="9"/>
        <v>0</v>
      </c>
      <c r="CZ20" s="58">
        <v>0</v>
      </c>
      <c r="DA20" s="126"/>
      <c r="DB20" s="3">
        <f t="shared" si="10"/>
        <v>0</v>
      </c>
      <c r="DC20" s="97">
        <f t="shared" si="11"/>
        <v>0</v>
      </c>
      <c r="DD20" s="59"/>
      <c r="DE20" s="95">
        <v>0</v>
      </c>
      <c r="DF20" s="64">
        <f t="shared" si="12"/>
        <v>0</v>
      </c>
      <c r="DG20" s="103">
        <f t="shared" si="13"/>
        <v>0.09</v>
      </c>
      <c r="DH20" s="65" t="str">
        <f t="shared" si="26"/>
        <v>Sí</v>
      </c>
      <c r="DI20" s="98">
        <f t="shared" si="15"/>
        <v>0.09</v>
      </c>
    </row>
    <row r="21" spans="1:114" s="16" customFormat="1" x14ac:dyDescent="0.3">
      <c r="A21" s="49">
        <v>16</v>
      </c>
      <c r="B21" s="50">
        <v>1000110199</v>
      </c>
      <c r="C21" s="51" t="s">
        <v>81</v>
      </c>
      <c r="D21" s="51" t="e" vm="1">
        <f t="shared" ca="1" si="23"/>
        <v>#VALUE!</v>
      </c>
      <c r="E21" s="52" t="s">
        <v>96</v>
      </c>
      <c r="F21" s="53" t="s">
        <v>112</v>
      </c>
      <c r="G21" s="54">
        <v>0</v>
      </c>
      <c r="H21" s="54">
        <v>0</v>
      </c>
      <c r="I21" s="54"/>
      <c r="J21" s="54"/>
      <c r="K21" s="54"/>
      <c r="L21" s="54"/>
      <c r="M21" s="124"/>
      <c r="N21" s="38"/>
      <c r="O21" s="240" t="str">
        <f t="shared" si="16"/>
        <v>199</v>
      </c>
      <c r="P21" s="240"/>
      <c r="Q21" s="38"/>
      <c r="R21" s="186"/>
      <c r="S21" s="154"/>
      <c r="T21" s="55">
        <v>5</v>
      </c>
      <c r="U21" s="56">
        <v>5</v>
      </c>
      <c r="V21" s="56"/>
      <c r="W21" s="56"/>
      <c r="X21" s="56"/>
      <c r="Y21" s="56"/>
      <c r="Z21" s="56"/>
      <c r="AA21" s="56"/>
      <c r="AB21" s="56"/>
      <c r="AC21" s="56"/>
      <c r="AD21" s="56"/>
      <c r="AE21" s="56"/>
      <c r="AF21" s="56"/>
      <c r="AG21" s="56"/>
      <c r="AH21" s="56"/>
      <c r="AI21" s="57">
        <f t="shared" si="1"/>
        <v>5</v>
      </c>
      <c r="AJ21" s="58">
        <v>0</v>
      </c>
      <c r="AK21" s="59"/>
      <c r="AL21" s="56"/>
      <c r="AM21" s="59"/>
      <c r="AN21" s="59"/>
      <c r="AO21" s="59"/>
      <c r="AP21" s="59"/>
      <c r="AQ21" s="3">
        <f t="shared" si="2"/>
        <v>0</v>
      </c>
      <c r="AR21" s="58">
        <v>0</v>
      </c>
      <c r="AS21" s="59"/>
      <c r="AT21" s="3">
        <f t="shared" si="3"/>
        <v>0</v>
      </c>
      <c r="AU21" s="58" t="s">
        <v>32</v>
      </c>
      <c r="AV21" s="60"/>
      <c r="AW21" s="61">
        <f t="shared" si="4"/>
        <v>0.3</v>
      </c>
      <c r="AX21" s="55">
        <v>0</v>
      </c>
      <c r="AY21" s="56"/>
      <c r="AZ21" s="56"/>
      <c r="BA21" s="56"/>
      <c r="BB21" s="56"/>
      <c r="BC21" s="56"/>
      <c r="BD21" s="56"/>
      <c r="BE21" s="56"/>
      <c r="BF21" s="56"/>
      <c r="BG21" s="56"/>
      <c r="BH21" s="56"/>
      <c r="BI21" s="56"/>
      <c r="BJ21" s="56"/>
      <c r="BK21" s="56"/>
      <c r="BL21" s="56"/>
      <c r="BM21" s="62">
        <f t="shared" si="24"/>
        <v>0</v>
      </c>
      <c r="BN21" s="55">
        <v>0</v>
      </c>
      <c r="BO21" s="27"/>
      <c r="BP21" s="91"/>
      <c r="BQ21" s="91"/>
      <c r="BR21" s="27"/>
      <c r="BS21" s="27"/>
      <c r="BT21" s="27"/>
      <c r="BU21" s="63">
        <f t="shared" si="6"/>
        <v>0</v>
      </c>
      <c r="BV21" s="55">
        <v>0</v>
      </c>
      <c r="BW21" s="27"/>
      <c r="BX21" s="63">
        <f t="shared" si="7"/>
        <v>0</v>
      </c>
      <c r="BY21" s="90" t="s">
        <v>32</v>
      </c>
      <c r="BZ21" s="92"/>
      <c r="CA21" s="61">
        <f t="shared" si="8"/>
        <v>0</v>
      </c>
      <c r="CB21" s="55">
        <v>0</v>
      </c>
      <c r="CC21" s="56"/>
      <c r="CD21" s="59"/>
      <c r="CE21" s="56"/>
      <c r="CF21" s="56"/>
      <c r="CG21" s="56"/>
      <c r="CH21" s="56"/>
      <c r="CI21" s="56"/>
      <c r="CJ21" s="56"/>
      <c r="CK21" s="56"/>
      <c r="CL21" s="56"/>
      <c r="CM21" s="56"/>
      <c r="CN21" s="56"/>
      <c r="CO21" s="56"/>
      <c r="CP21" s="56"/>
      <c r="CQ21" s="62">
        <f t="shared" si="25"/>
        <v>0</v>
      </c>
      <c r="CR21" s="58">
        <v>0</v>
      </c>
      <c r="CS21" s="126"/>
      <c r="CT21" s="126"/>
      <c r="CU21" s="59"/>
      <c r="CV21" s="56"/>
      <c r="CW21" s="56"/>
      <c r="CX21" s="59"/>
      <c r="CY21" s="99">
        <f t="shared" si="9"/>
        <v>0</v>
      </c>
      <c r="CZ21" s="58">
        <v>0</v>
      </c>
      <c r="DA21" s="126"/>
      <c r="DB21" s="3">
        <f t="shared" si="10"/>
        <v>0</v>
      </c>
      <c r="DC21" s="97">
        <f t="shared" si="11"/>
        <v>0</v>
      </c>
      <c r="DD21" s="59"/>
      <c r="DE21" s="95">
        <v>0</v>
      </c>
      <c r="DF21" s="64">
        <f t="shared" si="12"/>
        <v>0</v>
      </c>
      <c r="DG21" s="103">
        <f t="shared" si="13"/>
        <v>0.09</v>
      </c>
      <c r="DH21" s="65" t="str">
        <f t="shared" si="26"/>
        <v>Sí</v>
      </c>
      <c r="DI21" s="98">
        <f t="shared" si="15"/>
        <v>0.09</v>
      </c>
    </row>
    <row r="22" spans="1:114" s="16" customFormat="1" x14ac:dyDescent="0.3">
      <c r="A22" s="49">
        <v>17</v>
      </c>
      <c r="B22" s="50">
        <v>1000100409</v>
      </c>
      <c r="C22" s="51" t="s">
        <v>82</v>
      </c>
      <c r="D22" s="51" t="e" vm="1">
        <f t="shared" ca="1" si="23"/>
        <v>#VALUE!</v>
      </c>
      <c r="E22" s="52" t="s">
        <v>96</v>
      </c>
      <c r="F22" s="53" t="s">
        <v>113</v>
      </c>
      <c r="G22" s="54">
        <v>0</v>
      </c>
      <c r="H22" s="54">
        <v>0</v>
      </c>
      <c r="I22" s="54"/>
      <c r="J22" s="54"/>
      <c r="K22" s="54"/>
      <c r="L22" s="54"/>
      <c r="M22" s="124"/>
      <c r="N22" s="38"/>
      <c r="O22" s="240" t="str">
        <f t="shared" si="16"/>
        <v>409</v>
      </c>
      <c r="P22" s="240"/>
      <c r="Q22" s="38"/>
      <c r="R22" s="186"/>
      <c r="S22" s="154"/>
      <c r="T22" s="55">
        <v>5</v>
      </c>
      <c r="U22" s="56">
        <v>5</v>
      </c>
      <c r="V22" s="56"/>
      <c r="W22" s="56"/>
      <c r="X22" s="56"/>
      <c r="Y22" s="56"/>
      <c r="Z22" s="56"/>
      <c r="AA22" s="56"/>
      <c r="AB22" s="56"/>
      <c r="AC22" s="56"/>
      <c r="AD22" s="56"/>
      <c r="AE22" s="56"/>
      <c r="AF22" s="56"/>
      <c r="AG22" s="56"/>
      <c r="AH22" s="56"/>
      <c r="AI22" s="57">
        <f t="shared" si="1"/>
        <v>5</v>
      </c>
      <c r="AJ22" s="58">
        <v>0</v>
      </c>
      <c r="AK22" s="59"/>
      <c r="AL22" s="56"/>
      <c r="AM22" s="59"/>
      <c r="AN22" s="59"/>
      <c r="AO22" s="59"/>
      <c r="AP22" s="59"/>
      <c r="AQ22" s="3">
        <f t="shared" si="2"/>
        <v>0</v>
      </c>
      <c r="AR22" s="58">
        <v>0</v>
      </c>
      <c r="AS22" s="59"/>
      <c r="AT22" s="3">
        <f t="shared" si="3"/>
        <v>0</v>
      </c>
      <c r="AU22" s="58" t="s">
        <v>32</v>
      </c>
      <c r="AV22" s="60"/>
      <c r="AW22" s="61">
        <f t="shared" si="4"/>
        <v>0.3</v>
      </c>
      <c r="AX22" s="55">
        <v>0</v>
      </c>
      <c r="AY22" s="56"/>
      <c r="AZ22" s="56"/>
      <c r="BA22" s="56"/>
      <c r="BB22" s="56"/>
      <c r="BC22" s="56"/>
      <c r="BD22" s="56"/>
      <c r="BE22" s="56"/>
      <c r="BF22" s="56"/>
      <c r="BG22" s="56"/>
      <c r="BH22" s="56"/>
      <c r="BI22" s="56"/>
      <c r="BJ22" s="56"/>
      <c r="BK22" s="56"/>
      <c r="BL22" s="56"/>
      <c r="BM22" s="62">
        <f t="shared" si="24"/>
        <v>0</v>
      </c>
      <c r="BN22" s="55">
        <v>0</v>
      </c>
      <c r="BO22" s="27"/>
      <c r="BP22" s="91"/>
      <c r="BQ22" s="91"/>
      <c r="BR22" s="27"/>
      <c r="BS22" s="27"/>
      <c r="BT22" s="27"/>
      <c r="BU22" s="63">
        <f t="shared" si="6"/>
        <v>0</v>
      </c>
      <c r="BV22" s="55">
        <v>0</v>
      </c>
      <c r="BW22" s="27"/>
      <c r="BX22" s="63">
        <f t="shared" si="7"/>
        <v>0</v>
      </c>
      <c r="BY22" s="90" t="s">
        <v>32</v>
      </c>
      <c r="BZ22" s="92"/>
      <c r="CA22" s="61">
        <f t="shared" si="8"/>
        <v>0</v>
      </c>
      <c r="CB22" s="55">
        <v>0</v>
      </c>
      <c r="CC22" s="56"/>
      <c r="CD22" s="59"/>
      <c r="CE22" s="56"/>
      <c r="CF22" s="56"/>
      <c r="CG22" s="56"/>
      <c r="CH22" s="56"/>
      <c r="CI22" s="56"/>
      <c r="CJ22" s="56"/>
      <c r="CK22" s="56"/>
      <c r="CL22" s="56"/>
      <c r="CM22" s="56"/>
      <c r="CN22" s="56"/>
      <c r="CO22" s="56"/>
      <c r="CP22" s="56"/>
      <c r="CQ22" s="62">
        <f t="shared" si="25"/>
        <v>0</v>
      </c>
      <c r="CR22" s="58">
        <v>0</v>
      </c>
      <c r="CS22" s="126"/>
      <c r="CT22" s="126"/>
      <c r="CU22" s="59"/>
      <c r="CV22" s="56"/>
      <c r="CW22" s="56"/>
      <c r="CX22" s="59"/>
      <c r="CY22" s="99">
        <f t="shared" si="9"/>
        <v>0</v>
      </c>
      <c r="CZ22" s="58">
        <v>0</v>
      </c>
      <c r="DA22" s="126"/>
      <c r="DB22" s="3">
        <f t="shared" si="10"/>
        <v>0</v>
      </c>
      <c r="DC22" s="97">
        <f t="shared" si="11"/>
        <v>0</v>
      </c>
      <c r="DD22" s="59"/>
      <c r="DE22" s="95">
        <v>0</v>
      </c>
      <c r="DF22" s="64">
        <f t="shared" si="12"/>
        <v>0</v>
      </c>
      <c r="DG22" s="103">
        <f t="shared" si="13"/>
        <v>0.09</v>
      </c>
      <c r="DH22" s="65" t="str">
        <f t="shared" si="26"/>
        <v>Sí</v>
      </c>
      <c r="DI22" s="98">
        <f t="shared" si="15"/>
        <v>0.09</v>
      </c>
    </row>
    <row r="23" spans="1:114" s="16" customFormat="1" x14ac:dyDescent="0.3">
      <c r="A23" s="49">
        <v>18</v>
      </c>
      <c r="B23" s="50">
        <v>1000044286</v>
      </c>
      <c r="C23" s="51" t="s">
        <v>83</v>
      </c>
      <c r="D23" s="51" t="e" vm="1">
        <f t="shared" ca="1" si="23"/>
        <v>#VALUE!</v>
      </c>
      <c r="E23" s="52" t="s">
        <v>96</v>
      </c>
      <c r="F23" s="53" t="s">
        <v>114</v>
      </c>
      <c r="G23" s="54">
        <v>0</v>
      </c>
      <c r="H23" s="54">
        <v>0</v>
      </c>
      <c r="I23" s="54"/>
      <c r="J23" s="54"/>
      <c r="K23" s="54"/>
      <c r="L23" s="54"/>
      <c r="M23" s="124"/>
      <c r="N23" s="38"/>
      <c r="O23" s="240" t="str">
        <f t="shared" si="16"/>
        <v>286</v>
      </c>
      <c r="P23" s="240"/>
      <c r="Q23" s="38"/>
      <c r="R23" s="186"/>
      <c r="S23" s="154"/>
      <c r="T23" s="55">
        <v>5</v>
      </c>
      <c r="U23" s="56">
        <v>5</v>
      </c>
      <c r="V23" s="56"/>
      <c r="W23" s="56"/>
      <c r="X23" s="56"/>
      <c r="Y23" s="56"/>
      <c r="Z23" s="56"/>
      <c r="AA23" s="56"/>
      <c r="AB23" s="56"/>
      <c r="AC23" s="56"/>
      <c r="AD23" s="56"/>
      <c r="AE23" s="56"/>
      <c r="AF23" s="56"/>
      <c r="AG23" s="56"/>
      <c r="AH23" s="56"/>
      <c r="AI23" s="57">
        <f t="shared" si="1"/>
        <v>5</v>
      </c>
      <c r="AJ23" s="58">
        <v>0</v>
      </c>
      <c r="AK23" s="59"/>
      <c r="AL23" s="56"/>
      <c r="AM23" s="59"/>
      <c r="AN23" s="59"/>
      <c r="AO23" s="59"/>
      <c r="AP23" s="59"/>
      <c r="AQ23" s="3">
        <f t="shared" si="2"/>
        <v>0</v>
      </c>
      <c r="AR23" s="58">
        <v>0</v>
      </c>
      <c r="AS23" s="59"/>
      <c r="AT23" s="3">
        <f t="shared" si="3"/>
        <v>0</v>
      </c>
      <c r="AU23" s="58" t="s">
        <v>32</v>
      </c>
      <c r="AV23" s="60"/>
      <c r="AW23" s="61">
        <f t="shared" si="4"/>
        <v>0.3</v>
      </c>
      <c r="AX23" s="55">
        <v>0</v>
      </c>
      <c r="AY23" s="56"/>
      <c r="AZ23" s="56"/>
      <c r="BA23" s="56"/>
      <c r="BB23" s="56"/>
      <c r="BC23" s="56"/>
      <c r="BD23" s="56"/>
      <c r="BE23" s="56"/>
      <c r="BF23" s="56"/>
      <c r="BG23" s="56"/>
      <c r="BH23" s="56"/>
      <c r="BI23" s="56"/>
      <c r="BJ23" s="56"/>
      <c r="BK23" s="56"/>
      <c r="BL23" s="56"/>
      <c r="BM23" s="62">
        <f t="shared" si="24"/>
        <v>0</v>
      </c>
      <c r="BN23" s="55">
        <v>0</v>
      </c>
      <c r="BO23" s="27"/>
      <c r="BP23" s="91"/>
      <c r="BQ23" s="91"/>
      <c r="BR23" s="27"/>
      <c r="BS23" s="27"/>
      <c r="BT23" s="27"/>
      <c r="BU23" s="63">
        <f t="shared" si="6"/>
        <v>0</v>
      </c>
      <c r="BV23" s="55">
        <v>0</v>
      </c>
      <c r="BW23" s="27"/>
      <c r="BX23" s="63">
        <f t="shared" si="7"/>
        <v>0</v>
      </c>
      <c r="BY23" s="90" t="s">
        <v>32</v>
      </c>
      <c r="BZ23" s="92"/>
      <c r="CA23" s="61">
        <f t="shared" si="8"/>
        <v>0</v>
      </c>
      <c r="CB23" s="55">
        <v>0</v>
      </c>
      <c r="CC23" s="56"/>
      <c r="CD23" s="59"/>
      <c r="CE23" s="56"/>
      <c r="CF23" s="56"/>
      <c r="CG23" s="56"/>
      <c r="CH23" s="56"/>
      <c r="CI23" s="56"/>
      <c r="CJ23" s="56"/>
      <c r="CK23" s="56"/>
      <c r="CL23" s="56"/>
      <c r="CM23" s="56"/>
      <c r="CN23" s="56"/>
      <c r="CO23" s="56"/>
      <c r="CP23" s="56"/>
      <c r="CQ23" s="62">
        <f t="shared" si="25"/>
        <v>0</v>
      </c>
      <c r="CR23" s="58">
        <v>0</v>
      </c>
      <c r="CS23" s="126"/>
      <c r="CT23" s="126"/>
      <c r="CU23" s="59"/>
      <c r="CV23" s="56"/>
      <c r="CW23" s="56"/>
      <c r="CX23" s="59"/>
      <c r="CY23" s="99">
        <f t="shared" si="9"/>
        <v>0</v>
      </c>
      <c r="CZ23" s="58">
        <v>0</v>
      </c>
      <c r="DA23" s="126"/>
      <c r="DB23" s="3">
        <f t="shared" si="10"/>
        <v>0</v>
      </c>
      <c r="DC23" s="97">
        <f t="shared" si="11"/>
        <v>0</v>
      </c>
      <c r="DD23" s="59"/>
      <c r="DE23" s="95">
        <v>0</v>
      </c>
      <c r="DF23" s="64">
        <f t="shared" si="12"/>
        <v>0</v>
      </c>
      <c r="DG23" s="103">
        <f t="shared" si="13"/>
        <v>0.09</v>
      </c>
      <c r="DH23" s="65" t="str">
        <f t="shared" si="26"/>
        <v>Sí</v>
      </c>
      <c r="DI23" s="98">
        <f t="shared" si="15"/>
        <v>0.09</v>
      </c>
    </row>
    <row r="24" spans="1:114" s="16" customFormat="1" x14ac:dyDescent="0.3">
      <c r="A24" s="49">
        <v>19</v>
      </c>
      <c r="B24" s="50">
        <v>1000108881</v>
      </c>
      <c r="C24" s="51" t="s">
        <v>84</v>
      </c>
      <c r="D24" s="51" t="e" vm="1">
        <f ca="1">_xlfn.IMAGE(_xlfn.CONCAT("https://github.com/rcfdtools/R.TeachingResearchGuide/blob/main/CaseUse/.student/",B24,".jpg?raw=true"))</f>
        <v>#VALUE!</v>
      </c>
      <c r="E24" s="52" t="s">
        <v>96</v>
      </c>
      <c r="F24" s="53" t="s">
        <v>115</v>
      </c>
      <c r="G24" s="54">
        <v>0</v>
      </c>
      <c r="H24" s="54">
        <v>0</v>
      </c>
      <c r="I24" s="54"/>
      <c r="J24" s="54"/>
      <c r="K24" s="54"/>
      <c r="L24" s="54"/>
      <c r="M24" s="124"/>
      <c r="N24" s="38"/>
      <c r="O24" s="240" t="str">
        <f t="shared" si="16"/>
        <v>881</v>
      </c>
      <c r="P24" s="240">
        <v>26</v>
      </c>
      <c r="Q24" s="38" t="s">
        <v>152</v>
      </c>
      <c r="R24" s="186">
        <v>1</v>
      </c>
      <c r="S24" s="192" t="s">
        <v>151</v>
      </c>
      <c r="T24" s="55">
        <v>5</v>
      </c>
      <c r="U24" s="56">
        <v>5</v>
      </c>
      <c r="V24" s="56"/>
      <c r="W24" s="56"/>
      <c r="X24" s="56"/>
      <c r="Y24" s="56"/>
      <c r="Z24" s="56"/>
      <c r="AA24" s="56"/>
      <c r="AB24" s="56"/>
      <c r="AC24" s="56"/>
      <c r="AD24" s="56"/>
      <c r="AE24" s="56"/>
      <c r="AF24" s="56"/>
      <c r="AG24" s="56"/>
      <c r="AH24" s="56"/>
      <c r="AI24" s="57">
        <f t="shared" si="1"/>
        <v>5</v>
      </c>
      <c r="AJ24" s="58">
        <v>0</v>
      </c>
      <c r="AK24" s="59"/>
      <c r="AL24" s="56"/>
      <c r="AM24" s="59"/>
      <c r="AN24" s="59"/>
      <c r="AO24" s="59"/>
      <c r="AP24" s="59"/>
      <c r="AQ24" s="3">
        <f t="shared" si="2"/>
        <v>0</v>
      </c>
      <c r="AR24" s="58">
        <v>0</v>
      </c>
      <c r="AS24" s="59"/>
      <c r="AT24" s="3">
        <f t="shared" si="3"/>
        <v>0</v>
      </c>
      <c r="AU24" s="58" t="s">
        <v>32</v>
      </c>
      <c r="AV24" s="60"/>
      <c r="AW24" s="61">
        <f t="shared" si="4"/>
        <v>0.3</v>
      </c>
      <c r="AX24" s="55">
        <v>0</v>
      </c>
      <c r="AY24" s="56"/>
      <c r="AZ24" s="56"/>
      <c r="BA24" s="56"/>
      <c r="BB24" s="56"/>
      <c r="BC24" s="56"/>
      <c r="BD24" s="56"/>
      <c r="BE24" s="56"/>
      <c r="BF24" s="56"/>
      <c r="BG24" s="56"/>
      <c r="BH24" s="56"/>
      <c r="BI24" s="56"/>
      <c r="BJ24" s="56"/>
      <c r="BK24" s="56"/>
      <c r="BL24" s="56"/>
      <c r="BM24" s="62">
        <f t="shared" si="24"/>
        <v>0</v>
      </c>
      <c r="BN24" s="55">
        <v>0</v>
      </c>
      <c r="BO24" s="27"/>
      <c r="BP24" s="91"/>
      <c r="BQ24" s="91"/>
      <c r="BR24" s="27"/>
      <c r="BS24" s="27"/>
      <c r="BT24" s="27"/>
      <c r="BU24" s="63">
        <f t="shared" si="6"/>
        <v>0</v>
      </c>
      <c r="BV24" s="55">
        <v>0</v>
      </c>
      <c r="BW24" s="27"/>
      <c r="BX24" s="63">
        <f t="shared" si="7"/>
        <v>0</v>
      </c>
      <c r="BY24" s="90" t="s">
        <v>32</v>
      </c>
      <c r="BZ24" s="92"/>
      <c r="CA24" s="61">
        <f t="shared" si="8"/>
        <v>0</v>
      </c>
      <c r="CB24" s="55">
        <v>0</v>
      </c>
      <c r="CC24" s="56"/>
      <c r="CD24" s="59"/>
      <c r="CE24" s="56"/>
      <c r="CF24" s="56"/>
      <c r="CG24" s="56"/>
      <c r="CH24" s="56"/>
      <c r="CI24" s="56"/>
      <c r="CJ24" s="56"/>
      <c r="CK24" s="56"/>
      <c r="CL24" s="56"/>
      <c r="CM24" s="56"/>
      <c r="CN24" s="56"/>
      <c r="CO24" s="56"/>
      <c r="CP24" s="56"/>
      <c r="CQ24" s="62">
        <f t="shared" si="25"/>
        <v>0</v>
      </c>
      <c r="CR24" s="58">
        <v>0</v>
      </c>
      <c r="CS24" s="126"/>
      <c r="CT24" s="126"/>
      <c r="CU24" s="59"/>
      <c r="CV24" s="56"/>
      <c r="CW24" s="56"/>
      <c r="CX24" s="59"/>
      <c r="CY24" s="99">
        <f t="shared" si="9"/>
        <v>0</v>
      </c>
      <c r="CZ24" s="58">
        <v>0</v>
      </c>
      <c r="DA24" s="126"/>
      <c r="DB24" s="3">
        <f t="shared" si="10"/>
        <v>0</v>
      </c>
      <c r="DC24" s="97">
        <f t="shared" si="11"/>
        <v>0</v>
      </c>
      <c r="DD24" s="59"/>
      <c r="DE24" s="95">
        <v>0</v>
      </c>
      <c r="DF24" s="64">
        <f t="shared" si="12"/>
        <v>0</v>
      </c>
      <c r="DG24" s="103">
        <f t="shared" si="13"/>
        <v>0.09</v>
      </c>
      <c r="DH24" s="65" t="str">
        <f t="shared" si="26"/>
        <v>Sí</v>
      </c>
      <c r="DI24" s="98">
        <f t="shared" si="15"/>
        <v>0.09</v>
      </c>
    </row>
    <row r="25" spans="1:114" s="16" customFormat="1" x14ac:dyDescent="0.3">
      <c r="A25" s="49">
        <v>20</v>
      </c>
      <c r="B25" s="50">
        <v>1000109238</v>
      </c>
      <c r="C25" s="51" t="s">
        <v>85</v>
      </c>
      <c r="D25" s="51" t="e" vm="1">
        <f t="shared" ca="1" si="23"/>
        <v>#VALUE!</v>
      </c>
      <c r="E25" s="52" t="s">
        <v>96</v>
      </c>
      <c r="F25" s="53" t="s">
        <v>116</v>
      </c>
      <c r="G25" s="54">
        <v>0</v>
      </c>
      <c r="H25" s="54">
        <v>0</v>
      </c>
      <c r="I25" s="54"/>
      <c r="J25" s="54"/>
      <c r="K25" s="54"/>
      <c r="L25" s="54"/>
      <c r="M25" s="124"/>
      <c r="N25" s="38"/>
      <c r="O25" s="240" t="str">
        <f t="shared" si="16"/>
        <v>238</v>
      </c>
      <c r="P25" s="240">
        <v>29</v>
      </c>
      <c r="Q25" s="38" t="s">
        <v>153</v>
      </c>
      <c r="R25" s="186">
        <v>2</v>
      </c>
      <c r="S25" s="192" t="s">
        <v>154</v>
      </c>
      <c r="T25" s="55">
        <v>5</v>
      </c>
      <c r="U25" s="56">
        <v>5</v>
      </c>
      <c r="V25" s="56"/>
      <c r="W25" s="56"/>
      <c r="X25" s="56"/>
      <c r="Y25" s="56"/>
      <c r="Z25" s="56"/>
      <c r="AA25" s="56"/>
      <c r="AB25" s="56"/>
      <c r="AC25" s="56"/>
      <c r="AD25" s="56"/>
      <c r="AE25" s="56"/>
      <c r="AF25" s="56"/>
      <c r="AG25" s="56"/>
      <c r="AH25" s="56"/>
      <c r="AI25" s="57">
        <f t="shared" si="1"/>
        <v>5</v>
      </c>
      <c r="AJ25" s="58">
        <v>0</v>
      </c>
      <c r="AK25" s="59"/>
      <c r="AL25" s="56"/>
      <c r="AM25" s="59"/>
      <c r="AN25" s="59"/>
      <c r="AO25" s="59"/>
      <c r="AP25" s="59"/>
      <c r="AQ25" s="3">
        <f t="shared" si="2"/>
        <v>0</v>
      </c>
      <c r="AR25" s="58">
        <v>0</v>
      </c>
      <c r="AS25" s="59"/>
      <c r="AT25" s="3">
        <f t="shared" si="3"/>
        <v>0</v>
      </c>
      <c r="AU25" s="58" t="s">
        <v>32</v>
      </c>
      <c r="AV25" s="60"/>
      <c r="AW25" s="61">
        <f t="shared" si="4"/>
        <v>0.3</v>
      </c>
      <c r="AX25" s="55">
        <v>0</v>
      </c>
      <c r="AY25" s="56"/>
      <c r="AZ25" s="56"/>
      <c r="BA25" s="56"/>
      <c r="BB25" s="56"/>
      <c r="BC25" s="56"/>
      <c r="BD25" s="56"/>
      <c r="BE25" s="56"/>
      <c r="BF25" s="56"/>
      <c r="BG25" s="56"/>
      <c r="BH25" s="56"/>
      <c r="BI25" s="56"/>
      <c r="BJ25" s="56"/>
      <c r="BK25" s="56"/>
      <c r="BL25" s="56"/>
      <c r="BM25" s="62">
        <f t="shared" si="24"/>
        <v>0</v>
      </c>
      <c r="BN25" s="55">
        <v>0</v>
      </c>
      <c r="BO25" s="27"/>
      <c r="BP25" s="91"/>
      <c r="BQ25" s="91"/>
      <c r="BR25" s="27"/>
      <c r="BS25" s="27"/>
      <c r="BT25" s="27"/>
      <c r="BU25" s="63">
        <f t="shared" si="6"/>
        <v>0</v>
      </c>
      <c r="BV25" s="55">
        <v>0</v>
      </c>
      <c r="BW25" s="27"/>
      <c r="BX25" s="63">
        <f t="shared" si="7"/>
        <v>0</v>
      </c>
      <c r="BY25" s="90" t="s">
        <v>32</v>
      </c>
      <c r="BZ25" s="92"/>
      <c r="CA25" s="61">
        <f t="shared" si="8"/>
        <v>0</v>
      </c>
      <c r="CB25" s="55">
        <v>0</v>
      </c>
      <c r="CC25" s="56"/>
      <c r="CD25" s="59"/>
      <c r="CE25" s="56"/>
      <c r="CF25" s="56"/>
      <c r="CG25" s="56"/>
      <c r="CH25" s="56"/>
      <c r="CI25" s="56"/>
      <c r="CJ25" s="56"/>
      <c r="CK25" s="56"/>
      <c r="CL25" s="56"/>
      <c r="CM25" s="56"/>
      <c r="CN25" s="56"/>
      <c r="CO25" s="56"/>
      <c r="CP25" s="56"/>
      <c r="CQ25" s="62">
        <f t="shared" si="25"/>
        <v>0</v>
      </c>
      <c r="CR25" s="58">
        <v>0</v>
      </c>
      <c r="CS25" s="126"/>
      <c r="CT25" s="126"/>
      <c r="CU25" s="59"/>
      <c r="CV25" s="56"/>
      <c r="CW25" s="56"/>
      <c r="CX25" s="59"/>
      <c r="CY25" s="99">
        <f t="shared" si="9"/>
        <v>0</v>
      </c>
      <c r="CZ25" s="58">
        <v>0</v>
      </c>
      <c r="DA25" s="126"/>
      <c r="DB25" s="3">
        <f t="shared" si="10"/>
        <v>0</v>
      </c>
      <c r="DC25" s="97">
        <f t="shared" si="11"/>
        <v>0</v>
      </c>
      <c r="DD25" s="59"/>
      <c r="DE25" s="95">
        <v>0</v>
      </c>
      <c r="DF25" s="64">
        <f t="shared" si="12"/>
        <v>0</v>
      </c>
      <c r="DG25" s="103">
        <f t="shared" si="13"/>
        <v>0.09</v>
      </c>
      <c r="DH25" s="65" t="str">
        <f t="shared" si="26"/>
        <v>Sí</v>
      </c>
      <c r="DI25" s="98">
        <f t="shared" si="15"/>
        <v>0.09</v>
      </c>
    </row>
    <row r="26" spans="1:114" s="16" customFormat="1" x14ac:dyDescent="0.3">
      <c r="A26" s="49">
        <v>21</v>
      </c>
      <c r="B26" s="50">
        <v>1000109930</v>
      </c>
      <c r="C26" s="51" t="s">
        <v>86</v>
      </c>
      <c r="D26" s="51" t="e" vm="1">
        <f ca="1">_xlfn.IMAGE(_xlfn.CONCAT("https://github.com/rcfdtools/R.TeachingResearchGuide/blob/main/CaseUse/.student/",B26,".jpg?raw=true"))</f>
        <v>#VALUE!</v>
      </c>
      <c r="E26" s="52" t="s">
        <v>96</v>
      </c>
      <c r="F26" s="53" t="s">
        <v>117</v>
      </c>
      <c r="G26" s="54">
        <v>0</v>
      </c>
      <c r="H26" s="54">
        <v>0</v>
      </c>
      <c r="I26" s="54"/>
      <c r="J26" s="54"/>
      <c r="K26" s="54"/>
      <c r="L26" s="54"/>
      <c r="M26" s="124"/>
      <c r="N26" s="38"/>
      <c r="O26" s="240" t="str">
        <f t="shared" si="16"/>
        <v>930</v>
      </c>
      <c r="P26" s="240"/>
      <c r="Q26" s="38"/>
      <c r="R26" s="186"/>
      <c r="S26" s="192" t="s">
        <v>159</v>
      </c>
      <c r="T26" s="55">
        <v>5</v>
      </c>
      <c r="U26" s="56">
        <v>5</v>
      </c>
      <c r="V26" s="56"/>
      <c r="W26" s="56"/>
      <c r="X26" s="56"/>
      <c r="Y26" s="56"/>
      <c r="Z26" s="56"/>
      <c r="AA26" s="56"/>
      <c r="AB26" s="56"/>
      <c r="AC26" s="56"/>
      <c r="AD26" s="56"/>
      <c r="AE26" s="56"/>
      <c r="AF26" s="56"/>
      <c r="AG26" s="56"/>
      <c r="AH26" s="56"/>
      <c r="AI26" s="57">
        <f t="shared" si="1"/>
        <v>5</v>
      </c>
      <c r="AJ26" s="58">
        <v>0</v>
      </c>
      <c r="AK26" s="59"/>
      <c r="AL26" s="56"/>
      <c r="AM26" s="59"/>
      <c r="AN26" s="59"/>
      <c r="AO26" s="59"/>
      <c r="AP26" s="59"/>
      <c r="AQ26" s="3">
        <f t="shared" si="2"/>
        <v>0</v>
      </c>
      <c r="AR26" s="58">
        <v>0</v>
      </c>
      <c r="AS26" s="59"/>
      <c r="AT26" s="3">
        <f t="shared" si="3"/>
        <v>0</v>
      </c>
      <c r="AU26" s="58" t="s">
        <v>32</v>
      </c>
      <c r="AV26" s="60"/>
      <c r="AW26" s="61">
        <f t="shared" si="4"/>
        <v>0.3</v>
      </c>
      <c r="AX26" s="55">
        <v>0</v>
      </c>
      <c r="AY26" s="56"/>
      <c r="AZ26" s="56"/>
      <c r="BA26" s="56"/>
      <c r="BB26" s="56"/>
      <c r="BC26" s="56"/>
      <c r="BD26" s="56"/>
      <c r="BE26" s="56"/>
      <c r="BF26" s="56"/>
      <c r="BG26" s="56"/>
      <c r="BH26" s="56"/>
      <c r="BI26" s="56"/>
      <c r="BJ26" s="56"/>
      <c r="BK26" s="56"/>
      <c r="BL26" s="56"/>
      <c r="BM26" s="62">
        <f t="shared" si="24"/>
        <v>0</v>
      </c>
      <c r="BN26" s="55">
        <v>0</v>
      </c>
      <c r="BO26" s="27"/>
      <c r="BP26" s="91"/>
      <c r="BQ26" s="91"/>
      <c r="BR26" s="27"/>
      <c r="BS26" s="27"/>
      <c r="BT26" s="27"/>
      <c r="BU26" s="63">
        <f t="shared" si="6"/>
        <v>0</v>
      </c>
      <c r="BV26" s="55">
        <v>0</v>
      </c>
      <c r="BW26" s="27"/>
      <c r="BX26" s="63">
        <f t="shared" si="7"/>
        <v>0</v>
      </c>
      <c r="BY26" s="90" t="s">
        <v>32</v>
      </c>
      <c r="BZ26" s="92"/>
      <c r="CA26" s="61">
        <f t="shared" si="8"/>
        <v>0</v>
      </c>
      <c r="CB26" s="55">
        <v>0</v>
      </c>
      <c r="CC26" s="56"/>
      <c r="CD26" s="59"/>
      <c r="CE26" s="56"/>
      <c r="CF26" s="56"/>
      <c r="CG26" s="56"/>
      <c r="CH26" s="56"/>
      <c r="CI26" s="56"/>
      <c r="CJ26" s="56"/>
      <c r="CK26" s="56"/>
      <c r="CL26" s="56"/>
      <c r="CM26" s="56"/>
      <c r="CN26" s="56"/>
      <c r="CO26" s="56"/>
      <c r="CP26" s="56"/>
      <c r="CQ26" s="62">
        <f t="shared" si="25"/>
        <v>0</v>
      </c>
      <c r="CR26" s="58">
        <v>0</v>
      </c>
      <c r="CS26" s="126"/>
      <c r="CT26" s="126"/>
      <c r="CU26" s="59"/>
      <c r="CV26" s="56"/>
      <c r="CW26" s="56"/>
      <c r="CX26" s="59"/>
      <c r="CY26" s="99">
        <f t="shared" si="9"/>
        <v>0</v>
      </c>
      <c r="CZ26" s="58">
        <v>0</v>
      </c>
      <c r="DA26" s="126"/>
      <c r="DB26" s="3">
        <f t="shared" si="10"/>
        <v>0</v>
      </c>
      <c r="DC26" s="97">
        <f t="shared" si="11"/>
        <v>0</v>
      </c>
      <c r="DD26" s="59"/>
      <c r="DE26" s="95">
        <v>0</v>
      </c>
      <c r="DF26" s="64">
        <f t="shared" si="12"/>
        <v>0</v>
      </c>
      <c r="DG26" s="103">
        <f t="shared" si="13"/>
        <v>0.09</v>
      </c>
      <c r="DH26" s="65" t="str">
        <f t="shared" si="26"/>
        <v>Sí</v>
      </c>
      <c r="DI26" s="98">
        <f t="shared" si="15"/>
        <v>0.09</v>
      </c>
    </row>
    <row r="27" spans="1:114" s="16" customFormat="1" x14ac:dyDescent="0.3">
      <c r="A27" s="49">
        <v>22</v>
      </c>
      <c r="B27" s="50">
        <v>1000104677</v>
      </c>
      <c r="C27" s="51" t="s">
        <v>87</v>
      </c>
      <c r="D27" s="51" t="e" vm="1">
        <f t="shared" ca="1" si="23"/>
        <v>#VALUE!</v>
      </c>
      <c r="E27" s="52" t="s">
        <v>96</v>
      </c>
      <c r="F27" s="53" t="s">
        <v>118</v>
      </c>
      <c r="G27" s="54">
        <v>0</v>
      </c>
      <c r="H27" s="54">
        <v>0</v>
      </c>
      <c r="I27" s="54"/>
      <c r="J27" s="54"/>
      <c r="K27" s="54"/>
      <c r="L27" s="54"/>
      <c r="M27" s="124"/>
      <c r="N27" s="38"/>
      <c r="O27" s="240" t="str">
        <f t="shared" si="16"/>
        <v>677</v>
      </c>
      <c r="P27" s="240">
        <v>26</v>
      </c>
      <c r="Q27" s="38" t="s">
        <v>152</v>
      </c>
      <c r="R27" s="186">
        <v>1</v>
      </c>
      <c r="S27" s="192" t="s">
        <v>151</v>
      </c>
      <c r="T27" s="55">
        <v>5</v>
      </c>
      <c r="U27" s="56">
        <v>5</v>
      </c>
      <c r="V27" s="56"/>
      <c r="W27" s="56"/>
      <c r="X27" s="56"/>
      <c r="Y27" s="56"/>
      <c r="Z27" s="56"/>
      <c r="AA27" s="56"/>
      <c r="AB27" s="56"/>
      <c r="AC27" s="56"/>
      <c r="AD27" s="56"/>
      <c r="AE27" s="56"/>
      <c r="AF27" s="56"/>
      <c r="AG27" s="56"/>
      <c r="AH27" s="56"/>
      <c r="AI27" s="57">
        <f t="shared" si="1"/>
        <v>5</v>
      </c>
      <c r="AJ27" s="58">
        <v>0</v>
      </c>
      <c r="AK27" s="59"/>
      <c r="AL27" s="56"/>
      <c r="AM27" s="59"/>
      <c r="AN27" s="59"/>
      <c r="AO27" s="59"/>
      <c r="AP27" s="59"/>
      <c r="AQ27" s="3">
        <f t="shared" si="2"/>
        <v>0</v>
      </c>
      <c r="AR27" s="58">
        <v>0</v>
      </c>
      <c r="AS27" s="59"/>
      <c r="AT27" s="3">
        <f t="shared" si="3"/>
        <v>0</v>
      </c>
      <c r="AU27" s="58" t="s">
        <v>32</v>
      </c>
      <c r="AV27" s="60"/>
      <c r="AW27" s="61">
        <f t="shared" si="4"/>
        <v>0.3</v>
      </c>
      <c r="AX27" s="55">
        <v>0</v>
      </c>
      <c r="AY27" s="56"/>
      <c r="AZ27" s="56"/>
      <c r="BA27" s="56"/>
      <c r="BB27" s="56"/>
      <c r="BC27" s="56"/>
      <c r="BD27" s="56"/>
      <c r="BE27" s="56"/>
      <c r="BF27" s="56"/>
      <c r="BG27" s="56"/>
      <c r="BH27" s="56"/>
      <c r="BI27" s="56"/>
      <c r="BJ27" s="56"/>
      <c r="BK27" s="56"/>
      <c r="BL27" s="56"/>
      <c r="BM27" s="62">
        <f t="shared" si="24"/>
        <v>0</v>
      </c>
      <c r="BN27" s="55">
        <v>0</v>
      </c>
      <c r="BO27" s="27"/>
      <c r="BP27" s="91"/>
      <c r="BQ27" s="91"/>
      <c r="BR27" s="27"/>
      <c r="BS27" s="27"/>
      <c r="BT27" s="27"/>
      <c r="BU27" s="63">
        <f t="shared" si="6"/>
        <v>0</v>
      </c>
      <c r="BV27" s="55">
        <v>0</v>
      </c>
      <c r="BW27" s="27"/>
      <c r="BX27" s="63">
        <f t="shared" si="7"/>
        <v>0</v>
      </c>
      <c r="BY27" s="90" t="s">
        <v>32</v>
      </c>
      <c r="BZ27" s="92"/>
      <c r="CA27" s="61">
        <f t="shared" si="8"/>
        <v>0</v>
      </c>
      <c r="CB27" s="55">
        <v>0</v>
      </c>
      <c r="CC27" s="56"/>
      <c r="CD27" s="59"/>
      <c r="CE27" s="56"/>
      <c r="CF27" s="56"/>
      <c r="CG27" s="56"/>
      <c r="CH27" s="56"/>
      <c r="CI27" s="56"/>
      <c r="CJ27" s="56"/>
      <c r="CK27" s="56"/>
      <c r="CL27" s="56"/>
      <c r="CM27" s="56"/>
      <c r="CN27" s="56"/>
      <c r="CO27" s="56"/>
      <c r="CP27" s="56"/>
      <c r="CQ27" s="62">
        <f t="shared" si="25"/>
        <v>0</v>
      </c>
      <c r="CR27" s="58">
        <v>0</v>
      </c>
      <c r="CS27" s="126"/>
      <c r="CT27" s="126"/>
      <c r="CU27" s="59"/>
      <c r="CV27" s="56"/>
      <c r="CW27" s="56"/>
      <c r="CX27" s="59"/>
      <c r="CY27" s="99">
        <f t="shared" si="9"/>
        <v>0</v>
      </c>
      <c r="CZ27" s="58">
        <v>0</v>
      </c>
      <c r="DA27" s="126"/>
      <c r="DB27" s="3">
        <f t="shared" si="10"/>
        <v>0</v>
      </c>
      <c r="DC27" s="97">
        <f t="shared" si="11"/>
        <v>0</v>
      </c>
      <c r="DD27" s="59"/>
      <c r="DE27" s="95">
        <v>0</v>
      </c>
      <c r="DF27" s="64">
        <f t="shared" si="12"/>
        <v>0</v>
      </c>
      <c r="DG27" s="103">
        <f t="shared" si="13"/>
        <v>0.09</v>
      </c>
      <c r="DH27" s="65" t="str">
        <f t="shared" si="26"/>
        <v>Sí</v>
      </c>
      <c r="DI27" s="98">
        <f t="shared" si="15"/>
        <v>0.09</v>
      </c>
    </row>
    <row r="28" spans="1:114" s="16" customFormat="1" x14ac:dyDescent="0.3">
      <c r="A28" s="49">
        <v>23</v>
      </c>
      <c r="B28" s="50">
        <v>1000109133</v>
      </c>
      <c r="C28" s="51" t="s">
        <v>88</v>
      </c>
      <c r="D28" s="51" t="e" vm="1">
        <f ca="1">_xlfn.IMAGE(_xlfn.CONCAT("https://github.com/rcfdtools/R.TeachingResearchGuide/blob/main/CaseUse/.student/",B28,".jpg?raw=true"))</f>
        <v>#VALUE!</v>
      </c>
      <c r="E28" s="52" t="s">
        <v>96</v>
      </c>
      <c r="F28" s="53" t="s">
        <v>119</v>
      </c>
      <c r="G28" s="54">
        <v>0</v>
      </c>
      <c r="H28" s="54">
        <v>0</v>
      </c>
      <c r="I28" s="54"/>
      <c r="J28" s="54"/>
      <c r="K28" s="54"/>
      <c r="L28" s="54"/>
      <c r="M28" s="124"/>
      <c r="N28" s="38"/>
      <c r="O28" s="240" t="str">
        <f t="shared" si="16"/>
        <v>133</v>
      </c>
      <c r="P28" s="240">
        <v>29</v>
      </c>
      <c r="Q28" s="38" t="s">
        <v>153</v>
      </c>
      <c r="R28" s="186">
        <v>2</v>
      </c>
      <c r="S28" s="192" t="s">
        <v>154</v>
      </c>
      <c r="T28" s="55">
        <v>5</v>
      </c>
      <c r="U28" s="56">
        <v>5</v>
      </c>
      <c r="V28" s="56"/>
      <c r="W28" s="56"/>
      <c r="X28" s="56"/>
      <c r="Y28" s="56"/>
      <c r="Z28" s="56"/>
      <c r="AA28" s="56"/>
      <c r="AB28" s="56"/>
      <c r="AC28" s="56"/>
      <c r="AD28" s="56"/>
      <c r="AE28" s="56"/>
      <c r="AF28" s="56"/>
      <c r="AG28" s="56"/>
      <c r="AH28" s="56"/>
      <c r="AI28" s="57">
        <f t="shared" si="1"/>
        <v>5</v>
      </c>
      <c r="AJ28" s="58">
        <v>0</v>
      </c>
      <c r="AK28" s="59"/>
      <c r="AL28" s="56"/>
      <c r="AM28" s="59"/>
      <c r="AN28" s="59"/>
      <c r="AO28" s="59"/>
      <c r="AP28" s="59"/>
      <c r="AQ28" s="3">
        <f t="shared" si="2"/>
        <v>0</v>
      </c>
      <c r="AR28" s="58">
        <v>0</v>
      </c>
      <c r="AS28" s="59"/>
      <c r="AT28" s="3">
        <f t="shared" si="3"/>
        <v>0</v>
      </c>
      <c r="AU28" s="58" t="s">
        <v>32</v>
      </c>
      <c r="AV28" s="60"/>
      <c r="AW28" s="61">
        <f t="shared" si="4"/>
        <v>0.3</v>
      </c>
      <c r="AX28" s="55">
        <v>0</v>
      </c>
      <c r="AY28" s="56"/>
      <c r="AZ28" s="56"/>
      <c r="BA28" s="56"/>
      <c r="BB28" s="56"/>
      <c r="BC28" s="56"/>
      <c r="BD28" s="56"/>
      <c r="BE28" s="56"/>
      <c r="BF28" s="56"/>
      <c r="BG28" s="56"/>
      <c r="BH28" s="56"/>
      <c r="BI28" s="56"/>
      <c r="BJ28" s="56"/>
      <c r="BK28" s="56"/>
      <c r="BL28" s="56"/>
      <c r="BM28" s="62">
        <f t="shared" si="24"/>
        <v>0</v>
      </c>
      <c r="BN28" s="55">
        <v>0</v>
      </c>
      <c r="BO28" s="27"/>
      <c r="BP28" s="91"/>
      <c r="BQ28" s="91"/>
      <c r="BR28" s="27"/>
      <c r="BS28" s="27"/>
      <c r="BT28" s="27"/>
      <c r="BU28" s="63">
        <f t="shared" si="6"/>
        <v>0</v>
      </c>
      <c r="BV28" s="55">
        <v>0</v>
      </c>
      <c r="BW28" s="27"/>
      <c r="BX28" s="63">
        <f t="shared" si="7"/>
        <v>0</v>
      </c>
      <c r="BY28" s="90" t="s">
        <v>32</v>
      </c>
      <c r="BZ28" s="92"/>
      <c r="CA28" s="61">
        <f t="shared" si="8"/>
        <v>0</v>
      </c>
      <c r="CB28" s="55">
        <v>0</v>
      </c>
      <c r="CC28" s="56"/>
      <c r="CD28" s="59"/>
      <c r="CE28" s="56"/>
      <c r="CF28" s="56"/>
      <c r="CG28" s="56"/>
      <c r="CH28" s="56"/>
      <c r="CI28" s="56"/>
      <c r="CJ28" s="56"/>
      <c r="CK28" s="56"/>
      <c r="CL28" s="56"/>
      <c r="CM28" s="56"/>
      <c r="CN28" s="56"/>
      <c r="CO28" s="56"/>
      <c r="CP28" s="56"/>
      <c r="CQ28" s="62">
        <f t="shared" si="25"/>
        <v>0</v>
      </c>
      <c r="CR28" s="58">
        <v>0</v>
      </c>
      <c r="CS28" s="126"/>
      <c r="CT28" s="126"/>
      <c r="CU28" s="59"/>
      <c r="CV28" s="56"/>
      <c r="CW28" s="56"/>
      <c r="CX28" s="59"/>
      <c r="CY28" s="99">
        <f t="shared" si="9"/>
        <v>0</v>
      </c>
      <c r="CZ28" s="58">
        <v>0</v>
      </c>
      <c r="DA28" s="126"/>
      <c r="DB28" s="3">
        <f t="shared" si="10"/>
        <v>0</v>
      </c>
      <c r="DC28" s="97">
        <f t="shared" si="11"/>
        <v>0</v>
      </c>
      <c r="DD28" s="59"/>
      <c r="DE28" s="95">
        <v>0</v>
      </c>
      <c r="DF28" s="64">
        <f t="shared" si="12"/>
        <v>0</v>
      </c>
      <c r="DG28" s="103">
        <f t="shared" si="13"/>
        <v>0.09</v>
      </c>
      <c r="DH28" s="65" t="str">
        <f t="shared" si="26"/>
        <v>Sí</v>
      </c>
      <c r="DI28" s="98">
        <f t="shared" si="15"/>
        <v>0.09</v>
      </c>
    </row>
    <row r="29" spans="1:114" s="16" customFormat="1" x14ac:dyDescent="0.3">
      <c r="A29" s="49">
        <v>24</v>
      </c>
      <c r="B29" s="50">
        <v>1000107882</v>
      </c>
      <c r="C29" s="51" t="s">
        <v>89</v>
      </c>
      <c r="D29" s="51" t="e" vm="1">
        <f t="shared" ca="1" si="23"/>
        <v>#VALUE!</v>
      </c>
      <c r="E29" s="52" t="s">
        <v>96</v>
      </c>
      <c r="F29" s="53" t="s">
        <v>120</v>
      </c>
      <c r="G29" s="54">
        <v>0</v>
      </c>
      <c r="H29" s="54">
        <v>0</v>
      </c>
      <c r="I29" s="54"/>
      <c r="J29" s="54"/>
      <c r="K29" s="54"/>
      <c r="L29" s="54"/>
      <c r="M29" s="124"/>
      <c r="N29" s="38"/>
      <c r="O29" s="240" t="str">
        <f t="shared" si="16"/>
        <v>882</v>
      </c>
      <c r="P29" s="240">
        <v>19</v>
      </c>
      <c r="Q29" s="38" t="s">
        <v>164</v>
      </c>
      <c r="R29" s="186">
        <v>3</v>
      </c>
      <c r="S29" s="192" t="s">
        <v>163</v>
      </c>
      <c r="T29" s="55">
        <v>5</v>
      </c>
      <c r="U29" s="56">
        <v>5</v>
      </c>
      <c r="V29" s="56"/>
      <c r="W29" s="56"/>
      <c r="X29" s="56"/>
      <c r="Y29" s="56"/>
      <c r="Z29" s="56"/>
      <c r="AA29" s="56"/>
      <c r="AB29" s="56"/>
      <c r="AC29" s="56"/>
      <c r="AD29" s="56"/>
      <c r="AE29" s="56"/>
      <c r="AF29" s="56"/>
      <c r="AG29" s="56"/>
      <c r="AH29" s="56"/>
      <c r="AI29" s="57">
        <f t="shared" si="1"/>
        <v>5</v>
      </c>
      <c r="AJ29" s="58">
        <v>0</v>
      </c>
      <c r="AK29" s="59"/>
      <c r="AL29" s="56"/>
      <c r="AM29" s="59"/>
      <c r="AN29" s="59"/>
      <c r="AO29" s="59"/>
      <c r="AP29" s="59"/>
      <c r="AQ29" s="3">
        <f t="shared" si="2"/>
        <v>0</v>
      </c>
      <c r="AR29" s="58">
        <v>0</v>
      </c>
      <c r="AS29" s="59"/>
      <c r="AT29" s="3">
        <f t="shared" si="3"/>
        <v>0</v>
      </c>
      <c r="AU29" s="58" t="s">
        <v>32</v>
      </c>
      <c r="AV29" s="60"/>
      <c r="AW29" s="61">
        <f t="shared" si="4"/>
        <v>0.3</v>
      </c>
      <c r="AX29" s="55">
        <v>0</v>
      </c>
      <c r="AY29" s="56"/>
      <c r="AZ29" s="56"/>
      <c r="BA29" s="56"/>
      <c r="BB29" s="56"/>
      <c r="BC29" s="56"/>
      <c r="BD29" s="56"/>
      <c r="BE29" s="56"/>
      <c r="BF29" s="56"/>
      <c r="BG29" s="56"/>
      <c r="BH29" s="56"/>
      <c r="BI29" s="56"/>
      <c r="BJ29" s="56"/>
      <c r="BK29" s="56"/>
      <c r="BL29" s="56"/>
      <c r="BM29" s="62">
        <f t="shared" si="24"/>
        <v>0</v>
      </c>
      <c r="BN29" s="55">
        <v>0</v>
      </c>
      <c r="BO29" s="27"/>
      <c r="BP29" s="91"/>
      <c r="BQ29" s="91"/>
      <c r="BR29" s="27"/>
      <c r="BS29" s="27"/>
      <c r="BT29" s="27"/>
      <c r="BU29" s="63">
        <f t="shared" si="6"/>
        <v>0</v>
      </c>
      <c r="BV29" s="55">
        <v>0</v>
      </c>
      <c r="BW29" s="27"/>
      <c r="BX29" s="63">
        <f t="shared" si="7"/>
        <v>0</v>
      </c>
      <c r="BY29" s="90" t="s">
        <v>32</v>
      </c>
      <c r="BZ29" s="92"/>
      <c r="CA29" s="61">
        <f t="shared" si="8"/>
        <v>0</v>
      </c>
      <c r="CB29" s="55">
        <v>0</v>
      </c>
      <c r="CC29" s="56"/>
      <c r="CD29" s="59"/>
      <c r="CE29" s="56"/>
      <c r="CF29" s="56"/>
      <c r="CG29" s="56"/>
      <c r="CH29" s="56"/>
      <c r="CI29" s="56"/>
      <c r="CJ29" s="56"/>
      <c r="CK29" s="56"/>
      <c r="CL29" s="56"/>
      <c r="CM29" s="56"/>
      <c r="CN29" s="56"/>
      <c r="CO29" s="56"/>
      <c r="CP29" s="56"/>
      <c r="CQ29" s="62">
        <f t="shared" si="25"/>
        <v>0</v>
      </c>
      <c r="CR29" s="58">
        <v>0</v>
      </c>
      <c r="CS29" s="126"/>
      <c r="CT29" s="126"/>
      <c r="CU29" s="59"/>
      <c r="CV29" s="56"/>
      <c r="CW29" s="56"/>
      <c r="CX29" s="59"/>
      <c r="CY29" s="99">
        <f t="shared" si="9"/>
        <v>0</v>
      </c>
      <c r="CZ29" s="58">
        <v>0</v>
      </c>
      <c r="DA29" s="126"/>
      <c r="DB29" s="3">
        <f t="shared" si="10"/>
        <v>0</v>
      </c>
      <c r="DC29" s="97">
        <f t="shared" si="11"/>
        <v>0</v>
      </c>
      <c r="DD29" s="59"/>
      <c r="DE29" s="95">
        <v>0</v>
      </c>
      <c r="DF29" s="64">
        <f t="shared" si="12"/>
        <v>0</v>
      </c>
      <c r="DG29" s="103">
        <f t="shared" si="13"/>
        <v>0.09</v>
      </c>
      <c r="DH29" s="65" t="str">
        <f t="shared" si="26"/>
        <v>Sí</v>
      </c>
      <c r="DI29" s="98">
        <f t="shared" si="15"/>
        <v>0.09</v>
      </c>
    </row>
    <row r="30" spans="1:114" s="16" customFormat="1" x14ac:dyDescent="0.3">
      <c r="A30" s="49">
        <v>25</v>
      </c>
      <c r="B30" s="50">
        <v>1000109159</v>
      </c>
      <c r="C30" s="51" t="s">
        <v>90</v>
      </c>
      <c r="D30" s="51" t="e" vm="1">
        <f ca="1">_xlfn.IMAGE(_xlfn.CONCAT("https://github.com/rcfdtools/R.TeachingResearchGuide/blob/main/CaseUse/.student/",B30,".jpg?raw=true"))</f>
        <v>#VALUE!</v>
      </c>
      <c r="E30" s="52" t="s">
        <v>96</v>
      </c>
      <c r="F30" s="53" t="s">
        <v>121</v>
      </c>
      <c r="G30" s="54">
        <v>0</v>
      </c>
      <c r="H30" s="54">
        <v>0</v>
      </c>
      <c r="I30" s="54"/>
      <c r="J30" s="54"/>
      <c r="K30" s="54"/>
      <c r="L30" s="54"/>
      <c r="M30" s="124"/>
      <c r="N30" s="38"/>
      <c r="O30" s="240" t="str">
        <f t="shared" si="16"/>
        <v>159</v>
      </c>
      <c r="P30" s="240">
        <v>19</v>
      </c>
      <c r="Q30" s="38" t="s">
        <v>164</v>
      </c>
      <c r="R30" s="186">
        <v>3</v>
      </c>
      <c r="S30" s="192" t="s">
        <v>163</v>
      </c>
      <c r="T30" s="55">
        <v>5</v>
      </c>
      <c r="U30" s="56">
        <v>5</v>
      </c>
      <c r="V30" s="56"/>
      <c r="W30" s="56"/>
      <c r="X30" s="56"/>
      <c r="Y30" s="56"/>
      <c r="Z30" s="56"/>
      <c r="AA30" s="56"/>
      <c r="AB30" s="56"/>
      <c r="AC30" s="56"/>
      <c r="AD30" s="56"/>
      <c r="AE30" s="56"/>
      <c r="AF30" s="56"/>
      <c r="AG30" s="56"/>
      <c r="AH30" s="56"/>
      <c r="AI30" s="57">
        <f t="shared" si="1"/>
        <v>5</v>
      </c>
      <c r="AJ30" s="58">
        <v>0</v>
      </c>
      <c r="AK30" s="59"/>
      <c r="AL30" s="56"/>
      <c r="AM30" s="59"/>
      <c r="AN30" s="59"/>
      <c r="AO30" s="59"/>
      <c r="AP30" s="59"/>
      <c r="AQ30" s="3">
        <f t="shared" si="2"/>
        <v>0</v>
      </c>
      <c r="AR30" s="58">
        <v>0</v>
      </c>
      <c r="AS30" s="59"/>
      <c r="AT30" s="3">
        <f t="shared" si="3"/>
        <v>0</v>
      </c>
      <c r="AU30" s="58" t="s">
        <v>32</v>
      </c>
      <c r="AV30" s="60"/>
      <c r="AW30" s="61">
        <f t="shared" si="4"/>
        <v>0.3</v>
      </c>
      <c r="AX30" s="55">
        <v>0</v>
      </c>
      <c r="AY30" s="56"/>
      <c r="AZ30" s="56"/>
      <c r="BA30" s="56"/>
      <c r="BB30" s="56"/>
      <c r="BC30" s="56"/>
      <c r="BD30" s="56"/>
      <c r="BE30" s="56"/>
      <c r="BF30" s="56"/>
      <c r="BG30" s="56"/>
      <c r="BH30" s="56"/>
      <c r="BI30" s="56"/>
      <c r="BJ30" s="56"/>
      <c r="BK30" s="56"/>
      <c r="BL30" s="56"/>
      <c r="BM30" s="62">
        <f t="shared" si="24"/>
        <v>0</v>
      </c>
      <c r="BN30" s="55">
        <v>0</v>
      </c>
      <c r="BO30" s="27"/>
      <c r="BP30" s="91"/>
      <c r="BQ30" s="91"/>
      <c r="BR30" s="27"/>
      <c r="BS30" s="27"/>
      <c r="BT30" s="27"/>
      <c r="BU30" s="63">
        <f t="shared" si="6"/>
        <v>0</v>
      </c>
      <c r="BV30" s="55">
        <v>0</v>
      </c>
      <c r="BW30" s="27"/>
      <c r="BX30" s="63">
        <f t="shared" si="7"/>
        <v>0</v>
      </c>
      <c r="BY30" s="90" t="s">
        <v>32</v>
      </c>
      <c r="BZ30" s="92"/>
      <c r="CA30" s="61">
        <f t="shared" si="8"/>
        <v>0</v>
      </c>
      <c r="CB30" s="55">
        <v>0</v>
      </c>
      <c r="CC30" s="56"/>
      <c r="CD30" s="59"/>
      <c r="CE30" s="56"/>
      <c r="CF30" s="56"/>
      <c r="CG30" s="56"/>
      <c r="CH30" s="56"/>
      <c r="CI30" s="56"/>
      <c r="CJ30" s="56"/>
      <c r="CK30" s="56"/>
      <c r="CL30" s="56"/>
      <c r="CM30" s="56"/>
      <c r="CN30" s="56"/>
      <c r="CO30" s="56"/>
      <c r="CP30" s="56"/>
      <c r="CQ30" s="62">
        <f t="shared" si="25"/>
        <v>0</v>
      </c>
      <c r="CR30" s="58">
        <v>0</v>
      </c>
      <c r="CS30" s="126"/>
      <c r="CT30" s="126"/>
      <c r="CU30" s="59"/>
      <c r="CV30" s="56"/>
      <c r="CW30" s="56"/>
      <c r="CX30" s="59"/>
      <c r="CY30" s="99">
        <f t="shared" si="9"/>
        <v>0</v>
      </c>
      <c r="CZ30" s="58">
        <v>0</v>
      </c>
      <c r="DA30" s="126"/>
      <c r="DB30" s="3">
        <f t="shared" si="10"/>
        <v>0</v>
      </c>
      <c r="DC30" s="97">
        <f t="shared" si="11"/>
        <v>0</v>
      </c>
      <c r="DD30" s="59"/>
      <c r="DE30" s="95">
        <v>0</v>
      </c>
      <c r="DF30" s="64">
        <f t="shared" si="12"/>
        <v>0</v>
      </c>
      <c r="DG30" s="103">
        <f t="shared" si="13"/>
        <v>0.09</v>
      </c>
      <c r="DH30" s="65" t="str">
        <f t="shared" si="26"/>
        <v>Sí</v>
      </c>
      <c r="DI30" s="98">
        <f t="shared" si="15"/>
        <v>0.09</v>
      </c>
    </row>
    <row r="31" spans="1:114" s="16" customFormat="1" x14ac:dyDescent="0.3">
      <c r="A31" s="49">
        <v>26</v>
      </c>
      <c r="B31" s="50">
        <v>1000107960</v>
      </c>
      <c r="C31" s="51" t="s">
        <v>167</v>
      </c>
      <c r="D31" s="51" t="e" vm="1">
        <f ca="1">_xlfn.IMAGE(_xlfn.CONCAT("https://github.com/rcfdtools/R.TeachingResearchGuide/blob/main/CaseUse/.student/",B31,".jpg?raw=true"))</f>
        <v>#VALUE!</v>
      </c>
      <c r="E31" s="52" t="s">
        <v>96</v>
      </c>
      <c r="F31" s="53" t="s">
        <v>122</v>
      </c>
      <c r="G31" s="54">
        <v>0</v>
      </c>
      <c r="H31" s="54">
        <v>0</v>
      </c>
      <c r="I31" s="54"/>
      <c r="J31" s="54"/>
      <c r="K31" s="54"/>
      <c r="L31" s="54"/>
      <c r="M31" s="124"/>
      <c r="N31" s="38"/>
      <c r="O31" s="240" t="str">
        <f t="shared" si="16"/>
        <v>960</v>
      </c>
      <c r="P31" s="240">
        <v>19</v>
      </c>
      <c r="Q31" s="38" t="s">
        <v>164</v>
      </c>
      <c r="R31" s="186">
        <v>3</v>
      </c>
      <c r="S31" s="192" t="s">
        <v>163</v>
      </c>
      <c r="T31" s="55">
        <v>5</v>
      </c>
      <c r="U31" s="56">
        <v>5</v>
      </c>
      <c r="V31" s="56"/>
      <c r="W31" s="56"/>
      <c r="X31" s="56"/>
      <c r="Y31" s="56"/>
      <c r="Z31" s="56"/>
      <c r="AA31" s="56"/>
      <c r="AB31" s="56"/>
      <c r="AC31" s="56"/>
      <c r="AD31" s="56"/>
      <c r="AE31" s="56"/>
      <c r="AF31" s="56"/>
      <c r="AG31" s="56"/>
      <c r="AH31" s="56"/>
      <c r="AI31" s="57">
        <f t="shared" si="1"/>
        <v>5</v>
      </c>
      <c r="AJ31" s="58">
        <v>0</v>
      </c>
      <c r="AK31" s="59"/>
      <c r="AL31" s="56"/>
      <c r="AM31" s="59"/>
      <c r="AN31" s="59"/>
      <c r="AO31" s="59"/>
      <c r="AP31" s="59"/>
      <c r="AQ31" s="3">
        <f t="shared" si="2"/>
        <v>0</v>
      </c>
      <c r="AR31" s="58">
        <v>0</v>
      </c>
      <c r="AS31" s="59"/>
      <c r="AT31" s="3">
        <f t="shared" si="3"/>
        <v>0</v>
      </c>
      <c r="AU31" s="58" t="s">
        <v>32</v>
      </c>
      <c r="AV31" s="60"/>
      <c r="AW31" s="61">
        <f t="shared" si="4"/>
        <v>0.3</v>
      </c>
      <c r="AX31" s="55">
        <v>0</v>
      </c>
      <c r="AY31" s="56"/>
      <c r="AZ31" s="56"/>
      <c r="BA31" s="56"/>
      <c r="BB31" s="56"/>
      <c r="BC31" s="56"/>
      <c r="BD31" s="56"/>
      <c r="BE31" s="56"/>
      <c r="BF31" s="56"/>
      <c r="BG31" s="56"/>
      <c r="BH31" s="56"/>
      <c r="BI31" s="56"/>
      <c r="BJ31" s="56"/>
      <c r="BK31" s="56"/>
      <c r="BL31" s="56"/>
      <c r="BM31" s="62">
        <f t="shared" si="24"/>
        <v>0</v>
      </c>
      <c r="BN31" s="55">
        <v>0</v>
      </c>
      <c r="BO31" s="27"/>
      <c r="BP31" s="91"/>
      <c r="BQ31" s="91"/>
      <c r="BR31" s="27"/>
      <c r="BS31" s="27"/>
      <c r="BT31" s="27"/>
      <c r="BU31" s="63">
        <f t="shared" si="6"/>
        <v>0</v>
      </c>
      <c r="BV31" s="55">
        <v>0</v>
      </c>
      <c r="BW31" s="27"/>
      <c r="BX31" s="63">
        <f t="shared" si="7"/>
        <v>0</v>
      </c>
      <c r="BY31" s="90" t="s">
        <v>32</v>
      </c>
      <c r="BZ31" s="92"/>
      <c r="CA31" s="61">
        <f t="shared" si="8"/>
        <v>0</v>
      </c>
      <c r="CB31" s="55">
        <v>0</v>
      </c>
      <c r="CC31" s="56"/>
      <c r="CD31" s="59"/>
      <c r="CE31" s="56"/>
      <c r="CF31" s="56"/>
      <c r="CG31" s="56"/>
      <c r="CH31" s="56"/>
      <c r="CI31" s="56"/>
      <c r="CJ31" s="56"/>
      <c r="CK31" s="56"/>
      <c r="CL31" s="56"/>
      <c r="CM31" s="56"/>
      <c r="CN31" s="56"/>
      <c r="CO31" s="56"/>
      <c r="CP31" s="56"/>
      <c r="CQ31" s="62">
        <f t="shared" si="25"/>
        <v>0</v>
      </c>
      <c r="CR31" s="58">
        <v>0</v>
      </c>
      <c r="CS31" s="126"/>
      <c r="CT31" s="126"/>
      <c r="CU31" s="59"/>
      <c r="CV31" s="56"/>
      <c r="CW31" s="56"/>
      <c r="CX31" s="59"/>
      <c r="CY31" s="99">
        <f t="shared" si="9"/>
        <v>0</v>
      </c>
      <c r="CZ31" s="58">
        <v>0</v>
      </c>
      <c r="DA31" s="126"/>
      <c r="DB31" s="3">
        <f t="shared" si="10"/>
        <v>0</v>
      </c>
      <c r="DC31" s="97">
        <f t="shared" si="11"/>
        <v>0</v>
      </c>
      <c r="DD31" s="59"/>
      <c r="DE31" s="95">
        <v>0</v>
      </c>
      <c r="DF31" s="64">
        <f t="shared" si="12"/>
        <v>0</v>
      </c>
      <c r="DG31" s="103">
        <f t="shared" si="13"/>
        <v>0.09</v>
      </c>
      <c r="DH31" s="65" t="str">
        <f t="shared" si="26"/>
        <v>Sí</v>
      </c>
      <c r="DI31" s="98">
        <f t="shared" si="15"/>
        <v>0.09</v>
      </c>
    </row>
    <row r="32" spans="1:114" s="16" customFormat="1" x14ac:dyDescent="0.3">
      <c r="A32" s="49">
        <v>27</v>
      </c>
      <c r="B32" s="50">
        <v>1000107941</v>
      </c>
      <c r="C32" s="51" t="s">
        <v>92</v>
      </c>
      <c r="D32" s="51" t="e" vm="1">
        <f ca="1">_xlfn.IMAGE(_xlfn.CONCAT("https://github.com/rcfdtools/R.TeachingResearchGuide/blob/main/CaseUse/.student/",B32,".jpg?raw=true"))</f>
        <v>#VALUE!</v>
      </c>
      <c r="E32" s="52" t="s">
        <v>96</v>
      </c>
      <c r="F32" s="53" t="s">
        <v>123</v>
      </c>
      <c r="G32" s="54">
        <v>0</v>
      </c>
      <c r="H32" s="54">
        <v>0</v>
      </c>
      <c r="I32" s="54"/>
      <c r="J32" s="54"/>
      <c r="K32" s="54"/>
      <c r="L32" s="54"/>
      <c r="M32" s="124"/>
      <c r="N32" s="38"/>
      <c r="O32" s="240" t="str">
        <f t="shared" si="16"/>
        <v>941</v>
      </c>
      <c r="P32" s="240"/>
      <c r="Q32" s="38"/>
      <c r="R32" s="186"/>
      <c r="S32" s="154"/>
      <c r="T32" s="55">
        <v>5</v>
      </c>
      <c r="U32" s="56">
        <v>5</v>
      </c>
      <c r="V32" s="56"/>
      <c r="W32" s="56"/>
      <c r="X32" s="56"/>
      <c r="Y32" s="56"/>
      <c r="Z32" s="56"/>
      <c r="AA32" s="56"/>
      <c r="AB32" s="56"/>
      <c r="AC32" s="56"/>
      <c r="AD32" s="56"/>
      <c r="AE32" s="56"/>
      <c r="AF32" s="56"/>
      <c r="AG32" s="56"/>
      <c r="AH32" s="56"/>
      <c r="AI32" s="57">
        <f t="shared" si="1"/>
        <v>5</v>
      </c>
      <c r="AJ32" s="58">
        <v>0</v>
      </c>
      <c r="AK32" s="59"/>
      <c r="AL32" s="56"/>
      <c r="AM32" s="59"/>
      <c r="AN32" s="59"/>
      <c r="AO32" s="59"/>
      <c r="AP32" s="59"/>
      <c r="AQ32" s="3">
        <f t="shared" si="2"/>
        <v>0</v>
      </c>
      <c r="AR32" s="58">
        <v>0</v>
      </c>
      <c r="AS32" s="59"/>
      <c r="AT32" s="3">
        <f t="shared" si="3"/>
        <v>0</v>
      </c>
      <c r="AU32" s="58" t="s">
        <v>32</v>
      </c>
      <c r="AV32" s="60"/>
      <c r="AW32" s="61">
        <f t="shared" si="4"/>
        <v>0.3</v>
      </c>
      <c r="AX32" s="55">
        <v>0</v>
      </c>
      <c r="AY32" s="56"/>
      <c r="AZ32" s="56"/>
      <c r="BA32" s="56"/>
      <c r="BB32" s="56"/>
      <c r="BC32" s="56"/>
      <c r="BD32" s="56"/>
      <c r="BE32" s="56"/>
      <c r="BF32" s="56"/>
      <c r="BG32" s="56"/>
      <c r="BH32" s="56"/>
      <c r="BI32" s="56"/>
      <c r="BJ32" s="56"/>
      <c r="BK32" s="56"/>
      <c r="BL32" s="56"/>
      <c r="BM32" s="62">
        <f t="shared" si="24"/>
        <v>0</v>
      </c>
      <c r="BN32" s="55">
        <v>0</v>
      </c>
      <c r="BO32" s="27"/>
      <c r="BP32" s="91"/>
      <c r="BQ32" s="91"/>
      <c r="BR32" s="27"/>
      <c r="BS32" s="27"/>
      <c r="BT32" s="27"/>
      <c r="BU32" s="63">
        <f t="shared" si="6"/>
        <v>0</v>
      </c>
      <c r="BV32" s="55">
        <v>0</v>
      </c>
      <c r="BW32" s="27"/>
      <c r="BX32" s="63">
        <f t="shared" si="7"/>
        <v>0</v>
      </c>
      <c r="BY32" s="90" t="s">
        <v>32</v>
      </c>
      <c r="BZ32" s="92"/>
      <c r="CA32" s="61">
        <f t="shared" si="8"/>
        <v>0</v>
      </c>
      <c r="CB32" s="55">
        <v>0</v>
      </c>
      <c r="CC32" s="56"/>
      <c r="CD32" s="59"/>
      <c r="CE32" s="56"/>
      <c r="CF32" s="56"/>
      <c r="CG32" s="56"/>
      <c r="CH32" s="56"/>
      <c r="CI32" s="56"/>
      <c r="CJ32" s="56"/>
      <c r="CK32" s="56"/>
      <c r="CL32" s="56"/>
      <c r="CM32" s="56"/>
      <c r="CN32" s="56"/>
      <c r="CO32" s="56"/>
      <c r="CP32" s="56"/>
      <c r="CQ32" s="62">
        <f t="shared" si="25"/>
        <v>0</v>
      </c>
      <c r="CR32" s="58">
        <v>0</v>
      </c>
      <c r="CS32" s="126"/>
      <c r="CT32" s="126"/>
      <c r="CU32" s="59"/>
      <c r="CV32" s="56"/>
      <c r="CW32" s="56"/>
      <c r="CX32" s="59"/>
      <c r="CY32" s="99">
        <f t="shared" si="9"/>
        <v>0</v>
      </c>
      <c r="CZ32" s="58">
        <v>0</v>
      </c>
      <c r="DA32" s="126"/>
      <c r="DB32" s="3">
        <f t="shared" si="10"/>
        <v>0</v>
      </c>
      <c r="DC32" s="97">
        <f t="shared" si="11"/>
        <v>0</v>
      </c>
      <c r="DD32" s="59"/>
      <c r="DE32" s="95">
        <v>0</v>
      </c>
      <c r="DF32" s="64">
        <f t="shared" si="12"/>
        <v>0</v>
      </c>
      <c r="DG32" s="103">
        <f t="shared" si="13"/>
        <v>0.09</v>
      </c>
      <c r="DH32" s="65" t="str">
        <f t="shared" si="26"/>
        <v>Sí</v>
      </c>
      <c r="DI32" s="98">
        <f t="shared" si="15"/>
        <v>0.09</v>
      </c>
    </row>
    <row r="33" spans="1:113" s="16" customFormat="1" x14ac:dyDescent="0.3">
      <c r="A33" s="49">
        <v>28</v>
      </c>
      <c r="B33" s="50">
        <v>1000096189</v>
      </c>
      <c r="C33" s="51" t="s">
        <v>93</v>
      </c>
      <c r="D33" s="51" t="e" vm="1">
        <f t="shared" ca="1" si="23"/>
        <v>#VALUE!</v>
      </c>
      <c r="E33" s="52" t="s">
        <v>96</v>
      </c>
      <c r="F33" s="53" t="s">
        <v>124</v>
      </c>
      <c r="G33" s="54">
        <v>0</v>
      </c>
      <c r="H33" s="54">
        <v>0</v>
      </c>
      <c r="I33" s="54"/>
      <c r="J33" s="54"/>
      <c r="K33" s="54"/>
      <c r="L33" s="54"/>
      <c r="M33" s="124"/>
      <c r="N33" s="38"/>
      <c r="O33" s="240" t="str">
        <f t="shared" si="16"/>
        <v>189</v>
      </c>
      <c r="P33" s="240"/>
      <c r="Q33" s="38"/>
      <c r="R33" s="186"/>
      <c r="S33" s="154"/>
      <c r="T33" s="55">
        <v>5</v>
      </c>
      <c r="U33" s="56">
        <v>5</v>
      </c>
      <c r="V33" s="56"/>
      <c r="W33" s="56"/>
      <c r="X33" s="56"/>
      <c r="Y33" s="56"/>
      <c r="Z33" s="56"/>
      <c r="AA33" s="56"/>
      <c r="AB33" s="56"/>
      <c r="AC33" s="56"/>
      <c r="AD33" s="56"/>
      <c r="AE33" s="56"/>
      <c r="AF33" s="56"/>
      <c r="AG33" s="56"/>
      <c r="AH33" s="56"/>
      <c r="AI33" s="57">
        <f t="shared" si="1"/>
        <v>5</v>
      </c>
      <c r="AJ33" s="58">
        <v>0</v>
      </c>
      <c r="AK33" s="59"/>
      <c r="AL33" s="56"/>
      <c r="AM33" s="59"/>
      <c r="AN33" s="59"/>
      <c r="AO33" s="59"/>
      <c r="AP33" s="59"/>
      <c r="AQ33" s="3">
        <f t="shared" si="2"/>
        <v>0</v>
      </c>
      <c r="AR33" s="58">
        <v>0</v>
      </c>
      <c r="AS33" s="59"/>
      <c r="AT33" s="3">
        <f t="shared" si="3"/>
        <v>0</v>
      </c>
      <c r="AU33" s="58" t="s">
        <v>32</v>
      </c>
      <c r="AV33" s="60"/>
      <c r="AW33" s="61">
        <f t="shared" si="4"/>
        <v>0.3</v>
      </c>
      <c r="AX33" s="55">
        <v>0</v>
      </c>
      <c r="AY33" s="56"/>
      <c r="AZ33" s="56"/>
      <c r="BA33" s="56"/>
      <c r="BB33" s="56"/>
      <c r="BC33" s="56"/>
      <c r="BD33" s="56"/>
      <c r="BE33" s="56"/>
      <c r="BF33" s="56"/>
      <c r="BG33" s="56"/>
      <c r="BH33" s="56"/>
      <c r="BI33" s="56"/>
      <c r="BJ33" s="56"/>
      <c r="BK33" s="56"/>
      <c r="BL33" s="56"/>
      <c r="BM33" s="62">
        <f t="shared" si="24"/>
        <v>0</v>
      </c>
      <c r="BN33" s="55">
        <v>0</v>
      </c>
      <c r="BO33" s="27"/>
      <c r="BP33" s="91"/>
      <c r="BQ33" s="91"/>
      <c r="BR33" s="27"/>
      <c r="BS33" s="27"/>
      <c r="BT33" s="27"/>
      <c r="BU33" s="63">
        <f t="shared" si="6"/>
        <v>0</v>
      </c>
      <c r="BV33" s="55">
        <v>0</v>
      </c>
      <c r="BW33" s="27"/>
      <c r="BX33" s="63">
        <f t="shared" si="7"/>
        <v>0</v>
      </c>
      <c r="BY33" s="90" t="s">
        <v>32</v>
      </c>
      <c r="BZ33" s="92"/>
      <c r="CA33" s="61">
        <f t="shared" si="8"/>
        <v>0</v>
      </c>
      <c r="CB33" s="55">
        <v>0</v>
      </c>
      <c r="CC33" s="56"/>
      <c r="CD33" s="59"/>
      <c r="CE33" s="56"/>
      <c r="CF33" s="56"/>
      <c r="CG33" s="56"/>
      <c r="CH33" s="56"/>
      <c r="CI33" s="56"/>
      <c r="CJ33" s="56"/>
      <c r="CK33" s="56"/>
      <c r="CL33" s="56"/>
      <c r="CM33" s="56"/>
      <c r="CN33" s="56"/>
      <c r="CO33" s="56"/>
      <c r="CP33" s="56"/>
      <c r="CQ33" s="62">
        <f t="shared" si="25"/>
        <v>0</v>
      </c>
      <c r="CR33" s="58">
        <v>0</v>
      </c>
      <c r="CS33" s="126"/>
      <c r="CT33" s="126"/>
      <c r="CU33" s="59"/>
      <c r="CV33" s="56"/>
      <c r="CW33" s="56"/>
      <c r="CX33" s="59"/>
      <c r="CY33" s="99">
        <f t="shared" si="9"/>
        <v>0</v>
      </c>
      <c r="CZ33" s="58">
        <v>0</v>
      </c>
      <c r="DA33" s="126"/>
      <c r="DB33" s="3">
        <f t="shared" si="10"/>
        <v>0</v>
      </c>
      <c r="DC33" s="97">
        <f t="shared" si="11"/>
        <v>0</v>
      </c>
      <c r="DD33" s="59"/>
      <c r="DE33" s="95">
        <v>0</v>
      </c>
      <c r="DF33" s="64">
        <f t="shared" si="12"/>
        <v>0</v>
      </c>
      <c r="DG33" s="103">
        <f t="shared" si="13"/>
        <v>0.09</v>
      </c>
      <c r="DH33" s="65" t="str">
        <f t="shared" si="26"/>
        <v>Sí</v>
      </c>
      <c r="DI33" s="98">
        <f t="shared" si="15"/>
        <v>0.09</v>
      </c>
    </row>
    <row r="34" spans="1:113" s="16" customFormat="1" x14ac:dyDescent="0.3">
      <c r="A34" s="49">
        <v>29</v>
      </c>
      <c r="B34" s="50">
        <v>1000109403</v>
      </c>
      <c r="C34" s="51" t="s">
        <v>155</v>
      </c>
      <c r="D34" s="51" t="e" vm="1">
        <f ca="1">_xlfn.IMAGE(_xlfn.CONCAT("https://github.com/rcfdtools/R.TeachingResearchGuide/blob/main/CaseUse/.student/",B34,".jpg?raw=true"))</f>
        <v>#VALUE!</v>
      </c>
      <c r="E34" s="52" t="s">
        <v>96</v>
      </c>
      <c r="F34" s="53" t="s">
        <v>125</v>
      </c>
      <c r="G34" s="54">
        <v>0</v>
      </c>
      <c r="H34" s="54">
        <v>0</v>
      </c>
      <c r="I34" s="54"/>
      <c r="J34" s="54"/>
      <c r="K34" s="54"/>
      <c r="L34" s="54"/>
      <c r="M34" s="124"/>
      <c r="N34" s="38"/>
      <c r="O34" s="240" t="str">
        <f t="shared" si="16"/>
        <v>403</v>
      </c>
      <c r="P34" s="240">
        <v>29</v>
      </c>
      <c r="Q34" s="38" t="s">
        <v>153</v>
      </c>
      <c r="R34" s="186">
        <v>2</v>
      </c>
      <c r="S34" s="192" t="s">
        <v>154</v>
      </c>
      <c r="T34" s="55">
        <v>5</v>
      </c>
      <c r="U34" s="56">
        <v>5</v>
      </c>
      <c r="V34" s="56"/>
      <c r="W34" s="56"/>
      <c r="X34" s="56"/>
      <c r="Y34" s="56"/>
      <c r="Z34" s="56"/>
      <c r="AA34" s="56"/>
      <c r="AB34" s="56"/>
      <c r="AC34" s="56"/>
      <c r="AD34" s="56"/>
      <c r="AE34" s="56"/>
      <c r="AF34" s="56"/>
      <c r="AG34" s="56"/>
      <c r="AH34" s="56"/>
      <c r="AI34" s="57">
        <f t="shared" si="1"/>
        <v>5</v>
      </c>
      <c r="AJ34" s="58">
        <v>0</v>
      </c>
      <c r="AK34" s="59"/>
      <c r="AL34" s="56"/>
      <c r="AM34" s="59"/>
      <c r="AN34" s="59"/>
      <c r="AO34" s="59"/>
      <c r="AP34" s="59"/>
      <c r="AQ34" s="3">
        <f t="shared" si="2"/>
        <v>0</v>
      </c>
      <c r="AR34" s="58">
        <v>0</v>
      </c>
      <c r="AS34" s="59"/>
      <c r="AT34" s="3">
        <f t="shared" si="3"/>
        <v>0</v>
      </c>
      <c r="AU34" s="58" t="s">
        <v>32</v>
      </c>
      <c r="AV34" s="60"/>
      <c r="AW34" s="61">
        <f t="shared" si="4"/>
        <v>0.3</v>
      </c>
      <c r="AX34" s="55">
        <v>0</v>
      </c>
      <c r="AY34" s="56"/>
      <c r="AZ34" s="56"/>
      <c r="BA34" s="56"/>
      <c r="BB34" s="56"/>
      <c r="BC34" s="56"/>
      <c r="BD34" s="56"/>
      <c r="BE34" s="56"/>
      <c r="BF34" s="56"/>
      <c r="BG34" s="56"/>
      <c r="BH34" s="56"/>
      <c r="BI34" s="56"/>
      <c r="BJ34" s="56"/>
      <c r="BK34" s="56"/>
      <c r="BL34" s="56"/>
      <c r="BM34" s="62">
        <f t="shared" si="24"/>
        <v>0</v>
      </c>
      <c r="BN34" s="55">
        <v>0</v>
      </c>
      <c r="BO34" s="27"/>
      <c r="BP34" s="91"/>
      <c r="BQ34" s="91"/>
      <c r="BR34" s="27"/>
      <c r="BS34" s="27"/>
      <c r="BT34" s="27"/>
      <c r="BU34" s="63">
        <f t="shared" si="6"/>
        <v>0</v>
      </c>
      <c r="BV34" s="55">
        <v>0</v>
      </c>
      <c r="BW34" s="27"/>
      <c r="BX34" s="63">
        <f t="shared" si="7"/>
        <v>0</v>
      </c>
      <c r="BY34" s="90" t="s">
        <v>32</v>
      </c>
      <c r="BZ34" s="92"/>
      <c r="CA34" s="61">
        <f t="shared" si="8"/>
        <v>0</v>
      </c>
      <c r="CB34" s="55">
        <v>0</v>
      </c>
      <c r="CC34" s="56"/>
      <c r="CD34" s="59"/>
      <c r="CE34" s="56"/>
      <c r="CF34" s="56"/>
      <c r="CG34" s="56"/>
      <c r="CH34" s="56"/>
      <c r="CI34" s="56"/>
      <c r="CJ34" s="56"/>
      <c r="CK34" s="56"/>
      <c r="CL34" s="56"/>
      <c r="CM34" s="56"/>
      <c r="CN34" s="56"/>
      <c r="CO34" s="56"/>
      <c r="CP34" s="56"/>
      <c r="CQ34" s="62">
        <f t="shared" si="25"/>
        <v>0</v>
      </c>
      <c r="CR34" s="58">
        <v>0</v>
      </c>
      <c r="CS34" s="126"/>
      <c r="CT34" s="126"/>
      <c r="CU34" s="59"/>
      <c r="CV34" s="56"/>
      <c r="CW34" s="56"/>
      <c r="CX34" s="59"/>
      <c r="CY34" s="99">
        <f t="shared" si="9"/>
        <v>0</v>
      </c>
      <c r="CZ34" s="58">
        <v>0</v>
      </c>
      <c r="DA34" s="126"/>
      <c r="DB34" s="3">
        <f t="shared" si="10"/>
        <v>0</v>
      </c>
      <c r="DC34" s="97">
        <f t="shared" si="11"/>
        <v>0</v>
      </c>
      <c r="DD34" s="59"/>
      <c r="DE34" s="95">
        <v>0</v>
      </c>
      <c r="DF34" s="64">
        <f t="shared" si="12"/>
        <v>0</v>
      </c>
      <c r="DG34" s="103">
        <f t="shared" si="13"/>
        <v>0.09</v>
      </c>
      <c r="DH34" s="65" t="str">
        <f t="shared" si="26"/>
        <v>Sí</v>
      </c>
      <c r="DI34" s="98">
        <f t="shared" si="15"/>
        <v>0.09</v>
      </c>
    </row>
    <row r="35" spans="1:113" s="16" customFormat="1" x14ac:dyDescent="0.3">
      <c r="A35" s="49">
        <v>30</v>
      </c>
      <c r="B35" s="50">
        <v>1000110184</v>
      </c>
      <c r="C35" s="51" t="s">
        <v>95</v>
      </c>
      <c r="D35" s="51" t="e" vm="1">
        <f ca="1">_xlfn.IMAGE(_xlfn.CONCAT("https://github.com/rcfdtools/R.TeachingResearchGuide/blob/main/CaseUse/.student/",B35,".jpg?raw=true"))</f>
        <v>#VALUE!</v>
      </c>
      <c r="E35" s="52" t="s">
        <v>96</v>
      </c>
      <c r="F35" s="53" t="s">
        <v>126</v>
      </c>
      <c r="G35" s="54">
        <v>0</v>
      </c>
      <c r="H35" s="54">
        <v>0</v>
      </c>
      <c r="I35" s="54"/>
      <c r="J35" s="54"/>
      <c r="K35" s="54"/>
      <c r="L35" s="54"/>
      <c r="M35" s="124"/>
      <c r="N35" s="38"/>
      <c r="O35" s="240" t="str">
        <f t="shared" si="16"/>
        <v>184</v>
      </c>
      <c r="P35" s="240"/>
      <c r="Q35" s="38"/>
      <c r="R35" s="186"/>
      <c r="S35" s="154"/>
      <c r="T35" s="55">
        <v>5</v>
      </c>
      <c r="U35" s="56">
        <v>5</v>
      </c>
      <c r="V35" s="56"/>
      <c r="W35" s="56"/>
      <c r="X35" s="56"/>
      <c r="Y35" s="56"/>
      <c r="Z35" s="56"/>
      <c r="AA35" s="56"/>
      <c r="AB35" s="56"/>
      <c r="AC35" s="56"/>
      <c r="AD35" s="56"/>
      <c r="AE35" s="56"/>
      <c r="AF35" s="56"/>
      <c r="AG35" s="56"/>
      <c r="AH35" s="56"/>
      <c r="AI35" s="57">
        <f t="shared" si="1"/>
        <v>5</v>
      </c>
      <c r="AJ35" s="58">
        <v>0</v>
      </c>
      <c r="AK35" s="59"/>
      <c r="AL35" s="56"/>
      <c r="AM35" s="59"/>
      <c r="AN35" s="59"/>
      <c r="AO35" s="59"/>
      <c r="AP35" s="59"/>
      <c r="AQ35" s="3">
        <f t="shared" si="2"/>
        <v>0</v>
      </c>
      <c r="AR35" s="58">
        <v>0</v>
      </c>
      <c r="AS35" s="59"/>
      <c r="AT35" s="3">
        <f t="shared" si="3"/>
        <v>0</v>
      </c>
      <c r="AU35" s="58" t="s">
        <v>32</v>
      </c>
      <c r="AV35" s="60"/>
      <c r="AW35" s="61">
        <f t="shared" si="4"/>
        <v>0.3</v>
      </c>
      <c r="AX35" s="55">
        <v>0</v>
      </c>
      <c r="AY35" s="56"/>
      <c r="AZ35" s="56"/>
      <c r="BA35" s="56"/>
      <c r="BB35" s="56"/>
      <c r="BC35" s="56"/>
      <c r="BD35" s="56"/>
      <c r="BE35" s="56"/>
      <c r="BF35" s="56"/>
      <c r="BG35" s="56"/>
      <c r="BH35" s="56"/>
      <c r="BI35" s="56"/>
      <c r="BJ35" s="56"/>
      <c r="BK35" s="56"/>
      <c r="BL35" s="56"/>
      <c r="BM35" s="62">
        <f t="shared" si="24"/>
        <v>0</v>
      </c>
      <c r="BN35" s="55">
        <v>0</v>
      </c>
      <c r="BO35" s="27"/>
      <c r="BP35" s="91"/>
      <c r="BQ35" s="91"/>
      <c r="BR35" s="27"/>
      <c r="BS35" s="27"/>
      <c r="BT35" s="27"/>
      <c r="BU35" s="63">
        <f t="shared" si="6"/>
        <v>0</v>
      </c>
      <c r="BV35" s="55">
        <v>0</v>
      </c>
      <c r="BW35" s="27"/>
      <c r="BX35" s="63">
        <f t="shared" si="7"/>
        <v>0</v>
      </c>
      <c r="BY35" s="90" t="s">
        <v>32</v>
      </c>
      <c r="BZ35" s="92"/>
      <c r="CA35" s="61">
        <f t="shared" si="8"/>
        <v>0</v>
      </c>
      <c r="CB35" s="55">
        <v>0</v>
      </c>
      <c r="CC35" s="56"/>
      <c r="CD35" s="59"/>
      <c r="CE35" s="56"/>
      <c r="CF35" s="56"/>
      <c r="CG35" s="56"/>
      <c r="CH35" s="56"/>
      <c r="CI35" s="56"/>
      <c r="CJ35" s="56"/>
      <c r="CK35" s="56"/>
      <c r="CL35" s="56"/>
      <c r="CM35" s="56"/>
      <c r="CN35" s="56"/>
      <c r="CO35" s="56"/>
      <c r="CP35" s="56"/>
      <c r="CQ35" s="62">
        <f t="shared" si="25"/>
        <v>0</v>
      </c>
      <c r="CR35" s="58">
        <v>0</v>
      </c>
      <c r="CS35" s="126"/>
      <c r="CT35" s="126"/>
      <c r="CU35" s="59"/>
      <c r="CV35" s="56"/>
      <c r="CW35" s="56"/>
      <c r="CX35" s="59"/>
      <c r="CY35" s="99">
        <f t="shared" si="9"/>
        <v>0</v>
      </c>
      <c r="CZ35" s="58">
        <v>0</v>
      </c>
      <c r="DA35" s="126"/>
      <c r="DB35" s="3">
        <f t="shared" si="10"/>
        <v>0</v>
      </c>
      <c r="DC35" s="97">
        <f t="shared" si="11"/>
        <v>0</v>
      </c>
      <c r="DD35" s="59"/>
      <c r="DE35" s="95">
        <v>0</v>
      </c>
      <c r="DF35" s="64">
        <f t="shared" si="12"/>
        <v>0</v>
      </c>
      <c r="DG35" s="103">
        <f t="shared" si="13"/>
        <v>0.09</v>
      </c>
      <c r="DH35" s="65" t="str">
        <f t="shared" si="26"/>
        <v>Sí</v>
      </c>
      <c r="DI35" s="98">
        <f t="shared" si="15"/>
        <v>0.09</v>
      </c>
    </row>
    <row r="36" spans="1:113" s="16" customFormat="1" x14ac:dyDescent="0.3">
      <c r="A36" s="49">
        <v>31</v>
      </c>
      <c r="B36" s="50"/>
      <c r="C36" s="52"/>
      <c r="D36" s="52"/>
      <c r="E36" s="52"/>
      <c r="F36" s="53"/>
      <c r="G36" s="54"/>
      <c r="H36" s="54"/>
      <c r="I36" s="54"/>
      <c r="J36" s="54"/>
      <c r="K36" s="54"/>
      <c r="L36" s="54"/>
      <c r="M36" s="52"/>
      <c r="N36" s="28"/>
      <c r="O36" s="240" t="str">
        <f t="shared" si="16"/>
        <v/>
      </c>
      <c r="P36" s="240"/>
      <c r="Q36" s="28"/>
      <c r="R36" s="188"/>
      <c r="S36" s="155"/>
      <c r="T36" s="55"/>
      <c r="U36" s="56"/>
      <c r="V36" s="56"/>
      <c r="W36" s="56"/>
      <c r="X36" s="56"/>
      <c r="Y36" s="56"/>
      <c r="Z36" s="56"/>
      <c r="AA36" s="56"/>
      <c r="AB36" s="56"/>
      <c r="AC36" s="56"/>
      <c r="AD36" s="56"/>
      <c r="AE36" s="56"/>
      <c r="AF36" s="56"/>
      <c r="AG36" s="56"/>
      <c r="AH36" s="56"/>
      <c r="AI36" s="57"/>
      <c r="AJ36" s="58"/>
      <c r="AK36" s="59"/>
      <c r="AL36" s="59"/>
      <c r="AM36" s="59"/>
      <c r="AN36" s="59"/>
      <c r="AO36" s="59"/>
      <c r="AP36" s="59"/>
      <c r="AQ36" s="3"/>
      <c r="AR36" s="58"/>
      <c r="AS36" s="59"/>
      <c r="AT36" s="3"/>
      <c r="AU36" s="58"/>
      <c r="AV36" s="60"/>
      <c r="AW36" s="61"/>
      <c r="AX36" s="55"/>
      <c r="AY36" s="56"/>
      <c r="AZ36" s="56"/>
      <c r="BA36" s="56"/>
      <c r="BB36" s="56"/>
      <c r="BC36" s="56"/>
      <c r="BD36" s="56"/>
      <c r="BE36" s="56"/>
      <c r="BF36" s="56"/>
      <c r="BG36" s="56"/>
      <c r="BH36" s="56"/>
      <c r="BI36" s="56"/>
      <c r="BJ36" s="56"/>
      <c r="BK36" s="56"/>
      <c r="BL36" s="56"/>
      <c r="BM36" s="57"/>
      <c r="BN36" s="58"/>
      <c r="BO36" s="59"/>
      <c r="BP36" s="59"/>
      <c r="BQ36" s="59"/>
      <c r="BR36" s="59"/>
      <c r="BS36" s="59"/>
      <c r="BT36" s="59"/>
      <c r="BU36" s="3"/>
      <c r="BV36" s="58"/>
      <c r="BW36" s="59"/>
      <c r="BX36" s="3"/>
      <c r="BY36" s="58"/>
      <c r="BZ36" s="60"/>
      <c r="CA36" s="67"/>
      <c r="CB36" s="55"/>
      <c r="CC36" s="56"/>
      <c r="CD36" s="56"/>
      <c r="CE36" s="56"/>
      <c r="CF36" s="56"/>
      <c r="CG36" s="56"/>
      <c r="CH36" s="56"/>
      <c r="CI36" s="56"/>
      <c r="CJ36" s="56"/>
      <c r="CK36" s="56"/>
      <c r="CL36" s="56"/>
      <c r="CM36" s="56"/>
      <c r="CN36" s="56"/>
      <c r="CO36" s="56"/>
      <c r="CP36" s="56"/>
      <c r="CQ36" s="57"/>
      <c r="CR36" s="58"/>
      <c r="CS36" s="126"/>
      <c r="CT36" s="126"/>
      <c r="CU36" s="59"/>
      <c r="CV36" s="59"/>
      <c r="CW36" s="59"/>
      <c r="CX36" s="59"/>
      <c r="CY36" s="3"/>
      <c r="CZ36" s="58"/>
      <c r="DA36" s="126"/>
      <c r="DB36" s="3"/>
      <c r="DC36" s="97"/>
      <c r="DD36" s="59"/>
      <c r="DE36" s="95"/>
      <c r="DF36" s="64"/>
      <c r="DG36" s="68"/>
      <c r="DH36" s="65"/>
      <c r="DI36" s="69"/>
    </row>
    <row r="37" spans="1:113" s="16" customFormat="1" x14ac:dyDescent="0.3">
      <c r="A37" s="49">
        <v>32</v>
      </c>
      <c r="B37" s="50"/>
      <c r="C37" s="51"/>
      <c r="D37" s="51"/>
      <c r="E37" s="52"/>
      <c r="F37" s="53"/>
      <c r="G37" s="54"/>
      <c r="H37" s="54"/>
      <c r="I37" s="54"/>
      <c r="J37" s="54"/>
      <c r="K37" s="54"/>
      <c r="L37" s="54"/>
      <c r="M37" s="52"/>
      <c r="N37" s="28"/>
      <c r="O37" s="240" t="str">
        <f t="shared" si="16"/>
        <v/>
      </c>
      <c r="P37" s="240"/>
      <c r="Q37" s="28"/>
      <c r="R37" s="188"/>
      <c r="S37" s="155"/>
      <c r="T37" s="55"/>
      <c r="U37" s="56"/>
      <c r="V37" s="56"/>
      <c r="W37" s="56"/>
      <c r="X37" s="56"/>
      <c r="Y37" s="56"/>
      <c r="Z37" s="56"/>
      <c r="AA37" s="56"/>
      <c r="AB37" s="56"/>
      <c r="AC37" s="56"/>
      <c r="AD37" s="56"/>
      <c r="AE37" s="56"/>
      <c r="AF37" s="56"/>
      <c r="AG37" s="56"/>
      <c r="AH37" s="56"/>
      <c r="AI37" s="57"/>
      <c r="AJ37" s="58"/>
      <c r="AK37" s="59"/>
      <c r="AL37" s="59"/>
      <c r="AM37" s="59"/>
      <c r="AN37" s="59"/>
      <c r="AO37" s="59"/>
      <c r="AP37" s="59"/>
      <c r="AQ37" s="3"/>
      <c r="AR37" s="58"/>
      <c r="AS37" s="59"/>
      <c r="AT37" s="3"/>
      <c r="AU37" s="58"/>
      <c r="AV37" s="60"/>
      <c r="AW37" s="61"/>
      <c r="AX37" s="55"/>
      <c r="AY37" s="56"/>
      <c r="AZ37" s="56"/>
      <c r="BA37" s="56"/>
      <c r="BB37" s="56"/>
      <c r="BC37" s="56"/>
      <c r="BD37" s="56"/>
      <c r="BE37" s="56"/>
      <c r="BF37" s="56"/>
      <c r="BG37" s="56"/>
      <c r="BH37" s="56"/>
      <c r="BI37" s="56"/>
      <c r="BJ37" s="56"/>
      <c r="BK37" s="56"/>
      <c r="BL37" s="56"/>
      <c r="BM37" s="57"/>
      <c r="BN37" s="58"/>
      <c r="BO37" s="59"/>
      <c r="BP37" s="59"/>
      <c r="BQ37" s="59"/>
      <c r="BR37" s="59"/>
      <c r="BS37" s="59"/>
      <c r="BT37" s="59"/>
      <c r="BU37" s="3"/>
      <c r="BV37" s="58"/>
      <c r="BW37" s="59"/>
      <c r="BX37" s="3"/>
      <c r="BY37" s="58"/>
      <c r="BZ37" s="60"/>
      <c r="CA37" s="67"/>
      <c r="CB37" s="55"/>
      <c r="CC37" s="56"/>
      <c r="CD37" s="56"/>
      <c r="CE37" s="56"/>
      <c r="CF37" s="56"/>
      <c r="CG37" s="56"/>
      <c r="CH37" s="56"/>
      <c r="CI37" s="56"/>
      <c r="CJ37" s="56"/>
      <c r="CK37" s="56"/>
      <c r="CL37" s="56"/>
      <c r="CM37" s="56"/>
      <c r="CN37" s="56"/>
      <c r="CO37" s="56"/>
      <c r="CP37" s="56"/>
      <c r="CQ37" s="57"/>
      <c r="CR37" s="58"/>
      <c r="CS37" s="126"/>
      <c r="CT37" s="126"/>
      <c r="CU37" s="59"/>
      <c r="CV37" s="59"/>
      <c r="CW37" s="59"/>
      <c r="CX37" s="59"/>
      <c r="CY37" s="3"/>
      <c r="CZ37" s="58"/>
      <c r="DA37" s="126"/>
      <c r="DB37" s="3"/>
      <c r="DC37" s="97"/>
      <c r="DD37" s="59"/>
      <c r="DE37" s="95"/>
      <c r="DF37" s="64"/>
      <c r="DG37" s="68"/>
      <c r="DH37" s="65"/>
      <c r="DI37" s="69"/>
    </row>
    <row r="38" spans="1:113" s="16" customFormat="1" x14ac:dyDescent="0.3">
      <c r="A38" s="49">
        <v>33</v>
      </c>
      <c r="B38" s="50"/>
      <c r="C38" s="51"/>
      <c r="D38" s="51"/>
      <c r="E38" s="52"/>
      <c r="F38" s="53"/>
      <c r="G38" s="54"/>
      <c r="H38" s="54"/>
      <c r="I38" s="54"/>
      <c r="J38" s="54"/>
      <c r="K38" s="54"/>
      <c r="L38" s="54"/>
      <c r="M38" s="52"/>
      <c r="N38" s="28"/>
      <c r="O38" s="240" t="str">
        <f t="shared" si="16"/>
        <v/>
      </c>
      <c r="P38" s="240"/>
      <c r="Q38" s="28"/>
      <c r="R38" s="188"/>
      <c r="S38" s="155"/>
      <c r="T38" s="55"/>
      <c r="U38" s="56"/>
      <c r="V38" s="56"/>
      <c r="W38" s="56"/>
      <c r="X38" s="56"/>
      <c r="Y38" s="56"/>
      <c r="Z38" s="56"/>
      <c r="AA38" s="56"/>
      <c r="AB38" s="56"/>
      <c r="AC38" s="56"/>
      <c r="AD38" s="56"/>
      <c r="AE38" s="56"/>
      <c r="AF38" s="56"/>
      <c r="AG38" s="56"/>
      <c r="AH38" s="56"/>
      <c r="AI38" s="57"/>
      <c r="AJ38" s="58"/>
      <c r="AK38" s="59"/>
      <c r="AL38" s="59"/>
      <c r="AM38" s="59"/>
      <c r="AN38" s="59"/>
      <c r="AO38" s="59"/>
      <c r="AP38" s="59"/>
      <c r="AQ38" s="3"/>
      <c r="AR38" s="58"/>
      <c r="AS38" s="59"/>
      <c r="AT38" s="3"/>
      <c r="AU38" s="58"/>
      <c r="AV38" s="60"/>
      <c r="AW38" s="61"/>
      <c r="AX38" s="55"/>
      <c r="AY38" s="56"/>
      <c r="AZ38" s="56"/>
      <c r="BA38" s="56"/>
      <c r="BB38" s="56"/>
      <c r="BC38" s="56"/>
      <c r="BD38" s="56"/>
      <c r="BE38" s="56"/>
      <c r="BF38" s="56"/>
      <c r="BG38" s="56"/>
      <c r="BH38" s="56"/>
      <c r="BI38" s="56"/>
      <c r="BJ38" s="56"/>
      <c r="BK38" s="56"/>
      <c r="BL38" s="56"/>
      <c r="BM38" s="57"/>
      <c r="BN38" s="58"/>
      <c r="BO38" s="59"/>
      <c r="BP38" s="59"/>
      <c r="BQ38" s="59"/>
      <c r="BR38" s="59"/>
      <c r="BS38" s="59"/>
      <c r="BT38" s="59"/>
      <c r="BU38" s="3"/>
      <c r="BV38" s="58"/>
      <c r="BW38" s="59"/>
      <c r="BX38" s="3"/>
      <c r="BY38" s="58"/>
      <c r="BZ38" s="60"/>
      <c r="CA38" s="67"/>
      <c r="CB38" s="55"/>
      <c r="CC38" s="56"/>
      <c r="CD38" s="56"/>
      <c r="CE38" s="56"/>
      <c r="CF38" s="56"/>
      <c r="CG38" s="56"/>
      <c r="CH38" s="56"/>
      <c r="CI38" s="56"/>
      <c r="CJ38" s="56"/>
      <c r="CK38" s="56"/>
      <c r="CL38" s="56"/>
      <c r="CM38" s="56"/>
      <c r="CN38" s="56"/>
      <c r="CO38" s="56"/>
      <c r="CP38" s="56"/>
      <c r="CQ38" s="57"/>
      <c r="CR38" s="58"/>
      <c r="CS38" s="126"/>
      <c r="CT38" s="126"/>
      <c r="CU38" s="59"/>
      <c r="CV38" s="59"/>
      <c r="CW38" s="59"/>
      <c r="CX38" s="59"/>
      <c r="CY38" s="3"/>
      <c r="CZ38" s="58"/>
      <c r="DA38" s="126"/>
      <c r="DB38" s="3"/>
      <c r="DC38" s="97"/>
      <c r="DD38" s="59"/>
      <c r="DE38" s="95"/>
      <c r="DF38" s="64"/>
      <c r="DG38" s="68"/>
      <c r="DH38" s="65"/>
      <c r="DI38" s="69"/>
    </row>
    <row r="39" spans="1:113" s="16" customFormat="1" x14ac:dyDescent="0.3">
      <c r="A39" s="49">
        <v>34</v>
      </c>
      <c r="B39" s="50"/>
      <c r="C39" s="51"/>
      <c r="D39" s="51"/>
      <c r="E39" s="52"/>
      <c r="F39" s="53"/>
      <c r="G39" s="54"/>
      <c r="H39" s="54"/>
      <c r="I39" s="54"/>
      <c r="J39" s="54"/>
      <c r="K39" s="54"/>
      <c r="L39" s="54"/>
      <c r="M39" s="52"/>
      <c r="N39" s="28"/>
      <c r="O39" s="240" t="str">
        <f t="shared" si="16"/>
        <v/>
      </c>
      <c r="P39" s="240"/>
      <c r="Q39" s="28"/>
      <c r="R39" s="188"/>
      <c r="S39" s="155"/>
      <c r="T39" s="55"/>
      <c r="U39" s="56"/>
      <c r="V39" s="56"/>
      <c r="W39" s="56"/>
      <c r="X39" s="56"/>
      <c r="Y39" s="56"/>
      <c r="Z39" s="56"/>
      <c r="AA39" s="56"/>
      <c r="AB39" s="56"/>
      <c r="AC39" s="56"/>
      <c r="AD39" s="56"/>
      <c r="AE39" s="56"/>
      <c r="AF39" s="56"/>
      <c r="AG39" s="56"/>
      <c r="AH39" s="56"/>
      <c r="AI39" s="57"/>
      <c r="AJ39" s="58"/>
      <c r="AK39" s="59"/>
      <c r="AL39" s="59"/>
      <c r="AM39" s="59"/>
      <c r="AN39" s="59"/>
      <c r="AO39" s="59"/>
      <c r="AP39" s="59"/>
      <c r="AQ39" s="3"/>
      <c r="AR39" s="58"/>
      <c r="AS39" s="59"/>
      <c r="AT39" s="3"/>
      <c r="AU39" s="58"/>
      <c r="AV39" s="60"/>
      <c r="AW39" s="61"/>
      <c r="AX39" s="55"/>
      <c r="AY39" s="56"/>
      <c r="AZ39" s="56"/>
      <c r="BA39" s="56"/>
      <c r="BB39" s="56"/>
      <c r="BC39" s="56"/>
      <c r="BD39" s="56"/>
      <c r="BE39" s="56"/>
      <c r="BF39" s="56"/>
      <c r="BG39" s="56"/>
      <c r="BH39" s="56"/>
      <c r="BI39" s="56"/>
      <c r="BJ39" s="56"/>
      <c r="BK39" s="56"/>
      <c r="BL39" s="56"/>
      <c r="BM39" s="57"/>
      <c r="BN39" s="58"/>
      <c r="BO39" s="59"/>
      <c r="BP39" s="59"/>
      <c r="BQ39" s="59"/>
      <c r="BR39" s="59"/>
      <c r="BS39" s="59"/>
      <c r="BT39" s="59"/>
      <c r="BU39" s="3"/>
      <c r="BV39" s="58"/>
      <c r="BW39" s="59"/>
      <c r="BX39" s="3"/>
      <c r="BY39" s="58"/>
      <c r="BZ39" s="60"/>
      <c r="CA39" s="67"/>
      <c r="CB39" s="55"/>
      <c r="CC39" s="56"/>
      <c r="CD39" s="56"/>
      <c r="CE39" s="56"/>
      <c r="CF39" s="56"/>
      <c r="CG39" s="56"/>
      <c r="CH39" s="56"/>
      <c r="CI39" s="56"/>
      <c r="CJ39" s="56"/>
      <c r="CK39" s="56"/>
      <c r="CL39" s="56"/>
      <c r="CM39" s="56"/>
      <c r="CN39" s="56"/>
      <c r="CO39" s="56"/>
      <c r="CP39" s="56"/>
      <c r="CQ39" s="57"/>
      <c r="CR39" s="58"/>
      <c r="CS39" s="126"/>
      <c r="CT39" s="126"/>
      <c r="CU39" s="59"/>
      <c r="CV39" s="59"/>
      <c r="CW39" s="59"/>
      <c r="CX39" s="59"/>
      <c r="CY39" s="3"/>
      <c r="CZ39" s="58"/>
      <c r="DA39" s="126"/>
      <c r="DB39" s="3"/>
      <c r="DC39" s="97"/>
      <c r="DD39" s="59"/>
      <c r="DE39" s="95"/>
      <c r="DF39" s="64"/>
      <c r="DG39" s="68"/>
      <c r="DH39" s="65"/>
      <c r="DI39" s="69"/>
    </row>
    <row r="40" spans="1:113" s="16" customFormat="1" x14ac:dyDescent="0.3">
      <c r="A40" s="49">
        <v>35</v>
      </c>
      <c r="B40" s="50"/>
      <c r="C40" s="51"/>
      <c r="D40" s="51"/>
      <c r="E40" s="52"/>
      <c r="F40" s="53"/>
      <c r="G40" s="54"/>
      <c r="H40" s="54"/>
      <c r="I40" s="54"/>
      <c r="J40" s="54"/>
      <c r="K40" s="54"/>
      <c r="L40" s="54"/>
      <c r="M40" s="52"/>
      <c r="N40" s="28"/>
      <c r="O40" s="240" t="str">
        <f t="shared" si="16"/>
        <v/>
      </c>
      <c r="P40" s="240"/>
      <c r="Q40" s="28"/>
      <c r="R40" s="188"/>
      <c r="S40" s="155"/>
      <c r="T40" s="55"/>
      <c r="U40" s="56"/>
      <c r="V40" s="56"/>
      <c r="W40" s="56"/>
      <c r="X40" s="56"/>
      <c r="Y40" s="56"/>
      <c r="Z40" s="56"/>
      <c r="AA40" s="56"/>
      <c r="AB40" s="56"/>
      <c r="AC40" s="56"/>
      <c r="AD40" s="56"/>
      <c r="AE40" s="56"/>
      <c r="AF40" s="56"/>
      <c r="AG40" s="56"/>
      <c r="AH40" s="56"/>
      <c r="AI40" s="57"/>
      <c r="AJ40" s="58"/>
      <c r="AK40" s="59"/>
      <c r="AL40" s="59"/>
      <c r="AM40" s="59"/>
      <c r="AN40" s="59"/>
      <c r="AO40" s="59"/>
      <c r="AP40" s="59"/>
      <c r="AQ40" s="3"/>
      <c r="AR40" s="58"/>
      <c r="AS40" s="59"/>
      <c r="AT40" s="3"/>
      <c r="AU40" s="58"/>
      <c r="AV40" s="60"/>
      <c r="AW40" s="61"/>
      <c r="AX40" s="55"/>
      <c r="AY40" s="56"/>
      <c r="AZ40" s="56"/>
      <c r="BA40" s="56"/>
      <c r="BB40" s="56"/>
      <c r="BC40" s="56"/>
      <c r="BD40" s="56"/>
      <c r="BE40" s="56"/>
      <c r="BF40" s="56"/>
      <c r="BG40" s="56"/>
      <c r="BH40" s="56"/>
      <c r="BI40" s="56"/>
      <c r="BJ40" s="56"/>
      <c r="BK40" s="56"/>
      <c r="BL40" s="56"/>
      <c r="BM40" s="57"/>
      <c r="BN40" s="58"/>
      <c r="BO40" s="59"/>
      <c r="BP40" s="59"/>
      <c r="BQ40" s="59"/>
      <c r="BR40" s="59"/>
      <c r="BS40" s="59"/>
      <c r="BT40" s="59"/>
      <c r="BU40" s="3"/>
      <c r="BV40" s="58"/>
      <c r="BW40" s="59"/>
      <c r="BX40" s="3"/>
      <c r="BY40" s="58"/>
      <c r="BZ40" s="60"/>
      <c r="CA40" s="67"/>
      <c r="CB40" s="55"/>
      <c r="CC40" s="56"/>
      <c r="CD40" s="56"/>
      <c r="CE40" s="56"/>
      <c r="CF40" s="56"/>
      <c r="CG40" s="56"/>
      <c r="CH40" s="56"/>
      <c r="CI40" s="56"/>
      <c r="CJ40" s="56"/>
      <c r="CK40" s="56"/>
      <c r="CL40" s="56"/>
      <c r="CM40" s="56"/>
      <c r="CN40" s="56"/>
      <c r="CO40" s="56"/>
      <c r="CP40" s="56"/>
      <c r="CQ40" s="57"/>
      <c r="CR40" s="58"/>
      <c r="CS40" s="126"/>
      <c r="CT40" s="126"/>
      <c r="CU40" s="59"/>
      <c r="CV40" s="59"/>
      <c r="CW40" s="59"/>
      <c r="CX40" s="59"/>
      <c r="CY40" s="3"/>
      <c r="CZ40" s="58"/>
      <c r="DA40" s="126"/>
      <c r="DB40" s="3"/>
      <c r="DC40" s="97"/>
      <c r="DD40" s="59"/>
      <c r="DE40" s="95"/>
      <c r="DF40" s="64"/>
      <c r="DG40" s="68"/>
      <c r="DH40" s="65"/>
      <c r="DI40" s="69"/>
    </row>
    <row r="41" spans="1:113" s="16" customFormat="1" x14ac:dyDescent="0.3">
      <c r="A41" s="49">
        <v>36</v>
      </c>
      <c r="B41" s="50"/>
      <c r="C41" s="51"/>
      <c r="D41" s="51"/>
      <c r="E41" s="52"/>
      <c r="F41" s="53"/>
      <c r="G41" s="54"/>
      <c r="H41" s="54"/>
      <c r="I41" s="54"/>
      <c r="J41" s="54"/>
      <c r="K41" s="54"/>
      <c r="L41" s="54"/>
      <c r="M41" s="52"/>
      <c r="N41" s="28"/>
      <c r="O41" s="240" t="str">
        <f t="shared" si="16"/>
        <v/>
      </c>
      <c r="P41" s="240"/>
      <c r="Q41" s="28"/>
      <c r="R41" s="188"/>
      <c r="S41" s="155"/>
      <c r="T41" s="55"/>
      <c r="U41" s="56"/>
      <c r="V41" s="56"/>
      <c r="W41" s="56"/>
      <c r="X41" s="56"/>
      <c r="Y41" s="56"/>
      <c r="Z41" s="56"/>
      <c r="AA41" s="56"/>
      <c r="AB41" s="56"/>
      <c r="AC41" s="56"/>
      <c r="AD41" s="56"/>
      <c r="AE41" s="56"/>
      <c r="AF41" s="56"/>
      <c r="AG41" s="56"/>
      <c r="AH41" s="56"/>
      <c r="AI41" s="57"/>
      <c r="AJ41" s="58"/>
      <c r="AK41" s="59"/>
      <c r="AL41" s="59"/>
      <c r="AM41" s="59"/>
      <c r="AN41" s="59"/>
      <c r="AO41" s="59"/>
      <c r="AP41" s="59"/>
      <c r="AQ41" s="3"/>
      <c r="AR41" s="58"/>
      <c r="AS41" s="59"/>
      <c r="AT41" s="3"/>
      <c r="AU41" s="58"/>
      <c r="AV41" s="60"/>
      <c r="AW41" s="61"/>
      <c r="AX41" s="55"/>
      <c r="AY41" s="56"/>
      <c r="AZ41" s="56"/>
      <c r="BA41" s="56"/>
      <c r="BB41" s="56"/>
      <c r="BC41" s="56"/>
      <c r="BD41" s="56"/>
      <c r="BE41" s="56"/>
      <c r="BF41" s="56"/>
      <c r="BG41" s="56"/>
      <c r="BH41" s="56"/>
      <c r="BI41" s="56"/>
      <c r="BJ41" s="56"/>
      <c r="BK41" s="56"/>
      <c r="BL41" s="56"/>
      <c r="BM41" s="57"/>
      <c r="BN41" s="58"/>
      <c r="BO41" s="59"/>
      <c r="BP41" s="59"/>
      <c r="BQ41" s="59"/>
      <c r="BR41" s="59"/>
      <c r="BS41" s="59"/>
      <c r="BT41" s="59"/>
      <c r="BU41" s="3"/>
      <c r="BV41" s="58"/>
      <c r="BW41" s="59"/>
      <c r="BX41" s="3"/>
      <c r="BY41" s="58"/>
      <c r="BZ41" s="60"/>
      <c r="CA41" s="67"/>
      <c r="CB41" s="55"/>
      <c r="CC41" s="56"/>
      <c r="CD41" s="56"/>
      <c r="CE41" s="56"/>
      <c r="CF41" s="56"/>
      <c r="CG41" s="56"/>
      <c r="CH41" s="56"/>
      <c r="CI41" s="56"/>
      <c r="CJ41" s="56"/>
      <c r="CK41" s="56"/>
      <c r="CL41" s="56"/>
      <c r="CM41" s="56"/>
      <c r="CN41" s="56"/>
      <c r="CO41" s="56"/>
      <c r="CP41" s="56"/>
      <c r="CQ41" s="57"/>
      <c r="CR41" s="58"/>
      <c r="CS41" s="126"/>
      <c r="CT41" s="126"/>
      <c r="CU41" s="59"/>
      <c r="CV41" s="59"/>
      <c r="CW41" s="59"/>
      <c r="CX41" s="59"/>
      <c r="CY41" s="3"/>
      <c r="CZ41" s="58"/>
      <c r="DA41" s="126"/>
      <c r="DB41" s="3"/>
      <c r="DC41" s="97"/>
      <c r="DD41" s="59"/>
      <c r="DE41" s="95"/>
      <c r="DF41" s="64"/>
      <c r="DG41" s="68"/>
      <c r="DH41" s="65"/>
      <c r="DI41" s="69"/>
    </row>
    <row r="42" spans="1:113" s="16" customFormat="1" x14ac:dyDescent="0.3">
      <c r="A42" s="49">
        <v>37</v>
      </c>
      <c r="B42" s="50"/>
      <c r="C42" s="51"/>
      <c r="D42" s="51"/>
      <c r="E42" s="52"/>
      <c r="F42" s="53"/>
      <c r="G42" s="54"/>
      <c r="H42" s="54"/>
      <c r="I42" s="54"/>
      <c r="J42" s="54"/>
      <c r="K42" s="54"/>
      <c r="L42" s="54"/>
      <c r="M42" s="52"/>
      <c r="N42" s="28"/>
      <c r="O42" s="240" t="str">
        <f t="shared" si="16"/>
        <v/>
      </c>
      <c r="P42" s="240"/>
      <c r="Q42" s="28"/>
      <c r="R42" s="188"/>
      <c r="S42" s="155"/>
      <c r="T42" s="55"/>
      <c r="U42" s="56"/>
      <c r="V42" s="56"/>
      <c r="W42" s="56"/>
      <c r="X42" s="56"/>
      <c r="Y42" s="56"/>
      <c r="Z42" s="56"/>
      <c r="AA42" s="56"/>
      <c r="AB42" s="56"/>
      <c r="AC42" s="56"/>
      <c r="AD42" s="56"/>
      <c r="AE42" s="56"/>
      <c r="AF42" s="56"/>
      <c r="AG42" s="56"/>
      <c r="AH42" s="56"/>
      <c r="AI42" s="57"/>
      <c r="AJ42" s="58"/>
      <c r="AK42" s="59"/>
      <c r="AL42" s="59"/>
      <c r="AM42" s="59"/>
      <c r="AN42" s="59"/>
      <c r="AO42" s="59"/>
      <c r="AP42" s="59"/>
      <c r="AQ42" s="3"/>
      <c r="AR42" s="58"/>
      <c r="AS42" s="59"/>
      <c r="AT42" s="3"/>
      <c r="AU42" s="58"/>
      <c r="AV42" s="60"/>
      <c r="AW42" s="61"/>
      <c r="AX42" s="55"/>
      <c r="AY42" s="56"/>
      <c r="AZ42" s="56"/>
      <c r="BA42" s="56"/>
      <c r="BB42" s="56"/>
      <c r="BC42" s="56"/>
      <c r="BD42" s="56"/>
      <c r="BE42" s="56"/>
      <c r="BF42" s="56"/>
      <c r="BG42" s="56"/>
      <c r="BH42" s="56"/>
      <c r="BI42" s="56"/>
      <c r="BJ42" s="56"/>
      <c r="BK42" s="56"/>
      <c r="BL42" s="56"/>
      <c r="BM42" s="57"/>
      <c r="BN42" s="58"/>
      <c r="BO42" s="59"/>
      <c r="BP42" s="59"/>
      <c r="BQ42" s="59"/>
      <c r="BR42" s="59"/>
      <c r="BS42" s="59"/>
      <c r="BT42" s="59"/>
      <c r="BU42" s="3"/>
      <c r="BV42" s="58"/>
      <c r="BW42" s="59"/>
      <c r="BX42" s="3"/>
      <c r="BY42" s="58"/>
      <c r="BZ42" s="60"/>
      <c r="CA42" s="67"/>
      <c r="CB42" s="55"/>
      <c r="CC42" s="56"/>
      <c r="CD42" s="56"/>
      <c r="CE42" s="56"/>
      <c r="CF42" s="56"/>
      <c r="CG42" s="56"/>
      <c r="CH42" s="56"/>
      <c r="CI42" s="56"/>
      <c r="CJ42" s="56"/>
      <c r="CK42" s="56"/>
      <c r="CL42" s="56"/>
      <c r="CM42" s="56"/>
      <c r="CN42" s="56"/>
      <c r="CO42" s="56"/>
      <c r="CP42" s="56"/>
      <c r="CQ42" s="57"/>
      <c r="CR42" s="58"/>
      <c r="CS42" s="126"/>
      <c r="CT42" s="126"/>
      <c r="CU42" s="59"/>
      <c r="CV42" s="59"/>
      <c r="CW42" s="59"/>
      <c r="CX42" s="59"/>
      <c r="CY42" s="3"/>
      <c r="CZ42" s="58"/>
      <c r="DA42" s="126"/>
      <c r="DB42" s="3"/>
      <c r="DC42" s="97"/>
      <c r="DD42" s="59"/>
      <c r="DE42" s="95"/>
      <c r="DF42" s="64"/>
      <c r="DG42" s="68"/>
      <c r="DH42" s="65"/>
      <c r="DI42" s="69"/>
    </row>
    <row r="43" spans="1:113" s="16" customFormat="1" x14ac:dyDescent="0.3">
      <c r="A43" s="49">
        <v>38</v>
      </c>
      <c r="B43" s="50"/>
      <c r="C43" s="51"/>
      <c r="D43" s="51"/>
      <c r="E43" s="52"/>
      <c r="F43" s="53"/>
      <c r="G43" s="54"/>
      <c r="H43" s="54"/>
      <c r="I43" s="54"/>
      <c r="J43" s="54"/>
      <c r="K43" s="54"/>
      <c r="L43" s="54"/>
      <c r="M43" s="52"/>
      <c r="N43" s="28"/>
      <c r="O43" s="240" t="str">
        <f t="shared" si="16"/>
        <v/>
      </c>
      <c r="P43" s="240"/>
      <c r="Q43" s="28"/>
      <c r="R43" s="188"/>
      <c r="S43" s="155"/>
      <c r="T43" s="55"/>
      <c r="U43" s="56"/>
      <c r="V43" s="56"/>
      <c r="W43" s="56"/>
      <c r="X43" s="56"/>
      <c r="Y43" s="56"/>
      <c r="Z43" s="56"/>
      <c r="AA43" s="56"/>
      <c r="AB43" s="56"/>
      <c r="AC43" s="56"/>
      <c r="AD43" s="56"/>
      <c r="AE43" s="56"/>
      <c r="AF43" s="56"/>
      <c r="AG43" s="56"/>
      <c r="AH43" s="56"/>
      <c r="AI43" s="57"/>
      <c r="AJ43" s="58"/>
      <c r="AK43" s="59"/>
      <c r="AL43" s="59"/>
      <c r="AM43" s="59"/>
      <c r="AN43" s="59"/>
      <c r="AO43" s="59"/>
      <c r="AP43" s="59"/>
      <c r="AQ43" s="3"/>
      <c r="AR43" s="58"/>
      <c r="AS43" s="59"/>
      <c r="AT43" s="3"/>
      <c r="AU43" s="58"/>
      <c r="AV43" s="60"/>
      <c r="AW43" s="61"/>
      <c r="AX43" s="55"/>
      <c r="AY43" s="56"/>
      <c r="AZ43" s="56"/>
      <c r="BA43" s="56"/>
      <c r="BB43" s="56"/>
      <c r="BC43" s="56"/>
      <c r="BD43" s="56"/>
      <c r="BE43" s="56"/>
      <c r="BF43" s="56"/>
      <c r="BG43" s="56"/>
      <c r="BH43" s="56"/>
      <c r="BI43" s="56"/>
      <c r="BJ43" s="56"/>
      <c r="BK43" s="56"/>
      <c r="BL43" s="56"/>
      <c r="BM43" s="57"/>
      <c r="BN43" s="58"/>
      <c r="BO43" s="59"/>
      <c r="BP43" s="59"/>
      <c r="BQ43" s="59"/>
      <c r="BR43" s="59"/>
      <c r="BS43" s="59"/>
      <c r="BT43" s="59"/>
      <c r="BU43" s="3"/>
      <c r="BV43" s="58"/>
      <c r="BW43" s="59"/>
      <c r="BX43" s="3"/>
      <c r="BY43" s="58"/>
      <c r="BZ43" s="60"/>
      <c r="CA43" s="67"/>
      <c r="CB43" s="55"/>
      <c r="CC43" s="56"/>
      <c r="CD43" s="56"/>
      <c r="CE43" s="56"/>
      <c r="CF43" s="56"/>
      <c r="CG43" s="56"/>
      <c r="CH43" s="56"/>
      <c r="CI43" s="56"/>
      <c r="CJ43" s="56"/>
      <c r="CK43" s="56"/>
      <c r="CL43" s="56"/>
      <c r="CM43" s="56"/>
      <c r="CN43" s="56"/>
      <c r="CO43" s="56"/>
      <c r="CP43" s="56"/>
      <c r="CQ43" s="57"/>
      <c r="CR43" s="58"/>
      <c r="CS43" s="126"/>
      <c r="CT43" s="126"/>
      <c r="CU43" s="59"/>
      <c r="CV43" s="59"/>
      <c r="CW43" s="59"/>
      <c r="CX43" s="59"/>
      <c r="CY43" s="3"/>
      <c r="CZ43" s="58"/>
      <c r="DA43" s="126"/>
      <c r="DB43" s="3"/>
      <c r="DC43" s="97"/>
      <c r="DD43" s="59"/>
      <c r="DE43" s="95"/>
      <c r="DF43" s="64"/>
      <c r="DG43" s="68"/>
      <c r="DH43" s="65"/>
      <c r="DI43" s="69"/>
    </row>
    <row r="44" spans="1:113" s="16" customFormat="1" x14ac:dyDescent="0.3">
      <c r="A44" s="49">
        <v>39</v>
      </c>
      <c r="B44" s="50"/>
      <c r="C44" s="52"/>
      <c r="D44" s="52"/>
      <c r="E44" s="52"/>
      <c r="F44" s="53"/>
      <c r="G44" s="54"/>
      <c r="H44" s="54"/>
      <c r="I44" s="54"/>
      <c r="J44" s="54"/>
      <c r="K44" s="54"/>
      <c r="L44" s="54"/>
      <c r="M44" s="52"/>
      <c r="N44" s="28"/>
      <c r="O44" s="240" t="str">
        <f t="shared" si="16"/>
        <v/>
      </c>
      <c r="P44" s="240"/>
      <c r="Q44" s="28"/>
      <c r="R44" s="188"/>
      <c r="S44" s="155"/>
      <c r="T44" s="55"/>
      <c r="U44" s="56"/>
      <c r="V44" s="56"/>
      <c r="W44" s="56"/>
      <c r="X44" s="56"/>
      <c r="Y44" s="56"/>
      <c r="Z44" s="56"/>
      <c r="AA44" s="56"/>
      <c r="AB44" s="56"/>
      <c r="AC44" s="56"/>
      <c r="AD44" s="56"/>
      <c r="AE44" s="56"/>
      <c r="AF44" s="56"/>
      <c r="AG44" s="56"/>
      <c r="AH44" s="56"/>
      <c r="AI44" s="57"/>
      <c r="AJ44" s="58"/>
      <c r="AK44" s="59"/>
      <c r="AL44" s="59"/>
      <c r="AM44" s="59"/>
      <c r="AN44" s="59"/>
      <c r="AO44" s="59"/>
      <c r="AP44" s="59"/>
      <c r="AQ44" s="3"/>
      <c r="AR44" s="58"/>
      <c r="AS44" s="59"/>
      <c r="AT44" s="3"/>
      <c r="AU44" s="58"/>
      <c r="AV44" s="60"/>
      <c r="AW44" s="61"/>
      <c r="AX44" s="55"/>
      <c r="AY44" s="56"/>
      <c r="AZ44" s="56"/>
      <c r="BA44" s="56"/>
      <c r="BB44" s="56"/>
      <c r="BC44" s="56"/>
      <c r="BD44" s="56"/>
      <c r="BE44" s="56"/>
      <c r="BF44" s="56"/>
      <c r="BG44" s="56"/>
      <c r="BH44" s="56"/>
      <c r="BI44" s="56"/>
      <c r="BJ44" s="56"/>
      <c r="BK44" s="56"/>
      <c r="BL44" s="56"/>
      <c r="BM44" s="57"/>
      <c r="BN44" s="58"/>
      <c r="BO44" s="59"/>
      <c r="BP44" s="59"/>
      <c r="BQ44" s="59"/>
      <c r="BR44" s="59"/>
      <c r="BS44" s="59"/>
      <c r="BT44" s="59"/>
      <c r="BU44" s="3"/>
      <c r="BV44" s="58"/>
      <c r="BW44" s="59"/>
      <c r="BX44" s="3"/>
      <c r="BY44" s="58"/>
      <c r="BZ44" s="60"/>
      <c r="CA44" s="67"/>
      <c r="CB44" s="55"/>
      <c r="CC44" s="56"/>
      <c r="CD44" s="56"/>
      <c r="CE44" s="56"/>
      <c r="CF44" s="56"/>
      <c r="CG44" s="56"/>
      <c r="CH44" s="56"/>
      <c r="CI44" s="56"/>
      <c r="CJ44" s="56"/>
      <c r="CK44" s="56"/>
      <c r="CL44" s="56"/>
      <c r="CM44" s="56"/>
      <c r="CN44" s="56"/>
      <c r="CO44" s="56"/>
      <c r="CP44" s="56"/>
      <c r="CQ44" s="57"/>
      <c r="CR44" s="58"/>
      <c r="CS44" s="126"/>
      <c r="CT44" s="126"/>
      <c r="CU44" s="59"/>
      <c r="CV44" s="59"/>
      <c r="CW44" s="59"/>
      <c r="CX44" s="59"/>
      <c r="CY44" s="3"/>
      <c r="CZ44" s="58"/>
      <c r="DA44" s="126"/>
      <c r="DB44" s="3"/>
      <c r="DC44" s="97"/>
      <c r="DD44" s="59"/>
      <c r="DE44" s="95"/>
      <c r="DF44" s="64"/>
      <c r="DG44" s="68"/>
      <c r="DH44" s="65"/>
      <c r="DI44" s="69"/>
    </row>
    <row r="45" spans="1:113" s="16" customFormat="1" x14ac:dyDescent="0.3">
      <c r="A45" s="49">
        <v>40</v>
      </c>
      <c r="B45" s="50"/>
      <c r="C45" s="52"/>
      <c r="D45" s="52"/>
      <c r="E45" s="52"/>
      <c r="F45" s="53"/>
      <c r="G45" s="54"/>
      <c r="H45" s="54"/>
      <c r="I45" s="54"/>
      <c r="J45" s="54"/>
      <c r="K45" s="54"/>
      <c r="L45" s="54"/>
      <c r="M45" s="52"/>
      <c r="N45" s="28"/>
      <c r="O45" s="240" t="str">
        <f t="shared" si="16"/>
        <v/>
      </c>
      <c r="P45" s="240"/>
      <c r="Q45" s="28"/>
      <c r="R45" s="188"/>
      <c r="S45" s="155"/>
      <c r="T45" s="55"/>
      <c r="U45" s="56"/>
      <c r="V45" s="56"/>
      <c r="W45" s="56"/>
      <c r="X45" s="56"/>
      <c r="Y45" s="56"/>
      <c r="Z45" s="56"/>
      <c r="AA45" s="56"/>
      <c r="AB45" s="56"/>
      <c r="AC45" s="56"/>
      <c r="AD45" s="56"/>
      <c r="AE45" s="56"/>
      <c r="AF45" s="56"/>
      <c r="AG45" s="56"/>
      <c r="AH45" s="56"/>
      <c r="AI45" s="57"/>
      <c r="AJ45" s="58"/>
      <c r="AK45" s="59"/>
      <c r="AL45" s="59"/>
      <c r="AM45" s="59"/>
      <c r="AN45" s="59"/>
      <c r="AO45" s="59"/>
      <c r="AP45" s="59"/>
      <c r="AQ45" s="3"/>
      <c r="AR45" s="58"/>
      <c r="AS45" s="59"/>
      <c r="AT45" s="3"/>
      <c r="AU45" s="58"/>
      <c r="AV45" s="60"/>
      <c r="AW45" s="61"/>
      <c r="AX45" s="55"/>
      <c r="AY45" s="56"/>
      <c r="AZ45" s="56"/>
      <c r="BA45" s="56"/>
      <c r="BB45" s="56"/>
      <c r="BC45" s="56"/>
      <c r="BD45" s="56"/>
      <c r="BE45" s="56"/>
      <c r="BF45" s="56"/>
      <c r="BG45" s="56"/>
      <c r="BH45" s="56"/>
      <c r="BI45" s="56"/>
      <c r="BJ45" s="56"/>
      <c r="BK45" s="56"/>
      <c r="BL45" s="56"/>
      <c r="BM45" s="57"/>
      <c r="BN45" s="58"/>
      <c r="BO45" s="59"/>
      <c r="BP45" s="59"/>
      <c r="BQ45" s="59"/>
      <c r="BR45" s="59"/>
      <c r="BS45" s="59"/>
      <c r="BT45" s="59"/>
      <c r="BU45" s="3"/>
      <c r="BV45" s="58"/>
      <c r="BW45" s="59"/>
      <c r="BX45" s="3"/>
      <c r="BY45" s="58"/>
      <c r="BZ45" s="60"/>
      <c r="CA45" s="67"/>
      <c r="CB45" s="55"/>
      <c r="CC45" s="56"/>
      <c r="CD45" s="56"/>
      <c r="CE45" s="56"/>
      <c r="CF45" s="56"/>
      <c r="CG45" s="56"/>
      <c r="CH45" s="56"/>
      <c r="CI45" s="56"/>
      <c r="CJ45" s="56"/>
      <c r="CK45" s="56"/>
      <c r="CL45" s="56"/>
      <c r="CM45" s="56"/>
      <c r="CN45" s="56"/>
      <c r="CO45" s="56"/>
      <c r="CP45" s="56"/>
      <c r="CQ45" s="57"/>
      <c r="CR45" s="58"/>
      <c r="CS45" s="126"/>
      <c r="CT45" s="126"/>
      <c r="CU45" s="59"/>
      <c r="CV45" s="59"/>
      <c r="CW45" s="59"/>
      <c r="CX45" s="59"/>
      <c r="CY45" s="3"/>
      <c r="CZ45" s="58"/>
      <c r="DA45" s="126"/>
      <c r="DB45" s="3"/>
      <c r="DC45" s="97"/>
      <c r="DD45" s="59"/>
      <c r="DE45" s="95"/>
      <c r="DF45" s="64"/>
      <c r="DG45" s="68"/>
      <c r="DH45" s="65"/>
      <c r="DI45" s="69"/>
    </row>
    <row r="46" spans="1:113" x14ac:dyDescent="0.3">
      <c r="B46" s="70"/>
      <c r="C46" s="71" t="s">
        <v>33</v>
      </c>
      <c r="D46" s="71"/>
      <c r="E46" s="72"/>
      <c r="F46" s="71"/>
      <c r="G46" s="73"/>
      <c r="H46" s="74"/>
      <c r="I46" s="74"/>
      <c r="J46" s="74" t="e">
        <f>AVERAGE(J6:J45)</f>
        <v>#DIV/0!</v>
      </c>
      <c r="K46" s="74" t="e">
        <f>AVERAGE(K6:K45)</f>
        <v>#DIV/0!</v>
      </c>
      <c r="L46" s="74" t="e">
        <f>AVERAGE(L6:L45)</f>
        <v>#DIV/0!</v>
      </c>
      <c r="M46" s="74"/>
      <c r="N46" s="75"/>
      <c r="O46" s="241"/>
      <c r="P46" s="241"/>
      <c r="Q46" s="75"/>
      <c r="R46" s="189"/>
      <c r="S46" s="156"/>
      <c r="T46" s="76">
        <f t="shared" ref="T46:AT46" si="27">AVERAGE(T6:T45)</f>
        <v>5</v>
      </c>
      <c r="U46" s="77">
        <f t="shared" si="27"/>
        <v>5</v>
      </c>
      <c r="V46" s="77" t="e">
        <f t="shared" si="27"/>
        <v>#DIV/0!</v>
      </c>
      <c r="W46" s="77" t="e">
        <f t="shared" si="27"/>
        <v>#DIV/0!</v>
      </c>
      <c r="X46" s="77" t="e">
        <f t="shared" si="27"/>
        <v>#DIV/0!</v>
      </c>
      <c r="Y46" s="77" t="e">
        <f t="shared" si="27"/>
        <v>#DIV/0!</v>
      </c>
      <c r="Z46" s="77" t="e">
        <f t="shared" si="27"/>
        <v>#DIV/0!</v>
      </c>
      <c r="AA46" s="77" t="e">
        <f t="shared" si="27"/>
        <v>#DIV/0!</v>
      </c>
      <c r="AB46" s="77" t="e">
        <f t="shared" si="27"/>
        <v>#DIV/0!</v>
      </c>
      <c r="AC46" s="77" t="e">
        <f t="shared" si="27"/>
        <v>#DIV/0!</v>
      </c>
      <c r="AD46" s="77"/>
      <c r="AE46" s="77"/>
      <c r="AF46" s="77"/>
      <c r="AG46" s="77"/>
      <c r="AH46" s="77" t="e">
        <f t="shared" si="27"/>
        <v>#DIV/0!</v>
      </c>
      <c r="AI46" s="78">
        <f t="shared" si="27"/>
        <v>5</v>
      </c>
      <c r="AJ46" s="76">
        <f t="shared" si="27"/>
        <v>0</v>
      </c>
      <c r="AK46" s="77" t="e">
        <f t="shared" si="27"/>
        <v>#DIV/0!</v>
      </c>
      <c r="AL46" s="77" t="e">
        <f t="shared" si="27"/>
        <v>#DIV/0!</v>
      </c>
      <c r="AM46" s="77" t="e">
        <f t="shared" si="27"/>
        <v>#DIV/0!</v>
      </c>
      <c r="AN46" s="77" t="e">
        <f t="shared" si="27"/>
        <v>#DIV/0!</v>
      </c>
      <c r="AO46" s="77" t="e">
        <f t="shared" si="27"/>
        <v>#DIV/0!</v>
      </c>
      <c r="AP46" s="77" t="e">
        <f t="shared" si="27"/>
        <v>#DIV/0!</v>
      </c>
      <c r="AQ46" s="78">
        <f t="shared" si="27"/>
        <v>0</v>
      </c>
      <c r="AR46" s="76">
        <f t="shared" si="27"/>
        <v>0</v>
      </c>
      <c r="AS46" s="77" t="e">
        <f t="shared" si="27"/>
        <v>#DIV/0!</v>
      </c>
      <c r="AT46" s="78">
        <f t="shared" si="27"/>
        <v>0</v>
      </c>
      <c r="AU46" s="76"/>
      <c r="AV46" s="79"/>
      <c r="AW46" s="78">
        <f t="shared" ref="AW46:BX46" si="28">AVERAGE(AW6:AW45)</f>
        <v>0.3</v>
      </c>
      <c r="AX46" s="76">
        <f t="shared" si="28"/>
        <v>0</v>
      </c>
      <c r="AY46" s="77" t="e">
        <f t="shared" si="28"/>
        <v>#DIV/0!</v>
      </c>
      <c r="AZ46" s="77" t="e">
        <f t="shared" si="28"/>
        <v>#DIV/0!</v>
      </c>
      <c r="BA46" s="77" t="e">
        <f t="shared" si="28"/>
        <v>#DIV/0!</v>
      </c>
      <c r="BB46" s="77" t="e">
        <f t="shared" si="28"/>
        <v>#DIV/0!</v>
      </c>
      <c r="BC46" s="77" t="e">
        <f t="shared" si="28"/>
        <v>#DIV/0!</v>
      </c>
      <c r="BD46" s="77" t="e">
        <f t="shared" si="28"/>
        <v>#DIV/0!</v>
      </c>
      <c r="BE46" s="77" t="e">
        <f t="shared" si="28"/>
        <v>#DIV/0!</v>
      </c>
      <c r="BF46" s="77" t="e">
        <f t="shared" si="28"/>
        <v>#DIV/0!</v>
      </c>
      <c r="BG46" s="77" t="e">
        <f t="shared" si="28"/>
        <v>#DIV/0!</v>
      </c>
      <c r="BH46" s="77" t="e">
        <f t="shared" si="28"/>
        <v>#DIV/0!</v>
      </c>
      <c r="BI46" s="77"/>
      <c r="BJ46" s="77"/>
      <c r="BK46" s="77"/>
      <c r="BL46" s="77" t="e">
        <f t="shared" si="28"/>
        <v>#DIV/0!</v>
      </c>
      <c r="BM46" s="78">
        <f t="shared" si="28"/>
        <v>0</v>
      </c>
      <c r="BN46" s="76">
        <f t="shared" si="28"/>
        <v>0</v>
      </c>
      <c r="BO46" s="77" t="e">
        <f t="shared" si="28"/>
        <v>#DIV/0!</v>
      </c>
      <c r="BP46" s="77" t="e">
        <f t="shared" si="28"/>
        <v>#DIV/0!</v>
      </c>
      <c r="BQ46" s="77" t="e">
        <f t="shared" si="28"/>
        <v>#DIV/0!</v>
      </c>
      <c r="BR46" s="77" t="e">
        <f t="shared" si="28"/>
        <v>#DIV/0!</v>
      </c>
      <c r="BS46" s="77" t="e">
        <f t="shared" si="28"/>
        <v>#DIV/0!</v>
      </c>
      <c r="BT46" s="77" t="e">
        <f t="shared" si="28"/>
        <v>#DIV/0!</v>
      </c>
      <c r="BU46" s="78">
        <f t="shared" si="28"/>
        <v>0</v>
      </c>
      <c r="BV46" s="76">
        <f t="shared" si="28"/>
        <v>0</v>
      </c>
      <c r="BW46" s="77" t="e">
        <f t="shared" si="28"/>
        <v>#DIV/0!</v>
      </c>
      <c r="BX46" s="78">
        <f t="shared" si="28"/>
        <v>0</v>
      </c>
      <c r="BY46" s="76"/>
      <c r="BZ46" s="79"/>
      <c r="CA46" s="78"/>
      <c r="CB46" s="76">
        <f t="shared" ref="CB46:CR46" si="29">AVERAGE(CB6:CB45)</f>
        <v>0</v>
      </c>
      <c r="CC46" s="77" t="e">
        <f t="shared" si="29"/>
        <v>#DIV/0!</v>
      </c>
      <c r="CD46" s="77" t="e">
        <f t="shared" si="29"/>
        <v>#DIV/0!</v>
      </c>
      <c r="CE46" s="77" t="e">
        <f t="shared" si="29"/>
        <v>#DIV/0!</v>
      </c>
      <c r="CF46" s="77" t="e">
        <f t="shared" si="29"/>
        <v>#DIV/0!</v>
      </c>
      <c r="CG46" s="77" t="e">
        <f t="shared" si="29"/>
        <v>#DIV/0!</v>
      </c>
      <c r="CH46" s="77" t="e">
        <f t="shared" si="29"/>
        <v>#DIV/0!</v>
      </c>
      <c r="CI46" s="77" t="e">
        <f t="shared" si="29"/>
        <v>#DIV/0!</v>
      </c>
      <c r="CJ46" s="77" t="e">
        <f t="shared" si="29"/>
        <v>#DIV/0!</v>
      </c>
      <c r="CK46" s="77" t="e">
        <f t="shared" si="29"/>
        <v>#DIV/0!</v>
      </c>
      <c r="CL46" s="77" t="e">
        <f t="shared" si="29"/>
        <v>#DIV/0!</v>
      </c>
      <c r="CM46" s="77"/>
      <c r="CN46" s="77"/>
      <c r="CO46" s="77"/>
      <c r="CP46" s="77" t="e">
        <f t="shared" si="29"/>
        <v>#DIV/0!</v>
      </c>
      <c r="CQ46" s="78">
        <f t="shared" si="29"/>
        <v>0</v>
      </c>
      <c r="CR46" s="80">
        <f t="shared" si="29"/>
        <v>0</v>
      </c>
      <c r="CS46" s="127"/>
      <c r="CT46" s="127"/>
      <c r="CU46" s="81" t="e">
        <f t="shared" ref="CU46:CZ46" si="30">AVERAGE(CU6:CU45)</f>
        <v>#DIV/0!</v>
      </c>
      <c r="CV46" s="81" t="e">
        <f t="shared" si="30"/>
        <v>#DIV/0!</v>
      </c>
      <c r="CW46" s="77" t="e">
        <f t="shared" si="30"/>
        <v>#DIV/0!</v>
      </c>
      <c r="CX46" s="77" t="e">
        <f t="shared" si="30"/>
        <v>#DIV/0!</v>
      </c>
      <c r="CY46" s="78">
        <f t="shared" si="30"/>
        <v>0</v>
      </c>
      <c r="CZ46" s="80">
        <f t="shared" si="30"/>
        <v>0</v>
      </c>
      <c r="DA46" s="127"/>
      <c r="DB46" s="78">
        <f t="shared" ref="DB46" si="31">AVERAGE(DB6:DB45)</f>
        <v>0</v>
      </c>
      <c r="DC46" s="76"/>
      <c r="DD46" s="77"/>
      <c r="DE46" s="96"/>
      <c r="DF46" s="78">
        <f>AVERAGE(DF6:DF45)</f>
        <v>0</v>
      </c>
      <c r="DG46" s="82"/>
      <c r="DH46" s="83"/>
      <c r="DI46" s="84"/>
    </row>
    <row r="47" spans="1:113" x14ac:dyDescent="0.3">
      <c r="F47" s="8"/>
      <c r="G47" s="15"/>
      <c r="H47" s="8"/>
      <c r="I47" s="8"/>
      <c r="J47" s="8"/>
      <c r="K47" s="8"/>
      <c r="L47" s="8"/>
      <c r="M47" s="8"/>
      <c r="N47" s="8"/>
      <c r="O47" s="15"/>
      <c r="P47" s="15"/>
      <c r="Q47" s="8"/>
      <c r="R47" s="15"/>
      <c r="S47" s="8"/>
      <c r="T47" s="8"/>
      <c r="U47" s="8"/>
      <c r="V47" s="8"/>
      <c r="W47" s="8"/>
      <c r="X47" s="8"/>
      <c r="Y47" s="8"/>
      <c r="Z47" s="8"/>
      <c r="AA47" s="8"/>
      <c r="AB47" s="8"/>
      <c r="AC47" s="8"/>
      <c r="AD47" s="8"/>
      <c r="AE47" s="8"/>
      <c r="AF47" s="8"/>
      <c r="AG47" s="8"/>
      <c r="AH47" s="8"/>
      <c r="AI47" s="15"/>
      <c r="AJ47" s="14"/>
      <c r="AK47" s="14"/>
      <c r="AL47" s="14"/>
      <c r="AM47" s="14"/>
      <c r="AN47" s="14"/>
      <c r="AO47" s="14"/>
      <c r="AP47" s="14"/>
      <c r="AQ47" s="14"/>
      <c r="AR47" s="14"/>
      <c r="AS47" s="14"/>
      <c r="AT47" s="14"/>
      <c r="AU47" s="14"/>
      <c r="AV47" s="14"/>
      <c r="AX47" s="8"/>
      <c r="AY47" s="8"/>
      <c r="AZ47" s="8"/>
      <c r="BA47" s="8"/>
      <c r="BB47" s="8"/>
      <c r="BC47" s="8"/>
      <c r="BD47" s="8"/>
      <c r="BE47" s="8"/>
      <c r="BF47" s="8"/>
      <c r="BG47" s="8"/>
      <c r="BH47" s="8"/>
      <c r="BI47" s="8"/>
      <c r="BJ47" s="8"/>
      <c r="BK47" s="8"/>
      <c r="BL47" s="8"/>
      <c r="BM47" s="15"/>
      <c r="BN47" s="14"/>
      <c r="BO47" s="14"/>
      <c r="BP47" s="14"/>
      <c r="BQ47" s="14"/>
      <c r="BR47" s="14"/>
      <c r="BS47" s="14"/>
      <c r="BT47" s="14"/>
      <c r="BU47" s="14"/>
      <c r="BV47" s="14"/>
      <c r="BW47" s="14"/>
      <c r="BX47" s="14"/>
      <c r="BY47" s="14"/>
      <c r="BZ47" s="14"/>
      <c r="CB47" s="8"/>
      <c r="CC47" s="8"/>
      <c r="CD47" s="8"/>
      <c r="CE47" s="8"/>
      <c r="CF47" s="8"/>
      <c r="CG47" s="8"/>
      <c r="CH47" s="8"/>
      <c r="CI47" s="8"/>
      <c r="CJ47" s="8"/>
      <c r="CK47" s="8"/>
      <c r="CL47" s="8"/>
      <c r="CM47" s="8"/>
      <c r="CN47" s="8"/>
      <c r="CO47" s="8"/>
      <c r="CP47" s="8"/>
      <c r="CQ47" s="15"/>
      <c r="CR47" s="14"/>
      <c r="CS47" s="14"/>
      <c r="CT47" s="14"/>
      <c r="CU47" s="14"/>
      <c r="CV47" s="14"/>
      <c r="CW47" s="14"/>
      <c r="CX47" s="14"/>
      <c r="CY47" s="14"/>
      <c r="CZ47" s="14"/>
      <c r="DA47" s="14"/>
      <c r="DB47" s="14"/>
      <c r="DC47" s="14"/>
      <c r="DD47" s="14"/>
      <c r="DE47" s="14"/>
      <c r="DF47" s="85"/>
      <c r="DG47" s="85"/>
      <c r="DI47" s="85"/>
    </row>
    <row r="48" spans="1:113" x14ac:dyDescent="0.3">
      <c r="B48" s="205" t="str">
        <f>CONCATENATE(F6,F7,F8,F9,F10,F11,F12,F13,F14,F15,F16,F17,F18,F19,F20,F21,F22,F23,F24,F25,F26,F27,F28,F29,F30,F31,F32,F33,F34,F35,F36,F37,F38,F39,F40,F41)</f>
        <v>alvaro.ospina-p@mail.escuelaing.edu.coana.martinez-c@mail.escuelaing.edu.coandres.macias-c@mail.escuelaing.edu.coandrey.santiago-c@mail.escuelaing.edu.coangela.monroy-c@mail.escuelaing.edu.cocristian.cadena-s@mail.escuelaing.edu.codamian.cardozo-j@mail.escuelaing.edu.codaria.marin-g@mail.escuelaing.edu.codavid.gomez-d@mail.escuelaing.edu.coesteban.jimenez-a@mail.escuelaing.edu.cojuan.bahamon-m@mail.escuelaing.edu.cojuan.mpinilla@mail.escuelaing.edu.cojuan.rodriguez-pe@mail.escuelaing.edu.cojuan.manosalva-s@mail.escuelaing.edu.cojuanita.carlos-p@mail.escuelaing.edu.cojulian.nobza-a@mail.escuelaing.edu.cojulian.rubiano-r@mail.escuelaing.edu.cokaren.moreno-q@mail.escuelaing.edu.cokaren.vivas-c@mail.escuelaing.edu.comiguel.ralvarez@mail.escuelaing.edu.conasly.antolinez-f@mail.escuelaing.edu.cooscar.pena-c@mail.escuelaing.edu.cooscar.mora-r@mail.escuelaing.edu.copaula.cubillos-p@mail.escuelaing.edu.cosamuel.gonzalez-b@mail.escuelaing.edu.cosamuel.gualdron-r@mail.escuelaing.edu.cosantiago.cabrera-b@mail.escuelaing.edu.cosantiago.juzga-u@mail.escuelaing.edu.cotomas.dominguez-r@mail.escuelaing.edu.coyshnofret.ruiz-a@mail.escuelaing.edu.co</v>
      </c>
      <c r="C48" s="205"/>
      <c r="D48" s="205"/>
      <c r="E48" s="206"/>
      <c r="F48" s="206"/>
      <c r="G48" s="205"/>
      <c r="H48" s="205"/>
      <c r="I48" s="205"/>
      <c r="J48" s="205"/>
      <c r="K48" s="205"/>
      <c r="L48" s="205"/>
      <c r="M48" s="206"/>
      <c r="N48" s="206"/>
      <c r="O48" s="206"/>
      <c r="P48" s="206"/>
      <c r="Q48" s="206"/>
      <c r="R48" s="190"/>
      <c r="S48" s="153"/>
      <c r="T48" s="8"/>
      <c r="U48" s="8"/>
      <c r="V48" s="8"/>
      <c r="W48" s="8"/>
      <c r="X48" s="8"/>
      <c r="Y48" s="8"/>
      <c r="Z48" s="8"/>
      <c r="AA48" s="8"/>
      <c r="AB48" s="8"/>
      <c r="AC48" s="8"/>
      <c r="AD48" s="8"/>
      <c r="AE48" s="8"/>
      <c r="AF48" s="8"/>
      <c r="AG48" s="8"/>
      <c r="AH48" s="8"/>
      <c r="AI48" s="15"/>
      <c r="AJ48" s="15"/>
      <c r="AK48" s="15"/>
      <c r="AL48" s="15"/>
      <c r="AM48" s="15"/>
      <c r="AN48" s="15"/>
      <c r="AO48" s="15"/>
      <c r="AP48" s="15"/>
      <c r="AQ48" s="15"/>
      <c r="AR48" s="15"/>
      <c r="AS48" s="15"/>
      <c r="AT48" s="15"/>
      <c r="AU48" s="15"/>
      <c r="AV48" s="15"/>
      <c r="AX48" s="8"/>
      <c r="AY48" s="8"/>
      <c r="AZ48" s="8"/>
      <c r="BA48" s="8"/>
      <c r="BB48" s="8"/>
      <c r="BC48" s="8"/>
      <c r="BD48" s="8"/>
      <c r="BE48" s="8"/>
      <c r="BF48" s="8"/>
      <c r="BG48" s="8"/>
      <c r="BH48" s="8"/>
      <c r="BI48" s="8"/>
      <c r="BJ48" s="8"/>
      <c r="BK48" s="8"/>
      <c r="BL48" s="8"/>
      <c r="BM48" s="15"/>
      <c r="BN48" s="15"/>
      <c r="BO48" s="15"/>
      <c r="BP48" s="15"/>
      <c r="BQ48" s="15"/>
      <c r="BR48" s="15"/>
      <c r="BS48" s="15"/>
      <c r="BT48" s="15"/>
      <c r="BU48" s="15"/>
      <c r="BV48" s="15"/>
      <c r="BW48" s="15"/>
      <c r="BX48" s="15"/>
      <c r="BY48" s="15"/>
      <c r="BZ48" s="15"/>
      <c r="CB48" s="8"/>
      <c r="CC48" s="8"/>
      <c r="CD48" s="8"/>
      <c r="CE48" s="8"/>
      <c r="CF48" s="8"/>
      <c r="CG48" s="8"/>
      <c r="CH48" s="8"/>
      <c r="CI48" s="8"/>
      <c r="CJ48" s="8"/>
      <c r="CK48" s="8"/>
      <c r="CL48" s="8"/>
      <c r="CM48" s="8"/>
      <c r="CN48" s="8"/>
      <c r="CO48" s="8"/>
      <c r="CP48" s="8"/>
      <c r="CQ48" s="15"/>
      <c r="CR48" s="15"/>
      <c r="CS48" s="15"/>
      <c r="CT48" s="15"/>
      <c r="CU48" s="15"/>
      <c r="CV48" s="15"/>
      <c r="CW48" s="15"/>
      <c r="CX48" s="15"/>
      <c r="CY48" s="15"/>
      <c r="CZ48" s="15"/>
      <c r="DA48" s="15"/>
      <c r="DB48" s="15"/>
      <c r="DC48" s="15"/>
      <c r="DD48" s="15"/>
      <c r="DE48" s="15"/>
    </row>
    <row r="49" spans="2:109" x14ac:dyDescent="0.3">
      <c r="B49" s="205"/>
      <c r="C49" s="205"/>
      <c r="D49" s="205"/>
      <c r="E49" s="206"/>
      <c r="F49" s="206"/>
      <c r="G49" s="205"/>
      <c r="H49" s="205"/>
      <c r="I49" s="205"/>
      <c r="J49" s="205"/>
      <c r="K49" s="205"/>
      <c r="L49" s="205"/>
      <c r="M49" s="206"/>
      <c r="N49" s="206"/>
      <c r="O49" s="206"/>
      <c r="P49" s="206"/>
      <c r="Q49" s="206"/>
      <c r="R49" s="190"/>
      <c r="S49" s="153"/>
      <c r="T49" s="8"/>
      <c r="U49" s="8"/>
      <c r="V49" s="8"/>
      <c r="W49" s="8"/>
      <c r="X49" s="8"/>
      <c r="Y49" s="8"/>
      <c r="Z49" s="8"/>
      <c r="AA49" s="8"/>
      <c r="AB49" s="8"/>
      <c r="AC49" s="8"/>
      <c r="AD49" s="8"/>
      <c r="AE49" s="8"/>
      <c r="AF49" s="8"/>
      <c r="AG49" s="8"/>
      <c r="AH49" s="15"/>
      <c r="AI49" s="15"/>
      <c r="AJ49" s="15"/>
      <c r="AK49" s="15"/>
      <c r="AL49" s="15"/>
      <c r="AM49" s="15"/>
      <c r="AN49" s="15"/>
      <c r="AO49" s="15"/>
      <c r="AP49" s="15"/>
      <c r="AQ49" s="15"/>
      <c r="AR49" s="15"/>
      <c r="AS49" s="15"/>
      <c r="AT49" s="15"/>
      <c r="AU49" s="15"/>
      <c r="AV49" s="15"/>
      <c r="AX49" s="8"/>
      <c r="AY49" s="8"/>
      <c r="AZ49" s="8"/>
      <c r="BA49" s="8"/>
      <c r="BB49" s="8"/>
      <c r="BC49" s="8"/>
      <c r="BD49" s="8"/>
      <c r="BE49" s="8"/>
      <c r="BF49" s="8"/>
      <c r="BG49" s="8"/>
      <c r="BH49" s="8"/>
      <c r="BI49" s="8"/>
      <c r="BJ49" s="8"/>
      <c r="BK49" s="8"/>
      <c r="BL49" s="8"/>
      <c r="BM49" s="15"/>
      <c r="BN49" s="15"/>
      <c r="BO49" s="15"/>
      <c r="BP49" s="15"/>
      <c r="BQ49" s="15"/>
      <c r="BR49" s="15"/>
      <c r="BS49" s="15"/>
      <c r="BT49" s="15"/>
      <c r="BU49" s="15"/>
      <c r="BV49" s="15"/>
      <c r="BW49" s="15"/>
      <c r="BX49" s="15"/>
      <c r="BY49" s="15"/>
      <c r="BZ49" s="15"/>
      <c r="CB49" s="8"/>
      <c r="CC49" s="8"/>
      <c r="CD49" s="8"/>
      <c r="CE49" s="8"/>
      <c r="CF49" s="8"/>
      <c r="CG49" s="8"/>
      <c r="CH49" s="8"/>
      <c r="CI49" s="8"/>
      <c r="CJ49" s="8"/>
      <c r="CK49" s="8"/>
      <c r="CL49" s="8"/>
      <c r="CM49" s="8"/>
      <c r="CN49" s="8"/>
      <c r="CO49" s="8"/>
      <c r="CP49" s="8"/>
      <c r="CQ49" s="15"/>
      <c r="CR49" s="15"/>
      <c r="CS49" s="15"/>
      <c r="CT49" s="15"/>
      <c r="CU49" s="15"/>
      <c r="CV49" s="15"/>
      <c r="CW49" s="15"/>
      <c r="CX49" s="15"/>
      <c r="CY49" s="15"/>
      <c r="CZ49" s="15"/>
      <c r="DA49" s="15"/>
      <c r="DB49" s="15"/>
      <c r="DC49" s="15"/>
      <c r="DD49" s="15"/>
      <c r="DE49" s="15"/>
    </row>
    <row r="50" spans="2:109" x14ac:dyDescent="0.3">
      <c r="B50" s="205"/>
      <c r="C50" s="205"/>
      <c r="D50" s="205"/>
      <c r="E50" s="206"/>
      <c r="F50" s="206"/>
      <c r="G50" s="205"/>
      <c r="H50" s="205"/>
      <c r="I50" s="205"/>
      <c r="J50" s="205"/>
      <c r="K50" s="205"/>
      <c r="L50" s="205"/>
      <c r="M50" s="206"/>
      <c r="N50" s="206"/>
      <c r="O50" s="206"/>
      <c r="P50" s="206"/>
      <c r="Q50" s="206"/>
      <c r="R50" s="190"/>
      <c r="S50" s="153"/>
      <c r="T50" s="8"/>
      <c r="U50" s="8"/>
      <c r="V50" s="8"/>
      <c r="W50" s="8"/>
      <c r="X50" s="8"/>
      <c r="Y50" s="8"/>
      <c r="Z50" s="8"/>
      <c r="AA50" s="8"/>
      <c r="AB50" s="8"/>
      <c r="AC50" s="8"/>
      <c r="AD50" s="8"/>
      <c r="AE50" s="8"/>
      <c r="AF50" s="8"/>
      <c r="AG50" s="8"/>
      <c r="AH50" s="15"/>
      <c r="AI50" s="15"/>
      <c r="AJ50" s="15"/>
      <c r="AK50" s="15"/>
      <c r="AL50" s="15"/>
      <c r="AM50" s="15"/>
      <c r="AN50" s="15"/>
      <c r="AO50" s="15"/>
      <c r="AP50" s="15"/>
      <c r="AQ50" s="15"/>
      <c r="AR50" s="15"/>
      <c r="AS50" s="15"/>
      <c r="AT50" s="15"/>
      <c r="AU50" s="15"/>
      <c r="AV50" s="15"/>
      <c r="AX50" s="8"/>
      <c r="AY50" s="8"/>
      <c r="AZ50" s="8"/>
      <c r="BA50" s="8"/>
      <c r="BB50" s="8"/>
      <c r="BC50" s="8"/>
      <c r="BD50" s="8"/>
      <c r="BE50" s="8"/>
      <c r="BF50" s="8"/>
      <c r="BG50" s="8"/>
      <c r="BH50" s="8"/>
      <c r="BI50" s="8"/>
      <c r="BJ50" s="8"/>
      <c r="BK50" s="8"/>
      <c r="BL50" s="8"/>
      <c r="BM50" s="15"/>
      <c r="BN50" s="15"/>
      <c r="BO50" s="15"/>
      <c r="BP50" s="15"/>
      <c r="BQ50" s="15"/>
      <c r="BR50" s="15"/>
      <c r="BS50" s="15"/>
      <c r="BT50" s="15"/>
      <c r="BU50" s="15"/>
      <c r="BV50" s="15"/>
      <c r="BW50" s="15"/>
      <c r="BX50" s="15"/>
      <c r="BY50" s="15"/>
      <c r="BZ50" s="15"/>
      <c r="CB50" s="8"/>
      <c r="CC50" s="8"/>
      <c r="CD50" s="8"/>
      <c r="CE50" s="8"/>
      <c r="CF50" s="8"/>
      <c r="CG50" s="8"/>
      <c r="CH50" s="8"/>
      <c r="CI50" s="8"/>
      <c r="CJ50" s="8"/>
      <c r="CK50" s="8"/>
      <c r="CL50" s="8"/>
      <c r="CM50" s="8"/>
      <c r="CN50" s="8"/>
      <c r="CO50" s="8"/>
      <c r="CP50" s="8"/>
      <c r="CQ50" s="15"/>
      <c r="CR50" s="15"/>
      <c r="CS50" s="15"/>
      <c r="CT50" s="15"/>
      <c r="CU50" s="15"/>
      <c r="CV50" s="15"/>
      <c r="CW50" s="15"/>
      <c r="CX50" s="15"/>
      <c r="CY50" s="15"/>
      <c r="CZ50" s="15"/>
      <c r="DA50" s="15"/>
      <c r="DB50" s="15"/>
      <c r="DC50" s="15"/>
      <c r="DD50" s="15"/>
      <c r="DE50" s="15"/>
    </row>
    <row r="51" spans="2:109" x14ac:dyDescent="0.3">
      <c r="B51" s="205"/>
      <c r="C51" s="205"/>
      <c r="D51" s="205"/>
      <c r="E51" s="206"/>
      <c r="F51" s="206"/>
      <c r="G51" s="205"/>
      <c r="H51" s="205"/>
      <c r="I51" s="205"/>
      <c r="J51" s="205"/>
      <c r="K51" s="205"/>
      <c r="L51" s="205"/>
      <c r="M51" s="206"/>
      <c r="N51" s="206"/>
      <c r="O51" s="206"/>
      <c r="P51" s="206"/>
      <c r="Q51" s="206"/>
      <c r="R51" s="190"/>
      <c r="S51" s="153"/>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B51" s="15"/>
      <c r="CC51" s="15"/>
      <c r="CD51" s="15"/>
      <c r="CE51" s="15"/>
      <c r="CF51" s="15"/>
      <c r="CG51" s="15"/>
      <c r="CH51" s="15"/>
      <c r="CI51" s="15"/>
      <c r="CJ51" s="15"/>
      <c r="CK51" s="15"/>
      <c r="CL51" s="15"/>
      <c r="CM51" s="15"/>
      <c r="CN51" s="15"/>
      <c r="CO51" s="15"/>
      <c r="CP51" s="15"/>
      <c r="CQ51" s="15"/>
      <c r="CR51" s="15"/>
      <c r="CS51" s="15"/>
      <c r="CT51" s="15"/>
      <c r="CU51" s="15"/>
      <c r="CV51" s="15"/>
      <c r="CW51" s="15"/>
      <c r="CX51" s="15"/>
      <c r="CY51" s="15"/>
      <c r="CZ51" s="15"/>
      <c r="DA51" s="15"/>
      <c r="DB51" s="15"/>
      <c r="DC51" s="15"/>
      <c r="DD51" s="15"/>
      <c r="DE51" s="15"/>
    </row>
    <row r="52" spans="2:109" x14ac:dyDescent="0.3">
      <c r="B52" s="205"/>
      <c r="C52" s="205"/>
      <c r="D52" s="205"/>
      <c r="E52" s="206"/>
      <c r="F52" s="206"/>
      <c r="G52" s="205"/>
      <c r="H52" s="205"/>
      <c r="I52" s="205"/>
      <c r="J52" s="205"/>
      <c r="K52" s="205"/>
      <c r="L52" s="205"/>
      <c r="M52" s="206"/>
      <c r="N52" s="206"/>
      <c r="O52" s="206"/>
      <c r="P52" s="206"/>
      <c r="Q52" s="206"/>
      <c r="R52" s="190"/>
      <c r="S52" s="153"/>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c r="DB52" s="15"/>
      <c r="DC52" s="15"/>
      <c r="DD52" s="15"/>
      <c r="DE52" s="15"/>
    </row>
    <row r="53" spans="2:109" x14ac:dyDescent="0.3">
      <c r="B53" s="205"/>
      <c r="C53" s="205"/>
      <c r="D53" s="205"/>
      <c r="E53" s="206"/>
      <c r="F53" s="206"/>
      <c r="G53" s="205"/>
      <c r="H53" s="205"/>
      <c r="I53" s="205"/>
      <c r="J53" s="205"/>
      <c r="K53" s="205"/>
      <c r="L53" s="205"/>
      <c r="M53" s="206"/>
      <c r="N53" s="206"/>
      <c r="O53" s="206"/>
      <c r="P53" s="206"/>
      <c r="Q53" s="206"/>
      <c r="R53" s="190"/>
      <c r="S53" s="153"/>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row>
    <row r="54" spans="2:109" x14ac:dyDescent="0.3">
      <c r="B54" s="205"/>
      <c r="C54" s="205"/>
      <c r="D54" s="205"/>
      <c r="E54" s="206"/>
      <c r="F54" s="206"/>
      <c r="G54" s="205"/>
      <c r="H54" s="205"/>
      <c r="I54" s="205"/>
      <c r="J54" s="205"/>
      <c r="K54" s="205"/>
      <c r="L54" s="205"/>
      <c r="M54" s="206"/>
      <c r="N54" s="206"/>
      <c r="O54" s="206"/>
      <c r="P54" s="206"/>
      <c r="Q54" s="206"/>
      <c r="R54" s="190"/>
      <c r="S54" s="153"/>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c r="DB54" s="15"/>
      <c r="DC54" s="15"/>
      <c r="DD54" s="15"/>
      <c r="DE54" s="15"/>
    </row>
    <row r="55" spans="2:109" x14ac:dyDescent="0.3">
      <c r="B55" s="205"/>
      <c r="C55" s="205"/>
      <c r="D55" s="205"/>
      <c r="E55" s="206"/>
      <c r="F55" s="206"/>
      <c r="G55" s="205"/>
      <c r="H55" s="205"/>
      <c r="I55" s="205"/>
      <c r="J55" s="205"/>
      <c r="K55" s="205"/>
      <c r="L55" s="205"/>
      <c r="M55" s="206"/>
      <c r="N55" s="206"/>
      <c r="O55" s="206"/>
      <c r="P55" s="206"/>
      <c r="Q55" s="206"/>
      <c r="R55" s="190"/>
      <c r="S55" s="153"/>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c r="DB55" s="15"/>
      <c r="DC55" s="15"/>
      <c r="DD55" s="15"/>
      <c r="DE55" s="15"/>
    </row>
    <row r="56" spans="2:109" x14ac:dyDescent="0.3">
      <c r="B56" s="205"/>
      <c r="C56" s="205"/>
      <c r="D56" s="205"/>
      <c r="E56" s="206"/>
      <c r="F56" s="206"/>
      <c r="G56" s="205"/>
      <c r="H56" s="205"/>
      <c r="I56" s="205"/>
      <c r="J56" s="205"/>
      <c r="K56" s="205"/>
      <c r="L56" s="205"/>
      <c r="M56" s="206"/>
      <c r="N56" s="206"/>
      <c r="O56" s="206"/>
      <c r="P56" s="206"/>
      <c r="Q56" s="206"/>
      <c r="R56" s="190"/>
      <c r="S56" s="153"/>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B56" s="15"/>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row>
    <row r="57" spans="2:109" x14ac:dyDescent="0.3">
      <c r="B57" s="205"/>
      <c r="C57" s="205"/>
      <c r="D57" s="205"/>
      <c r="E57" s="206"/>
      <c r="F57" s="206"/>
      <c r="G57" s="205"/>
      <c r="H57" s="205"/>
      <c r="I57" s="205"/>
      <c r="J57" s="205"/>
      <c r="K57" s="205"/>
      <c r="L57" s="205"/>
      <c r="M57" s="206"/>
      <c r="N57" s="206"/>
      <c r="O57" s="206"/>
      <c r="P57" s="206"/>
      <c r="Q57" s="206"/>
      <c r="R57" s="190"/>
      <c r="S57" s="153"/>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row>
    <row r="58" spans="2:109" x14ac:dyDescent="0.3">
      <c r="B58" s="205"/>
      <c r="C58" s="205"/>
      <c r="D58" s="205"/>
      <c r="E58" s="206"/>
      <c r="F58" s="206"/>
      <c r="G58" s="205"/>
      <c r="H58" s="205"/>
      <c r="I58" s="205"/>
      <c r="J58" s="205"/>
      <c r="K58" s="205"/>
      <c r="L58" s="205"/>
      <c r="M58" s="206"/>
      <c r="N58" s="206"/>
      <c r="O58" s="206"/>
      <c r="P58" s="206"/>
      <c r="Q58" s="206"/>
      <c r="R58" s="190"/>
      <c r="S58" s="153"/>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B58" s="15"/>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row>
    <row r="59" spans="2:109" x14ac:dyDescent="0.3">
      <c r="B59" s="205"/>
      <c r="C59" s="205"/>
      <c r="D59" s="205"/>
      <c r="E59" s="206"/>
      <c r="F59" s="206"/>
      <c r="G59" s="205"/>
      <c r="H59" s="205"/>
      <c r="I59" s="205"/>
      <c r="J59" s="205"/>
      <c r="K59" s="205"/>
      <c r="L59" s="205"/>
      <c r="M59" s="206"/>
      <c r="N59" s="206"/>
      <c r="O59" s="206"/>
      <c r="P59" s="206"/>
      <c r="Q59" s="206"/>
      <c r="R59" s="190"/>
      <c r="S59" s="153"/>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B59" s="15"/>
      <c r="CC59" s="15"/>
      <c r="CD59" s="15"/>
      <c r="CE59" s="15"/>
      <c r="CF59" s="15"/>
      <c r="CG59" s="15"/>
      <c r="CH59" s="15"/>
      <c r="CI59" s="15"/>
      <c r="CJ59" s="15"/>
      <c r="CK59" s="15"/>
      <c r="CL59" s="15"/>
      <c r="CM59" s="15"/>
      <c r="CN59" s="15"/>
      <c r="CO59" s="15"/>
      <c r="CP59" s="15"/>
      <c r="CQ59" s="15"/>
      <c r="CR59" s="15"/>
      <c r="CS59" s="15"/>
      <c r="CT59" s="15"/>
      <c r="CU59" s="15"/>
      <c r="CV59" s="15"/>
      <c r="CW59" s="15"/>
      <c r="CX59" s="15"/>
      <c r="CY59" s="15"/>
      <c r="CZ59" s="15"/>
      <c r="DA59" s="15"/>
      <c r="DB59" s="15"/>
      <c r="DC59" s="15"/>
      <c r="DD59" s="15"/>
      <c r="DE59" s="15"/>
    </row>
    <row r="60" spans="2:109" x14ac:dyDescent="0.3">
      <c r="F60" s="8"/>
      <c r="G60" s="1"/>
      <c r="H60" s="26"/>
      <c r="I60" s="26"/>
      <c r="J60" s="26"/>
      <c r="K60" s="26"/>
      <c r="L60" s="26"/>
      <c r="M60" s="26"/>
      <c r="N60" s="26"/>
      <c r="O60" s="1"/>
      <c r="P60" s="1"/>
      <c r="Q60" s="26"/>
      <c r="R60" s="1"/>
      <c r="S60" s="26"/>
      <c r="T60" s="26"/>
      <c r="U60" s="26"/>
      <c r="V60" s="26"/>
      <c r="W60" s="26"/>
      <c r="X60" s="26"/>
      <c r="Y60" s="26"/>
      <c r="Z60" s="26"/>
      <c r="AA60" s="26"/>
      <c r="AB60" s="26"/>
      <c r="AC60" s="26"/>
      <c r="AD60" s="26"/>
      <c r="AE60" s="26"/>
      <c r="AF60" s="26"/>
      <c r="AG60" s="26"/>
      <c r="AH60" s="15"/>
      <c r="AI60" s="15"/>
      <c r="AJ60" s="1"/>
      <c r="AK60" s="1"/>
      <c r="AL60" s="1"/>
      <c r="AM60" s="1"/>
      <c r="AN60" s="1"/>
      <c r="AO60" s="1"/>
      <c r="AP60" s="1"/>
      <c r="AQ60" s="1"/>
      <c r="AR60" s="1"/>
      <c r="AS60" s="1"/>
      <c r="AT60" s="1"/>
      <c r="AU60" s="1"/>
      <c r="AV60" s="1"/>
      <c r="AX60" s="26"/>
      <c r="AY60" s="26"/>
      <c r="AZ60" s="26"/>
      <c r="BA60" s="26"/>
      <c r="BB60" s="26"/>
      <c r="BC60" s="26"/>
      <c r="BD60" s="26"/>
      <c r="BE60" s="26"/>
      <c r="BF60" s="26"/>
      <c r="BG60" s="26"/>
      <c r="BH60" s="26"/>
      <c r="BI60" s="26"/>
      <c r="BJ60" s="26"/>
      <c r="BK60" s="26"/>
      <c r="BL60" s="26"/>
      <c r="BM60" s="1"/>
      <c r="BN60" s="1"/>
      <c r="BO60" s="1"/>
      <c r="BP60" s="1"/>
      <c r="BQ60" s="1"/>
      <c r="BR60" s="1"/>
      <c r="BS60" s="1"/>
      <c r="BT60" s="1"/>
      <c r="BU60" s="1"/>
      <c r="BV60" s="1"/>
      <c r="BW60" s="1"/>
      <c r="BX60" s="1"/>
      <c r="BY60" s="1"/>
      <c r="BZ60" s="1"/>
      <c r="CB60" s="26"/>
      <c r="CC60" s="26"/>
      <c r="CD60" s="26"/>
      <c r="CE60" s="26"/>
      <c r="CF60" s="26"/>
      <c r="CG60" s="26"/>
      <c r="CH60" s="26"/>
      <c r="CI60" s="26"/>
      <c r="CJ60" s="26"/>
      <c r="CK60" s="26"/>
      <c r="CL60" s="26"/>
      <c r="CM60" s="26"/>
      <c r="CN60" s="26"/>
      <c r="CO60" s="26"/>
      <c r="CP60" s="26"/>
      <c r="CQ60" s="1"/>
      <c r="CR60" s="1"/>
      <c r="CS60" s="1"/>
      <c r="CT60" s="1"/>
      <c r="CU60" s="1"/>
      <c r="CV60" s="1"/>
      <c r="CW60" s="1"/>
      <c r="CX60" s="1"/>
      <c r="CY60" s="1"/>
      <c r="CZ60" s="1"/>
      <c r="DA60" s="1"/>
      <c r="DB60" s="1"/>
      <c r="DC60" s="1"/>
      <c r="DD60" s="1"/>
      <c r="DE60" s="1"/>
    </row>
    <row r="61" spans="2:109" x14ac:dyDescent="0.3">
      <c r="F61" s="8"/>
      <c r="G61" s="1"/>
      <c r="H61" s="26"/>
      <c r="I61" s="26"/>
      <c r="J61" s="26"/>
      <c r="K61" s="26"/>
      <c r="L61" s="26"/>
      <c r="M61" s="26"/>
      <c r="N61" s="26"/>
      <c r="O61" s="1"/>
      <c r="P61" s="1"/>
      <c r="Q61" s="26"/>
      <c r="R61" s="1"/>
      <c r="S61" s="26"/>
      <c r="T61" s="26"/>
      <c r="U61" s="26"/>
      <c r="V61" s="26"/>
      <c r="W61" s="26"/>
      <c r="X61" s="26"/>
      <c r="Y61" s="26"/>
      <c r="Z61" s="26"/>
      <c r="AA61" s="26"/>
      <c r="AB61" s="26"/>
      <c r="AC61" s="26"/>
      <c r="AD61" s="26"/>
      <c r="AE61" s="26"/>
      <c r="AF61" s="26"/>
      <c r="AG61" s="26"/>
      <c r="AH61" s="15"/>
      <c r="AI61" s="15"/>
      <c r="AJ61" s="1"/>
      <c r="AK61" s="1"/>
      <c r="AL61" s="1"/>
      <c r="AM61" s="1"/>
      <c r="AN61" s="1"/>
      <c r="AO61" s="1"/>
      <c r="AP61" s="1"/>
      <c r="AQ61" s="1"/>
      <c r="AR61" s="1"/>
      <c r="AS61" s="1"/>
      <c r="AT61" s="1"/>
      <c r="AU61" s="1"/>
      <c r="AV61" s="1"/>
      <c r="AX61" s="26"/>
      <c r="AY61" s="26"/>
      <c r="AZ61" s="26"/>
      <c r="BA61" s="26"/>
      <c r="BB61" s="26"/>
      <c r="BC61" s="26"/>
      <c r="BD61" s="26"/>
      <c r="BE61" s="26"/>
      <c r="BF61" s="26"/>
      <c r="BG61" s="26"/>
      <c r="BH61" s="26"/>
      <c r="BI61" s="26"/>
      <c r="BJ61" s="26"/>
      <c r="BK61" s="26"/>
      <c r="BL61" s="26"/>
      <c r="BM61" s="1"/>
      <c r="BN61" s="1"/>
      <c r="BO61" s="1"/>
      <c r="BP61" s="1"/>
      <c r="BQ61" s="1"/>
      <c r="BR61" s="1"/>
      <c r="BS61" s="1"/>
      <c r="BT61" s="1"/>
      <c r="BU61" s="1"/>
      <c r="BV61" s="1"/>
      <c r="BW61" s="1"/>
      <c r="BX61" s="1"/>
      <c r="BY61" s="1"/>
      <c r="BZ61" s="1"/>
      <c r="CB61" s="26"/>
      <c r="CC61" s="26"/>
      <c r="CD61" s="26"/>
      <c r="CE61" s="26"/>
      <c r="CF61" s="26"/>
      <c r="CG61" s="26"/>
      <c r="CH61" s="26"/>
      <c r="CI61" s="26"/>
      <c r="CJ61" s="26"/>
      <c r="CK61" s="26"/>
      <c r="CL61" s="26"/>
      <c r="CM61" s="26"/>
      <c r="CN61" s="26"/>
      <c r="CO61" s="26"/>
      <c r="CP61" s="26"/>
      <c r="CQ61" s="1"/>
      <c r="CR61" s="1"/>
      <c r="CS61" s="1"/>
      <c r="CT61" s="1"/>
      <c r="CU61" s="1"/>
      <c r="CV61" s="1"/>
      <c r="CW61" s="1"/>
      <c r="CX61" s="1"/>
      <c r="CY61" s="1"/>
      <c r="CZ61" s="1"/>
      <c r="DA61" s="1"/>
      <c r="DB61" s="1"/>
      <c r="DC61" s="1"/>
      <c r="DD61" s="1"/>
      <c r="DE61" s="1"/>
    </row>
    <row r="62" spans="2:109" x14ac:dyDescent="0.3">
      <c r="AH62" s="15"/>
      <c r="AI62" s="15"/>
    </row>
  </sheetData>
  <autoFilter ref="B5:DH46" xr:uid="{5FCFF6F9-ABDD-4BEC-9049-7A7285D83CCD}"/>
  <sortState xmlns:xlrd2="http://schemas.microsoft.com/office/spreadsheetml/2017/richdata2" ref="B6:F24">
    <sortCondition ref="C6:C24"/>
  </sortState>
  <mergeCells count="28">
    <mergeCell ref="DG3:DH3"/>
    <mergeCell ref="CB2:DH2"/>
    <mergeCell ref="DC3:DF3"/>
    <mergeCell ref="BV4:BX4"/>
    <mergeCell ref="BV3:BX3"/>
    <mergeCell ref="CR1:DF1"/>
    <mergeCell ref="CB3:CQ3"/>
    <mergeCell ref="CR3:CY3"/>
    <mergeCell ref="CB4:CQ4"/>
    <mergeCell ref="CR4:CY4"/>
    <mergeCell ref="CZ3:DB3"/>
    <mergeCell ref="CZ4:DB4"/>
    <mergeCell ref="B2:B4"/>
    <mergeCell ref="B48:Q59"/>
    <mergeCell ref="BN1:CA1"/>
    <mergeCell ref="AX2:CA2"/>
    <mergeCell ref="AX3:BM3"/>
    <mergeCell ref="BN3:BU3"/>
    <mergeCell ref="AX4:BM4"/>
    <mergeCell ref="BN4:BU4"/>
    <mergeCell ref="AJ1:AW1"/>
    <mergeCell ref="AJ3:AQ3"/>
    <mergeCell ref="AJ4:AQ4"/>
    <mergeCell ref="T2:AW2"/>
    <mergeCell ref="T3:AI3"/>
    <mergeCell ref="T4:AI4"/>
    <mergeCell ref="AR3:AT3"/>
    <mergeCell ref="AR4:AT4"/>
  </mergeCells>
  <conditionalFormatting sqref="CV6">
    <cfRule type="colorScale" priority="1">
      <colorScale>
        <cfvo type="min"/>
        <cfvo type="percentile" val="60"/>
        <cfvo type="max"/>
        <color rgb="FFEDA595"/>
        <color rgb="FFFADF9C"/>
        <color rgb="FFA5D9DB"/>
      </colorScale>
    </cfRule>
  </conditionalFormatting>
  <conditionalFormatting sqref="CV7:CV35">
    <cfRule type="colorScale" priority="29">
      <colorScale>
        <cfvo type="min"/>
        <cfvo type="percentile" val="60"/>
        <cfvo type="max"/>
        <color rgb="FFEDA595"/>
        <color rgb="FFFADF9C"/>
        <color rgb="FFA5D9DB"/>
      </colorScale>
    </cfRule>
  </conditionalFormatting>
  <conditionalFormatting sqref="T20:DI45 G1:G2 T15:CU35 T6:AA14 AD6:CU14 AB6:AC15 CW6:DI35 U7:U35">
    <cfRule type="colorScale" priority="33">
      <colorScale>
        <cfvo type="min"/>
        <cfvo type="percentile" val="60"/>
        <cfvo type="max"/>
        <color rgb="FFEDA595"/>
        <color rgb="FFFADF9C"/>
        <color rgb="FFA5D9DB"/>
      </colorScale>
    </cfRule>
  </conditionalFormatting>
  <hyperlinks>
    <hyperlink ref="C4" r:id="rId1" xr:uid="{3B86FE7E-9B6A-4772-96AF-0542511D92FE}"/>
    <hyperlink ref="S20" r:id="rId2" xr:uid="{C1AAF265-1D99-49BA-B3EC-D93FC486625B}"/>
    <hyperlink ref="S13" r:id="rId3" xr:uid="{23A31956-80BC-4264-B176-CF09B03A9262}"/>
    <hyperlink ref="S27" r:id="rId4" xr:uid="{C28FC198-1F05-483C-96C1-A710D2CA56A6}"/>
    <hyperlink ref="S16" r:id="rId5" xr:uid="{15D6C1F4-27CC-4AE0-A346-60BDFDD35982}"/>
    <hyperlink ref="S6" r:id="rId6" xr:uid="{54C8F0CE-07C9-4306-8DAD-9E69628B153B}"/>
    <hyperlink ref="S24" r:id="rId7" xr:uid="{87700DD2-8024-4334-9851-0548DD46A4DE}"/>
    <hyperlink ref="S34" r:id="rId8" xr:uid="{A0EAF90E-8D08-4D81-9500-BC8E47FE3A32}"/>
    <hyperlink ref="S9" r:id="rId9" xr:uid="{8D521172-7C42-4585-AF85-A70BD3B12D80}"/>
    <hyperlink ref="S11" r:id="rId10" xr:uid="{0B2845C7-C937-46D4-BF49-F4CAAA19B480}"/>
    <hyperlink ref="S17" r:id="rId11" xr:uid="{B4AF9514-B8EF-4C71-B1AD-B0CF6E9AE037}"/>
    <hyperlink ref="S28" r:id="rId12" xr:uid="{E2BBF3CF-505A-4CBE-B997-8978FDD75733}"/>
    <hyperlink ref="S25" r:id="rId13" xr:uid="{C8BFBD35-D334-4154-87DE-CD4621373EB4}"/>
    <hyperlink ref="S26" r:id="rId14" xr:uid="{DEB3FE7D-BC56-4A49-A83C-A9517E1C3875}"/>
    <hyperlink ref="S31" r:id="rId15" xr:uid="{83788D31-985E-44A3-B4D8-96EC9F06359D}"/>
    <hyperlink ref="S15" r:id="rId16" xr:uid="{28E77B64-A153-4357-B7A9-A2EAACFDBB17}"/>
    <hyperlink ref="S18" r:id="rId17" xr:uid="{2961E4F5-D8B7-4BBE-A325-903638069E6C}"/>
    <hyperlink ref="S30" r:id="rId18" xr:uid="{FAB70A2B-3527-49B9-B9D8-09840D43D54E}"/>
    <hyperlink ref="S29" r:id="rId19" xr:uid="{8EAD3087-3089-4BBA-A8D8-6B3C27AFC0C3}"/>
    <hyperlink ref="S8" r:id="rId20" xr:uid="{03177A7F-C4ED-41EB-A5E3-4156899159C7}"/>
  </hyperlinks>
  <printOptions horizontalCentered="1"/>
  <pageMargins left="0.23622047244094491" right="0.23622047244094491" top="0.59055118110236227" bottom="0.59055118110236227" header="0.31496062992125984" footer="0.31496062992125984"/>
  <pageSetup scale="20" orientation="portrait" r:id="rId21"/>
  <ignoredErrors>
    <ignoredError sqref="AX46:BE46" formulaRange="1"/>
  </ignoredErrors>
  <drawing r:id="rId22"/>
  <legacyDrawing r:id="rId23"/>
  <extLst>
    <ext xmlns:x14="http://schemas.microsoft.com/office/spreadsheetml/2009/9/main" uri="{78C0D931-6437-407d-A8EE-F0AAD7539E65}">
      <x14:conditionalFormattings>
        <x14:conditionalFormatting xmlns:xm="http://schemas.microsoft.com/office/excel/2006/main">
          <x14:cfRule type="iconSet" priority="31" id="{AEA1AA99-BBDD-414A-9E32-DD083EE4E745}">
            <x14:iconSet iconSet="3Symbols" showValue="0" custom="1">
              <x14:cfvo type="percent">
                <xm:f>0</xm:f>
              </x14:cfvo>
              <x14:cfvo type="num" gte="0">
                <xm:f>0</xm:f>
              </x14:cfvo>
              <x14:cfvo type="num" gte="0">
                <xm:f>1</xm:f>
              </x14:cfvo>
              <x14:cfIcon iconSet="5Quarters" iconId="0"/>
              <x14:cfIcon iconSet="4TrafficLights" iconId="0"/>
              <x14:cfIcon iconSet="3TrafficLights1" iconId="0"/>
            </x14:iconSet>
          </x14:cfRule>
          <xm:sqref>G6:H45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DAD-0811-4DD6-8F3F-59DEBA64CAD3}">
  <dimension ref="B2:G35"/>
  <sheetViews>
    <sheetView showGridLines="0" tabSelected="1" zoomScale="130" zoomScaleNormal="130" workbookViewId="0">
      <selection activeCell="F4" sqref="F4:F9"/>
    </sheetView>
  </sheetViews>
  <sheetFormatPr defaultColWidth="11.33203125" defaultRowHeight="16.8" x14ac:dyDescent="0.4"/>
  <cols>
    <col min="1" max="1" width="2.6640625" style="142" customWidth="1"/>
    <col min="2" max="2" width="8.77734375" style="142" customWidth="1"/>
    <col min="3" max="3" width="25.109375" style="142" customWidth="1"/>
    <col min="4" max="4" width="13.109375" style="142" customWidth="1"/>
    <col min="5" max="5" width="7.33203125" style="202" customWidth="1"/>
    <col min="6" max="6" width="13.109375" style="202" customWidth="1"/>
    <col min="7" max="7" width="39" style="142" customWidth="1"/>
    <col min="8" max="8" width="2.5546875" style="142" customWidth="1"/>
    <col min="9" max="16384" width="11.33203125" style="142"/>
  </cols>
  <sheetData>
    <row r="2" spans="2:7" x14ac:dyDescent="0.4">
      <c r="B2" s="172" t="s">
        <v>149</v>
      </c>
      <c r="C2" s="172"/>
    </row>
    <row r="3" spans="2:7" x14ac:dyDescent="0.4">
      <c r="B3" s="173" t="s">
        <v>147</v>
      </c>
      <c r="C3" s="174" t="s">
        <v>150</v>
      </c>
      <c r="D3" s="175" t="s">
        <v>10</v>
      </c>
      <c r="E3" s="245" t="s">
        <v>165</v>
      </c>
      <c r="F3" s="245" t="s">
        <v>166</v>
      </c>
      <c r="G3" s="176" t="s">
        <v>11</v>
      </c>
    </row>
    <row r="4" spans="2:7" x14ac:dyDescent="0.4">
      <c r="B4" s="229">
        <v>1</v>
      </c>
      <c r="C4" s="232" t="s">
        <v>152</v>
      </c>
      <c r="D4" s="177">
        <v>1000108883</v>
      </c>
      <c r="E4" s="250">
        <f>RIGHT(D4)*1</f>
        <v>3</v>
      </c>
      <c r="F4" s="242">
        <f>SUM(E4:E9)</f>
        <v>26</v>
      </c>
      <c r="G4" s="178" t="s">
        <v>66</v>
      </c>
    </row>
    <row r="5" spans="2:7" x14ac:dyDescent="0.4">
      <c r="B5" s="230"/>
      <c r="C5" s="233"/>
      <c r="D5" s="179">
        <v>1000105775</v>
      </c>
      <c r="E5" s="246">
        <f t="shared" ref="E5:E21" si="0">RIGHT(D5)*1</f>
        <v>5</v>
      </c>
      <c r="F5" s="243"/>
      <c r="G5" s="180" t="s">
        <v>73</v>
      </c>
    </row>
    <row r="6" spans="2:7" x14ac:dyDescent="0.4">
      <c r="B6" s="230"/>
      <c r="C6" s="233"/>
      <c r="D6" s="179">
        <v>1000109428</v>
      </c>
      <c r="E6" s="246">
        <f t="shared" si="0"/>
        <v>8</v>
      </c>
      <c r="F6" s="243"/>
      <c r="G6" s="180" t="s">
        <v>76</v>
      </c>
    </row>
    <row r="7" spans="2:7" x14ac:dyDescent="0.4">
      <c r="B7" s="230"/>
      <c r="C7" s="233"/>
      <c r="D7" s="179">
        <v>1000105722</v>
      </c>
      <c r="E7" s="246">
        <f t="shared" si="0"/>
        <v>2</v>
      </c>
      <c r="F7" s="243"/>
      <c r="G7" s="180" t="s">
        <v>156</v>
      </c>
    </row>
    <row r="8" spans="2:7" x14ac:dyDescent="0.4">
      <c r="B8" s="230"/>
      <c r="C8" s="233"/>
      <c r="D8" s="179">
        <v>1000108881</v>
      </c>
      <c r="E8" s="246">
        <f t="shared" si="0"/>
        <v>1</v>
      </c>
      <c r="F8" s="243"/>
      <c r="G8" s="180" t="s">
        <v>84</v>
      </c>
    </row>
    <row r="9" spans="2:7" x14ac:dyDescent="0.4">
      <c r="B9" s="231"/>
      <c r="C9" s="234"/>
      <c r="D9" s="181">
        <v>1000104677</v>
      </c>
      <c r="E9" s="251">
        <f t="shared" si="0"/>
        <v>7</v>
      </c>
      <c r="F9" s="244"/>
      <c r="G9" s="182" t="s">
        <v>87</v>
      </c>
    </row>
    <row r="10" spans="2:7" x14ac:dyDescent="0.4">
      <c r="B10" s="229">
        <v>2</v>
      </c>
      <c r="C10" s="232" t="s">
        <v>153</v>
      </c>
      <c r="D10" s="177">
        <v>1000109401</v>
      </c>
      <c r="E10" s="250">
        <f t="shared" si="0"/>
        <v>1</v>
      </c>
      <c r="F10" s="242">
        <f>SUM(E10:E15)</f>
        <v>29</v>
      </c>
      <c r="G10" s="178" t="s">
        <v>69</v>
      </c>
    </row>
    <row r="11" spans="2:7" x14ac:dyDescent="0.4">
      <c r="B11" s="230"/>
      <c r="C11" s="233"/>
      <c r="D11" s="179">
        <v>1000109945</v>
      </c>
      <c r="E11" s="246">
        <f t="shared" si="0"/>
        <v>5</v>
      </c>
      <c r="F11" s="243"/>
      <c r="G11" s="180" t="s">
        <v>71</v>
      </c>
    </row>
    <row r="12" spans="2:7" x14ac:dyDescent="0.4">
      <c r="B12" s="230"/>
      <c r="C12" s="233"/>
      <c r="D12" s="179">
        <v>1000107929</v>
      </c>
      <c r="E12" s="246">
        <f t="shared" si="0"/>
        <v>9</v>
      </c>
      <c r="F12" s="243"/>
      <c r="G12" s="180" t="s">
        <v>77</v>
      </c>
    </row>
    <row r="13" spans="2:7" x14ac:dyDescent="0.4">
      <c r="B13" s="230"/>
      <c r="C13" s="233"/>
      <c r="D13" s="179">
        <v>1000109238</v>
      </c>
      <c r="E13" s="246">
        <f t="shared" si="0"/>
        <v>8</v>
      </c>
      <c r="F13" s="243"/>
      <c r="G13" s="180" t="s">
        <v>85</v>
      </c>
    </row>
    <row r="14" spans="2:7" x14ac:dyDescent="0.4">
      <c r="B14" s="230"/>
      <c r="C14" s="233"/>
      <c r="D14" s="179">
        <v>1000109133</v>
      </c>
      <c r="E14" s="246">
        <f t="shared" si="0"/>
        <v>3</v>
      </c>
      <c r="F14" s="243"/>
      <c r="G14" s="180" t="s">
        <v>88</v>
      </c>
    </row>
    <row r="15" spans="2:7" x14ac:dyDescent="0.4">
      <c r="B15" s="231"/>
      <c r="C15" s="234"/>
      <c r="D15" s="181">
        <v>1000109403</v>
      </c>
      <c r="E15" s="251">
        <f t="shared" si="0"/>
        <v>3</v>
      </c>
      <c r="F15" s="244"/>
      <c r="G15" s="182" t="s">
        <v>155</v>
      </c>
    </row>
    <row r="16" spans="2:7" x14ac:dyDescent="0.4">
      <c r="B16" s="229">
        <v>3</v>
      </c>
      <c r="C16" s="232" t="s">
        <v>164</v>
      </c>
      <c r="D16" s="177">
        <v>1000109473</v>
      </c>
      <c r="E16" s="250">
        <f t="shared" si="0"/>
        <v>3</v>
      </c>
      <c r="F16" s="242">
        <f>SUM(E16:E21)</f>
        <v>19</v>
      </c>
      <c r="G16" s="178" t="s">
        <v>68</v>
      </c>
    </row>
    <row r="17" spans="2:7" x14ac:dyDescent="0.4">
      <c r="B17" s="230"/>
      <c r="C17" s="233"/>
      <c r="D17" s="179">
        <v>1000110144</v>
      </c>
      <c r="E17" s="246">
        <f t="shared" si="0"/>
        <v>4</v>
      </c>
      <c r="F17" s="243"/>
      <c r="G17" s="180" t="s">
        <v>75</v>
      </c>
    </row>
    <row r="18" spans="2:7" x14ac:dyDescent="0.4">
      <c r="B18" s="230"/>
      <c r="C18" s="233"/>
      <c r="D18" s="179">
        <v>1000110121</v>
      </c>
      <c r="E18" s="246">
        <f t="shared" si="0"/>
        <v>1</v>
      </c>
      <c r="F18" s="243"/>
      <c r="G18" s="180" t="s">
        <v>78</v>
      </c>
    </row>
    <row r="19" spans="2:7" x14ac:dyDescent="0.4">
      <c r="B19" s="230"/>
      <c r="C19" s="233"/>
      <c r="D19" s="179">
        <v>1000107882</v>
      </c>
      <c r="E19" s="246">
        <f t="shared" si="0"/>
        <v>2</v>
      </c>
      <c r="F19" s="243"/>
      <c r="G19" s="180" t="s">
        <v>89</v>
      </c>
    </row>
    <row r="20" spans="2:7" x14ac:dyDescent="0.4">
      <c r="B20" s="230"/>
      <c r="C20" s="233"/>
      <c r="D20" s="179">
        <v>1000109159</v>
      </c>
      <c r="E20" s="246">
        <f t="shared" si="0"/>
        <v>9</v>
      </c>
      <c r="F20" s="243"/>
      <c r="G20" s="180" t="s">
        <v>90</v>
      </c>
    </row>
    <row r="21" spans="2:7" x14ac:dyDescent="0.4">
      <c r="B21" s="231"/>
      <c r="C21" s="234"/>
      <c r="D21" s="181">
        <v>1000107960</v>
      </c>
      <c r="E21" s="251">
        <f t="shared" si="0"/>
        <v>0</v>
      </c>
      <c r="F21" s="244"/>
      <c r="G21" s="182" t="s">
        <v>167</v>
      </c>
    </row>
    <row r="22" spans="2:7" x14ac:dyDescent="0.4">
      <c r="B22" s="183"/>
      <c r="C22" s="193" t="s">
        <v>157</v>
      </c>
      <c r="D22" s="196">
        <v>1000110139</v>
      </c>
      <c r="E22" s="247"/>
      <c r="F22" s="247"/>
      <c r="G22" s="197" t="s">
        <v>67</v>
      </c>
    </row>
    <row r="23" spans="2:7" x14ac:dyDescent="0.4">
      <c r="B23" s="183"/>
      <c r="C23" s="193" t="s">
        <v>157</v>
      </c>
      <c r="D23" s="194">
        <v>1000105803</v>
      </c>
      <c r="E23" s="248"/>
      <c r="F23" s="248"/>
      <c r="G23" s="195" t="s">
        <v>70</v>
      </c>
    </row>
    <row r="24" spans="2:7" x14ac:dyDescent="0.4">
      <c r="B24" s="183"/>
      <c r="C24" s="193" t="s">
        <v>157</v>
      </c>
      <c r="D24" s="194">
        <v>1000109969</v>
      </c>
      <c r="E24" s="248"/>
      <c r="F24" s="248"/>
      <c r="G24" s="195" t="s">
        <v>72</v>
      </c>
    </row>
    <row r="25" spans="2:7" x14ac:dyDescent="0.4">
      <c r="B25" s="183"/>
      <c r="C25" s="193" t="s">
        <v>157</v>
      </c>
      <c r="D25" s="194">
        <v>1000109704</v>
      </c>
      <c r="E25" s="248"/>
      <c r="F25" s="248"/>
      <c r="G25" s="195" t="s">
        <v>74</v>
      </c>
    </row>
    <row r="26" spans="2:7" x14ac:dyDescent="0.4">
      <c r="B26" s="183"/>
      <c r="C26" s="193" t="s">
        <v>157</v>
      </c>
      <c r="D26" s="194">
        <v>1000108372</v>
      </c>
      <c r="E26" s="248"/>
      <c r="F26" s="248"/>
      <c r="G26" s="195" t="s">
        <v>79</v>
      </c>
    </row>
    <row r="27" spans="2:7" x14ac:dyDescent="0.4">
      <c r="B27" s="183"/>
      <c r="C27" s="193" t="s">
        <v>157</v>
      </c>
      <c r="D27" s="194">
        <v>1000110199</v>
      </c>
      <c r="E27" s="248"/>
      <c r="F27" s="248"/>
      <c r="G27" s="195" t="s">
        <v>81</v>
      </c>
    </row>
    <row r="28" spans="2:7" x14ac:dyDescent="0.4">
      <c r="B28" s="183"/>
      <c r="C28" s="193" t="s">
        <v>157</v>
      </c>
      <c r="D28" s="194">
        <v>1000100409</v>
      </c>
      <c r="E28" s="248"/>
      <c r="F28" s="248"/>
      <c r="G28" s="195" t="s">
        <v>82</v>
      </c>
    </row>
    <row r="29" spans="2:7" x14ac:dyDescent="0.4">
      <c r="B29" s="183"/>
      <c r="C29" s="193" t="s">
        <v>157</v>
      </c>
      <c r="D29" s="194">
        <v>1000044286</v>
      </c>
      <c r="E29" s="248"/>
      <c r="F29" s="248"/>
      <c r="G29" s="195" t="s">
        <v>83</v>
      </c>
    </row>
    <row r="30" spans="2:7" x14ac:dyDescent="0.4">
      <c r="B30" s="183"/>
      <c r="C30" s="193" t="s">
        <v>157</v>
      </c>
      <c r="D30" s="194">
        <v>1000109930</v>
      </c>
      <c r="E30" s="248"/>
      <c r="F30" s="248"/>
      <c r="G30" s="195" t="s">
        <v>86</v>
      </c>
    </row>
    <row r="31" spans="2:7" x14ac:dyDescent="0.4">
      <c r="B31" s="183"/>
      <c r="C31" s="193" t="s">
        <v>157</v>
      </c>
      <c r="D31" s="194">
        <v>1000107941</v>
      </c>
      <c r="E31" s="248"/>
      <c r="F31" s="248"/>
      <c r="G31" s="195" t="s">
        <v>92</v>
      </c>
    </row>
    <row r="32" spans="2:7" x14ac:dyDescent="0.4">
      <c r="B32" s="183"/>
      <c r="C32" s="193" t="s">
        <v>157</v>
      </c>
      <c r="D32" s="194">
        <v>1000096189</v>
      </c>
      <c r="E32" s="248"/>
      <c r="F32" s="248"/>
      <c r="G32" s="195" t="s">
        <v>93</v>
      </c>
    </row>
    <row r="33" spans="2:7" x14ac:dyDescent="0.4">
      <c r="B33" s="183"/>
      <c r="C33" s="193" t="s">
        <v>157</v>
      </c>
      <c r="D33" s="194">
        <v>1000110184</v>
      </c>
      <c r="E33" s="248"/>
      <c r="F33" s="248"/>
      <c r="G33" s="195" t="s">
        <v>95</v>
      </c>
    </row>
    <row r="34" spans="2:7" x14ac:dyDescent="0.4">
      <c r="B34" s="184"/>
      <c r="C34" s="198"/>
      <c r="D34" s="199"/>
      <c r="E34" s="249"/>
      <c r="F34" s="249"/>
      <c r="G34" s="200"/>
    </row>
    <row r="35" spans="2:7" x14ac:dyDescent="0.4">
      <c r="B35" s="142" t="s">
        <v>158</v>
      </c>
    </row>
  </sheetData>
  <autoFilter ref="B3:G34" xr:uid="{21BA9DA1-5150-4620-8E0F-E61CEECD3476}">
    <sortState xmlns:xlrd2="http://schemas.microsoft.com/office/spreadsheetml/2017/richdata2" ref="B4:G34">
      <sortCondition ref="B4:B34"/>
    </sortState>
  </autoFilter>
  <sortState xmlns:xlrd2="http://schemas.microsoft.com/office/spreadsheetml/2017/richdata2" ref="B4:G34">
    <sortCondition ref="B4:B34"/>
    <sortCondition ref="G4:G34"/>
  </sortState>
  <mergeCells count="9">
    <mergeCell ref="F4:F9"/>
    <mergeCell ref="F10:F15"/>
    <mergeCell ref="F16:F21"/>
    <mergeCell ref="B4:B9"/>
    <mergeCell ref="C4:C9"/>
    <mergeCell ref="B10:B15"/>
    <mergeCell ref="C10:C15"/>
    <mergeCell ref="B16:B21"/>
    <mergeCell ref="C16:C2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1385-391C-44F8-96B8-4D07C61E4238}">
  <sheetPr>
    <pageSetUpPr fitToPage="1"/>
  </sheetPr>
  <dimension ref="B1:D34"/>
  <sheetViews>
    <sheetView showGridLines="0" workbookViewId="0">
      <selection activeCell="L9" sqref="L9"/>
    </sheetView>
  </sheetViews>
  <sheetFormatPr defaultColWidth="9.109375" defaultRowHeight="16.8" x14ac:dyDescent="0.4"/>
  <cols>
    <col min="1" max="1" width="2.5546875" style="142" customWidth="1"/>
    <col min="2" max="2" width="12.5546875" style="149" customWidth="1"/>
    <col min="3" max="3" width="47.21875" style="142" customWidth="1"/>
    <col min="4" max="4" width="26.77734375" style="142" customWidth="1"/>
    <col min="5" max="5" width="2.5546875" style="142" customWidth="1"/>
    <col min="6" max="16384" width="9.109375" style="142"/>
  </cols>
  <sheetData>
    <row r="1" spans="2:4" x14ac:dyDescent="0.4">
      <c r="C1" s="235" t="s">
        <v>160</v>
      </c>
    </row>
    <row r="2" spans="2:4" x14ac:dyDescent="0.4">
      <c r="B2" s="237"/>
      <c r="C2" s="235"/>
      <c r="D2" s="142" t="s">
        <v>142</v>
      </c>
    </row>
    <row r="3" spans="2:4" x14ac:dyDescent="0.4">
      <c r="B3" s="238"/>
      <c r="C3" s="236"/>
    </row>
    <row r="4" spans="2:4" x14ac:dyDescent="0.4">
      <c r="B4" s="150" t="s">
        <v>10</v>
      </c>
      <c r="C4" s="147" t="s">
        <v>11</v>
      </c>
      <c r="D4" s="148" t="s">
        <v>141</v>
      </c>
    </row>
    <row r="5" spans="2:4" ht="22.05" customHeight="1" x14ac:dyDescent="0.4">
      <c r="B5" s="151">
        <v>1000108883</v>
      </c>
      <c r="C5" s="143" t="s">
        <v>66</v>
      </c>
      <c r="D5" s="144"/>
    </row>
    <row r="6" spans="2:4" ht="22.05" customHeight="1" x14ac:dyDescent="0.4">
      <c r="B6" s="151">
        <v>1000110139</v>
      </c>
      <c r="C6" s="143" t="s">
        <v>67</v>
      </c>
      <c r="D6" s="144"/>
    </row>
    <row r="7" spans="2:4" ht="22.05" customHeight="1" x14ac:dyDescent="0.4">
      <c r="B7" s="151">
        <v>1000109473</v>
      </c>
      <c r="C7" s="143" t="s">
        <v>68</v>
      </c>
      <c r="D7" s="144"/>
    </row>
    <row r="8" spans="2:4" ht="22.05" customHeight="1" x14ac:dyDescent="0.4">
      <c r="B8" s="151">
        <v>1000109401</v>
      </c>
      <c r="C8" s="143" t="s">
        <v>69</v>
      </c>
      <c r="D8" s="144"/>
    </row>
    <row r="9" spans="2:4" ht="22.05" customHeight="1" x14ac:dyDescent="0.4">
      <c r="B9" s="151">
        <v>1000105803</v>
      </c>
      <c r="C9" s="143" t="s">
        <v>70</v>
      </c>
      <c r="D9" s="144"/>
    </row>
    <row r="10" spans="2:4" ht="22.05" customHeight="1" x14ac:dyDescent="0.4">
      <c r="B10" s="151">
        <v>1000109945</v>
      </c>
      <c r="C10" s="143" t="s">
        <v>71</v>
      </c>
      <c r="D10" s="144"/>
    </row>
    <row r="11" spans="2:4" ht="22.05" customHeight="1" x14ac:dyDescent="0.4">
      <c r="B11" s="151">
        <v>1000109969</v>
      </c>
      <c r="C11" s="143" t="s">
        <v>72</v>
      </c>
      <c r="D11" s="144"/>
    </row>
    <row r="12" spans="2:4" ht="22.05" customHeight="1" x14ac:dyDescent="0.4">
      <c r="B12" s="151">
        <v>1000105775</v>
      </c>
      <c r="C12" s="143" t="s">
        <v>73</v>
      </c>
      <c r="D12" s="144"/>
    </row>
    <row r="13" spans="2:4" ht="22.05" customHeight="1" x14ac:dyDescent="0.4">
      <c r="B13" s="151">
        <v>1000109704</v>
      </c>
      <c r="C13" s="143" t="s">
        <v>74</v>
      </c>
      <c r="D13" s="144"/>
    </row>
    <row r="14" spans="2:4" ht="22.05" customHeight="1" x14ac:dyDescent="0.4">
      <c r="B14" s="151">
        <v>1000110144</v>
      </c>
      <c r="C14" s="143" t="s">
        <v>75</v>
      </c>
      <c r="D14" s="144"/>
    </row>
    <row r="15" spans="2:4" ht="22.05" customHeight="1" x14ac:dyDescent="0.4">
      <c r="B15" s="151">
        <v>1000109428</v>
      </c>
      <c r="C15" s="143" t="s">
        <v>76</v>
      </c>
      <c r="D15" s="144"/>
    </row>
    <row r="16" spans="2:4" ht="22.05" customHeight="1" x14ac:dyDescent="0.4">
      <c r="B16" s="151">
        <v>1000107929</v>
      </c>
      <c r="C16" s="143" t="s">
        <v>77</v>
      </c>
      <c r="D16" s="144"/>
    </row>
    <row r="17" spans="2:4" ht="22.05" customHeight="1" x14ac:dyDescent="0.4">
      <c r="B17" s="151">
        <v>1000110121</v>
      </c>
      <c r="C17" s="143" t="s">
        <v>78</v>
      </c>
      <c r="D17" s="144"/>
    </row>
    <row r="18" spans="2:4" ht="22.05" customHeight="1" x14ac:dyDescent="0.4">
      <c r="B18" s="151">
        <v>1000108372</v>
      </c>
      <c r="C18" s="143" t="s">
        <v>79</v>
      </c>
      <c r="D18" s="144"/>
    </row>
    <row r="19" spans="2:4" ht="22.05" customHeight="1" x14ac:dyDescent="0.4">
      <c r="B19" s="151">
        <v>1000105722</v>
      </c>
      <c r="C19" s="143" t="s">
        <v>80</v>
      </c>
      <c r="D19" s="144"/>
    </row>
    <row r="20" spans="2:4" ht="22.05" customHeight="1" x14ac:dyDescent="0.4">
      <c r="B20" s="151">
        <v>1000110199</v>
      </c>
      <c r="C20" s="143" t="s">
        <v>81</v>
      </c>
      <c r="D20" s="144"/>
    </row>
    <row r="21" spans="2:4" ht="22.05" customHeight="1" x14ac:dyDescent="0.4">
      <c r="B21" s="151">
        <v>1000100409</v>
      </c>
      <c r="C21" s="143" t="s">
        <v>82</v>
      </c>
      <c r="D21" s="144"/>
    </row>
    <row r="22" spans="2:4" ht="22.05" customHeight="1" x14ac:dyDescent="0.4">
      <c r="B22" s="151">
        <v>1000044286</v>
      </c>
      <c r="C22" s="143" t="s">
        <v>83</v>
      </c>
      <c r="D22" s="144"/>
    </row>
    <row r="23" spans="2:4" ht="22.05" customHeight="1" x14ac:dyDescent="0.4">
      <c r="B23" s="151">
        <v>1000108881</v>
      </c>
      <c r="C23" s="143" t="s">
        <v>84</v>
      </c>
      <c r="D23" s="144"/>
    </row>
    <row r="24" spans="2:4" ht="22.05" customHeight="1" x14ac:dyDescent="0.4">
      <c r="B24" s="151">
        <v>1000109238</v>
      </c>
      <c r="C24" s="143" t="s">
        <v>85</v>
      </c>
      <c r="D24" s="144"/>
    </row>
    <row r="25" spans="2:4" ht="22.05" customHeight="1" x14ac:dyDescent="0.4">
      <c r="B25" s="151">
        <v>1000109930</v>
      </c>
      <c r="C25" s="143" t="s">
        <v>86</v>
      </c>
      <c r="D25" s="144"/>
    </row>
    <row r="26" spans="2:4" ht="22.05" customHeight="1" x14ac:dyDescent="0.4">
      <c r="B26" s="151">
        <v>1000104677</v>
      </c>
      <c r="C26" s="143" t="s">
        <v>87</v>
      </c>
      <c r="D26" s="144"/>
    </row>
    <row r="27" spans="2:4" ht="22.05" customHeight="1" x14ac:dyDescent="0.4">
      <c r="B27" s="151">
        <v>1000109133</v>
      </c>
      <c r="C27" s="143" t="s">
        <v>88</v>
      </c>
      <c r="D27" s="144"/>
    </row>
    <row r="28" spans="2:4" ht="22.05" customHeight="1" x14ac:dyDescent="0.4">
      <c r="B28" s="151">
        <v>1000107882</v>
      </c>
      <c r="C28" s="143" t="s">
        <v>89</v>
      </c>
      <c r="D28" s="144"/>
    </row>
    <row r="29" spans="2:4" ht="22.05" customHeight="1" x14ac:dyDescent="0.4">
      <c r="B29" s="151">
        <v>1000109159</v>
      </c>
      <c r="C29" s="143" t="s">
        <v>90</v>
      </c>
      <c r="D29" s="144"/>
    </row>
    <row r="30" spans="2:4" ht="22.05" customHeight="1" x14ac:dyDescent="0.4">
      <c r="B30" s="151">
        <v>1000107960</v>
      </c>
      <c r="C30" s="143" t="s">
        <v>91</v>
      </c>
      <c r="D30" s="144"/>
    </row>
    <row r="31" spans="2:4" ht="22.05" customHeight="1" x14ac:dyDescent="0.4">
      <c r="B31" s="151" t="s">
        <v>140</v>
      </c>
      <c r="C31" s="143" t="s">
        <v>92</v>
      </c>
      <c r="D31" s="144"/>
    </row>
    <row r="32" spans="2:4" ht="22.05" customHeight="1" x14ac:dyDescent="0.4">
      <c r="B32" s="151">
        <v>1000096189</v>
      </c>
      <c r="C32" s="143" t="s">
        <v>93</v>
      </c>
      <c r="D32" s="144"/>
    </row>
    <row r="33" spans="2:4" ht="22.05" customHeight="1" x14ac:dyDescent="0.4">
      <c r="B33" s="151">
        <v>1000109403</v>
      </c>
      <c r="C33" s="143" t="s">
        <v>94</v>
      </c>
      <c r="D33" s="144"/>
    </row>
    <row r="34" spans="2:4" ht="22.05" customHeight="1" x14ac:dyDescent="0.4">
      <c r="B34" s="152">
        <v>1000110184</v>
      </c>
      <c r="C34" s="145" t="s">
        <v>95</v>
      </c>
      <c r="D34" s="146"/>
    </row>
  </sheetData>
  <mergeCells count="2">
    <mergeCell ref="C1:C3"/>
    <mergeCell ref="B2:B3"/>
  </mergeCells>
  <printOptions horizontalCentered="1"/>
  <pageMargins left="0.23622047244094491" right="0.23622047244094491" top="0.39370078740157483" bottom="0.39370078740157483" header="0.31496062992125984" footer="0.31496062992125984"/>
  <pageSetup orientation="portrait" r:id="rId1"/>
  <ignoredErrors>
    <ignoredError sqref="B31" numberStoredAsText="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CC64D-BA36-4BF2-A77F-881686E7B744}">
  <sheetPr codeName="Sheet115"/>
  <dimension ref="A2:L34"/>
  <sheetViews>
    <sheetView showGridLines="0" zoomScale="145" zoomScaleNormal="145" workbookViewId="0">
      <pane xSplit="2" ySplit="3" topLeftCell="C4" activePane="bottomRight" state="frozen"/>
      <selection pane="topRight" activeCell="C1" sqref="C1"/>
      <selection pane="bottomLeft" activeCell="A4" sqref="A4"/>
      <selection pane="bottomRight" activeCell="B9" sqref="B9"/>
    </sheetView>
  </sheetViews>
  <sheetFormatPr defaultColWidth="11.44140625" defaultRowHeight="16.8" x14ac:dyDescent="0.3"/>
  <cols>
    <col min="1" max="1" width="2.44140625" style="87" customWidth="1"/>
    <col min="2" max="2" width="37.88671875" style="86" customWidth="1"/>
    <col min="3" max="3" width="3.44140625" style="86" customWidth="1"/>
    <col min="4" max="4" width="12.44140625" style="86" customWidth="1"/>
    <col min="5" max="5" width="9.44140625" style="31" customWidth="1"/>
    <col min="6" max="6" width="8" style="31" customWidth="1"/>
    <col min="7" max="7" width="11.44140625" style="31" customWidth="1"/>
    <col min="8" max="8" width="6.21875" style="31" hidden="1" customWidth="1"/>
    <col min="9" max="9" width="12.44140625" style="31" customWidth="1"/>
    <col min="10" max="11" width="10.88671875" style="31" customWidth="1"/>
    <col min="12" max="12" width="29.109375" style="86" customWidth="1"/>
    <col min="13" max="13" width="2.44140625" style="86" customWidth="1"/>
    <col min="14" max="14" width="112.44140625" style="86" customWidth="1"/>
    <col min="15" max="16384" width="11.44140625" style="86"/>
  </cols>
  <sheetData>
    <row r="2" spans="1:12" x14ac:dyDescent="0.3">
      <c r="B2" s="86" t="s">
        <v>44</v>
      </c>
      <c r="D2" s="86" t="s">
        <v>34</v>
      </c>
      <c r="E2" s="31">
        <v>29</v>
      </c>
      <c r="L2" s="45"/>
    </row>
    <row r="3" spans="1:12" ht="37.200000000000003" customHeight="1" x14ac:dyDescent="0.3">
      <c r="B3" s="24" t="s">
        <v>35</v>
      </c>
      <c r="C3" s="118" t="s">
        <v>36</v>
      </c>
      <c r="D3" s="17" t="s">
        <v>10</v>
      </c>
      <c r="E3" s="29" t="s">
        <v>37</v>
      </c>
      <c r="F3" s="29" t="s">
        <v>38</v>
      </c>
      <c r="G3" s="29" t="s">
        <v>39</v>
      </c>
      <c r="H3" s="29" t="s">
        <v>40</v>
      </c>
      <c r="I3" s="29" t="s">
        <v>41</v>
      </c>
      <c r="J3" s="36" t="s">
        <v>42</v>
      </c>
      <c r="K3" s="36" t="s">
        <v>19</v>
      </c>
      <c r="L3" s="18" t="s">
        <v>22</v>
      </c>
    </row>
    <row r="4" spans="1:12" x14ac:dyDescent="0.3">
      <c r="A4" s="87">
        <v>1</v>
      </c>
      <c r="B4" s="19" t="s">
        <v>56</v>
      </c>
      <c r="C4" s="132"/>
      <c r="D4" s="32">
        <v>1000100369</v>
      </c>
      <c r="E4" s="88">
        <v>0</v>
      </c>
      <c r="F4" s="32">
        <v>5</v>
      </c>
      <c r="G4" s="102">
        <f t="shared" ref="G4:G6" si="0">(E4/$E$2*F4)</f>
        <v>0</v>
      </c>
      <c r="H4" s="89"/>
      <c r="I4" s="89"/>
      <c r="J4" s="101"/>
      <c r="K4" s="101"/>
      <c r="L4" s="21"/>
    </row>
    <row r="5" spans="1:12" x14ac:dyDescent="0.3">
      <c r="A5" s="87">
        <v>2</v>
      </c>
      <c r="B5" s="19" t="s">
        <v>57</v>
      </c>
      <c r="C5" s="133"/>
      <c r="D5" s="32">
        <v>1000096451</v>
      </c>
      <c r="E5" s="88">
        <v>0</v>
      </c>
      <c r="F5" s="32">
        <v>5</v>
      </c>
      <c r="G5" s="102">
        <f t="shared" si="0"/>
        <v>0</v>
      </c>
      <c r="H5" s="89"/>
      <c r="I5" s="89"/>
      <c r="J5" s="101"/>
      <c r="K5" s="101"/>
      <c r="L5" s="21"/>
    </row>
    <row r="6" spans="1:12" x14ac:dyDescent="0.3">
      <c r="A6" s="87">
        <v>3</v>
      </c>
      <c r="B6" s="19" t="s">
        <v>58</v>
      </c>
      <c r="C6" s="134"/>
      <c r="D6" s="32">
        <v>1000095060</v>
      </c>
      <c r="E6" s="88">
        <v>0</v>
      </c>
      <c r="F6" s="32">
        <v>5</v>
      </c>
      <c r="G6" s="102">
        <f t="shared" si="0"/>
        <v>0</v>
      </c>
      <c r="H6" s="89"/>
      <c r="I6" s="89"/>
      <c r="J6" s="101"/>
      <c r="K6" s="101"/>
      <c r="L6" s="21"/>
    </row>
    <row r="7" spans="1:12" x14ac:dyDescent="0.3">
      <c r="A7" s="87">
        <v>4</v>
      </c>
      <c r="B7" s="19" t="s">
        <v>59</v>
      </c>
      <c r="C7" s="135"/>
      <c r="D7" s="32">
        <v>1000098859</v>
      </c>
      <c r="E7" s="88">
        <v>0</v>
      </c>
      <c r="F7" s="32">
        <v>5</v>
      </c>
      <c r="G7" s="102">
        <f t="shared" ref="G7:G8" si="1">(E7/$E$2*F7)</f>
        <v>0</v>
      </c>
      <c r="H7" s="89"/>
      <c r="I7" s="89"/>
      <c r="J7" s="101"/>
      <c r="K7" s="101"/>
      <c r="L7" s="125"/>
    </row>
    <row r="8" spans="1:12" x14ac:dyDescent="0.3">
      <c r="A8" s="87">
        <v>5</v>
      </c>
      <c r="B8" s="19" t="s">
        <v>60</v>
      </c>
      <c r="C8" s="136"/>
      <c r="D8" s="32">
        <v>1000097123</v>
      </c>
      <c r="E8" s="88">
        <v>0</v>
      </c>
      <c r="F8" s="32">
        <v>5</v>
      </c>
      <c r="G8" s="102">
        <f t="shared" si="1"/>
        <v>0</v>
      </c>
      <c r="H8" s="89"/>
      <c r="I8" s="89"/>
      <c r="J8" s="101"/>
      <c r="K8" s="101"/>
      <c r="L8" s="21"/>
    </row>
    <row r="9" spans="1:12" x14ac:dyDescent="0.3">
      <c r="A9" s="87">
        <v>6</v>
      </c>
      <c r="B9" s="19" t="s">
        <v>61</v>
      </c>
      <c r="C9" s="137"/>
      <c r="D9" s="32">
        <v>1000100272</v>
      </c>
      <c r="E9" s="88">
        <v>0</v>
      </c>
      <c r="F9" s="32">
        <v>5</v>
      </c>
      <c r="G9" s="102">
        <f t="shared" ref="G9:G11" si="2">(E9/$E$2*F9)</f>
        <v>0</v>
      </c>
      <c r="H9" s="89"/>
      <c r="I9" s="89"/>
      <c r="J9" s="101"/>
      <c r="K9" s="101"/>
      <c r="L9" s="21"/>
    </row>
    <row r="10" spans="1:12" x14ac:dyDescent="0.3">
      <c r="A10" s="87">
        <v>7</v>
      </c>
      <c r="B10" s="19" t="s">
        <v>62</v>
      </c>
      <c r="C10" s="138"/>
      <c r="D10" s="32">
        <v>1000100367</v>
      </c>
      <c r="E10" s="88">
        <v>0</v>
      </c>
      <c r="F10" s="32">
        <v>5</v>
      </c>
      <c r="G10" s="102">
        <f t="shared" si="2"/>
        <v>0</v>
      </c>
      <c r="H10" s="89"/>
      <c r="I10" s="89"/>
      <c r="J10" s="101"/>
      <c r="K10" s="101"/>
      <c r="L10" s="21"/>
    </row>
    <row r="11" spans="1:12" x14ac:dyDescent="0.3">
      <c r="A11" s="87">
        <v>8</v>
      </c>
      <c r="B11" s="19" t="s">
        <v>63</v>
      </c>
      <c r="C11" s="139"/>
      <c r="D11" s="32">
        <v>1000100300</v>
      </c>
      <c r="E11" s="88">
        <v>0</v>
      </c>
      <c r="F11" s="32">
        <v>5</v>
      </c>
      <c r="G11" s="102">
        <f t="shared" si="2"/>
        <v>0</v>
      </c>
      <c r="H11" s="89"/>
      <c r="I11" s="89"/>
      <c r="J11" s="101"/>
      <c r="K11" s="101"/>
      <c r="L11" s="21"/>
    </row>
    <row r="12" spans="1:12" x14ac:dyDescent="0.3">
      <c r="A12" s="87">
        <v>9</v>
      </c>
      <c r="B12" s="19"/>
      <c r="C12" s="20"/>
      <c r="D12" s="20"/>
      <c r="E12" s="88"/>
      <c r="F12" s="32"/>
      <c r="G12" s="102"/>
      <c r="H12" s="89"/>
      <c r="I12" s="89"/>
      <c r="J12" s="101"/>
      <c r="K12" s="101"/>
      <c r="L12" s="21"/>
    </row>
    <row r="13" spans="1:12" x14ac:dyDescent="0.3">
      <c r="A13" s="87">
        <v>10</v>
      </c>
      <c r="B13" s="19"/>
      <c r="C13" s="20"/>
      <c r="D13" s="20"/>
      <c r="E13" s="88"/>
      <c r="F13" s="32"/>
      <c r="G13" s="102"/>
      <c r="H13" s="89"/>
      <c r="I13" s="89"/>
      <c r="J13" s="101"/>
      <c r="K13" s="101"/>
      <c r="L13" s="21"/>
    </row>
    <row r="14" spans="1:12" hidden="1" x14ac:dyDescent="0.3">
      <c r="A14" s="87">
        <v>11</v>
      </c>
      <c r="B14" s="19"/>
      <c r="C14" s="20"/>
      <c r="D14" s="20"/>
      <c r="E14" s="88"/>
      <c r="F14" s="32"/>
      <c r="G14" s="102"/>
      <c r="H14" s="89"/>
      <c r="I14" s="89"/>
      <c r="J14" s="101"/>
      <c r="K14" s="101"/>
      <c r="L14" s="21"/>
    </row>
    <row r="15" spans="1:12" hidden="1" x14ac:dyDescent="0.3">
      <c r="A15" s="87">
        <v>12</v>
      </c>
      <c r="B15" s="19"/>
      <c r="C15" s="20"/>
      <c r="D15" s="20"/>
      <c r="E15" s="88"/>
      <c r="F15" s="32"/>
      <c r="G15" s="102"/>
      <c r="H15" s="89"/>
      <c r="I15" s="89"/>
      <c r="J15" s="101"/>
      <c r="K15" s="101"/>
      <c r="L15" s="21"/>
    </row>
    <row r="16" spans="1:12" hidden="1" x14ac:dyDescent="0.3">
      <c r="A16" s="87">
        <v>13</v>
      </c>
      <c r="B16" s="19"/>
      <c r="C16" s="20"/>
      <c r="D16" s="20"/>
      <c r="E16" s="88"/>
      <c r="F16" s="32"/>
      <c r="G16" s="102"/>
      <c r="H16" s="89"/>
      <c r="I16" s="89"/>
      <c r="J16" s="101"/>
      <c r="K16" s="101"/>
      <c r="L16" s="21"/>
    </row>
    <row r="17" spans="1:12" hidden="1" x14ac:dyDescent="0.3">
      <c r="A17" s="87">
        <v>14</v>
      </c>
      <c r="B17" s="19"/>
      <c r="C17" s="20"/>
      <c r="D17" s="20"/>
      <c r="E17" s="88"/>
      <c r="F17" s="32"/>
      <c r="G17" s="102"/>
      <c r="H17" s="89"/>
      <c r="I17" s="89"/>
      <c r="J17" s="101"/>
      <c r="K17" s="101"/>
      <c r="L17" s="21"/>
    </row>
    <row r="18" spans="1:12" hidden="1" x14ac:dyDescent="0.3">
      <c r="A18" s="87">
        <v>15</v>
      </c>
      <c r="B18" s="19"/>
      <c r="C18" s="20"/>
      <c r="D18" s="20"/>
      <c r="E18" s="88"/>
      <c r="F18" s="32"/>
      <c r="G18" s="27"/>
      <c r="H18" s="89"/>
      <c r="I18" s="89"/>
      <c r="J18" s="101"/>
      <c r="K18" s="101"/>
      <c r="L18" s="21"/>
    </row>
    <row r="19" spans="1:12" hidden="1" x14ac:dyDescent="0.3">
      <c r="A19" s="87">
        <v>16</v>
      </c>
      <c r="B19" s="19"/>
      <c r="C19" s="20"/>
      <c r="D19" s="20"/>
      <c r="E19" s="32"/>
      <c r="F19" s="32"/>
      <c r="G19" s="27"/>
      <c r="H19" s="27"/>
      <c r="I19" s="89"/>
      <c r="J19" s="101"/>
      <c r="K19" s="101"/>
      <c r="L19" s="21"/>
    </row>
    <row r="20" spans="1:12" hidden="1" x14ac:dyDescent="0.3">
      <c r="A20" s="87">
        <v>17</v>
      </c>
      <c r="B20" s="19"/>
      <c r="C20" s="20"/>
      <c r="D20" s="20"/>
      <c r="E20" s="32"/>
      <c r="F20" s="32"/>
      <c r="G20" s="27"/>
      <c r="H20" s="27"/>
      <c r="I20" s="89"/>
      <c r="J20" s="101"/>
      <c r="K20" s="101"/>
      <c r="L20" s="21"/>
    </row>
    <row r="21" spans="1:12" hidden="1" x14ac:dyDescent="0.3">
      <c r="A21" s="87">
        <v>18</v>
      </c>
      <c r="B21" s="19"/>
      <c r="C21" s="20"/>
      <c r="D21" s="20"/>
      <c r="E21" s="32"/>
      <c r="F21" s="32"/>
      <c r="G21" s="27"/>
      <c r="H21" s="27"/>
      <c r="I21" s="89"/>
      <c r="J21" s="101"/>
      <c r="K21" s="101"/>
      <c r="L21" s="21"/>
    </row>
    <row r="22" spans="1:12" hidden="1" x14ac:dyDescent="0.3">
      <c r="A22" s="87">
        <v>19</v>
      </c>
      <c r="B22" s="19"/>
      <c r="C22" s="20"/>
      <c r="D22" s="20"/>
      <c r="E22" s="32"/>
      <c r="F22" s="32"/>
      <c r="G22" s="27"/>
      <c r="H22" s="27"/>
      <c r="I22" s="89"/>
      <c r="J22" s="101"/>
      <c r="K22" s="101"/>
      <c r="L22" s="21"/>
    </row>
    <row r="23" spans="1:12" hidden="1" x14ac:dyDescent="0.3">
      <c r="A23" s="87">
        <v>20</v>
      </c>
      <c r="B23" s="19"/>
      <c r="C23" s="20"/>
      <c r="D23" s="20"/>
      <c r="E23" s="32"/>
      <c r="F23" s="32"/>
      <c r="G23" s="27"/>
      <c r="H23" s="27"/>
      <c r="I23" s="89"/>
      <c r="J23" s="101"/>
      <c r="K23" s="101"/>
      <c r="L23" s="21"/>
    </row>
    <row r="24" spans="1:12" hidden="1" x14ac:dyDescent="0.3">
      <c r="A24" s="87">
        <v>21</v>
      </c>
      <c r="B24" s="19"/>
      <c r="C24" s="20"/>
      <c r="D24" s="20"/>
      <c r="E24" s="32"/>
      <c r="F24" s="32"/>
      <c r="G24" s="27"/>
      <c r="H24" s="27"/>
      <c r="I24" s="89"/>
      <c r="J24" s="101"/>
      <c r="K24" s="101"/>
      <c r="L24" s="21"/>
    </row>
    <row r="25" spans="1:12" hidden="1" x14ac:dyDescent="0.3">
      <c r="A25" s="87">
        <v>22</v>
      </c>
      <c r="B25" s="19"/>
      <c r="C25" s="20"/>
      <c r="D25" s="20"/>
      <c r="E25" s="32"/>
      <c r="F25" s="32"/>
      <c r="G25" s="27"/>
      <c r="H25" s="27"/>
      <c r="I25" s="89"/>
      <c r="J25" s="101"/>
      <c r="K25" s="101"/>
      <c r="L25" s="21"/>
    </row>
    <row r="26" spans="1:12" hidden="1" x14ac:dyDescent="0.3">
      <c r="A26" s="87">
        <v>23</v>
      </c>
      <c r="B26" s="19"/>
      <c r="C26" s="20"/>
      <c r="D26" s="20"/>
      <c r="E26" s="32"/>
      <c r="F26" s="32"/>
      <c r="G26" s="27"/>
      <c r="H26" s="27"/>
      <c r="I26" s="89"/>
      <c r="J26" s="101"/>
      <c r="K26" s="101"/>
      <c r="L26" s="21"/>
    </row>
    <row r="27" spans="1:12" hidden="1" x14ac:dyDescent="0.3">
      <c r="A27" s="87">
        <v>24</v>
      </c>
      <c r="B27" s="19"/>
      <c r="C27" s="20"/>
      <c r="D27" s="20"/>
      <c r="E27" s="32"/>
      <c r="F27" s="32"/>
      <c r="G27" s="27"/>
      <c r="H27" s="27"/>
      <c r="I27" s="89"/>
      <c r="J27" s="101"/>
      <c r="K27" s="101"/>
      <c r="L27" s="21"/>
    </row>
    <row r="28" spans="1:12" hidden="1" x14ac:dyDescent="0.3">
      <c r="A28" s="87">
        <v>25</v>
      </c>
      <c r="B28" s="19"/>
      <c r="C28" s="20"/>
      <c r="D28" s="20"/>
      <c r="E28" s="32"/>
      <c r="F28" s="32"/>
      <c r="G28" s="27"/>
      <c r="H28" s="27"/>
      <c r="I28" s="89"/>
      <c r="J28" s="101"/>
      <c r="K28" s="101"/>
      <c r="L28" s="21"/>
    </row>
    <row r="29" spans="1:12" hidden="1" x14ac:dyDescent="0.3">
      <c r="A29" s="87">
        <v>26</v>
      </c>
      <c r="B29" s="19"/>
      <c r="C29" s="20"/>
      <c r="D29" s="20"/>
      <c r="E29" s="32"/>
      <c r="F29" s="32"/>
      <c r="G29" s="27"/>
      <c r="H29" s="27"/>
      <c r="I29" s="89"/>
      <c r="J29" s="101"/>
      <c r="K29" s="101"/>
      <c r="L29" s="21"/>
    </row>
    <row r="30" spans="1:12" hidden="1" x14ac:dyDescent="0.3">
      <c r="A30" s="87">
        <v>27</v>
      </c>
      <c r="B30" s="19"/>
      <c r="C30" s="20"/>
      <c r="D30" s="20"/>
      <c r="E30" s="32"/>
      <c r="F30" s="32"/>
      <c r="G30" s="27"/>
      <c r="H30" s="27"/>
      <c r="I30" s="89"/>
      <c r="J30" s="101"/>
      <c r="K30" s="101"/>
      <c r="L30" s="21"/>
    </row>
    <row r="31" spans="1:12" hidden="1" x14ac:dyDescent="0.3">
      <c r="A31" s="87">
        <v>28</v>
      </c>
      <c r="B31" s="19"/>
      <c r="C31" s="20"/>
      <c r="D31" s="20"/>
      <c r="E31" s="32"/>
      <c r="F31" s="32"/>
      <c r="G31" s="27"/>
      <c r="H31" s="27"/>
      <c r="I31" s="89"/>
      <c r="J31" s="101"/>
      <c r="K31" s="101"/>
      <c r="L31" s="21"/>
    </row>
    <row r="32" spans="1:12" hidden="1" x14ac:dyDescent="0.3">
      <c r="A32" s="87">
        <v>29</v>
      </c>
      <c r="B32" s="19"/>
      <c r="C32" s="20"/>
      <c r="D32" s="20"/>
      <c r="E32" s="32"/>
      <c r="F32" s="32"/>
      <c r="G32" s="27"/>
      <c r="H32" s="27"/>
      <c r="I32" s="89"/>
      <c r="J32" s="101"/>
      <c r="K32" s="101"/>
      <c r="L32" s="21"/>
    </row>
    <row r="33" spans="1:12" hidden="1" x14ac:dyDescent="0.3">
      <c r="A33" s="87">
        <v>30</v>
      </c>
      <c r="B33" s="19"/>
      <c r="C33" s="20"/>
      <c r="D33" s="20"/>
      <c r="E33" s="32"/>
      <c r="F33" s="32"/>
      <c r="G33" s="27"/>
      <c r="H33" s="27"/>
      <c r="I33" s="89"/>
      <c r="J33" s="101"/>
      <c r="K33" s="101"/>
      <c r="L33" s="21"/>
    </row>
    <row r="34" spans="1:12" x14ac:dyDescent="0.3">
      <c r="B34" s="25"/>
      <c r="C34" s="22"/>
      <c r="D34" s="22" t="s">
        <v>43</v>
      </c>
      <c r="E34" s="81">
        <f>AVERAGE(E4:E33)</f>
        <v>0</v>
      </c>
      <c r="F34" s="81">
        <f>AVERAGE(F4:F33)</f>
        <v>5</v>
      </c>
      <c r="G34" s="81">
        <f>AVERAGE(G4:G33)</f>
        <v>0</v>
      </c>
      <c r="H34" s="81" t="e">
        <f>AVERAGE(H4:H33)</f>
        <v>#DIV/0!</v>
      </c>
      <c r="I34" s="81" t="e">
        <f t="shared" ref="I34:K34" si="3">AVERAGE(I4:I33)</f>
        <v>#DIV/0!</v>
      </c>
      <c r="J34" s="81" t="e">
        <f t="shared" si="3"/>
        <v>#DIV/0!</v>
      </c>
      <c r="K34" s="81" t="e">
        <f t="shared" si="3"/>
        <v>#DIV/0!</v>
      </c>
      <c r="L34" s="2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D8DCA-29AB-4701-880F-80EDC6F2B51B}">
  <sheetPr codeName="Sheet80"/>
  <dimension ref="A2:R34"/>
  <sheetViews>
    <sheetView showGridLines="0" zoomScale="85" zoomScaleNormal="85" workbookViewId="0">
      <pane xSplit="2" ySplit="3" topLeftCell="C4" activePane="bottomRight" state="frozen"/>
      <selection pane="topRight" activeCell="C1" sqref="C1"/>
      <selection pane="bottomLeft" activeCell="A4" sqref="A4"/>
      <selection pane="bottomRight" activeCell="B40" sqref="B40"/>
    </sheetView>
  </sheetViews>
  <sheetFormatPr defaultColWidth="11.44140625" defaultRowHeight="16.8" x14ac:dyDescent="0.3"/>
  <cols>
    <col min="1" max="1" width="2.44140625" style="87" customWidth="1"/>
    <col min="2" max="2" width="41.44140625" style="86" customWidth="1"/>
    <col min="3" max="3" width="3.44140625" style="86" customWidth="1"/>
    <col min="4" max="4" width="12.44140625" style="86" customWidth="1"/>
    <col min="5" max="5" width="9.44140625" style="31" customWidth="1"/>
    <col min="6" max="6" width="8" style="31" customWidth="1"/>
    <col min="7" max="7" width="11.44140625" style="31" customWidth="1"/>
    <col min="8" max="8" width="12.44140625" style="31" hidden="1" customWidth="1"/>
    <col min="9" max="9" width="12.44140625" style="31" customWidth="1"/>
    <col min="10" max="10" width="6.44140625" style="31" customWidth="1"/>
    <col min="11" max="11" width="7.44140625" style="31" customWidth="1"/>
    <col min="12" max="14" width="5.109375" style="31" customWidth="1"/>
    <col min="15" max="17" width="6.44140625" style="31" customWidth="1"/>
    <col min="18" max="18" width="90.44140625" style="86" customWidth="1"/>
    <col min="19" max="19" width="2.44140625" style="86" customWidth="1"/>
    <col min="20" max="20" width="112.44140625" style="86" customWidth="1"/>
    <col min="21" max="16384" width="11.44140625" style="86"/>
  </cols>
  <sheetData>
    <row r="2" spans="1:18" x14ac:dyDescent="0.3">
      <c r="B2" s="86" t="s">
        <v>45</v>
      </c>
      <c r="D2" s="86" t="s">
        <v>34</v>
      </c>
      <c r="E2" s="31">
        <v>21</v>
      </c>
      <c r="R2" s="45"/>
    </row>
    <row r="3" spans="1:18" ht="71.400000000000006" x14ac:dyDescent="0.3">
      <c r="B3" s="24" t="s">
        <v>35</v>
      </c>
      <c r="C3" s="118" t="s">
        <v>36</v>
      </c>
      <c r="D3" s="17" t="s">
        <v>10</v>
      </c>
      <c r="E3" s="29" t="s">
        <v>37</v>
      </c>
      <c r="F3" s="29" t="s">
        <v>38</v>
      </c>
      <c r="G3" s="29" t="s">
        <v>39</v>
      </c>
      <c r="H3" s="29" t="s">
        <v>40</v>
      </c>
      <c r="I3" s="29" t="s">
        <v>41</v>
      </c>
      <c r="J3" s="120" t="s">
        <v>42</v>
      </c>
      <c r="K3" s="120" t="s">
        <v>46</v>
      </c>
      <c r="L3" s="120" t="s">
        <v>47</v>
      </c>
      <c r="M3" s="120" t="s">
        <v>48</v>
      </c>
      <c r="N3" s="120" t="s">
        <v>49</v>
      </c>
      <c r="O3" s="120" t="s">
        <v>50</v>
      </c>
      <c r="P3" s="120" t="s">
        <v>51</v>
      </c>
      <c r="Q3" s="120" t="s">
        <v>52</v>
      </c>
      <c r="R3" s="18" t="s">
        <v>22</v>
      </c>
    </row>
    <row r="4" spans="1:18" x14ac:dyDescent="0.3">
      <c r="A4" s="87">
        <v>1</v>
      </c>
      <c r="B4" s="19"/>
      <c r="C4" s="104"/>
      <c r="D4" s="20"/>
      <c r="E4" s="88"/>
      <c r="F4" s="32"/>
      <c r="G4" s="102">
        <f t="shared" ref="G4:G16" si="0">(E4/$E$2*F4)</f>
        <v>0</v>
      </c>
      <c r="H4" s="89"/>
      <c r="I4" s="89"/>
      <c r="J4" s="121"/>
      <c r="K4" s="122"/>
      <c r="L4" s="122"/>
      <c r="M4" s="122"/>
      <c r="N4" s="122"/>
      <c r="O4" s="101"/>
      <c r="P4" s="101"/>
      <c r="Q4" s="101"/>
      <c r="R4" s="21"/>
    </row>
    <row r="5" spans="1:18" x14ac:dyDescent="0.3">
      <c r="A5" s="87">
        <v>2</v>
      </c>
      <c r="B5" s="19"/>
      <c r="C5" s="105"/>
      <c r="D5" s="20"/>
      <c r="E5" s="88"/>
      <c r="F5" s="32"/>
      <c r="G5" s="102">
        <f t="shared" si="0"/>
        <v>0</v>
      </c>
      <c r="H5" s="89"/>
      <c r="I5" s="89"/>
      <c r="J5" s="121"/>
      <c r="K5" s="122"/>
      <c r="L5" s="122"/>
      <c r="M5" s="122"/>
      <c r="N5" s="122"/>
      <c r="O5" s="101"/>
      <c r="P5" s="101"/>
      <c r="Q5" s="101"/>
      <c r="R5" s="21"/>
    </row>
    <row r="6" spans="1:18" x14ac:dyDescent="0.3">
      <c r="A6" s="87">
        <v>3</v>
      </c>
      <c r="B6" s="19"/>
      <c r="C6" s="106"/>
      <c r="D6" s="20"/>
      <c r="E6" s="88"/>
      <c r="F6" s="32"/>
      <c r="G6" s="102">
        <f t="shared" si="0"/>
        <v>0</v>
      </c>
      <c r="H6" s="89"/>
      <c r="I6" s="89"/>
      <c r="J6" s="121"/>
      <c r="K6" s="122"/>
      <c r="L6" s="122"/>
      <c r="M6" s="122"/>
      <c r="N6" s="122"/>
      <c r="O6" s="101"/>
      <c r="P6" s="101"/>
      <c r="Q6" s="101"/>
      <c r="R6" s="21"/>
    </row>
    <row r="7" spans="1:18" x14ac:dyDescent="0.3">
      <c r="A7" s="87">
        <v>4</v>
      </c>
      <c r="B7" s="19"/>
      <c r="C7" s="107"/>
      <c r="D7" s="20"/>
      <c r="E7" s="88"/>
      <c r="F7" s="32"/>
      <c r="G7" s="102">
        <f t="shared" si="0"/>
        <v>0</v>
      </c>
      <c r="H7" s="89"/>
      <c r="I7" s="89"/>
      <c r="J7" s="121"/>
      <c r="K7" s="122"/>
      <c r="L7" s="122"/>
      <c r="M7" s="122"/>
      <c r="N7" s="122"/>
      <c r="O7" s="101"/>
      <c r="P7" s="101"/>
      <c r="Q7" s="101"/>
      <c r="R7" s="21"/>
    </row>
    <row r="8" spans="1:18" x14ac:dyDescent="0.3">
      <c r="A8" s="87">
        <v>5</v>
      </c>
      <c r="B8" s="19"/>
      <c r="C8" s="108"/>
      <c r="D8" s="20"/>
      <c r="E8" s="88"/>
      <c r="F8" s="32"/>
      <c r="G8" s="102">
        <f t="shared" si="0"/>
        <v>0</v>
      </c>
      <c r="H8" s="89"/>
      <c r="I8" s="89"/>
      <c r="J8" s="121"/>
      <c r="K8" s="122"/>
      <c r="L8" s="122"/>
      <c r="M8" s="122"/>
      <c r="N8" s="122"/>
      <c r="O8" s="101"/>
      <c r="P8" s="101"/>
      <c r="Q8" s="101"/>
      <c r="R8" s="21"/>
    </row>
    <row r="9" spans="1:18" x14ac:dyDescent="0.3">
      <c r="A9" s="87">
        <v>6</v>
      </c>
      <c r="B9" s="19"/>
      <c r="C9" s="109"/>
      <c r="D9" s="20"/>
      <c r="E9" s="88"/>
      <c r="F9" s="32"/>
      <c r="G9" s="102">
        <f t="shared" si="0"/>
        <v>0</v>
      </c>
      <c r="H9" s="89"/>
      <c r="I9" s="89"/>
      <c r="J9" s="121"/>
      <c r="K9" s="122"/>
      <c r="L9" s="122"/>
      <c r="M9" s="122"/>
      <c r="N9" s="122"/>
      <c r="O9" s="101"/>
      <c r="P9" s="101"/>
      <c r="Q9" s="101"/>
      <c r="R9" s="21"/>
    </row>
    <row r="10" spans="1:18" x14ac:dyDescent="0.3">
      <c r="A10" s="87">
        <v>7</v>
      </c>
      <c r="B10" s="19"/>
      <c r="C10" s="110"/>
      <c r="D10" s="20"/>
      <c r="E10" s="88"/>
      <c r="F10" s="32"/>
      <c r="G10" s="102">
        <f t="shared" si="0"/>
        <v>0</v>
      </c>
      <c r="H10" s="89"/>
      <c r="I10" s="89"/>
      <c r="J10" s="121"/>
      <c r="K10" s="122"/>
      <c r="L10" s="122"/>
      <c r="M10" s="122"/>
      <c r="N10" s="122"/>
      <c r="O10" s="101"/>
      <c r="P10" s="101"/>
      <c r="Q10" s="101"/>
      <c r="R10" s="21"/>
    </row>
    <row r="11" spans="1:18" x14ac:dyDescent="0.3">
      <c r="A11" s="87">
        <v>8</v>
      </c>
      <c r="B11" s="19"/>
      <c r="C11" s="111"/>
      <c r="D11" s="20"/>
      <c r="E11" s="88"/>
      <c r="F11" s="32"/>
      <c r="G11" s="102">
        <f t="shared" si="0"/>
        <v>0</v>
      </c>
      <c r="H11" s="89"/>
      <c r="I11" s="89"/>
      <c r="J11" s="121"/>
      <c r="K11" s="122"/>
      <c r="L11" s="122"/>
      <c r="M11" s="122"/>
      <c r="N11" s="122"/>
      <c r="O11" s="101"/>
      <c r="P11" s="101"/>
      <c r="Q11" s="101"/>
      <c r="R11" s="21"/>
    </row>
    <row r="12" spans="1:18" x14ac:dyDescent="0.3">
      <c r="A12" s="87">
        <v>9</v>
      </c>
      <c r="B12" s="19"/>
      <c r="C12" s="112"/>
      <c r="D12" s="20"/>
      <c r="E12" s="88"/>
      <c r="F12" s="32"/>
      <c r="G12" s="102">
        <f t="shared" si="0"/>
        <v>0</v>
      </c>
      <c r="H12" s="89"/>
      <c r="I12" s="89"/>
      <c r="J12" s="121"/>
      <c r="K12" s="122"/>
      <c r="L12" s="122"/>
      <c r="M12" s="122"/>
      <c r="N12" s="122"/>
      <c r="O12" s="101"/>
      <c r="P12" s="101"/>
      <c r="Q12" s="101"/>
      <c r="R12" s="21"/>
    </row>
    <row r="13" spans="1:18" x14ac:dyDescent="0.3">
      <c r="A13" s="87">
        <v>10</v>
      </c>
      <c r="B13" s="19"/>
      <c r="C13" s="113"/>
      <c r="D13" s="20"/>
      <c r="E13" s="88"/>
      <c r="F13" s="32"/>
      <c r="G13" s="102">
        <f t="shared" si="0"/>
        <v>0</v>
      </c>
      <c r="H13" s="89"/>
      <c r="I13" s="89"/>
      <c r="J13" s="121"/>
      <c r="K13" s="122"/>
      <c r="L13" s="122"/>
      <c r="M13" s="122"/>
      <c r="N13" s="122"/>
      <c r="O13" s="101"/>
      <c r="P13" s="101"/>
      <c r="Q13" s="101"/>
      <c r="R13" s="21"/>
    </row>
    <row r="14" spans="1:18" x14ac:dyDescent="0.3">
      <c r="A14" s="87">
        <v>11</v>
      </c>
      <c r="B14" s="19"/>
      <c r="C14" s="114"/>
      <c r="D14" s="20"/>
      <c r="E14" s="88"/>
      <c r="F14" s="32"/>
      <c r="G14" s="102">
        <f t="shared" si="0"/>
        <v>0</v>
      </c>
      <c r="H14" s="89"/>
      <c r="I14" s="89"/>
      <c r="J14" s="121"/>
      <c r="K14" s="122"/>
      <c r="L14" s="122"/>
      <c r="M14" s="122"/>
      <c r="N14" s="122"/>
      <c r="O14" s="101"/>
      <c r="P14" s="101"/>
      <c r="Q14" s="101"/>
      <c r="R14" s="21"/>
    </row>
    <row r="15" spans="1:18" x14ac:dyDescent="0.3">
      <c r="A15" s="87">
        <v>12</v>
      </c>
      <c r="B15" s="19"/>
      <c r="C15" s="115"/>
      <c r="D15" s="20"/>
      <c r="E15" s="88"/>
      <c r="F15" s="32"/>
      <c r="G15" s="102">
        <f t="shared" si="0"/>
        <v>0</v>
      </c>
      <c r="H15" s="89"/>
      <c r="I15" s="89"/>
      <c r="J15" s="121"/>
      <c r="K15" s="122"/>
      <c r="L15" s="122"/>
      <c r="M15" s="122"/>
      <c r="N15" s="122"/>
      <c r="O15" s="101"/>
      <c r="P15" s="101"/>
      <c r="Q15" s="101"/>
      <c r="R15" s="21"/>
    </row>
    <row r="16" spans="1:18" x14ac:dyDescent="0.3">
      <c r="A16" s="87">
        <v>13</v>
      </c>
      <c r="B16" s="19"/>
      <c r="C16" s="116"/>
      <c r="D16" s="20"/>
      <c r="E16" s="88"/>
      <c r="F16" s="32"/>
      <c r="G16" s="102">
        <f t="shared" si="0"/>
        <v>0</v>
      </c>
      <c r="H16" s="89"/>
      <c r="I16" s="89"/>
      <c r="J16" s="121"/>
      <c r="K16" s="122"/>
      <c r="L16" s="122"/>
      <c r="M16" s="122"/>
      <c r="N16" s="122"/>
      <c r="O16" s="101"/>
      <c r="P16" s="101"/>
      <c r="Q16" s="101"/>
      <c r="R16" s="21"/>
    </row>
    <row r="17" spans="1:18" hidden="1" x14ac:dyDescent="0.3">
      <c r="A17" s="87">
        <v>14</v>
      </c>
      <c r="B17" s="19"/>
      <c r="C17" s="20"/>
      <c r="D17" s="20"/>
      <c r="E17" s="88"/>
      <c r="F17" s="32"/>
      <c r="G17" s="102"/>
      <c r="H17" s="89"/>
      <c r="I17" s="89"/>
      <c r="J17" s="101"/>
      <c r="K17" s="101"/>
      <c r="L17" s="101"/>
      <c r="M17" s="101"/>
      <c r="N17" s="101"/>
      <c r="O17" s="101"/>
      <c r="P17" s="101"/>
      <c r="Q17" s="101"/>
      <c r="R17" s="21"/>
    </row>
    <row r="18" spans="1:18" hidden="1" x14ac:dyDescent="0.3">
      <c r="A18" s="87">
        <v>15</v>
      </c>
      <c r="B18" s="19"/>
      <c r="C18" s="20"/>
      <c r="D18" s="20"/>
      <c r="E18" s="88"/>
      <c r="F18" s="32"/>
      <c r="G18" s="27"/>
      <c r="H18" s="89"/>
      <c r="I18" s="89"/>
      <c r="J18" s="101"/>
      <c r="K18" s="101"/>
      <c r="L18" s="101"/>
      <c r="M18" s="101"/>
      <c r="N18" s="101"/>
      <c r="O18" s="101"/>
      <c r="P18" s="101"/>
      <c r="Q18" s="101"/>
      <c r="R18" s="21"/>
    </row>
    <row r="19" spans="1:18" hidden="1" x14ac:dyDescent="0.3">
      <c r="A19" s="87">
        <v>16</v>
      </c>
      <c r="B19" s="19"/>
      <c r="C19" s="20"/>
      <c r="D19" s="20"/>
      <c r="E19" s="32"/>
      <c r="F19" s="32"/>
      <c r="G19" s="27"/>
      <c r="H19" s="27"/>
      <c r="I19" s="89"/>
      <c r="J19" s="101"/>
      <c r="K19" s="101"/>
      <c r="L19" s="101"/>
      <c r="M19" s="101"/>
      <c r="N19" s="101"/>
      <c r="O19" s="101"/>
      <c r="P19" s="101"/>
      <c r="Q19" s="101"/>
      <c r="R19" s="21"/>
    </row>
    <row r="20" spans="1:18" hidden="1" x14ac:dyDescent="0.3">
      <c r="A20" s="87">
        <v>17</v>
      </c>
      <c r="B20" s="19"/>
      <c r="C20" s="20"/>
      <c r="D20" s="20"/>
      <c r="E20" s="32"/>
      <c r="F20" s="32"/>
      <c r="G20" s="27"/>
      <c r="H20" s="27"/>
      <c r="I20" s="89"/>
      <c r="J20" s="101"/>
      <c r="K20" s="101"/>
      <c r="L20" s="101"/>
      <c r="M20" s="101"/>
      <c r="N20" s="101"/>
      <c r="O20" s="101"/>
      <c r="P20" s="101"/>
      <c r="Q20" s="101"/>
      <c r="R20" s="21"/>
    </row>
    <row r="21" spans="1:18" hidden="1" x14ac:dyDescent="0.3">
      <c r="A21" s="87">
        <v>18</v>
      </c>
      <c r="B21" s="19"/>
      <c r="C21" s="20"/>
      <c r="D21" s="20"/>
      <c r="E21" s="32"/>
      <c r="F21" s="32"/>
      <c r="G21" s="27"/>
      <c r="H21" s="27"/>
      <c r="I21" s="89"/>
      <c r="J21" s="101"/>
      <c r="K21" s="101"/>
      <c r="L21" s="101"/>
      <c r="M21" s="101"/>
      <c r="N21" s="101"/>
      <c r="O21" s="101"/>
      <c r="P21" s="101"/>
      <c r="Q21" s="101"/>
      <c r="R21" s="21"/>
    </row>
    <row r="22" spans="1:18" hidden="1" x14ac:dyDescent="0.3">
      <c r="A22" s="87">
        <v>19</v>
      </c>
      <c r="B22" s="19"/>
      <c r="C22" s="20"/>
      <c r="D22" s="20"/>
      <c r="E22" s="32"/>
      <c r="F22" s="32"/>
      <c r="G22" s="27"/>
      <c r="H22" s="27"/>
      <c r="I22" s="89"/>
      <c r="J22" s="101"/>
      <c r="K22" s="101"/>
      <c r="L22" s="101"/>
      <c r="M22" s="101"/>
      <c r="N22" s="101"/>
      <c r="O22" s="101"/>
      <c r="P22" s="101"/>
      <c r="Q22" s="101"/>
      <c r="R22" s="21"/>
    </row>
    <row r="23" spans="1:18" hidden="1" x14ac:dyDescent="0.3">
      <c r="A23" s="87">
        <v>20</v>
      </c>
      <c r="B23" s="19"/>
      <c r="C23" s="20"/>
      <c r="D23" s="20"/>
      <c r="E23" s="32"/>
      <c r="F23" s="32"/>
      <c r="G23" s="27"/>
      <c r="H23" s="27"/>
      <c r="I23" s="89"/>
      <c r="J23" s="101"/>
      <c r="K23" s="101"/>
      <c r="L23" s="101"/>
      <c r="M23" s="101"/>
      <c r="N23" s="101"/>
      <c r="O23" s="101"/>
      <c r="P23" s="101"/>
      <c r="Q23" s="101"/>
      <c r="R23" s="21"/>
    </row>
    <row r="24" spans="1:18" hidden="1" x14ac:dyDescent="0.3">
      <c r="A24" s="87">
        <v>21</v>
      </c>
      <c r="B24" s="19"/>
      <c r="C24" s="20"/>
      <c r="D24" s="20"/>
      <c r="E24" s="32"/>
      <c r="F24" s="32"/>
      <c r="G24" s="27"/>
      <c r="H24" s="27"/>
      <c r="I24" s="89"/>
      <c r="J24" s="101"/>
      <c r="K24" s="101"/>
      <c r="L24" s="101"/>
      <c r="M24" s="101"/>
      <c r="N24" s="101"/>
      <c r="O24" s="101"/>
      <c r="P24" s="101"/>
      <c r="Q24" s="101"/>
      <c r="R24" s="21"/>
    </row>
    <row r="25" spans="1:18" hidden="1" x14ac:dyDescent="0.3">
      <c r="A25" s="87">
        <v>22</v>
      </c>
      <c r="B25" s="19"/>
      <c r="C25" s="20"/>
      <c r="D25" s="20"/>
      <c r="E25" s="32"/>
      <c r="F25" s="32"/>
      <c r="G25" s="27"/>
      <c r="H25" s="27"/>
      <c r="I25" s="89"/>
      <c r="J25" s="101"/>
      <c r="K25" s="101"/>
      <c r="L25" s="101"/>
      <c r="M25" s="101"/>
      <c r="N25" s="101"/>
      <c r="O25" s="101"/>
      <c r="P25" s="101"/>
      <c r="Q25" s="101"/>
      <c r="R25" s="21"/>
    </row>
    <row r="26" spans="1:18" hidden="1" x14ac:dyDescent="0.3">
      <c r="A26" s="87">
        <v>23</v>
      </c>
      <c r="B26" s="19"/>
      <c r="C26" s="20"/>
      <c r="D26" s="20"/>
      <c r="E26" s="32"/>
      <c r="F26" s="32"/>
      <c r="G26" s="27"/>
      <c r="H26" s="27"/>
      <c r="I26" s="89"/>
      <c r="J26" s="101"/>
      <c r="K26" s="101"/>
      <c r="L26" s="101"/>
      <c r="M26" s="101"/>
      <c r="N26" s="101"/>
      <c r="O26" s="101"/>
      <c r="P26" s="101"/>
      <c r="Q26" s="101"/>
      <c r="R26" s="21"/>
    </row>
    <row r="27" spans="1:18" hidden="1" x14ac:dyDescent="0.3">
      <c r="A27" s="87">
        <v>24</v>
      </c>
      <c r="B27" s="19"/>
      <c r="C27" s="20"/>
      <c r="D27" s="20"/>
      <c r="E27" s="32"/>
      <c r="F27" s="32"/>
      <c r="G27" s="27"/>
      <c r="H27" s="27"/>
      <c r="I27" s="89"/>
      <c r="J27" s="101"/>
      <c r="K27" s="101"/>
      <c r="L27" s="101"/>
      <c r="M27" s="101"/>
      <c r="N27" s="101"/>
      <c r="O27" s="101"/>
      <c r="P27" s="101"/>
      <c r="Q27" s="101"/>
      <c r="R27" s="21"/>
    </row>
    <row r="28" spans="1:18" hidden="1" x14ac:dyDescent="0.3">
      <c r="A28" s="87">
        <v>25</v>
      </c>
      <c r="B28" s="19"/>
      <c r="C28" s="20"/>
      <c r="D28" s="20"/>
      <c r="E28" s="32"/>
      <c r="F28" s="32"/>
      <c r="G28" s="27"/>
      <c r="H28" s="27"/>
      <c r="I28" s="89"/>
      <c r="J28" s="101"/>
      <c r="K28" s="101"/>
      <c r="L28" s="101"/>
      <c r="M28" s="101"/>
      <c r="N28" s="101"/>
      <c r="O28" s="101"/>
      <c r="P28" s="101"/>
      <c r="Q28" s="101"/>
      <c r="R28" s="21"/>
    </row>
    <row r="29" spans="1:18" hidden="1" x14ac:dyDescent="0.3">
      <c r="A29" s="87">
        <v>26</v>
      </c>
      <c r="B29" s="19"/>
      <c r="C29" s="20"/>
      <c r="D29" s="20"/>
      <c r="E29" s="32"/>
      <c r="F29" s="32"/>
      <c r="G29" s="27"/>
      <c r="H29" s="27"/>
      <c r="I29" s="89"/>
      <c r="J29" s="101"/>
      <c r="K29" s="101"/>
      <c r="L29" s="101"/>
      <c r="M29" s="101"/>
      <c r="N29" s="101"/>
      <c r="O29" s="101"/>
      <c r="P29" s="101"/>
      <c r="Q29" s="101"/>
      <c r="R29" s="21"/>
    </row>
    <row r="30" spans="1:18" hidden="1" x14ac:dyDescent="0.3">
      <c r="A30" s="87">
        <v>27</v>
      </c>
      <c r="B30" s="19"/>
      <c r="C30" s="20"/>
      <c r="D30" s="20"/>
      <c r="E30" s="32"/>
      <c r="F30" s="32"/>
      <c r="G30" s="27"/>
      <c r="H30" s="27"/>
      <c r="I30" s="89"/>
      <c r="J30" s="101"/>
      <c r="K30" s="101"/>
      <c r="L30" s="101"/>
      <c r="M30" s="101"/>
      <c r="N30" s="101"/>
      <c r="O30" s="101"/>
      <c r="P30" s="101"/>
      <c r="Q30" s="101"/>
      <c r="R30" s="21"/>
    </row>
    <row r="31" spans="1:18" hidden="1" x14ac:dyDescent="0.3">
      <c r="A31" s="87">
        <v>28</v>
      </c>
      <c r="B31" s="19"/>
      <c r="C31" s="20"/>
      <c r="D31" s="20"/>
      <c r="E31" s="32"/>
      <c r="F31" s="32"/>
      <c r="G31" s="27"/>
      <c r="H31" s="27"/>
      <c r="I31" s="89"/>
      <c r="J31" s="101"/>
      <c r="K31" s="101"/>
      <c r="L31" s="101"/>
      <c r="M31" s="101"/>
      <c r="N31" s="101"/>
      <c r="O31" s="101"/>
      <c r="P31" s="101"/>
      <c r="Q31" s="101"/>
      <c r="R31" s="21"/>
    </row>
    <row r="32" spans="1:18" hidden="1" x14ac:dyDescent="0.3">
      <c r="A32" s="87">
        <v>29</v>
      </c>
      <c r="B32" s="19"/>
      <c r="C32" s="20"/>
      <c r="D32" s="20"/>
      <c r="E32" s="32"/>
      <c r="F32" s="32"/>
      <c r="G32" s="27"/>
      <c r="H32" s="27"/>
      <c r="I32" s="89"/>
      <c r="J32" s="101"/>
      <c r="K32" s="101"/>
      <c r="L32" s="101"/>
      <c r="M32" s="101"/>
      <c r="N32" s="101"/>
      <c r="O32" s="101"/>
      <c r="P32" s="101"/>
      <c r="Q32" s="101"/>
      <c r="R32" s="21"/>
    </row>
    <row r="33" spans="1:18" hidden="1" x14ac:dyDescent="0.3">
      <c r="A33" s="87">
        <v>30</v>
      </c>
      <c r="B33" s="19"/>
      <c r="C33" s="20"/>
      <c r="D33" s="20"/>
      <c r="E33" s="32"/>
      <c r="F33" s="32"/>
      <c r="G33" s="27"/>
      <c r="H33" s="27"/>
      <c r="I33" s="89"/>
      <c r="J33" s="101"/>
      <c r="K33" s="101"/>
      <c r="L33" s="101"/>
      <c r="M33" s="101"/>
      <c r="N33" s="101"/>
      <c r="O33" s="101"/>
      <c r="P33" s="101"/>
      <c r="Q33" s="101"/>
      <c r="R33" s="21"/>
    </row>
    <row r="34" spans="1:18" x14ac:dyDescent="0.3">
      <c r="B34" s="25"/>
      <c r="C34" s="22"/>
      <c r="D34" s="22" t="s">
        <v>43</v>
      </c>
      <c r="E34" s="81" t="e">
        <f>AVERAGE(E4:E33)</f>
        <v>#DIV/0!</v>
      </c>
      <c r="F34" s="81" t="e">
        <f>AVERAGE(F4:F33)</f>
        <v>#DIV/0!</v>
      </c>
      <c r="G34" s="81">
        <f>AVERAGE(G4:G33)</f>
        <v>0</v>
      </c>
      <c r="H34" s="81" t="e">
        <f>AVERAGE(H4:H33)</f>
        <v>#DIV/0!</v>
      </c>
      <c r="I34" s="81" t="e">
        <f t="shared" ref="I34:J34" si="1">AVERAGE(I4:I33)</f>
        <v>#DIV/0!</v>
      </c>
      <c r="J34" s="81" t="e">
        <f t="shared" si="1"/>
        <v>#DIV/0!</v>
      </c>
      <c r="K34" s="119"/>
      <c r="L34" s="119"/>
      <c r="M34" s="119"/>
      <c r="N34" s="119"/>
      <c r="O34" s="119"/>
      <c r="P34" s="119"/>
      <c r="Q34" s="119"/>
      <c r="R34" s="23"/>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6709-A8A0-450C-A753-2DB57FB06191}">
  <dimension ref="B2:E3"/>
  <sheetViews>
    <sheetView showGridLines="0" workbookViewId="0"/>
  </sheetViews>
  <sheetFormatPr defaultColWidth="8.88671875" defaultRowHeight="16.8" x14ac:dyDescent="0.3"/>
  <cols>
    <col min="1" max="1" width="2.77734375" style="43" customWidth="1"/>
    <col min="2" max="2" width="12.88671875" style="43" customWidth="1"/>
    <col min="3" max="3" width="39.5546875" style="43" bestFit="1" customWidth="1"/>
    <col min="4" max="4" width="23" style="43" customWidth="1"/>
    <col min="5" max="5" width="38.88671875" style="43" bestFit="1" customWidth="1"/>
    <col min="6" max="16384" width="8.88671875" style="43"/>
  </cols>
  <sheetData>
    <row r="2" spans="2:5" x14ac:dyDescent="0.3">
      <c r="B2" s="43" t="s">
        <v>53</v>
      </c>
    </row>
    <row r="3" spans="2:5" x14ac:dyDescent="0.3">
      <c r="B3" s="43" t="s">
        <v>10</v>
      </c>
      <c r="C3" s="43" t="s">
        <v>11</v>
      </c>
      <c r="D3" s="43" t="s">
        <v>12</v>
      </c>
      <c r="E3" s="43" t="s">
        <v>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4CA3F-8CF0-4200-98AE-6C86843ADA14}">
  <dimension ref="A1:C31"/>
  <sheetViews>
    <sheetView workbookViewId="0">
      <pane ySplit="1" topLeftCell="A2" activePane="bottomLeft" state="frozen"/>
      <selection pane="bottomLeft" activeCell="A5" sqref="A5"/>
    </sheetView>
  </sheetViews>
  <sheetFormatPr defaultColWidth="8.88671875" defaultRowHeight="16.8" x14ac:dyDescent="0.4"/>
  <cols>
    <col min="1" max="1" width="46.21875" style="142" customWidth="1"/>
    <col min="2" max="2" width="15.5546875" style="142" customWidth="1"/>
    <col min="3" max="3" width="44.88671875" style="142" customWidth="1"/>
    <col min="4" max="16384" width="8.88671875" style="142"/>
  </cols>
  <sheetData>
    <row r="1" spans="1:3" x14ac:dyDescent="0.4">
      <c r="A1" s="142" t="s">
        <v>143</v>
      </c>
      <c r="B1" s="142" t="s">
        <v>144</v>
      </c>
      <c r="C1" s="142" t="s">
        <v>145</v>
      </c>
    </row>
    <row r="2" spans="1:3" x14ac:dyDescent="0.4">
      <c r="A2" s="142" t="s">
        <v>66</v>
      </c>
      <c r="B2" s="142" t="s">
        <v>146</v>
      </c>
      <c r="C2" s="53" t="s">
        <v>97</v>
      </c>
    </row>
    <row r="3" spans="1:3" x14ac:dyDescent="0.4">
      <c r="A3" s="142" t="s">
        <v>67</v>
      </c>
      <c r="B3" s="142" t="s">
        <v>146</v>
      </c>
      <c r="C3" s="130" t="s">
        <v>98</v>
      </c>
    </row>
    <row r="4" spans="1:3" x14ac:dyDescent="0.4">
      <c r="A4" s="142" t="s">
        <v>68</v>
      </c>
      <c r="B4" s="142" t="s">
        <v>146</v>
      </c>
      <c r="C4" s="53" t="s">
        <v>99</v>
      </c>
    </row>
    <row r="5" spans="1:3" x14ac:dyDescent="0.4">
      <c r="A5" s="142" t="s">
        <v>69</v>
      </c>
      <c r="B5" s="142" t="s">
        <v>146</v>
      </c>
      <c r="C5" s="53" t="s">
        <v>100</v>
      </c>
    </row>
    <row r="6" spans="1:3" x14ac:dyDescent="0.4">
      <c r="A6" s="142" t="s">
        <v>70</v>
      </c>
      <c r="B6" s="142" t="s">
        <v>146</v>
      </c>
      <c r="C6" s="53" t="s">
        <v>101</v>
      </c>
    </row>
    <row r="7" spans="1:3" x14ac:dyDescent="0.4">
      <c r="A7" s="142" t="s">
        <v>71</v>
      </c>
      <c r="B7" s="142" t="s">
        <v>146</v>
      </c>
      <c r="C7" s="53" t="s">
        <v>102</v>
      </c>
    </row>
    <row r="8" spans="1:3" x14ac:dyDescent="0.4">
      <c r="A8" s="142" t="s">
        <v>72</v>
      </c>
      <c r="B8" s="142" t="s">
        <v>146</v>
      </c>
      <c r="C8" s="53" t="s">
        <v>103</v>
      </c>
    </row>
    <row r="9" spans="1:3" x14ac:dyDescent="0.4">
      <c r="A9" s="142" t="s">
        <v>73</v>
      </c>
      <c r="B9" s="142" t="s">
        <v>146</v>
      </c>
      <c r="C9" s="53" t="s">
        <v>104</v>
      </c>
    </row>
    <row r="10" spans="1:3" x14ac:dyDescent="0.4">
      <c r="A10" s="142" t="s">
        <v>74</v>
      </c>
      <c r="B10" s="142" t="s">
        <v>146</v>
      </c>
      <c r="C10" s="53" t="s">
        <v>105</v>
      </c>
    </row>
    <row r="11" spans="1:3" x14ac:dyDescent="0.4">
      <c r="A11" s="142" t="s">
        <v>75</v>
      </c>
      <c r="B11" s="142" t="s">
        <v>146</v>
      </c>
      <c r="C11" s="53" t="s">
        <v>106</v>
      </c>
    </row>
    <row r="12" spans="1:3" x14ac:dyDescent="0.4">
      <c r="A12" s="142" t="s">
        <v>76</v>
      </c>
      <c r="B12" s="142" t="s">
        <v>146</v>
      </c>
      <c r="C12" s="53" t="s">
        <v>107</v>
      </c>
    </row>
    <row r="13" spans="1:3" x14ac:dyDescent="0.4">
      <c r="A13" s="142" t="s">
        <v>77</v>
      </c>
      <c r="B13" s="142" t="s">
        <v>146</v>
      </c>
      <c r="C13" s="53" t="s">
        <v>108</v>
      </c>
    </row>
    <row r="14" spans="1:3" x14ac:dyDescent="0.4">
      <c r="A14" s="142" t="s">
        <v>78</v>
      </c>
      <c r="B14" s="142" t="s">
        <v>146</v>
      </c>
      <c r="C14" s="53" t="s">
        <v>109</v>
      </c>
    </row>
    <row r="15" spans="1:3" x14ac:dyDescent="0.4">
      <c r="A15" s="142" t="s">
        <v>79</v>
      </c>
      <c r="B15" s="142" t="s">
        <v>146</v>
      </c>
      <c r="C15" s="53" t="s">
        <v>110</v>
      </c>
    </row>
    <row r="16" spans="1:3" x14ac:dyDescent="0.4">
      <c r="A16" s="142" t="s">
        <v>80</v>
      </c>
      <c r="B16" s="142" t="s">
        <v>146</v>
      </c>
      <c r="C16" s="53" t="s">
        <v>111</v>
      </c>
    </row>
    <row r="17" spans="1:3" x14ac:dyDescent="0.4">
      <c r="A17" s="142" t="s">
        <v>81</v>
      </c>
      <c r="B17" s="142" t="s">
        <v>146</v>
      </c>
      <c r="C17" s="53" t="s">
        <v>112</v>
      </c>
    </row>
    <row r="18" spans="1:3" x14ac:dyDescent="0.4">
      <c r="A18" s="142" t="s">
        <v>82</v>
      </c>
      <c r="B18" s="142" t="s">
        <v>146</v>
      </c>
      <c r="C18" s="53" t="s">
        <v>113</v>
      </c>
    </row>
    <row r="19" spans="1:3" x14ac:dyDescent="0.4">
      <c r="A19" s="142" t="s">
        <v>83</v>
      </c>
      <c r="B19" s="142" t="s">
        <v>146</v>
      </c>
      <c r="C19" s="53" t="s">
        <v>114</v>
      </c>
    </row>
    <row r="20" spans="1:3" x14ac:dyDescent="0.4">
      <c r="A20" s="142" t="s">
        <v>84</v>
      </c>
      <c r="B20" s="142" t="s">
        <v>146</v>
      </c>
      <c r="C20" s="53" t="s">
        <v>115</v>
      </c>
    </row>
    <row r="21" spans="1:3" x14ac:dyDescent="0.4">
      <c r="A21" s="142" t="s">
        <v>85</v>
      </c>
      <c r="B21" s="142" t="s">
        <v>146</v>
      </c>
      <c r="C21" s="53" t="s">
        <v>116</v>
      </c>
    </row>
    <row r="22" spans="1:3" x14ac:dyDescent="0.4">
      <c r="A22" s="142" t="s">
        <v>86</v>
      </c>
      <c r="B22" s="142" t="s">
        <v>146</v>
      </c>
      <c r="C22" s="53" t="s">
        <v>117</v>
      </c>
    </row>
    <row r="23" spans="1:3" x14ac:dyDescent="0.4">
      <c r="A23" s="142" t="s">
        <v>87</v>
      </c>
      <c r="B23" s="142" t="s">
        <v>146</v>
      </c>
      <c r="C23" s="53" t="s">
        <v>118</v>
      </c>
    </row>
    <row r="24" spans="1:3" x14ac:dyDescent="0.4">
      <c r="A24" s="142" t="s">
        <v>88</v>
      </c>
      <c r="B24" s="142" t="s">
        <v>146</v>
      </c>
      <c r="C24" s="53" t="s">
        <v>119</v>
      </c>
    </row>
    <row r="25" spans="1:3" x14ac:dyDescent="0.4">
      <c r="A25" s="142" t="s">
        <v>89</v>
      </c>
      <c r="B25" s="142" t="s">
        <v>146</v>
      </c>
      <c r="C25" s="53" t="s">
        <v>120</v>
      </c>
    </row>
    <row r="26" spans="1:3" x14ac:dyDescent="0.4">
      <c r="A26" s="142" t="s">
        <v>90</v>
      </c>
      <c r="B26" s="142" t="s">
        <v>146</v>
      </c>
      <c r="C26" s="53" t="s">
        <v>121</v>
      </c>
    </row>
    <row r="27" spans="1:3" x14ac:dyDescent="0.4">
      <c r="A27" s="142" t="s">
        <v>91</v>
      </c>
      <c r="B27" s="142" t="s">
        <v>146</v>
      </c>
      <c r="C27" s="53" t="s">
        <v>122</v>
      </c>
    </row>
    <row r="28" spans="1:3" x14ac:dyDescent="0.4">
      <c r="A28" s="142" t="s">
        <v>92</v>
      </c>
      <c r="B28" s="142" t="s">
        <v>146</v>
      </c>
      <c r="C28" s="53" t="s">
        <v>123</v>
      </c>
    </row>
    <row r="29" spans="1:3" x14ac:dyDescent="0.4">
      <c r="A29" s="142" t="s">
        <v>93</v>
      </c>
      <c r="B29" s="142" t="s">
        <v>146</v>
      </c>
      <c r="C29" s="53" t="s">
        <v>124</v>
      </c>
    </row>
    <row r="30" spans="1:3" x14ac:dyDescent="0.4">
      <c r="A30" s="142" t="s">
        <v>94</v>
      </c>
      <c r="B30" s="142" t="s">
        <v>146</v>
      </c>
      <c r="C30" s="53" t="s">
        <v>125</v>
      </c>
    </row>
    <row r="31" spans="1:3" x14ac:dyDescent="0.4">
      <c r="A31" s="142" t="s">
        <v>95</v>
      </c>
      <c r="B31" s="142" t="s">
        <v>146</v>
      </c>
      <c r="C31" s="53" t="s">
        <v>126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1D7322AB1F17A44BE7FE5C8D995D347" ma:contentTypeVersion="13" ma:contentTypeDescription="Create a new document." ma:contentTypeScope="" ma:versionID="1eb207208c8584b81afed257b6a06fc6">
  <xsd:schema xmlns:xsd="http://www.w3.org/2001/XMLSchema" xmlns:xs="http://www.w3.org/2001/XMLSchema" xmlns:p="http://schemas.microsoft.com/office/2006/metadata/properties" xmlns:ns3="7eeb79fa-ffdc-4bd7-a04f-d010a9c58256" xmlns:ns4="85273d68-90a1-4455-8abc-8dc013f26eed" targetNamespace="http://schemas.microsoft.com/office/2006/metadata/properties" ma:root="true" ma:fieldsID="ce324dbad9fecaf36c6944962ac7a2ce" ns3:_="" ns4:_="">
    <xsd:import namespace="7eeb79fa-ffdc-4bd7-a04f-d010a9c58256"/>
    <xsd:import namespace="85273d68-90a1-4455-8abc-8dc013f26ee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eeb79fa-ffdc-4bd7-a04f-d010a9c58256"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273d68-90a1-4455-8abc-8dc013f26eed"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DAF97E-304B-4052-8AF3-6197B0AFD6D9}">
  <ds:schemaRefs>
    <ds:schemaRef ds:uri="http://schemas.microsoft.com/office/2006/documentManagement/types"/>
    <ds:schemaRef ds:uri="7eeb79fa-ffdc-4bd7-a04f-d010a9c58256"/>
    <ds:schemaRef ds:uri="85273d68-90a1-4455-8abc-8dc013f26eed"/>
    <ds:schemaRef ds:uri="http://purl.org/dc/terms/"/>
    <ds:schemaRef ds:uri="http://purl.org/dc/dcmitype/"/>
    <ds:schemaRef ds:uri="http://schemas.microsoft.com/office/infopath/2007/PartnerControl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D99E719E-E8E0-487B-B9AB-962F6E6CB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eeb79fa-ffdc-4bd7-a04f-d010a9c58256"/>
    <ds:schemaRef ds:uri="85273d68-90a1-4455-8abc-8dc013f26ee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9FB8192-7273-44F8-8DD5-0B9B5FE03D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Alumnos</vt:lpstr>
      <vt:lpstr>GrupoProy</vt:lpstr>
      <vt:lpstr>Asistencia</vt:lpstr>
      <vt:lpstr>0C</vt:lpstr>
      <vt:lpstr>4TI(no borrar)</vt:lpstr>
      <vt:lpstr>Licencias</vt:lpstr>
      <vt:lpstr>Autodesk</vt:lpstr>
      <vt:lpstr>Asistencia!Print_Area</vt:lpstr>
    </vt:vector>
  </TitlesOfParts>
  <Manager/>
  <Company>ESCUELA COL DE INGENIERIA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ESCUELA COL DE INGENIERIA</dc:creator>
  <cp:keywords/>
  <dc:description/>
  <cp:lastModifiedBy>WILLIAM RICARDO AGUILAR PIÑA</cp:lastModifiedBy>
  <cp:revision/>
  <cp:lastPrinted>2025-08-14T15:49:44Z</cp:lastPrinted>
  <dcterms:created xsi:type="dcterms:W3CDTF">2011-01-18T16:27:45Z</dcterms:created>
  <dcterms:modified xsi:type="dcterms:W3CDTF">2025-08-14T17:47:32Z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0x01010071D7322AB1F17A44BE7FE5C8D995D347</vt:lpwstr>
  </property>
</Properties>
</file>